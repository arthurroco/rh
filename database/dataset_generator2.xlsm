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M:\BI4ALL\git\datasetchallenge\database\"/>
    </mc:Choice>
  </mc:AlternateContent>
  <xr:revisionPtr revIDLastSave="0" documentId="13_ncr:1_{8D143E63-C4AA-4E85-9CC1-1C698B02DFAC}" xr6:coauthVersionLast="47" xr6:coauthVersionMax="47" xr10:uidLastSave="{00000000-0000-0000-0000-000000000000}"/>
  <bookViews>
    <workbookView xWindow="-120" yWindow="-120" windowWidth="29040" windowHeight="15720" firstSheet="7" activeTab="14" xr2:uid="{DC38DFD6-0814-4743-9A87-D6C28BB21245}"/>
  </bookViews>
  <sheets>
    <sheet name="Name" sheetId="1" state="hidden" r:id="rId1"/>
    <sheet name="Last name" sheetId="4" r:id="rId2"/>
    <sheet name="Companies" sheetId="12" r:id="rId3"/>
    <sheet name="Genders" sheetId="2" r:id="rId4"/>
    <sheet name="Marital status" sheetId="13" r:id="rId5"/>
    <sheet name="Ethnicities" sheetId="5" r:id="rId6"/>
    <sheet name="Departments" sheetId="7" r:id="rId7"/>
    <sheet name="Background education" sheetId="9" r:id="rId8"/>
    <sheet name="Roles" sheetId="10" r:id="rId9"/>
    <sheet name="Levels" sheetId="11" r:id="rId10"/>
    <sheet name="Countries" sheetId="15" r:id="rId11"/>
    <sheet name="States" sheetId="14" r:id="rId12"/>
    <sheet name="Recruitment source" sheetId="18" r:id="rId13"/>
    <sheet name="Reasons for dismissal" sheetId="19" r:id="rId14"/>
    <sheet name="Employees" sheetId="6" r:id="rId15"/>
    <sheet name="Sheet1" sheetId="20" r:id="rId16"/>
  </sheets>
  <functionGroups builtInGroupCount="19"/>
  <definedNames>
    <definedName name="_xlnm._FilterDatabase" localSheetId="7" hidden="1">'Background education'!$A$1:$B$1</definedName>
    <definedName name="_xlnm._FilterDatabase" localSheetId="2" hidden="1">Companies!$A$1:$B$1</definedName>
    <definedName name="_xlnm._FilterDatabase" localSheetId="10" hidden="1">Countries!$A$1:$B$1</definedName>
    <definedName name="_xlnm._FilterDatabase" localSheetId="6" hidden="1">Departments!$A$1:$B$1</definedName>
    <definedName name="_xlnm._FilterDatabase" localSheetId="14" hidden="1">Employees!$A$1:$U$2031</definedName>
    <definedName name="_xlnm._FilterDatabase" localSheetId="5" hidden="1">Ethnicities!$A$1:$B$1</definedName>
    <definedName name="_xlnm._FilterDatabase" localSheetId="3" hidden="1">Genders!$A$1:$C$1</definedName>
    <definedName name="_xlnm._FilterDatabase" localSheetId="1" hidden="1">'Last name'!$A$1:$B$1</definedName>
    <definedName name="_xlnm._FilterDatabase" localSheetId="9" hidden="1">Levels!$A$1:$B$1</definedName>
    <definedName name="_xlnm._FilterDatabase" localSheetId="4" hidden="1">'Marital status'!$A$1:$B$1</definedName>
    <definedName name="_xlnm._FilterDatabase" localSheetId="0" hidden="1">Name!$A$4:$D$4</definedName>
    <definedName name="_xlnm._FilterDatabase" localSheetId="13" hidden="1">'Reasons for dismissal'!$A$1:$B$1</definedName>
    <definedName name="_xlnm._FilterDatabase" localSheetId="12" hidden="1">'Recruitment source'!$A$1:$C$1</definedName>
    <definedName name="_xlnm._FilterDatabase" localSheetId="8" hidden="1">Roles!$A$1:$B$1</definedName>
    <definedName name="_xlnm._FilterDatabase" localSheetId="11" hidden="1">States!$A$1:$C$1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" i="6" l="1"/>
  <c r="A2" i="20"/>
  <c r="N2" i="6"/>
  <c r="M2" i="6" s="1"/>
  <c r="G3" i="6" a="1"/>
  <c r="G3" i="6" s="1"/>
  <c r="G4" i="6" a="1"/>
  <c r="G4" i="6" s="1"/>
  <c r="G5" i="6" a="1"/>
  <c r="G5" i="6" s="1"/>
  <c r="G6" i="6" a="1"/>
  <c r="G6" i="6" s="1"/>
  <c r="G7" i="6" a="1"/>
  <c r="G7" i="6" s="1"/>
  <c r="G8" i="6" a="1"/>
  <c r="G8" i="6" s="1"/>
  <c r="G9" i="6" a="1"/>
  <c r="G9" i="6" s="1"/>
  <c r="G10" i="6" a="1"/>
  <c r="G10" i="6" s="1"/>
  <c r="G11" i="6" a="1"/>
  <c r="G11" i="6" s="1"/>
  <c r="G12" i="6" a="1"/>
  <c r="G12" i="6" s="1"/>
  <c r="G13" i="6" a="1"/>
  <c r="G13" i="6" s="1"/>
  <c r="G14" i="6" a="1"/>
  <c r="G14" i="6" s="1"/>
  <c r="G15" i="6" a="1"/>
  <c r="G15" i="6" s="1"/>
  <c r="G16" i="6" a="1"/>
  <c r="G16" i="6" s="1"/>
  <c r="G17" i="6" a="1"/>
  <c r="G17" i="6" s="1"/>
  <c r="G18" i="6" a="1"/>
  <c r="G18" i="6" s="1"/>
  <c r="G19" i="6" a="1"/>
  <c r="G19" i="6" s="1"/>
  <c r="G20" i="6" a="1"/>
  <c r="G20" i="6" s="1"/>
  <c r="G21" i="6" a="1"/>
  <c r="G21" i="6" s="1"/>
  <c r="G22" i="6" a="1"/>
  <c r="G22" i="6" s="1"/>
  <c r="G23" i="6" a="1"/>
  <c r="G23" i="6" s="1"/>
  <c r="G24" i="6" a="1"/>
  <c r="G24" i="6" s="1"/>
  <c r="G25" i="6" a="1"/>
  <c r="G25" i="6" s="1"/>
  <c r="G26" i="6" a="1"/>
  <c r="G26" i="6" s="1"/>
  <c r="G27" i="6" a="1"/>
  <c r="G27" i="6" s="1"/>
  <c r="G28" i="6" a="1"/>
  <c r="G28" i="6" s="1"/>
  <c r="G29" i="6" a="1"/>
  <c r="G29" i="6" s="1"/>
  <c r="G30" i="6" a="1"/>
  <c r="G30" i="6" s="1"/>
  <c r="G31" i="6" a="1"/>
  <c r="G31" i="6" s="1"/>
  <c r="G32" i="6" a="1"/>
  <c r="G32" i="6" s="1"/>
  <c r="G33" i="6" a="1"/>
  <c r="G33" i="6" s="1"/>
  <c r="G34" i="6" a="1"/>
  <c r="G34" i="6" s="1"/>
  <c r="G35" i="6" a="1"/>
  <c r="G35" i="6" s="1"/>
  <c r="G36" i="6" a="1"/>
  <c r="G36" i="6" s="1"/>
  <c r="G37" i="6" a="1"/>
  <c r="G37" i="6" s="1"/>
  <c r="G38" i="6" a="1"/>
  <c r="G38" i="6" s="1"/>
  <c r="G39" i="6" a="1"/>
  <c r="G39" i="6" s="1"/>
  <c r="G40" i="6" a="1"/>
  <c r="G40" i="6" s="1"/>
  <c r="G41" i="6" a="1"/>
  <c r="G41" i="6" s="1"/>
  <c r="G42" i="6" a="1"/>
  <c r="G42" i="6" s="1"/>
  <c r="G43" i="6" a="1"/>
  <c r="G43" i="6" s="1"/>
  <c r="G44" i="6" a="1"/>
  <c r="G44" i="6" s="1"/>
  <c r="G45" i="6" a="1"/>
  <c r="G45" i="6" s="1"/>
  <c r="G46" i="6" a="1"/>
  <c r="G46" i="6" s="1"/>
  <c r="G47" i="6" a="1"/>
  <c r="G47" i="6" s="1"/>
  <c r="G48" i="6" a="1"/>
  <c r="G48" i="6" s="1"/>
  <c r="G49" i="6" a="1"/>
  <c r="G49" i="6" s="1"/>
  <c r="G50" i="6" a="1"/>
  <c r="G50" i="6" s="1"/>
  <c r="G51" i="6" a="1"/>
  <c r="G51" i="6" s="1"/>
  <c r="G52" i="6" a="1"/>
  <c r="G52" i="6" s="1"/>
  <c r="G53" i="6" a="1"/>
  <c r="G53" i="6" s="1"/>
  <c r="G54" i="6" a="1"/>
  <c r="G54" i="6" s="1"/>
  <c r="G55" i="6" a="1"/>
  <c r="G55" i="6" s="1"/>
  <c r="G56" i="6" a="1"/>
  <c r="G56" i="6" s="1"/>
  <c r="G57" i="6" a="1"/>
  <c r="G57" i="6" s="1"/>
  <c r="G58" i="6" a="1"/>
  <c r="G58" i="6" s="1"/>
  <c r="G59" i="6" a="1"/>
  <c r="G59" i="6" s="1"/>
  <c r="G60" i="6" a="1"/>
  <c r="G60" i="6" s="1"/>
  <c r="G61" i="6" a="1"/>
  <c r="G61" i="6" s="1"/>
  <c r="G62" i="6" a="1"/>
  <c r="G62" i="6" s="1"/>
  <c r="G63" i="6" a="1"/>
  <c r="G63" i="6" s="1"/>
  <c r="G64" i="6" a="1"/>
  <c r="G64" i="6" s="1"/>
  <c r="G65" i="6" a="1"/>
  <c r="G65" i="6" s="1"/>
  <c r="G66" i="6" a="1"/>
  <c r="G66" i="6" s="1"/>
  <c r="G67" i="6" a="1"/>
  <c r="G67" i="6" s="1"/>
  <c r="G68" i="6" a="1"/>
  <c r="G68" i="6" s="1"/>
  <c r="G69" i="6" a="1"/>
  <c r="G69" i="6" s="1"/>
  <c r="G70" i="6" a="1"/>
  <c r="G70" i="6" s="1"/>
  <c r="G71" i="6" a="1"/>
  <c r="G71" i="6" s="1"/>
  <c r="G72" i="6" a="1"/>
  <c r="G72" i="6" s="1"/>
  <c r="G73" i="6" a="1"/>
  <c r="G73" i="6" s="1"/>
  <c r="G74" i="6" a="1"/>
  <c r="G74" i="6" s="1"/>
  <c r="G75" i="6" a="1"/>
  <c r="G75" i="6" s="1"/>
  <c r="G76" i="6" a="1"/>
  <c r="G76" i="6" s="1"/>
  <c r="G77" i="6" a="1"/>
  <c r="G77" i="6" s="1"/>
  <c r="G78" i="6" a="1"/>
  <c r="G78" i="6" s="1"/>
  <c r="G79" i="6" a="1"/>
  <c r="G79" i="6" s="1"/>
  <c r="G80" i="6" a="1"/>
  <c r="G80" i="6" s="1"/>
  <c r="G81" i="6" a="1"/>
  <c r="G81" i="6" s="1"/>
  <c r="G82" i="6" a="1"/>
  <c r="G82" i="6" s="1"/>
  <c r="G83" i="6" a="1"/>
  <c r="G83" i="6" s="1"/>
  <c r="G84" i="6" a="1"/>
  <c r="G84" i="6" s="1"/>
  <c r="G85" i="6" a="1"/>
  <c r="G85" i="6" s="1"/>
  <c r="G86" i="6" a="1"/>
  <c r="G86" i="6" s="1"/>
  <c r="G87" i="6" a="1"/>
  <c r="G87" i="6" s="1"/>
  <c r="G88" i="6" a="1"/>
  <c r="G88" i="6" s="1"/>
  <c r="G89" i="6" a="1"/>
  <c r="G89" i="6" s="1"/>
  <c r="G90" i="6" a="1"/>
  <c r="G90" i="6" s="1"/>
  <c r="G91" i="6" a="1"/>
  <c r="G91" i="6" s="1"/>
  <c r="G92" i="6" a="1"/>
  <c r="G92" i="6" s="1"/>
  <c r="G93" i="6" a="1"/>
  <c r="G93" i="6" s="1"/>
  <c r="G94" i="6" a="1"/>
  <c r="G94" i="6" s="1"/>
  <c r="G95" i="6" a="1"/>
  <c r="G95" i="6" s="1"/>
  <c r="G96" i="6" a="1"/>
  <c r="G96" i="6" s="1"/>
  <c r="G97" i="6" a="1"/>
  <c r="G97" i="6" s="1"/>
  <c r="G98" i="6" a="1"/>
  <c r="G98" i="6" s="1"/>
  <c r="G99" i="6" a="1"/>
  <c r="G99" i="6" s="1"/>
  <c r="G100" i="6" a="1"/>
  <c r="G100" i="6" s="1"/>
  <c r="G101" i="6" a="1"/>
  <c r="G101" i="6" s="1"/>
  <c r="G102" i="6" a="1"/>
  <c r="G102" i="6" s="1"/>
  <c r="G103" i="6" a="1"/>
  <c r="G103" i="6" s="1"/>
  <c r="G104" i="6" a="1"/>
  <c r="G104" i="6" s="1"/>
  <c r="G105" i="6" a="1"/>
  <c r="G105" i="6" s="1"/>
  <c r="G106" i="6" a="1"/>
  <c r="G106" i="6" s="1"/>
  <c r="G107" i="6" a="1"/>
  <c r="G107" i="6" s="1"/>
  <c r="G108" i="6" a="1"/>
  <c r="G108" i="6" s="1"/>
  <c r="G109" i="6" a="1"/>
  <c r="G109" i="6" s="1"/>
  <c r="G110" i="6" a="1"/>
  <c r="G110" i="6" s="1"/>
  <c r="G111" i="6" a="1"/>
  <c r="G111" i="6" s="1"/>
  <c r="G112" i="6" a="1"/>
  <c r="G112" i="6" s="1"/>
  <c r="G113" i="6" a="1"/>
  <c r="G113" i="6" s="1"/>
  <c r="G114" i="6" a="1"/>
  <c r="G114" i="6" s="1"/>
  <c r="G115" i="6" a="1"/>
  <c r="G115" i="6" s="1"/>
  <c r="G116" i="6" a="1"/>
  <c r="G116" i="6" s="1"/>
  <c r="G117" i="6" a="1"/>
  <c r="G117" i="6" s="1"/>
  <c r="G118" i="6" a="1"/>
  <c r="G118" i="6" s="1"/>
  <c r="G119" i="6" a="1"/>
  <c r="G119" i="6" s="1"/>
  <c r="G120" i="6" a="1"/>
  <c r="G120" i="6" s="1"/>
  <c r="G121" i="6" a="1"/>
  <c r="G121" i="6" s="1"/>
  <c r="G122" i="6" a="1"/>
  <c r="G122" i="6" s="1"/>
  <c r="G123" i="6" a="1"/>
  <c r="G123" i="6" s="1"/>
  <c r="G124" i="6" a="1"/>
  <c r="G124" i="6" s="1"/>
  <c r="G125" i="6" a="1"/>
  <c r="G125" i="6" s="1"/>
  <c r="G126" i="6" a="1"/>
  <c r="G126" i="6" s="1"/>
  <c r="G127" i="6" a="1"/>
  <c r="G127" i="6" s="1"/>
  <c r="G128" i="6" a="1"/>
  <c r="G128" i="6" s="1"/>
  <c r="G129" i="6" a="1"/>
  <c r="G129" i="6" s="1"/>
  <c r="G130" i="6" a="1"/>
  <c r="G130" i="6" s="1"/>
  <c r="G131" i="6" a="1"/>
  <c r="G131" i="6" s="1"/>
  <c r="G132" i="6" a="1"/>
  <c r="G132" i="6" s="1"/>
  <c r="G133" i="6" a="1"/>
  <c r="G133" i="6" s="1"/>
  <c r="G134" i="6" a="1"/>
  <c r="G134" i="6" s="1"/>
  <c r="G135" i="6" a="1"/>
  <c r="G135" i="6" s="1"/>
  <c r="G136" i="6" a="1"/>
  <c r="G136" i="6" s="1"/>
  <c r="G137" i="6" a="1"/>
  <c r="G137" i="6" s="1"/>
  <c r="G138" i="6" a="1"/>
  <c r="G138" i="6" s="1"/>
  <c r="G139" i="6" a="1"/>
  <c r="G139" i="6" s="1"/>
  <c r="G140" i="6" a="1"/>
  <c r="G140" i="6" s="1"/>
  <c r="G141" i="6" a="1"/>
  <c r="G141" i="6" s="1"/>
  <c r="G142" i="6" a="1"/>
  <c r="G142" i="6" s="1"/>
  <c r="G143" i="6" a="1"/>
  <c r="G143" i="6" s="1"/>
  <c r="G144" i="6" a="1"/>
  <c r="G144" i="6" s="1"/>
  <c r="G145" i="6" a="1"/>
  <c r="G145" i="6" s="1"/>
  <c r="G146" i="6" a="1"/>
  <c r="G146" i="6" s="1"/>
  <c r="G147" i="6" a="1"/>
  <c r="G147" i="6" s="1"/>
  <c r="G148" i="6" a="1"/>
  <c r="G148" i="6" s="1"/>
  <c r="G149" i="6" a="1"/>
  <c r="G149" i="6" s="1"/>
  <c r="G150" i="6" a="1"/>
  <c r="G150" i="6" s="1"/>
  <c r="G151" i="6" a="1"/>
  <c r="G151" i="6" s="1"/>
  <c r="G152" i="6" a="1"/>
  <c r="G152" i="6" s="1"/>
  <c r="G153" i="6" a="1"/>
  <c r="G153" i="6" s="1"/>
  <c r="G154" i="6" a="1"/>
  <c r="G154" i="6" s="1"/>
  <c r="G155" i="6" a="1"/>
  <c r="G155" i="6" s="1"/>
  <c r="G156" i="6" a="1"/>
  <c r="G156" i="6" s="1"/>
  <c r="G157" i="6" a="1"/>
  <c r="G157" i="6" s="1"/>
  <c r="G158" i="6" a="1"/>
  <c r="G158" i="6" s="1"/>
  <c r="G159" i="6" a="1"/>
  <c r="G159" i="6" s="1"/>
  <c r="G160" i="6" a="1"/>
  <c r="G160" i="6" s="1"/>
  <c r="G161" i="6" a="1"/>
  <c r="G161" i="6" s="1"/>
  <c r="G162" i="6" a="1"/>
  <c r="G162" i="6" s="1"/>
  <c r="G163" i="6" a="1"/>
  <c r="G163" i="6" s="1"/>
  <c r="G164" i="6" a="1"/>
  <c r="G164" i="6" s="1"/>
  <c r="G165" i="6" a="1"/>
  <c r="G165" i="6" s="1"/>
  <c r="G166" i="6" a="1"/>
  <c r="G166" i="6" s="1"/>
  <c r="G167" i="6" a="1"/>
  <c r="G167" i="6" s="1"/>
  <c r="G168" i="6" a="1"/>
  <c r="G168" i="6" s="1"/>
  <c r="G169" i="6" a="1"/>
  <c r="G169" i="6" s="1"/>
  <c r="G170" i="6" a="1"/>
  <c r="G170" i="6" s="1"/>
  <c r="G171" i="6" a="1"/>
  <c r="G171" i="6" s="1"/>
  <c r="G172" i="6" a="1"/>
  <c r="G172" i="6" s="1"/>
  <c r="G173" i="6" a="1"/>
  <c r="G173" i="6" s="1"/>
  <c r="G174" i="6" a="1"/>
  <c r="G174" i="6" s="1"/>
  <c r="G175" i="6" a="1"/>
  <c r="G175" i="6" s="1"/>
  <c r="G176" i="6" a="1"/>
  <c r="G176" i="6" s="1"/>
  <c r="G177" i="6" a="1"/>
  <c r="G177" i="6" s="1"/>
  <c r="G178" i="6" a="1"/>
  <c r="G178" i="6" s="1"/>
  <c r="G179" i="6" a="1"/>
  <c r="G179" i="6" s="1"/>
  <c r="G180" i="6" a="1"/>
  <c r="G180" i="6" s="1"/>
  <c r="G181" i="6" a="1"/>
  <c r="G181" i="6" s="1"/>
  <c r="G182" i="6" a="1"/>
  <c r="G182" i="6" s="1"/>
  <c r="G183" i="6" a="1"/>
  <c r="G183" i="6" s="1"/>
  <c r="G184" i="6" a="1"/>
  <c r="G184" i="6" s="1"/>
  <c r="G185" i="6" a="1"/>
  <c r="G185" i="6" s="1"/>
  <c r="G186" i="6" a="1"/>
  <c r="G186" i="6" s="1"/>
  <c r="G187" i="6" a="1"/>
  <c r="G187" i="6" s="1"/>
  <c r="G188" i="6" a="1"/>
  <c r="G188" i="6" s="1"/>
  <c r="G189" i="6" a="1"/>
  <c r="G189" i="6" s="1"/>
  <c r="G190" i="6" a="1"/>
  <c r="G190" i="6" s="1"/>
  <c r="G191" i="6" a="1"/>
  <c r="G191" i="6" s="1"/>
  <c r="G192" i="6" a="1"/>
  <c r="G192" i="6" s="1"/>
  <c r="G193" i="6" a="1"/>
  <c r="G193" i="6" s="1"/>
  <c r="G194" i="6" a="1"/>
  <c r="G194" i="6" s="1"/>
  <c r="G195" i="6" a="1"/>
  <c r="G195" i="6" s="1"/>
  <c r="G196" i="6" a="1"/>
  <c r="G196" i="6" s="1"/>
  <c r="G197" i="6" a="1"/>
  <c r="G197" i="6" s="1"/>
  <c r="G198" i="6" a="1"/>
  <c r="G198" i="6" s="1"/>
  <c r="G199" i="6" a="1"/>
  <c r="G199" i="6" s="1"/>
  <c r="G200" i="6" a="1"/>
  <c r="G200" i="6" s="1"/>
  <c r="G201" i="6" a="1"/>
  <c r="G201" i="6" s="1"/>
  <c r="G202" i="6" a="1"/>
  <c r="G202" i="6" s="1"/>
  <c r="G203" i="6" a="1"/>
  <c r="G203" i="6" s="1"/>
  <c r="G204" i="6" a="1"/>
  <c r="G204" i="6" s="1"/>
  <c r="G205" i="6" a="1"/>
  <c r="G205" i="6" s="1"/>
  <c r="G206" i="6" a="1"/>
  <c r="G206" i="6" s="1"/>
  <c r="G207" i="6" a="1"/>
  <c r="G207" i="6" s="1"/>
  <c r="G208" i="6" a="1"/>
  <c r="G208" i="6" s="1"/>
  <c r="G209" i="6" a="1"/>
  <c r="G209" i="6" s="1"/>
  <c r="G210" i="6" a="1"/>
  <c r="G210" i="6" s="1"/>
  <c r="G211" i="6" a="1"/>
  <c r="G211" i="6" s="1"/>
  <c r="G212" i="6" a="1"/>
  <c r="G212" i="6" s="1"/>
  <c r="G213" i="6" a="1"/>
  <c r="G213" i="6" s="1"/>
  <c r="G214" i="6" a="1"/>
  <c r="G214" i="6" s="1"/>
  <c r="G215" i="6" a="1"/>
  <c r="G215" i="6" s="1"/>
  <c r="G216" i="6" a="1"/>
  <c r="G216" i="6" s="1"/>
  <c r="G217" i="6" a="1"/>
  <c r="G217" i="6" s="1"/>
  <c r="G218" i="6" a="1"/>
  <c r="G218" i="6" s="1"/>
  <c r="G219" i="6" a="1"/>
  <c r="G219" i="6" s="1"/>
  <c r="G220" i="6" a="1"/>
  <c r="G220" i="6" s="1"/>
  <c r="G221" i="6" a="1"/>
  <c r="G221" i="6" s="1"/>
  <c r="G222" i="6" a="1"/>
  <c r="G222" i="6" s="1"/>
  <c r="G223" i="6" a="1"/>
  <c r="G223" i="6" s="1"/>
  <c r="G224" i="6" a="1"/>
  <c r="G224" i="6" s="1"/>
  <c r="G225" i="6" a="1"/>
  <c r="G225" i="6" s="1"/>
  <c r="G226" i="6" a="1"/>
  <c r="G226" i="6" s="1"/>
  <c r="G227" i="6" a="1"/>
  <c r="G227" i="6" s="1"/>
  <c r="G228" i="6" a="1"/>
  <c r="G228" i="6" s="1"/>
  <c r="G229" i="6" a="1"/>
  <c r="G229" i="6" s="1"/>
  <c r="G230" i="6" a="1"/>
  <c r="G230" i="6" s="1"/>
  <c r="G231" i="6" a="1"/>
  <c r="G231" i="6" s="1"/>
  <c r="G232" i="6" a="1"/>
  <c r="G232" i="6" s="1"/>
  <c r="G233" i="6" a="1"/>
  <c r="G233" i="6" s="1"/>
  <c r="G234" i="6" a="1"/>
  <c r="G234" i="6" s="1"/>
  <c r="G235" i="6" a="1"/>
  <c r="G235" i="6" s="1"/>
  <c r="G236" i="6" a="1"/>
  <c r="G236" i="6" s="1"/>
  <c r="G237" i="6" a="1"/>
  <c r="G237" i="6" s="1"/>
  <c r="G238" i="6" a="1"/>
  <c r="G238" i="6" s="1"/>
  <c r="G239" i="6" a="1"/>
  <c r="G239" i="6" s="1"/>
  <c r="G240" i="6" a="1"/>
  <c r="G240" i="6" s="1"/>
  <c r="G241" i="6" a="1"/>
  <c r="G241" i="6" s="1"/>
  <c r="G242" i="6" a="1"/>
  <c r="G242" i="6" s="1"/>
  <c r="G243" i="6" a="1"/>
  <c r="G243" i="6" s="1"/>
  <c r="G244" i="6" a="1"/>
  <c r="G244" i="6" s="1"/>
  <c r="G245" i="6" a="1"/>
  <c r="G245" i="6" s="1"/>
  <c r="G246" i="6" a="1"/>
  <c r="G246" i="6" s="1"/>
  <c r="G247" i="6" a="1"/>
  <c r="G247" i="6" s="1"/>
  <c r="G248" i="6" a="1"/>
  <c r="G248" i="6" s="1"/>
  <c r="G249" i="6" a="1"/>
  <c r="G249" i="6" s="1"/>
  <c r="G250" i="6" a="1"/>
  <c r="G250" i="6" s="1"/>
  <c r="G251" i="6" a="1"/>
  <c r="G251" i="6" s="1"/>
  <c r="G252" i="6" a="1"/>
  <c r="G252" i="6" s="1"/>
  <c r="G253" i="6" a="1"/>
  <c r="G253" i="6" s="1"/>
  <c r="G254" i="6" a="1"/>
  <c r="G254" i="6" s="1"/>
  <c r="G255" i="6" a="1"/>
  <c r="G255" i="6" s="1"/>
  <c r="G256" i="6" a="1"/>
  <c r="G256" i="6" s="1"/>
  <c r="G257" i="6" a="1"/>
  <c r="G257" i="6" s="1"/>
  <c r="G258" i="6" a="1"/>
  <c r="G258" i="6" s="1"/>
  <c r="G259" i="6" a="1"/>
  <c r="G259" i="6" s="1"/>
  <c r="G260" i="6" a="1"/>
  <c r="G260" i="6" s="1"/>
  <c r="G261" i="6" a="1"/>
  <c r="G261" i="6" s="1"/>
  <c r="G262" i="6" a="1"/>
  <c r="G262" i="6" s="1"/>
  <c r="G263" i="6" a="1"/>
  <c r="G263" i="6" s="1"/>
  <c r="G264" i="6" a="1"/>
  <c r="G264" i="6" s="1"/>
  <c r="G265" i="6" a="1"/>
  <c r="G265" i="6" s="1"/>
  <c r="G266" i="6" a="1"/>
  <c r="G266" i="6" s="1"/>
  <c r="G267" i="6" a="1"/>
  <c r="G267" i="6" s="1"/>
  <c r="G268" i="6" a="1"/>
  <c r="G268" i="6" s="1"/>
  <c r="G269" i="6" a="1"/>
  <c r="G269" i="6" s="1"/>
  <c r="G270" i="6" a="1"/>
  <c r="G270" i="6" s="1"/>
  <c r="G271" i="6" a="1"/>
  <c r="G271" i="6" s="1"/>
  <c r="G272" i="6" a="1"/>
  <c r="G272" i="6" s="1"/>
  <c r="G273" i="6" a="1"/>
  <c r="G273" i="6" s="1"/>
  <c r="G274" i="6" a="1"/>
  <c r="G274" i="6" s="1"/>
  <c r="G275" i="6" a="1"/>
  <c r="G275" i="6" s="1"/>
  <c r="G276" i="6" a="1"/>
  <c r="G276" i="6" s="1"/>
  <c r="G277" i="6" a="1"/>
  <c r="G277" i="6" s="1"/>
  <c r="G278" i="6" a="1"/>
  <c r="G278" i="6" s="1"/>
  <c r="G279" i="6" a="1"/>
  <c r="G279" i="6" s="1"/>
  <c r="G280" i="6" a="1"/>
  <c r="G280" i="6" s="1"/>
  <c r="G281" i="6" a="1"/>
  <c r="G281" i="6" s="1"/>
  <c r="G282" i="6" a="1"/>
  <c r="G282" i="6" s="1"/>
  <c r="G283" i="6" a="1"/>
  <c r="G283" i="6" s="1"/>
  <c r="G284" i="6" a="1"/>
  <c r="G284" i="6" s="1"/>
  <c r="G285" i="6" a="1"/>
  <c r="G285" i="6" s="1"/>
  <c r="G286" i="6" a="1"/>
  <c r="G286" i="6" s="1"/>
  <c r="G287" i="6" a="1"/>
  <c r="G287" i="6" s="1"/>
  <c r="G288" i="6" a="1"/>
  <c r="G288" i="6" s="1"/>
  <c r="G289" i="6" a="1"/>
  <c r="G289" i="6" s="1"/>
  <c r="G290" i="6" a="1"/>
  <c r="G290" i="6" s="1"/>
  <c r="G291" i="6" a="1"/>
  <c r="G291" i="6" s="1"/>
  <c r="G292" i="6" a="1"/>
  <c r="G292" i="6" s="1"/>
  <c r="G293" i="6" a="1"/>
  <c r="G293" i="6" s="1"/>
  <c r="G294" i="6" a="1"/>
  <c r="G294" i="6" s="1"/>
  <c r="G295" i="6" a="1"/>
  <c r="G295" i="6" s="1"/>
  <c r="G296" i="6" a="1"/>
  <c r="G296" i="6" s="1"/>
  <c r="G297" i="6" a="1"/>
  <c r="G297" i="6" s="1"/>
  <c r="G298" i="6" a="1"/>
  <c r="G298" i="6" s="1"/>
  <c r="G299" i="6" a="1"/>
  <c r="G299" i="6" s="1"/>
  <c r="G300" i="6" a="1"/>
  <c r="G300" i="6" s="1"/>
  <c r="G301" i="6" a="1"/>
  <c r="G301" i="6" s="1"/>
  <c r="G302" i="6" a="1"/>
  <c r="G302" i="6" s="1"/>
  <c r="G303" i="6" a="1"/>
  <c r="G303" i="6" s="1"/>
  <c r="G304" i="6" a="1"/>
  <c r="G304" i="6" s="1"/>
  <c r="G305" i="6" a="1"/>
  <c r="G305" i="6" s="1"/>
  <c r="G306" i="6" a="1"/>
  <c r="G306" i="6" s="1"/>
  <c r="G307" i="6" a="1"/>
  <c r="G307" i="6" s="1"/>
  <c r="G308" i="6" a="1"/>
  <c r="G308" i="6" s="1"/>
  <c r="G309" i="6" a="1"/>
  <c r="G309" i="6" s="1"/>
  <c r="G310" i="6" a="1"/>
  <c r="G310" i="6" s="1"/>
  <c r="G311" i="6" a="1"/>
  <c r="G311" i="6" s="1"/>
  <c r="G312" i="6" a="1"/>
  <c r="G312" i="6" s="1"/>
  <c r="G313" i="6" a="1"/>
  <c r="G313" i="6" s="1"/>
  <c r="G314" i="6" a="1"/>
  <c r="G314" i="6" s="1"/>
  <c r="G315" i="6" a="1"/>
  <c r="G315" i="6" s="1"/>
  <c r="G316" i="6" a="1"/>
  <c r="G316" i="6" s="1"/>
  <c r="G317" i="6" a="1"/>
  <c r="G317" i="6" s="1"/>
  <c r="G318" i="6" a="1"/>
  <c r="G318" i="6" s="1"/>
  <c r="G319" i="6" a="1"/>
  <c r="G319" i="6" s="1"/>
  <c r="G320" i="6" a="1"/>
  <c r="G320" i="6" s="1"/>
  <c r="G321" i="6" a="1"/>
  <c r="G321" i="6" s="1"/>
  <c r="G322" i="6" a="1"/>
  <c r="G322" i="6" s="1"/>
  <c r="G323" i="6" a="1"/>
  <c r="G323" i="6" s="1"/>
  <c r="G324" i="6" a="1"/>
  <c r="G324" i="6" s="1"/>
  <c r="G325" i="6" a="1"/>
  <c r="G325" i="6" s="1"/>
  <c r="G326" i="6" a="1"/>
  <c r="G326" i="6" s="1"/>
  <c r="G327" i="6" a="1"/>
  <c r="G327" i="6" s="1"/>
  <c r="G328" i="6" a="1"/>
  <c r="G328" i="6" s="1"/>
  <c r="G329" i="6" a="1"/>
  <c r="G329" i="6" s="1"/>
  <c r="G330" i="6" a="1"/>
  <c r="G330" i="6" s="1"/>
  <c r="G331" i="6" a="1"/>
  <c r="G331" i="6" s="1"/>
  <c r="G332" i="6" a="1"/>
  <c r="G332" i="6" s="1"/>
  <c r="G333" i="6" a="1"/>
  <c r="G333" i="6" s="1"/>
  <c r="G334" i="6" a="1"/>
  <c r="G334" i="6" s="1"/>
  <c r="G335" i="6" a="1"/>
  <c r="G335" i="6" s="1"/>
  <c r="G336" i="6" a="1"/>
  <c r="G336" i="6" s="1"/>
  <c r="G337" i="6" a="1"/>
  <c r="G337" i="6" s="1"/>
  <c r="G338" i="6" a="1"/>
  <c r="G338" i="6" s="1"/>
  <c r="G339" i="6" a="1"/>
  <c r="G339" i="6" s="1"/>
  <c r="G340" i="6" a="1"/>
  <c r="G340" i="6" s="1"/>
  <c r="G341" i="6" a="1"/>
  <c r="G341" i="6" s="1"/>
  <c r="G342" i="6" a="1"/>
  <c r="G342" i="6" s="1"/>
  <c r="G343" i="6" a="1"/>
  <c r="G343" i="6" s="1"/>
  <c r="G344" i="6" a="1"/>
  <c r="G344" i="6" s="1"/>
  <c r="G345" i="6" a="1"/>
  <c r="G345" i="6" s="1"/>
  <c r="G346" i="6" a="1"/>
  <c r="G346" i="6" s="1"/>
  <c r="G347" i="6" a="1"/>
  <c r="G347" i="6" s="1"/>
  <c r="G348" i="6" a="1"/>
  <c r="G348" i="6" s="1"/>
  <c r="G349" i="6" a="1"/>
  <c r="G349" i="6" s="1"/>
  <c r="G350" i="6" a="1"/>
  <c r="G350" i="6" s="1"/>
  <c r="G351" i="6" a="1"/>
  <c r="G351" i="6" s="1"/>
  <c r="G352" i="6" a="1"/>
  <c r="G352" i="6" s="1"/>
  <c r="G353" i="6" a="1"/>
  <c r="G353" i="6" s="1"/>
  <c r="G354" i="6" a="1"/>
  <c r="G354" i="6" s="1"/>
  <c r="G355" i="6" a="1"/>
  <c r="G355" i="6" s="1"/>
  <c r="G356" i="6" a="1"/>
  <c r="G356" i="6" s="1"/>
  <c r="G357" i="6" a="1"/>
  <c r="G357" i="6" s="1"/>
  <c r="G358" i="6" a="1"/>
  <c r="G358" i="6" s="1"/>
  <c r="G359" i="6" a="1"/>
  <c r="G359" i="6" s="1"/>
  <c r="G360" i="6" a="1"/>
  <c r="G360" i="6" s="1"/>
  <c r="G361" i="6" a="1"/>
  <c r="G361" i="6" s="1"/>
  <c r="G362" i="6" a="1"/>
  <c r="G362" i="6" s="1"/>
  <c r="G363" i="6" a="1"/>
  <c r="G363" i="6" s="1"/>
  <c r="G364" i="6" a="1"/>
  <c r="G364" i="6" s="1"/>
  <c r="G365" i="6" a="1"/>
  <c r="G365" i="6" s="1"/>
  <c r="G366" i="6" a="1"/>
  <c r="G366" i="6" s="1"/>
  <c r="G367" i="6" a="1"/>
  <c r="G367" i="6" s="1"/>
  <c r="G368" i="6" a="1"/>
  <c r="G368" i="6" s="1"/>
  <c r="G369" i="6" a="1"/>
  <c r="G369" i="6" s="1"/>
  <c r="G370" i="6" a="1"/>
  <c r="G370" i="6" s="1"/>
  <c r="G371" i="6" a="1"/>
  <c r="G371" i="6" s="1"/>
  <c r="G372" i="6" a="1"/>
  <c r="G372" i="6" s="1"/>
  <c r="G373" i="6" a="1"/>
  <c r="G373" i="6" s="1"/>
  <c r="G374" i="6" a="1"/>
  <c r="G374" i="6" s="1"/>
  <c r="G375" i="6" a="1"/>
  <c r="G375" i="6" s="1"/>
  <c r="G376" i="6" a="1"/>
  <c r="G376" i="6" s="1"/>
  <c r="G377" i="6" a="1"/>
  <c r="G377" i="6" s="1"/>
  <c r="G378" i="6" a="1"/>
  <c r="G378" i="6" s="1"/>
  <c r="G379" i="6" a="1"/>
  <c r="G379" i="6" s="1"/>
  <c r="G380" i="6" a="1"/>
  <c r="G380" i="6" s="1"/>
  <c r="G381" i="6" a="1"/>
  <c r="G381" i="6" s="1"/>
  <c r="G382" i="6" a="1"/>
  <c r="G382" i="6" s="1"/>
  <c r="G383" i="6" a="1"/>
  <c r="G383" i="6" s="1"/>
  <c r="G384" i="6" a="1"/>
  <c r="G384" i="6" s="1"/>
  <c r="G385" i="6" a="1"/>
  <c r="G385" i="6" s="1"/>
  <c r="G386" i="6" a="1"/>
  <c r="G386" i="6" s="1"/>
  <c r="G387" i="6" a="1"/>
  <c r="G387" i="6" s="1"/>
  <c r="G388" i="6" a="1"/>
  <c r="G388" i="6" s="1"/>
  <c r="G389" i="6" a="1"/>
  <c r="G389" i="6" s="1"/>
  <c r="G390" i="6" a="1"/>
  <c r="G390" i="6" s="1"/>
  <c r="G391" i="6" a="1"/>
  <c r="G391" i="6" s="1"/>
  <c r="G392" i="6" a="1"/>
  <c r="G392" i="6" s="1"/>
  <c r="G393" i="6" a="1"/>
  <c r="G393" i="6" s="1"/>
  <c r="G394" i="6" a="1"/>
  <c r="G394" i="6" s="1"/>
  <c r="G395" i="6" a="1"/>
  <c r="G395" i="6" s="1"/>
  <c r="G396" i="6" a="1"/>
  <c r="G396" i="6" s="1"/>
  <c r="G397" i="6" a="1"/>
  <c r="G397" i="6" s="1"/>
  <c r="G398" i="6" a="1"/>
  <c r="G398" i="6" s="1"/>
  <c r="G399" i="6" a="1"/>
  <c r="G399" i="6" s="1"/>
  <c r="G400" i="6" a="1"/>
  <c r="G400" i="6" s="1"/>
  <c r="G401" i="6" a="1"/>
  <c r="G401" i="6" s="1"/>
  <c r="G402" i="6" a="1"/>
  <c r="G402" i="6" s="1"/>
  <c r="G403" i="6" a="1"/>
  <c r="G403" i="6" s="1"/>
  <c r="G404" i="6" a="1"/>
  <c r="G404" i="6" s="1"/>
  <c r="G405" i="6" a="1"/>
  <c r="G405" i="6" s="1"/>
  <c r="G406" i="6" a="1"/>
  <c r="G406" i="6" s="1"/>
  <c r="G407" i="6" a="1"/>
  <c r="G407" i="6" s="1"/>
  <c r="G408" i="6" a="1"/>
  <c r="G408" i="6" s="1"/>
  <c r="G409" i="6" a="1"/>
  <c r="G409" i="6" s="1"/>
  <c r="G410" i="6" a="1"/>
  <c r="G410" i="6" s="1"/>
  <c r="G411" i="6" a="1"/>
  <c r="G411" i="6" s="1"/>
  <c r="G412" i="6" a="1"/>
  <c r="G412" i="6" s="1"/>
  <c r="G413" i="6" a="1"/>
  <c r="G413" i="6" s="1"/>
  <c r="G414" i="6" a="1"/>
  <c r="G414" i="6" s="1"/>
  <c r="G415" i="6" a="1"/>
  <c r="G415" i="6" s="1"/>
  <c r="G416" i="6" a="1"/>
  <c r="G416" i="6" s="1"/>
  <c r="G417" i="6" a="1"/>
  <c r="G417" i="6" s="1"/>
  <c r="G418" i="6" a="1"/>
  <c r="G418" i="6" s="1"/>
  <c r="G419" i="6" a="1"/>
  <c r="G419" i="6" s="1"/>
  <c r="G420" i="6" a="1"/>
  <c r="G420" i="6" s="1"/>
  <c r="G421" i="6" a="1"/>
  <c r="G421" i="6" s="1"/>
  <c r="G422" i="6" a="1"/>
  <c r="G422" i="6" s="1"/>
  <c r="G423" i="6" a="1"/>
  <c r="G423" i="6" s="1"/>
  <c r="G424" i="6" a="1"/>
  <c r="G424" i="6" s="1"/>
  <c r="G425" i="6" a="1"/>
  <c r="G425" i="6" s="1"/>
  <c r="G426" i="6" a="1"/>
  <c r="G426" i="6" s="1"/>
  <c r="G427" i="6" a="1"/>
  <c r="G427" i="6" s="1"/>
  <c r="G428" i="6" a="1"/>
  <c r="G428" i="6" s="1"/>
  <c r="G429" i="6" a="1"/>
  <c r="G429" i="6" s="1"/>
  <c r="G430" i="6" a="1"/>
  <c r="G430" i="6" s="1"/>
  <c r="G431" i="6" a="1"/>
  <c r="G431" i="6" s="1"/>
  <c r="G432" i="6" a="1"/>
  <c r="G432" i="6" s="1"/>
  <c r="G433" i="6" a="1"/>
  <c r="G433" i="6" s="1"/>
  <c r="G434" i="6" a="1"/>
  <c r="G434" i="6" s="1"/>
  <c r="G435" i="6" a="1"/>
  <c r="G435" i="6" s="1"/>
  <c r="G436" i="6" a="1"/>
  <c r="G436" i="6" s="1"/>
  <c r="G437" i="6" a="1"/>
  <c r="G437" i="6" s="1"/>
  <c r="G438" i="6" a="1"/>
  <c r="G438" i="6" s="1"/>
  <c r="G439" i="6" a="1"/>
  <c r="G439" i="6" s="1"/>
  <c r="G440" i="6" a="1"/>
  <c r="G440" i="6" s="1"/>
  <c r="G441" i="6" a="1"/>
  <c r="G441" i="6" s="1"/>
  <c r="G442" i="6" a="1"/>
  <c r="G442" i="6" s="1"/>
  <c r="G443" i="6" a="1"/>
  <c r="G443" i="6" s="1"/>
  <c r="G444" i="6" a="1"/>
  <c r="G444" i="6" s="1"/>
  <c r="G445" i="6" a="1"/>
  <c r="G445" i="6" s="1"/>
  <c r="G446" i="6" a="1"/>
  <c r="G446" i="6" s="1"/>
  <c r="G447" i="6" a="1"/>
  <c r="G447" i="6" s="1"/>
  <c r="G448" i="6" a="1"/>
  <c r="G448" i="6" s="1"/>
  <c r="G449" i="6" a="1"/>
  <c r="G449" i="6" s="1"/>
  <c r="G450" i="6" a="1"/>
  <c r="G450" i="6" s="1"/>
  <c r="G451" i="6" a="1"/>
  <c r="G451" i="6" s="1"/>
  <c r="G452" i="6" a="1"/>
  <c r="G452" i="6" s="1"/>
  <c r="G453" i="6" a="1"/>
  <c r="G453" i="6" s="1"/>
  <c r="G454" i="6" a="1"/>
  <c r="G454" i="6" s="1"/>
  <c r="G455" i="6" a="1"/>
  <c r="G455" i="6" s="1"/>
  <c r="G456" i="6" a="1"/>
  <c r="G456" i="6" s="1"/>
  <c r="G457" i="6" a="1"/>
  <c r="G457" i="6" s="1"/>
  <c r="G458" i="6" a="1"/>
  <c r="G458" i="6" s="1"/>
  <c r="G459" i="6" a="1"/>
  <c r="G459" i="6" s="1"/>
  <c r="G460" i="6" a="1"/>
  <c r="G460" i="6" s="1"/>
  <c r="G461" i="6" a="1"/>
  <c r="G461" i="6" s="1"/>
  <c r="G462" i="6" a="1"/>
  <c r="G462" i="6" s="1"/>
  <c r="G463" i="6" a="1"/>
  <c r="G463" i="6" s="1"/>
  <c r="G464" i="6" a="1"/>
  <c r="G464" i="6" s="1"/>
  <c r="G465" i="6" a="1"/>
  <c r="G465" i="6" s="1"/>
  <c r="G466" i="6" a="1"/>
  <c r="G466" i="6" s="1"/>
  <c r="G467" i="6" a="1"/>
  <c r="G467" i="6" s="1"/>
  <c r="G468" i="6" a="1"/>
  <c r="G468" i="6" s="1"/>
  <c r="G469" i="6" a="1"/>
  <c r="G469" i="6" s="1"/>
  <c r="G470" i="6" a="1"/>
  <c r="G470" i="6" s="1"/>
  <c r="G471" i="6" a="1"/>
  <c r="G471" i="6" s="1"/>
  <c r="G472" i="6" a="1"/>
  <c r="G472" i="6" s="1"/>
  <c r="G473" i="6" a="1"/>
  <c r="G473" i="6" s="1"/>
  <c r="G474" i="6" a="1"/>
  <c r="G474" i="6" s="1"/>
  <c r="G475" i="6" a="1"/>
  <c r="G475" i="6" s="1"/>
  <c r="G476" i="6" a="1"/>
  <c r="G476" i="6" s="1"/>
  <c r="G477" i="6" a="1"/>
  <c r="G477" i="6" s="1"/>
  <c r="G478" i="6" a="1"/>
  <c r="G478" i="6" s="1"/>
  <c r="G479" i="6" a="1"/>
  <c r="G479" i="6" s="1"/>
  <c r="G480" i="6" a="1"/>
  <c r="G480" i="6" s="1"/>
  <c r="G481" i="6" a="1"/>
  <c r="G481" i="6" s="1"/>
  <c r="G482" i="6" a="1"/>
  <c r="G482" i="6" s="1"/>
  <c r="G483" i="6" a="1"/>
  <c r="G483" i="6" s="1"/>
  <c r="G484" i="6" a="1"/>
  <c r="G484" i="6" s="1"/>
  <c r="G485" i="6" a="1"/>
  <c r="G485" i="6" s="1"/>
  <c r="G486" i="6" a="1"/>
  <c r="G486" i="6" s="1"/>
  <c r="G487" i="6" a="1"/>
  <c r="G487" i="6" s="1"/>
  <c r="G488" i="6" a="1"/>
  <c r="G488" i="6" s="1"/>
  <c r="G489" i="6" a="1"/>
  <c r="G489" i="6" s="1"/>
  <c r="G490" i="6" a="1"/>
  <c r="G490" i="6" s="1"/>
  <c r="G491" i="6" a="1"/>
  <c r="G491" i="6" s="1"/>
  <c r="G492" i="6" a="1"/>
  <c r="G492" i="6" s="1"/>
  <c r="G493" i="6" a="1"/>
  <c r="G493" i="6" s="1"/>
  <c r="G494" i="6" a="1"/>
  <c r="G494" i="6" s="1"/>
  <c r="G495" i="6" a="1"/>
  <c r="G495" i="6" s="1"/>
  <c r="G496" i="6" a="1"/>
  <c r="G496" i="6" s="1"/>
  <c r="G497" i="6" a="1"/>
  <c r="G497" i="6" s="1"/>
  <c r="G498" i="6" a="1"/>
  <c r="G498" i="6" s="1"/>
  <c r="G499" i="6" a="1"/>
  <c r="G499" i="6" s="1"/>
  <c r="G500" i="6" a="1"/>
  <c r="G500" i="6" s="1"/>
  <c r="G501" i="6" a="1"/>
  <c r="G501" i="6" s="1"/>
  <c r="G502" i="6" a="1"/>
  <c r="G502" i="6" s="1"/>
  <c r="G503" i="6" a="1"/>
  <c r="G503" i="6" s="1"/>
  <c r="G504" i="6" a="1"/>
  <c r="G504" i="6" s="1"/>
  <c r="G505" i="6" a="1"/>
  <c r="G505" i="6" s="1"/>
  <c r="G506" i="6" a="1"/>
  <c r="G506" i="6" s="1"/>
  <c r="G507" i="6" a="1"/>
  <c r="G507" i="6" s="1"/>
  <c r="G508" i="6" a="1"/>
  <c r="G508" i="6" s="1"/>
  <c r="G509" i="6" a="1"/>
  <c r="G509" i="6" s="1"/>
  <c r="G510" i="6" a="1"/>
  <c r="G510" i="6" s="1"/>
  <c r="G511" i="6" a="1"/>
  <c r="G511" i="6" s="1"/>
  <c r="G512" i="6" a="1"/>
  <c r="G512" i="6" s="1"/>
  <c r="G513" i="6" a="1"/>
  <c r="G513" i="6" s="1"/>
  <c r="G514" i="6" a="1"/>
  <c r="G514" i="6" s="1"/>
  <c r="G515" i="6" a="1"/>
  <c r="G515" i="6" s="1"/>
  <c r="G516" i="6" a="1"/>
  <c r="G516" i="6" s="1"/>
  <c r="G517" i="6" a="1"/>
  <c r="G517" i="6" s="1"/>
  <c r="G518" i="6" a="1"/>
  <c r="G518" i="6" s="1"/>
  <c r="G519" i="6" a="1"/>
  <c r="G519" i="6" s="1"/>
  <c r="G520" i="6" a="1"/>
  <c r="G520" i="6" s="1"/>
  <c r="G521" i="6" a="1"/>
  <c r="G521" i="6" s="1"/>
  <c r="G522" i="6" a="1"/>
  <c r="G522" i="6" s="1"/>
  <c r="G523" i="6" a="1"/>
  <c r="G523" i="6" s="1"/>
  <c r="G524" i="6" a="1"/>
  <c r="G524" i="6" s="1"/>
  <c r="G525" i="6" a="1"/>
  <c r="G525" i="6" s="1"/>
  <c r="G526" i="6" a="1"/>
  <c r="G526" i="6" s="1"/>
  <c r="G527" i="6" a="1"/>
  <c r="G527" i="6" s="1"/>
  <c r="G528" i="6" a="1"/>
  <c r="G528" i="6" s="1"/>
  <c r="G529" i="6" a="1"/>
  <c r="G529" i="6" s="1"/>
  <c r="G530" i="6" a="1"/>
  <c r="G530" i="6" s="1"/>
  <c r="G531" i="6" a="1"/>
  <c r="G531" i="6" s="1"/>
  <c r="G532" i="6" a="1"/>
  <c r="G532" i="6" s="1"/>
  <c r="G533" i="6" a="1"/>
  <c r="G533" i="6" s="1"/>
  <c r="G534" i="6" a="1"/>
  <c r="G534" i="6" s="1"/>
  <c r="G535" i="6" a="1"/>
  <c r="G535" i="6" s="1"/>
  <c r="G536" i="6" a="1"/>
  <c r="G536" i="6" s="1"/>
  <c r="G537" i="6" a="1"/>
  <c r="G537" i="6" s="1"/>
  <c r="G538" i="6" a="1"/>
  <c r="G538" i="6" s="1"/>
  <c r="G539" i="6" a="1"/>
  <c r="G539" i="6" s="1"/>
  <c r="G540" i="6" a="1"/>
  <c r="G540" i="6" s="1"/>
  <c r="G541" i="6" a="1"/>
  <c r="G541" i="6" s="1"/>
  <c r="G542" i="6" a="1"/>
  <c r="G542" i="6" s="1"/>
  <c r="G543" i="6" a="1"/>
  <c r="G543" i="6" s="1"/>
  <c r="G544" i="6" a="1"/>
  <c r="G544" i="6" s="1"/>
  <c r="G545" i="6" a="1"/>
  <c r="G545" i="6" s="1"/>
  <c r="G546" i="6" a="1"/>
  <c r="G546" i="6" s="1"/>
  <c r="G547" i="6" a="1"/>
  <c r="G547" i="6" s="1"/>
  <c r="G548" i="6" a="1"/>
  <c r="G548" i="6" s="1"/>
  <c r="G549" i="6" a="1"/>
  <c r="G549" i="6" s="1"/>
  <c r="G550" i="6" a="1"/>
  <c r="G550" i="6" s="1"/>
  <c r="G551" i="6" a="1"/>
  <c r="G551" i="6" s="1"/>
  <c r="G552" i="6" a="1"/>
  <c r="G552" i="6" s="1"/>
  <c r="G553" i="6" a="1"/>
  <c r="G553" i="6" s="1"/>
  <c r="G554" i="6" a="1"/>
  <c r="G554" i="6" s="1"/>
  <c r="G555" i="6" a="1"/>
  <c r="G555" i="6" s="1"/>
  <c r="G556" i="6" a="1"/>
  <c r="G556" i="6" s="1"/>
  <c r="G557" i="6" a="1"/>
  <c r="G557" i="6" s="1"/>
  <c r="G558" i="6" a="1"/>
  <c r="G558" i="6" s="1"/>
  <c r="G559" i="6" a="1"/>
  <c r="G559" i="6" s="1"/>
  <c r="G560" i="6" a="1"/>
  <c r="G560" i="6" s="1"/>
  <c r="G561" i="6" a="1"/>
  <c r="G561" i="6" s="1"/>
  <c r="G562" i="6" a="1"/>
  <c r="G562" i="6" s="1"/>
  <c r="G563" i="6" a="1"/>
  <c r="G563" i="6" s="1"/>
  <c r="G564" i="6" a="1"/>
  <c r="G564" i="6" s="1"/>
  <c r="G565" i="6" a="1"/>
  <c r="G565" i="6" s="1"/>
  <c r="G566" i="6" a="1"/>
  <c r="G566" i="6" s="1"/>
  <c r="G567" i="6" a="1"/>
  <c r="G567" i="6" s="1"/>
  <c r="G568" i="6" a="1"/>
  <c r="G568" i="6" s="1"/>
  <c r="G569" i="6" a="1"/>
  <c r="G569" i="6" s="1"/>
  <c r="G570" i="6" a="1"/>
  <c r="G570" i="6" s="1"/>
  <c r="G571" i="6" a="1"/>
  <c r="G571" i="6" s="1"/>
  <c r="G572" i="6" a="1"/>
  <c r="G572" i="6" s="1"/>
  <c r="G573" i="6" a="1"/>
  <c r="G573" i="6" s="1"/>
  <c r="G574" i="6" a="1"/>
  <c r="G574" i="6" s="1"/>
  <c r="G575" i="6" a="1"/>
  <c r="G575" i="6" s="1"/>
  <c r="G576" i="6" a="1"/>
  <c r="G576" i="6" s="1"/>
  <c r="G577" i="6" a="1"/>
  <c r="G577" i="6" s="1"/>
  <c r="G578" i="6" a="1"/>
  <c r="G578" i="6" s="1"/>
  <c r="G579" i="6" a="1"/>
  <c r="G579" i="6" s="1"/>
  <c r="G580" i="6" a="1"/>
  <c r="G580" i="6" s="1"/>
  <c r="G581" i="6" a="1"/>
  <c r="G581" i="6" s="1"/>
  <c r="G582" i="6" a="1"/>
  <c r="G582" i="6" s="1"/>
  <c r="G583" i="6" a="1"/>
  <c r="G583" i="6" s="1"/>
  <c r="G584" i="6" a="1"/>
  <c r="G584" i="6" s="1"/>
  <c r="G585" i="6" a="1"/>
  <c r="G585" i="6" s="1"/>
  <c r="G586" i="6" a="1"/>
  <c r="G586" i="6" s="1"/>
  <c r="G587" i="6" a="1"/>
  <c r="G587" i="6" s="1"/>
  <c r="G588" i="6" a="1"/>
  <c r="G588" i="6" s="1"/>
  <c r="G589" i="6" a="1"/>
  <c r="G589" i="6" s="1"/>
  <c r="G590" i="6" a="1"/>
  <c r="G590" i="6" s="1"/>
  <c r="G591" i="6" a="1"/>
  <c r="G591" i="6" s="1"/>
  <c r="G592" i="6" a="1"/>
  <c r="G592" i="6" s="1"/>
  <c r="G593" i="6" a="1"/>
  <c r="G593" i="6" s="1"/>
  <c r="G594" i="6" a="1"/>
  <c r="G594" i="6" s="1"/>
  <c r="G595" i="6" a="1"/>
  <c r="G595" i="6" s="1"/>
  <c r="G596" i="6" a="1"/>
  <c r="G596" i="6" s="1"/>
  <c r="G597" i="6" a="1"/>
  <c r="G597" i="6" s="1"/>
  <c r="G598" i="6" a="1"/>
  <c r="G598" i="6" s="1"/>
  <c r="G599" i="6" a="1"/>
  <c r="G599" i="6" s="1"/>
  <c r="G600" i="6" a="1"/>
  <c r="G600" i="6" s="1"/>
  <c r="G601" i="6" a="1"/>
  <c r="G601" i="6" s="1"/>
  <c r="G602" i="6" a="1"/>
  <c r="G602" i="6" s="1"/>
  <c r="G603" i="6" a="1"/>
  <c r="G603" i="6" s="1"/>
  <c r="G604" i="6" a="1"/>
  <c r="G604" i="6" s="1"/>
  <c r="G605" i="6" a="1"/>
  <c r="G605" i="6" s="1"/>
  <c r="G606" i="6" a="1"/>
  <c r="G606" i="6" s="1"/>
  <c r="G607" i="6" a="1"/>
  <c r="G607" i="6" s="1"/>
  <c r="G608" i="6" a="1"/>
  <c r="G608" i="6" s="1"/>
  <c r="G609" i="6" a="1"/>
  <c r="G609" i="6" s="1"/>
  <c r="G610" i="6" a="1"/>
  <c r="G610" i="6" s="1"/>
  <c r="G611" i="6" a="1"/>
  <c r="G611" i="6" s="1"/>
  <c r="G612" i="6" a="1"/>
  <c r="G612" i="6" s="1"/>
  <c r="G613" i="6" a="1"/>
  <c r="G613" i="6" s="1"/>
  <c r="G614" i="6" a="1"/>
  <c r="G614" i="6" s="1"/>
  <c r="G615" i="6" a="1"/>
  <c r="G615" i="6" s="1"/>
  <c r="G616" i="6" a="1"/>
  <c r="G616" i="6" s="1"/>
  <c r="G617" i="6" a="1"/>
  <c r="G617" i="6" s="1"/>
  <c r="G618" i="6" a="1"/>
  <c r="G618" i="6" s="1"/>
  <c r="G619" i="6" a="1"/>
  <c r="G619" i="6" s="1"/>
  <c r="G620" i="6" a="1"/>
  <c r="G620" i="6" s="1"/>
  <c r="G621" i="6" a="1"/>
  <c r="G621" i="6" s="1"/>
  <c r="G622" i="6" a="1"/>
  <c r="G622" i="6" s="1"/>
  <c r="G623" i="6" a="1"/>
  <c r="G623" i="6" s="1"/>
  <c r="G624" i="6" a="1"/>
  <c r="G624" i="6" s="1"/>
  <c r="G625" i="6" a="1"/>
  <c r="G625" i="6" s="1"/>
  <c r="G626" i="6" a="1"/>
  <c r="G626" i="6" s="1"/>
  <c r="G627" i="6" a="1"/>
  <c r="G627" i="6" s="1"/>
  <c r="G628" i="6" a="1"/>
  <c r="G628" i="6" s="1"/>
  <c r="G629" i="6" a="1"/>
  <c r="G629" i="6" s="1"/>
  <c r="G630" i="6" a="1"/>
  <c r="G630" i="6" s="1"/>
  <c r="G631" i="6" a="1"/>
  <c r="G631" i="6" s="1"/>
  <c r="G632" i="6" a="1"/>
  <c r="G632" i="6" s="1"/>
  <c r="G633" i="6" a="1"/>
  <c r="G633" i="6" s="1"/>
  <c r="G634" i="6" a="1"/>
  <c r="G634" i="6" s="1"/>
  <c r="G635" i="6" a="1"/>
  <c r="G635" i="6" s="1"/>
  <c r="G636" i="6" a="1"/>
  <c r="G636" i="6" s="1"/>
  <c r="G637" i="6" a="1"/>
  <c r="G637" i="6" s="1"/>
  <c r="G638" i="6" a="1"/>
  <c r="G638" i="6" s="1"/>
  <c r="G639" i="6" a="1"/>
  <c r="G639" i="6" s="1"/>
  <c r="G640" i="6" a="1"/>
  <c r="G640" i="6" s="1"/>
  <c r="G641" i="6" a="1"/>
  <c r="G641" i="6" s="1"/>
  <c r="G642" i="6" a="1"/>
  <c r="G642" i="6" s="1"/>
  <c r="G643" i="6" a="1"/>
  <c r="G643" i="6" s="1"/>
  <c r="G644" i="6" a="1"/>
  <c r="G644" i="6" s="1"/>
  <c r="G645" i="6" a="1"/>
  <c r="G645" i="6" s="1"/>
  <c r="G646" i="6" a="1"/>
  <c r="G646" i="6" s="1"/>
  <c r="G647" i="6" a="1"/>
  <c r="G647" i="6" s="1"/>
  <c r="G648" i="6" a="1"/>
  <c r="G648" i="6" s="1"/>
  <c r="G649" i="6" a="1"/>
  <c r="G649" i="6" s="1"/>
  <c r="G650" i="6" a="1"/>
  <c r="G650" i="6" s="1"/>
  <c r="G651" i="6" a="1"/>
  <c r="G651" i="6" s="1"/>
  <c r="G652" i="6" a="1"/>
  <c r="G652" i="6" s="1"/>
  <c r="G653" i="6" a="1"/>
  <c r="G653" i="6" s="1"/>
  <c r="G654" i="6" a="1"/>
  <c r="G654" i="6" s="1"/>
  <c r="G655" i="6" a="1"/>
  <c r="G655" i="6" s="1"/>
  <c r="G656" i="6" a="1"/>
  <c r="G656" i="6" s="1"/>
  <c r="G657" i="6" a="1"/>
  <c r="G657" i="6" s="1"/>
  <c r="G658" i="6" a="1"/>
  <c r="G658" i="6" s="1"/>
  <c r="G659" i="6" a="1"/>
  <c r="G659" i="6" s="1"/>
  <c r="G660" i="6" a="1"/>
  <c r="G660" i="6" s="1"/>
  <c r="G661" i="6" a="1"/>
  <c r="G661" i="6" s="1"/>
  <c r="G662" i="6" a="1"/>
  <c r="G662" i="6" s="1"/>
  <c r="G663" i="6" a="1"/>
  <c r="G663" i="6" s="1"/>
  <c r="G664" i="6" a="1"/>
  <c r="G664" i="6" s="1"/>
  <c r="G665" i="6" a="1"/>
  <c r="G665" i="6" s="1"/>
  <c r="G666" i="6" a="1"/>
  <c r="G666" i="6" s="1"/>
  <c r="G667" i="6" a="1"/>
  <c r="G667" i="6" s="1"/>
  <c r="G668" i="6" a="1"/>
  <c r="G668" i="6" s="1"/>
  <c r="G669" i="6" a="1"/>
  <c r="G669" i="6" s="1"/>
  <c r="G670" i="6" a="1"/>
  <c r="G670" i="6" s="1"/>
  <c r="G671" i="6" a="1"/>
  <c r="G671" i="6" s="1"/>
  <c r="G672" i="6" a="1"/>
  <c r="G672" i="6" s="1"/>
  <c r="G673" i="6" a="1"/>
  <c r="G673" i="6" s="1"/>
  <c r="G674" i="6" a="1"/>
  <c r="G674" i="6" s="1"/>
  <c r="G675" i="6" a="1"/>
  <c r="G675" i="6" s="1"/>
  <c r="G676" i="6" a="1"/>
  <c r="G676" i="6" s="1"/>
  <c r="G677" i="6" a="1"/>
  <c r="G677" i="6" s="1"/>
  <c r="G678" i="6" a="1"/>
  <c r="G678" i="6" s="1"/>
  <c r="G679" i="6" a="1"/>
  <c r="G679" i="6" s="1"/>
  <c r="G680" i="6" a="1"/>
  <c r="G680" i="6" s="1"/>
  <c r="G681" i="6" a="1"/>
  <c r="G681" i="6" s="1"/>
  <c r="G682" i="6" a="1"/>
  <c r="G682" i="6" s="1"/>
  <c r="G683" i="6" a="1"/>
  <c r="G683" i="6" s="1"/>
  <c r="G684" i="6" a="1"/>
  <c r="G684" i="6" s="1"/>
  <c r="G685" i="6" a="1"/>
  <c r="G685" i="6" s="1"/>
  <c r="G686" i="6" a="1"/>
  <c r="G686" i="6" s="1"/>
  <c r="G687" i="6" a="1"/>
  <c r="G687" i="6" s="1"/>
  <c r="G688" i="6" a="1"/>
  <c r="G688" i="6" s="1"/>
  <c r="G689" i="6" a="1"/>
  <c r="G689" i="6" s="1"/>
  <c r="G690" i="6" a="1"/>
  <c r="G690" i="6" s="1"/>
  <c r="G691" i="6" a="1"/>
  <c r="G691" i="6" s="1"/>
  <c r="G692" i="6" a="1"/>
  <c r="G692" i="6" s="1"/>
  <c r="G693" i="6" a="1"/>
  <c r="G693" i="6" s="1"/>
  <c r="G694" i="6" a="1"/>
  <c r="G694" i="6" s="1"/>
  <c r="G695" i="6" a="1"/>
  <c r="G695" i="6" s="1"/>
  <c r="G696" i="6" a="1"/>
  <c r="G696" i="6" s="1"/>
  <c r="G697" i="6" a="1"/>
  <c r="G697" i="6" s="1"/>
  <c r="G698" i="6" a="1"/>
  <c r="G698" i="6" s="1"/>
  <c r="G699" i="6" a="1"/>
  <c r="G699" i="6" s="1"/>
  <c r="G700" i="6" a="1"/>
  <c r="G700" i="6" s="1"/>
  <c r="G701" i="6" a="1"/>
  <c r="G701" i="6" s="1"/>
  <c r="G702" i="6" a="1"/>
  <c r="G702" i="6" s="1"/>
  <c r="G703" i="6" a="1"/>
  <c r="G703" i="6" s="1"/>
  <c r="G704" i="6" a="1"/>
  <c r="G704" i="6" s="1"/>
  <c r="G705" i="6" a="1"/>
  <c r="G705" i="6" s="1"/>
  <c r="G706" i="6" a="1"/>
  <c r="G706" i="6" s="1"/>
  <c r="G707" i="6" a="1"/>
  <c r="G707" i="6" s="1"/>
  <c r="G708" i="6" a="1"/>
  <c r="G708" i="6" s="1"/>
  <c r="G709" i="6" a="1"/>
  <c r="G709" i="6" s="1"/>
  <c r="G710" i="6" a="1"/>
  <c r="G710" i="6" s="1"/>
  <c r="G711" i="6" a="1"/>
  <c r="G711" i="6" s="1"/>
  <c r="G712" i="6" a="1"/>
  <c r="G712" i="6" s="1"/>
  <c r="G713" i="6" a="1"/>
  <c r="G713" i="6" s="1"/>
  <c r="G714" i="6" a="1"/>
  <c r="G714" i="6" s="1"/>
  <c r="G715" i="6" a="1"/>
  <c r="G715" i="6" s="1"/>
  <c r="G716" i="6" a="1"/>
  <c r="G716" i="6" s="1"/>
  <c r="G717" i="6" a="1"/>
  <c r="G717" i="6" s="1"/>
  <c r="G718" i="6" a="1"/>
  <c r="G718" i="6" s="1"/>
  <c r="G719" i="6" a="1"/>
  <c r="G719" i="6" s="1"/>
  <c r="G720" i="6" a="1"/>
  <c r="G720" i="6" s="1"/>
  <c r="G721" i="6" a="1"/>
  <c r="G721" i="6" s="1"/>
  <c r="G722" i="6" a="1"/>
  <c r="G722" i="6" s="1"/>
  <c r="G723" i="6" a="1"/>
  <c r="G723" i="6" s="1"/>
  <c r="G724" i="6" a="1"/>
  <c r="G724" i="6" s="1"/>
  <c r="G725" i="6" a="1"/>
  <c r="G725" i="6" s="1"/>
  <c r="G726" i="6" a="1"/>
  <c r="G726" i="6" s="1"/>
  <c r="G727" i="6" a="1"/>
  <c r="G727" i="6" s="1"/>
  <c r="G728" i="6" a="1"/>
  <c r="G728" i="6" s="1"/>
  <c r="G729" i="6" a="1"/>
  <c r="G729" i="6" s="1"/>
  <c r="G730" i="6" a="1"/>
  <c r="G730" i="6" s="1"/>
  <c r="G731" i="6" a="1"/>
  <c r="G731" i="6" s="1"/>
  <c r="G732" i="6" a="1"/>
  <c r="G732" i="6" s="1"/>
  <c r="G733" i="6" a="1"/>
  <c r="G733" i="6" s="1"/>
  <c r="G734" i="6" a="1"/>
  <c r="G734" i="6" s="1"/>
  <c r="G735" i="6" a="1"/>
  <c r="G735" i="6" s="1"/>
  <c r="G736" i="6" a="1"/>
  <c r="G736" i="6" s="1"/>
  <c r="G737" i="6" a="1"/>
  <c r="G737" i="6" s="1"/>
  <c r="G738" i="6" a="1"/>
  <c r="G738" i="6" s="1"/>
  <c r="G739" i="6" a="1"/>
  <c r="G739" i="6" s="1"/>
  <c r="G740" i="6" a="1"/>
  <c r="G740" i="6" s="1"/>
  <c r="G741" i="6" a="1"/>
  <c r="G741" i="6" s="1"/>
  <c r="G742" i="6" a="1"/>
  <c r="G742" i="6" s="1"/>
  <c r="G743" i="6" a="1"/>
  <c r="G743" i="6" s="1"/>
  <c r="G744" i="6" a="1"/>
  <c r="G744" i="6" s="1"/>
  <c r="G745" i="6" a="1"/>
  <c r="G745" i="6" s="1"/>
  <c r="G746" i="6" a="1"/>
  <c r="G746" i="6" s="1"/>
  <c r="G747" i="6" a="1"/>
  <c r="G747" i="6" s="1"/>
  <c r="G748" i="6" a="1"/>
  <c r="G748" i="6" s="1"/>
  <c r="G749" i="6" a="1"/>
  <c r="G749" i="6" s="1"/>
  <c r="G750" i="6" a="1"/>
  <c r="G750" i="6" s="1"/>
  <c r="G751" i="6" a="1"/>
  <c r="G751" i="6" s="1"/>
  <c r="G752" i="6" a="1"/>
  <c r="G752" i="6" s="1"/>
  <c r="G753" i="6" a="1"/>
  <c r="G753" i="6" s="1"/>
  <c r="G754" i="6" a="1"/>
  <c r="G754" i="6" s="1"/>
  <c r="G755" i="6" a="1"/>
  <c r="G755" i="6" s="1"/>
  <c r="G756" i="6" a="1"/>
  <c r="G756" i="6" s="1"/>
  <c r="G757" i="6" a="1"/>
  <c r="G757" i="6" s="1"/>
  <c r="G758" i="6" a="1"/>
  <c r="G758" i="6" s="1"/>
  <c r="G759" i="6" a="1"/>
  <c r="G759" i="6" s="1"/>
  <c r="G760" i="6" a="1"/>
  <c r="G760" i="6" s="1"/>
  <c r="G761" i="6" a="1"/>
  <c r="G761" i="6" s="1"/>
  <c r="G762" i="6" a="1"/>
  <c r="G762" i="6" s="1"/>
  <c r="G763" i="6" a="1"/>
  <c r="G763" i="6" s="1"/>
  <c r="G764" i="6" a="1"/>
  <c r="G764" i="6" s="1"/>
  <c r="G765" i="6" a="1"/>
  <c r="G765" i="6" s="1"/>
  <c r="G766" i="6" a="1"/>
  <c r="G766" i="6" s="1"/>
  <c r="G767" i="6" a="1"/>
  <c r="G767" i="6" s="1"/>
  <c r="G768" i="6" a="1"/>
  <c r="G768" i="6" s="1"/>
  <c r="G769" i="6" a="1"/>
  <c r="G769" i="6" s="1"/>
  <c r="G770" i="6" a="1"/>
  <c r="G770" i="6" s="1"/>
  <c r="G771" i="6" a="1"/>
  <c r="G771" i="6" s="1"/>
  <c r="G772" i="6" a="1"/>
  <c r="G772" i="6" s="1"/>
  <c r="G773" i="6" a="1"/>
  <c r="G773" i="6" s="1"/>
  <c r="G774" i="6" a="1"/>
  <c r="G774" i="6" s="1"/>
  <c r="G775" i="6" a="1"/>
  <c r="G775" i="6" s="1"/>
  <c r="G776" i="6" a="1"/>
  <c r="G776" i="6" s="1"/>
  <c r="G777" i="6" a="1"/>
  <c r="G777" i="6" s="1"/>
  <c r="G778" i="6" a="1"/>
  <c r="G778" i="6" s="1"/>
  <c r="G779" i="6" a="1"/>
  <c r="G779" i="6" s="1"/>
  <c r="G780" i="6" a="1"/>
  <c r="G780" i="6" s="1"/>
  <c r="G781" i="6" a="1"/>
  <c r="G781" i="6" s="1"/>
  <c r="G782" i="6" a="1"/>
  <c r="G782" i="6" s="1"/>
  <c r="G783" i="6" a="1"/>
  <c r="G783" i="6" s="1"/>
  <c r="G784" i="6" a="1"/>
  <c r="G784" i="6" s="1"/>
  <c r="G785" i="6" a="1"/>
  <c r="G785" i="6" s="1"/>
  <c r="G786" i="6" a="1"/>
  <c r="G786" i="6" s="1"/>
  <c r="G787" i="6" a="1"/>
  <c r="G787" i="6" s="1"/>
  <c r="G788" i="6" a="1"/>
  <c r="G788" i="6" s="1"/>
  <c r="G789" i="6" a="1"/>
  <c r="G789" i="6" s="1"/>
  <c r="G790" i="6" a="1"/>
  <c r="G790" i="6" s="1"/>
  <c r="G791" i="6" a="1"/>
  <c r="G791" i="6" s="1"/>
  <c r="G792" i="6" a="1"/>
  <c r="G792" i="6" s="1"/>
  <c r="G793" i="6" a="1"/>
  <c r="G793" i="6" s="1"/>
  <c r="G794" i="6" a="1"/>
  <c r="G794" i="6" s="1"/>
  <c r="G795" i="6" a="1"/>
  <c r="G795" i="6" s="1"/>
  <c r="G796" i="6" a="1"/>
  <c r="G796" i="6" s="1"/>
  <c r="G797" i="6" a="1"/>
  <c r="G797" i="6" s="1"/>
  <c r="G798" i="6" a="1"/>
  <c r="G798" i="6" s="1"/>
  <c r="G799" i="6" a="1"/>
  <c r="G799" i="6" s="1"/>
  <c r="G800" i="6" a="1"/>
  <c r="G800" i="6" s="1"/>
  <c r="G801" i="6" a="1"/>
  <c r="G801" i="6" s="1"/>
  <c r="G802" i="6" a="1"/>
  <c r="G802" i="6" s="1"/>
  <c r="G803" i="6" a="1"/>
  <c r="G803" i="6" s="1"/>
  <c r="G804" i="6" a="1"/>
  <c r="G804" i="6" s="1"/>
  <c r="G805" i="6" a="1"/>
  <c r="G805" i="6" s="1"/>
  <c r="G806" i="6" a="1"/>
  <c r="G806" i="6" s="1"/>
  <c r="G807" i="6" a="1"/>
  <c r="G807" i="6" s="1"/>
  <c r="G808" i="6" a="1"/>
  <c r="G808" i="6" s="1"/>
  <c r="G809" i="6" a="1"/>
  <c r="G809" i="6" s="1"/>
  <c r="G810" i="6" a="1"/>
  <c r="G810" i="6" s="1"/>
  <c r="G811" i="6" a="1"/>
  <c r="G811" i="6" s="1"/>
  <c r="G812" i="6" a="1"/>
  <c r="G812" i="6" s="1"/>
  <c r="G813" i="6" a="1"/>
  <c r="G813" i="6" s="1"/>
  <c r="G814" i="6" a="1"/>
  <c r="G814" i="6" s="1"/>
  <c r="G815" i="6" a="1"/>
  <c r="G815" i="6" s="1"/>
  <c r="G816" i="6" a="1"/>
  <c r="G816" i="6" s="1"/>
  <c r="G817" i="6" a="1"/>
  <c r="G817" i="6" s="1"/>
  <c r="G818" i="6" a="1"/>
  <c r="G818" i="6" s="1"/>
  <c r="G819" i="6" a="1"/>
  <c r="G819" i="6" s="1"/>
  <c r="G820" i="6" a="1"/>
  <c r="G820" i="6" s="1"/>
  <c r="G821" i="6" a="1"/>
  <c r="G821" i="6" s="1"/>
  <c r="G822" i="6" a="1"/>
  <c r="G822" i="6" s="1"/>
  <c r="G823" i="6" a="1"/>
  <c r="G823" i="6" s="1"/>
  <c r="G824" i="6" a="1"/>
  <c r="G824" i="6" s="1"/>
  <c r="G825" i="6" a="1"/>
  <c r="G825" i="6" s="1"/>
  <c r="G826" i="6" a="1"/>
  <c r="G826" i="6" s="1"/>
  <c r="G827" i="6" a="1"/>
  <c r="G827" i="6" s="1"/>
  <c r="G828" i="6" a="1"/>
  <c r="G828" i="6" s="1"/>
  <c r="G829" i="6" a="1"/>
  <c r="G829" i="6" s="1"/>
  <c r="G830" i="6" a="1"/>
  <c r="G830" i="6" s="1"/>
  <c r="G831" i="6" a="1"/>
  <c r="G831" i="6" s="1"/>
  <c r="G832" i="6" a="1"/>
  <c r="G832" i="6" s="1"/>
  <c r="G833" i="6" a="1"/>
  <c r="G833" i="6" s="1"/>
  <c r="G834" i="6" a="1"/>
  <c r="G834" i="6" s="1"/>
  <c r="G835" i="6" a="1"/>
  <c r="G835" i="6" s="1"/>
  <c r="G836" i="6" a="1"/>
  <c r="G836" i="6" s="1"/>
  <c r="G837" i="6" a="1"/>
  <c r="G837" i="6" s="1"/>
  <c r="G838" i="6" a="1"/>
  <c r="G838" i="6" s="1"/>
  <c r="G839" i="6" a="1"/>
  <c r="G839" i="6" s="1"/>
  <c r="G840" i="6" a="1"/>
  <c r="G840" i="6" s="1"/>
  <c r="G841" i="6" a="1"/>
  <c r="G841" i="6" s="1"/>
  <c r="G842" i="6" a="1"/>
  <c r="G842" i="6" s="1"/>
  <c r="G843" i="6" a="1"/>
  <c r="G843" i="6" s="1"/>
  <c r="G844" i="6" a="1"/>
  <c r="G844" i="6" s="1"/>
  <c r="G845" i="6" a="1"/>
  <c r="G845" i="6" s="1"/>
  <c r="G846" i="6" a="1"/>
  <c r="G846" i="6" s="1"/>
  <c r="G847" i="6" a="1"/>
  <c r="G847" i="6" s="1"/>
  <c r="G848" i="6" a="1"/>
  <c r="G848" i="6" s="1"/>
  <c r="G849" i="6" a="1"/>
  <c r="G849" i="6" s="1"/>
  <c r="G850" i="6" a="1"/>
  <c r="G850" i="6" s="1"/>
  <c r="G851" i="6" a="1"/>
  <c r="G851" i="6" s="1"/>
  <c r="G852" i="6" a="1"/>
  <c r="G852" i="6" s="1"/>
  <c r="G853" i="6" a="1"/>
  <c r="G853" i="6" s="1"/>
  <c r="G854" i="6" a="1"/>
  <c r="G854" i="6" s="1"/>
  <c r="G855" i="6" a="1"/>
  <c r="G855" i="6" s="1"/>
  <c r="G856" i="6" a="1"/>
  <c r="G856" i="6" s="1"/>
  <c r="G857" i="6" a="1"/>
  <c r="G857" i="6" s="1"/>
  <c r="G858" i="6" a="1"/>
  <c r="G858" i="6" s="1"/>
  <c r="G859" i="6" a="1"/>
  <c r="G859" i="6" s="1"/>
  <c r="G860" i="6" a="1"/>
  <c r="G860" i="6" s="1"/>
  <c r="G861" i="6" a="1"/>
  <c r="G861" i="6" s="1"/>
  <c r="G862" i="6" a="1"/>
  <c r="G862" i="6" s="1"/>
  <c r="G863" i="6" a="1"/>
  <c r="G863" i="6" s="1"/>
  <c r="G864" i="6" a="1"/>
  <c r="G864" i="6" s="1"/>
  <c r="G865" i="6" a="1"/>
  <c r="G865" i="6" s="1"/>
  <c r="G866" i="6" a="1"/>
  <c r="G866" i="6" s="1"/>
  <c r="G867" i="6" a="1"/>
  <c r="G867" i="6" s="1"/>
  <c r="G868" i="6" a="1"/>
  <c r="G868" i="6" s="1"/>
  <c r="G869" i="6" a="1"/>
  <c r="G869" i="6" s="1"/>
  <c r="G870" i="6" a="1"/>
  <c r="G870" i="6" s="1"/>
  <c r="G871" i="6" a="1"/>
  <c r="G871" i="6" s="1"/>
  <c r="G872" i="6" a="1"/>
  <c r="G872" i="6" s="1"/>
  <c r="G873" i="6" a="1"/>
  <c r="G873" i="6" s="1"/>
  <c r="G874" i="6" a="1"/>
  <c r="G874" i="6" s="1"/>
  <c r="G875" i="6" a="1"/>
  <c r="G875" i="6" s="1"/>
  <c r="G876" i="6" a="1"/>
  <c r="G876" i="6" s="1"/>
  <c r="G877" i="6" a="1"/>
  <c r="G877" i="6" s="1"/>
  <c r="G878" i="6" a="1"/>
  <c r="G878" i="6" s="1"/>
  <c r="G879" i="6" a="1"/>
  <c r="G879" i="6" s="1"/>
  <c r="G880" i="6" a="1"/>
  <c r="G880" i="6" s="1"/>
  <c r="G881" i="6" a="1"/>
  <c r="G881" i="6" s="1"/>
  <c r="G882" i="6" a="1"/>
  <c r="G882" i="6" s="1"/>
  <c r="G883" i="6" a="1"/>
  <c r="G883" i="6" s="1"/>
  <c r="G884" i="6" a="1"/>
  <c r="G884" i="6" s="1"/>
  <c r="G885" i="6" a="1"/>
  <c r="G885" i="6" s="1"/>
  <c r="G886" i="6" a="1"/>
  <c r="G886" i="6" s="1"/>
  <c r="G887" i="6" a="1"/>
  <c r="G887" i="6" s="1"/>
  <c r="G888" i="6" a="1"/>
  <c r="G888" i="6" s="1"/>
  <c r="G889" i="6" a="1"/>
  <c r="G889" i="6" s="1"/>
  <c r="G890" i="6" a="1"/>
  <c r="G890" i="6" s="1"/>
  <c r="G891" i="6" a="1"/>
  <c r="G891" i="6" s="1"/>
  <c r="G892" i="6" a="1"/>
  <c r="G892" i="6" s="1"/>
  <c r="G893" i="6" a="1"/>
  <c r="G893" i="6" s="1"/>
  <c r="G894" i="6" a="1"/>
  <c r="G894" i="6" s="1"/>
  <c r="G895" i="6" a="1"/>
  <c r="G895" i="6" s="1"/>
  <c r="G896" i="6" a="1"/>
  <c r="G896" i="6" s="1"/>
  <c r="G897" i="6" a="1"/>
  <c r="G897" i="6" s="1"/>
  <c r="G898" i="6" a="1"/>
  <c r="G898" i="6" s="1"/>
  <c r="G899" i="6" a="1"/>
  <c r="G899" i="6" s="1"/>
  <c r="G900" i="6" a="1"/>
  <c r="G900" i="6" s="1"/>
  <c r="G901" i="6" a="1"/>
  <c r="G901" i="6" s="1"/>
  <c r="G902" i="6" a="1"/>
  <c r="G902" i="6" s="1"/>
  <c r="G903" i="6" a="1"/>
  <c r="G903" i="6" s="1"/>
  <c r="G904" i="6" a="1"/>
  <c r="G904" i="6" s="1"/>
  <c r="G905" i="6" a="1"/>
  <c r="G905" i="6" s="1"/>
  <c r="G906" i="6" a="1"/>
  <c r="G906" i="6" s="1"/>
  <c r="G907" i="6" a="1"/>
  <c r="G907" i="6" s="1"/>
  <c r="G908" i="6" a="1"/>
  <c r="G908" i="6" s="1"/>
  <c r="G909" i="6" a="1"/>
  <c r="G909" i="6" s="1"/>
  <c r="G910" i="6" a="1"/>
  <c r="G910" i="6" s="1"/>
  <c r="G911" i="6" a="1"/>
  <c r="G911" i="6" s="1"/>
  <c r="G912" i="6" a="1"/>
  <c r="G912" i="6" s="1"/>
  <c r="G913" i="6" a="1"/>
  <c r="G913" i="6" s="1"/>
  <c r="G914" i="6" a="1"/>
  <c r="G914" i="6" s="1"/>
  <c r="G915" i="6" a="1"/>
  <c r="G915" i="6" s="1"/>
  <c r="G916" i="6" a="1"/>
  <c r="G916" i="6" s="1"/>
  <c r="G917" i="6" a="1"/>
  <c r="G917" i="6" s="1"/>
  <c r="G918" i="6" a="1"/>
  <c r="G918" i="6" s="1"/>
  <c r="G919" i="6" a="1"/>
  <c r="G919" i="6" s="1"/>
  <c r="G920" i="6" a="1"/>
  <c r="G920" i="6" s="1"/>
  <c r="G921" i="6" a="1"/>
  <c r="G921" i="6" s="1"/>
  <c r="G922" i="6" a="1"/>
  <c r="G922" i="6" s="1"/>
  <c r="G923" i="6" a="1"/>
  <c r="G923" i="6" s="1"/>
  <c r="G924" i="6" a="1"/>
  <c r="G924" i="6" s="1"/>
  <c r="G925" i="6" a="1"/>
  <c r="G925" i="6" s="1"/>
  <c r="G926" i="6" a="1"/>
  <c r="G926" i="6" s="1"/>
  <c r="G927" i="6" a="1"/>
  <c r="G927" i="6" s="1"/>
  <c r="G928" i="6" a="1"/>
  <c r="G928" i="6" s="1"/>
  <c r="G929" i="6" a="1"/>
  <c r="G929" i="6" s="1"/>
  <c r="G930" i="6" a="1"/>
  <c r="G930" i="6" s="1"/>
  <c r="G931" i="6" a="1"/>
  <c r="G931" i="6" s="1"/>
  <c r="G932" i="6" a="1"/>
  <c r="G932" i="6" s="1"/>
  <c r="G933" i="6" a="1"/>
  <c r="G933" i="6" s="1"/>
  <c r="G934" i="6" a="1"/>
  <c r="G934" i="6" s="1"/>
  <c r="G935" i="6" a="1"/>
  <c r="G935" i="6" s="1"/>
  <c r="G936" i="6" a="1"/>
  <c r="G936" i="6" s="1"/>
  <c r="G937" i="6" a="1"/>
  <c r="G937" i="6" s="1"/>
  <c r="G938" i="6" a="1"/>
  <c r="G938" i="6" s="1"/>
  <c r="G939" i="6" a="1"/>
  <c r="G939" i="6" s="1"/>
  <c r="G940" i="6" a="1"/>
  <c r="G940" i="6" s="1"/>
  <c r="G941" i="6" a="1"/>
  <c r="G941" i="6" s="1"/>
  <c r="G942" i="6" a="1"/>
  <c r="G942" i="6" s="1"/>
  <c r="G943" i="6" a="1"/>
  <c r="G943" i="6" s="1"/>
  <c r="G944" i="6" a="1"/>
  <c r="G944" i="6" s="1"/>
  <c r="G945" i="6" a="1"/>
  <c r="G945" i="6" s="1"/>
  <c r="G946" i="6" a="1"/>
  <c r="G946" i="6" s="1"/>
  <c r="G947" i="6" a="1"/>
  <c r="G947" i="6" s="1"/>
  <c r="G948" i="6" a="1"/>
  <c r="G948" i="6" s="1"/>
  <c r="G949" i="6" a="1"/>
  <c r="G949" i="6" s="1"/>
  <c r="G950" i="6" a="1"/>
  <c r="G950" i="6" s="1"/>
  <c r="G951" i="6" a="1"/>
  <c r="G951" i="6" s="1"/>
  <c r="G952" i="6" a="1"/>
  <c r="G952" i="6" s="1"/>
  <c r="G953" i="6" a="1"/>
  <c r="G953" i="6" s="1"/>
  <c r="G954" i="6" a="1"/>
  <c r="G954" i="6" s="1"/>
  <c r="G955" i="6" a="1"/>
  <c r="G955" i="6" s="1"/>
  <c r="G956" i="6" a="1"/>
  <c r="G956" i="6" s="1"/>
  <c r="G957" i="6" a="1"/>
  <c r="G957" i="6" s="1"/>
  <c r="G958" i="6" a="1"/>
  <c r="G958" i="6" s="1"/>
  <c r="G959" i="6" a="1"/>
  <c r="G959" i="6" s="1"/>
  <c r="G960" i="6" a="1"/>
  <c r="G960" i="6" s="1"/>
  <c r="G961" i="6" a="1"/>
  <c r="G961" i="6" s="1"/>
  <c r="G962" i="6" a="1"/>
  <c r="G962" i="6" s="1"/>
  <c r="G963" i="6" a="1"/>
  <c r="G963" i="6" s="1"/>
  <c r="G964" i="6" a="1"/>
  <c r="G964" i="6" s="1"/>
  <c r="G965" i="6" a="1"/>
  <c r="G965" i="6" s="1"/>
  <c r="G966" i="6" a="1"/>
  <c r="G966" i="6" s="1"/>
  <c r="G967" i="6" a="1"/>
  <c r="G967" i="6" s="1"/>
  <c r="G968" i="6" a="1"/>
  <c r="G968" i="6" s="1"/>
  <c r="G969" i="6" a="1"/>
  <c r="G969" i="6" s="1"/>
  <c r="G970" i="6" a="1"/>
  <c r="G970" i="6" s="1"/>
  <c r="G971" i="6" a="1"/>
  <c r="G971" i="6" s="1"/>
  <c r="G972" i="6" a="1"/>
  <c r="G972" i="6" s="1"/>
  <c r="G973" i="6" a="1"/>
  <c r="G973" i="6" s="1"/>
  <c r="G974" i="6" a="1"/>
  <c r="G974" i="6" s="1"/>
  <c r="G975" i="6" a="1"/>
  <c r="G975" i="6" s="1"/>
  <c r="G976" i="6" a="1"/>
  <c r="G976" i="6" s="1"/>
  <c r="G977" i="6" a="1"/>
  <c r="G977" i="6" s="1"/>
  <c r="G978" i="6" a="1"/>
  <c r="G978" i="6" s="1"/>
  <c r="G979" i="6" a="1"/>
  <c r="G979" i="6" s="1"/>
  <c r="G980" i="6" a="1"/>
  <c r="G980" i="6" s="1"/>
  <c r="G981" i="6" a="1"/>
  <c r="G981" i="6" s="1"/>
  <c r="G982" i="6" a="1"/>
  <c r="G982" i="6" s="1"/>
  <c r="G983" i="6" a="1"/>
  <c r="G983" i="6" s="1"/>
  <c r="G984" i="6" a="1"/>
  <c r="G984" i="6" s="1"/>
  <c r="G985" i="6" a="1"/>
  <c r="G985" i="6" s="1"/>
  <c r="G986" i="6" a="1"/>
  <c r="G986" i="6" s="1"/>
  <c r="G987" i="6" a="1"/>
  <c r="G987" i="6" s="1"/>
  <c r="G988" i="6" a="1"/>
  <c r="G988" i="6" s="1"/>
  <c r="G989" i="6" a="1"/>
  <c r="G989" i="6" s="1"/>
  <c r="G990" i="6" a="1"/>
  <c r="G990" i="6" s="1"/>
  <c r="G991" i="6" a="1"/>
  <c r="G991" i="6" s="1"/>
  <c r="G992" i="6" a="1"/>
  <c r="G992" i="6" s="1"/>
  <c r="G993" i="6" a="1"/>
  <c r="G993" i="6" s="1"/>
  <c r="G994" i="6" a="1"/>
  <c r="G994" i="6" s="1"/>
  <c r="G995" i="6" a="1"/>
  <c r="G995" i="6" s="1"/>
  <c r="G996" i="6" a="1"/>
  <c r="G996" i="6" s="1"/>
  <c r="G997" i="6" a="1"/>
  <c r="G997" i="6" s="1"/>
  <c r="G998" i="6" a="1"/>
  <c r="G998" i="6" s="1"/>
  <c r="G999" i="6" a="1"/>
  <c r="G999" i="6" s="1"/>
  <c r="G1000" i="6" a="1"/>
  <c r="G1000" i="6" s="1"/>
  <c r="G1001" i="6" a="1"/>
  <c r="G1001" i="6" s="1"/>
  <c r="G1002" i="6" a="1"/>
  <c r="G1002" i="6" s="1"/>
  <c r="G1003" i="6" a="1"/>
  <c r="G1003" i="6" s="1"/>
  <c r="G1004" i="6" a="1"/>
  <c r="G1004" i="6" s="1"/>
  <c r="G1005" i="6" a="1"/>
  <c r="G1005" i="6" s="1"/>
  <c r="G1006" i="6" a="1"/>
  <c r="G1006" i="6" s="1"/>
  <c r="G1007" i="6" a="1"/>
  <c r="G1007" i="6" s="1"/>
  <c r="G1008" i="6" a="1"/>
  <c r="G1008" i="6" s="1"/>
  <c r="G1009" i="6" a="1"/>
  <c r="G1009" i="6" s="1"/>
  <c r="G1010" i="6" a="1"/>
  <c r="G1010" i="6" s="1"/>
  <c r="G1011" i="6" a="1"/>
  <c r="G1011" i="6" s="1"/>
  <c r="G1012" i="6" a="1"/>
  <c r="G1012" i="6" s="1"/>
  <c r="G1013" i="6" a="1"/>
  <c r="G1013" i="6" s="1"/>
  <c r="G1014" i="6" a="1"/>
  <c r="G1014" i="6" s="1"/>
  <c r="G1015" i="6" a="1"/>
  <c r="G1015" i="6" s="1"/>
  <c r="G1016" i="6" a="1"/>
  <c r="G1016" i="6" s="1"/>
  <c r="G1017" i="6" a="1"/>
  <c r="G1017" i="6" s="1"/>
  <c r="G1018" i="6" a="1"/>
  <c r="G1018" i="6" s="1"/>
  <c r="G1019" i="6" a="1"/>
  <c r="G1019" i="6" s="1"/>
  <c r="G1020" i="6" a="1"/>
  <c r="G1020" i="6" s="1"/>
  <c r="G1021" i="6" a="1"/>
  <c r="G1021" i="6" s="1"/>
  <c r="G1022" i="6" a="1"/>
  <c r="G1022" i="6" s="1"/>
  <c r="G1023" i="6" a="1"/>
  <c r="G1023" i="6" s="1"/>
  <c r="G1024" i="6" a="1"/>
  <c r="G1024" i="6" s="1"/>
  <c r="G1025" i="6" a="1"/>
  <c r="G1025" i="6" s="1"/>
  <c r="G1026" i="6" a="1"/>
  <c r="G1026" i="6" s="1"/>
  <c r="G1027" i="6" a="1"/>
  <c r="G1027" i="6" s="1"/>
  <c r="G1028" i="6" a="1"/>
  <c r="G1028" i="6" s="1"/>
  <c r="G1029" i="6" a="1"/>
  <c r="G1029" i="6" s="1"/>
  <c r="G1030" i="6" a="1"/>
  <c r="G1030" i="6" s="1"/>
  <c r="G1031" i="6" a="1"/>
  <c r="G1031" i="6" s="1"/>
  <c r="G1032" i="6" a="1"/>
  <c r="G1032" i="6" s="1"/>
  <c r="G1033" i="6" a="1"/>
  <c r="G1033" i="6" s="1"/>
  <c r="G1034" i="6" a="1"/>
  <c r="G1034" i="6" s="1"/>
  <c r="G1035" i="6" a="1"/>
  <c r="G1035" i="6" s="1"/>
  <c r="G1036" i="6" a="1"/>
  <c r="G1036" i="6" s="1"/>
  <c r="G1037" i="6" a="1"/>
  <c r="G1037" i="6" s="1"/>
  <c r="G1038" i="6" a="1"/>
  <c r="G1038" i="6" s="1"/>
  <c r="G1039" i="6" a="1"/>
  <c r="G1039" i="6" s="1"/>
  <c r="G1040" i="6" a="1"/>
  <c r="G1040" i="6" s="1"/>
  <c r="G1041" i="6" a="1"/>
  <c r="G1041" i="6" s="1"/>
  <c r="G1042" i="6" a="1"/>
  <c r="G1042" i="6" s="1"/>
  <c r="G1043" i="6" a="1"/>
  <c r="G1043" i="6" s="1"/>
  <c r="G1044" i="6" a="1"/>
  <c r="G1044" i="6" s="1"/>
  <c r="G1045" i="6" a="1"/>
  <c r="G1045" i="6" s="1"/>
  <c r="G1046" i="6" a="1"/>
  <c r="G1046" i="6" s="1"/>
  <c r="G1047" i="6" a="1"/>
  <c r="G1047" i="6" s="1"/>
  <c r="G1048" i="6" a="1"/>
  <c r="G1048" i="6" s="1"/>
  <c r="G1049" i="6" a="1"/>
  <c r="G1049" i="6" s="1"/>
  <c r="G1050" i="6" a="1"/>
  <c r="G1050" i="6" s="1"/>
  <c r="G1051" i="6" a="1"/>
  <c r="G1051" i="6" s="1"/>
  <c r="G1052" i="6" a="1"/>
  <c r="G1052" i="6" s="1"/>
  <c r="G1053" i="6" a="1"/>
  <c r="G1053" i="6" s="1"/>
  <c r="G1054" i="6" a="1"/>
  <c r="G1054" i="6" s="1"/>
  <c r="G1055" i="6" a="1"/>
  <c r="G1055" i="6" s="1"/>
  <c r="G1056" i="6" a="1"/>
  <c r="G1056" i="6" s="1"/>
  <c r="G1057" i="6" a="1"/>
  <c r="G1057" i="6" s="1"/>
  <c r="G1058" i="6" a="1"/>
  <c r="G1058" i="6" s="1"/>
  <c r="G1059" i="6" a="1"/>
  <c r="G1059" i="6" s="1"/>
  <c r="G1060" i="6" a="1"/>
  <c r="G1060" i="6" s="1"/>
  <c r="G1061" i="6" a="1"/>
  <c r="G1061" i="6" s="1"/>
  <c r="G1062" i="6" a="1"/>
  <c r="G1062" i="6" s="1"/>
  <c r="G1063" i="6" a="1"/>
  <c r="G1063" i="6" s="1"/>
  <c r="G1064" i="6" a="1"/>
  <c r="G1064" i="6" s="1"/>
  <c r="G1065" i="6" a="1"/>
  <c r="G1065" i="6" s="1"/>
  <c r="G1066" i="6" a="1"/>
  <c r="G1066" i="6" s="1"/>
  <c r="G1067" i="6" a="1"/>
  <c r="G1067" i="6" s="1"/>
  <c r="G1068" i="6" a="1"/>
  <c r="G1068" i="6" s="1"/>
  <c r="G1069" i="6" a="1"/>
  <c r="G1069" i="6" s="1"/>
  <c r="G1070" i="6" a="1"/>
  <c r="G1070" i="6" s="1"/>
  <c r="G1071" i="6" a="1"/>
  <c r="G1071" i="6" s="1"/>
  <c r="G1072" i="6" a="1"/>
  <c r="G1072" i="6" s="1"/>
  <c r="G1073" i="6" a="1"/>
  <c r="G1073" i="6" s="1"/>
  <c r="G1074" i="6" a="1"/>
  <c r="G1074" i="6" s="1"/>
  <c r="G1075" i="6" a="1"/>
  <c r="G1075" i="6" s="1"/>
  <c r="G1076" i="6" a="1"/>
  <c r="G1076" i="6" s="1"/>
  <c r="G1077" i="6" a="1"/>
  <c r="G1077" i="6" s="1"/>
  <c r="G1078" i="6" a="1"/>
  <c r="G1078" i="6" s="1"/>
  <c r="G1079" i="6" a="1"/>
  <c r="G1079" i="6" s="1"/>
  <c r="G1080" i="6" a="1"/>
  <c r="G1080" i="6" s="1"/>
  <c r="G1081" i="6" a="1"/>
  <c r="G1081" i="6" s="1"/>
  <c r="G1082" i="6" a="1"/>
  <c r="G1082" i="6" s="1"/>
  <c r="G1083" i="6" a="1"/>
  <c r="G1083" i="6" s="1"/>
  <c r="G1084" i="6" a="1"/>
  <c r="G1084" i="6" s="1"/>
  <c r="G1085" i="6" a="1"/>
  <c r="G1085" i="6" s="1"/>
  <c r="G1086" i="6" a="1"/>
  <c r="G1086" i="6" s="1"/>
  <c r="G1087" i="6" a="1"/>
  <c r="G1087" i="6" s="1"/>
  <c r="G1088" i="6" a="1"/>
  <c r="G1088" i="6" s="1"/>
  <c r="G1089" i="6" a="1"/>
  <c r="G1089" i="6" s="1"/>
  <c r="G1090" i="6" a="1"/>
  <c r="G1090" i="6" s="1"/>
  <c r="G1091" i="6" a="1"/>
  <c r="G1091" i="6" s="1"/>
  <c r="G1092" i="6" a="1"/>
  <c r="G1092" i="6" s="1"/>
  <c r="G1093" i="6" a="1"/>
  <c r="G1093" i="6" s="1"/>
  <c r="G1094" i="6" a="1"/>
  <c r="G1094" i="6" s="1"/>
  <c r="G1095" i="6" a="1"/>
  <c r="G1095" i="6" s="1"/>
  <c r="G1096" i="6" a="1"/>
  <c r="G1096" i="6" s="1"/>
  <c r="G1097" i="6" a="1"/>
  <c r="G1097" i="6" s="1"/>
  <c r="G1098" i="6" a="1"/>
  <c r="G1098" i="6" s="1"/>
  <c r="G1099" i="6" a="1"/>
  <c r="G1099" i="6" s="1"/>
  <c r="G1100" i="6" a="1"/>
  <c r="G1100" i="6" s="1"/>
  <c r="G1101" i="6" a="1"/>
  <c r="G1101" i="6" s="1"/>
  <c r="G1102" i="6" a="1"/>
  <c r="G1102" i="6" s="1"/>
  <c r="G1103" i="6" a="1"/>
  <c r="G1103" i="6" s="1"/>
  <c r="G1104" i="6" a="1"/>
  <c r="G1104" i="6" s="1"/>
  <c r="G1105" i="6" a="1"/>
  <c r="G1105" i="6" s="1"/>
  <c r="G1106" i="6" a="1"/>
  <c r="G1106" i="6" s="1"/>
  <c r="G1107" i="6" a="1"/>
  <c r="G1107" i="6" s="1"/>
  <c r="G1108" i="6" a="1"/>
  <c r="G1108" i="6" s="1"/>
  <c r="G1109" i="6" a="1"/>
  <c r="G1109" i="6" s="1"/>
  <c r="G1110" i="6" a="1"/>
  <c r="G1110" i="6" s="1"/>
  <c r="G1111" i="6" a="1"/>
  <c r="G1111" i="6" s="1"/>
  <c r="G1112" i="6" a="1"/>
  <c r="G1112" i="6" s="1"/>
  <c r="G1113" i="6" a="1"/>
  <c r="G1113" i="6" s="1"/>
  <c r="G1114" i="6" a="1"/>
  <c r="G1114" i="6" s="1"/>
  <c r="G1115" i="6" a="1"/>
  <c r="G1115" i="6" s="1"/>
  <c r="G1116" i="6" a="1"/>
  <c r="G1116" i="6" s="1"/>
  <c r="G1117" i="6" a="1"/>
  <c r="G1117" i="6" s="1"/>
  <c r="G1118" i="6" a="1"/>
  <c r="G1118" i="6" s="1"/>
  <c r="G1119" i="6" a="1"/>
  <c r="G1119" i="6" s="1"/>
  <c r="G1120" i="6" a="1"/>
  <c r="G1120" i="6" s="1"/>
  <c r="G1121" i="6" a="1"/>
  <c r="G1121" i="6" s="1"/>
  <c r="G1122" i="6" a="1"/>
  <c r="G1122" i="6" s="1"/>
  <c r="G1123" i="6" a="1"/>
  <c r="G1123" i="6" s="1"/>
  <c r="G1124" i="6" a="1"/>
  <c r="G1124" i="6" s="1"/>
  <c r="G1125" i="6" a="1"/>
  <c r="G1125" i="6" s="1"/>
  <c r="G1126" i="6" a="1"/>
  <c r="G1126" i="6" s="1"/>
  <c r="G1127" i="6" a="1"/>
  <c r="G1127" i="6" s="1"/>
  <c r="G1128" i="6" a="1"/>
  <c r="G1128" i="6" s="1"/>
  <c r="G1129" i="6" a="1"/>
  <c r="G1129" i="6" s="1"/>
  <c r="G1130" i="6" a="1"/>
  <c r="G1130" i="6" s="1"/>
  <c r="G1131" i="6" a="1"/>
  <c r="G1131" i="6" s="1"/>
  <c r="G1132" i="6" a="1"/>
  <c r="G1132" i="6" s="1"/>
  <c r="G1133" i="6" a="1"/>
  <c r="G1133" i="6" s="1"/>
  <c r="G1134" i="6" a="1"/>
  <c r="G1134" i="6" s="1"/>
  <c r="G1135" i="6" a="1"/>
  <c r="G1135" i="6" s="1"/>
  <c r="G1136" i="6" a="1"/>
  <c r="G1136" i="6" s="1"/>
  <c r="G1137" i="6" a="1"/>
  <c r="G1137" i="6" s="1"/>
  <c r="G1138" i="6" a="1"/>
  <c r="G1138" i="6" s="1"/>
  <c r="G1139" i="6" a="1"/>
  <c r="G1139" i="6" s="1"/>
  <c r="G1140" i="6" a="1"/>
  <c r="G1140" i="6" s="1"/>
  <c r="G1141" i="6" a="1"/>
  <c r="G1141" i="6" s="1"/>
  <c r="G1142" i="6" a="1"/>
  <c r="G1142" i="6" s="1"/>
  <c r="G1143" i="6" a="1"/>
  <c r="G1143" i="6" s="1"/>
  <c r="G1144" i="6" a="1"/>
  <c r="G1144" i="6" s="1"/>
  <c r="G1145" i="6" a="1"/>
  <c r="G1145" i="6" s="1"/>
  <c r="G1146" i="6" a="1"/>
  <c r="G1146" i="6" s="1"/>
  <c r="G1147" i="6" a="1"/>
  <c r="G1147" i="6" s="1"/>
  <c r="G1148" i="6" a="1"/>
  <c r="G1148" i="6" s="1"/>
  <c r="G1149" i="6" a="1"/>
  <c r="G1149" i="6" s="1"/>
  <c r="G1150" i="6" a="1"/>
  <c r="G1150" i="6" s="1"/>
  <c r="G1151" i="6" a="1"/>
  <c r="G1151" i="6" s="1"/>
  <c r="G1152" i="6" a="1"/>
  <c r="G1152" i="6" s="1"/>
  <c r="G1153" i="6" a="1"/>
  <c r="G1153" i="6" s="1"/>
  <c r="G1154" i="6" a="1"/>
  <c r="G1154" i="6" s="1"/>
  <c r="G1155" i="6" a="1"/>
  <c r="G1155" i="6" s="1"/>
  <c r="G1156" i="6" a="1"/>
  <c r="G1156" i="6" s="1"/>
  <c r="G1157" i="6" a="1"/>
  <c r="G1157" i="6" s="1"/>
  <c r="G1158" i="6" a="1"/>
  <c r="G1158" i="6" s="1"/>
  <c r="G1159" i="6" a="1"/>
  <c r="G1159" i="6" s="1"/>
  <c r="G1160" i="6" a="1"/>
  <c r="G1160" i="6" s="1"/>
  <c r="G1161" i="6" a="1"/>
  <c r="G1161" i="6" s="1"/>
  <c r="G1162" i="6" a="1"/>
  <c r="G1162" i="6" s="1"/>
  <c r="G1163" i="6" a="1"/>
  <c r="G1163" i="6" s="1"/>
  <c r="G1164" i="6" a="1"/>
  <c r="G1164" i="6" s="1"/>
  <c r="G1165" i="6" a="1"/>
  <c r="G1165" i="6" s="1"/>
  <c r="G1166" i="6" a="1"/>
  <c r="G1166" i="6" s="1"/>
  <c r="G1167" i="6" a="1"/>
  <c r="G1167" i="6" s="1"/>
  <c r="G1168" i="6" a="1"/>
  <c r="G1168" i="6" s="1"/>
  <c r="G1169" i="6" a="1"/>
  <c r="G1169" i="6" s="1"/>
  <c r="G1170" i="6" a="1"/>
  <c r="G1170" i="6" s="1"/>
  <c r="G1171" i="6" a="1"/>
  <c r="G1171" i="6" s="1"/>
  <c r="G1172" i="6" a="1"/>
  <c r="G1172" i="6" s="1"/>
  <c r="G1173" i="6" a="1"/>
  <c r="G1173" i="6" s="1"/>
  <c r="G1174" i="6" a="1"/>
  <c r="G1174" i="6" s="1"/>
  <c r="G1175" i="6" a="1"/>
  <c r="G1175" i="6" s="1"/>
  <c r="G1176" i="6" a="1"/>
  <c r="G1176" i="6" s="1"/>
  <c r="G1177" i="6" a="1"/>
  <c r="G1177" i="6" s="1"/>
  <c r="G1178" i="6" a="1"/>
  <c r="G1178" i="6" s="1"/>
  <c r="G1179" i="6" a="1"/>
  <c r="G1179" i="6" s="1"/>
  <c r="G1180" i="6" a="1"/>
  <c r="G1180" i="6" s="1"/>
  <c r="G1181" i="6" a="1"/>
  <c r="G1181" i="6" s="1"/>
  <c r="G1182" i="6" a="1"/>
  <c r="G1182" i="6" s="1"/>
  <c r="G1183" i="6" a="1"/>
  <c r="G1183" i="6" s="1"/>
  <c r="G1184" i="6" a="1"/>
  <c r="G1184" i="6" s="1"/>
  <c r="G1185" i="6" a="1"/>
  <c r="G1185" i="6" s="1"/>
  <c r="G1186" i="6" a="1"/>
  <c r="G1186" i="6" s="1"/>
  <c r="G1187" i="6" a="1"/>
  <c r="G1187" i="6" s="1"/>
  <c r="G1188" i="6" a="1"/>
  <c r="G1188" i="6" s="1"/>
  <c r="G1189" i="6" a="1"/>
  <c r="G1189" i="6" s="1"/>
  <c r="G1190" i="6" a="1"/>
  <c r="G1190" i="6" s="1"/>
  <c r="G1191" i="6" a="1"/>
  <c r="G1191" i="6" s="1"/>
  <c r="G1192" i="6" a="1"/>
  <c r="G1192" i="6" s="1"/>
  <c r="G1193" i="6" a="1"/>
  <c r="G1193" i="6" s="1"/>
  <c r="G1194" i="6" a="1"/>
  <c r="G1194" i="6" s="1"/>
  <c r="G1195" i="6" a="1"/>
  <c r="G1195" i="6" s="1"/>
  <c r="G1196" i="6" a="1"/>
  <c r="G1196" i="6" s="1"/>
  <c r="G1197" i="6" a="1"/>
  <c r="G1197" i="6" s="1"/>
  <c r="G1198" i="6" a="1"/>
  <c r="G1198" i="6" s="1"/>
  <c r="G1199" i="6" a="1"/>
  <c r="G1199" i="6" s="1"/>
  <c r="G1200" i="6" a="1"/>
  <c r="G1200" i="6" s="1"/>
  <c r="G1201" i="6" a="1"/>
  <c r="G1201" i="6" s="1"/>
  <c r="G1202" i="6" a="1"/>
  <c r="G1202" i="6" s="1"/>
  <c r="G1203" i="6" a="1"/>
  <c r="G1203" i="6" s="1"/>
  <c r="G1204" i="6" a="1"/>
  <c r="G1204" i="6" s="1"/>
  <c r="G1205" i="6" a="1"/>
  <c r="G1205" i="6" s="1"/>
  <c r="G1206" i="6" a="1"/>
  <c r="G1206" i="6" s="1"/>
  <c r="G1207" i="6" a="1"/>
  <c r="G1207" i="6" s="1"/>
  <c r="G1208" i="6" a="1"/>
  <c r="G1208" i="6" s="1"/>
  <c r="G1209" i="6" a="1"/>
  <c r="G1209" i="6" s="1"/>
  <c r="G1210" i="6" a="1"/>
  <c r="G1210" i="6" s="1"/>
  <c r="G1211" i="6" a="1"/>
  <c r="G1211" i="6" s="1"/>
  <c r="G1212" i="6" a="1"/>
  <c r="G1212" i="6" s="1"/>
  <c r="G1213" i="6" a="1"/>
  <c r="G1213" i="6" s="1"/>
  <c r="G1214" i="6" a="1"/>
  <c r="G1214" i="6" s="1"/>
  <c r="G1215" i="6" a="1"/>
  <c r="G1215" i="6" s="1"/>
  <c r="G1216" i="6" a="1"/>
  <c r="G1216" i="6" s="1"/>
  <c r="G1217" i="6" a="1"/>
  <c r="G1217" i="6" s="1"/>
  <c r="G1218" i="6" a="1"/>
  <c r="G1218" i="6" s="1"/>
  <c r="G1219" i="6" a="1"/>
  <c r="G1219" i="6" s="1"/>
  <c r="G1220" i="6" a="1"/>
  <c r="G1220" i="6" s="1"/>
  <c r="G1221" i="6" a="1"/>
  <c r="G1221" i="6" s="1"/>
  <c r="G1222" i="6" a="1"/>
  <c r="G1222" i="6" s="1"/>
  <c r="G1223" i="6" a="1"/>
  <c r="G1223" i="6" s="1"/>
  <c r="G1224" i="6" a="1"/>
  <c r="G1224" i="6" s="1"/>
  <c r="G1225" i="6" a="1"/>
  <c r="G1225" i="6" s="1"/>
  <c r="G1226" i="6" a="1"/>
  <c r="G1226" i="6" s="1"/>
  <c r="G1227" i="6" a="1"/>
  <c r="G1227" i="6" s="1"/>
  <c r="G1228" i="6" a="1"/>
  <c r="G1228" i="6" s="1"/>
  <c r="G1229" i="6" a="1"/>
  <c r="G1229" i="6" s="1"/>
  <c r="G1230" i="6" a="1"/>
  <c r="G1230" i="6" s="1"/>
  <c r="G1231" i="6" a="1"/>
  <c r="G1231" i="6" s="1"/>
  <c r="G1232" i="6" a="1"/>
  <c r="G1232" i="6" s="1"/>
  <c r="G1233" i="6" a="1"/>
  <c r="G1233" i="6" s="1"/>
  <c r="G1234" i="6" a="1"/>
  <c r="G1234" i="6" s="1"/>
  <c r="G1235" i="6" a="1"/>
  <c r="G1235" i="6" s="1"/>
  <c r="G1236" i="6" a="1"/>
  <c r="G1236" i="6" s="1"/>
  <c r="G1237" i="6" a="1"/>
  <c r="G1237" i="6" s="1"/>
  <c r="G1238" i="6" a="1"/>
  <c r="G1238" i="6" s="1"/>
  <c r="G1239" i="6" a="1"/>
  <c r="G1239" i="6" s="1"/>
  <c r="G1240" i="6" a="1"/>
  <c r="G1240" i="6" s="1"/>
  <c r="G1241" i="6" a="1"/>
  <c r="G1241" i="6" s="1"/>
  <c r="G1242" i="6" a="1"/>
  <c r="G1242" i="6" s="1"/>
  <c r="G1243" i="6" a="1"/>
  <c r="G1243" i="6" s="1"/>
  <c r="G1244" i="6" a="1"/>
  <c r="G1244" i="6" s="1"/>
  <c r="G1245" i="6" a="1"/>
  <c r="G1245" i="6" s="1"/>
  <c r="G1246" i="6" a="1"/>
  <c r="G1246" i="6" s="1"/>
  <c r="G1247" i="6" a="1"/>
  <c r="G1247" i="6" s="1"/>
  <c r="G1248" i="6" a="1"/>
  <c r="G1248" i="6" s="1"/>
  <c r="G1249" i="6" a="1"/>
  <c r="G1249" i="6" s="1"/>
  <c r="G1250" i="6" a="1"/>
  <c r="G1250" i="6" s="1"/>
  <c r="G1251" i="6" a="1"/>
  <c r="G1251" i="6" s="1"/>
  <c r="G1252" i="6" a="1"/>
  <c r="G1252" i="6" s="1"/>
  <c r="G1253" i="6" a="1"/>
  <c r="G1253" i="6" s="1"/>
  <c r="G1254" i="6" a="1"/>
  <c r="G1254" i="6" s="1"/>
  <c r="G1255" i="6" a="1"/>
  <c r="G1255" i="6" s="1"/>
  <c r="G1256" i="6" a="1"/>
  <c r="G1256" i="6" s="1"/>
  <c r="G1257" i="6" a="1"/>
  <c r="G1257" i="6" s="1"/>
  <c r="G1258" i="6" a="1"/>
  <c r="G1258" i="6" s="1"/>
  <c r="G1259" i="6" a="1"/>
  <c r="G1259" i="6" s="1"/>
  <c r="G1260" i="6" a="1"/>
  <c r="G1260" i="6" s="1"/>
  <c r="G1261" i="6" a="1"/>
  <c r="G1261" i="6" s="1"/>
  <c r="G1262" i="6" a="1"/>
  <c r="G1262" i="6" s="1"/>
  <c r="G1263" i="6" a="1"/>
  <c r="G1263" i="6" s="1"/>
  <c r="G1264" i="6" a="1"/>
  <c r="G1264" i="6" s="1"/>
  <c r="G1265" i="6" a="1"/>
  <c r="G1265" i="6" s="1"/>
  <c r="G1266" i="6" a="1"/>
  <c r="G1266" i="6" s="1"/>
  <c r="G1267" i="6" a="1"/>
  <c r="G1267" i="6" s="1"/>
  <c r="G1268" i="6" a="1"/>
  <c r="G1268" i="6" s="1"/>
  <c r="G1269" i="6" a="1"/>
  <c r="G1269" i="6" s="1"/>
  <c r="G1270" i="6" a="1"/>
  <c r="G1270" i="6" s="1"/>
  <c r="G1271" i="6" a="1"/>
  <c r="G1271" i="6" s="1"/>
  <c r="G1272" i="6" a="1"/>
  <c r="G1272" i="6" s="1"/>
  <c r="G1273" i="6" a="1"/>
  <c r="G1273" i="6" s="1"/>
  <c r="G1274" i="6" a="1"/>
  <c r="G1274" i="6" s="1"/>
  <c r="G1275" i="6" a="1"/>
  <c r="G1275" i="6" s="1"/>
  <c r="G1276" i="6" a="1"/>
  <c r="G1276" i="6" s="1"/>
  <c r="G1277" i="6" a="1"/>
  <c r="G1277" i="6" s="1"/>
  <c r="G1278" i="6" a="1"/>
  <c r="G1278" i="6" s="1"/>
  <c r="G1279" i="6" a="1"/>
  <c r="G1279" i="6" s="1"/>
  <c r="G1280" i="6" a="1"/>
  <c r="G1280" i="6" s="1"/>
  <c r="G1281" i="6" a="1"/>
  <c r="G1281" i="6" s="1"/>
  <c r="G1282" i="6" a="1"/>
  <c r="G1282" i="6" s="1"/>
  <c r="G1283" i="6" a="1"/>
  <c r="G1283" i="6" s="1"/>
  <c r="G1284" i="6" a="1"/>
  <c r="G1284" i="6" s="1"/>
  <c r="G1285" i="6" a="1"/>
  <c r="G1285" i="6" s="1"/>
  <c r="G1286" i="6" a="1"/>
  <c r="G1286" i="6" s="1"/>
  <c r="G1287" i="6" a="1"/>
  <c r="G1287" i="6" s="1"/>
  <c r="G1288" i="6" a="1"/>
  <c r="G1288" i="6" s="1"/>
  <c r="G1289" i="6" a="1"/>
  <c r="G1289" i="6" s="1"/>
  <c r="G1290" i="6" a="1"/>
  <c r="G1290" i="6" s="1"/>
  <c r="G1291" i="6" a="1"/>
  <c r="G1291" i="6" s="1"/>
  <c r="G1292" i="6" a="1"/>
  <c r="G1292" i="6" s="1"/>
  <c r="G1293" i="6" a="1"/>
  <c r="G1293" i="6" s="1"/>
  <c r="G1294" i="6" a="1"/>
  <c r="G1294" i="6" s="1"/>
  <c r="G1295" i="6" a="1"/>
  <c r="G1295" i="6" s="1"/>
  <c r="G1296" i="6" a="1"/>
  <c r="G1296" i="6" s="1"/>
  <c r="G1297" i="6" a="1"/>
  <c r="G1297" i="6" s="1"/>
  <c r="G1298" i="6" a="1"/>
  <c r="G1298" i="6" s="1"/>
  <c r="G1299" i="6" a="1"/>
  <c r="G1299" i="6" s="1"/>
  <c r="G1300" i="6" a="1"/>
  <c r="G1300" i="6" s="1"/>
  <c r="G1301" i="6" a="1"/>
  <c r="G1301" i="6" s="1"/>
  <c r="G1302" i="6" a="1"/>
  <c r="G1302" i="6" s="1"/>
  <c r="G1303" i="6" a="1"/>
  <c r="G1303" i="6" s="1"/>
  <c r="G1304" i="6" a="1"/>
  <c r="G1304" i="6" s="1"/>
  <c r="G1305" i="6" a="1"/>
  <c r="G1305" i="6" s="1"/>
  <c r="G1306" i="6" a="1"/>
  <c r="G1306" i="6" s="1"/>
  <c r="G1307" i="6" a="1"/>
  <c r="G1307" i="6" s="1"/>
  <c r="G1308" i="6" a="1"/>
  <c r="G1308" i="6" s="1"/>
  <c r="G1309" i="6" a="1"/>
  <c r="G1309" i="6" s="1"/>
  <c r="G1310" i="6" a="1"/>
  <c r="G1310" i="6" s="1"/>
  <c r="G1311" i="6" a="1"/>
  <c r="G1311" i="6" s="1"/>
  <c r="G1312" i="6" a="1"/>
  <c r="G1312" i="6" s="1"/>
  <c r="G1313" i="6" a="1"/>
  <c r="G1313" i="6" s="1"/>
  <c r="G1314" i="6" a="1"/>
  <c r="G1314" i="6" s="1"/>
  <c r="G1315" i="6" a="1"/>
  <c r="G1315" i="6" s="1"/>
  <c r="G1316" i="6" a="1"/>
  <c r="G1316" i="6" s="1"/>
  <c r="G1317" i="6" a="1"/>
  <c r="G1317" i="6" s="1"/>
  <c r="G1318" i="6" a="1"/>
  <c r="G1318" i="6" s="1"/>
  <c r="G1319" i="6" a="1"/>
  <c r="G1319" i="6" s="1"/>
  <c r="G1320" i="6" a="1"/>
  <c r="G1320" i="6" s="1"/>
  <c r="G1321" i="6" a="1"/>
  <c r="G1321" i="6" s="1"/>
  <c r="G1322" i="6" a="1"/>
  <c r="G1322" i="6" s="1"/>
  <c r="G1323" i="6" a="1"/>
  <c r="G1323" i="6" s="1"/>
  <c r="G1324" i="6" a="1"/>
  <c r="G1324" i="6" s="1"/>
  <c r="G1325" i="6" a="1"/>
  <c r="G1325" i="6" s="1"/>
  <c r="G1326" i="6" a="1"/>
  <c r="G1326" i="6" s="1"/>
  <c r="G1327" i="6" a="1"/>
  <c r="G1327" i="6" s="1"/>
  <c r="G1328" i="6" a="1"/>
  <c r="G1328" i="6" s="1"/>
  <c r="G1329" i="6" a="1"/>
  <c r="G1329" i="6" s="1"/>
  <c r="G1330" i="6" a="1"/>
  <c r="G1330" i="6" s="1"/>
  <c r="G1331" i="6" a="1"/>
  <c r="G1331" i="6" s="1"/>
  <c r="G1332" i="6" a="1"/>
  <c r="G1332" i="6" s="1"/>
  <c r="G1333" i="6" a="1"/>
  <c r="G1333" i="6" s="1"/>
  <c r="G1334" i="6" a="1"/>
  <c r="G1334" i="6" s="1"/>
  <c r="G1335" i="6" a="1"/>
  <c r="G1335" i="6" s="1"/>
  <c r="G1336" i="6" a="1"/>
  <c r="G1336" i="6" s="1"/>
  <c r="G1337" i="6" a="1"/>
  <c r="G1337" i="6" s="1"/>
  <c r="G1338" i="6" a="1"/>
  <c r="G1338" i="6" s="1"/>
  <c r="G1339" i="6" a="1"/>
  <c r="G1339" i="6" s="1"/>
  <c r="G1340" i="6" a="1"/>
  <c r="G1340" i="6" s="1"/>
  <c r="G1341" i="6" a="1"/>
  <c r="G1341" i="6" s="1"/>
  <c r="G1342" i="6" a="1"/>
  <c r="G1342" i="6" s="1"/>
  <c r="G1343" i="6" a="1"/>
  <c r="G1343" i="6" s="1"/>
  <c r="G1344" i="6" a="1"/>
  <c r="G1344" i="6" s="1"/>
  <c r="G1345" i="6" a="1"/>
  <c r="G1345" i="6" s="1"/>
  <c r="G1346" i="6" a="1"/>
  <c r="G1346" i="6" s="1"/>
  <c r="G1347" i="6" a="1"/>
  <c r="G1347" i="6" s="1"/>
  <c r="G1348" i="6" a="1"/>
  <c r="G1348" i="6" s="1"/>
  <c r="G1349" i="6" a="1"/>
  <c r="G1349" i="6" s="1"/>
  <c r="G1350" i="6" a="1"/>
  <c r="G1350" i="6" s="1"/>
  <c r="G1351" i="6" a="1"/>
  <c r="G1351" i="6" s="1"/>
  <c r="G1352" i="6" a="1"/>
  <c r="G1352" i="6" s="1"/>
  <c r="G1353" i="6" a="1"/>
  <c r="G1353" i="6" s="1"/>
  <c r="G1354" i="6" a="1"/>
  <c r="G1354" i="6" s="1"/>
  <c r="G1355" i="6" a="1"/>
  <c r="G1355" i="6" s="1"/>
  <c r="G1356" i="6" a="1"/>
  <c r="G1356" i="6" s="1"/>
  <c r="G1357" i="6" a="1"/>
  <c r="G1357" i="6" s="1"/>
  <c r="G1358" i="6" a="1"/>
  <c r="G1358" i="6" s="1"/>
  <c r="G1359" i="6" a="1"/>
  <c r="G1359" i="6" s="1"/>
  <c r="G1360" i="6" a="1"/>
  <c r="G1360" i="6" s="1"/>
  <c r="G1361" i="6" a="1"/>
  <c r="G1361" i="6" s="1"/>
  <c r="G1362" i="6" a="1"/>
  <c r="G1362" i="6" s="1"/>
  <c r="G1363" i="6" a="1"/>
  <c r="G1363" i="6" s="1"/>
  <c r="G1364" i="6" a="1"/>
  <c r="G1364" i="6" s="1"/>
  <c r="G1365" i="6" a="1"/>
  <c r="G1365" i="6" s="1"/>
  <c r="G1366" i="6" a="1"/>
  <c r="G1366" i="6" s="1"/>
  <c r="G1367" i="6" a="1"/>
  <c r="G1367" i="6" s="1"/>
  <c r="G1368" i="6" a="1"/>
  <c r="G1368" i="6" s="1"/>
  <c r="G1369" i="6" a="1"/>
  <c r="G1369" i="6" s="1"/>
  <c r="G1370" i="6" a="1"/>
  <c r="G1370" i="6" s="1"/>
  <c r="G1371" i="6" a="1"/>
  <c r="G1371" i="6" s="1"/>
  <c r="G1372" i="6" a="1"/>
  <c r="G1372" i="6" s="1"/>
  <c r="G1373" i="6" a="1"/>
  <c r="G1373" i="6" s="1"/>
  <c r="G1374" i="6" a="1"/>
  <c r="G1374" i="6" s="1"/>
  <c r="G1375" i="6" a="1"/>
  <c r="G1375" i="6" s="1"/>
  <c r="G1376" i="6" a="1"/>
  <c r="G1376" i="6" s="1"/>
  <c r="G1377" i="6" a="1"/>
  <c r="G1377" i="6" s="1"/>
  <c r="G1378" i="6" a="1"/>
  <c r="G1378" i="6" s="1"/>
  <c r="G1379" i="6" a="1"/>
  <c r="G1379" i="6" s="1"/>
  <c r="G1380" i="6" a="1"/>
  <c r="G1380" i="6" s="1"/>
  <c r="G1381" i="6" a="1"/>
  <c r="G1381" i="6" s="1"/>
  <c r="G1382" i="6" a="1"/>
  <c r="G1382" i="6" s="1"/>
  <c r="G1383" i="6" a="1"/>
  <c r="G1383" i="6" s="1"/>
  <c r="G1384" i="6" a="1"/>
  <c r="G1384" i="6" s="1"/>
  <c r="G1385" i="6" a="1"/>
  <c r="G1385" i="6" s="1"/>
  <c r="G1386" i="6" a="1"/>
  <c r="G1386" i="6" s="1"/>
  <c r="G1387" i="6" a="1"/>
  <c r="G1387" i="6" s="1"/>
  <c r="G1388" i="6" a="1"/>
  <c r="G1388" i="6" s="1"/>
  <c r="G1389" i="6" a="1"/>
  <c r="G1389" i="6" s="1"/>
  <c r="G1390" i="6" a="1"/>
  <c r="G1390" i="6" s="1"/>
  <c r="G1391" i="6" a="1"/>
  <c r="G1391" i="6" s="1"/>
  <c r="G1392" i="6" a="1"/>
  <c r="G1392" i="6" s="1"/>
  <c r="G1393" i="6" a="1"/>
  <c r="G1393" i="6" s="1"/>
  <c r="G1394" i="6" a="1"/>
  <c r="G1394" i="6" s="1"/>
  <c r="G1395" i="6" a="1"/>
  <c r="G1395" i="6" s="1"/>
  <c r="G1396" i="6" a="1"/>
  <c r="G1396" i="6" s="1"/>
  <c r="G1397" i="6" a="1"/>
  <c r="G1397" i="6" s="1"/>
  <c r="G1398" i="6" a="1"/>
  <c r="G1398" i="6" s="1"/>
  <c r="G1399" i="6" a="1"/>
  <c r="G1399" i="6" s="1"/>
  <c r="G1400" i="6" a="1"/>
  <c r="G1400" i="6" s="1"/>
  <c r="G1401" i="6" a="1"/>
  <c r="G1401" i="6" s="1"/>
  <c r="G1402" i="6" a="1"/>
  <c r="G1402" i="6" s="1"/>
  <c r="G1403" i="6" a="1"/>
  <c r="G1403" i="6" s="1"/>
  <c r="G1404" i="6" a="1"/>
  <c r="G1404" i="6" s="1"/>
  <c r="G1405" i="6" a="1"/>
  <c r="G1405" i="6" s="1"/>
  <c r="G1406" i="6" a="1"/>
  <c r="G1406" i="6" s="1"/>
  <c r="G1407" i="6" a="1"/>
  <c r="G1407" i="6" s="1"/>
  <c r="G1408" i="6" a="1"/>
  <c r="G1408" i="6" s="1"/>
  <c r="G1409" i="6" a="1"/>
  <c r="G1409" i="6" s="1"/>
  <c r="G1410" i="6" a="1"/>
  <c r="G1410" i="6" s="1"/>
  <c r="G1411" i="6" a="1"/>
  <c r="G1411" i="6" s="1"/>
  <c r="G1412" i="6" a="1"/>
  <c r="G1412" i="6" s="1"/>
  <c r="G1413" i="6" a="1"/>
  <c r="G1413" i="6" s="1"/>
  <c r="G1414" i="6" a="1"/>
  <c r="G1414" i="6" s="1"/>
  <c r="G1415" i="6" a="1"/>
  <c r="G1415" i="6" s="1"/>
  <c r="G1416" i="6" a="1"/>
  <c r="G1416" i="6" s="1"/>
  <c r="G1417" i="6" a="1"/>
  <c r="G1417" i="6" s="1"/>
  <c r="G1418" i="6" a="1"/>
  <c r="G1418" i="6" s="1"/>
  <c r="G1419" i="6" a="1"/>
  <c r="G1419" i="6" s="1"/>
  <c r="G1420" i="6" a="1"/>
  <c r="G1420" i="6" s="1"/>
  <c r="G1421" i="6" a="1"/>
  <c r="G1421" i="6" s="1"/>
  <c r="G1422" i="6" a="1"/>
  <c r="G1422" i="6" s="1"/>
  <c r="G1423" i="6" a="1"/>
  <c r="G1423" i="6" s="1"/>
  <c r="G1424" i="6" a="1"/>
  <c r="G1424" i="6" s="1"/>
  <c r="G1425" i="6" a="1"/>
  <c r="G1425" i="6" s="1"/>
  <c r="G1426" i="6" a="1"/>
  <c r="G1426" i="6" s="1"/>
  <c r="G1427" i="6" a="1"/>
  <c r="G1427" i="6" s="1"/>
  <c r="G1428" i="6" a="1"/>
  <c r="G1428" i="6" s="1"/>
  <c r="G1429" i="6" a="1"/>
  <c r="G1429" i="6" s="1"/>
  <c r="G1430" i="6" a="1"/>
  <c r="G1430" i="6" s="1"/>
  <c r="G1431" i="6" a="1"/>
  <c r="G1431" i="6" s="1"/>
  <c r="G1432" i="6" a="1"/>
  <c r="G1432" i="6" s="1"/>
  <c r="G1433" i="6" a="1"/>
  <c r="G1433" i="6" s="1"/>
  <c r="G1434" i="6" a="1"/>
  <c r="G1434" i="6" s="1"/>
  <c r="G1435" i="6" a="1"/>
  <c r="G1435" i="6" s="1"/>
  <c r="G1436" i="6" a="1"/>
  <c r="G1436" i="6" s="1"/>
  <c r="G1437" i="6" a="1"/>
  <c r="G1437" i="6" s="1"/>
  <c r="G1438" i="6" a="1"/>
  <c r="G1438" i="6" s="1"/>
  <c r="G1439" i="6" a="1"/>
  <c r="G1439" i="6" s="1"/>
  <c r="G1440" i="6" a="1"/>
  <c r="G1440" i="6" s="1"/>
  <c r="G1441" i="6" a="1"/>
  <c r="G1441" i="6" s="1"/>
  <c r="G1442" i="6" a="1"/>
  <c r="G1442" i="6" s="1"/>
  <c r="G1443" i="6" a="1"/>
  <c r="G1443" i="6" s="1"/>
  <c r="G1444" i="6" a="1"/>
  <c r="G1444" i="6" s="1"/>
  <c r="G1445" i="6" a="1"/>
  <c r="G1445" i="6" s="1"/>
  <c r="G1446" i="6" a="1"/>
  <c r="G1446" i="6" s="1"/>
  <c r="G1447" i="6" a="1"/>
  <c r="G1447" i="6" s="1"/>
  <c r="G1448" i="6" a="1"/>
  <c r="G1448" i="6" s="1"/>
  <c r="G1449" i="6" a="1"/>
  <c r="G1449" i="6" s="1"/>
  <c r="G1450" i="6" a="1"/>
  <c r="G1450" i="6" s="1"/>
  <c r="G1451" i="6" a="1"/>
  <c r="G1451" i="6" s="1"/>
  <c r="G1452" i="6" a="1"/>
  <c r="G1452" i="6" s="1"/>
  <c r="G1453" i="6" a="1"/>
  <c r="G1453" i="6" s="1"/>
  <c r="G1454" i="6" a="1"/>
  <c r="G1454" i="6" s="1"/>
  <c r="G1455" i="6" a="1"/>
  <c r="G1455" i="6" s="1"/>
  <c r="G1456" i="6" a="1"/>
  <c r="G1456" i="6" s="1"/>
  <c r="G1457" i="6" a="1"/>
  <c r="G1457" i="6" s="1"/>
  <c r="G1458" i="6" a="1"/>
  <c r="G1458" i="6" s="1"/>
  <c r="G1459" i="6" a="1"/>
  <c r="G1459" i="6" s="1"/>
  <c r="G1460" i="6" a="1"/>
  <c r="G1460" i="6" s="1"/>
  <c r="G1461" i="6" a="1"/>
  <c r="G1461" i="6" s="1"/>
  <c r="G1462" i="6" a="1"/>
  <c r="G1462" i="6" s="1"/>
  <c r="G1463" i="6" a="1"/>
  <c r="G1463" i="6" s="1"/>
  <c r="G1464" i="6" a="1"/>
  <c r="G1464" i="6" s="1"/>
  <c r="G1465" i="6" a="1"/>
  <c r="G1465" i="6" s="1"/>
  <c r="G1466" i="6" a="1"/>
  <c r="G1466" i="6" s="1"/>
  <c r="G1467" i="6" a="1"/>
  <c r="G1467" i="6" s="1"/>
  <c r="G1468" i="6" a="1"/>
  <c r="G1468" i="6" s="1"/>
  <c r="G1469" i="6" a="1"/>
  <c r="G1469" i="6" s="1"/>
  <c r="G1470" i="6" a="1"/>
  <c r="G1470" i="6" s="1"/>
  <c r="G1471" i="6" a="1"/>
  <c r="G1471" i="6" s="1"/>
  <c r="G1472" i="6" a="1"/>
  <c r="G1472" i="6" s="1"/>
  <c r="G1473" i="6" a="1"/>
  <c r="G1473" i="6" s="1"/>
  <c r="G1474" i="6" a="1"/>
  <c r="G1474" i="6" s="1"/>
  <c r="G1475" i="6" a="1"/>
  <c r="G1475" i="6" s="1"/>
  <c r="G1476" i="6" a="1"/>
  <c r="G1476" i="6" s="1"/>
  <c r="G1477" i="6" a="1"/>
  <c r="G1477" i="6" s="1"/>
  <c r="G1478" i="6" a="1"/>
  <c r="G1478" i="6" s="1"/>
  <c r="G1479" i="6" a="1"/>
  <c r="G1479" i="6" s="1"/>
  <c r="G1480" i="6" a="1"/>
  <c r="G1480" i="6" s="1"/>
  <c r="G1481" i="6" a="1"/>
  <c r="G1481" i="6" s="1"/>
  <c r="G1482" i="6" a="1"/>
  <c r="G1482" i="6" s="1"/>
  <c r="G1483" i="6" a="1"/>
  <c r="G1483" i="6" s="1"/>
  <c r="G1484" i="6" a="1"/>
  <c r="G1484" i="6" s="1"/>
  <c r="G1485" i="6" a="1"/>
  <c r="G1485" i="6" s="1"/>
  <c r="G1486" i="6" a="1"/>
  <c r="G1486" i="6" s="1"/>
  <c r="G1487" i="6" a="1"/>
  <c r="G1487" i="6" s="1"/>
  <c r="G1488" i="6" a="1"/>
  <c r="G1488" i="6" s="1"/>
  <c r="G1489" i="6" a="1"/>
  <c r="G1489" i="6" s="1"/>
  <c r="G1490" i="6" a="1"/>
  <c r="G1490" i="6" s="1"/>
  <c r="G1491" i="6" a="1"/>
  <c r="G1491" i="6" s="1"/>
  <c r="G1492" i="6" a="1"/>
  <c r="G1492" i="6" s="1"/>
  <c r="G1493" i="6" a="1"/>
  <c r="G1493" i="6" s="1"/>
  <c r="G1494" i="6" a="1"/>
  <c r="G1494" i="6" s="1"/>
  <c r="G1495" i="6" a="1"/>
  <c r="G1495" i="6" s="1"/>
  <c r="G1496" i="6" a="1"/>
  <c r="G1496" i="6" s="1"/>
  <c r="G1497" i="6" a="1"/>
  <c r="G1497" i="6" s="1"/>
  <c r="G1498" i="6" a="1"/>
  <c r="G1498" i="6" s="1"/>
  <c r="G1499" i="6" a="1"/>
  <c r="G1499" i="6" s="1"/>
  <c r="G1500" i="6" a="1"/>
  <c r="G1500" i="6" s="1"/>
  <c r="G1501" i="6" a="1"/>
  <c r="G1501" i="6" s="1"/>
  <c r="G1502" i="6" a="1"/>
  <c r="G1502" i="6" s="1"/>
  <c r="G1503" i="6" a="1"/>
  <c r="G1503" i="6" s="1"/>
  <c r="G1504" i="6" a="1"/>
  <c r="G1504" i="6" s="1"/>
  <c r="G1505" i="6" a="1"/>
  <c r="G1505" i="6" s="1"/>
  <c r="G1506" i="6" a="1"/>
  <c r="G1506" i="6" s="1"/>
  <c r="G1507" i="6" a="1"/>
  <c r="G1507" i="6" s="1"/>
  <c r="G1508" i="6" a="1"/>
  <c r="G1508" i="6" s="1"/>
  <c r="G1509" i="6" a="1"/>
  <c r="G1509" i="6" s="1"/>
  <c r="G1510" i="6" a="1"/>
  <c r="G1510" i="6" s="1"/>
  <c r="G1511" i="6" a="1"/>
  <c r="G1511" i="6" s="1"/>
  <c r="G1512" i="6" a="1"/>
  <c r="G1512" i="6" s="1"/>
  <c r="G1513" i="6" a="1"/>
  <c r="G1513" i="6" s="1"/>
  <c r="G1514" i="6" a="1"/>
  <c r="G1514" i="6" s="1"/>
  <c r="G1515" i="6" a="1"/>
  <c r="G1515" i="6" s="1"/>
  <c r="G1516" i="6" a="1"/>
  <c r="G1516" i="6" s="1"/>
  <c r="G1517" i="6" a="1"/>
  <c r="G1517" i="6" s="1"/>
  <c r="G1518" i="6" a="1"/>
  <c r="G1518" i="6" s="1"/>
  <c r="G1519" i="6" a="1"/>
  <c r="G1519" i="6" s="1"/>
  <c r="G1520" i="6" a="1"/>
  <c r="G1520" i="6" s="1"/>
  <c r="G1521" i="6" a="1"/>
  <c r="G1521" i="6" s="1"/>
  <c r="G1522" i="6" a="1"/>
  <c r="G1522" i="6" s="1"/>
  <c r="G1523" i="6" a="1"/>
  <c r="G1523" i="6" s="1"/>
  <c r="G1524" i="6" a="1"/>
  <c r="G1524" i="6" s="1"/>
  <c r="G1525" i="6" a="1"/>
  <c r="G1525" i="6" s="1"/>
  <c r="G1526" i="6" a="1"/>
  <c r="G1526" i="6" s="1"/>
  <c r="G1527" i="6" a="1"/>
  <c r="G1527" i="6" s="1"/>
  <c r="G1528" i="6" a="1"/>
  <c r="G1528" i="6" s="1"/>
  <c r="G1529" i="6" a="1"/>
  <c r="G1529" i="6" s="1"/>
  <c r="G1530" i="6" a="1"/>
  <c r="G1530" i="6" s="1"/>
  <c r="G1531" i="6" a="1"/>
  <c r="G1531" i="6" s="1"/>
  <c r="G1532" i="6" a="1"/>
  <c r="G1532" i="6" s="1"/>
  <c r="G1533" i="6" a="1"/>
  <c r="G1533" i="6" s="1"/>
  <c r="G1534" i="6" a="1"/>
  <c r="G1534" i="6" s="1"/>
  <c r="G1535" i="6" a="1"/>
  <c r="G1535" i="6" s="1"/>
  <c r="G1536" i="6" a="1"/>
  <c r="G1536" i="6" s="1"/>
  <c r="G1537" i="6" a="1"/>
  <c r="G1537" i="6" s="1"/>
  <c r="G1538" i="6" a="1"/>
  <c r="G1538" i="6" s="1"/>
  <c r="G1539" i="6" a="1"/>
  <c r="G1539" i="6" s="1"/>
  <c r="G1540" i="6" a="1"/>
  <c r="G1540" i="6" s="1"/>
  <c r="G1541" i="6" a="1"/>
  <c r="G1541" i="6" s="1"/>
  <c r="G1542" i="6" a="1"/>
  <c r="G1542" i="6" s="1"/>
  <c r="G1543" i="6" a="1"/>
  <c r="G1543" i="6" s="1"/>
  <c r="G1544" i="6" a="1"/>
  <c r="G1544" i="6" s="1"/>
  <c r="G1545" i="6" a="1"/>
  <c r="G1545" i="6" s="1"/>
  <c r="G1546" i="6" a="1"/>
  <c r="G1546" i="6" s="1"/>
  <c r="G1547" i="6" a="1"/>
  <c r="G1547" i="6" s="1"/>
  <c r="G1548" i="6" a="1"/>
  <c r="G1548" i="6" s="1"/>
  <c r="G1549" i="6" a="1"/>
  <c r="G1549" i="6" s="1"/>
  <c r="G1550" i="6" a="1"/>
  <c r="G1550" i="6" s="1"/>
  <c r="G1551" i="6" a="1"/>
  <c r="G1551" i="6" s="1"/>
  <c r="G1552" i="6" a="1"/>
  <c r="G1552" i="6" s="1"/>
  <c r="G1553" i="6" a="1"/>
  <c r="G1553" i="6" s="1"/>
  <c r="G1554" i="6" a="1"/>
  <c r="G1554" i="6" s="1"/>
  <c r="G1555" i="6" a="1"/>
  <c r="G1555" i="6" s="1"/>
  <c r="G1556" i="6" a="1"/>
  <c r="G1556" i="6" s="1"/>
  <c r="G1557" i="6" a="1"/>
  <c r="G1557" i="6" s="1"/>
  <c r="G1558" i="6" a="1"/>
  <c r="G1558" i="6" s="1"/>
  <c r="G1559" i="6" a="1"/>
  <c r="G1559" i="6" s="1"/>
  <c r="G1560" i="6" a="1"/>
  <c r="G1560" i="6" s="1"/>
  <c r="G1561" i="6" a="1"/>
  <c r="G1561" i="6" s="1"/>
  <c r="G1562" i="6" a="1"/>
  <c r="G1562" i="6" s="1"/>
  <c r="G1563" i="6" a="1"/>
  <c r="G1563" i="6" s="1"/>
  <c r="G1564" i="6" a="1"/>
  <c r="G1564" i="6" s="1"/>
  <c r="G1565" i="6" a="1"/>
  <c r="G1565" i="6" s="1"/>
  <c r="G1566" i="6" a="1"/>
  <c r="G1566" i="6" s="1"/>
  <c r="G1567" i="6" a="1"/>
  <c r="G1567" i="6" s="1"/>
  <c r="G1568" i="6" a="1"/>
  <c r="G1568" i="6" s="1"/>
  <c r="G1569" i="6" a="1"/>
  <c r="G1569" i="6" s="1"/>
  <c r="G1570" i="6" a="1"/>
  <c r="G1570" i="6" s="1"/>
  <c r="G1571" i="6" a="1"/>
  <c r="G1571" i="6" s="1"/>
  <c r="G1572" i="6" a="1"/>
  <c r="G1572" i="6" s="1"/>
  <c r="G1573" i="6" a="1"/>
  <c r="G1573" i="6" s="1"/>
  <c r="G1574" i="6" a="1"/>
  <c r="G1574" i="6" s="1"/>
  <c r="G1575" i="6" a="1"/>
  <c r="G1575" i="6" s="1"/>
  <c r="G1576" i="6" a="1"/>
  <c r="G1576" i="6" s="1"/>
  <c r="G1577" i="6" a="1"/>
  <c r="G1577" i="6" s="1"/>
  <c r="G1578" i="6" a="1"/>
  <c r="G1578" i="6" s="1"/>
  <c r="G1579" i="6" a="1"/>
  <c r="G1579" i="6" s="1"/>
  <c r="G1580" i="6" a="1"/>
  <c r="G1580" i="6" s="1"/>
  <c r="G1581" i="6" a="1"/>
  <c r="G1581" i="6" s="1"/>
  <c r="G1582" i="6" a="1"/>
  <c r="G1582" i="6" s="1"/>
  <c r="G1583" i="6" a="1"/>
  <c r="G1583" i="6" s="1"/>
  <c r="G1584" i="6" a="1"/>
  <c r="G1584" i="6" s="1"/>
  <c r="G1585" i="6" a="1"/>
  <c r="G1585" i="6" s="1"/>
  <c r="G1586" i="6" a="1"/>
  <c r="G1586" i="6" s="1"/>
  <c r="G1587" i="6" a="1"/>
  <c r="G1587" i="6" s="1"/>
  <c r="G1588" i="6" a="1"/>
  <c r="G1588" i="6" s="1"/>
  <c r="G1589" i="6" a="1"/>
  <c r="G1589" i="6" s="1"/>
  <c r="G1590" i="6" a="1"/>
  <c r="G1590" i="6" s="1"/>
  <c r="G1591" i="6" a="1"/>
  <c r="G1591" i="6" s="1"/>
  <c r="G1592" i="6" a="1"/>
  <c r="G1592" i="6" s="1"/>
  <c r="G1593" i="6" a="1"/>
  <c r="G1593" i="6" s="1"/>
  <c r="G1594" i="6" a="1"/>
  <c r="G1594" i="6" s="1"/>
  <c r="G1595" i="6" a="1"/>
  <c r="G1595" i="6" s="1"/>
  <c r="G1596" i="6" a="1"/>
  <c r="G1596" i="6" s="1"/>
  <c r="G1597" i="6" a="1"/>
  <c r="G1597" i="6" s="1"/>
  <c r="G1598" i="6" a="1"/>
  <c r="G1598" i="6" s="1"/>
  <c r="G1599" i="6" a="1"/>
  <c r="G1599" i="6" s="1"/>
  <c r="G1600" i="6" a="1"/>
  <c r="G1600" i="6" s="1"/>
  <c r="G1601" i="6" a="1"/>
  <c r="G1601" i="6" s="1"/>
  <c r="G1602" i="6" a="1"/>
  <c r="G1602" i="6" s="1"/>
  <c r="G1603" i="6" a="1"/>
  <c r="G1603" i="6" s="1"/>
  <c r="G1604" i="6" a="1"/>
  <c r="G1604" i="6" s="1"/>
  <c r="G1605" i="6" a="1"/>
  <c r="G1605" i="6" s="1"/>
  <c r="G1606" i="6" a="1"/>
  <c r="G1606" i="6" s="1"/>
  <c r="G1607" i="6" a="1"/>
  <c r="G1607" i="6" s="1"/>
  <c r="G1608" i="6" a="1"/>
  <c r="G1608" i="6" s="1"/>
  <c r="G1609" i="6" a="1"/>
  <c r="G1609" i="6" s="1"/>
  <c r="G1610" i="6" a="1"/>
  <c r="G1610" i="6" s="1"/>
  <c r="G1611" i="6" a="1"/>
  <c r="G1611" i="6" s="1"/>
  <c r="G1612" i="6" a="1"/>
  <c r="G1612" i="6" s="1"/>
  <c r="G1613" i="6" a="1"/>
  <c r="G1613" i="6" s="1"/>
  <c r="G1614" i="6" a="1"/>
  <c r="G1614" i="6" s="1"/>
  <c r="G1615" i="6" a="1"/>
  <c r="G1615" i="6" s="1"/>
  <c r="G1616" i="6" a="1"/>
  <c r="G1616" i="6" s="1"/>
  <c r="G1617" i="6" a="1"/>
  <c r="G1617" i="6" s="1"/>
  <c r="G1618" i="6" a="1"/>
  <c r="G1618" i="6" s="1"/>
  <c r="G1619" i="6" a="1"/>
  <c r="G1619" i="6" s="1"/>
  <c r="G1620" i="6" a="1"/>
  <c r="G1620" i="6" s="1"/>
  <c r="G1621" i="6" a="1"/>
  <c r="G1621" i="6" s="1"/>
  <c r="G1622" i="6" a="1"/>
  <c r="G1622" i="6" s="1"/>
  <c r="G1623" i="6" a="1"/>
  <c r="G1623" i="6" s="1"/>
  <c r="G1624" i="6" a="1"/>
  <c r="G1624" i="6" s="1"/>
  <c r="G1625" i="6" a="1"/>
  <c r="G1625" i="6" s="1"/>
  <c r="G1626" i="6" a="1"/>
  <c r="G1626" i="6" s="1"/>
  <c r="G1627" i="6" a="1"/>
  <c r="G1627" i="6" s="1"/>
  <c r="G1628" i="6" a="1"/>
  <c r="G1628" i="6" s="1"/>
  <c r="G1629" i="6" a="1"/>
  <c r="G1629" i="6" s="1"/>
  <c r="G1630" i="6" a="1"/>
  <c r="G1630" i="6" s="1"/>
  <c r="G1631" i="6" a="1"/>
  <c r="G1631" i="6" s="1"/>
  <c r="G1632" i="6" a="1"/>
  <c r="G1632" i="6" s="1"/>
  <c r="G1633" i="6" a="1"/>
  <c r="G1633" i="6" s="1"/>
  <c r="G1634" i="6" a="1"/>
  <c r="G1634" i="6" s="1"/>
  <c r="G1635" i="6" a="1"/>
  <c r="G1635" i="6" s="1"/>
  <c r="G1636" i="6" a="1"/>
  <c r="G1636" i="6" s="1"/>
  <c r="G1637" i="6" a="1"/>
  <c r="G1637" i="6" s="1"/>
  <c r="G1638" i="6" a="1"/>
  <c r="G1638" i="6" s="1"/>
  <c r="G1639" i="6" a="1"/>
  <c r="G1639" i="6" s="1"/>
  <c r="G1640" i="6" a="1"/>
  <c r="G1640" i="6" s="1"/>
  <c r="G1641" i="6" a="1"/>
  <c r="G1641" i="6" s="1"/>
  <c r="G1642" i="6" a="1"/>
  <c r="G1642" i="6" s="1"/>
  <c r="G1643" i="6" a="1"/>
  <c r="G1643" i="6" s="1"/>
  <c r="G1644" i="6" a="1"/>
  <c r="G1644" i="6" s="1"/>
  <c r="G1645" i="6" a="1"/>
  <c r="G1645" i="6" s="1"/>
  <c r="G1646" i="6" a="1"/>
  <c r="G1646" i="6" s="1"/>
  <c r="G1647" i="6" a="1"/>
  <c r="G1647" i="6" s="1"/>
  <c r="G1648" i="6" a="1"/>
  <c r="G1648" i="6" s="1"/>
  <c r="G1649" i="6" a="1"/>
  <c r="G1649" i="6" s="1"/>
  <c r="G1650" i="6" a="1"/>
  <c r="G1650" i="6" s="1"/>
  <c r="G1651" i="6" a="1"/>
  <c r="G1651" i="6" s="1"/>
  <c r="G1652" i="6" a="1"/>
  <c r="G1652" i="6" s="1"/>
  <c r="G1653" i="6" a="1"/>
  <c r="G1653" i="6" s="1"/>
  <c r="G1654" i="6" a="1"/>
  <c r="G1654" i="6" s="1"/>
  <c r="G1655" i="6" a="1"/>
  <c r="G1655" i="6" s="1"/>
  <c r="G1656" i="6" a="1"/>
  <c r="G1656" i="6" s="1"/>
  <c r="G1657" i="6" a="1"/>
  <c r="G1657" i="6" s="1"/>
  <c r="G1658" i="6" a="1"/>
  <c r="G1658" i="6" s="1"/>
  <c r="G1659" i="6" a="1"/>
  <c r="G1659" i="6" s="1"/>
  <c r="G1660" i="6" a="1"/>
  <c r="G1660" i="6" s="1"/>
  <c r="G1661" i="6" a="1"/>
  <c r="G1661" i="6" s="1"/>
  <c r="G1662" i="6" a="1"/>
  <c r="G1662" i="6" s="1"/>
  <c r="G1663" i="6" a="1"/>
  <c r="G1663" i="6" s="1"/>
  <c r="G1664" i="6" a="1"/>
  <c r="G1664" i="6" s="1"/>
  <c r="G1665" i="6" a="1"/>
  <c r="G1665" i="6" s="1"/>
  <c r="G1666" i="6" a="1"/>
  <c r="G1666" i="6" s="1"/>
  <c r="G1667" i="6" a="1"/>
  <c r="G1667" i="6" s="1"/>
  <c r="G1668" i="6" a="1"/>
  <c r="G1668" i="6" s="1"/>
  <c r="G1669" i="6" a="1"/>
  <c r="G1669" i="6" s="1"/>
  <c r="G1670" i="6" a="1"/>
  <c r="G1670" i="6" s="1"/>
  <c r="G1671" i="6" a="1"/>
  <c r="G1671" i="6" s="1"/>
  <c r="G1672" i="6" a="1"/>
  <c r="G1672" i="6" s="1"/>
  <c r="G1673" i="6" a="1"/>
  <c r="G1673" i="6" s="1"/>
  <c r="G1674" i="6" a="1"/>
  <c r="G1674" i="6" s="1"/>
  <c r="G1675" i="6" a="1"/>
  <c r="G1675" i="6" s="1"/>
  <c r="G1676" i="6" a="1"/>
  <c r="G1676" i="6" s="1"/>
  <c r="G1677" i="6" a="1"/>
  <c r="G1677" i="6" s="1"/>
  <c r="G1678" i="6" a="1"/>
  <c r="G1678" i="6" s="1"/>
  <c r="G1679" i="6" a="1"/>
  <c r="G1679" i="6" s="1"/>
  <c r="G1680" i="6" a="1"/>
  <c r="G1680" i="6" s="1"/>
  <c r="G1681" i="6" a="1"/>
  <c r="G1681" i="6" s="1"/>
  <c r="G1682" i="6" a="1"/>
  <c r="G1682" i="6" s="1"/>
  <c r="G1683" i="6" a="1"/>
  <c r="G1683" i="6" s="1"/>
  <c r="G1684" i="6" a="1"/>
  <c r="G1684" i="6" s="1"/>
  <c r="G1685" i="6" a="1"/>
  <c r="G1685" i="6" s="1"/>
  <c r="G1686" i="6" a="1"/>
  <c r="G1686" i="6" s="1"/>
  <c r="G1687" i="6" a="1"/>
  <c r="G1687" i="6" s="1"/>
  <c r="G1688" i="6" a="1"/>
  <c r="G1688" i="6" s="1"/>
  <c r="G1689" i="6" a="1"/>
  <c r="G1689" i="6" s="1"/>
  <c r="G1690" i="6" a="1"/>
  <c r="G1690" i="6" s="1"/>
  <c r="G1691" i="6" a="1"/>
  <c r="G1691" i="6" s="1"/>
  <c r="G1692" i="6" a="1"/>
  <c r="G1692" i="6" s="1"/>
  <c r="G1693" i="6" a="1"/>
  <c r="G1693" i="6" s="1"/>
  <c r="G1694" i="6" a="1"/>
  <c r="G1694" i="6" s="1"/>
  <c r="G1695" i="6" a="1"/>
  <c r="G1695" i="6" s="1"/>
  <c r="G1696" i="6" a="1"/>
  <c r="G1696" i="6" s="1"/>
  <c r="G1697" i="6" a="1"/>
  <c r="G1697" i="6" s="1"/>
  <c r="G1698" i="6" a="1"/>
  <c r="G1698" i="6" s="1"/>
  <c r="G1699" i="6" a="1"/>
  <c r="G1699" i="6" s="1"/>
  <c r="G1700" i="6" a="1"/>
  <c r="G1700" i="6" s="1"/>
  <c r="G1701" i="6" a="1"/>
  <c r="G1701" i="6" s="1"/>
  <c r="G1702" i="6" a="1"/>
  <c r="G1702" i="6" s="1"/>
  <c r="G1703" i="6" a="1"/>
  <c r="G1703" i="6" s="1"/>
  <c r="G1704" i="6" a="1"/>
  <c r="G1704" i="6" s="1"/>
  <c r="G1705" i="6" a="1"/>
  <c r="G1705" i="6" s="1"/>
  <c r="G1706" i="6" a="1"/>
  <c r="G1706" i="6" s="1"/>
  <c r="G1707" i="6" a="1"/>
  <c r="G1707" i="6" s="1"/>
  <c r="G1708" i="6" a="1"/>
  <c r="G1708" i="6" s="1"/>
  <c r="G1709" i="6" a="1"/>
  <c r="G1709" i="6" s="1"/>
  <c r="G1710" i="6" a="1"/>
  <c r="G1710" i="6" s="1"/>
  <c r="G1711" i="6" a="1"/>
  <c r="G1711" i="6" s="1"/>
  <c r="G1712" i="6" a="1"/>
  <c r="G1712" i="6" s="1"/>
  <c r="G1713" i="6" a="1"/>
  <c r="G1713" i="6" s="1"/>
  <c r="G1714" i="6" a="1"/>
  <c r="G1714" i="6" s="1"/>
  <c r="G1715" i="6" a="1"/>
  <c r="G1715" i="6" s="1"/>
  <c r="G1716" i="6" a="1"/>
  <c r="G1716" i="6" s="1"/>
  <c r="G1717" i="6" a="1"/>
  <c r="G1717" i="6" s="1"/>
  <c r="G1718" i="6" a="1"/>
  <c r="G1718" i="6" s="1"/>
  <c r="G1719" i="6" a="1"/>
  <c r="G1719" i="6" s="1"/>
  <c r="G1720" i="6" a="1"/>
  <c r="G1720" i="6" s="1"/>
  <c r="G1721" i="6" a="1"/>
  <c r="G1721" i="6" s="1"/>
  <c r="G1722" i="6" a="1"/>
  <c r="G1722" i="6" s="1"/>
  <c r="G1723" i="6" a="1"/>
  <c r="G1723" i="6" s="1"/>
  <c r="G1724" i="6" a="1"/>
  <c r="G1724" i="6" s="1"/>
  <c r="G1725" i="6" a="1"/>
  <c r="G1725" i="6" s="1"/>
  <c r="G1726" i="6" a="1"/>
  <c r="G1726" i="6" s="1"/>
  <c r="G1727" i="6" a="1"/>
  <c r="G1727" i="6" s="1"/>
  <c r="G1728" i="6" a="1"/>
  <c r="G1728" i="6" s="1"/>
  <c r="G1729" i="6" a="1"/>
  <c r="G1729" i="6" s="1"/>
  <c r="G1730" i="6" a="1"/>
  <c r="G1730" i="6" s="1"/>
  <c r="G1731" i="6" a="1"/>
  <c r="G1731" i="6" s="1"/>
  <c r="G1732" i="6" a="1"/>
  <c r="G1732" i="6" s="1"/>
  <c r="G1733" i="6" a="1"/>
  <c r="G1733" i="6" s="1"/>
  <c r="G1734" i="6" a="1"/>
  <c r="G1734" i="6" s="1"/>
  <c r="G1735" i="6" a="1"/>
  <c r="G1735" i="6" s="1"/>
  <c r="G1736" i="6" a="1"/>
  <c r="G1736" i="6" s="1"/>
  <c r="G1737" i="6" a="1"/>
  <c r="G1737" i="6" s="1"/>
  <c r="G1738" i="6" a="1"/>
  <c r="G1738" i="6" s="1"/>
  <c r="G1739" i="6" a="1"/>
  <c r="G1739" i="6" s="1"/>
  <c r="G1740" i="6" a="1"/>
  <c r="G1740" i="6" s="1"/>
  <c r="G1741" i="6" a="1"/>
  <c r="G1741" i="6" s="1"/>
  <c r="G1742" i="6" a="1"/>
  <c r="G1742" i="6" s="1"/>
  <c r="G1743" i="6" a="1"/>
  <c r="G1743" i="6" s="1"/>
  <c r="G1744" i="6" a="1"/>
  <c r="G1744" i="6" s="1"/>
  <c r="G1745" i="6" a="1"/>
  <c r="G1745" i="6" s="1"/>
  <c r="G1746" i="6" a="1"/>
  <c r="G1746" i="6" s="1"/>
  <c r="G1747" i="6" a="1"/>
  <c r="G1747" i="6" s="1"/>
  <c r="G1748" i="6" a="1"/>
  <c r="G1748" i="6" s="1"/>
  <c r="G1749" i="6" a="1"/>
  <c r="G1749" i="6" s="1"/>
  <c r="G1750" i="6" a="1"/>
  <c r="G1750" i="6" s="1"/>
  <c r="G1751" i="6" a="1"/>
  <c r="G1751" i="6" s="1"/>
  <c r="G1752" i="6" a="1"/>
  <c r="G1752" i="6" s="1"/>
  <c r="G1753" i="6" a="1"/>
  <c r="G1753" i="6" s="1"/>
  <c r="G1754" i="6" a="1"/>
  <c r="G1754" i="6" s="1"/>
  <c r="G1755" i="6" a="1"/>
  <c r="G1755" i="6" s="1"/>
  <c r="G1756" i="6" a="1"/>
  <c r="G1756" i="6" s="1"/>
  <c r="G1757" i="6" a="1"/>
  <c r="G1757" i="6" s="1"/>
  <c r="G1758" i="6" a="1"/>
  <c r="G1758" i="6" s="1"/>
  <c r="G1759" i="6" a="1"/>
  <c r="G1759" i="6" s="1"/>
  <c r="G1760" i="6" a="1"/>
  <c r="G1760" i="6" s="1"/>
  <c r="G1761" i="6" a="1"/>
  <c r="G1761" i="6" s="1"/>
  <c r="G1762" i="6" a="1"/>
  <c r="G1762" i="6" s="1"/>
  <c r="G1763" i="6" a="1"/>
  <c r="G1763" i="6" s="1"/>
  <c r="G1764" i="6" a="1"/>
  <c r="G1764" i="6" s="1"/>
  <c r="G1765" i="6" a="1"/>
  <c r="G1765" i="6" s="1"/>
  <c r="G1766" i="6" a="1"/>
  <c r="G1766" i="6" s="1"/>
  <c r="G1767" i="6" a="1"/>
  <c r="G1767" i="6" s="1"/>
  <c r="G1768" i="6" a="1"/>
  <c r="G1768" i="6" s="1"/>
  <c r="G1769" i="6" a="1"/>
  <c r="G1769" i="6" s="1"/>
  <c r="G1770" i="6" a="1"/>
  <c r="G1770" i="6" s="1"/>
  <c r="G1771" i="6" a="1"/>
  <c r="G1771" i="6" s="1"/>
  <c r="G1772" i="6" a="1"/>
  <c r="G1772" i="6" s="1"/>
  <c r="G1773" i="6" a="1"/>
  <c r="G1773" i="6" s="1"/>
  <c r="G1774" i="6" a="1"/>
  <c r="G1774" i="6" s="1"/>
  <c r="G1775" i="6" a="1"/>
  <c r="G1775" i="6" s="1"/>
  <c r="G1776" i="6" a="1"/>
  <c r="G1776" i="6" s="1"/>
  <c r="G1777" i="6" a="1"/>
  <c r="G1777" i="6" s="1"/>
  <c r="G1778" i="6" a="1"/>
  <c r="G1778" i="6" s="1"/>
  <c r="G1779" i="6" a="1"/>
  <c r="G1779" i="6" s="1"/>
  <c r="G1780" i="6" a="1"/>
  <c r="G1780" i="6" s="1"/>
  <c r="G1781" i="6" a="1"/>
  <c r="G1781" i="6" s="1"/>
  <c r="G1782" i="6" a="1"/>
  <c r="G1782" i="6" s="1"/>
  <c r="G1783" i="6" a="1"/>
  <c r="G1783" i="6" s="1"/>
  <c r="G1784" i="6" a="1"/>
  <c r="G1784" i="6" s="1"/>
  <c r="G1785" i="6" a="1"/>
  <c r="G1785" i="6" s="1"/>
  <c r="G1786" i="6" a="1"/>
  <c r="G1786" i="6" s="1"/>
  <c r="G1787" i="6" a="1"/>
  <c r="G1787" i="6" s="1"/>
  <c r="G1788" i="6" a="1"/>
  <c r="G1788" i="6" s="1"/>
  <c r="G1789" i="6" a="1"/>
  <c r="G1789" i="6" s="1"/>
  <c r="G1790" i="6" a="1"/>
  <c r="G1790" i="6" s="1"/>
  <c r="G1791" i="6" a="1"/>
  <c r="G1791" i="6" s="1"/>
  <c r="G1792" i="6" a="1"/>
  <c r="G1792" i="6" s="1"/>
  <c r="G1793" i="6" a="1"/>
  <c r="G1793" i="6" s="1"/>
  <c r="G1794" i="6" a="1"/>
  <c r="G1794" i="6" s="1"/>
  <c r="G1795" i="6" a="1"/>
  <c r="G1795" i="6" s="1"/>
  <c r="G1796" i="6" a="1"/>
  <c r="G1796" i="6" s="1"/>
  <c r="G1797" i="6" a="1"/>
  <c r="G1797" i="6" s="1"/>
  <c r="G1798" i="6" a="1"/>
  <c r="G1798" i="6" s="1"/>
  <c r="G1799" i="6" a="1"/>
  <c r="G1799" i="6" s="1"/>
  <c r="G1800" i="6" a="1"/>
  <c r="G1800" i="6" s="1"/>
  <c r="G1801" i="6" a="1"/>
  <c r="G1801" i="6" s="1"/>
  <c r="G1802" i="6" a="1"/>
  <c r="G1802" i="6" s="1"/>
  <c r="G1803" i="6" a="1"/>
  <c r="G1803" i="6" s="1"/>
  <c r="G1804" i="6" a="1"/>
  <c r="G1804" i="6" s="1"/>
  <c r="G1805" i="6" a="1"/>
  <c r="G1805" i="6" s="1"/>
  <c r="G1806" i="6" a="1"/>
  <c r="G1806" i="6" s="1"/>
  <c r="G1807" i="6" a="1"/>
  <c r="G1807" i="6" s="1"/>
  <c r="G1808" i="6" a="1"/>
  <c r="G1808" i="6" s="1"/>
  <c r="G1809" i="6" a="1"/>
  <c r="G1809" i="6" s="1"/>
  <c r="G1810" i="6" a="1"/>
  <c r="G1810" i="6" s="1"/>
  <c r="G1811" i="6" a="1"/>
  <c r="G1811" i="6" s="1"/>
  <c r="G1812" i="6" a="1"/>
  <c r="G1812" i="6" s="1"/>
  <c r="G1813" i="6" a="1"/>
  <c r="G1813" i="6" s="1"/>
  <c r="G1814" i="6" a="1"/>
  <c r="G1814" i="6" s="1"/>
  <c r="G1815" i="6" a="1"/>
  <c r="G1815" i="6" s="1"/>
  <c r="G1816" i="6" a="1"/>
  <c r="G1816" i="6" s="1"/>
  <c r="G1817" i="6" a="1"/>
  <c r="G1817" i="6" s="1"/>
  <c r="G1818" i="6" a="1"/>
  <c r="G1818" i="6" s="1"/>
  <c r="G1819" i="6" a="1"/>
  <c r="G1819" i="6" s="1"/>
  <c r="G1820" i="6" a="1"/>
  <c r="G1820" i="6" s="1"/>
  <c r="G1821" i="6" a="1"/>
  <c r="G1821" i="6" s="1"/>
  <c r="G1822" i="6" a="1"/>
  <c r="G1822" i="6" s="1"/>
  <c r="G1823" i="6" a="1"/>
  <c r="G1823" i="6" s="1"/>
  <c r="G1824" i="6" a="1"/>
  <c r="G1824" i="6" s="1"/>
  <c r="G1825" i="6" a="1"/>
  <c r="G1825" i="6" s="1"/>
  <c r="G1826" i="6" a="1"/>
  <c r="G1826" i="6" s="1"/>
  <c r="G1827" i="6" a="1"/>
  <c r="G1827" i="6" s="1"/>
  <c r="G1828" i="6" a="1"/>
  <c r="G1828" i="6" s="1"/>
  <c r="G1829" i="6" a="1"/>
  <c r="G1829" i="6" s="1"/>
  <c r="G1830" i="6" a="1"/>
  <c r="G1830" i="6" s="1"/>
  <c r="G1831" i="6" a="1"/>
  <c r="G1831" i="6" s="1"/>
  <c r="G1832" i="6" a="1"/>
  <c r="G1832" i="6" s="1"/>
  <c r="G1833" i="6" a="1"/>
  <c r="G1833" i="6" s="1"/>
  <c r="G1834" i="6" a="1"/>
  <c r="G1834" i="6" s="1"/>
  <c r="G1835" i="6" a="1"/>
  <c r="G1835" i="6" s="1"/>
  <c r="G1836" i="6" a="1"/>
  <c r="G1836" i="6" s="1"/>
  <c r="G1837" i="6" a="1"/>
  <c r="G1837" i="6" s="1"/>
  <c r="G1838" i="6" a="1"/>
  <c r="G1838" i="6" s="1"/>
  <c r="G1839" i="6" a="1"/>
  <c r="G1839" i="6" s="1"/>
  <c r="G1840" i="6" a="1"/>
  <c r="G1840" i="6" s="1"/>
  <c r="G1841" i="6" a="1"/>
  <c r="G1841" i="6" s="1"/>
  <c r="G1842" i="6" a="1"/>
  <c r="G1842" i="6" s="1"/>
  <c r="G1843" i="6" a="1"/>
  <c r="G1843" i="6" s="1"/>
  <c r="G1844" i="6" a="1"/>
  <c r="G1844" i="6" s="1"/>
  <c r="G1845" i="6" a="1"/>
  <c r="G1845" i="6" s="1"/>
  <c r="G1846" i="6" a="1"/>
  <c r="G1846" i="6" s="1"/>
  <c r="G1847" i="6" a="1"/>
  <c r="G1847" i="6" s="1"/>
  <c r="G1848" i="6" a="1"/>
  <c r="G1848" i="6" s="1"/>
  <c r="G1849" i="6" a="1"/>
  <c r="G1849" i="6" s="1"/>
  <c r="G1850" i="6" a="1"/>
  <c r="G1850" i="6" s="1"/>
  <c r="G1851" i="6" a="1"/>
  <c r="G1851" i="6" s="1"/>
  <c r="G1852" i="6" a="1"/>
  <c r="G1852" i="6" s="1"/>
  <c r="G1853" i="6" a="1"/>
  <c r="G1853" i="6" s="1"/>
  <c r="G1854" i="6" a="1"/>
  <c r="G1854" i="6" s="1"/>
  <c r="G1855" i="6" a="1"/>
  <c r="G1855" i="6" s="1"/>
  <c r="G1856" i="6" a="1"/>
  <c r="G1856" i="6" s="1"/>
  <c r="G1857" i="6" a="1"/>
  <c r="G1857" i="6" s="1"/>
  <c r="G1858" i="6" a="1"/>
  <c r="G1858" i="6" s="1"/>
  <c r="G1859" i="6" a="1"/>
  <c r="G1859" i="6" s="1"/>
  <c r="G1860" i="6" a="1"/>
  <c r="G1860" i="6" s="1"/>
  <c r="G1861" i="6" a="1"/>
  <c r="G1861" i="6" s="1"/>
  <c r="G1862" i="6" a="1"/>
  <c r="G1862" i="6" s="1"/>
  <c r="G1863" i="6" a="1"/>
  <c r="G1863" i="6" s="1"/>
  <c r="G1864" i="6" a="1"/>
  <c r="G1864" i="6" s="1"/>
  <c r="G1865" i="6" a="1"/>
  <c r="G1865" i="6" s="1"/>
  <c r="G1866" i="6" a="1"/>
  <c r="G1866" i="6" s="1"/>
  <c r="G1867" i="6" a="1"/>
  <c r="G1867" i="6" s="1"/>
  <c r="G1868" i="6" a="1"/>
  <c r="G1868" i="6" s="1"/>
  <c r="G1869" i="6" a="1"/>
  <c r="G1869" i="6" s="1"/>
  <c r="G1870" i="6" a="1"/>
  <c r="G1870" i="6" s="1"/>
  <c r="G1871" i="6" a="1"/>
  <c r="G1871" i="6" s="1"/>
  <c r="G1872" i="6" a="1"/>
  <c r="G1872" i="6" s="1"/>
  <c r="G1873" i="6" a="1"/>
  <c r="G1873" i="6" s="1"/>
  <c r="G1874" i="6" a="1"/>
  <c r="G1874" i="6" s="1"/>
  <c r="G1875" i="6" a="1"/>
  <c r="G1875" i="6" s="1"/>
  <c r="G1876" i="6" a="1"/>
  <c r="G1876" i="6" s="1"/>
  <c r="G1877" i="6" a="1"/>
  <c r="G1877" i="6" s="1"/>
  <c r="G1878" i="6" a="1"/>
  <c r="G1878" i="6" s="1"/>
  <c r="G1879" i="6" a="1"/>
  <c r="G1879" i="6" s="1"/>
  <c r="G1880" i="6" a="1"/>
  <c r="G1880" i="6" s="1"/>
  <c r="G1881" i="6" a="1"/>
  <c r="G1881" i="6" s="1"/>
  <c r="G1882" i="6" a="1"/>
  <c r="G1882" i="6" s="1"/>
  <c r="G1883" i="6" a="1"/>
  <c r="G1883" i="6" s="1"/>
  <c r="G1884" i="6" a="1"/>
  <c r="G1884" i="6" s="1"/>
  <c r="G1885" i="6" a="1"/>
  <c r="G1885" i="6" s="1"/>
  <c r="G1886" i="6" a="1"/>
  <c r="G1886" i="6" s="1"/>
  <c r="G1887" i="6" a="1"/>
  <c r="G1887" i="6" s="1"/>
  <c r="G1888" i="6" a="1"/>
  <c r="G1888" i="6" s="1"/>
  <c r="G1889" i="6" a="1"/>
  <c r="G1889" i="6" s="1"/>
  <c r="G1890" i="6" a="1"/>
  <c r="G1890" i="6" s="1"/>
  <c r="G1891" i="6" a="1"/>
  <c r="G1891" i="6" s="1"/>
  <c r="G1892" i="6" a="1"/>
  <c r="G1892" i="6" s="1"/>
  <c r="G1893" i="6" a="1"/>
  <c r="G1893" i="6" s="1"/>
  <c r="G1894" i="6" a="1"/>
  <c r="G1894" i="6" s="1"/>
  <c r="G1895" i="6" a="1"/>
  <c r="G1895" i="6" s="1"/>
  <c r="G1896" i="6" a="1"/>
  <c r="G1896" i="6" s="1"/>
  <c r="G1897" i="6" a="1"/>
  <c r="G1897" i="6" s="1"/>
  <c r="G1898" i="6" a="1"/>
  <c r="G1898" i="6" s="1"/>
  <c r="G1899" i="6" a="1"/>
  <c r="G1899" i="6" s="1"/>
  <c r="G1900" i="6" a="1"/>
  <c r="G1900" i="6" s="1"/>
  <c r="G1901" i="6" a="1"/>
  <c r="G1901" i="6" s="1"/>
  <c r="G1902" i="6" a="1"/>
  <c r="G1902" i="6" s="1"/>
  <c r="G1903" i="6" a="1"/>
  <c r="G1903" i="6" s="1"/>
  <c r="G1904" i="6" a="1"/>
  <c r="G1904" i="6" s="1"/>
  <c r="G1905" i="6" a="1"/>
  <c r="G1905" i="6" s="1"/>
  <c r="G1906" i="6" a="1"/>
  <c r="G1906" i="6" s="1"/>
  <c r="G1907" i="6" a="1"/>
  <c r="G1907" i="6" s="1"/>
  <c r="G1908" i="6" a="1"/>
  <c r="G1908" i="6" s="1"/>
  <c r="G1909" i="6" a="1"/>
  <c r="G1909" i="6" s="1"/>
  <c r="G1910" i="6" a="1"/>
  <c r="G1910" i="6" s="1"/>
  <c r="G1911" i="6" a="1"/>
  <c r="G1911" i="6" s="1"/>
  <c r="G1912" i="6" a="1"/>
  <c r="G1912" i="6" s="1"/>
  <c r="G1913" i="6" a="1"/>
  <c r="G1913" i="6" s="1"/>
  <c r="G1914" i="6" a="1"/>
  <c r="G1914" i="6" s="1"/>
  <c r="G1915" i="6" a="1"/>
  <c r="G1915" i="6" s="1"/>
  <c r="G1916" i="6" a="1"/>
  <c r="G1916" i="6" s="1"/>
  <c r="G1917" i="6" a="1"/>
  <c r="G1917" i="6" s="1"/>
  <c r="G1918" i="6" a="1"/>
  <c r="G1918" i="6" s="1"/>
  <c r="G1919" i="6" a="1"/>
  <c r="G1919" i="6" s="1"/>
  <c r="G1920" i="6" a="1"/>
  <c r="G1920" i="6" s="1"/>
  <c r="G1921" i="6" a="1"/>
  <c r="G1921" i="6" s="1"/>
  <c r="G1922" i="6" a="1"/>
  <c r="G1922" i="6" s="1"/>
  <c r="G1923" i="6" a="1"/>
  <c r="G1923" i="6" s="1"/>
  <c r="G1924" i="6" a="1"/>
  <c r="G1924" i="6" s="1"/>
  <c r="G1925" i="6" a="1"/>
  <c r="G1925" i="6" s="1"/>
  <c r="G1926" i="6" a="1"/>
  <c r="G1926" i="6" s="1"/>
  <c r="G1927" i="6" a="1"/>
  <c r="G1927" i="6" s="1"/>
  <c r="G1928" i="6" a="1"/>
  <c r="G1928" i="6" s="1"/>
  <c r="G1929" i="6" a="1"/>
  <c r="G1929" i="6" s="1"/>
  <c r="G1930" i="6" a="1"/>
  <c r="G1930" i="6" s="1"/>
  <c r="G1931" i="6" a="1"/>
  <c r="G1931" i="6" s="1"/>
  <c r="G1932" i="6" a="1"/>
  <c r="G1932" i="6" s="1"/>
  <c r="G1933" i="6" a="1"/>
  <c r="G1933" i="6" s="1"/>
  <c r="G1934" i="6" a="1"/>
  <c r="G1934" i="6" s="1"/>
  <c r="G1935" i="6" a="1"/>
  <c r="G1935" i="6" s="1"/>
  <c r="G1936" i="6" a="1"/>
  <c r="G1936" i="6" s="1"/>
  <c r="G1937" i="6" a="1"/>
  <c r="G1937" i="6" s="1"/>
  <c r="G1938" i="6" a="1"/>
  <c r="G1938" i="6" s="1"/>
  <c r="G1939" i="6" a="1"/>
  <c r="G1939" i="6" s="1"/>
  <c r="G1940" i="6" a="1"/>
  <c r="G1940" i="6" s="1"/>
  <c r="G1941" i="6" a="1"/>
  <c r="G1941" i="6" s="1"/>
  <c r="G1942" i="6" a="1"/>
  <c r="G1942" i="6" s="1"/>
  <c r="G1943" i="6" a="1"/>
  <c r="G1943" i="6" s="1"/>
  <c r="G1944" i="6" a="1"/>
  <c r="G1944" i="6" s="1"/>
  <c r="G1945" i="6" a="1"/>
  <c r="G1945" i="6" s="1"/>
  <c r="G1946" i="6" a="1"/>
  <c r="G1946" i="6" s="1"/>
  <c r="G1947" i="6" a="1"/>
  <c r="G1947" i="6" s="1"/>
  <c r="G1948" i="6" a="1"/>
  <c r="G1948" i="6" s="1"/>
  <c r="G1949" i="6" a="1"/>
  <c r="G1949" i="6" s="1"/>
  <c r="G1950" i="6" a="1"/>
  <c r="G1950" i="6" s="1"/>
  <c r="G1951" i="6" a="1"/>
  <c r="G1951" i="6" s="1"/>
  <c r="G1952" i="6" a="1"/>
  <c r="G1952" i="6" s="1"/>
  <c r="G1953" i="6" a="1"/>
  <c r="G1953" i="6" s="1"/>
  <c r="G1954" i="6" a="1"/>
  <c r="G1954" i="6" s="1"/>
  <c r="G1955" i="6" a="1"/>
  <c r="G1955" i="6" s="1"/>
  <c r="G1956" i="6" a="1"/>
  <c r="G1956" i="6" s="1"/>
  <c r="G1957" i="6" a="1"/>
  <c r="G1957" i="6" s="1"/>
  <c r="G1958" i="6" a="1"/>
  <c r="G1958" i="6" s="1"/>
  <c r="G1959" i="6" a="1"/>
  <c r="G1959" i="6" s="1"/>
  <c r="G1960" i="6" a="1"/>
  <c r="G1960" i="6" s="1"/>
  <c r="G1961" i="6" a="1"/>
  <c r="G1961" i="6" s="1"/>
  <c r="G1962" i="6" a="1"/>
  <c r="G1962" i="6" s="1"/>
  <c r="G1963" i="6" a="1"/>
  <c r="G1963" i="6" s="1"/>
  <c r="G1964" i="6" a="1"/>
  <c r="G1964" i="6" s="1"/>
  <c r="G1965" i="6" a="1"/>
  <c r="G1965" i="6" s="1"/>
  <c r="G1966" i="6" a="1"/>
  <c r="G1966" i="6" s="1"/>
  <c r="G1967" i="6" a="1"/>
  <c r="G1967" i="6" s="1"/>
  <c r="G1968" i="6" a="1"/>
  <c r="G1968" i="6" s="1"/>
  <c r="G1969" i="6" a="1"/>
  <c r="G1969" i="6" s="1"/>
  <c r="G1970" i="6" a="1"/>
  <c r="G1970" i="6" s="1"/>
  <c r="G1971" i="6" a="1"/>
  <c r="G1971" i="6" s="1"/>
  <c r="G1972" i="6" a="1"/>
  <c r="G1972" i="6" s="1"/>
  <c r="G1973" i="6" a="1"/>
  <c r="G1973" i="6" s="1"/>
  <c r="G1974" i="6" a="1"/>
  <c r="G1974" i="6" s="1"/>
  <c r="G1975" i="6" a="1"/>
  <c r="G1975" i="6" s="1"/>
  <c r="G1976" i="6" a="1"/>
  <c r="G1976" i="6" s="1"/>
  <c r="G1977" i="6" a="1"/>
  <c r="G1977" i="6" s="1"/>
  <c r="G1978" i="6" a="1"/>
  <c r="G1978" i="6" s="1"/>
  <c r="G1979" i="6" a="1"/>
  <c r="G1979" i="6" s="1"/>
  <c r="G1980" i="6" a="1"/>
  <c r="G1980" i="6" s="1"/>
  <c r="G1981" i="6" a="1"/>
  <c r="G1981" i="6" s="1"/>
  <c r="G1982" i="6" a="1"/>
  <c r="G1982" i="6" s="1"/>
  <c r="G1983" i="6" a="1"/>
  <c r="G1983" i="6" s="1"/>
  <c r="G1984" i="6" a="1"/>
  <c r="G1984" i="6" s="1"/>
  <c r="G1985" i="6" a="1"/>
  <c r="G1985" i="6" s="1"/>
  <c r="G1986" i="6" a="1"/>
  <c r="G1986" i="6" s="1"/>
  <c r="G1987" i="6" a="1"/>
  <c r="G1987" i="6" s="1"/>
  <c r="G1988" i="6" a="1"/>
  <c r="G1988" i="6" s="1"/>
  <c r="G1989" i="6" a="1"/>
  <c r="G1989" i="6" s="1"/>
  <c r="G1990" i="6" a="1"/>
  <c r="G1990" i="6" s="1"/>
  <c r="G1991" i="6" a="1"/>
  <c r="G1991" i="6" s="1"/>
  <c r="G1992" i="6" a="1"/>
  <c r="G1992" i="6" s="1"/>
  <c r="G1993" i="6" a="1"/>
  <c r="G1993" i="6" s="1"/>
  <c r="G1994" i="6" a="1"/>
  <c r="G1994" i="6" s="1"/>
  <c r="G1995" i="6" a="1"/>
  <c r="G1995" i="6" s="1"/>
  <c r="G1996" i="6" a="1"/>
  <c r="G1996" i="6" s="1"/>
  <c r="G1997" i="6" a="1"/>
  <c r="G1997" i="6" s="1"/>
  <c r="G1998" i="6" a="1"/>
  <c r="G1998" i="6" s="1"/>
  <c r="G1999" i="6" a="1"/>
  <c r="G1999" i="6" s="1"/>
  <c r="G2000" i="6" a="1"/>
  <c r="G2000" i="6" s="1"/>
  <c r="G2001" i="6" a="1"/>
  <c r="G2001" i="6" s="1"/>
  <c r="G2002" i="6" a="1"/>
  <c r="G2002" i="6" s="1"/>
  <c r="G2003" i="6" a="1"/>
  <c r="G2003" i="6" s="1"/>
  <c r="G2004" i="6" a="1"/>
  <c r="G2004" i="6" s="1"/>
  <c r="G2005" i="6" a="1"/>
  <c r="G2005" i="6" s="1"/>
  <c r="G2006" i="6" a="1"/>
  <c r="G2006" i="6" s="1"/>
  <c r="G2007" i="6" a="1"/>
  <c r="G2007" i="6" s="1"/>
  <c r="G2008" i="6" a="1"/>
  <c r="G2008" i="6" s="1"/>
  <c r="G2009" i="6" a="1"/>
  <c r="G2009" i="6" s="1"/>
  <c r="G2010" i="6" a="1"/>
  <c r="G2010" i="6" s="1"/>
  <c r="G2011" i="6" a="1"/>
  <c r="G2011" i="6" s="1"/>
  <c r="G2012" i="6" a="1"/>
  <c r="G2012" i="6" s="1"/>
  <c r="G2013" i="6" a="1"/>
  <c r="G2013" i="6" s="1"/>
  <c r="G2014" i="6" a="1"/>
  <c r="G2014" i="6" s="1"/>
  <c r="G2015" i="6" a="1"/>
  <c r="G2015" i="6" s="1"/>
  <c r="G2016" i="6" a="1"/>
  <c r="G2016" i="6" s="1"/>
  <c r="G2017" i="6" a="1"/>
  <c r="G2017" i="6" s="1"/>
  <c r="G2018" i="6" a="1"/>
  <c r="G2018" i="6" s="1"/>
  <c r="G2019" i="6" a="1"/>
  <c r="G2019" i="6" s="1"/>
  <c r="G2020" i="6" a="1"/>
  <c r="G2020" i="6" s="1"/>
  <c r="G2021" i="6" a="1"/>
  <c r="G2021" i="6" s="1"/>
  <c r="G2022" i="6" a="1"/>
  <c r="G2022" i="6" s="1"/>
  <c r="G2023" i="6" a="1"/>
  <c r="G2023" i="6" s="1"/>
  <c r="G2024" i="6" a="1"/>
  <c r="G2024" i="6" s="1"/>
  <c r="G2025" i="6" a="1"/>
  <c r="G2025" i="6" s="1"/>
  <c r="G2026" i="6" a="1"/>
  <c r="G2026" i="6" s="1"/>
  <c r="G2027" i="6" a="1"/>
  <c r="G2027" i="6" s="1"/>
  <c r="G2028" i="6" a="1"/>
  <c r="G2028" i="6" s="1"/>
  <c r="G2029" i="6" a="1"/>
  <c r="G2029" i="6" s="1"/>
  <c r="G2030" i="6" a="1"/>
  <c r="G2030" i="6" s="1"/>
  <c r="G2031" i="6" a="1"/>
  <c r="G2031" i="6" s="1"/>
  <c r="G2" i="6" a="1"/>
  <c r="G2" i="6" s="1"/>
  <c r="Q3" i="6"/>
  <c r="Q4" i="6"/>
  <c r="Q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75" i="6"/>
  <c r="Q76" i="6"/>
  <c r="Q77" i="6"/>
  <c r="Q78" i="6"/>
  <c r="Q79" i="6"/>
  <c r="Q80" i="6"/>
  <c r="Q81" i="6"/>
  <c r="Q82" i="6"/>
  <c r="Q83" i="6"/>
  <c r="Q84" i="6"/>
  <c r="Q85" i="6"/>
  <c r="Q86" i="6"/>
  <c r="Q87" i="6"/>
  <c r="Q88" i="6"/>
  <c r="Q89" i="6"/>
  <c r="Q90" i="6"/>
  <c r="Q91" i="6"/>
  <c r="Q92" i="6"/>
  <c r="Q93" i="6"/>
  <c r="Q94" i="6"/>
  <c r="Q95" i="6"/>
  <c r="Q96" i="6"/>
  <c r="Q97" i="6"/>
  <c r="Q98" i="6"/>
  <c r="Q99" i="6"/>
  <c r="Q100" i="6"/>
  <c r="Q101" i="6"/>
  <c r="Q102" i="6"/>
  <c r="Q103" i="6"/>
  <c r="Q104" i="6"/>
  <c r="Q105" i="6"/>
  <c r="Q106" i="6"/>
  <c r="Q107" i="6"/>
  <c r="Q108" i="6"/>
  <c r="Q109" i="6"/>
  <c r="Q110" i="6"/>
  <c r="Q111" i="6"/>
  <c r="Q112" i="6"/>
  <c r="Q113" i="6"/>
  <c r="Q114" i="6"/>
  <c r="Q115" i="6"/>
  <c r="Q116" i="6"/>
  <c r="Q117" i="6"/>
  <c r="Q118" i="6"/>
  <c r="Q119" i="6"/>
  <c r="Q120" i="6"/>
  <c r="Q121" i="6"/>
  <c r="Q122" i="6"/>
  <c r="Q123" i="6"/>
  <c r="Q124" i="6"/>
  <c r="Q125" i="6"/>
  <c r="Q126" i="6"/>
  <c r="Q127" i="6"/>
  <c r="Q128" i="6"/>
  <c r="Q129" i="6"/>
  <c r="Q130" i="6"/>
  <c r="Q131" i="6"/>
  <c r="Q132" i="6"/>
  <c r="Q133" i="6"/>
  <c r="Q134" i="6"/>
  <c r="Q135" i="6"/>
  <c r="Q136" i="6"/>
  <c r="Q137" i="6"/>
  <c r="Q138" i="6"/>
  <c r="Q139" i="6"/>
  <c r="Q140" i="6"/>
  <c r="Q141" i="6"/>
  <c r="Q142" i="6"/>
  <c r="Q143" i="6"/>
  <c r="Q144" i="6"/>
  <c r="Q145" i="6"/>
  <c r="Q146" i="6"/>
  <c r="Q147" i="6"/>
  <c r="Q148" i="6"/>
  <c r="Q149" i="6"/>
  <c r="Q150" i="6"/>
  <c r="Q151" i="6"/>
  <c r="Q152" i="6"/>
  <c r="Q153" i="6"/>
  <c r="Q154" i="6"/>
  <c r="Q155" i="6"/>
  <c r="Q156" i="6"/>
  <c r="Q157" i="6"/>
  <c r="Q158" i="6"/>
  <c r="Q159" i="6"/>
  <c r="Q160" i="6"/>
  <c r="Q161" i="6"/>
  <c r="Q162" i="6"/>
  <c r="Q163" i="6"/>
  <c r="Q164" i="6"/>
  <c r="Q165" i="6"/>
  <c r="Q166" i="6"/>
  <c r="Q167" i="6"/>
  <c r="Q168" i="6"/>
  <c r="Q169" i="6"/>
  <c r="Q170" i="6"/>
  <c r="Q171" i="6"/>
  <c r="Q172" i="6"/>
  <c r="Q173" i="6"/>
  <c r="Q174" i="6"/>
  <c r="Q175" i="6"/>
  <c r="Q176" i="6"/>
  <c r="Q177" i="6"/>
  <c r="Q178" i="6"/>
  <c r="Q179" i="6"/>
  <c r="Q180" i="6"/>
  <c r="Q181" i="6"/>
  <c r="Q182" i="6"/>
  <c r="Q183" i="6"/>
  <c r="Q184" i="6"/>
  <c r="Q185" i="6"/>
  <c r="Q186" i="6"/>
  <c r="Q187" i="6"/>
  <c r="Q188" i="6"/>
  <c r="Q189" i="6"/>
  <c r="Q190" i="6"/>
  <c r="Q191" i="6"/>
  <c r="Q192" i="6"/>
  <c r="Q193" i="6"/>
  <c r="Q194" i="6"/>
  <c r="Q195" i="6"/>
  <c r="Q196" i="6"/>
  <c r="Q197" i="6"/>
  <c r="Q198" i="6"/>
  <c r="Q199" i="6"/>
  <c r="Q200" i="6"/>
  <c r="Q201" i="6"/>
  <c r="Q202" i="6"/>
  <c r="Q203" i="6"/>
  <c r="Q204" i="6"/>
  <c r="Q205" i="6"/>
  <c r="Q206" i="6"/>
  <c r="Q207" i="6"/>
  <c r="Q208" i="6"/>
  <c r="Q209" i="6"/>
  <c r="Q210" i="6"/>
  <c r="Q211" i="6"/>
  <c r="Q212" i="6"/>
  <c r="Q213" i="6"/>
  <c r="Q214" i="6"/>
  <c r="Q215" i="6"/>
  <c r="Q216" i="6"/>
  <c r="Q217" i="6"/>
  <c r="Q218" i="6"/>
  <c r="Q219" i="6"/>
  <c r="Q220" i="6"/>
  <c r="Q221" i="6"/>
  <c r="Q222" i="6"/>
  <c r="Q223" i="6"/>
  <c r="Q224" i="6"/>
  <c r="Q225" i="6"/>
  <c r="Q226" i="6"/>
  <c r="Q227" i="6"/>
  <c r="Q228" i="6"/>
  <c r="Q229" i="6"/>
  <c r="Q230" i="6"/>
  <c r="Q231" i="6"/>
  <c r="Q232" i="6"/>
  <c r="Q233" i="6"/>
  <c r="Q234" i="6"/>
  <c r="Q235" i="6"/>
  <c r="Q236" i="6"/>
  <c r="Q237" i="6"/>
  <c r="Q238" i="6"/>
  <c r="Q239" i="6"/>
  <c r="Q240" i="6"/>
  <c r="Q241" i="6"/>
  <c r="Q242" i="6"/>
  <c r="Q243" i="6"/>
  <c r="Q244" i="6"/>
  <c r="Q245" i="6"/>
  <c r="Q246" i="6"/>
  <c r="Q247" i="6"/>
  <c r="Q248" i="6"/>
  <c r="Q249" i="6"/>
  <c r="Q250" i="6"/>
  <c r="Q251" i="6"/>
  <c r="Q252" i="6"/>
  <c r="Q253" i="6"/>
  <c r="Q254" i="6"/>
  <c r="Q255" i="6"/>
  <c r="Q256" i="6"/>
  <c r="Q257" i="6"/>
  <c r="Q258" i="6"/>
  <c r="Q259" i="6"/>
  <c r="Q260" i="6"/>
  <c r="Q261" i="6"/>
  <c r="Q262" i="6"/>
  <c r="Q263" i="6"/>
  <c r="Q264" i="6"/>
  <c r="Q265" i="6"/>
  <c r="Q266" i="6"/>
  <c r="Q267" i="6"/>
  <c r="Q268" i="6"/>
  <c r="Q269" i="6"/>
  <c r="Q270" i="6"/>
  <c r="Q271" i="6"/>
  <c r="Q272" i="6"/>
  <c r="Q273" i="6"/>
  <c r="Q274" i="6"/>
  <c r="Q275" i="6"/>
  <c r="Q276" i="6"/>
  <c r="Q277" i="6"/>
  <c r="Q278" i="6"/>
  <c r="Q279" i="6"/>
  <c r="Q280" i="6"/>
  <c r="Q281" i="6"/>
  <c r="Q282" i="6"/>
  <c r="Q283" i="6"/>
  <c r="Q284" i="6"/>
  <c r="Q285" i="6"/>
  <c r="Q286" i="6"/>
  <c r="Q287" i="6"/>
  <c r="Q288" i="6"/>
  <c r="Q289" i="6"/>
  <c r="Q290" i="6"/>
  <c r="Q291" i="6"/>
  <c r="Q292" i="6"/>
  <c r="Q293" i="6"/>
  <c r="Q294" i="6"/>
  <c r="Q295" i="6"/>
  <c r="Q296" i="6"/>
  <c r="Q297" i="6"/>
  <c r="Q298" i="6"/>
  <c r="Q299" i="6"/>
  <c r="Q300" i="6"/>
  <c r="Q301" i="6"/>
  <c r="Q302" i="6"/>
  <c r="Q303" i="6"/>
  <c r="Q304" i="6"/>
  <c r="Q305" i="6"/>
  <c r="Q306" i="6"/>
  <c r="Q307" i="6"/>
  <c r="Q308" i="6"/>
  <c r="Q309" i="6"/>
  <c r="Q310" i="6"/>
  <c r="Q311" i="6"/>
  <c r="Q312" i="6"/>
  <c r="Q313" i="6"/>
  <c r="Q314" i="6"/>
  <c r="Q315" i="6"/>
  <c r="Q316" i="6"/>
  <c r="Q317" i="6"/>
  <c r="Q318" i="6"/>
  <c r="Q319" i="6"/>
  <c r="Q320" i="6"/>
  <c r="Q321" i="6"/>
  <c r="Q322" i="6"/>
  <c r="Q323" i="6"/>
  <c r="Q324" i="6"/>
  <c r="Q325" i="6"/>
  <c r="Q326" i="6"/>
  <c r="Q327" i="6"/>
  <c r="Q328" i="6"/>
  <c r="Q329" i="6"/>
  <c r="Q330" i="6"/>
  <c r="Q331" i="6"/>
  <c r="Q332" i="6"/>
  <c r="Q333" i="6"/>
  <c r="Q334" i="6"/>
  <c r="Q335" i="6"/>
  <c r="Q336" i="6"/>
  <c r="Q337" i="6"/>
  <c r="Q338" i="6"/>
  <c r="Q339" i="6"/>
  <c r="Q340" i="6"/>
  <c r="Q341" i="6"/>
  <c r="Q342" i="6"/>
  <c r="Q343" i="6"/>
  <c r="Q344" i="6"/>
  <c r="Q345" i="6"/>
  <c r="Q346" i="6"/>
  <c r="Q347" i="6"/>
  <c r="Q348" i="6"/>
  <c r="Q349" i="6"/>
  <c r="Q350" i="6"/>
  <c r="Q351" i="6"/>
  <c r="Q352" i="6"/>
  <c r="Q353" i="6"/>
  <c r="Q354" i="6"/>
  <c r="Q355" i="6"/>
  <c r="Q356" i="6"/>
  <c r="Q357" i="6"/>
  <c r="Q358" i="6"/>
  <c r="Q359" i="6"/>
  <c r="Q360" i="6"/>
  <c r="Q361" i="6"/>
  <c r="Q362" i="6"/>
  <c r="Q363" i="6"/>
  <c r="Q364" i="6"/>
  <c r="Q365" i="6"/>
  <c r="Q366" i="6"/>
  <c r="Q367" i="6"/>
  <c r="Q368" i="6"/>
  <c r="Q369" i="6"/>
  <c r="Q370" i="6"/>
  <c r="Q371" i="6"/>
  <c r="Q372" i="6"/>
  <c r="Q373" i="6"/>
  <c r="Q374" i="6"/>
  <c r="Q375" i="6"/>
  <c r="Q376" i="6"/>
  <c r="Q377" i="6"/>
  <c r="Q378" i="6"/>
  <c r="Q379" i="6"/>
  <c r="Q380" i="6"/>
  <c r="Q381" i="6"/>
  <c r="Q382" i="6"/>
  <c r="Q383" i="6"/>
  <c r="Q384" i="6"/>
  <c r="Q385" i="6"/>
  <c r="Q386" i="6"/>
  <c r="Q387" i="6"/>
  <c r="Q388" i="6"/>
  <c r="Q389" i="6"/>
  <c r="Q390" i="6"/>
  <c r="Q391" i="6"/>
  <c r="Q392" i="6"/>
  <c r="Q393" i="6"/>
  <c r="Q394" i="6"/>
  <c r="Q395" i="6"/>
  <c r="Q396" i="6"/>
  <c r="Q397" i="6"/>
  <c r="Q398" i="6"/>
  <c r="Q399" i="6"/>
  <c r="Q400" i="6"/>
  <c r="Q401" i="6"/>
  <c r="Q402" i="6"/>
  <c r="Q403" i="6"/>
  <c r="Q404" i="6"/>
  <c r="Q405" i="6"/>
  <c r="Q406" i="6"/>
  <c r="Q407" i="6"/>
  <c r="Q408" i="6"/>
  <c r="Q409" i="6"/>
  <c r="Q410" i="6"/>
  <c r="Q411" i="6"/>
  <c r="Q412" i="6"/>
  <c r="Q413" i="6"/>
  <c r="Q414" i="6"/>
  <c r="Q415" i="6"/>
  <c r="Q416" i="6"/>
  <c r="Q417" i="6"/>
  <c r="Q418" i="6"/>
  <c r="Q419" i="6"/>
  <c r="Q420" i="6"/>
  <c r="Q421" i="6"/>
  <c r="Q422" i="6"/>
  <c r="Q423" i="6"/>
  <c r="Q424" i="6"/>
  <c r="Q425" i="6"/>
  <c r="Q426" i="6"/>
  <c r="Q427" i="6"/>
  <c r="Q428" i="6"/>
  <c r="Q429" i="6"/>
  <c r="Q430" i="6"/>
  <c r="Q431" i="6"/>
  <c r="Q432" i="6"/>
  <c r="Q433" i="6"/>
  <c r="Q434" i="6"/>
  <c r="Q435" i="6"/>
  <c r="Q436" i="6"/>
  <c r="Q437" i="6"/>
  <c r="Q438" i="6"/>
  <c r="Q439" i="6"/>
  <c r="Q440" i="6"/>
  <c r="Q441" i="6"/>
  <c r="Q442" i="6"/>
  <c r="Q443" i="6"/>
  <c r="Q444" i="6"/>
  <c r="Q445" i="6"/>
  <c r="Q446" i="6"/>
  <c r="Q447" i="6"/>
  <c r="Q448" i="6"/>
  <c r="Q449" i="6"/>
  <c r="Q450" i="6"/>
  <c r="Q451" i="6"/>
  <c r="Q452" i="6"/>
  <c r="Q453" i="6"/>
  <c r="Q454" i="6"/>
  <c r="Q455" i="6"/>
  <c r="Q456" i="6"/>
  <c r="Q457" i="6"/>
  <c r="Q458" i="6"/>
  <c r="Q459" i="6"/>
  <c r="Q460" i="6"/>
  <c r="Q461" i="6"/>
  <c r="Q462" i="6"/>
  <c r="Q463" i="6"/>
  <c r="Q464" i="6"/>
  <c r="Q465" i="6"/>
  <c r="Q466" i="6"/>
  <c r="Q467" i="6"/>
  <c r="Q468" i="6"/>
  <c r="Q469" i="6"/>
  <c r="Q470" i="6"/>
  <c r="Q471" i="6"/>
  <c r="Q472" i="6"/>
  <c r="Q473" i="6"/>
  <c r="Q474" i="6"/>
  <c r="Q475" i="6"/>
  <c r="Q476" i="6"/>
  <c r="Q477" i="6"/>
  <c r="Q478" i="6"/>
  <c r="Q479" i="6"/>
  <c r="Q480" i="6"/>
  <c r="Q481" i="6"/>
  <c r="Q482" i="6"/>
  <c r="Q483" i="6"/>
  <c r="Q484" i="6"/>
  <c r="Q485" i="6"/>
  <c r="Q486" i="6"/>
  <c r="Q487" i="6"/>
  <c r="Q488" i="6"/>
  <c r="Q489" i="6"/>
  <c r="Q490" i="6"/>
  <c r="Q491" i="6"/>
  <c r="Q492" i="6"/>
  <c r="Q493" i="6"/>
  <c r="Q494" i="6"/>
  <c r="Q495" i="6"/>
  <c r="Q496" i="6"/>
  <c r="Q497" i="6"/>
  <c r="Q498" i="6"/>
  <c r="Q499" i="6"/>
  <c r="Q500" i="6"/>
  <c r="Q501" i="6"/>
  <c r="Q502" i="6"/>
  <c r="Q503" i="6"/>
  <c r="Q504" i="6"/>
  <c r="Q505" i="6"/>
  <c r="Q506" i="6"/>
  <c r="Q507" i="6"/>
  <c r="Q508" i="6"/>
  <c r="Q509" i="6"/>
  <c r="Q510" i="6"/>
  <c r="Q511" i="6"/>
  <c r="Q512" i="6"/>
  <c r="Q513" i="6"/>
  <c r="Q514" i="6"/>
  <c r="Q515" i="6"/>
  <c r="Q516" i="6"/>
  <c r="Q517" i="6"/>
  <c r="Q518" i="6"/>
  <c r="Q519" i="6"/>
  <c r="Q520" i="6"/>
  <c r="Q521" i="6"/>
  <c r="Q522" i="6"/>
  <c r="Q523" i="6"/>
  <c r="Q524" i="6"/>
  <c r="Q525" i="6"/>
  <c r="Q526" i="6"/>
  <c r="Q527" i="6"/>
  <c r="Q528" i="6"/>
  <c r="Q529" i="6"/>
  <c r="Q530" i="6"/>
  <c r="Q531" i="6"/>
  <c r="Q532" i="6"/>
  <c r="Q533" i="6"/>
  <c r="Q534" i="6"/>
  <c r="Q535" i="6"/>
  <c r="Q536" i="6"/>
  <c r="Q537" i="6"/>
  <c r="Q538" i="6"/>
  <c r="Q539" i="6"/>
  <c r="Q540" i="6"/>
  <c r="Q541" i="6"/>
  <c r="Q542" i="6"/>
  <c r="Q543" i="6"/>
  <c r="Q544" i="6"/>
  <c r="Q545" i="6"/>
  <c r="Q546" i="6"/>
  <c r="Q547" i="6"/>
  <c r="Q548" i="6"/>
  <c r="Q549" i="6"/>
  <c r="Q550" i="6"/>
  <c r="Q551" i="6"/>
  <c r="Q552" i="6"/>
  <c r="Q553" i="6"/>
  <c r="Q554" i="6"/>
  <c r="Q555" i="6"/>
  <c r="Q556" i="6"/>
  <c r="Q557" i="6"/>
  <c r="Q558" i="6"/>
  <c r="Q559" i="6"/>
  <c r="Q560" i="6"/>
  <c r="Q561" i="6"/>
  <c r="Q562" i="6"/>
  <c r="Q563" i="6"/>
  <c r="Q564" i="6"/>
  <c r="Q565" i="6"/>
  <c r="Q566" i="6"/>
  <c r="Q567" i="6"/>
  <c r="Q568" i="6"/>
  <c r="Q569" i="6"/>
  <c r="Q570" i="6"/>
  <c r="Q571" i="6"/>
  <c r="Q572" i="6"/>
  <c r="Q573" i="6"/>
  <c r="Q574" i="6"/>
  <c r="Q575" i="6"/>
  <c r="Q576" i="6"/>
  <c r="Q577" i="6"/>
  <c r="Q578" i="6"/>
  <c r="Q579" i="6"/>
  <c r="Q580" i="6"/>
  <c r="Q581" i="6"/>
  <c r="Q582" i="6"/>
  <c r="Q583" i="6"/>
  <c r="Q584" i="6"/>
  <c r="Q585" i="6"/>
  <c r="Q586" i="6"/>
  <c r="Q587" i="6"/>
  <c r="Q588" i="6"/>
  <c r="Q589" i="6"/>
  <c r="Q590" i="6"/>
  <c r="Q591" i="6"/>
  <c r="Q592" i="6"/>
  <c r="Q593" i="6"/>
  <c r="Q594" i="6"/>
  <c r="Q595" i="6"/>
  <c r="Q596" i="6"/>
  <c r="Q597" i="6"/>
  <c r="Q598" i="6"/>
  <c r="Q599" i="6"/>
  <c r="Q600" i="6"/>
  <c r="Q601" i="6"/>
  <c r="Q602" i="6"/>
  <c r="Q603" i="6"/>
  <c r="Q604" i="6"/>
  <c r="Q605" i="6"/>
  <c r="Q606" i="6"/>
  <c r="Q607" i="6"/>
  <c r="Q608" i="6"/>
  <c r="Q609" i="6"/>
  <c r="Q610" i="6"/>
  <c r="Q611" i="6"/>
  <c r="Q612" i="6"/>
  <c r="Q613" i="6"/>
  <c r="Q614" i="6"/>
  <c r="Q615" i="6"/>
  <c r="Q616" i="6"/>
  <c r="Q617" i="6"/>
  <c r="Q618" i="6"/>
  <c r="Q619" i="6"/>
  <c r="Q620" i="6"/>
  <c r="Q621" i="6"/>
  <c r="Q622" i="6"/>
  <c r="Q623" i="6"/>
  <c r="Q624" i="6"/>
  <c r="Q625" i="6"/>
  <c r="Q626" i="6"/>
  <c r="Q627" i="6"/>
  <c r="Q628" i="6"/>
  <c r="Q629" i="6"/>
  <c r="Q630" i="6"/>
  <c r="Q631" i="6"/>
  <c r="Q632" i="6"/>
  <c r="Q633" i="6"/>
  <c r="Q634" i="6"/>
  <c r="Q635" i="6"/>
  <c r="Q636" i="6"/>
  <c r="Q637" i="6"/>
  <c r="Q638" i="6"/>
  <c r="Q639" i="6"/>
  <c r="Q640" i="6"/>
  <c r="Q641" i="6"/>
  <c r="Q642" i="6"/>
  <c r="Q643" i="6"/>
  <c r="Q644" i="6"/>
  <c r="Q645" i="6"/>
  <c r="Q646" i="6"/>
  <c r="Q647" i="6"/>
  <c r="Q648" i="6"/>
  <c r="Q649" i="6"/>
  <c r="Q650" i="6"/>
  <c r="Q651" i="6"/>
  <c r="Q652" i="6"/>
  <c r="Q653" i="6"/>
  <c r="Q654" i="6"/>
  <c r="Q655" i="6"/>
  <c r="Q656" i="6"/>
  <c r="Q657" i="6"/>
  <c r="Q658" i="6"/>
  <c r="Q659" i="6"/>
  <c r="Q660" i="6"/>
  <c r="Q661" i="6"/>
  <c r="Q662" i="6"/>
  <c r="Q663" i="6"/>
  <c r="Q664" i="6"/>
  <c r="Q665" i="6"/>
  <c r="Q666" i="6"/>
  <c r="Q667" i="6"/>
  <c r="Q668" i="6"/>
  <c r="Q669" i="6"/>
  <c r="Q670" i="6"/>
  <c r="Q671" i="6"/>
  <c r="Q672" i="6"/>
  <c r="Q673" i="6"/>
  <c r="Q674" i="6"/>
  <c r="Q675" i="6"/>
  <c r="Q676" i="6"/>
  <c r="Q677" i="6"/>
  <c r="Q678" i="6"/>
  <c r="Q679" i="6"/>
  <c r="Q680" i="6"/>
  <c r="Q681" i="6"/>
  <c r="Q682" i="6"/>
  <c r="Q683" i="6"/>
  <c r="Q684" i="6"/>
  <c r="Q685" i="6"/>
  <c r="Q686" i="6"/>
  <c r="Q687" i="6"/>
  <c r="Q688" i="6"/>
  <c r="Q689" i="6"/>
  <c r="Q690" i="6"/>
  <c r="Q691" i="6"/>
  <c r="Q692" i="6"/>
  <c r="Q693" i="6"/>
  <c r="Q694" i="6"/>
  <c r="Q695" i="6"/>
  <c r="Q696" i="6"/>
  <c r="Q697" i="6"/>
  <c r="Q698" i="6"/>
  <c r="Q699" i="6"/>
  <c r="Q700" i="6"/>
  <c r="Q701" i="6"/>
  <c r="Q702" i="6"/>
  <c r="Q703" i="6"/>
  <c r="Q704" i="6"/>
  <c r="Q705" i="6"/>
  <c r="Q706" i="6"/>
  <c r="Q707" i="6"/>
  <c r="Q708" i="6"/>
  <c r="Q709" i="6"/>
  <c r="Q710" i="6"/>
  <c r="Q711" i="6"/>
  <c r="Q712" i="6"/>
  <c r="Q713" i="6"/>
  <c r="Q714" i="6"/>
  <c r="Q715" i="6"/>
  <c r="Q716" i="6"/>
  <c r="Q717" i="6"/>
  <c r="Q718" i="6"/>
  <c r="Q719" i="6"/>
  <c r="Q720" i="6"/>
  <c r="Q721" i="6"/>
  <c r="Q722" i="6"/>
  <c r="Q723" i="6"/>
  <c r="Q724" i="6"/>
  <c r="Q725" i="6"/>
  <c r="Q726" i="6"/>
  <c r="Q727" i="6"/>
  <c r="Q728" i="6"/>
  <c r="Q729" i="6"/>
  <c r="Q730" i="6"/>
  <c r="Q731" i="6"/>
  <c r="Q732" i="6"/>
  <c r="Q733" i="6"/>
  <c r="Q734" i="6"/>
  <c r="Q735" i="6"/>
  <c r="Q736" i="6"/>
  <c r="Q737" i="6"/>
  <c r="Q738" i="6"/>
  <c r="Q739" i="6"/>
  <c r="Q740" i="6"/>
  <c r="Q741" i="6"/>
  <c r="Q742" i="6"/>
  <c r="Q743" i="6"/>
  <c r="Q744" i="6"/>
  <c r="Q745" i="6"/>
  <c r="Q746" i="6"/>
  <c r="Q747" i="6"/>
  <c r="Q748" i="6"/>
  <c r="Q749" i="6"/>
  <c r="Q750" i="6"/>
  <c r="Q751" i="6"/>
  <c r="Q752" i="6"/>
  <c r="Q753" i="6"/>
  <c r="Q754" i="6"/>
  <c r="Q755" i="6"/>
  <c r="Q756" i="6"/>
  <c r="Q757" i="6"/>
  <c r="Q758" i="6"/>
  <c r="Q759" i="6"/>
  <c r="Q760" i="6"/>
  <c r="Q761" i="6"/>
  <c r="Q762" i="6"/>
  <c r="Q763" i="6"/>
  <c r="Q764" i="6"/>
  <c r="Q765" i="6"/>
  <c r="Q766" i="6"/>
  <c r="Q767" i="6"/>
  <c r="Q768" i="6"/>
  <c r="Q769" i="6"/>
  <c r="Q770" i="6"/>
  <c r="Q771" i="6"/>
  <c r="Q772" i="6"/>
  <c r="Q773" i="6"/>
  <c r="Q774" i="6"/>
  <c r="Q775" i="6"/>
  <c r="Q776" i="6"/>
  <c r="Q777" i="6"/>
  <c r="Q778" i="6"/>
  <c r="Q779" i="6"/>
  <c r="Q780" i="6"/>
  <c r="Q781" i="6"/>
  <c r="Q782" i="6"/>
  <c r="Q783" i="6"/>
  <c r="Q784" i="6"/>
  <c r="Q785" i="6"/>
  <c r="Q786" i="6"/>
  <c r="Q787" i="6"/>
  <c r="Q788" i="6"/>
  <c r="Q789" i="6"/>
  <c r="Q790" i="6"/>
  <c r="Q791" i="6"/>
  <c r="Q792" i="6"/>
  <c r="Q793" i="6"/>
  <c r="Q794" i="6"/>
  <c r="Q795" i="6"/>
  <c r="Q796" i="6"/>
  <c r="Q797" i="6"/>
  <c r="Q798" i="6"/>
  <c r="Q799" i="6"/>
  <c r="Q800" i="6"/>
  <c r="Q801" i="6"/>
  <c r="Q802" i="6"/>
  <c r="Q803" i="6"/>
  <c r="Q804" i="6"/>
  <c r="Q805" i="6"/>
  <c r="Q806" i="6"/>
  <c r="Q807" i="6"/>
  <c r="Q808" i="6"/>
  <c r="Q809" i="6"/>
  <c r="Q810" i="6"/>
  <c r="Q811" i="6"/>
  <c r="Q812" i="6"/>
  <c r="Q813" i="6"/>
  <c r="Q814" i="6"/>
  <c r="Q815" i="6"/>
  <c r="Q816" i="6"/>
  <c r="Q817" i="6"/>
  <c r="Q818" i="6"/>
  <c r="Q819" i="6"/>
  <c r="Q820" i="6"/>
  <c r="Q821" i="6"/>
  <c r="Q822" i="6"/>
  <c r="Q823" i="6"/>
  <c r="Q824" i="6"/>
  <c r="Q825" i="6"/>
  <c r="Q826" i="6"/>
  <c r="Q827" i="6"/>
  <c r="Q828" i="6"/>
  <c r="Q829" i="6"/>
  <c r="Q830" i="6"/>
  <c r="Q831" i="6"/>
  <c r="Q832" i="6"/>
  <c r="Q833" i="6"/>
  <c r="Q834" i="6"/>
  <c r="Q835" i="6"/>
  <c r="Q836" i="6"/>
  <c r="Q837" i="6"/>
  <c r="Q838" i="6"/>
  <c r="Q839" i="6"/>
  <c r="Q840" i="6"/>
  <c r="Q841" i="6"/>
  <c r="Q842" i="6"/>
  <c r="Q843" i="6"/>
  <c r="Q844" i="6"/>
  <c r="Q845" i="6"/>
  <c r="Q846" i="6"/>
  <c r="Q847" i="6"/>
  <c r="Q848" i="6"/>
  <c r="Q849" i="6"/>
  <c r="Q850" i="6"/>
  <c r="Q851" i="6"/>
  <c r="Q852" i="6"/>
  <c r="Q853" i="6"/>
  <c r="Q854" i="6"/>
  <c r="Q855" i="6"/>
  <c r="Q856" i="6"/>
  <c r="Q857" i="6"/>
  <c r="Q858" i="6"/>
  <c r="Q859" i="6"/>
  <c r="Q860" i="6"/>
  <c r="Q861" i="6"/>
  <c r="Q862" i="6"/>
  <c r="Q863" i="6"/>
  <c r="Q864" i="6"/>
  <c r="Q865" i="6"/>
  <c r="Q866" i="6"/>
  <c r="Q867" i="6"/>
  <c r="Q868" i="6"/>
  <c r="Q869" i="6"/>
  <c r="Q870" i="6"/>
  <c r="Q871" i="6"/>
  <c r="Q872" i="6"/>
  <c r="Q873" i="6"/>
  <c r="Q874" i="6"/>
  <c r="Q875" i="6"/>
  <c r="Q876" i="6"/>
  <c r="Q877" i="6"/>
  <c r="Q878" i="6"/>
  <c r="Q879" i="6"/>
  <c r="Q880" i="6"/>
  <c r="Q881" i="6"/>
  <c r="Q882" i="6"/>
  <c r="Q883" i="6"/>
  <c r="Q884" i="6"/>
  <c r="Q885" i="6"/>
  <c r="Q886" i="6"/>
  <c r="Q887" i="6"/>
  <c r="Q888" i="6"/>
  <c r="Q889" i="6"/>
  <c r="Q890" i="6"/>
  <c r="Q891" i="6"/>
  <c r="Q892" i="6"/>
  <c r="Q893" i="6"/>
  <c r="Q894" i="6"/>
  <c r="Q895" i="6"/>
  <c r="Q896" i="6"/>
  <c r="Q897" i="6"/>
  <c r="Q898" i="6"/>
  <c r="Q899" i="6"/>
  <c r="Q900" i="6"/>
  <c r="Q901" i="6"/>
  <c r="Q902" i="6"/>
  <c r="Q903" i="6"/>
  <c r="Q904" i="6"/>
  <c r="Q905" i="6"/>
  <c r="Q906" i="6"/>
  <c r="Q907" i="6"/>
  <c r="Q908" i="6"/>
  <c r="Q909" i="6"/>
  <c r="Q910" i="6"/>
  <c r="Q911" i="6"/>
  <c r="Q912" i="6"/>
  <c r="Q913" i="6"/>
  <c r="Q914" i="6"/>
  <c r="Q915" i="6"/>
  <c r="Q916" i="6"/>
  <c r="Q917" i="6"/>
  <c r="Q918" i="6"/>
  <c r="Q919" i="6"/>
  <c r="Q920" i="6"/>
  <c r="Q921" i="6"/>
  <c r="Q922" i="6"/>
  <c r="Q923" i="6"/>
  <c r="Q924" i="6"/>
  <c r="Q925" i="6"/>
  <c r="Q926" i="6"/>
  <c r="Q927" i="6"/>
  <c r="Q928" i="6"/>
  <c r="Q929" i="6"/>
  <c r="Q930" i="6"/>
  <c r="Q931" i="6"/>
  <c r="Q932" i="6"/>
  <c r="Q933" i="6"/>
  <c r="Q934" i="6"/>
  <c r="Q935" i="6"/>
  <c r="Q936" i="6"/>
  <c r="Q937" i="6"/>
  <c r="Q938" i="6"/>
  <c r="Q939" i="6"/>
  <c r="Q940" i="6"/>
  <c r="Q941" i="6"/>
  <c r="Q942" i="6"/>
  <c r="Q943" i="6"/>
  <c r="Q944" i="6"/>
  <c r="Q945" i="6"/>
  <c r="Q946" i="6"/>
  <c r="Q947" i="6"/>
  <c r="Q948" i="6"/>
  <c r="Q949" i="6"/>
  <c r="Q950" i="6"/>
  <c r="Q951" i="6"/>
  <c r="Q952" i="6"/>
  <c r="Q953" i="6"/>
  <c r="Q954" i="6"/>
  <c r="Q955" i="6"/>
  <c r="Q956" i="6"/>
  <c r="Q957" i="6"/>
  <c r="Q958" i="6"/>
  <c r="Q959" i="6"/>
  <c r="Q960" i="6"/>
  <c r="Q961" i="6"/>
  <c r="Q962" i="6"/>
  <c r="Q963" i="6"/>
  <c r="Q964" i="6"/>
  <c r="Q965" i="6"/>
  <c r="Q966" i="6"/>
  <c r="Q967" i="6"/>
  <c r="Q968" i="6"/>
  <c r="Q969" i="6"/>
  <c r="Q970" i="6"/>
  <c r="Q971" i="6"/>
  <c r="Q972" i="6"/>
  <c r="Q973" i="6"/>
  <c r="Q974" i="6"/>
  <c r="Q975" i="6"/>
  <c r="Q976" i="6"/>
  <c r="Q977" i="6"/>
  <c r="Q978" i="6"/>
  <c r="Q979" i="6"/>
  <c r="Q980" i="6"/>
  <c r="Q981" i="6"/>
  <c r="Q982" i="6"/>
  <c r="Q983" i="6"/>
  <c r="Q984" i="6"/>
  <c r="Q985" i="6"/>
  <c r="Q986" i="6"/>
  <c r="Q987" i="6"/>
  <c r="Q988" i="6"/>
  <c r="Q989" i="6"/>
  <c r="Q990" i="6"/>
  <c r="Q991" i="6"/>
  <c r="Q992" i="6"/>
  <c r="Q993" i="6"/>
  <c r="Q994" i="6"/>
  <c r="Q995" i="6"/>
  <c r="Q996" i="6"/>
  <c r="Q997" i="6"/>
  <c r="Q998" i="6"/>
  <c r="Q999" i="6"/>
  <c r="Q1000" i="6"/>
  <c r="Q1001" i="6"/>
  <c r="Q1002" i="6"/>
  <c r="Q1003" i="6"/>
  <c r="Q1004" i="6"/>
  <c r="Q1005" i="6"/>
  <c r="Q1006" i="6"/>
  <c r="Q1007" i="6"/>
  <c r="Q1008" i="6"/>
  <c r="Q1009" i="6"/>
  <c r="Q1010" i="6"/>
  <c r="Q1011" i="6"/>
  <c r="Q1012" i="6"/>
  <c r="Q1013" i="6"/>
  <c r="Q1014" i="6"/>
  <c r="Q1015" i="6"/>
  <c r="Q1016" i="6"/>
  <c r="Q1017" i="6"/>
  <c r="Q1018" i="6"/>
  <c r="Q1019" i="6"/>
  <c r="Q1020" i="6"/>
  <c r="Q1021" i="6"/>
  <c r="Q1022" i="6"/>
  <c r="Q1023" i="6"/>
  <c r="Q1024" i="6"/>
  <c r="Q1025" i="6"/>
  <c r="Q1026" i="6"/>
  <c r="Q1027" i="6"/>
  <c r="Q1028" i="6"/>
  <c r="Q1029" i="6"/>
  <c r="Q1030" i="6"/>
  <c r="Q1031" i="6"/>
  <c r="Q1032" i="6"/>
  <c r="Q1033" i="6"/>
  <c r="Q1034" i="6"/>
  <c r="Q1035" i="6"/>
  <c r="Q1036" i="6"/>
  <c r="Q1037" i="6"/>
  <c r="Q1038" i="6"/>
  <c r="Q1039" i="6"/>
  <c r="Q1040" i="6"/>
  <c r="Q1041" i="6"/>
  <c r="Q1042" i="6"/>
  <c r="Q1043" i="6"/>
  <c r="Q1044" i="6"/>
  <c r="Q1045" i="6"/>
  <c r="Q1046" i="6"/>
  <c r="Q1047" i="6"/>
  <c r="Q1048" i="6"/>
  <c r="Q1049" i="6"/>
  <c r="Q1050" i="6"/>
  <c r="Q1051" i="6"/>
  <c r="Q1052" i="6"/>
  <c r="Q1053" i="6"/>
  <c r="Q1054" i="6"/>
  <c r="Q1055" i="6"/>
  <c r="Q1056" i="6"/>
  <c r="Q1057" i="6"/>
  <c r="Q1058" i="6"/>
  <c r="Q1059" i="6"/>
  <c r="Q1060" i="6"/>
  <c r="Q1061" i="6"/>
  <c r="Q1062" i="6"/>
  <c r="Q1063" i="6"/>
  <c r="Q1064" i="6"/>
  <c r="Q1065" i="6"/>
  <c r="Q1066" i="6"/>
  <c r="Q1067" i="6"/>
  <c r="Q1068" i="6"/>
  <c r="Q1069" i="6"/>
  <c r="Q1070" i="6"/>
  <c r="Q1071" i="6"/>
  <c r="Q1072" i="6"/>
  <c r="Q1073" i="6"/>
  <c r="Q1074" i="6"/>
  <c r="Q1075" i="6"/>
  <c r="Q1076" i="6"/>
  <c r="Q1077" i="6"/>
  <c r="Q1078" i="6"/>
  <c r="Q1079" i="6"/>
  <c r="Q1080" i="6"/>
  <c r="Q1081" i="6"/>
  <c r="Q1082" i="6"/>
  <c r="Q1083" i="6"/>
  <c r="Q1084" i="6"/>
  <c r="Q1085" i="6"/>
  <c r="Q1086" i="6"/>
  <c r="Q1087" i="6"/>
  <c r="Q1088" i="6"/>
  <c r="Q1089" i="6"/>
  <c r="Q1090" i="6"/>
  <c r="Q1091" i="6"/>
  <c r="Q1092" i="6"/>
  <c r="Q1093" i="6"/>
  <c r="Q1094" i="6"/>
  <c r="Q1095" i="6"/>
  <c r="Q1096" i="6"/>
  <c r="Q1097" i="6"/>
  <c r="Q1098" i="6"/>
  <c r="Q1099" i="6"/>
  <c r="Q1100" i="6"/>
  <c r="Q1101" i="6"/>
  <c r="Q1102" i="6"/>
  <c r="Q1103" i="6"/>
  <c r="Q1104" i="6"/>
  <c r="Q1105" i="6"/>
  <c r="Q1106" i="6"/>
  <c r="Q1107" i="6"/>
  <c r="Q1108" i="6"/>
  <c r="Q1109" i="6"/>
  <c r="Q1110" i="6"/>
  <c r="Q1111" i="6"/>
  <c r="Q1112" i="6"/>
  <c r="Q1113" i="6"/>
  <c r="Q1114" i="6"/>
  <c r="Q1115" i="6"/>
  <c r="Q1116" i="6"/>
  <c r="Q1117" i="6"/>
  <c r="Q1118" i="6"/>
  <c r="Q1119" i="6"/>
  <c r="Q1120" i="6"/>
  <c r="Q1121" i="6"/>
  <c r="Q1122" i="6"/>
  <c r="Q1123" i="6"/>
  <c r="Q1124" i="6"/>
  <c r="Q1125" i="6"/>
  <c r="Q1126" i="6"/>
  <c r="Q1127" i="6"/>
  <c r="Q1128" i="6"/>
  <c r="Q1129" i="6"/>
  <c r="Q1130" i="6"/>
  <c r="Q1131" i="6"/>
  <c r="Q1132" i="6"/>
  <c r="Q1133" i="6"/>
  <c r="Q1134" i="6"/>
  <c r="Q1135" i="6"/>
  <c r="Q1136" i="6"/>
  <c r="Q1137" i="6"/>
  <c r="Q1138" i="6"/>
  <c r="Q1139" i="6"/>
  <c r="Q1140" i="6"/>
  <c r="Q1141" i="6"/>
  <c r="Q1142" i="6"/>
  <c r="Q1143" i="6"/>
  <c r="Q1144" i="6"/>
  <c r="Q1145" i="6"/>
  <c r="Q1146" i="6"/>
  <c r="Q1147" i="6"/>
  <c r="Q1148" i="6"/>
  <c r="Q1149" i="6"/>
  <c r="Q1150" i="6"/>
  <c r="Q1151" i="6"/>
  <c r="Q1152" i="6"/>
  <c r="Q1153" i="6"/>
  <c r="Q1154" i="6"/>
  <c r="Q1155" i="6"/>
  <c r="Q1156" i="6"/>
  <c r="Q1157" i="6"/>
  <c r="Q1158" i="6"/>
  <c r="Q1159" i="6"/>
  <c r="Q1160" i="6"/>
  <c r="Q1161" i="6"/>
  <c r="Q1162" i="6"/>
  <c r="Q1163" i="6"/>
  <c r="Q1164" i="6"/>
  <c r="Q1165" i="6"/>
  <c r="Q1166" i="6"/>
  <c r="Q1167" i="6"/>
  <c r="Q1168" i="6"/>
  <c r="Q1169" i="6"/>
  <c r="Q1170" i="6"/>
  <c r="Q1171" i="6"/>
  <c r="Q1172" i="6"/>
  <c r="Q1173" i="6"/>
  <c r="Q1174" i="6"/>
  <c r="Q1175" i="6"/>
  <c r="Q1176" i="6"/>
  <c r="Q1177" i="6"/>
  <c r="Q1178" i="6"/>
  <c r="Q1179" i="6"/>
  <c r="Q1180" i="6"/>
  <c r="Q1181" i="6"/>
  <c r="Q1182" i="6"/>
  <c r="Q1183" i="6"/>
  <c r="Q1184" i="6"/>
  <c r="Q1185" i="6"/>
  <c r="Q1186" i="6"/>
  <c r="Q1187" i="6"/>
  <c r="Q1188" i="6"/>
  <c r="Q1189" i="6"/>
  <c r="Q1190" i="6"/>
  <c r="Q1191" i="6"/>
  <c r="Q1192" i="6"/>
  <c r="Q1193" i="6"/>
  <c r="Q1194" i="6"/>
  <c r="Q1195" i="6"/>
  <c r="Q1196" i="6"/>
  <c r="Q1197" i="6"/>
  <c r="Q1198" i="6"/>
  <c r="Q1199" i="6"/>
  <c r="Q1200" i="6"/>
  <c r="Q1201" i="6"/>
  <c r="Q1202" i="6"/>
  <c r="Q1203" i="6"/>
  <c r="Q1204" i="6"/>
  <c r="Q1205" i="6"/>
  <c r="Q1206" i="6"/>
  <c r="Q1207" i="6"/>
  <c r="Q1208" i="6"/>
  <c r="Q1209" i="6"/>
  <c r="Q1210" i="6"/>
  <c r="Q1211" i="6"/>
  <c r="Q1212" i="6"/>
  <c r="Q1213" i="6"/>
  <c r="Q1214" i="6"/>
  <c r="Q1215" i="6"/>
  <c r="Q1216" i="6"/>
  <c r="Q1217" i="6"/>
  <c r="Q1218" i="6"/>
  <c r="Q1219" i="6"/>
  <c r="Q1220" i="6"/>
  <c r="Q1221" i="6"/>
  <c r="Q1222" i="6"/>
  <c r="Q1223" i="6"/>
  <c r="Q1224" i="6"/>
  <c r="Q1225" i="6"/>
  <c r="Q1226" i="6"/>
  <c r="Q1227" i="6"/>
  <c r="Q1228" i="6"/>
  <c r="Q1229" i="6"/>
  <c r="Q1230" i="6"/>
  <c r="Q1231" i="6"/>
  <c r="Q1232" i="6"/>
  <c r="Q1233" i="6"/>
  <c r="Q1234" i="6"/>
  <c r="Q1235" i="6"/>
  <c r="Q1236" i="6"/>
  <c r="Q1237" i="6"/>
  <c r="Q1238" i="6"/>
  <c r="Q1239" i="6"/>
  <c r="Q1240" i="6"/>
  <c r="Q1241" i="6"/>
  <c r="Q1242" i="6"/>
  <c r="Q1243" i="6"/>
  <c r="Q1244" i="6"/>
  <c r="Q1245" i="6"/>
  <c r="Q1246" i="6"/>
  <c r="Q1247" i="6"/>
  <c r="Q1248" i="6"/>
  <c r="Q1249" i="6"/>
  <c r="Q1250" i="6"/>
  <c r="Q1251" i="6"/>
  <c r="Q1252" i="6"/>
  <c r="Q1253" i="6"/>
  <c r="Q1254" i="6"/>
  <c r="Q1255" i="6"/>
  <c r="Q1256" i="6"/>
  <c r="Q1257" i="6"/>
  <c r="Q1258" i="6"/>
  <c r="Q1259" i="6"/>
  <c r="Q1260" i="6"/>
  <c r="Q1261" i="6"/>
  <c r="Q1262" i="6"/>
  <c r="Q1263" i="6"/>
  <c r="Q1264" i="6"/>
  <c r="Q1265" i="6"/>
  <c r="Q1266" i="6"/>
  <c r="Q1267" i="6"/>
  <c r="Q1268" i="6"/>
  <c r="Q1269" i="6"/>
  <c r="Q1270" i="6"/>
  <c r="Q1271" i="6"/>
  <c r="Q1272" i="6"/>
  <c r="Q1273" i="6"/>
  <c r="Q1274" i="6"/>
  <c r="Q1275" i="6"/>
  <c r="Q1276" i="6"/>
  <c r="Q1277" i="6"/>
  <c r="Q1278" i="6"/>
  <c r="Q1279" i="6"/>
  <c r="Q1280" i="6"/>
  <c r="Q1281" i="6"/>
  <c r="Q1282" i="6"/>
  <c r="Q1283" i="6"/>
  <c r="Q1284" i="6"/>
  <c r="Q1285" i="6"/>
  <c r="Q1286" i="6"/>
  <c r="Q1287" i="6"/>
  <c r="Q1288" i="6"/>
  <c r="Q1289" i="6"/>
  <c r="Q1290" i="6"/>
  <c r="Q1291" i="6"/>
  <c r="Q1292" i="6"/>
  <c r="Q1293" i="6"/>
  <c r="Q1294" i="6"/>
  <c r="Q1295" i="6"/>
  <c r="Q1296" i="6"/>
  <c r="Q1297" i="6"/>
  <c r="Q1298" i="6"/>
  <c r="Q1299" i="6"/>
  <c r="Q1300" i="6"/>
  <c r="Q1301" i="6"/>
  <c r="Q1302" i="6"/>
  <c r="Q1303" i="6"/>
  <c r="Q1304" i="6"/>
  <c r="Q1305" i="6"/>
  <c r="Q1306" i="6"/>
  <c r="Q1307" i="6"/>
  <c r="Q1308" i="6"/>
  <c r="Q1309" i="6"/>
  <c r="Q1310" i="6"/>
  <c r="Q1311" i="6"/>
  <c r="Q1312" i="6"/>
  <c r="Q1313" i="6"/>
  <c r="Q1314" i="6"/>
  <c r="Q1315" i="6"/>
  <c r="Q1316" i="6"/>
  <c r="Q1317" i="6"/>
  <c r="Q1318" i="6"/>
  <c r="Q1319" i="6"/>
  <c r="Q1320" i="6"/>
  <c r="Q1321" i="6"/>
  <c r="Q1322" i="6"/>
  <c r="Q1323" i="6"/>
  <c r="Q1324" i="6"/>
  <c r="Q1325" i="6"/>
  <c r="Q1326" i="6"/>
  <c r="Q1327" i="6"/>
  <c r="Q1328" i="6"/>
  <c r="Q1329" i="6"/>
  <c r="Q1330" i="6"/>
  <c r="Q1331" i="6"/>
  <c r="Q1332" i="6"/>
  <c r="Q1333" i="6"/>
  <c r="Q1334" i="6"/>
  <c r="Q1335" i="6"/>
  <c r="Q1336" i="6"/>
  <c r="Q1337" i="6"/>
  <c r="Q1338" i="6"/>
  <c r="Q1339" i="6"/>
  <c r="Q1340" i="6"/>
  <c r="Q1341" i="6"/>
  <c r="Q1342" i="6"/>
  <c r="Q1343" i="6"/>
  <c r="Q1344" i="6"/>
  <c r="Q1345" i="6"/>
  <c r="Q1346" i="6"/>
  <c r="Q1347" i="6"/>
  <c r="Q1348" i="6"/>
  <c r="Q1349" i="6"/>
  <c r="Q1350" i="6"/>
  <c r="Q1351" i="6"/>
  <c r="Q1352" i="6"/>
  <c r="Q1353" i="6"/>
  <c r="Q1354" i="6"/>
  <c r="Q1355" i="6"/>
  <c r="Q1356" i="6"/>
  <c r="Q1357" i="6"/>
  <c r="Q1358" i="6"/>
  <c r="Q1359" i="6"/>
  <c r="Q1360" i="6"/>
  <c r="Q1361" i="6"/>
  <c r="Q1362" i="6"/>
  <c r="Q1363" i="6"/>
  <c r="Q1364" i="6"/>
  <c r="Q1365" i="6"/>
  <c r="Q1366" i="6"/>
  <c r="Q1367" i="6"/>
  <c r="Q1368" i="6"/>
  <c r="Q1369" i="6"/>
  <c r="Q1370" i="6"/>
  <c r="Q1371" i="6"/>
  <c r="Q1372" i="6"/>
  <c r="Q1373" i="6"/>
  <c r="Q1374" i="6"/>
  <c r="Q1375" i="6"/>
  <c r="Q1376" i="6"/>
  <c r="Q1377" i="6"/>
  <c r="Q1378" i="6"/>
  <c r="Q1379" i="6"/>
  <c r="Q1380" i="6"/>
  <c r="Q1381" i="6"/>
  <c r="Q1382" i="6"/>
  <c r="Q1383" i="6"/>
  <c r="Q1384" i="6"/>
  <c r="Q1385" i="6"/>
  <c r="Q1386" i="6"/>
  <c r="Q1387" i="6"/>
  <c r="Q1388" i="6"/>
  <c r="Q1389" i="6"/>
  <c r="Q1390" i="6"/>
  <c r="Q1391" i="6"/>
  <c r="Q1392" i="6"/>
  <c r="Q1393" i="6"/>
  <c r="Q1394" i="6"/>
  <c r="Q1395" i="6"/>
  <c r="Q1396" i="6"/>
  <c r="Q1397" i="6"/>
  <c r="Q1398" i="6"/>
  <c r="Q1399" i="6"/>
  <c r="Q1400" i="6"/>
  <c r="Q1401" i="6"/>
  <c r="Q1402" i="6"/>
  <c r="Q1403" i="6"/>
  <c r="Q1404" i="6"/>
  <c r="Q1405" i="6"/>
  <c r="Q1406" i="6"/>
  <c r="Q1407" i="6"/>
  <c r="Q1408" i="6"/>
  <c r="Q1409" i="6"/>
  <c r="Q1410" i="6"/>
  <c r="Q1411" i="6"/>
  <c r="Q1412" i="6"/>
  <c r="Q1413" i="6"/>
  <c r="Q1414" i="6"/>
  <c r="Q1415" i="6"/>
  <c r="Q1416" i="6"/>
  <c r="Q1417" i="6"/>
  <c r="Q1418" i="6"/>
  <c r="Q1419" i="6"/>
  <c r="Q1420" i="6"/>
  <c r="Q1421" i="6"/>
  <c r="Q1422" i="6"/>
  <c r="Q1423" i="6"/>
  <c r="Q1424" i="6"/>
  <c r="Q1425" i="6"/>
  <c r="Q1426" i="6"/>
  <c r="Q1427" i="6"/>
  <c r="Q1428" i="6"/>
  <c r="Q1429" i="6"/>
  <c r="Q1430" i="6"/>
  <c r="Q1431" i="6"/>
  <c r="Q1432" i="6"/>
  <c r="Q1433" i="6"/>
  <c r="Q1434" i="6"/>
  <c r="Q1435" i="6"/>
  <c r="Q1436" i="6"/>
  <c r="Q1437" i="6"/>
  <c r="Q1438" i="6"/>
  <c r="Q1439" i="6"/>
  <c r="Q1440" i="6"/>
  <c r="Q1441" i="6"/>
  <c r="Q1442" i="6"/>
  <c r="Q1443" i="6"/>
  <c r="Q1444" i="6"/>
  <c r="Q1445" i="6"/>
  <c r="Q1446" i="6"/>
  <c r="Q1447" i="6"/>
  <c r="Q1448" i="6"/>
  <c r="Q1449" i="6"/>
  <c r="Q1450" i="6"/>
  <c r="Q1451" i="6"/>
  <c r="Q1452" i="6"/>
  <c r="Q1453" i="6"/>
  <c r="Q1454" i="6"/>
  <c r="Q1455" i="6"/>
  <c r="Q1456" i="6"/>
  <c r="Q1457" i="6"/>
  <c r="Q1458" i="6"/>
  <c r="Q1459" i="6"/>
  <c r="Q1460" i="6"/>
  <c r="Q1461" i="6"/>
  <c r="Q1462" i="6"/>
  <c r="Q1463" i="6"/>
  <c r="Q1464" i="6"/>
  <c r="Q1465" i="6"/>
  <c r="Q1466" i="6"/>
  <c r="Q1467" i="6"/>
  <c r="Q1468" i="6"/>
  <c r="Q1469" i="6"/>
  <c r="Q1470" i="6"/>
  <c r="Q1471" i="6"/>
  <c r="Q1472" i="6"/>
  <c r="Q1473" i="6"/>
  <c r="Q1474" i="6"/>
  <c r="Q1475" i="6"/>
  <c r="Q1476" i="6"/>
  <c r="Q1477" i="6"/>
  <c r="Q1478" i="6"/>
  <c r="Q1479" i="6"/>
  <c r="Q1480" i="6"/>
  <c r="Q1481" i="6"/>
  <c r="Q1482" i="6"/>
  <c r="Q1483" i="6"/>
  <c r="Q1484" i="6"/>
  <c r="Q1485" i="6"/>
  <c r="Q1486" i="6"/>
  <c r="Q1487" i="6"/>
  <c r="Q1488" i="6"/>
  <c r="Q1489" i="6"/>
  <c r="Q1490" i="6"/>
  <c r="Q1491" i="6"/>
  <c r="Q1492" i="6"/>
  <c r="Q1493" i="6"/>
  <c r="Q1494" i="6"/>
  <c r="Q1495" i="6"/>
  <c r="Q1496" i="6"/>
  <c r="Q1497" i="6"/>
  <c r="Q1498" i="6"/>
  <c r="Q1499" i="6"/>
  <c r="Q1500" i="6"/>
  <c r="Q1501" i="6"/>
  <c r="Q1502" i="6"/>
  <c r="Q1503" i="6"/>
  <c r="Q1504" i="6"/>
  <c r="Q1505" i="6"/>
  <c r="Q1506" i="6"/>
  <c r="Q1507" i="6"/>
  <c r="Q1508" i="6"/>
  <c r="Q1509" i="6"/>
  <c r="Q1510" i="6"/>
  <c r="Q1511" i="6"/>
  <c r="Q1512" i="6"/>
  <c r="Q1513" i="6"/>
  <c r="Q1514" i="6"/>
  <c r="Q1515" i="6"/>
  <c r="Q1516" i="6"/>
  <c r="Q1517" i="6"/>
  <c r="Q1518" i="6"/>
  <c r="Q1519" i="6"/>
  <c r="Q1520" i="6"/>
  <c r="Q1521" i="6"/>
  <c r="Q1522" i="6"/>
  <c r="Q1523" i="6"/>
  <c r="Q1524" i="6"/>
  <c r="Q1525" i="6"/>
  <c r="Q1526" i="6"/>
  <c r="Q1527" i="6"/>
  <c r="Q1528" i="6"/>
  <c r="Q1529" i="6"/>
  <c r="Q1530" i="6"/>
  <c r="Q1531" i="6"/>
  <c r="Q1532" i="6"/>
  <c r="Q1533" i="6"/>
  <c r="Q1534" i="6"/>
  <c r="Q1535" i="6"/>
  <c r="Q1536" i="6"/>
  <c r="Q1537" i="6"/>
  <c r="Q1538" i="6"/>
  <c r="Q1539" i="6"/>
  <c r="Q1540" i="6"/>
  <c r="Q1541" i="6"/>
  <c r="Q1542" i="6"/>
  <c r="Q1543" i="6"/>
  <c r="Q1544" i="6"/>
  <c r="Q1545" i="6"/>
  <c r="Q1546" i="6"/>
  <c r="Q1547" i="6"/>
  <c r="Q1548" i="6"/>
  <c r="Q1549" i="6"/>
  <c r="Q1550" i="6"/>
  <c r="Q1551" i="6"/>
  <c r="Q1552" i="6"/>
  <c r="Q1553" i="6"/>
  <c r="Q1554" i="6"/>
  <c r="Q1555" i="6"/>
  <c r="Q1556" i="6"/>
  <c r="Q1557" i="6"/>
  <c r="Q1558" i="6"/>
  <c r="Q1559" i="6"/>
  <c r="Q1560" i="6"/>
  <c r="Q1561" i="6"/>
  <c r="Q1562" i="6"/>
  <c r="Q1563" i="6"/>
  <c r="Q1564" i="6"/>
  <c r="Q1565" i="6"/>
  <c r="Q1566" i="6"/>
  <c r="Q1567" i="6"/>
  <c r="Q1568" i="6"/>
  <c r="Q1569" i="6"/>
  <c r="Q1570" i="6"/>
  <c r="Q1571" i="6"/>
  <c r="Q1572" i="6"/>
  <c r="Q1573" i="6"/>
  <c r="Q1574" i="6"/>
  <c r="Q1575" i="6"/>
  <c r="Q1576" i="6"/>
  <c r="Q1577" i="6"/>
  <c r="Q1578" i="6"/>
  <c r="Q1579" i="6"/>
  <c r="Q1580" i="6"/>
  <c r="Q1581" i="6"/>
  <c r="Q1582" i="6"/>
  <c r="Q1583" i="6"/>
  <c r="Q1584" i="6"/>
  <c r="Q1585" i="6"/>
  <c r="Q1586" i="6"/>
  <c r="Q1587" i="6"/>
  <c r="Q1588" i="6"/>
  <c r="Q1589" i="6"/>
  <c r="Q1590" i="6"/>
  <c r="Q1591" i="6"/>
  <c r="Q1592" i="6"/>
  <c r="Q1593" i="6"/>
  <c r="Q1594" i="6"/>
  <c r="Q1595" i="6"/>
  <c r="Q1596" i="6"/>
  <c r="Q1597" i="6"/>
  <c r="Q1598" i="6"/>
  <c r="Q1599" i="6"/>
  <c r="Q1600" i="6"/>
  <c r="Q1601" i="6"/>
  <c r="Q1602" i="6"/>
  <c r="Q1603" i="6"/>
  <c r="Q1604" i="6"/>
  <c r="Q1605" i="6"/>
  <c r="Q1606" i="6"/>
  <c r="Q1607" i="6"/>
  <c r="Q1608" i="6"/>
  <c r="Q1609" i="6"/>
  <c r="Q1610" i="6"/>
  <c r="Q1611" i="6"/>
  <c r="Q1612" i="6"/>
  <c r="Q1613" i="6"/>
  <c r="Q1614" i="6"/>
  <c r="Q1615" i="6"/>
  <c r="Q1616" i="6"/>
  <c r="Q1617" i="6"/>
  <c r="Q1618" i="6"/>
  <c r="Q1619" i="6"/>
  <c r="Q1620" i="6"/>
  <c r="Q1621" i="6"/>
  <c r="Q1622" i="6"/>
  <c r="Q1623" i="6"/>
  <c r="Q1624" i="6"/>
  <c r="Q1625" i="6"/>
  <c r="Q1626" i="6"/>
  <c r="Q1627" i="6"/>
  <c r="Q1628" i="6"/>
  <c r="Q1629" i="6"/>
  <c r="Q1630" i="6"/>
  <c r="Q1631" i="6"/>
  <c r="Q1632" i="6"/>
  <c r="Q1633" i="6"/>
  <c r="Q1634" i="6"/>
  <c r="Q1635" i="6"/>
  <c r="Q1636" i="6"/>
  <c r="Q1637" i="6"/>
  <c r="Q1638" i="6"/>
  <c r="Q1639" i="6"/>
  <c r="Q1640" i="6"/>
  <c r="Q1641" i="6"/>
  <c r="Q1642" i="6"/>
  <c r="Q1643" i="6"/>
  <c r="Q1644" i="6"/>
  <c r="Q1645" i="6"/>
  <c r="Q1646" i="6"/>
  <c r="Q1647" i="6"/>
  <c r="Q1648" i="6"/>
  <c r="Q1649" i="6"/>
  <c r="Q1650" i="6"/>
  <c r="Q1651" i="6"/>
  <c r="Q1652" i="6"/>
  <c r="Q1653" i="6"/>
  <c r="Q1654" i="6"/>
  <c r="Q1655" i="6"/>
  <c r="Q1656" i="6"/>
  <c r="Q1657" i="6"/>
  <c r="Q1658" i="6"/>
  <c r="Q1659" i="6"/>
  <c r="Q1660" i="6"/>
  <c r="Q1661" i="6"/>
  <c r="Q1662" i="6"/>
  <c r="Q1663" i="6"/>
  <c r="Q1664" i="6"/>
  <c r="Q1665" i="6"/>
  <c r="Q1666" i="6"/>
  <c r="Q1667" i="6"/>
  <c r="Q1668" i="6"/>
  <c r="Q1669" i="6"/>
  <c r="Q1670" i="6"/>
  <c r="Q1671" i="6"/>
  <c r="Q1672" i="6"/>
  <c r="Q1673" i="6"/>
  <c r="Q1674" i="6"/>
  <c r="Q1675" i="6"/>
  <c r="Q1676" i="6"/>
  <c r="Q1677" i="6"/>
  <c r="Q1678" i="6"/>
  <c r="Q1679" i="6"/>
  <c r="Q1680" i="6"/>
  <c r="Q1681" i="6"/>
  <c r="Q1682" i="6"/>
  <c r="Q1683" i="6"/>
  <c r="Q1684" i="6"/>
  <c r="Q1685" i="6"/>
  <c r="Q1686" i="6"/>
  <c r="Q1687" i="6"/>
  <c r="Q1688" i="6"/>
  <c r="Q1689" i="6"/>
  <c r="Q1690" i="6"/>
  <c r="Q1691" i="6"/>
  <c r="Q1692" i="6"/>
  <c r="Q1693" i="6"/>
  <c r="Q1694" i="6"/>
  <c r="Q1695" i="6"/>
  <c r="Q1696" i="6"/>
  <c r="Q1697" i="6"/>
  <c r="Q1698" i="6"/>
  <c r="Q1699" i="6"/>
  <c r="Q1700" i="6"/>
  <c r="Q1701" i="6"/>
  <c r="Q1702" i="6"/>
  <c r="Q1703" i="6"/>
  <c r="Q1704" i="6"/>
  <c r="Q1705" i="6"/>
  <c r="Q1706" i="6"/>
  <c r="Q1707" i="6"/>
  <c r="Q1708" i="6"/>
  <c r="Q1709" i="6"/>
  <c r="Q1710" i="6"/>
  <c r="Q1711" i="6"/>
  <c r="Q1712" i="6"/>
  <c r="Q1713" i="6"/>
  <c r="Q1714" i="6"/>
  <c r="Q1715" i="6"/>
  <c r="Q1716" i="6"/>
  <c r="Q1717" i="6"/>
  <c r="Q1718" i="6"/>
  <c r="Q1719" i="6"/>
  <c r="Q1720" i="6"/>
  <c r="Q1721" i="6"/>
  <c r="Q1722" i="6"/>
  <c r="Q1723" i="6"/>
  <c r="Q1724" i="6"/>
  <c r="Q1725" i="6"/>
  <c r="Q1726" i="6"/>
  <c r="Q1727" i="6"/>
  <c r="Q1728" i="6"/>
  <c r="Q1729" i="6"/>
  <c r="Q1730" i="6"/>
  <c r="Q1731" i="6"/>
  <c r="Q1732" i="6"/>
  <c r="Q1733" i="6"/>
  <c r="Q1734" i="6"/>
  <c r="Q1735" i="6"/>
  <c r="Q1736" i="6"/>
  <c r="Q1737" i="6"/>
  <c r="Q1738" i="6"/>
  <c r="Q1739" i="6"/>
  <c r="Q1740" i="6"/>
  <c r="Q1741" i="6"/>
  <c r="Q1742" i="6"/>
  <c r="Q1743" i="6"/>
  <c r="Q1744" i="6"/>
  <c r="Q1745" i="6"/>
  <c r="Q1746" i="6"/>
  <c r="Q1747" i="6"/>
  <c r="Q1748" i="6"/>
  <c r="Q1749" i="6"/>
  <c r="Q1750" i="6"/>
  <c r="Q1751" i="6"/>
  <c r="Q1752" i="6"/>
  <c r="Q1753" i="6"/>
  <c r="Q1754" i="6"/>
  <c r="Q1755" i="6"/>
  <c r="Q1756" i="6"/>
  <c r="Q1757" i="6"/>
  <c r="Q1758" i="6"/>
  <c r="Q1759" i="6"/>
  <c r="Q1760" i="6"/>
  <c r="Q1761" i="6"/>
  <c r="Q1762" i="6"/>
  <c r="Q1763" i="6"/>
  <c r="Q1764" i="6"/>
  <c r="Q1765" i="6"/>
  <c r="Q1766" i="6"/>
  <c r="Q1767" i="6"/>
  <c r="Q1768" i="6"/>
  <c r="Q1769" i="6"/>
  <c r="Q1770" i="6"/>
  <c r="Q1771" i="6"/>
  <c r="Q1772" i="6"/>
  <c r="Q1773" i="6"/>
  <c r="Q1774" i="6"/>
  <c r="Q1775" i="6"/>
  <c r="Q1776" i="6"/>
  <c r="Q1777" i="6"/>
  <c r="Q1778" i="6"/>
  <c r="Q1779" i="6"/>
  <c r="Q1780" i="6"/>
  <c r="Q1781" i="6"/>
  <c r="Q1782" i="6"/>
  <c r="Q1783" i="6"/>
  <c r="Q1784" i="6"/>
  <c r="Q1785" i="6"/>
  <c r="Q1786" i="6"/>
  <c r="Q1787" i="6"/>
  <c r="Q1788" i="6"/>
  <c r="Q1789" i="6"/>
  <c r="Q1790" i="6"/>
  <c r="Q1791" i="6"/>
  <c r="Q1792" i="6"/>
  <c r="Q1793" i="6"/>
  <c r="Q1794" i="6"/>
  <c r="Q1795" i="6"/>
  <c r="Q1796" i="6"/>
  <c r="Q1797" i="6"/>
  <c r="Q1798" i="6"/>
  <c r="Q1799" i="6"/>
  <c r="Q1800" i="6"/>
  <c r="Q1801" i="6"/>
  <c r="Q1802" i="6"/>
  <c r="Q1803" i="6"/>
  <c r="Q1804" i="6"/>
  <c r="Q1805" i="6"/>
  <c r="Q1806" i="6"/>
  <c r="Q1807" i="6"/>
  <c r="Q1808" i="6"/>
  <c r="Q1809" i="6"/>
  <c r="Q1810" i="6"/>
  <c r="Q1811" i="6"/>
  <c r="Q1812" i="6"/>
  <c r="Q1813" i="6"/>
  <c r="Q1814" i="6"/>
  <c r="Q1815" i="6"/>
  <c r="Q1816" i="6"/>
  <c r="Q1817" i="6"/>
  <c r="Q1818" i="6"/>
  <c r="Q1819" i="6"/>
  <c r="Q1820" i="6"/>
  <c r="Q1821" i="6"/>
  <c r="Q1822" i="6"/>
  <c r="Q1823" i="6"/>
  <c r="Q1824" i="6"/>
  <c r="Q1825" i="6"/>
  <c r="Q1826" i="6"/>
  <c r="Q1827" i="6"/>
  <c r="Q1828" i="6"/>
  <c r="Q1829" i="6"/>
  <c r="Q1830" i="6"/>
  <c r="Q1831" i="6"/>
  <c r="Q1832" i="6"/>
  <c r="Q1833" i="6"/>
  <c r="Q1834" i="6"/>
  <c r="Q1835" i="6"/>
  <c r="Q1836" i="6"/>
  <c r="Q1837" i="6"/>
  <c r="Q1838" i="6"/>
  <c r="Q1839" i="6"/>
  <c r="Q1840" i="6"/>
  <c r="Q1841" i="6"/>
  <c r="Q1842" i="6"/>
  <c r="Q1843" i="6"/>
  <c r="Q1844" i="6"/>
  <c r="Q1845" i="6"/>
  <c r="Q1846" i="6"/>
  <c r="Q1847" i="6"/>
  <c r="Q1848" i="6"/>
  <c r="Q1849" i="6"/>
  <c r="Q1850" i="6"/>
  <c r="Q1851" i="6"/>
  <c r="Q1852" i="6"/>
  <c r="Q1853" i="6"/>
  <c r="Q1854" i="6"/>
  <c r="Q1855" i="6"/>
  <c r="Q1856" i="6"/>
  <c r="Q1857" i="6"/>
  <c r="Q1858" i="6"/>
  <c r="Q1859" i="6"/>
  <c r="Q1860" i="6"/>
  <c r="Q1861" i="6"/>
  <c r="Q1862" i="6"/>
  <c r="Q1863" i="6"/>
  <c r="Q1864" i="6"/>
  <c r="Q1865" i="6"/>
  <c r="Q1866" i="6"/>
  <c r="Q1867" i="6"/>
  <c r="Q1868" i="6"/>
  <c r="Q1869" i="6"/>
  <c r="Q1870" i="6"/>
  <c r="Q1871" i="6"/>
  <c r="Q1872" i="6"/>
  <c r="Q1873" i="6"/>
  <c r="Q1874" i="6"/>
  <c r="Q1875" i="6"/>
  <c r="Q1876" i="6"/>
  <c r="Q1877" i="6"/>
  <c r="Q1878" i="6"/>
  <c r="Q1879" i="6"/>
  <c r="Q1880" i="6"/>
  <c r="Q1881" i="6"/>
  <c r="Q1882" i="6"/>
  <c r="Q1883" i="6"/>
  <c r="Q1884" i="6"/>
  <c r="Q1885" i="6"/>
  <c r="Q1886" i="6"/>
  <c r="Q1887" i="6"/>
  <c r="Q1888" i="6"/>
  <c r="Q1889" i="6"/>
  <c r="Q1890" i="6"/>
  <c r="Q1891" i="6"/>
  <c r="Q1892" i="6"/>
  <c r="Q1893" i="6"/>
  <c r="Q1894" i="6"/>
  <c r="Q1895" i="6"/>
  <c r="Q1896" i="6"/>
  <c r="Q1897" i="6"/>
  <c r="Q1898" i="6"/>
  <c r="Q1899" i="6"/>
  <c r="Q1900" i="6"/>
  <c r="Q1901" i="6"/>
  <c r="Q1902" i="6"/>
  <c r="Q1903" i="6"/>
  <c r="Q1904" i="6"/>
  <c r="Q1905" i="6"/>
  <c r="Q1906" i="6"/>
  <c r="Q1907" i="6"/>
  <c r="Q1908" i="6"/>
  <c r="Q1909" i="6"/>
  <c r="Q1910" i="6"/>
  <c r="Q1911" i="6"/>
  <c r="Q1912" i="6"/>
  <c r="Q1913" i="6"/>
  <c r="Q1914" i="6"/>
  <c r="Q1915" i="6"/>
  <c r="Q1916" i="6"/>
  <c r="Q1917" i="6"/>
  <c r="Q1918" i="6"/>
  <c r="Q1919" i="6"/>
  <c r="Q1920" i="6"/>
  <c r="Q1921" i="6"/>
  <c r="Q1922" i="6"/>
  <c r="Q1923" i="6"/>
  <c r="Q1924" i="6"/>
  <c r="Q1925" i="6"/>
  <c r="Q1926" i="6"/>
  <c r="Q1927" i="6"/>
  <c r="Q1928" i="6"/>
  <c r="Q1929" i="6"/>
  <c r="Q1930" i="6"/>
  <c r="Q1931" i="6"/>
  <c r="Q1932" i="6"/>
  <c r="Q1933" i="6"/>
  <c r="Q1934" i="6"/>
  <c r="Q1935" i="6"/>
  <c r="Q1936" i="6"/>
  <c r="Q1937" i="6"/>
  <c r="Q1938" i="6"/>
  <c r="Q1939" i="6"/>
  <c r="Q1940" i="6"/>
  <c r="Q1941" i="6"/>
  <c r="Q1942" i="6"/>
  <c r="Q1943" i="6"/>
  <c r="Q1944" i="6"/>
  <c r="Q1945" i="6"/>
  <c r="Q1946" i="6"/>
  <c r="Q1947" i="6"/>
  <c r="Q1948" i="6"/>
  <c r="Q1949" i="6"/>
  <c r="Q1950" i="6"/>
  <c r="Q1951" i="6"/>
  <c r="Q1952" i="6"/>
  <c r="Q1953" i="6"/>
  <c r="Q1954" i="6"/>
  <c r="Q1955" i="6"/>
  <c r="Q1956" i="6"/>
  <c r="Q1957" i="6"/>
  <c r="Q1958" i="6"/>
  <c r="Q1959" i="6"/>
  <c r="Q1960" i="6"/>
  <c r="Q1961" i="6"/>
  <c r="Q1962" i="6"/>
  <c r="Q1963" i="6"/>
  <c r="Q1964" i="6"/>
  <c r="Q1965" i="6"/>
  <c r="Q1966" i="6"/>
  <c r="Q1967" i="6"/>
  <c r="Q1968" i="6"/>
  <c r="Q1969" i="6"/>
  <c r="Q1970" i="6"/>
  <c r="Q1971" i="6"/>
  <c r="Q1972" i="6"/>
  <c r="Q1973" i="6"/>
  <c r="Q1974" i="6"/>
  <c r="Q1975" i="6"/>
  <c r="Q1976" i="6"/>
  <c r="Q1977" i="6"/>
  <c r="Q1978" i="6"/>
  <c r="Q1979" i="6"/>
  <c r="Q1980" i="6"/>
  <c r="Q1981" i="6"/>
  <c r="Q1982" i="6"/>
  <c r="Q1983" i="6"/>
  <c r="Q1984" i="6"/>
  <c r="Q1985" i="6"/>
  <c r="Q1986" i="6"/>
  <c r="Q1987" i="6"/>
  <c r="Q1988" i="6"/>
  <c r="Q1989" i="6"/>
  <c r="Q1990" i="6"/>
  <c r="Q1991" i="6"/>
  <c r="Q1992" i="6"/>
  <c r="Q1993" i="6"/>
  <c r="Q1994" i="6"/>
  <c r="Q1995" i="6"/>
  <c r="Q1996" i="6"/>
  <c r="Q1997" i="6"/>
  <c r="Q1998" i="6"/>
  <c r="Q1999" i="6"/>
  <c r="Q2000" i="6"/>
  <c r="Q2001" i="6"/>
  <c r="Q2002" i="6"/>
  <c r="Q2003" i="6"/>
  <c r="Q2004" i="6"/>
  <c r="Q2005" i="6"/>
  <c r="Q2006" i="6"/>
  <c r="Q2007" i="6"/>
  <c r="Q2008" i="6"/>
  <c r="Q2009" i="6"/>
  <c r="Q2010" i="6"/>
  <c r="Q2011" i="6"/>
  <c r="Q2012" i="6"/>
  <c r="Q2013" i="6"/>
  <c r="Q2014" i="6"/>
  <c r="Q2015" i="6"/>
  <c r="Q2016" i="6"/>
  <c r="Q2017" i="6"/>
  <c r="Q2018" i="6"/>
  <c r="Q2019" i="6"/>
  <c r="Q2020" i="6"/>
  <c r="Q2021" i="6"/>
  <c r="Q2022" i="6"/>
  <c r="Q2023" i="6"/>
  <c r="Q2024" i="6"/>
  <c r="Q2025" i="6"/>
  <c r="Q2026" i="6"/>
  <c r="Q2027" i="6"/>
  <c r="Q2028" i="6"/>
  <c r="Q2029" i="6"/>
  <c r="Q2030" i="6"/>
  <c r="Q2031" i="6"/>
  <c r="Q2" i="6"/>
  <c r="I3" i="6" a="1"/>
  <c r="I3" i="6" s="1"/>
  <c r="I4" i="6" a="1"/>
  <c r="I4" i="6" s="1"/>
  <c r="I5" i="6" a="1"/>
  <c r="I5" i="6" s="1"/>
  <c r="I6" i="6" a="1"/>
  <c r="I6" i="6" s="1"/>
  <c r="I7" i="6" a="1"/>
  <c r="I7" i="6" s="1"/>
  <c r="I8" i="6" a="1"/>
  <c r="I8" i="6" s="1"/>
  <c r="I9" i="6" a="1"/>
  <c r="I9" i="6" s="1"/>
  <c r="I10" i="6" a="1"/>
  <c r="I10" i="6" s="1"/>
  <c r="I11" i="6" a="1"/>
  <c r="I11" i="6" s="1"/>
  <c r="I12" i="6" a="1"/>
  <c r="I12" i="6" s="1"/>
  <c r="I13" i="6" a="1"/>
  <c r="I13" i="6" s="1"/>
  <c r="I14" i="6" a="1"/>
  <c r="I14" i="6" s="1"/>
  <c r="I15" i="6" a="1"/>
  <c r="I15" i="6" s="1"/>
  <c r="I16" i="6" a="1"/>
  <c r="I16" i="6" s="1"/>
  <c r="I17" i="6" a="1"/>
  <c r="I17" i="6" s="1"/>
  <c r="I18" i="6" a="1"/>
  <c r="I18" i="6" s="1"/>
  <c r="I19" i="6" a="1"/>
  <c r="I19" i="6" s="1"/>
  <c r="I20" i="6" a="1"/>
  <c r="I20" i="6" s="1"/>
  <c r="I21" i="6" a="1"/>
  <c r="I21" i="6" s="1"/>
  <c r="I22" i="6" a="1"/>
  <c r="I22" i="6" s="1"/>
  <c r="I23" i="6" a="1"/>
  <c r="I23" i="6" s="1"/>
  <c r="I24" i="6" a="1"/>
  <c r="I24" i="6" s="1"/>
  <c r="I25" i="6" a="1"/>
  <c r="I25" i="6" s="1"/>
  <c r="I26" i="6" a="1"/>
  <c r="I26" i="6" s="1"/>
  <c r="I27" i="6" a="1"/>
  <c r="I27" i="6" s="1"/>
  <c r="I28" i="6" a="1"/>
  <c r="I28" i="6" s="1"/>
  <c r="I29" i="6" a="1"/>
  <c r="I29" i="6" s="1"/>
  <c r="I30" i="6" a="1"/>
  <c r="I30" i="6" s="1"/>
  <c r="I31" i="6" a="1"/>
  <c r="I31" i="6" s="1"/>
  <c r="I32" i="6" a="1"/>
  <c r="I32" i="6" s="1"/>
  <c r="I33" i="6" a="1"/>
  <c r="I33" i="6" s="1"/>
  <c r="I34" i="6" a="1"/>
  <c r="I34" i="6" s="1"/>
  <c r="I35" i="6" a="1"/>
  <c r="I35" i="6" s="1"/>
  <c r="I36" i="6" a="1"/>
  <c r="I36" i="6" s="1"/>
  <c r="I37" i="6" a="1"/>
  <c r="I37" i="6" s="1"/>
  <c r="I38" i="6" a="1"/>
  <c r="I38" i="6" s="1"/>
  <c r="I39" i="6" a="1"/>
  <c r="I39" i="6" s="1"/>
  <c r="I40" i="6" a="1"/>
  <c r="I40" i="6" s="1"/>
  <c r="I41" i="6" a="1"/>
  <c r="I41" i="6" s="1"/>
  <c r="I42" i="6" a="1"/>
  <c r="I42" i="6" s="1"/>
  <c r="I43" i="6" a="1"/>
  <c r="I43" i="6" s="1"/>
  <c r="I44" i="6" a="1"/>
  <c r="I44" i="6" s="1"/>
  <c r="I45" i="6" a="1"/>
  <c r="I45" i="6" s="1"/>
  <c r="I46" i="6" a="1"/>
  <c r="I46" i="6" s="1"/>
  <c r="I47" i="6" a="1"/>
  <c r="I47" i="6" s="1"/>
  <c r="I48" i="6" a="1"/>
  <c r="I48" i="6" s="1"/>
  <c r="I49" i="6" a="1"/>
  <c r="I49" i="6" s="1"/>
  <c r="I50" i="6" a="1"/>
  <c r="I50" i="6" s="1"/>
  <c r="I51" i="6" a="1"/>
  <c r="I51" i="6" s="1"/>
  <c r="I52" i="6" a="1"/>
  <c r="I52" i="6" s="1"/>
  <c r="I53" i="6" a="1"/>
  <c r="I53" i="6" s="1"/>
  <c r="I54" i="6" a="1"/>
  <c r="I54" i="6" s="1"/>
  <c r="I55" i="6" a="1"/>
  <c r="I55" i="6" s="1"/>
  <c r="I56" i="6" a="1"/>
  <c r="I56" i="6" s="1"/>
  <c r="I57" i="6" a="1"/>
  <c r="I57" i="6" s="1"/>
  <c r="I58" i="6" a="1"/>
  <c r="I58" i="6" s="1"/>
  <c r="I59" i="6" a="1"/>
  <c r="I59" i="6" s="1"/>
  <c r="I60" i="6" a="1"/>
  <c r="I60" i="6" s="1"/>
  <c r="I61" i="6" a="1"/>
  <c r="I61" i="6" s="1"/>
  <c r="I62" i="6" a="1"/>
  <c r="I62" i="6" s="1"/>
  <c r="I63" i="6" a="1"/>
  <c r="I63" i="6" s="1"/>
  <c r="I64" i="6" a="1"/>
  <c r="I64" i="6" s="1"/>
  <c r="I65" i="6" a="1"/>
  <c r="I65" i="6" s="1"/>
  <c r="I66" i="6" a="1"/>
  <c r="I66" i="6" s="1"/>
  <c r="I67" i="6" a="1"/>
  <c r="I67" i="6" s="1"/>
  <c r="I68" i="6" a="1"/>
  <c r="I68" i="6" s="1"/>
  <c r="I69" i="6" a="1"/>
  <c r="I69" i="6" s="1"/>
  <c r="I70" i="6" a="1"/>
  <c r="I70" i="6" s="1"/>
  <c r="I71" i="6" a="1"/>
  <c r="I71" i="6" s="1"/>
  <c r="I72" i="6" a="1"/>
  <c r="I72" i="6" s="1"/>
  <c r="I73" i="6" a="1"/>
  <c r="I73" i="6" s="1"/>
  <c r="I74" i="6" a="1"/>
  <c r="I74" i="6" s="1"/>
  <c r="I75" i="6" a="1"/>
  <c r="I75" i="6" s="1"/>
  <c r="I76" i="6" a="1"/>
  <c r="I76" i="6" s="1"/>
  <c r="I77" i="6" a="1"/>
  <c r="I77" i="6" s="1"/>
  <c r="I78" i="6" a="1"/>
  <c r="I78" i="6" s="1"/>
  <c r="I79" i="6" a="1"/>
  <c r="I79" i="6" s="1"/>
  <c r="I80" i="6" a="1"/>
  <c r="I80" i="6" s="1"/>
  <c r="I81" i="6" a="1"/>
  <c r="I81" i="6" s="1"/>
  <c r="I82" i="6" a="1"/>
  <c r="I82" i="6" s="1"/>
  <c r="I83" i="6" a="1"/>
  <c r="I83" i="6" s="1"/>
  <c r="I84" i="6" a="1"/>
  <c r="I84" i="6" s="1"/>
  <c r="I85" i="6" a="1"/>
  <c r="I85" i="6" s="1"/>
  <c r="I86" i="6" a="1"/>
  <c r="I86" i="6" s="1"/>
  <c r="I87" i="6" a="1"/>
  <c r="I87" i="6" s="1"/>
  <c r="I88" i="6" a="1"/>
  <c r="I88" i="6" s="1"/>
  <c r="I89" i="6" a="1"/>
  <c r="I89" i="6" s="1"/>
  <c r="I90" i="6" a="1"/>
  <c r="I90" i="6" s="1"/>
  <c r="I91" i="6" a="1"/>
  <c r="I91" i="6" s="1"/>
  <c r="I92" i="6" a="1"/>
  <c r="I92" i="6" s="1"/>
  <c r="I93" i="6" a="1"/>
  <c r="I93" i="6" s="1"/>
  <c r="I94" i="6" a="1"/>
  <c r="I94" i="6" s="1"/>
  <c r="I95" i="6" a="1"/>
  <c r="I95" i="6" s="1"/>
  <c r="I96" i="6" a="1"/>
  <c r="I96" i="6" s="1"/>
  <c r="I97" i="6" a="1"/>
  <c r="I97" i="6" s="1"/>
  <c r="I98" i="6" a="1"/>
  <c r="I98" i="6" s="1"/>
  <c r="I99" i="6" a="1"/>
  <c r="I99" i="6" s="1"/>
  <c r="I100" i="6" a="1"/>
  <c r="I100" i="6" s="1"/>
  <c r="I101" i="6" a="1"/>
  <c r="I101" i="6" s="1"/>
  <c r="I102" i="6" a="1"/>
  <c r="I102" i="6" s="1"/>
  <c r="I103" i="6" a="1"/>
  <c r="I103" i="6" s="1"/>
  <c r="I104" i="6" a="1"/>
  <c r="I104" i="6" s="1"/>
  <c r="I105" i="6" a="1"/>
  <c r="I105" i="6" s="1"/>
  <c r="I106" i="6" a="1"/>
  <c r="I106" i="6" s="1"/>
  <c r="I107" i="6" a="1"/>
  <c r="I107" i="6" s="1"/>
  <c r="I108" i="6" a="1"/>
  <c r="I108" i="6" s="1"/>
  <c r="I109" i="6" a="1"/>
  <c r="I109" i="6" s="1"/>
  <c r="I110" i="6" a="1"/>
  <c r="I110" i="6" s="1"/>
  <c r="I111" i="6" a="1"/>
  <c r="I111" i="6" s="1"/>
  <c r="I112" i="6" a="1"/>
  <c r="I112" i="6" s="1"/>
  <c r="I113" i="6" a="1"/>
  <c r="I113" i="6" s="1"/>
  <c r="I114" i="6" a="1"/>
  <c r="I114" i="6" s="1"/>
  <c r="I115" i="6" a="1"/>
  <c r="I115" i="6" s="1"/>
  <c r="I116" i="6" a="1"/>
  <c r="I116" i="6" s="1"/>
  <c r="I117" i="6" a="1"/>
  <c r="I117" i="6" s="1"/>
  <c r="I118" i="6" a="1"/>
  <c r="I118" i="6" s="1"/>
  <c r="I119" i="6" a="1"/>
  <c r="I119" i="6" s="1"/>
  <c r="I120" i="6" a="1"/>
  <c r="I120" i="6" s="1"/>
  <c r="I121" i="6" a="1"/>
  <c r="I121" i="6" s="1"/>
  <c r="I122" i="6" a="1"/>
  <c r="I122" i="6" s="1"/>
  <c r="I123" i="6" a="1"/>
  <c r="I123" i="6" s="1"/>
  <c r="I124" i="6" a="1"/>
  <c r="I124" i="6" s="1"/>
  <c r="I125" i="6" a="1"/>
  <c r="I125" i="6" s="1"/>
  <c r="I126" i="6" a="1"/>
  <c r="I126" i="6" s="1"/>
  <c r="I127" i="6" a="1"/>
  <c r="I127" i="6" s="1"/>
  <c r="I128" i="6" a="1"/>
  <c r="I128" i="6" s="1"/>
  <c r="I129" i="6" a="1"/>
  <c r="I129" i="6" s="1"/>
  <c r="I130" i="6" a="1"/>
  <c r="I130" i="6" s="1"/>
  <c r="I131" i="6" a="1"/>
  <c r="I131" i="6" s="1"/>
  <c r="I132" i="6" a="1"/>
  <c r="I132" i="6" s="1"/>
  <c r="I133" i="6" a="1"/>
  <c r="I133" i="6" s="1"/>
  <c r="I134" i="6" a="1"/>
  <c r="I134" i="6" s="1"/>
  <c r="I135" i="6" a="1"/>
  <c r="I135" i="6" s="1"/>
  <c r="I136" i="6" a="1"/>
  <c r="I136" i="6" s="1"/>
  <c r="I137" i="6" a="1"/>
  <c r="I137" i="6" s="1"/>
  <c r="I138" i="6" a="1"/>
  <c r="I138" i="6" s="1"/>
  <c r="I139" i="6" a="1"/>
  <c r="I139" i="6" s="1"/>
  <c r="I140" i="6" a="1"/>
  <c r="I140" i="6" s="1"/>
  <c r="I141" i="6" a="1"/>
  <c r="I141" i="6" s="1"/>
  <c r="I142" i="6" a="1"/>
  <c r="I142" i="6" s="1"/>
  <c r="I143" i="6" a="1"/>
  <c r="I143" i="6" s="1"/>
  <c r="I144" i="6" a="1"/>
  <c r="I144" i="6" s="1"/>
  <c r="I145" i="6" a="1"/>
  <c r="I145" i="6" s="1"/>
  <c r="I146" i="6" a="1"/>
  <c r="I146" i="6" s="1"/>
  <c r="I147" i="6" a="1"/>
  <c r="I147" i="6" s="1"/>
  <c r="I148" i="6" a="1"/>
  <c r="I148" i="6" s="1"/>
  <c r="I149" i="6" a="1"/>
  <c r="I149" i="6" s="1"/>
  <c r="I150" i="6" a="1"/>
  <c r="I150" i="6" s="1"/>
  <c r="I151" i="6" a="1"/>
  <c r="I151" i="6" s="1"/>
  <c r="I152" i="6" a="1"/>
  <c r="I152" i="6" s="1"/>
  <c r="I153" i="6" a="1"/>
  <c r="I153" i="6" s="1"/>
  <c r="I154" i="6" a="1"/>
  <c r="I154" i="6" s="1"/>
  <c r="I155" i="6" a="1"/>
  <c r="I155" i="6" s="1"/>
  <c r="I156" i="6" a="1"/>
  <c r="I156" i="6" s="1"/>
  <c r="I157" i="6" a="1"/>
  <c r="I157" i="6" s="1"/>
  <c r="I158" i="6" a="1"/>
  <c r="I158" i="6" s="1"/>
  <c r="I159" i="6" a="1"/>
  <c r="I159" i="6" s="1"/>
  <c r="I160" i="6" a="1"/>
  <c r="I160" i="6" s="1"/>
  <c r="I161" i="6" a="1"/>
  <c r="I161" i="6" s="1"/>
  <c r="I162" i="6" a="1"/>
  <c r="I162" i="6" s="1"/>
  <c r="I163" i="6" a="1"/>
  <c r="I163" i="6" s="1"/>
  <c r="I164" i="6" a="1"/>
  <c r="I164" i="6" s="1"/>
  <c r="I165" i="6" a="1"/>
  <c r="I165" i="6" s="1"/>
  <c r="I166" i="6" a="1"/>
  <c r="I166" i="6" s="1"/>
  <c r="I167" i="6" a="1"/>
  <c r="I167" i="6" s="1"/>
  <c r="I168" i="6" a="1"/>
  <c r="I168" i="6" s="1"/>
  <c r="I169" i="6" a="1"/>
  <c r="I169" i="6" s="1"/>
  <c r="I170" i="6" a="1"/>
  <c r="I170" i="6" s="1"/>
  <c r="I171" i="6" a="1"/>
  <c r="I171" i="6" s="1"/>
  <c r="I172" i="6" a="1"/>
  <c r="I172" i="6" s="1"/>
  <c r="I173" i="6" a="1"/>
  <c r="I173" i="6" s="1"/>
  <c r="I174" i="6" a="1"/>
  <c r="I174" i="6" s="1"/>
  <c r="I175" i="6" a="1"/>
  <c r="I175" i="6" s="1"/>
  <c r="I176" i="6" a="1"/>
  <c r="I176" i="6" s="1"/>
  <c r="I177" i="6" a="1"/>
  <c r="I177" i="6" s="1"/>
  <c r="I178" i="6" a="1"/>
  <c r="I178" i="6" s="1"/>
  <c r="I179" i="6" a="1"/>
  <c r="I179" i="6" s="1"/>
  <c r="I180" i="6" a="1"/>
  <c r="I180" i="6" s="1"/>
  <c r="I181" i="6" a="1"/>
  <c r="I181" i="6" s="1"/>
  <c r="I182" i="6" a="1"/>
  <c r="I182" i="6" s="1"/>
  <c r="I183" i="6" a="1"/>
  <c r="I183" i="6" s="1"/>
  <c r="I184" i="6" a="1"/>
  <c r="I184" i="6" s="1"/>
  <c r="I185" i="6" a="1"/>
  <c r="I185" i="6" s="1"/>
  <c r="I186" i="6" a="1"/>
  <c r="I186" i="6" s="1"/>
  <c r="I187" i="6" a="1"/>
  <c r="I187" i="6" s="1"/>
  <c r="I188" i="6" a="1"/>
  <c r="I188" i="6" s="1"/>
  <c r="I189" i="6" a="1"/>
  <c r="I189" i="6" s="1"/>
  <c r="I190" i="6" a="1"/>
  <c r="I190" i="6" s="1"/>
  <c r="I191" i="6" a="1"/>
  <c r="I191" i="6" s="1"/>
  <c r="I192" i="6" a="1"/>
  <c r="I192" i="6" s="1"/>
  <c r="I193" i="6" a="1"/>
  <c r="I193" i="6" s="1"/>
  <c r="I194" i="6" a="1"/>
  <c r="I194" i="6" s="1"/>
  <c r="I195" i="6" a="1"/>
  <c r="I195" i="6" s="1"/>
  <c r="I196" i="6" a="1"/>
  <c r="I196" i="6" s="1"/>
  <c r="I197" i="6" a="1"/>
  <c r="I197" i="6" s="1"/>
  <c r="I198" i="6" a="1"/>
  <c r="I198" i="6" s="1"/>
  <c r="I199" i="6" a="1"/>
  <c r="I199" i="6" s="1"/>
  <c r="I200" i="6" a="1"/>
  <c r="I200" i="6" s="1"/>
  <c r="I201" i="6" a="1"/>
  <c r="I201" i="6" s="1"/>
  <c r="I202" i="6" a="1"/>
  <c r="I202" i="6" s="1"/>
  <c r="I203" i="6" a="1"/>
  <c r="I203" i="6" s="1"/>
  <c r="I204" i="6" a="1"/>
  <c r="I204" i="6" s="1"/>
  <c r="I205" i="6" a="1"/>
  <c r="I205" i="6" s="1"/>
  <c r="I206" i="6" a="1"/>
  <c r="I206" i="6" s="1"/>
  <c r="I207" i="6" a="1"/>
  <c r="I207" i="6" s="1"/>
  <c r="I208" i="6" a="1"/>
  <c r="I208" i="6" s="1"/>
  <c r="I209" i="6" a="1"/>
  <c r="I209" i="6" s="1"/>
  <c r="I210" i="6" a="1"/>
  <c r="I210" i="6" s="1"/>
  <c r="I211" i="6" a="1"/>
  <c r="I211" i="6" s="1"/>
  <c r="I212" i="6" a="1"/>
  <c r="I212" i="6" s="1"/>
  <c r="I213" i="6" a="1"/>
  <c r="I213" i="6" s="1"/>
  <c r="I214" i="6" a="1"/>
  <c r="I214" i="6" s="1"/>
  <c r="I215" i="6" a="1"/>
  <c r="I215" i="6" s="1"/>
  <c r="I216" i="6" a="1"/>
  <c r="I216" i="6" s="1"/>
  <c r="I217" i="6" a="1"/>
  <c r="I217" i="6" s="1"/>
  <c r="I218" i="6" a="1"/>
  <c r="I218" i="6" s="1"/>
  <c r="I219" i="6" a="1"/>
  <c r="I219" i="6" s="1"/>
  <c r="I220" i="6" a="1"/>
  <c r="I220" i="6" s="1"/>
  <c r="I221" i="6" a="1"/>
  <c r="I221" i="6" s="1"/>
  <c r="I222" i="6" a="1"/>
  <c r="I222" i="6" s="1"/>
  <c r="I223" i="6" a="1"/>
  <c r="I223" i="6" s="1"/>
  <c r="I224" i="6" a="1"/>
  <c r="I224" i="6" s="1"/>
  <c r="I225" i="6" a="1"/>
  <c r="I225" i="6" s="1"/>
  <c r="I226" i="6" a="1"/>
  <c r="I226" i="6" s="1"/>
  <c r="I227" i="6" a="1"/>
  <c r="I227" i="6" s="1"/>
  <c r="I228" i="6" a="1"/>
  <c r="I228" i="6" s="1"/>
  <c r="I229" i="6" a="1"/>
  <c r="I229" i="6" s="1"/>
  <c r="I230" i="6" a="1"/>
  <c r="I230" i="6" s="1"/>
  <c r="I231" i="6" a="1"/>
  <c r="I231" i="6" s="1"/>
  <c r="I232" i="6" a="1"/>
  <c r="I232" i="6" s="1"/>
  <c r="I233" i="6" a="1"/>
  <c r="I233" i="6" s="1"/>
  <c r="I234" i="6" a="1"/>
  <c r="I234" i="6" s="1"/>
  <c r="I235" i="6" a="1"/>
  <c r="I235" i="6" s="1"/>
  <c r="I236" i="6" a="1"/>
  <c r="I236" i="6" s="1"/>
  <c r="I237" i="6" a="1"/>
  <c r="I237" i="6" s="1"/>
  <c r="I238" i="6" a="1"/>
  <c r="I238" i="6" s="1"/>
  <c r="I239" i="6" a="1"/>
  <c r="I239" i="6" s="1"/>
  <c r="I240" i="6" a="1"/>
  <c r="I240" i="6" s="1"/>
  <c r="I241" i="6" a="1"/>
  <c r="I241" i="6" s="1"/>
  <c r="I242" i="6" a="1"/>
  <c r="I242" i="6" s="1"/>
  <c r="I243" i="6" a="1"/>
  <c r="I243" i="6" s="1"/>
  <c r="I244" i="6" a="1"/>
  <c r="I244" i="6" s="1"/>
  <c r="I245" i="6" a="1"/>
  <c r="I245" i="6" s="1"/>
  <c r="I246" i="6" a="1"/>
  <c r="I246" i="6" s="1"/>
  <c r="I247" i="6" a="1"/>
  <c r="I247" i="6" s="1"/>
  <c r="I248" i="6" a="1"/>
  <c r="I248" i="6" s="1"/>
  <c r="I249" i="6" a="1"/>
  <c r="I249" i="6" s="1"/>
  <c r="I250" i="6" a="1"/>
  <c r="I250" i="6" s="1"/>
  <c r="I251" i="6" a="1"/>
  <c r="I251" i="6" s="1"/>
  <c r="I252" i="6" a="1"/>
  <c r="I252" i="6" s="1"/>
  <c r="I253" i="6" a="1"/>
  <c r="I253" i="6" s="1"/>
  <c r="I254" i="6" a="1"/>
  <c r="I254" i="6" s="1"/>
  <c r="I255" i="6" a="1"/>
  <c r="I255" i="6" s="1"/>
  <c r="I256" i="6" a="1"/>
  <c r="I256" i="6" s="1"/>
  <c r="I257" i="6" a="1"/>
  <c r="I257" i="6" s="1"/>
  <c r="I258" i="6" a="1"/>
  <c r="I258" i="6" s="1"/>
  <c r="I259" i="6" a="1"/>
  <c r="I259" i="6" s="1"/>
  <c r="I260" i="6" a="1"/>
  <c r="I260" i="6" s="1"/>
  <c r="I261" i="6" a="1"/>
  <c r="I261" i="6" s="1"/>
  <c r="I262" i="6" a="1"/>
  <c r="I262" i="6" s="1"/>
  <c r="I263" i="6" a="1"/>
  <c r="I263" i="6" s="1"/>
  <c r="I264" i="6" a="1"/>
  <c r="I264" i="6" s="1"/>
  <c r="I265" i="6" a="1"/>
  <c r="I265" i="6" s="1"/>
  <c r="I266" i="6" a="1"/>
  <c r="I266" i="6" s="1"/>
  <c r="I267" i="6" a="1"/>
  <c r="I267" i="6" s="1"/>
  <c r="I268" i="6" a="1"/>
  <c r="I268" i="6" s="1"/>
  <c r="I269" i="6" a="1"/>
  <c r="I269" i="6" s="1"/>
  <c r="I270" i="6" a="1"/>
  <c r="I270" i="6" s="1"/>
  <c r="I271" i="6" a="1"/>
  <c r="I271" i="6" s="1"/>
  <c r="I272" i="6" a="1"/>
  <c r="I272" i="6" s="1"/>
  <c r="I273" i="6" a="1"/>
  <c r="I273" i="6" s="1"/>
  <c r="I274" i="6" a="1"/>
  <c r="I274" i="6" s="1"/>
  <c r="I275" i="6" a="1"/>
  <c r="I275" i="6" s="1"/>
  <c r="I276" i="6" a="1"/>
  <c r="I276" i="6" s="1"/>
  <c r="I277" i="6" a="1"/>
  <c r="I277" i="6" s="1"/>
  <c r="I278" i="6" a="1"/>
  <c r="I278" i="6" s="1"/>
  <c r="I279" i="6" a="1"/>
  <c r="I279" i="6" s="1"/>
  <c r="I280" i="6" a="1"/>
  <c r="I280" i="6" s="1"/>
  <c r="I281" i="6" a="1"/>
  <c r="I281" i="6" s="1"/>
  <c r="I282" i="6" a="1"/>
  <c r="I282" i="6" s="1"/>
  <c r="I283" i="6" a="1"/>
  <c r="I283" i="6" s="1"/>
  <c r="I284" i="6" a="1"/>
  <c r="I284" i="6" s="1"/>
  <c r="I285" i="6" a="1"/>
  <c r="I285" i="6" s="1"/>
  <c r="I286" i="6" a="1"/>
  <c r="I286" i="6" s="1"/>
  <c r="I287" i="6" a="1"/>
  <c r="I287" i="6" s="1"/>
  <c r="I288" i="6" a="1"/>
  <c r="I288" i="6" s="1"/>
  <c r="I289" i="6" a="1"/>
  <c r="I289" i="6" s="1"/>
  <c r="I290" i="6" a="1"/>
  <c r="I290" i="6" s="1"/>
  <c r="I291" i="6" a="1"/>
  <c r="I291" i="6" s="1"/>
  <c r="I292" i="6" a="1"/>
  <c r="I292" i="6" s="1"/>
  <c r="I293" i="6" a="1"/>
  <c r="I293" i="6" s="1"/>
  <c r="I294" i="6" a="1"/>
  <c r="I294" i="6" s="1"/>
  <c r="I295" i="6" a="1"/>
  <c r="I295" i="6" s="1"/>
  <c r="I296" i="6" a="1"/>
  <c r="I296" i="6" s="1"/>
  <c r="I297" i="6" a="1"/>
  <c r="I297" i="6" s="1"/>
  <c r="I298" i="6" a="1"/>
  <c r="I298" i="6" s="1"/>
  <c r="I299" i="6" a="1"/>
  <c r="I299" i="6" s="1"/>
  <c r="I300" i="6" a="1"/>
  <c r="I300" i="6" s="1"/>
  <c r="I301" i="6" a="1"/>
  <c r="I301" i="6" s="1"/>
  <c r="I302" i="6" a="1"/>
  <c r="I302" i="6" s="1"/>
  <c r="I303" i="6" a="1"/>
  <c r="I303" i="6" s="1"/>
  <c r="I304" i="6" a="1"/>
  <c r="I304" i="6" s="1"/>
  <c r="I305" i="6" a="1"/>
  <c r="I305" i="6" s="1"/>
  <c r="I306" i="6" a="1"/>
  <c r="I306" i="6" s="1"/>
  <c r="I307" i="6" a="1"/>
  <c r="I307" i="6" s="1"/>
  <c r="I308" i="6" a="1"/>
  <c r="I308" i="6" s="1"/>
  <c r="I309" i="6" a="1"/>
  <c r="I309" i="6" s="1"/>
  <c r="I310" i="6" a="1"/>
  <c r="I310" i="6" s="1"/>
  <c r="I311" i="6" a="1"/>
  <c r="I311" i="6" s="1"/>
  <c r="I312" i="6" a="1"/>
  <c r="I312" i="6" s="1"/>
  <c r="I313" i="6" a="1"/>
  <c r="I313" i="6" s="1"/>
  <c r="I314" i="6" a="1"/>
  <c r="I314" i="6" s="1"/>
  <c r="I315" i="6" a="1"/>
  <c r="I315" i="6" s="1"/>
  <c r="I316" i="6" a="1"/>
  <c r="I316" i="6" s="1"/>
  <c r="I317" i="6" a="1"/>
  <c r="I317" i="6" s="1"/>
  <c r="I318" i="6" a="1"/>
  <c r="I318" i="6" s="1"/>
  <c r="I319" i="6" a="1"/>
  <c r="I319" i="6" s="1"/>
  <c r="I320" i="6" a="1"/>
  <c r="I320" i="6" s="1"/>
  <c r="I321" i="6" a="1"/>
  <c r="I321" i="6" s="1"/>
  <c r="I322" i="6" a="1"/>
  <c r="I322" i="6" s="1"/>
  <c r="I323" i="6" a="1"/>
  <c r="I323" i="6" s="1"/>
  <c r="I324" i="6" a="1"/>
  <c r="I324" i="6" s="1"/>
  <c r="I325" i="6" a="1"/>
  <c r="I325" i="6" s="1"/>
  <c r="I326" i="6" a="1"/>
  <c r="I326" i="6" s="1"/>
  <c r="I327" i="6" a="1"/>
  <c r="I327" i="6" s="1"/>
  <c r="I328" i="6" a="1"/>
  <c r="I328" i="6" s="1"/>
  <c r="I329" i="6" a="1"/>
  <c r="I329" i="6" s="1"/>
  <c r="I330" i="6" a="1"/>
  <c r="I330" i="6" s="1"/>
  <c r="I331" i="6" a="1"/>
  <c r="I331" i="6" s="1"/>
  <c r="I332" i="6" a="1"/>
  <c r="I332" i="6" s="1"/>
  <c r="I333" i="6" a="1"/>
  <c r="I333" i="6" s="1"/>
  <c r="I334" i="6" a="1"/>
  <c r="I334" i="6" s="1"/>
  <c r="I335" i="6" a="1"/>
  <c r="I335" i="6" s="1"/>
  <c r="I336" i="6" a="1"/>
  <c r="I336" i="6" s="1"/>
  <c r="I337" i="6" a="1"/>
  <c r="I337" i="6" s="1"/>
  <c r="I338" i="6" a="1"/>
  <c r="I338" i="6" s="1"/>
  <c r="I339" i="6" a="1"/>
  <c r="I339" i="6" s="1"/>
  <c r="I340" i="6" a="1"/>
  <c r="I340" i="6" s="1"/>
  <c r="I341" i="6" a="1"/>
  <c r="I341" i="6" s="1"/>
  <c r="I342" i="6" a="1"/>
  <c r="I342" i="6" s="1"/>
  <c r="I343" i="6" a="1"/>
  <c r="I343" i="6" s="1"/>
  <c r="I344" i="6" a="1"/>
  <c r="I344" i="6" s="1"/>
  <c r="I345" i="6" a="1"/>
  <c r="I345" i="6" s="1"/>
  <c r="I346" i="6" a="1"/>
  <c r="I346" i="6" s="1"/>
  <c r="I347" i="6" a="1"/>
  <c r="I347" i="6" s="1"/>
  <c r="I348" i="6" a="1"/>
  <c r="I348" i="6" s="1"/>
  <c r="I349" i="6" a="1"/>
  <c r="I349" i="6" s="1"/>
  <c r="I350" i="6" a="1"/>
  <c r="I350" i="6" s="1"/>
  <c r="I351" i="6" a="1"/>
  <c r="I351" i="6" s="1"/>
  <c r="I352" i="6" a="1"/>
  <c r="I352" i="6" s="1"/>
  <c r="I353" i="6" a="1"/>
  <c r="I353" i="6" s="1"/>
  <c r="I354" i="6" a="1"/>
  <c r="I354" i="6" s="1"/>
  <c r="I355" i="6" a="1"/>
  <c r="I355" i="6" s="1"/>
  <c r="I356" i="6" a="1"/>
  <c r="I356" i="6" s="1"/>
  <c r="I357" i="6" a="1"/>
  <c r="I357" i="6" s="1"/>
  <c r="I358" i="6" a="1"/>
  <c r="I358" i="6" s="1"/>
  <c r="I359" i="6" a="1"/>
  <c r="I359" i="6" s="1"/>
  <c r="I360" i="6" a="1"/>
  <c r="I360" i="6" s="1"/>
  <c r="I361" i="6" a="1"/>
  <c r="I361" i="6" s="1"/>
  <c r="I362" i="6" a="1"/>
  <c r="I362" i="6" s="1"/>
  <c r="I363" i="6" a="1"/>
  <c r="I363" i="6" s="1"/>
  <c r="I364" i="6" a="1"/>
  <c r="I364" i="6" s="1"/>
  <c r="I365" i="6" a="1"/>
  <c r="I365" i="6" s="1"/>
  <c r="I366" i="6" a="1"/>
  <c r="I366" i="6" s="1"/>
  <c r="I367" i="6" a="1"/>
  <c r="I367" i="6" s="1"/>
  <c r="I368" i="6" a="1"/>
  <c r="I368" i="6" s="1"/>
  <c r="I369" i="6" a="1"/>
  <c r="I369" i="6" s="1"/>
  <c r="I370" i="6" a="1"/>
  <c r="I370" i="6" s="1"/>
  <c r="I371" i="6" a="1"/>
  <c r="I371" i="6" s="1"/>
  <c r="I372" i="6" a="1"/>
  <c r="I372" i="6" s="1"/>
  <c r="I373" i="6" a="1"/>
  <c r="I373" i="6" s="1"/>
  <c r="I374" i="6" a="1"/>
  <c r="I374" i="6" s="1"/>
  <c r="I375" i="6" a="1"/>
  <c r="I375" i="6" s="1"/>
  <c r="I376" i="6" a="1"/>
  <c r="I376" i="6" s="1"/>
  <c r="I377" i="6" a="1"/>
  <c r="I377" i="6" s="1"/>
  <c r="I378" i="6" a="1"/>
  <c r="I378" i="6" s="1"/>
  <c r="I379" i="6" a="1"/>
  <c r="I379" i="6" s="1"/>
  <c r="I380" i="6" a="1"/>
  <c r="I380" i="6" s="1"/>
  <c r="I381" i="6" a="1"/>
  <c r="I381" i="6" s="1"/>
  <c r="I382" i="6" a="1"/>
  <c r="I382" i="6" s="1"/>
  <c r="I383" i="6" a="1"/>
  <c r="I383" i="6" s="1"/>
  <c r="I384" i="6" a="1"/>
  <c r="I384" i="6" s="1"/>
  <c r="I385" i="6" a="1"/>
  <c r="I385" i="6" s="1"/>
  <c r="I386" i="6" a="1"/>
  <c r="I386" i="6" s="1"/>
  <c r="I387" i="6" a="1"/>
  <c r="I387" i="6" s="1"/>
  <c r="I388" i="6" a="1"/>
  <c r="I388" i="6" s="1"/>
  <c r="I389" i="6" a="1"/>
  <c r="I389" i="6" s="1"/>
  <c r="I390" i="6" a="1"/>
  <c r="I390" i="6" s="1"/>
  <c r="I391" i="6" a="1"/>
  <c r="I391" i="6" s="1"/>
  <c r="I392" i="6" a="1"/>
  <c r="I392" i="6" s="1"/>
  <c r="I393" i="6" a="1"/>
  <c r="I393" i="6" s="1"/>
  <c r="I394" i="6" a="1"/>
  <c r="I394" i="6" s="1"/>
  <c r="I395" i="6" a="1"/>
  <c r="I395" i="6" s="1"/>
  <c r="I396" i="6" a="1"/>
  <c r="I396" i="6" s="1"/>
  <c r="I397" i="6" a="1"/>
  <c r="I397" i="6" s="1"/>
  <c r="I398" i="6" a="1"/>
  <c r="I398" i="6" s="1"/>
  <c r="I399" i="6" a="1"/>
  <c r="I399" i="6" s="1"/>
  <c r="I400" i="6" a="1"/>
  <c r="I400" i="6" s="1"/>
  <c r="I401" i="6" a="1"/>
  <c r="I401" i="6" s="1"/>
  <c r="I402" i="6" a="1"/>
  <c r="I402" i="6" s="1"/>
  <c r="I403" i="6" a="1"/>
  <c r="I403" i="6" s="1"/>
  <c r="I404" i="6" a="1"/>
  <c r="I404" i="6" s="1"/>
  <c r="I405" i="6" a="1"/>
  <c r="I405" i="6" s="1"/>
  <c r="I406" i="6" a="1"/>
  <c r="I406" i="6" s="1"/>
  <c r="I407" i="6" a="1"/>
  <c r="I407" i="6" s="1"/>
  <c r="I408" i="6" a="1"/>
  <c r="I408" i="6" s="1"/>
  <c r="I409" i="6" a="1"/>
  <c r="I409" i="6" s="1"/>
  <c r="I410" i="6" a="1"/>
  <c r="I410" i="6" s="1"/>
  <c r="I411" i="6" a="1"/>
  <c r="I411" i="6" s="1"/>
  <c r="I412" i="6" a="1"/>
  <c r="I412" i="6" s="1"/>
  <c r="I413" i="6" a="1"/>
  <c r="I413" i="6" s="1"/>
  <c r="I414" i="6" a="1"/>
  <c r="I414" i="6" s="1"/>
  <c r="I415" i="6" a="1"/>
  <c r="I415" i="6" s="1"/>
  <c r="I416" i="6" a="1"/>
  <c r="I416" i="6" s="1"/>
  <c r="I417" i="6" a="1"/>
  <c r="I417" i="6" s="1"/>
  <c r="I418" i="6" a="1"/>
  <c r="I418" i="6" s="1"/>
  <c r="I419" i="6" a="1"/>
  <c r="I419" i="6" s="1"/>
  <c r="I420" i="6" a="1"/>
  <c r="I420" i="6" s="1"/>
  <c r="I421" i="6" a="1"/>
  <c r="I421" i="6" s="1"/>
  <c r="I422" i="6" a="1"/>
  <c r="I422" i="6" s="1"/>
  <c r="I423" i="6" a="1"/>
  <c r="I423" i="6" s="1"/>
  <c r="I424" i="6" a="1"/>
  <c r="I424" i="6" s="1"/>
  <c r="I425" i="6" a="1"/>
  <c r="I425" i="6" s="1"/>
  <c r="I426" i="6" a="1"/>
  <c r="I426" i="6" s="1"/>
  <c r="I427" i="6" a="1"/>
  <c r="I427" i="6" s="1"/>
  <c r="I428" i="6" a="1"/>
  <c r="I428" i="6" s="1"/>
  <c r="I429" i="6" a="1"/>
  <c r="I429" i="6" s="1"/>
  <c r="I430" i="6" a="1"/>
  <c r="I430" i="6" s="1"/>
  <c r="I431" i="6" a="1"/>
  <c r="I431" i="6" s="1"/>
  <c r="I432" i="6" a="1"/>
  <c r="I432" i="6" s="1"/>
  <c r="I433" i="6" a="1"/>
  <c r="I433" i="6" s="1"/>
  <c r="I434" i="6" a="1"/>
  <c r="I434" i="6" s="1"/>
  <c r="I435" i="6" a="1"/>
  <c r="I435" i="6" s="1"/>
  <c r="I436" i="6" a="1"/>
  <c r="I436" i="6" s="1"/>
  <c r="I437" i="6" a="1"/>
  <c r="I437" i="6" s="1"/>
  <c r="I438" i="6" a="1"/>
  <c r="I438" i="6" s="1"/>
  <c r="I439" i="6" a="1"/>
  <c r="I439" i="6" s="1"/>
  <c r="I440" i="6" a="1"/>
  <c r="I440" i="6" s="1"/>
  <c r="I441" i="6" a="1"/>
  <c r="I441" i="6" s="1"/>
  <c r="I442" i="6" a="1"/>
  <c r="I442" i="6" s="1"/>
  <c r="I443" i="6" a="1"/>
  <c r="I443" i="6" s="1"/>
  <c r="I444" i="6" a="1"/>
  <c r="I444" i="6" s="1"/>
  <c r="I445" i="6" a="1"/>
  <c r="I445" i="6" s="1"/>
  <c r="I446" i="6" a="1"/>
  <c r="I446" i="6" s="1"/>
  <c r="I447" i="6" a="1"/>
  <c r="I447" i="6" s="1"/>
  <c r="I448" i="6" a="1"/>
  <c r="I448" i="6" s="1"/>
  <c r="I449" i="6" a="1"/>
  <c r="I449" i="6" s="1"/>
  <c r="I450" i="6" a="1"/>
  <c r="I450" i="6" s="1"/>
  <c r="I451" i="6" a="1"/>
  <c r="I451" i="6" s="1"/>
  <c r="I452" i="6" a="1"/>
  <c r="I452" i="6" s="1"/>
  <c r="I453" i="6" a="1"/>
  <c r="I453" i="6" s="1"/>
  <c r="I454" i="6" a="1"/>
  <c r="I454" i="6" s="1"/>
  <c r="I455" i="6" a="1"/>
  <c r="I455" i="6" s="1"/>
  <c r="I456" i="6" a="1"/>
  <c r="I456" i="6" s="1"/>
  <c r="I457" i="6" a="1"/>
  <c r="I457" i="6" s="1"/>
  <c r="I458" i="6" a="1"/>
  <c r="I458" i="6" s="1"/>
  <c r="I459" i="6" a="1"/>
  <c r="I459" i="6" s="1"/>
  <c r="I460" i="6" a="1"/>
  <c r="I460" i="6" s="1"/>
  <c r="I461" i="6" a="1"/>
  <c r="I461" i="6" s="1"/>
  <c r="I462" i="6" a="1"/>
  <c r="I462" i="6" s="1"/>
  <c r="I463" i="6" a="1"/>
  <c r="I463" i="6" s="1"/>
  <c r="I464" i="6" a="1"/>
  <c r="I464" i="6" s="1"/>
  <c r="I465" i="6" a="1"/>
  <c r="I465" i="6" s="1"/>
  <c r="I466" i="6" a="1"/>
  <c r="I466" i="6" s="1"/>
  <c r="I467" i="6" a="1"/>
  <c r="I467" i="6" s="1"/>
  <c r="I468" i="6" a="1"/>
  <c r="I468" i="6" s="1"/>
  <c r="I469" i="6" a="1"/>
  <c r="I469" i="6" s="1"/>
  <c r="I470" i="6" a="1"/>
  <c r="I470" i="6" s="1"/>
  <c r="I471" i="6" a="1"/>
  <c r="I471" i="6" s="1"/>
  <c r="I472" i="6" a="1"/>
  <c r="I472" i="6" s="1"/>
  <c r="I473" i="6" a="1"/>
  <c r="I473" i="6" s="1"/>
  <c r="I474" i="6" a="1"/>
  <c r="I474" i="6" s="1"/>
  <c r="I475" i="6" a="1"/>
  <c r="I475" i="6" s="1"/>
  <c r="I476" i="6" a="1"/>
  <c r="I476" i="6" s="1"/>
  <c r="I477" i="6" a="1"/>
  <c r="I477" i="6" s="1"/>
  <c r="I478" i="6" a="1"/>
  <c r="I478" i="6" s="1"/>
  <c r="I479" i="6" a="1"/>
  <c r="I479" i="6" s="1"/>
  <c r="I480" i="6" a="1"/>
  <c r="I480" i="6" s="1"/>
  <c r="I481" i="6" a="1"/>
  <c r="I481" i="6" s="1"/>
  <c r="I482" i="6" a="1"/>
  <c r="I482" i="6" s="1"/>
  <c r="I483" i="6" a="1"/>
  <c r="I483" i="6" s="1"/>
  <c r="I484" i="6" a="1"/>
  <c r="I484" i="6" s="1"/>
  <c r="I485" i="6" a="1"/>
  <c r="I485" i="6" s="1"/>
  <c r="I486" i="6" a="1"/>
  <c r="I486" i="6" s="1"/>
  <c r="I487" i="6" a="1"/>
  <c r="I487" i="6" s="1"/>
  <c r="I488" i="6" a="1"/>
  <c r="I488" i="6" s="1"/>
  <c r="I489" i="6" a="1"/>
  <c r="I489" i="6" s="1"/>
  <c r="I490" i="6" a="1"/>
  <c r="I490" i="6" s="1"/>
  <c r="I491" i="6" a="1"/>
  <c r="I491" i="6" s="1"/>
  <c r="I492" i="6" a="1"/>
  <c r="I492" i="6" s="1"/>
  <c r="I493" i="6" a="1"/>
  <c r="I493" i="6" s="1"/>
  <c r="I494" i="6" a="1"/>
  <c r="I494" i="6" s="1"/>
  <c r="I495" i="6" a="1"/>
  <c r="I495" i="6" s="1"/>
  <c r="I496" i="6" a="1"/>
  <c r="I496" i="6" s="1"/>
  <c r="I497" i="6" a="1"/>
  <c r="I497" i="6" s="1"/>
  <c r="I498" i="6" a="1"/>
  <c r="I498" i="6" s="1"/>
  <c r="I499" i="6" a="1"/>
  <c r="I499" i="6" s="1"/>
  <c r="I500" i="6" a="1"/>
  <c r="I500" i="6" s="1"/>
  <c r="I501" i="6" a="1"/>
  <c r="I501" i="6" s="1"/>
  <c r="I502" i="6" a="1"/>
  <c r="I502" i="6" s="1"/>
  <c r="I503" i="6" a="1"/>
  <c r="I503" i="6" s="1"/>
  <c r="I504" i="6" a="1"/>
  <c r="I504" i="6" s="1"/>
  <c r="I505" i="6" a="1"/>
  <c r="I505" i="6" s="1"/>
  <c r="I506" i="6" a="1"/>
  <c r="I506" i="6" s="1"/>
  <c r="I507" i="6" a="1"/>
  <c r="I507" i="6" s="1"/>
  <c r="I508" i="6" a="1"/>
  <c r="I508" i="6" s="1"/>
  <c r="I509" i="6" a="1"/>
  <c r="I509" i="6" s="1"/>
  <c r="I510" i="6" a="1"/>
  <c r="I510" i="6" s="1"/>
  <c r="I511" i="6" a="1"/>
  <c r="I511" i="6" s="1"/>
  <c r="I512" i="6" a="1"/>
  <c r="I512" i="6" s="1"/>
  <c r="I513" i="6" a="1"/>
  <c r="I513" i="6" s="1"/>
  <c r="I514" i="6" a="1"/>
  <c r="I514" i="6" s="1"/>
  <c r="I515" i="6" a="1"/>
  <c r="I515" i="6" s="1"/>
  <c r="I516" i="6" a="1"/>
  <c r="I516" i="6" s="1"/>
  <c r="I517" i="6" a="1"/>
  <c r="I517" i="6" s="1"/>
  <c r="I518" i="6" a="1"/>
  <c r="I518" i="6" s="1"/>
  <c r="I519" i="6" a="1"/>
  <c r="I519" i="6" s="1"/>
  <c r="I520" i="6" a="1"/>
  <c r="I520" i="6" s="1"/>
  <c r="I521" i="6" a="1"/>
  <c r="I521" i="6" s="1"/>
  <c r="I522" i="6" a="1"/>
  <c r="I522" i="6" s="1"/>
  <c r="I523" i="6" a="1"/>
  <c r="I523" i="6" s="1"/>
  <c r="I524" i="6" a="1"/>
  <c r="I524" i="6" s="1"/>
  <c r="I525" i="6" a="1"/>
  <c r="I525" i="6" s="1"/>
  <c r="I526" i="6" a="1"/>
  <c r="I526" i="6" s="1"/>
  <c r="I527" i="6" a="1"/>
  <c r="I527" i="6" s="1"/>
  <c r="I528" i="6" a="1"/>
  <c r="I528" i="6" s="1"/>
  <c r="I529" i="6" a="1"/>
  <c r="I529" i="6" s="1"/>
  <c r="I530" i="6" a="1"/>
  <c r="I530" i="6" s="1"/>
  <c r="I531" i="6" a="1"/>
  <c r="I531" i="6" s="1"/>
  <c r="I532" i="6" a="1"/>
  <c r="I532" i="6" s="1"/>
  <c r="I533" i="6" a="1"/>
  <c r="I533" i="6" s="1"/>
  <c r="I534" i="6" a="1"/>
  <c r="I534" i="6" s="1"/>
  <c r="I535" i="6" a="1"/>
  <c r="I535" i="6" s="1"/>
  <c r="I536" i="6" a="1"/>
  <c r="I536" i="6" s="1"/>
  <c r="I537" i="6" a="1"/>
  <c r="I537" i="6" s="1"/>
  <c r="I538" i="6" a="1"/>
  <c r="I538" i="6" s="1"/>
  <c r="I539" i="6" a="1"/>
  <c r="I539" i="6" s="1"/>
  <c r="I540" i="6" a="1"/>
  <c r="I540" i="6" s="1"/>
  <c r="I541" i="6" a="1"/>
  <c r="I541" i="6" s="1"/>
  <c r="I542" i="6" a="1"/>
  <c r="I542" i="6" s="1"/>
  <c r="I543" i="6" a="1"/>
  <c r="I543" i="6" s="1"/>
  <c r="I544" i="6" a="1"/>
  <c r="I544" i="6" s="1"/>
  <c r="I545" i="6" a="1"/>
  <c r="I545" i="6" s="1"/>
  <c r="I546" i="6" a="1"/>
  <c r="I546" i="6" s="1"/>
  <c r="I547" i="6" a="1"/>
  <c r="I547" i="6" s="1"/>
  <c r="I548" i="6" a="1"/>
  <c r="I548" i="6" s="1"/>
  <c r="I549" i="6" a="1"/>
  <c r="I549" i="6" s="1"/>
  <c r="I550" i="6" a="1"/>
  <c r="I550" i="6" s="1"/>
  <c r="I551" i="6" a="1"/>
  <c r="I551" i="6" s="1"/>
  <c r="I552" i="6" a="1"/>
  <c r="I552" i="6" s="1"/>
  <c r="I553" i="6" a="1"/>
  <c r="I553" i="6" s="1"/>
  <c r="I554" i="6" a="1"/>
  <c r="I554" i="6" s="1"/>
  <c r="I555" i="6" a="1"/>
  <c r="I555" i="6" s="1"/>
  <c r="I556" i="6" a="1"/>
  <c r="I556" i="6" s="1"/>
  <c r="I557" i="6" a="1"/>
  <c r="I557" i="6" s="1"/>
  <c r="I558" i="6" a="1"/>
  <c r="I558" i="6" s="1"/>
  <c r="I559" i="6" a="1"/>
  <c r="I559" i="6" s="1"/>
  <c r="I560" i="6" a="1"/>
  <c r="I560" i="6" s="1"/>
  <c r="I561" i="6" a="1"/>
  <c r="I561" i="6" s="1"/>
  <c r="I562" i="6" a="1"/>
  <c r="I562" i="6" s="1"/>
  <c r="I563" i="6" a="1"/>
  <c r="I563" i="6" s="1"/>
  <c r="I564" i="6" a="1"/>
  <c r="I564" i="6" s="1"/>
  <c r="I565" i="6" a="1"/>
  <c r="I565" i="6" s="1"/>
  <c r="I566" i="6" a="1"/>
  <c r="I566" i="6" s="1"/>
  <c r="I567" i="6" a="1"/>
  <c r="I567" i="6" s="1"/>
  <c r="I568" i="6" a="1"/>
  <c r="I568" i="6" s="1"/>
  <c r="I569" i="6" a="1"/>
  <c r="I569" i="6" s="1"/>
  <c r="I570" i="6" a="1"/>
  <c r="I570" i="6" s="1"/>
  <c r="I571" i="6" a="1"/>
  <c r="I571" i="6" s="1"/>
  <c r="I572" i="6" a="1"/>
  <c r="I572" i="6" s="1"/>
  <c r="I573" i="6" a="1"/>
  <c r="I573" i="6" s="1"/>
  <c r="I574" i="6" a="1"/>
  <c r="I574" i="6" s="1"/>
  <c r="I575" i="6" a="1"/>
  <c r="I575" i="6" s="1"/>
  <c r="I576" i="6" a="1"/>
  <c r="I576" i="6" s="1"/>
  <c r="I577" i="6" a="1"/>
  <c r="I577" i="6" s="1"/>
  <c r="I578" i="6" a="1"/>
  <c r="I578" i="6" s="1"/>
  <c r="I579" i="6" a="1"/>
  <c r="I579" i="6" s="1"/>
  <c r="I580" i="6" a="1"/>
  <c r="I580" i="6" s="1"/>
  <c r="I581" i="6" a="1"/>
  <c r="I581" i="6" s="1"/>
  <c r="I582" i="6" a="1"/>
  <c r="I582" i="6" s="1"/>
  <c r="I583" i="6" a="1"/>
  <c r="I583" i="6" s="1"/>
  <c r="I584" i="6" a="1"/>
  <c r="I584" i="6" s="1"/>
  <c r="I585" i="6" a="1"/>
  <c r="I585" i="6" s="1"/>
  <c r="I586" i="6" a="1"/>
  <c r="I586" i="6" s="1"/>
  <c r="I587" i="6" a="1"/>
  <c r="I587" i="6" s="1"/>
  <c r="I588" i="6" a="1"/>
  <c r="I588" i="6" s="1"/>
  <c r="I589" i="6" a="1"/>
  <c r="I589" i="6" s="1"/>
  <c r="I590" i="6" a="1"/>
  <c r="I590" i="6" s="1"/>
  <c r="I591" i="6" a="1"/>
  <c r="I591" i="6" s="1"/>
  <c r="I592" i="6" a="1"/>
  <c r="I592" i="6" s="1"/>
  <c r="I593" i="6" a="1"/>
  <c r="I593" i="6" s="1"/>
  <c r="I594" i="6" a="1"/>
  <c r="I594" i="6" s="1"/>
  <c r="I595" i="6" a="1"/>
  <c r="I595" i="6" s="1"/>
  <c r="I596" i="6" a="1"/>
  <c r="I596" i="6" s="1"/>
  <c r="I597" i="6" a="1"/>
  <c r="I597" i="6" s="1"/>
  <c r="I598" i="6" a="1"/>
  <c r="I598" i="6" s="1"/>
  <c r="I599" i="6" a="1"/>
  <c r="I599" i="6" s="1"/>
  <c r="I600" i="6" a="1"/>
  <c r="I600" i="6" s="1"/>
  <c r="I601" i="6" a="1"/>
  <c r="I601" i="6" s="1"/>
  <c r="I602" i="6" a="1"/>
  <c r="I602" i="6" s="1"/>
  <c r="I603" i="6" a="1"/>
  <c r="I603" i="6" s="1"/>
  <c r="I604" i="6" a="1"/>
  <c r="I604" i="6" s="1"/>
  <c r="I605" i="6" a="1"/>
  <c r="I605" i="6" s="1"/>
  <c r="I606" i="6" a="1"/>
  <c r="I606" i="6" s="1"/>
  <c r="I607" i="6" a="1"/>
  <c r="I607" i="6" s="1"/>
  <c r="I608" i="6" a="1"/>
  <c r="I608" i="6" s="1"/>
  <c r="I609" i="6" a="1"/>
  <c r="I609" i="6" s="1"/>
  <c r="I610" i="6" a="1"/>
  <c r="I610" i="6" s="1"/>
  <c r="I611" i="6" a="1"/>
  <c r="I611" i="6" s="1"/>
  <c r="I612" i="6" a="1"/>
  <c r="I612" i="6" s="1"/>
  <c r="I613" i="6" a="1"/>
  <c r="I613" i="6" s="1"/>
  <c r="I614" i="6" a="1"/>
  <c r="I614" i="6" s="1"/>
  <c r="I615" i="6" a="1"/>
  <c r="I615" i="6" s="1"/>
  <c r="I616" i="6" a="1"/>
  <c r="I616" i="6" s="1"/>
  <c r="I617" i="6" a="1"/>
  <c r="I617" i="6" s="1"/>
  <c r="I618" i="6" a="1"/>
  <c r="I618" i="6" s="1"/>
  <c r="I619" i="6" a="1"/>
  <c r="I619" i="6" s="1"/>
  <c r="I620" i="6" a="1"/>
  <c r="I620" i="6" s="1"/>
  <c r="I621" i="6" a="1"/>
  <c r="I621" i="6" s="1"/>
  <c r="I622" i="6" a="1"/>
  <c r="I622" i="6" s="1"/>
  <c r="I623" i="6" a="1"/>
  <c r="I623" i="6" s="1"/>
  <c r="I624" i="6" a="1"/>
  <c r="I624" i="6" s="1"/>
  <c r="I625" i="6" a="1"/>
  <c r="I625" i="6" s="1"/>
  <c r="I626" i="6" a="1"/>
  <c r="I626" i="6" s="1"/>
  <c r="I627" i="6" a="1"/>
  <c r="I627" i="6" s="1"/>
  <c r="I628" i="6" a="1"/>
  <c r="I628" i="6" s="1"/>
  <c r="I629" i="6" a="1"/>
  <c r="I629" i="6" s="1"/>
  <c r="I630" i="6" a="1"/>
  <c r="I630" i="6" s="1"/>
  <c r="I631" i="6" a="1"/>
  <c r="I631" i="6" s="1"/>
  <c r="I632" i="6" a="1"/>
  <c r="I632" i="6" s="1"/>
  <c r="I633" i="6" a="1"/>
  <c r="I633" i="6" s="1"/>
  <c r="I634" i="6" a="1"/>
  <c r="I634" i="6" s="1"/>
  <c r="I635" i="6" a="1"/>
  <c r="I635" i="6" s="1"/>
  <c r="I636" i="6" a="1"/>
  <c r="I636" i="6" s="1"/>
  <c r="I637" i="6" a="1"/>
  <c r="I637" i="6" s="1"/>
  <c r="I638" i="6" a="1"/>
  <c r="I638" i="6" s="1"/>
  <c r="I639" i="6" a="1"/>
  <c r="I639" i="6" s="1"/>
  <c r="I640" i="6" a="1"/>
  <c r="I640" i="6" s="1"/>
  <c r="I641" i="6" a="1"/>
  <c r="I641" i="6" s="1"/>
  <c r="I642" i="6" a="1"/>
  <c r="I642" i="6" s="1"/>
  <c r="I643" i="6" a="1"/>
  <c r="I643" i="6" s="1"/>
  <c r="I644" i="6" a="1"/>
  <c r="I644" i="6" s="1"/>
  <c r="I645" i="6" a="1"/>
  <c r="I645" i="6" s="1"/>
  <c r="I646" i="6" a="1"/>
  <c r="I646" i="6" s="1"/>
  <c r="I647" i="6" a="1"/>
  <c r="I647" i="6" s="1"/>
  <c r="I648" i="6" a="1"/>
  <c r="I648" i="6" s="1"/>
  <c r="I649" i="6" a="1"/>
  <c r="I649" i="6" s="1"/>
  <c r="I650" i="6" a="1"/>
  <c r="I650" i="6" s="1"/>
  <c r="I651" i="6" a="1"/>
  <c r="I651" i="6" s="1"/>
  <c r="I652" i="6" a="1"/>
  <c r="I652" i="6" s="1"/>
  <c r="I653" i="6" a="1"/>
  <c r="I653" i="6" s="1"/>
  <c r="I654" i="6" a="1"/>
  <c r="I654" i="6" s="1"/>
  <c r="I655" i="6" a="1"/>
  <c r="I655" i="6" s="1"/>
  <c r="I656" i="6" a="1"/>
  <c r="I656" i="6" s="1"/>
  <c r="I657" i="6" a="1"/>
  <c r="I657" i="6" s="1"/>
  <c r="I658" i="6" a="1"/>
  <c r="I658" i="6" s="1"/>
  <c r="I659" i="6" a="1"/>
  <c r="I659" i="6" s="1"/>
  <c r="I660" i="6" a="1"/>
  <c r="I660" i="6" s="1"/>
  <c r="I661" i="6" a="1"/>
  <c r="I661" i="6" s="1"/>
  <c r="I662" i="6" a="1"/>
  <c r="I662" i="6" s="1"/>
  <c r="I663" i="6" a="1"/>
  <c r="I663" i="6" s="1"/>
  <c r="I664" i="6" a="1"/>
  <c r="I664" i="6" s="1"/>
  <c r="I665" i="6" a="1"/>
  <c r="I665" i="6" s="1"/>
  <c r="I666" i="6" a="1"/>
  <c r="I666" i="6" s="1"/>
  <c r="I667" i="6" a="1"/>
  <c r="I667" i="6" s="1"/>
  <c r="I668" i="6" a="1"/>
  <c r="I668" i="6" s="1"/>
  <c r="I669" i="6" a="1"/>
  <c r="I669" i="6" s="1"/>
  <c r="I670" i="6" a="1"/>
  <c r="I670" i="6" s="1"/>
  <c r="I671" i="6" a="1"/>
  <c r="I671" i="6" s="1"/>
  <c r="I672" i="6" a="1"/>
  <c r="I672" i="6" s="1"/>
  <c r="I673" i="6" a="1"/>
  <c r="I673" i="6" s="1"/>
  <c r="I674" i="6" a="1"/>
  <c r="I674" i="6" s="1"/>
  <c r="I675" i="6" a="1"/>
  <c r="I675" i="6" s="1"/>
  <c r="I676" i="6" a="1"/>
  <c r="I676" i="6" s="1"/>
  <c r="I677" i="6" a="1"/>
  <c r="I677" i="6" s="1"/>
  <c r="I678" i="6" a="1"/>
  <c r="I678" i="6" s="1"/>
  <c r="I679" i="6" a="1"/>
  <c r="I679" i="6" s="1"/>
  <c r="I680" i="6" a="1"/>
  <c r="I680" i="6" s="1"/>
  <c r="I681" i="6" a="1"/>
  <c r="I681" i="6" s="1"/>
  <c r="I682" i="6" a="1"/>
  <c r="I682" i="6" s="1"/>
  <c r="I683" i="6" a="1"/>
  <c r="I683" i="6" s="1"/>
  <c r="I684" i="6" a="1"/>
  <c r="I684" i="6" s="1"/>
  <c r="I685" i="6" a="1"/>
  <c r="I685" i="6" s="1"/>
  <c r="I686" i="6" a="1"/>
  <c r="I686" i="6" s="1"/>
  <c r="I687" i="6" a="1"/>
  <c r="I687" i="6" s="1"/>
  <c r="I688" i="6" a="1"/>
  <c r="I688" i="6" s="1"/>
  <c r="I689" i="6" a="1"/>
  <c r="I689" i="6" s="1"/>
  <c r="I690" i="6" a="1"/>
  <c r="I690" i="6" s="1"/>
  <c r="I691" i="6" a="1"/>
  <c r="I691" i="6" s="1"/>
  <c r="I692" i="6" a="1"/>
  <c r="I692" i="6" s="1"/>
  <c r="I693" i="6" a="1"/>
  <c r="I693" i="6" s="1"/>
  <c r="I694" i="6" a="1"/>
  <c r="I694" i="6" s="1"/>
  <c r="I695" i="6" a="1"/>
  <c r="I695" i="6" s="1"/>
  <c r="I696" i="6" a="1"/>
  <c r="I696" i="6" s="1"/>
  <c r="I697" i="6" a="1"/>
  <c r="I697" i="6" s="1"/>
  <c r="I698" i="6" a="1"/>
  <c r="I698" i="6" s="1"/>
  <c r="I699" i="6" a="1"/>
  <c r="I699" i="6" s="1"/>
  <c r="I700" i="6" a="1"/>
  <c r="I700" i="6" s="1"/>
  <c r="I701" i="6" a="1"/>
  <c r="I701" i="6" s="1"/>
  <c r="I702" i="6" a="1"/>
  <c r="I702" i="6" s="1"/>
  <c r="I703" i="6" a="1"/>
  <c r="I703" i="6" s="1"/>
  <c r="I704" i="6" a="1"/>
  <c r="I704" i="6" s="1"/>
  <c r="I705" i="6" a="1"/>
  <c r="I705" i="6" s="1"/>
  <c r="I706" i="6" a="1"/>
  <c r="I706" i="6" s="1"/>
  <c r="I707" i="6" a="1"/>
  <c r="I707" i="6" s="1"/>
  <c r="I708" i="6" a="1"/>
  <c r="I708" i="6" s="1"/>
  <c r="I709" i="6" a="1"/>
  <c r="I709" i="6" s="1"/>
  <c r="I710" i="6" a="1"/>
  <c r="I710" i="6" s="1"/>
  <c r="I711" i="6" a="1"/>
  <c r="I711" i="6" s="1"/>
  <c r="I712" i="6" a="1"/>
  <c r="I712" i="6" s="1"/>
  <c r="I713" i="6" a="1"/>
  <c r="I713" i="6" s="1"/>
  <c r="I714" i="6" a="1"/>
  <c r="I714" i="6" s="1"/>
  <c r="I715" i="6" a="1"/>
  <c r="I715" i="6" s="1"/>
  <c r="I716" i="6" a="1"/>
  <c r="I716" i="6" s="1"/>
  <c r="I717" i="6" a="1"/>
  <c r="I717" i="6" s="1"/>
  <c r="I718" i="6" a="1"/>
  <c r="I718" i="6" s="1"/>
  <c r="I719" i="6" a="1"/>
  <c r="I719" i="6" s="1"/>
  <c r="I720" i="6" a="1"/>
  <c r="I720" i="6" s="1"/>
  <c r="I721" i="6" a="1"/>
  <c r="I721" i="6" s="1"/>
  <c r="I722" i="6" a="1"/>
  <c r="I722" i="6" s="1"/>
  <c r="I723" i="6" a="1"/>
  <c r="I723" i="6" s="1"/>
  <c r="I724" i="6" a="1"/>
  <c r="I724" i="6" s="1"/>
  <c r="I725" i="6" a="1"/>
  <c r="I725" i="6" s="1"/>
  <c r="I726" i="6" a="1"/>
  <c r="I726" i="6" s="1"/>
  <c r="I727" i="6" a="1"/>
  <c r="I727" i="6" s="1"/>
  <c r="I728" i="6" a="1"/>
  <c r="I728" i="6" s="1"/>
  <c r="I729" i="6" a="1"/>
  <c r="I729" i="6" s="1"/>
  <c r="I730" i="6" a="1"/>
  <c r="I730" i="6" s="1"/>
  <c r="I731" i="6" a="1"/>
  <c r="I731" i="6" s="1"/>
  <c r="I732" i="6" a="1"/>
  <c r="I732" i="6" s="1"/>
  <c r="I733" i="6" a="1"/>
  <c r="I733" i="6" s="1"/>
  <c r="I734" i="6" a="1"/>
  <c r="I734" i="6" s="1"/>
  <c r="I735" i="6" a="1"/>
  <c r="I735" i="6" s="1"/>
  <c r="I736" i="6" a="1"/>
  <c r="I736" i="6" s="1"/>
  <c r="I737" i="6" a="1"/>
  <c r="I737" i="6" s="1"/>
  <c r="I738" i="6" a="1"/>
  <c r="I738" i="6" s="1"/>
  <c r="I739" i="6" a="1"/>
  <c r="I739" i="6" s="1"/>
  <c r="I740" i="6" a="1"/>
  <c r="I740" i="6" s="1"/>
  <c r="I741" i="6" a="1"/>
  <c r="I741" i="6" s="1"/>
  <c r="I742" i="6" a="1"/>
  <c r="I742" i="6" s="1"/>
  <c r="I743" i="6" a="1"/>
  <c r="I743" i="6" s="1"/>
  <c r="I744" i="6" a="1"/>
  <c r="I744" i="6" s="1"/>
  <c r="I745" i="6" a="1"/>
  <c r="I745" i="6" s="1"/>
  <c r="I746" i="6" a="1"/>
  <c r="I746" i="6" s="1"/>
  <c r="I747" i="6" a="1"/>
  <c r="I747" i="6" s="1"/>
  <c r="I748" i="6" a="1"/>
  <c r="I748" i="6" s="1"/>
  <c r="I749" i="6" a="1"/>
  <c r="I749" i="6" s="1"/>
  <c r="I750" i="6" a="1"/>
  <c r="I750" i="6" s="1"/>
  <c r="I751" i="6" a="1"/>
  <c r="I751" i="6" s="1"/>
  <c r="I752" i="6" a="1"/>
  <c r="I752" i="6" s="1"/>
  <c r="I753" i="6" a="1"/>
  <c r="I753" i="6" s="1"/>
  <c r="I754" i="6" a="1"/>
  <c r="I754" i="6" s="1"/>
  <c r="I755" i="6" a="1"/>
  <c r="I755" i="6" s="1"/>
  <c r="I756" i="6" a="1"/>
  <c r="I756" i="6" s="1"/>
  <c r="I757" i="6" a="1"/>
  <c r="I757" i="6" s="1"/>
  <c r="I758" i="6" a="1"/>
  <c r="I758" i="6" s="1"/>
  <c r="I759" i="6" a="1"/>
  <c r="I759" i="6" s="1"/>
  <c r="I760" i="6" a="1"/>
  <c r="I760" i="6" s="1"/>
  <c r="I761" i="6" a="1"/>
  <c r="I761" i="6" s="1"/>
  <c r="I762" i="6" a="1"/>
  <c r="I762" i="6" s="1"/>
  <c r="I763" i="6" a="1"/>
  <c r="I763" i="6" s="1"/>
  <c r="I764" i="6" a="1"/>
  <c r="I764" i="6" s="1"/>
  <c r="I765" i="6" a="1"/>
  <c r="I765" i="6" s="1"/>
  <c r="I766" i="6" a="1"/>
  <c r="I766" i="6" s="1"/>
  <c r="I767" i="6" a="1"/>
  <c r="I767" i="6" s="1"/>
  <c r="I768" i="6" a="1"/>
  <c r="I768" i="6" s="1"/>
  <c r="I769" i="6" a="1"/>
  <c r="I769" i="6" s="1"/>
  <c r="I770" i="6" a="1"/>
  <c r="I770" i="6" s="1"/>
  <c r="I771" i="6" a="1"/>
  <c r="I771" i="6" s="1"/>
  <c r="I772" i="6" a="1"/>
  <c r="I772" i="6" s="1"/>
  <c r="I773" i="6" a="1"/>
  <c r="I773" i="6" s="1"/>
  <c r="I774" i="6" a="1"/>
  <c r="I774" i="6" s="1"/>
  <c r="I775" i="6" a="1"/>
  <c r="I775" i="6" s="1"/>
  <c r="I776" i="6" a="1"/>
  <c r="I776" i="6" s="1"/>
  <c r="I777" i="6" a="1"/>
  <c r="I777" i="6" s="1"/>
  <c r="I778" i="6" a="1"/>
  <c r="I778" i="6" s="1"/>
  <c r="I779" i="6" a="1"/>
  <c r="I779" i="6" s="1"/>
  <c r="I780" i="6" a="1"/>
  <c r="I780" i="6" s="1"/>
  <c r="I781" i="6" a="1"/>
  <c r="I781" i="6" s="1"/>
  <c r="I782" i="6" a="1"/>
  <c r="I782" i="6" s="1"/>
  <c r="I783" i="6" a="1"/>
  <c r="I783" i="6" s="1"/>
  <c r="I784" i="6" a="1"/>
  <c r="I784" i="6" s="1"/>
  <c r="I785" i="6" a="1"/>
  <c r="I785" i="6" s="1"/>
  <c r="I786" i="6" a="1"/>
  <c r="I786" i="6" s="1"/>
  <c r="I787" i="6" a="1"/>
  <c r="I787" i="6" s="1"/>
  <c r="I788" i="6" a="1"/>
  <c r="I788" i="6" s="1"/>
  <c r="I789" i="6" a="1"/>
  <c r="I789" i="6" s="1"/>
  <c r="I790" i="6" a="1"/>
  <c r="I790" i="6" s="1"/>
  <c r="I791" i="6" a="1"/>
  <c r="I791" i="6" s="1"/>
  <c r="I792" i="6" a="1"/>
  <c r="I792" i="6" s="1"/>
  <c r="I793" i="6" a="1"/>
  <c r="I793" i="6" s="1"/>
  <c r="I794" i="6" a="1"/>
  <c r="I794" i="6" s="1"/>
  <c r="I795" i="6" a="1"/>
  <c r="I795" i="6" s="1"/>
  <c r="I796" i="6" a="1"/>
  <c r="I796" i="6" s="1"/>
  <c r="I797" i="6" a="1"/>
  <c r="I797" i="6" s="1"/>
  <c r="I798" i="6" a="1"/>
  <c r="I798" i="6" s="1"/>
  <c r="I799" i="6" a="1"/>
  <c r="I799" i="6" s="1"/>
  <c r="I800" i="6" a="1"/>
  <c r="I800" i="6" s="1"/>
  <c r="I801" i="6" a="1"/>
  <c r="I801" i="6" s="1"/>
  <c r="I802" i="6" a="1"/>
  <c r="I802" i="6" s="1"/>
  <c r="I803" i="6" a="1"/>
  <c r="I803" i="6" s="1"/>
  <c r="I804" i="6" a="1"/>
  <c r="I804" i="6" s="1"/>
  <c r="I805" i="6" a="1"/>
  <c r="I805" i="6" s="1"/>
  <c r="I806" i="6" a="1"/>
  <c r="I806" i="6" s="1"/>
  <c r="I807" i="6" a="1"/>
  <c r="I807" i="6" s="1"/>
  <c r="I808" i="6" a="1"/>
  <c r="I808" i="6" s="1"/>
  <c r="I809" i="6" a="1"/>
  <c r="I809" i="6" s="1"/>
  <c r="I810" i="6" a="1"/>
  <c r="I810" i="6" s="1"/>
  <c r="I811" i="6" a="1"/>
  <c r="I811" i="6" s="1"/>
  <c r="I812" i="6" a="1"/>
  <c r="I812" i="6" s="1"/>
  <c r="I813" i="6" a="1"/>
  <c r="I813" i="6" s="1"/>
  <c r="I814" i="6" a="1"/>
  <c r="I814" i="6" s="1"/>
  <c r="I815" i="6" a="1"/>
  <c r="I815" i="6" s="1"/>
  <c r="I816" i="6" a="1"/>
  <c r="I816" i="6" s="1"/>
  <c r="I817" i="6" a="1"/>
  <c r="I817" i="6" s="1"/>
  <c r="I818" i="6" a="1"/>
  <c r="I818" i="6" s="1"/>
  <c r="I819" i="6" a="1"/>
  <c r="I819" i="6" s="1"/>
  <c r="I820" i="6" a="1"/>
  <c r="I820" i="6" s="1"/>
  <c r="I821" i="6" a="1"/>
  <c r="I821" i="6" s="1"/>
  <c r="I822" i="6" a="1"/>
  <c r="I822" i="6" s="1"/>
  <c r="I823" i="6" a="1"/>
  <c r="I823" i="6" s="1"/>
  <c r="I824" i="6" a="1"/>
  <c r="I824" i="6" s="1"/>
  <c r="I825" i="6" a="1"/>
  <c r="I825" i="6" s="1"/>
  <c r="I826" i="6" a="1"/>
  <c r="I826" i="6" s="1"/>
  <c r="I827" i="6" a="1"/>
  <c r="I827" i="6" s="1"/>
  <c r="I828" i="6" a="1"/>
  <c r="I828" i="6" s="1"/>
  <c r="I829" i="6" a="1"/>
  <c r="I829" i="6" s="1"/>
  <c r="I830" i="6" a="1"/>
  <c r="I830" i="6" s="1"/>
  <c r="I831" i="6" a="1"/>
  <c r="I831" i="6" s="1"/>
  <c r="I832" i="6" a="1"/>
  <c r="I832" i="6" s="1"/>
  <c r="I833" i="6" a="1"/>
  <c r="I833" i="6" s="1"/>
  <c r="I834" i="6" a="1"/>
  <c r="I834" i="6" s="1"/>
  <c r="I835" i="6" a="1"/>
  <c r="I835" i="6" s="1"/>
  <c r="I836" i="6" a="1"/>
  <c r="I836" i="6" s="1"/>
  <c r="I837" i="6" a="1"/>
  <c r="I837" i="6" s="1"/>
  <c r="I838" i="6" a="1"/>
  <c r="I838" i="6" s="1"/>
  <c r="I839" i="6" a="1"/>
  <c r="I839" i="6" s="1"/>
  <c r="I840" i="6" a="1"/>
  <c r="I840" i="6" s="1"/>
  <c r="I841" i="6" a="1"/>
  <c r="I841" i="6" s="1"/>
  <c r="I842" i="6" a="1"/>
  <c r="I842" i="6" s="1"/>
  <c r="I843" i="6" a="1"/>
  <c r="I843" i="6" s="1"/>
  <c r="I844" i="6" a="1"/>
  <c r="I844" i="6" s="1"/>
  <c r="I845" i="6" a="1"/>
  <c r="I845" i="6" s="1"/>
  <c r="I846" i="6" a="1"/>
  <c r="I846" i="6" s="1"/>
  <c r="I847" i="6" a="1"/>
  <c r="I847" i="6" s="1"/>
  <c r="I848" i="6" a="1"/>
  <c r="I848" i="6" s="1"/>
  <c r="I849" i="6" a="1"/>
  <c r="I849" i="6" s="1"/>
  <c r="I850" i="6" a="1"/>
  <c r="I850" i="6" s="1"/>
  <c r="I851" i="6" a="1"/>
  <c r="I851" i="6" s="1"/>
  <c r="I852" i="6" a="1"/>
  <c r="I852" i="6" s="1"/>
  <c r="I853" i="6" a="1"/>
  <c r="I853" i="6" s="1"/>
  <c r="I854" i="6" a="1"/>
  <c r="I854" i="6" s="1"/>
  <c r="I855" i="6" a="1"/>
  <c r="I855" i="6" s="1"/>
  <c r="I856" i="6" a="1"/>
  <c r="I856" i="6" s="1"/>
  <c r="I857" i="6" a="1"/>
  <c r="I857" i="6" s="1"/>
  <c r="I858" i="6" a="1"/>
  <c r="I858" i="6" s="1"/>
  <c r="I859" i="6" a="1"/>
  <c r="I859" i="6" s="1"/>
  <c r="I860" i="6" a="1"/>
  <c r="I860" i="6" s="1"/>
  <c r="I861" i="6" a="1"/>
  <c r="I861" i="6" s="1"/>
  <c r="I862" i="6" a="1"/>
  <c r="I862" i="6" s="1"/>
  <c r="I863" i="6" a="1"/>
  <c r="I863" i="6" s="1"/>
  <c r="I864" i="6" a="1"/>
  <c r="I864" i="6" s="1"/>
  <c r="I865" i="6" a="1"/>
  <c r="I865" i="6" s="1"/>
  <c r="I866" i="6" a="1"/>
  <c r="I866" i="6" s="1"/>
  <c r="I867" i="6" a="1"/>
  <c r="I867" i="6" s="1"/>
  <c r="I868" i="6" a="1"/>
  <c r="I868" i="6" s="1"/>
  <c r="I869" i="6" a="1"/>
  <c r="I869" i="6" s="1"/>
  <c r="I870" i="6" a="1"/>
  <c r="I870" i="6" s="1"/>
  <c r="I871" i="6" a="1"/>
  <c r="I871" i="6" s="1"/>
  <c r="I872" i="6" a="1"/>
  <c r="I872" i="6" s="1"/>
  <c r="I873" i="6" a="1"/>
  <c r="I873" i="6" s="1"/>
  <c r="I874" i="6" a="1"/>
  <c r="I874" i="6" s="1"/>
  <c r="I875" i="6" a="1"/>
  <c r="I875" i="6" s="1"/>
  <c r="I876" i="6" a="1"/>
  <c r="I876" i="6" s="1"/>
  <c r="I877" i="6" a="1"/>
  <c r="I877" i="6" s="1"/>
  <c r="I878" i="6" a="1"/>
  <c r="I878" i="6" s="1"/>
  <c r="I879" i="6" a="1"/>
  <c r="I879" i="6" s="1"/>
  <c r="I880" i="6" a="1"/>
  <c r="I880" i="6" s="1"/>
  <c r="I881" i="6" a="1"/>
  <c r="I881" i="6" s="1"/>
  <c r="I882" i="6" a="1"/>
  <c r="I882" i="6" s="1"/>
  <c r="I883" i="6" a="1"/>
  <c r="I883" i="6" s="1"/>
  <c r="I884" i="6" a="1"/>
  <c r="I884" i="6" s="1"/>
  <c r="I885" i="6" a="1"/>
  <c r="I885" i="6" s="1"/>
  <c r="I886" i="6" a="1"/>
  <c r="I886" i="6" s="1"/>
  <c r="I887" i="6" a="1"/>
  <c r="I887" i="6" s="1"/>
  <c r="I888" i="6" a="1"/>
  <c r="I888" i="6" s="1"/>
  <c r="I889" i="6" a="1"/>
  <c r="I889" i="6" s="1"/>
  <c r="I890" i="6" a="1"/>
  <c r="I890" i="6" s="1"/>
  <c r="I891" i="6" a="1"/>
  <c r="I891" i="6" s="1"/>
  <c r="I892" i="6" a="1"/>
  <c r="I892" i="6" s="1"/>
  <c r="I893" i="6" a="1"/>
  <c r="I893" i="6" s="1"/>
  <c r="I894" i="6" a="1"/>
  <c r="I894" i="6" s="1"/>
  <c r="I895" i="6" a="1"/>
  <c r="I895" i="6" s="1"/>
  <c r="I896" i="6" a="1"/>
  <c r="I896" i="6" s="1"/>
  <c r="I897" i="6" a="1"/>
  <c r="I897" i="6" s="1"/>
  <c r="I898" i="6" a="1"/>
  <c r="I898" i="6" s="1"/>
  <c r="I899" i="6" a="1"/>
  <c r="I899" i="6" s="1"/>
  <c r="I900" i="6" a="1"/>
  <c r="I900" i="6" s="1"/>
  <c r="I901" i="6" a="1"/>
  <c r="I901" i="6" s="1"/>
  <c r="I902" i="6" a="1"/>
  <c r="I902" i="6" s="1"/>
  <c r="I903" i="6" a="1"/>
  <c r="I903" i="6" s="1"/>
  <c r="I904" i="6" a="1"/>
  <c r="I904" i="6" s="1"/>
  <c r="I905" i="6" a="1"/>
  <c r="I905" i="6" s="1"/>
  <c r="I906" i="6" a="1"/>
  <c r="I906" i="6" s="1"/>
  <c r="I907" i="6" a="1"/>
  <c r="I907" i="6" s="1"/>
  <c r="I908" i="6" a="1"/>
  <c r="I908" i="6" s="1"/>
  <c r="I909" i="6" a="1"/>
  <c r="I909" i="6" s="1"/>
  <c r="I910" i="6" a="1"/>
  <c r="I910" i="6" s="1"/>
  <c r="I911" i="6" a="1"/>
  <c r="I911" i="6" s="1"/>
  <c r="I912" i="6" a="1"/>
  <c r="I912" i="6" s="1"/>
  <c r="I913" i="6" a="1"/>
  <c r="I913" i="6" s="1"/>
  <c r="I914" i="6" a="1"/>
  <c r="I914" i="6" s="1"/>
  <c r="I915" i="6" a="1"/>
  <c r="I915" i="6" s="1"/>
  <c r="I916" i="6" a="1"/>
  <c r="I916" i="6" s="1"/>
  <c r="I917" i="6" a="1"/>
  <c r="I917" i="6" s="1"/>
  <c r="I918" i="6" a="1"/>
  <c r="I918" i="6" s="1"/>
  <c r="I919" i="6" a="1"/>
  <c r="I919" i="6" s="1"/>
  <c r="I920" i="6" a="1"/>
  <c r="I920" i="6" s="1"/>
  <c r="I921" i="6" a="1"/>
  <c r="I921" i="6" s="1"/>
  <c r="I922" i="6" a="1"/>
  <c r="I922" i="6" s="1"/>
  <c r="I923" i="6" a="1"/>
  <c r="I923" i="6" s="1"/>
  <c r="I924" i="6" a="1"/>
  <c r="I924" i="6" s="1"/>
  <c r="I925" i="6" a="1"/>
  <c r="I925" i="6" s="1"/>
  <c r="I926" i="6" a="1"/>
  <c r="I926" i="6" s="1"/>
  <c r="I927" i="6" a="1"/>
  <c r="I927" i="6" s="1"/>
  <c r="I928" i="6" a="1"/>
  <c r="I928" i="6" s="1"/>
  <c r="I929" i="6" a="1"/>
  <c r="I929" i="6" s="1"/>
  <c r="I930" i="6" a="1"/>
  <c r="I930" i="6" s="1"/>
  <c r="I931" i="6" a="1"/>
  <c r="I931" i="6" s="1"/>
  <c r="I932" i="6" a="1"/>
  <c r="I932" i="6" s="1"/>
  <c r="I933" i="6" a="1"/>
  <c r="I933" i="6" s="1"/>
  <c r="I934" i="6" a="1"/>
  <c r="I934" i="6" s="1"/>
  <c r="I935" i="6" a="1"/>
  <c r="I935" i="6" s="1"/>
  <c r="I936" i="6" a="1"/>
  <c r="I936" i="6" s="1"/>
  <c r="I937" i="6" a="1"/>
  <c r="I937" i="6" s="1"/>
  <c r="I938" i="6" a="1"/>
  <c r="I938" i="6" s="1"/>
  <c r="I939" i="6" a="1"/>
  <c r="I939" i="6" s="1"/>
  <c r="I940" i="6" a="1"/>
  <c r="I940" i="6" s="1"/>
  <c r="I941" i="6" a="1"/>
  <c r="I941" i="6" s="1"/>
  <c r="I942" i="6" a="1"/>
  <c r="I942" i="6" s="1"/>
  <c r="I943" i="6" a="1"/>
  <c r="I943" i="6" s="1"/>
  <c r="I944" i="6" a="1"/>
  <c r="I944" i="6" s="1"/>
  <c r="I945" i="6" a="1"/>
  <c r="I945" i="6" s="1"/>
  <c r="I946" i="6" a="1"/>
  <c r="I946" i="6" s="1"/>
  <c r="I947" i="6" a="1"/>
  <c r="I947" i="6" s="1"/>
  <c r="I948" i="6" a="1"/>
  <c r="I948" i="6" s="1"/>
  <c r="I949" i="6" a="1"/>
  <c r="I949" i="6" s="1"/>
  <c r="I950" i="6" a="1"/>
  <c r="I950" i="6" s="1"/>
  <c r="I951" i="6" a="1"/>
  <c r="I951" i="6" s="1"/>
  <c r="I952" i="6" a="1"/>
  <c r="I952" i="6" s="1"/>
  <c r="I953" i="6" a="1"/>
  <c r="I953" i="6" s="1"/>
  <c r="I954" i="6" a="1"/>
  <c r="I954" i="6" s="1"/>
  <c r="I955" i="6" a="1"/>
  <c r="I955" i="6" s="1"/>
  <c r="I956" i="6" a="1"/>
  <c r="I956" i="6" s="1"/>
  <c r="I957" i="6" a="1"/>
  <c r="I957" i="6" s="1"/>
  <c r="I958" i="6" a="1"/>
  <c r="I958" i="6" s="1"/>
  <c r="I959" i="6" a="1"/>
  <c r="I959" i="6" s="1"/>
  <c r="I960" i="6" a="1"/>
  <c r="I960" i="6" s="1"/>
  <c r="I961" i="6" a="1"/>
  <c r="I961" i="6" s="1"/>
  <c r="I962" i="6" a="1"/>
  <c r="I962" i="6" s="1"/>
  <c r="I963" i="6" a="1"/>
  <c r="I963" i="6" s="1"/>
  <c r="I964" i="6" a="1"/>
  <c r="I964" i="6" s="1"/>
  <c r="I965" i="6" a="1"/>
  <c r="I965" i="6" s="1"/>
  <c r="I966" i="6" a="1"/>
  <c r="I966" i="6" s="1"/>
  <c r="I967" i="6" a="1"/>
  <c r="I967" i="6" s="1"/>
  <c r="I968" i="6" a="1"/>
  <c r="I968" i="6" s="1"/>
  <c r="I969" i="6" a="1"/>
  <c r="I969" i="6" s="1"/>
  <c r="I970" i="6" a="1"/>
  <c r="I970" i="6" s="1"/>
  <c r="I971" i="6" a="1"/>
  <c r="I971" i="6" s="1"/>
  <c r="I972" i="6" a="1"/>
  <c r="I972" i="6" s="1"/>
  <c r="I973" i="6" a="1"/>
  <c r="I973" i="6" s="1"/>
  <c r="I974" i="6" a="1"/>
  <c r="I974" i="6" s="1"/>
  <c r="I975" i="6" a="1"/>
  <c r="I975" i="6" s="1"/>
  <c r="I976" i="6" a="1"/>
  <c r="I976" i="6" s="1"/>
  <c r="I977" i="6" a="1"/>
  <c r="I977" i="6" s="1"/>
  <c r="I978" i="6" a="1"/>
  <c r="I978" i="6" s="1"/>
  <c r="I979" i="6" a="1"/>
  <c r="I979" i="6" s="1"/>
  <c r="I980" i="6" a="1"/>
  <c r="I980" i="6" s="1"/>
  <c r="I981" i="6" a="1"/>
  <c r="I981" i="6" s="1"/>
  <c r="I982" i="6" a="1"/>
  <c r="I982" i="6" s="1"/>
  <c r="I983" i="6" a="1"/>
  <c r="I983" i="6" s="1"/>
  <c r="I984" i="6" a="1"/>
  <c r="I984" i="6" s="1"/>
  <c r="I985" i="6" a="1"/>
  <c r="I985" i="6" s="1"/>
  <c r="I986" i="6" a="1"/>
  <c r="I986" i="6" s="1"/>
  <c r="I987" i="6" a="1"/>
  <c r="I987" i="6" s="1"/>
  <c r="I988" i="6" a="1"/>
  <c r="I988" i="6" s="1"/>
  <c r="I989" i="6" a="1"/>
  <c r="I989" i="6" s="1"/>
  <c r="I990" i="6" a="1"/>
  <c r="I990" i="6" s="1"/>
  <c r="I991" i="6" a="1"/>
  <c r="I991" i="6" s="1"/>
  <c r="I992" i="6" a="1"/>
  <c r="I992" i="6" s="1"/>
  <c r="I993" i="6" a="1"/>
  <c r="I993" i="6" s="1"/>
  <c r="I994" i="6" a="1"/>
  <c r="I994" i="6" s="1"/>
  <c r="I995" i="6" a="1"/>
  <c r="I995" i="6" s="1"/>
  <c r="I996" i="6" a="1"/>
  <c r="I996" i="6" s="1"/>
  <c r="I997" i="6" a="1"/>
  <c r="I997" i="6" s="1"/>
  <c r="I998" i="6" a="1"/>
  <c r="I998" i="6" s="1"/>
  <c r="I999" i="6" a="1"/>
  <c r="I999" i="6" s="1"/>
  <c r="I1000" i="6" a="1"/>
  <c r="I1000" i="6" s="1"/>
  <c r="I1001" i="6" a="1"/>
  <c r="I1001" i="6" s="1"/>
  <c r="I1002" i="6" a="1"/>
  <c r="I1002" i="6" s="1"/>
  <c r="I1003" i="6" a="1"/>
  <c r="I1003" i="6" s="1"/>
  <c r="I1004" i="6" a="1"/>
  <c r="I1004" i="6" s="1"/>
  <c r="I1005" i="6" a="1"/>
  <c r="I1005" i="6" s="1"/>
  <c r="I1006" i="6" a="1"/>
  <c r="I1006" i="6" s="1"/>
  <c r="I1007" i="6" a="1"/>
  <c r="I1007" i="6" s="1"/>
  <c r="I1008" i="6" a="1"/>
  <c r="I1008" i="6" s="1"/>
  <c r="I1009" i="6" a="1"/>
  <c r="I1009" i="6" s="1"/>
  <c r="I1010" i="6" a="1"/>
  <c r="I1010" i="6" s="1"/>
  <c r="I1011" i="6" a="1"/>
  <c r="I1011" i="6" s="1"/>
  <c r="I1012" i="6" a="1"/>
  <c r="I1012" i="6" s="1"/>
  <c r="I1013" i="6" a="1"/>
  <c r="I1013" i="6" s="1"/>
  <c r="I1014" i="6" a="1"/>
  <c r="I1014" i="6" s="1"/>
  <c r="I1015" i="6" a="1"/>
  <c r="I1015" i="6" s="1"/>
  <c r="I1016" i="6" a="1"/>
  <c r="I1016" i="6" s="1"/>
  <c r="I1017" i="6" a="1"/>
  <c r="I1017" i="6" s="1"/>
  <c r="I1018" i="6" a="1"/>
  <c r="I1018" i="6" s="1"/>
  <c r="I1019" i="6" a="1"/>
  <c r="I1019" i="6" s="1"/>
  <c r="I1020" i="6" a="1"/>
  <c r="I1020" i="6" s="1"/>
  <c r="I1021" i="6" a="1"/>
  <c r="I1021" i="6" s="1"/>
  <c r="I1022" i="6" a="1"/>
  <c r="I1022" i="6" s="1"/>
  <c r="I1023" i="6" a="1"/>
  <c r="I1023" i="6" s="1"/>
  <c r="I1024" i="6" a="1"/>
  <c r="I1024" i="6" s="1"/>
  <c r="I1025" i="6" a="1"/>
  <c r="I1025" i="6" s="1"/>
  <c r="I1026" i="6" a="1"/>
  <c r="I1026" i="6" s="1"/>
  <c r="I1027" i="6" a="1"/>
  <c r="I1027" i="6" s="1"/>
  <c r="I1028" i="6" a="1"/>
  <c r="I1028" i="6" s="1"/>
  <c r="I1029" i="6" a="1"/>
  <c r="I1029" i="6" s="1"/>
  <c r="I1030" i="6" a="1"/>
  <c r="I1030" i="6" s="1"/>
  <c r="I1031" i="6" a="1"/>
  <c r="I1031" i="6" s="1"/>
  <c r="I1032" i="6" a="1"/>
  <c r="I1032" i="6" s="1"/>
  <c r="I1033" i="6" a="1"/>
  <c r="I1033" i="6" s="1"/>
  <c r="I1034" i="6" a="1"/>
  <c r="I1034" i="6" s="1"/>
  <c r="I1035" i="6" a="1"/>
  <c r="I1035" i="6" s="1"/>
  <c r="I1036" i="6" a="1"/>
  <c r="I1036" i="6" s="1"/>
  <c r="I1037" i="6" a="1"/>
  <c r="I1037" i="6" s="1"/>
  <c r="I1038" i="6" a="1"/>
  <c r="I1038" i="6" s="1"/>
  <c r="I1039" i="6" a="1"/>
  <c r="I1039" i="6" s="1"/>
  <c r="I1040" i="6" a="1"/>
  <c r="I1040" i="6" s="1"/>
  <c r="I1041" i="6" a="1"/>
  <c r="I1041" i="6" s="1"/>
  <c r="I1042" i="6" a="1"/>
  <c r="I1042" i="6" s="1"/>
  <c r="I1043" i="6" a="1"/>
  <c r="I1043" i="6" s="1"/>
  <c r="I1044" i="6" a="1"/>
  <c r="I1044" i="6" s="1"/>
  <c r="I1045" i="6" a="1"/>
  <c r="I1045" i="6" s="1"/>
  <c r="I1046" i="6" a="1"/>
  <c r="I1046" i="6" s="1"/>
  <c r="I1047" i="6" a="1"/>
  <c r="I1047" i="6" s="1"/>
  <c r="I1048" i="6" a="1"/>
  <c r="I1048" i="6" s="1"/>
  <c r="I1049" i="6" a="1"/>
  <c r="I1049" i="6" s="1"/>
  <c r="I1050" i="6" a="1"/>
  <c r="I1050" i="6" s="1"/>
  <c r="I1051" i="6" a="1"/>
  <c r="I1051" i="6" s="1"/>
  <c r="I1052" i="6" a="1"/>
  <c r="I1052" i="6" s="1"/>
  <c r="I1053" i="6" a="1"/>
  <c r="I1053" i="6" s="1"/>
  <c r="I1054" i="6" a="1"/>
  <c r="I1054" i="6" s="1"/>
  <c r="I1055" i="6" a="1"/>
  <c r="I1055" i="6" s="1"/>
  <c r="I1056" i="6" a="1"/>
  <c r="I1056" i="6" s="1"/>
  <c r="I1057" i="6" a="1"/>
  <c r="I1057" i="6" s="1"/>
  <c r="I1058" i="6" a="1"/>
  <c r="I1058" i="6" s="1"/>
  <c r="I1059" i="6" a="1"/>
  <c r="I1059" i="6" s="1"/>
  <c r="I1060" i="6" a="1"/>
  <c r="I1060" i="6" s="1"/>
  <c r="I1061" i="6" a="1"/>
  <c r="I1061" i="6" s="1"/>
  <c r="I1062" i="6" a="1"/>
  <c r="I1062" i="6" s="1"/>
  <c r="I1063" i="6" a="1"/>
  <c r="I1063" i="6" s="1"/>
  <c r="I1064" i="6" a="1"/>
  <c r="I1064" i="6" s="1"/>
  <c r="I1065" i="6" a="1"/>
  <c r="I1065" i="6" s="1"/>
  <c r="I1066" i="6" a="1"/>
  <c r="I1066" i="6" s="1"/>
  <c r="I1067" i="6" a="1"/>
  <c r="I1067" i="6" s="1"/>
  <c r="I1068" i="6" a="1"/>
  <c r="I1068" i="6" s="1"/>
  <c r="I1069" i="6" a="1"/>
  <c r="I1069" i="6" s="1"/>
  <c r="I1070" i="6" a="1"/>
  <c r="I1070" i="6" s="1"/>
  <c r="I1071" i="6" a="1"/>
  <c r="I1071" i="6" s="1"/>
  <c r="I1072" i="6" a="1"/>
  <c r="I1072" i="6" s="1"/>
  <c r="I1073" i="6" a="1"/>
  <c r="I1073" i="6" s="1"/>
  <c r="I1074" i="6" a="1"/>
  <c r="I1074" i="6" s="1"/>
  <c r="I1075" i="6" a="1"/>
  <c r="I1075" i="6" s="1"/>
  <c r="I1076" i="6" a="1"/>
  <c r="I1076" i="6" s="1"/>
  <c r="I1077" i="6" a="1"/>
  <c r="I1077" i="6" s="1"/>
  <c r="I1078" i="6" a="1"/>
  <c r="I1078" i="6" s="1"/>
  <c r="I1079" i="6" a="1"/>
  <c r="I1079" i="6" s="1"/>
  <c r="I1080" i="6" a="1"/>
  <c r="I1080" i="6" s="1"/>
  <c r="I1081" i="6" a="1"/>
  <c r="I1081" i="6" s="1"/>
  <c r="I1082" i="6" a="1"/>
  <c r="I1082" i="6" s="1"/>
  <c r="I1083" i="6" a="1"/>
  <c r="I1083" i="6" s="1"/>
  <c r="I1084" i="6" a="1"/>
  <c r="I1084" i="6" s="1"/>
  <c r="I1085" i="6" a="1"/>
  <c r="I1085" i="6" s="1"/>
  <c r="I1086" i="6" a="1"/>
  <c r="I1086" i="6" s="1"/>
  <c r="I1087" i="6" a="1"/>
  <c r="I1087" i="6" s="1"/>
  <c r="I1088" i="6" a="1"/>
  <c r="I1088" i="6" s="1"/>
  <c r="I1089" i="6" a="1"/>
  <c r="I1089" i="6" s="1"/>
  <c r="I1090" i="6" a="1"/>
  <c r="I1090" i="6" s="1"/>
  <c r="I1091" i="6" a="1"/>
  <c r="I1091" i="6" s="1"/>
  <c r="I1092" i="6" a="1"/>
  <c r="I1092" i="6" s="1"/>
  <c r="I1093" i="6" a="1"/>
  <c r="I1093" i="6" s="1"/>
  <c r="I1094" i="6" a="1"/>
  <c r="I1094" i="6" s="1"/>
  <c r="I1095" i="6" a="1"/>
  <c r="I1095" i="6" s="1"/>
  <c r="I1096" i="6" a="1"/>
  <c r="I1096" i="6" s="1"/>
  <c r="I1097" i="6" a="1"/>
  <c r="I1097" i="6" s="1"/>
  <c r="I1098" i="6" a="1"/>
  <c r="I1098" i="6" s="1"/>
  <c r="I1099" i="6" a="1"/>
  <c r="I1099" i="6" s="1"/>
  <c r="I1100" i="6" a="1"/>
  <c r="I1100" i="6" s="1"/>
  <c r="I1101" i="6" a="1"/>
  <c r="I1101" i="6" s="1"/>
  <c r="I1102" i="6" a="1"/>
  <c r="I1102" i="6" s="1"/>
  <c r="I1103" i="6" a="1"/>
  <c r="I1103" i="6" s="1"/>
  <c r="I1104" i="6" a="1"/>
  <c r="I1104" i="6" s="1"/>
  <c r="I1105" i="6" a="1"/>
  <c r="I1105" i="6" s="1"/>
  <c r="I1106" i="6" a="1"/>
  <c r="I1106" i="6" s="1"/>
  <c r="I1107" i="6" a="1"/>
  <c r="I1107" i="6" s="1"/>
  <c r="I1108" i="6" a="1"/>
  <c r="I1108" i="6" s="1"/>
  <c r="I1109" i="6" a="1"/>
  <c r="I1109" i="6" s="1"/>
  <c r="I1110" i="6" a="1"/>
  <c r="I1110" i="6" s="1"/>
  <c r="I1111" i="6" a="1"/>
  <c r="I1111" i="6" s="1"/>
  <c r="I1112" i="6" a="1"/>
  <c r="I1112" i="6" s="1"/>
  <c r="I1113" i="6" a="1"/>
  <c r="I1113" i="6" s="1"/>
  <c r="I1114" i="6" a="1"/>
  <c r="I1114" i="6" s="1"/>
  <c r="I1115" i="6" a="1"/>
  <c r="I1115" i="6" s="1"/>
  <c r="I1116" i="6" a="1"/>
  <c r="I1116" i="6" s="1"/>
  <c r="I1117" i="6" a="1"/>
  <c r="I1117" i="6" s="1"/>
  <c r="I1118" i="6" a="1"/>
  <c r="I1118" i="6" s="1"/>
  <c r="I1119" i="6" a="1"/>
  <c r="I1119" i="6" s="1"/>
  <c r="I1120" i="6" a="1"/>
  <c r="I1120" i="6" s="1"/>
  <c r="I1121" i="6" a="1"/>
  <c r="I1121" i="6" s="1"/>
  <c r="I1122" i="6" a="1"/>
  <c r="I1122" i="6" s="1"/>
  <c r="I1123" i="6" a="1"/>
  <c r="I1123" i="6" s="1"/>
  <c r="I1124" i="6" a="1"/>
  <c r="I1124" i="6" s="1"/>
  <c r="I1125" i="6" a="1"/>
  <c r="I1125" i="6" s="1"/>
  <c r="I1126" i="6" a="1"/>
  <c r="I1126" i="6" s="1"/>
  <c r="I1127" i="6" a="1"/>
  <c r="I1127" i="6" s="1"/>
  <c r="I1128" i="6" a="1"/>
  <c r="I1128" i="6" s="1"/>
  <c r="I1129" i="6" a="1"/>
  <c r="I1129" i="6" s="1"/>
  <c r="I1130" i="6" a="1"/>
  <c r="I1130" i="6" s="1"/>
  <c r="I1131" i="6" a="1"/>
  <c r="I1131" i="6" s="1"/>
  <c r="I1132" i="6" a="1"/>
  <c r="I1132" i="6" s="1"/>
  <c r="I1133" i="6" a="1"/>
  <c r="I1133" i="6" s="1"/>
  <c r="I1134" i="6" a="1"/>
  <c r="I1134" i="6" s="1"/>
  <c r="I1135" i="6" a="1"/>
  <c r="I1135" i="6" s="1"/>
  <c r="I1136" i="6" a="1"/>
  <c r="I1136" i="6" s="1"/>
  <c r="I1137" i="6" a="1"/>
  <c r="I1137" i="6" s="1"/>
  <c r="I1138" i="6" a="1"/>
  <c r="I1138" i="6" s="1"/>
  <c r="I1139" i="6" a="1"/>
  <c r="I1139" i="6" s="1"/>
  <c r="I1140" i="6" a="1"/>
  <c r="I1140" i="6" s="1"/>
  <c r="I1141" i="6" a="1"/>
  <c r="I1141" i="6" s="1"/>
  <c r="I1142" i="6" a="1"/>
  <c r="I1142" i="6" s="1"/>
  <c r="I1143" i="6" a="1"/>
  <c r="I1143" i="6" s="1"/>
  <c r="I1144" i="6" a="1"/>
  <c r="I1144" i="6" s="1"/>
  <c r="I1145" i="6" a="1"/>
  <c r="I1145" i="6" s="1"/>
  <c r="I1146" i="6" a="1"/>
  <c r="I1146" i="6" s="1"/>
  <c r="I1147" i="6" a="1"/>
  <c r="I1147" i="6" s="1"/>
  <c r="I1148" i="6" a="1"/>
  <c r="I1148" i="6" s="1"/>
  <c r="I1149" i="6" a="1"/>
  <c r="I1149" i="6" s="1"/>
  <c r="I1150" i="6" a="1"/>
  <c r="I1150" i="6" s="1"/>
  <c r="I1151" i="6" a="1"/>
  <c r="I1151" i="6" s="1"/>
  <c r="I1152" i="6" a="1"/>
  <c r="I1152" i="6" s="1"/>
  <c r="I1153" i="6" a="1"/>
  <c r="I1153" i="6" s="1"/>
  <c r="I1154" i="6" a="1"/>
  <c r="I1154" i="6" s="1"/>
  <c r="I1155" i="6" a="1"/>
  <c r="I1155" i="6" s="1"/>
  <c r="I1156" i="6" a="1"/>
  <c r="I1156" i="6" s="1"/>
  <c r="I1157" i="6" a="1"/>
  <c r="I1157" i="6" s="1"/>
  <c r="I1158" i="6" a="1"/>
  <c r="I1158" i="6" s="1"/>
  <c r="I1159" i="6" a="1"/>
  <c r="I1159" i="6" s="1"/>
  <c r="I1160" i="6" a="1"/>
  <c r="I1160" i="6" s="1"/>
  <c r="I1161" i="6" a="1"/>
  <c r="I1161" i="6" s="1"/>
  <c r="I1162" i="6" a="1"/>
  <c r="I1162" i="6" s="1"/>
  <c r="I1163" i="6" a="1"/>
  <c r="I1163" i="6" s="1"/>
  <c r="I1164" i="6" a="1"/>
  <c r="I1164" i="6" s="1"/>
  <c r="I1165" i="6" a="1"/>
  <c r="I1165" i="6" s="1"/>
  <c r="I1166" i="6" a="1"/>
  <c r="I1166" i="6" s="1"/>
  <c r="I1167" i="6" a="1"/>
  <c r="I1167" i="6" s="1"/>
  <c r="I1168" i="6" a="1"/>
  <c r="I1168" i="6" s="1"/>
  <c r="I1169" i="6" a="1"/>
  <c r="I1169" i="6" s="1"/>
  <c r="I1170" i="6" a="1"/>
  <c r="I1170" i="6" s="1"/>
  <c r="I1171" i="6" a="1"/>
  <c r="I1171" i="6" s="1"/>
  <c r="I1172" i="6" a="1"/>
  <c r="I1172" i="6" s="1"/>
  <c r="I1173" i="6" a="1"/>
  <c r="I1173" i="6" s="1"/>
  <c r="I1174" i="6" a="1"/>
  <c r="I1174" i="6" s="1"/>
  <c r="I1175" i="6" a="1"/>
  <c r="I1175" i="6" s="1"/>
  <c r="I1176" i="6" a="1"/>
  <c r="I1176" i="6" s="1"/>
  <c r="I1177" i="6" a="1"/>
  <c r="I1177" i="6" s="1"/>
  <c r="I1178" i="6" a="1"/>
  <c r="I1178" i="6" s="1"/>
  <c r="I1179" i="6" a="1"/>
  <c r="I1179" i="6" s="1"/>
  <c r="I1180" i="6" a="1"/>
  <c r="I1180" i="6" s="1"/>
  <c r="I1181" i="6" a="1"/>
  <c r="I1181" i="6" s="1"/>
  <c r="I1182" i="6" a="1"/>
  <c r="I1182" i="6" s="1"/>
  <c r="I1183" i="6" a="1"/>
  <c r="I1183" i="6" s="1"/>
  <c r="I1184" i="6" a="1"/>
  <c r="I1184" i="6" s="1"/>
  <c r="I1185" i="6" a="1"/>
  <c r="I1185" i="6" s="1"/>
  <c r="I1186" i="6" a="1"/>
  <c r="I1186" i="6" s="1"/>
  <c r="I1187" i="6" a="1"/>
  <c r="I1187" i="6" s="1"/>
  <c r="I1188" i="6" a="1"/>
  <c r="I1188" i="6" s="1"/>
  <c r="I1189" i="6" a="1"/>
  <c r="I1189" i="6" s="1"/>
  <c r="I1190" i="6" a="1"/>
  <c r="I1190" i="6" s="1"/>
  <c r="I1191" i="6" a="1"/>
  <c r="I1191" i="6" s="1"/>
  <c r="I1192" i="6" a="1"/>
  <c r="I1192" i="6" s="1"/>
  <c r="I1193" i="6" a="1"/>
  <c r="I1193" i="6" s="1"/>
  <c r="I1194" i="6" a="1"/>
  <c r="I1194" i="6" s="1"/>
  <c r="I1195" i="6" a="1"/>
  <c r="I1195" i="6" s="1"/>
  <c r="I1196" i="6" a="1"/>
  <c r="I1196" i="6" s="1"/>
  <c r="I1197" i="6" a="1"/>
  <c r="I1197" i="6" s="1"/>
  <c r="I1198" i="6" a="1"/>
  <c r="I1198" i="6" s="1"/>
  <c r="I1199" i="6" a="1"/>
  <c r="I1199" i="6" s="1"/>
  <c r="I1200" i="6" a="1"/>
  <c r="I1200" i="6" s="1"/>
  <c r="I1201" i="6" a="1"/>
  <c r="I1201" i="6" s="1"/>
  <c r="I1202" i="6" a="1"/>
  <c r="I1202" i="6" s="1"/>
  <c r="I1203" i="6" a="1"/>
  <c r="I1203" i="6" s="1"/>
  <c r="I1204" i="6" a="1"/>
  <c r="I1204" i="6" s="1"/>
  <c r="I1205" i="6" a="1"/>
  <c r="I1205" i="6" s="1"/>
  <c r="I1206" i="6" a="1"/>
  <c r="I1206" i="6" s="1"/>
  <c r="I1207" i="6" a="1"/>
  <c r="I1207" i="6" s="1"/>
  <c r="I1208" i="6" a="1"/>
  <c r="I1208" i="6" s="1"/>
  <c r="I1209" i="6" a="1"/>
  <c r="I1209" i="6" s="1"/>
  <c r="I1210" i="6" a="1"/>
  <c r="I1210" i="6" s="1"/>
  <c r="I1211" i="6" a="1"/>
  <c r="I1211" i="6" s="1"/>
  <c r="I1212" i="6" a="1"/>
  <c r="I1212" i="6" s="1"/>
  <c r="I1213" i="6" a="1"/>
  <c r="I1213" i="6" s="1"/>
  <c r="I1214" i="6" a="1"/>
  <c r="I1214" i="6" s="1"/>
  <c r="I1215" i="6" a="1"/>
  <c r="I1215" i="6" s="1"/>
  <c r="I1216" i="6" a="1"/>
  <c r="I1216" i="6" s="1"/>
  <c r="I1217" i="6" a="1"/>
  <c r="I1217" i="6" s="1"/>
  <c r="I1218" i="6" a="1"/>
  <c r="I1218" i="6" s="1"/>
  <c r="I1219" i="6" a="1"/>
  <c r="I1219" i="6" s="1"/>
  <c r="I1220" i="6" a="1"/>
  <c r="I1220" i="6" s="1"/>
  <c r="I1221" i="6" a="1"/>
  <c r="I1221" i="6" s="1"/>
  <c r="I1222" i="6" a="1"/>
  <c r="I1222" i="6" s="1"/>
  <c r="I1223" i="6" a="1"/>
  <c r="I1223" i="6" s="1"/>
  <c r="I1224" i="6" a="1"/>
  <c r="I1224" i="6" s="1"/>
  <c r="I1225" i="6" a="1"/>
  <c r="I1225" i="6" s="1"/>
  <c r="I1226" i="6" a="1"/>
  <c r="I1226" i="6" s="1"/>
  <c r="I1227" i="6" a="1"/>
  <c r="I1227" i="6" s="1"/>
  <c r="I1228" i="6" a="1"/>
  <c r="I1228" i="6" s="1"/>
  <c r="I1229" i="6" a="1"/>
  <c r="I1229" i="6" s="1"/>
  <c r="I1230" i="6" a="1"/>
  <c r="I1230" i="6" s="1"/>
  <c r="I1231" i="6" a="1"/>
  <c r="I1231" i="6" s="1"/>
  <c r="I1232" i="6" a="1"/>
  <c r="I1232" i="6" s="1"/>
  <c r="I1233" i="6" a="1"/>
  <c r="I1233" i="6" s="1"/>
  <c r="I1234" i="6" a="1"/>
  <c r="I1234" i="6" s="1"/>
  <c r="I1235" i="6" a="1"/>
  <c r="I1235" i="6" s="1"/>
  <c r="I1236" i="6" a="1"/>
  <c r="I1236" i="6" s="1"/>
  <c r="I1237" i="6" a="1"/>
  <c r="I1237" i="6" s="1"/>
  <c r="I1238" i="6" a="1"/>
  <c r="I1238" i="6" s="1"/>
  <c r="I1239" i="6" a="1"/>
  <c r="I1239" i="6" s="1"/>
  <c r="I1240" i="6" a="1"/>
  <c r="I1240" i="6" s="1"/>
  <c r="I1241" i="6" a="1"/>
  <c r="I1241" i="6" s="1"/>
  <c r="I1242" i="6" a="1"/>
  <c r="I1242" i="6" s="1"/>
  <c r="I1243" i="6" a="1"/>
  <c r="I1243" i="6" s="1"/>
  <c r="I1244" i="6" a="1"/>
  <c r="I1244" i="6" s="1"/>
  <c r="I1245" i="6" a="1"/>
  <c r="I1245" i="6" s="1"/>
  <c r="I1246" i="6" a="1"/>
  <c r="I1246" i="6" s="1"/>
  <c r="I1247" i="6" a="1"/>
  <c r="I1247" i="6" s="1"/>
  <c r="I1248" i="6" a="1"/>
  <c r="I1248" i="6" s="1"/>
  <c r="I1249" i="6" a="1"/>
  <c r="I1249" i="6" s="1"/>
  <c r="I1250" i="6" a="1"/>
  <c r="I1250" i="6" s="1"/>
  <c r="I1251" i="6" a="1"/>
  <c r="I1251" i="6" s="1"/>
  <c r="I1252" i="6" a="1"/>
  <c r="I1252" i="6" s="1"/>
  <c r="I1253" i="6" a="1"/>
  <c r="I1253" i="6" s="1"/>
  <c r="I1254" i="6" a="1"/>
  <c r="I1254" i="6" s="1"/>
  <c r="I1255" i="6" a="1"/>
  <c r="I1255" i="6" s="1"/>
  <c r="I1256" i="6" a="1"/>
  <c r="I1256" i="6" s="1"/>
  <c r="I1257" i="6" a="1"/>
  <c r="I1257" i="6" s="1"/>
  <c r="I1258" i="6" a="1"/>
  <c r="I1258" i="6" s="1"/>
  <c r="I1259" i="6" a="1"/>
  <c r="I1259" i="6" s="1"/>
  <c r="I1260" i="6" a="1"/>
  <c r="I1260" i="6" s="1"/>
  <c r="I1261" i="6" a="1"/>
  <c r="I1261" i="6" s="1"/>
  <c r="I1262" i="6" a="1"/>
  <c r="I1262" i="6" s="1"/>
  <c r="I1263" i="6" a="1"/>
  <c r="I1263" i="6" s="1"/>
  <c r="I1264" i="6" a="1"/>
  <c r="I1264" i="6" s="1"/>
  <c r="I1265" i="6" a="1"/>
  <c r="I1265" i="6" s="1"/>
  <c r="I1266" i="6" a="1"/>
  <c r="I1266" i="6" s="1"/>
  <c r="I1267" i="6" a="1"/>
  <c r="I1267" i="6" s="1"/>
  <c r="I1268" i="6" a="1"/>
  <c r="I1268" i="6" s="1"/>
  <c r="I1269" i="6" a="1"/>
  <c r="I1269" i="6" s="1"/>
  <c r="I1270" i="6" a="1"/>
  <c r="I1270" i="6" s="1"/>
  <c r="I1271" i="6" a="1"/>
  <c r="I1271" i="6" s="1"/>
  <c r="I1272" i="6" a="1"/>
  <c r="I1272" i="6" s="1"/>
  <c r="I1273" i="6" a="1"/>
  <c r="I1273" i="6" s="1"/>
  <c r="I1274" i="6" a="1"/>
  <c r="I1274" i="6" s="1"/>
  <c r="I1275" i="6" a="1"/>
  <c r="I1275" i="6" s="1"/>
  <c r="I1276" i="6" a="1"/>
  <c r="I1276" i="6" s="1"/>
  <c r="I1277" i="6" a="1"/>
  <c r="I1277" i="6" s="1"/>
  <c r="I1278" i="6" a="1"/>
  <c r="I1278" i="6" s="1"/>
  <c r="I1279" i="6" a="1"/>
  <c r="I1279" i="6" s="1"/>
  <c r="I1280" i="6" a="1"/>
  <c r="I1280" i="6" s="1"/>
  <c r="I1281" i="6" a="1"/>
  <c r="I1281" i="6" s="1"/>
  <c r="I1282" i="6" a="1"/>
  <c r="I1282" i="6" s="1"/>
  <c r="I1283" i="6" a="1"/>
  <c r="I1283" i="6" s="1"/>
  <c r="I1284" i="6" a="1"/>
  <c r="I1284" i="6" s="1"/>
  <c r="I1285" i="6" a="1"/>
  <c r="I1285" i="6" s="1"/>
  <c r="I1286" i="6" a="1"/>
  <c r="I1286" i="6" s="1"/>
  <c r="I1287" i="6" a="1"/>
  <c r="I1287" i="6" s="1"/>
  <c r="I1288" i="6" a="1"/>
  <c r="I1288" i="6" s="1"/>
  <c r="I1289" i="6" a="1"/>
  <c r="I1289" i="6" s="1"/>
  <c r="I1290" i="6" a="1"/>
  <c r="I1290" i="6" s="1"/>
  <c r="I1291" i="6" a="1"/>
  <c r="I1291" i="6" s="1"/>
  <c r="I1292" i="6" a="1"/>
  <c r="I1292" i="6" s="1"/>
  <c r="I1293" i="6" a="1"/>
  <c r="I1293" i="6" s="1"/>
  <c r="I1294" i="6" a="1"/>
  <c r="I1294" i="6" s="1"/>
  <c r="I1295" i="6" a="1"/>
  <c r="I1295" i="6" s="1"/>
  <c r="I1296" i="6" a="1"/>
  <c r="I1296" i="6" s="1"/>
  <c r="I1297" i="6" a="1"/>
  <c r="I1297" i="6" s="1"/>
  <c r="I1298" i="6" a="1"/>
  <c r="I1298" i="6" s="1"/>
  <c r="I1299" i="6" a="1"/>
  <c r="I1299" i="6" s="1"/>
  <c r="I1300" i="6" a="1"/>
  <c r="I1300" i="6" s="1"/>
  <c r="I1301" i="6" a="1"/>
  <c r="I1301" i="6" s="1"/>
  <c r="I1302" i="6" a="1"/>
  <c r="I1302" i="6" s="1"/>
  <c r="I1303" i="6" a="1"/>
  <c r="I1303" i="6" s="1"/>
  <c r="I1304" i="6" a="1"/>
  <c r="I1304" i="6" s="1"/>
  <c r="I1305" i="6" a="1"/>
  <c r="I1305" i="6" s="1"/>
  <c r="I1306" i="6" a="1"/>
  <c r="I1306" i="6" s="1"/>
  <c r="I1307" i="6" a="1"/>
  <c r="I1307" i="6" s="1"/>
  <c r="I1308" i="6" a="1"/>
  <c r="I1308" i="6" s="1"/>
  <c r="I1309" i="6" a="1"/>
  <c r="I1309" i="6" s="1"/>
  <c r="I1310" i="6" a="1"/>
  <c r="I1310" i="6" s="1"/>
  <c r="I1311" i="6" a="1"/>
  <c r="I1311" i="6" s="1"/>
  <c r="I1312" i="6" a="1"/>
  <c r="I1312" i="6" s="1"/>
  <c r="I1313" i="6" a="1"/>
  <c r="I1313" i="6" s="1"/>
  <c r="I1314" i="6" a="1"/>
  <c r="I1314" i="6" s="1"/>
  <c r="I1315" i="6" a="1"/>
  <c r="I1315" i="6" s="1"/>
  <c r="I1316" i="6" a="1"/>
  <c r="I1316" i="6" s="1"/>
  <c r="I1317" i="6" a="1"/>
  <c r="I1317" i="6" s="1"/>
  <c r="I1318" i="6" a="1"/>
  <c r="I1318" i="6" s="1"/>
  <c r="I1319" i="6" a="1"/>
  <c r="I1319" i="6" s="1"/>
  <c r="I1320" i="6" a="1"/>
  <c r="I1320" i="6" s="1"/>
  <c r="I1321" i="6" a="1"/>
  <c r="I1321" i="6" s="1"/>
  <c r="I1322" i="6" a="1"/>
  <c r="I1322" i="6" s="1"/>
  <c r="I1323" i="6" a="1"/>
  <c r="I1323" i="6" s="1"/>
  <c r="I1324" i="6" a="1"/>
  <c r="I1324" i="6" s="1"/>
  <c r="I1325" i="6" a="1"/>
  <c r="I1325" i="6" s="1"/>
  <c r="I1326" i="6" a="1"/>
  <c r="I1326" i="6" s="1"/>
  <c r="I1327" i="6" a="1"/>
  <c r="I1327" i="6" s="1"/>
  <c r="I1328" i="6" a="1"/>
  <c r="I1328" i="6" s="1"/>
  <c r="I1329" i="6" a="1"/>
  <c r="I1329" i="6" s="1"/>
  <c r="I1330" i="6" a="1"/>
  <c r="I1330" i="6" s="1"/>
  <c r="I1331" i="6" a="1"/>
  <c r="I1331" i="6" s="1"/>
  <c r="I1332" i="6" a="1"/>
  <c r="I1332" i="6" s="1"/>
  <c r="I1333" i="6" a="1"/>
  <c r="I1333" i="6" s="1"/>
  <c r="I1334" i="6" a="1"/>
  <c r="I1334" i="6" s="1"/>
  <c r="I1335" i="6" a="1"/>
  <c r="I1335" i="6" s="1"/>
  <c r="I1336" i="6" a="1"/>
  <c r="I1336" i="6" s="1"/>
  <c r="I1337" i="6" a="1"/>
  <c r="I1337" i="6" s="1"/>
  <c r="I1338" i="6" a="1"/>
  <c r="I1338" i="6" s="1"/>
  <c r="I1339" i="6" a="1"/>
  <c r="I1339" i="6" s="1"/>
  <c r="I1340" i="6" a="1"/>
  <c r="I1340" i="6" s="1"/>
  <c r="I1341" i="6" a="1"/>
  <c r="I1341" i="6" s="1"/>
  <c r="I1342" i="6" a="1"/>
  <c r="I1342" i="6" s="1"/>
  <c r="I1343" i="6" a="1"/>
  <c r="I1343" i="6" s="1"/>
  <c r="I1344" i="6" a="1"/>
  <c r="I1344" i="6" s="1"/>
  <c r="I1345" i="6" a="1"/>
  <c r="I1345" i="6" s="1"/>
  <c r="I1346" i="6" a="1"/>
  <c r="I1346" i="6" s="1"/>
  <c r="I1347" i="6" a="1"/>
  <c r="I1347" i="6" s="1"/>
  <c r="I1348" i="6" a="1"/>
  <c r="I1348" i="6" s="1"/>
  <c r="I1349" i="6" a="1"/>
  <c r="I1349" i="6" s="1"/>
  <c r="I1350" i="6" a="1"/>
  <c r="I1350" i="6" s="1"/>
  <c r="I1351" i="6" a="1"/>
  <c r="I1351" i="6" s="1"/>
  <c r="I1352" i="6" a="1"/>
  <c r="I1352" i="6" s="1"/>
  <c r="I1353" i="6" a="1"/>
  <c r="I1353" i="6" s="1"/>
  <c r="I1354" i="6" a="1"/>
  <c r="I1354" i="6" s="1"/>
  <c r="I1355" i="6" a="1"/>
  <c r="I1355" i="6" s="1"/>
  <c r="I1356" i="6" a="1"/>
  <c r="I1356" i="6" s="1"/>
  <c r="I1357" i="6" a="1"/>
  <c r="I1357" i="6" s="1"/>
  <c r="I1358" i="6" a="1"/>
  <c r="I1358" i="6" s="1"/>
  <c r="I1359" i="6" a="1"/>
  <c r="I1359" i="6" s="1"/>
  <c r="I1360" i="6" a="1"/>
  <c r="I1360" i="6" s="1"/>
  <c r="I1361" i="6" a="1"/>
  <c r="I1361" i="6" s="1"/>
  <c r="I1362" i="6" a="1"/>
  <c r="I1362" i="6" s="1"/>
  <c r="I1363" i="6" a="1"/>
  <c r="I1363" i="6" s="1"/>
  <c r="I1364" i="6" a="1"/>
  <c r="I1364" i="6" s="1"/>
  <c r="I1365" i="6" a="1"/>
  <c r="I1365" i="6" s="1"/>
  <c r="I1366" i="6" a="1"/>
  <c r="I1366" i="6" s="1"/>
  <c r="I1367" i="6" a="1"/>
  <c r="I1367" i="6" s="1"/>
  <c r="I1368" i="6" a="1"/>
  <c r="I1368" i="6" s="1"/>
  <c r="I1369" i="6" a="1"/>
  <c r="I1369" i="6" s="1"/>
  <c r="I1370" i="6" a="1"/>
  <c r="I1370" i="6" s="1"/>
  <c r="I1371" i="6" a="1"/>
  <c r="I1371" i="6" s="1"/>
  <c r="I1372" i="6" a="1"/>
  <c r="I1372" i="6" s="1"/>
  <c r="I1373" i="6" a="1"/>
  <c r="I1373" i="6" s="1"/>
  <c r="I1374" i="6" a="1"/>
  <c r="I1374" i="6" s="1"/>
  <c r="I1375" i="6" a="1"/>
  <c r="I1375" i="6" s="1"/>
  <c r="I1376" i="6" a="1"/>
  <c r="I1376" i="6" s="1"/>
  <c r="I1377" i="6" a="1"/>
  <c r="I1377" i="6" s="1"/>
  <c r="I1378" i="6" a="1"/>
  <c r="I1378" i="6" s="1"/>
  <c r="I1379" i="6" a="1"/>
  <c r="I1379" i="6" s="1"/>
  <c r="I1380" i="6" a="1"/>
  <c r="I1380" i="6" s="1"/>
  <c r="I1381" i="6" a="1"/>
  <c r="I1381" i="6" s="1"/>
  <c r="I1382" i="6" a="1"/>
  <c r="I1382" i="6" s="1"/>
  <c r="I1383" i="6" a="1"/>
  <c r="I1383" i="6" s="1"/>
  <c r="I1384" i="6" a="1"/>
  <c r="I1384" i="6" s="1"/>
  <c r="I1385" i="6" a="1"/>
  <c r="I1385" i="6" s="1"/>
  <c r="I1386" i="6" a="1"/>
  <c r="I1386" i="6" s="1"/>
  <c r="I1387" i="6" a="1"/>
  <c r="I1387" i="6" s="1"/>
  <c r="I1388" i="6" a="1"/>
  <c r="I1388" i="6" s="1"/>
  <c r="I1389" i="6" a="1"/>
  <c r="I1389" i="6" s="1"/>
  <c r="I1390" i="6" a="1"/>
  <c r="I1390" i="6" s="1"/>
  <c r="I1391" i="6" a="1"/>
  <c r="I1391" i="6" s="1"/>
  <c r="I1392" i="6" a="1"/>
  <c r="I1392" i="6" s="1"/>
  <c r="I1393" i="6" a="1"/>
  <c r="I1393" i="6" s="1"/>
  <c r="I1394" i="6" a="1"/>
  <c r="I1394" i="6" s="1"/>
  <c r="I1395" i="6" a="1"/>
  <c r="I1395" i="6" s="1"/>
  <c r="I1396" i="6" a="1"/>
  <c r="I1396" i="6" s="1"/>
  <c r="I1397" i="6" a="1"/>
  <c r="I1397" i="6" s="1"/>
  <c r="I1398" i="6" a="1"/>
  <c r="I1398" i="6" s="1"/>
  <c r="I1399" i="6" a="1"/>
  <c r="I1399" i="6" s="1"/>
  <c r="I1400" i="6" a="1"/>
  <c r="I1400" i="6" s="1"/>
  <c r="I1401" i="6" a="1"/>
  <c r="I1401" i="6" s="1"/>
  <c r="I1402" i="6" a="1"/>
  <c r="I1402" i="6" s="1"/>
  <c r="I1403" i="6" a="1"/>
  <c r="I1403" i="6" s="1"/>
  <c r="I1404" i="6" a="1"/>
  <c r="I1404" i="6" s="1"/>
  <c r="I1405" i="6" a="1"/>
  <c r="I1405" i="6" s="1"/>
  <c r="I1406" i="6" a="1"/>
  <c r="I1406" i="6" s="1"/>
  <c r="I1407" i="6" a="1"/>
  <c r="I1407" i="6" s="1"/>
  <c r="I1408" i="6" a="1"/>
  <c r="I1408" i="6" s="1"/>
  <c r="I1409" i="6" a="1"/>
  <c r="I1409" i="6" s="1"/>
  <c r="I1410" i="6" a="1"/>
  <c r="I1410" i="6" s="1"/>
  <c r="I1411" i="6" a="1"/>
  <c r="I1411" i="6" s="1"/>
  <c r="I1412" i="6" a="1"/>
  <c r="I1412" i="6" s="1"/>
  <c r="I1413" i="6" a="1"/>
  <c r="I1413" i="6" s="1"/>
  <c r="I1414" i="6" a="1"/>
  <c r="I1414" i="6" s="1"/>
  <c r="I1415" i="6" a="1"/>
  <c r="I1415" i="6" s="1"/>
  <c r="I1416" i="6" a="1"/>
  <c r="I1416" i="6" s="1"/>
  <c r="I1417" i="6" a="1"/>
  <c r="I1417" i="6" s="1"/>
  <c r="I1418" i="6" a="1"/>
  <c r="I1418" i="6" s="1"/>
  <c r="I1419" i="6" a="1"/>
  <c r="I1419" i="6" s="1"/>
  <c r="I1420" i="6" a="1"/>
  <c r="I1420" i="6" s="1"/>
  <c r="I1421" i="6" a="1"/>
  <c r="I1421" i="6" s="1"/>
  <c r="I1422" i="6" a="1"/>
  <c r="I1422" i="6" s="1"/>
  <c r="I1423" i="6" a="1"/>
  <c r="I1423" i="6" s="1"/>
  <c r="I1424" i="6" a="1"/>
  <c r="I1424" i="6" s="1"/>
  <c r="I1425" i="6" a="1"/>
  <c r="I1425" i="6" s="1"/>
  <c r="I1426" i="6" a="1"/>
  <c r="I1426" i="6" s="1"/>
  <c r="I1427" i="6" a="1"/>
  <c r="I1427" i="6" s="1"/>
  <c r="I1428" i="6" a="1"/>
  <c r="I1428" i="6" s="1"/>
  <c r="I1429" i="6" a="1"/>
  <c r="I1429" i="6" s="1"/>
  <c r="I1430" i="6" a="1"/>
  <c r="I1430" i="6" s="1"/>
  <c r="I1431" i="6" a="1"/>
  <c r="I1431" i="6" s="1"/>
  <c r="I1432" i="6" a="1"/>
  <c r="I1432" i="6" s="1"/>
  <c r="I1433" i="6" a="1"/>
  <c r="I1433" i="6" s="1"/>
  <c r="I1434" i="6" a="1"/>
  <c r="I1434" i="6" s="1"/>
  <c r="I1435" i="6" a="1"/>
  <c r="I1435" i="6" s="1"/>
  <c r="I1436" i="6" a="1"/>
  <c r="I1436" i="6" s="1"/>
  <c r="I1437" i="6" a="1"/>
  <c r="I1437" i="6" s="1"/>
  <c r="I1438" i="6" a="1"/>
  <c r="I1438" i="6" s="1"/>
  <c r="I1439" i="6" a="1"/>
  <c r="I1439" i="6" s="1"/>
  <c r="I1440" i="6" a="1"/>
  <c r="I1440" i="6" s="1"/>
  <c r="I1441" i="6" a="1"/>
  <c r="I1441" i="6" s="1"/>
  <c r="I1442" i="6" a="1"/>
  <c r="I1442" i="6" s="1"/>
  <c r="I1443" i="6" a="1"/>
  <c r="I1443" i="6" s="1"/>
  <c r="I1444" i="6" a="1"/>
  <c r="I1444" i="6" s="1"/>
  <c r="I1445" i="6" a="1"/>
  <c r="I1445" i="6" s="1"/>
  <c r="I1446" i="6" a="1"/>
  <c r="I1446" i="6" s="1"/>
  <c r="I1447" i="6" a="1"/>
  <c r="I1447" i="6" s="1"/>
  <c r="I1448" i="6" a="1"/>
  <c r="I1448" i="6" s="1"/>
  <c r="I1449" i="6" a="1"/>
  <c r="I1449" i="6" s="1"/>
  <c r="I1450" i="6" a="1"/>
  <c r="I1450" i="6" s="1"/>
  <c r="I1451" i="6" a="1"/>
  <c r="I1451" i="6" s="1"/>
  <c r="I1452" i="6" a="1"/>
  <c r="I1452" i="6" s="1"/>
  <c r="I1453" i="6" a="1"/>
  <c r="I1453" i="6" s="1"/>
  <c r="I1454" i="6" a="1"/>
  <c r="I1454" i="6" s="1"/>
  <c r="I1455" i="6" a="1"/>
  <c r="I1455" i="6" s="1"/>
  <c r="I1456" i="6" a="1"/>
  <c r="I1456" i="6" s="1"/>
  <c r="I1457" i="6" a="1"/>
  <c r="I1457" i="6" s="1"/>
  <c r="I1458" i="6" a="1"/>
  <c r="I1458" i="6" s="1"/>
  <c r="I1459" i="6" a="1"/>
  <c r="I1459" i="6" s="1"/>
  <c r="I1460" i="6" a="1"/>
  <c r="I1460" i="6" s="1"/>
  <c r="I1461" i="6" a="1"/>
  <c r="I1461" i="6" s="1"/>
  <c r="I1462" i="6" a="1"/>
  <c r="I1462" i="6" s="1"/>
  <c r="I1463" i="6" a="1"/>
  <c r="I1463" i="6" s="1"/>
  <c r="I1464" i="6" a="1"/>
  <c r="I1464" i="6" s="1"/>
  <c r="I1465" i="6" a="1"/>
  <c r="I1465" i="6" s="1"/>
  <c r="I1466" i="6" a="1"/>
  <c r="I1466" i="6" s="1"/>
  <c r="I1467" i="6" a="1"/>
  <c r="I1467" i="6" s="1"/>
  <c r="I1468" i="6" a="1"/>
  <c r="I1468" i="6" s="1"/>
  <c r="I1469" i="6" a="1"/>
  <c r="I1469" i="6" s="1"/>
  <c r="I1470" i="6" a="1"/>
  <c r="I1470" i="6" s="1"/>
  <c r="I1471" i="6" a="1"/>
  <c r="I1471" i="6" s="1"/>
  <c r="I1472" i="6" a="1"/>
  <c r="I1472" i="6" s="1"/>
  <c r="I1473" i="6" a="1"/>
  <c r="I1473" i="6" s="1"/>
  <c r="I1474" i="6" a="1"/>
  <c r="I1474" i="6" s="1"/>
  <c r="I1475" i="6" a="1"/>
  <c r="I1475" i="6" s="1"/>
  <c r="I1476" i="6" a="1"/>
  <c r="I1476" i="6" s="1"/>
  <c r="I1477" i="6" a="1"/>
  <c r="I1477" i="6" s="1"/>
  <c r="I1478" i="6" a="1"/>
  <c r="I1478" i="6" s="1"/>
  <c r="I1479" i="6" a="1"/>
  <c r="I1479" i="6" s="1"/>
  <c r="I1480" i="6" a="1"/>
  <c r="I1480" i="6" s="1"/>
  <c r="I1481" i="6" a="1"/>
  <c r="I1481" i="6" s="1"/>
  <c r="I1482" i="6" a="1"/>
  <c r="I1482" i="6" s="1"/>
  <c r="I1483" i="6" a="1"/>
  <c r="I1483" i="6" s="1"/>
  <c r="I1484" i="6" a="1"/>
  <c r="I1484" i="6" s="1"/>
  <c r="I1485" i="6" a="1"/>
  <c r="I1485" i="6" s="1"/>
  <c r="I1486" i="6" a="1"/>
  <c r="I1486" i="6" s="1"/>
  <c r="I1487" i="6" a="1"/>
  <c r="I1487" i="6" s="1"/>
  <c r="I1488" i="6" a="1"/>
  <c r="I1488" i="6" s="1"/>
  <c r="I1489" i="6" a="1"/>
  <c r="I1489" i="6" s="1"/>
  <c r="I1490" i="6" a="1"/>
  <c r="I1490" i="6" s="1"/>
  <c r="I1491" i="6" a="1"/>
  <c r="I1491" i="6" s="1"/>
  <c r="I1492" i="6" a="1"/>
  <c r="I1492" i="6" s="1"/>
  <c r="I1493" i="6" a="1"/>
  <c r="I1493" i="6" s="1"/>
  <c r="I1494" i="6" a="1"/>
  <c r="I1494" i="6" s="1"/>
  <c r="I1495" i="6" a="1"/>
  <c r="I1495" i="6" s="1"/>
  <c r="I1496" i="6" a="1"/>
  <c r="I1496" i="6" s="1"/>
  <c r="I1497" i="6" a="1"/>
  <c r="I1497" i="6" s="1"/>
  <c r="I1498" i="6" a="1"/>
  <c r="I1498" i="6" s="1"/>
  <c r="I1499" i="6" a="1"/>
  <c r="I1499" i="6" s="1"/>
  <c r="I1500" i="6" a="1"/>
  <c r="I1500" i="6" s="1"/>
  <c r="I1501" i="6" a="1"/>
  <c r="I1501" i="6" s="1"/>
  <c r="I1502" i="6" a="1"/>
  <c r="I1502" i="6" s="1"/>
  <c r="I1503" i="6" a="1"/>
  <c r="I1503" i="6" s="1"/>
  <c r="I1504" i="6" a="1"/>
  <c r="I1504" i="6" s="1"/>
  <c r="I1505" i="6" a="1"/>
  <c r="I1505" i="6" s="1"/>
  <c r="I1506" i="6" a="1"/>
  <c r="I1506" i="6" s="1"/>
  <c r="I1507" i="6" a="1"/>
  <c r="I1507" i="6" s="1"/>
  <c r="I1508" i="6" a="1"/>
  <c r="I1508" i="6" s="1"/>
  <c r="I1509" i="6" a="1"/>
  <c r="I1509" i="6" s="1"/>
  <c r="I1510" i="6" a="1"/>
  <c r="I1510" i="6" s="1"/>
  <c r="I1511" i="6" a="1"/>
  <c r="I1511" i="6" s="1"/>
  <c r="I1512" i="6" a="1"/>
  <c r="I1512" i="6" s="1"/>
  <c r="I1513" i="6" a="1"/>
  <c r="I1513" i="6" s="1"/>
  <c r="I1514" i="6" a="1"/>
  <c r="I1514" i="6" s="1"/>
  <c r="I1515" i="6" a="1"/>
  <c r="I1515" i="6" s="1"/>
  <c r="I1516" i="6" a="1"/>
  <c r="I1516" i="6" s="1"/>
  <c r="I1517" i="6" a="1"/>
  <c r="I1517" i="6" s="1"/>
  <c r="I1518" i="6" a="1"/>
  <c r="I1518" i="6" s="1"/>
  <c r="I1519" i="6" a="1"/>
  <c r="I1519" i="6" s="1"/>
  <c r="I1520" i="6" a="1"/>
  <c r="I1520" i="6" s="1"/>
  <c r="I1521" i="6" a="1"/>
  <c r="I1521" i="6" s="1"/>
  <c r="I1522" i="6" a="1"/>
  <c r="I1522" i="6" s="1"/>
  <c r="I1523" i="6" a="1"/>
  <c r="I1523" i="6" s="1"/>
  <c r="I1524" i="6" a="1"/>
  <c r="I1524" i="6" s="1"/>
  <c r="I1525" i="6" a="1"/>
  <c r="I1525" i="6" s="1"/>
  <c r="I1526" i="6" a="1"/>
  <c r="I1526" i="6" s="1"/>
  <c r="I1527" i="6" a="1"/>
  <c r="I1527" i="6" s="1"/>
  <c r="I1528" i="6" a="1"/>
  <c r="I1528" i="6" s="1"/>
  <c r="I1529" i="6" a="1"/>
  <c r="I1529" i="6" s="1"/>
  <c r="I1530" i="6" a="1"/>
  <c r="I1530" i="6" s="1"/>
  <c r="I1531" i="6" a="1"/>
  <c r="I1531" i="6" s="1"/>
  <c r="I1532" i="6" a="1"/>
  <c r="I1532" i="6" s="1"/>
  <c r="I1533" i="6" a="1"/>
  <c r="I1533" i="6" s="1"/>
  <c r="I1534" i="6" a="1"/>
  <c r="I1534" i="6" s="1"/>
  <c r="I1535" i="6" a="1"/>
  <c r="I1535" i="6" s="1"/>
  <c r="I1536" i="6" a="1"/>
  <c r="I1536" i="6" s="1"/>
  <c r="I1537" i="6" a="1"/>
  <c r="I1537" i="6" s="1"/>
  <c r="I1538" i="6" a="1"/>
  <c r="I1538" i="6" s="1"/>
  <c r="I1539" i="6" a="1"/>
  <c r="I1539" i="6" s="1"/>
  <c r="I1540" i="6" a="1"/>
  <c r="I1540" i="6" s="1"/>
  <c r="I1541" i="6" a="1"/>
  <c r="I1541" i="6" s="1"/>
  <c r="I1542" i="6" a="1"/>
  <c r="I1542" i="6" s="1"/>
  <c r="I1543" i="6" a="1"/>
  <c r="I1543" i="6" s="1"/>
  <c r="I1544" i="6" a="1"/>
  <c r="I1544" i="6" s="1"/>
  <c r="I1545" i="6" a="1"/>
  <c r="I1545" i="6" s="1"/>
  <c r="I1546" i="6" a="1"/>
  <c r="I1546" i="6" s="1"/>
  <c r="I1547" i="6" a="1"/>
  <c r="I1547" i="6" s="1"/>
  <c r="I1548" i="6" a="1"/>
  <c r="I1548" i="6" s="1"/>
  <c r="I1549" i="6" a="1"/>
  <c r="I1549" i="6" s="1"/>
  <c r="I1550" i="6" a="1"/>
  <c r="I1550" i="6" s="1"/>
  <c r="I1551" i="6" a="1"/>
  <c r="I1551" i="6" s="1"/>
  <c r="I1552" i="6" a="1"/>
  <c r="I1552" i="6" s="1"/>
  <c r="I1553" i="6" a="1"/>
  <c r="I1553" i="6" s="1"/>
  <c r="I1554" i="6" a="1"/>
  <c r="I1554" i="6" s="1"/>
  <c r="I1555" i="6" a="1"/>
  <c r="I1555" i="6" s="1"/>
  <c r="I1556" i="6" a="1"/>
  <c r="I1556" i="6" s="1"/>
  <c r="I1557" i="6" a="1"/>
  <c r="I1557" i="6" s="1"/>
  <c r="I1558" i="6" a="1"/>
  <c r="I1558" i="6" s="1"/>
  <c r="I1559" i="6" a="1"/>
  <c r="I1559" i="6" s="1"/>
  <c r="I1560" i="6" a="1"/>
  <c r="I1560" i="6" s="1"/>
  <c r="I1561" i="6" a="1"/>
  <c r="I1561" i="6" s="1"/>
  <c r="I1562" i="6" a="1"/>
  <c r="I1562" i="6" s="1"/>
  <c r="I1563" i="6" a="1"/>
  <c r="I1563" i="6" s="1"/>
  <c r="I1564" i="6" a="1"/>
  <c r="I1564" i="6" s="1"/>
  <c r="I1565" i="6" a="1"/>
  <c r="I1565" i="6" s="1"/>
  <c r="I1566" i="6" a="1"/>
  <c r="I1566" i="6" s="1"/>
  <c r="I1567" i="6" a="1"/>
  <c r="I1567" i="6" s="1"/>
  <c r="I1568" i="6" a="1"/>
  <c r="I1568" i="6" s="1"/>
  <c r="I1569" i="6" a="1"/>
  <c r="I1569" i="6" s="1"/>
  <c r="I1570" i="6" a="1"/>
  <c r="I1570" i="6" s="1"/>
  <c r="I1571" i="6" a="1"/>
  <c r="I1571" i="6" s="1"/>
  <c r="I1572" i="6" a="1"/>
  <c r="I1572" i="6" s="1"/>
  <c r="I1573" i="6" a="1"/>
  <c r="I1573" i="6" s="1"/>
  <c r="I1574" i="6" a="1"/>
  <c r="I1574" i="6" s="1"/>
  <c r="I1575" i="6" a="1"/>
  <c r="I1575" i="6" s="1"/>
  <c r="I1576" i="6" a="1"/>
  <c r="I1576" i="6" s="1"/>
  <c r="I1577" i="6" a="1"/>
  <c r="I1577" i="6" s="1"/>
  <c r="I1578" i="6" a="1"/>
  <c r="I1578" i="6" s="1"/>
  <c r="I1579" i="6" a="1"/>
  <c r="I1579" i="6" s="1"/>
  <c r="I1580" i="6" a="1"/>
  <c r="I1580" i="6" s="1"/>
  <c r="I1581" i="6" a="1"/>
  <c r="I1581" i="6" s="1"/>
  <c r="I1582" i="6" a="1"/>
  <c r="I1582" i="6" s="1"/>
  <c r="I1583" i="6" a="1"/>
  <c r="I1583" i="6" s="1"/>
  <c r="I1584" i="6" a="1"/>
  <c r="I1584" i="6" s="1"/>
  <c r="I1585" i="6" a="1"/>
  <c r="I1585" i="6" s="1"/>
  <c r="I1586" i="6" a="1"/>
  <c r="I1586" i="6" s="1"/>
  <c r="I1587" i="6" a="1"/>
  <c r="I1587" i="6" s="1"/>
  <c r="I1588" i="6" a="1"/>
  <c r="I1588" i="6" s="1"/>
  <c r="I1589" i="6" a="1"/>
  <c r="I1589" i="6" s="1"/>
  <c r="I1590" i="6" a="1"/>
  <c r="I1590" i="6" s="1"/>
  <c r="I1591" i="6" a="1"/>
  <c r="I1591" i="6" s="1"/>
  <c r="I1592" i="6" a="1"/>
  <c r="I1592" i="6" s="1"/>
  <c r="I1593" i="6" a="1"/>
  <c r="I1593" i="6" s="1"/>
  <c r="I1594" i="6" a="1"/>
  <c r="I1594" i="6" s="1"/>
  <c r="I1595" i="6" a="1"/>
  <c r="I1595" i="6" s="1"/>
  <c r="I1596" i="6" a="1"/>
  <c r="I1596" i="6" s="1"/>
  <c r="I1597" i="6" a="1"/>
  <c r="I1597" i="6" s="1"/>
  <c r="I1598" i="6" a="1"/>
  <c r="I1598" i="6" s="1"/>
  <c r="I1599" i="6" a="1"/>
  <c r="I1599" i="6" s="1"/>
  <c r="I1600" i="6" a="1"/>
  <c r="I1600" i="6" s="1"/>
  <c r="I1601" i="6" a="1"/>
  <c r="I1601" i="6" s="1"/>
  <c r="I1602" i="6" a="1"/>
  <c r="I1602" i="6" s="1"/>
  <c r="I1603" i="6" a="1"/>
  <c r="I1603" i="6" s="1"/>
  <c r="I1604" i="6" a="1"/>
  <c r="I1604" i="6" s="1"/>
  <c r="I1605" i="6" a="1"/>
  <c r="I1605" i="6" s="1"/>
  <c r="I1606" i="6" a="1"/>
  <c r="I1606" i="6" s="1"/>
  <c r="I1607" i="6" a="1"/>
  <c r="I1607" i="6" s="1"/>
  <c r="I1608" i="6" a="1"/>
  <c r="I1608" i="6" s="1"/>
  <c r="I1609" i="6" a="1"/>
  <c r="I1609" i="6" s="1"/>
  <c r="I1610" i="6" a="1"/>
  <c r="I1610" i="6" s="1"/>
  <c r="I1611" i="6" a="1"/>
  <c r="I1611" i="6" s="1"/>
  <c r="I1612" i="6" a="1"/>
  <c r="I1612" i="6" s="1"/>
  <c r="I1613" i="6" a="1"/>
  <c r="I1613" i="6" s="1"/>
  <c r="I1614" i="6" a="1"/>
  <c r="I1614" i="6" s="1"/>
  <c r="I1615" i="6" a="1"/>
  <c r="I1615" i="6" s="1"/>
  <c r="I1616" i="6" a="1"/>
  <c r="I1616" i="6" s="1"/>
  <c r="I1617" i="6" a="1"/>
  <c r="I1617" i="6" s="1"/>
  <c r="I1618" i="6" a="1"/>
  <c r="I1618" i="6" s="1"/>
  <c r="I1619" i="6" a="1"/>
  <c r="I1619" i="6" s="1"/>
  <c r="I1620" i="6" a="1"/>
  <c r="I1620" i="6" s="1"/>
  <c r="I1621" i="6" a="1"/>
  <c r="I1621" i="6" s="1"/>
  <c r="I1622" i="6" a="1"/>
  <c r="I1622" i="6" s="1"/>
  <c r="I1623" i="6" a="1"/>
  <c r="I1623" i="6" s="1"/>
  <c r="I1624" i="6" a="1"/>
  <c r="I1624" i="6" s="1"/>
  <c r="I1625" i="6" a="1"/>
  <c r="I1625" i="6" s="1"/>
  <c r="I1626" i="6" a="1"/>
  <c r="I1626" i="6" s="1"/>
  <c r="I1627" i="6" a="1"/>
  <c r="I1627" i="6" s="1"/>
  <c r="I1628" i="6" a="1"/>
  <c r="I1628" i="6" s="1"/>
  <c r="I1629" i="6" a="1"/>
  <c r="I1629" i="6" s="1"/>
  <c r="I1630" i="6" a="1"/>
  <c r="I1630" i="6" s="1"/>
  <c r="I1631" i="6" a="1"/>
  <c r="I1631" i="6" s="1"/>
  <c r="I1632" i="6" a="1"/>
  <c r="I1632" i="6" s="1"/>
  <c r="I1633" i="6" a="1"/>
  <c r="I1633" i="6" s="1"/>
  <c r="I1634" i="6" a="1"/>
  <c r="I1634" i="6" s="1"/>
  <c r="I1635" i="6" a="1"/>
  <c r="I1635" i="6" s="1"/>
  <c r="I1636" i="6" a="1"/>
  <c r="I1636" i="6" s="1"/>
  <c r="I1637" i="6" a="1"/>
  <c r="I1637" i="6" s="1"/>
  <c r="I1638" i="6" a="1"/>
  <c r="I1638" i="6" s="1"/>
  <c r="I1639" i="6" a="1"/>
  <c r="I1639" i="6" s="1"/>
  <c r="I1640" i="6" a="1"/>
  <c r="I1640" i="6" s="1"/>
  <c r="I1641" i="6" a="1"/>
  <c r="I1641" i="6" s="1"/>
  <c r="I1642" i="6" a="1"/>
  <c r="I1642" i="6" s="1"/>
  <c r="I1643" i="6" a="1"/>
  <c r="I1643" i="6" s="1"/>
  <c r="I1644" i="6" a="1"/>
  <c r="I1644" i="6" s="1"/>
  <c r="I1645" i="6" a="1"/>
  <c r="I1645" i="6" s="1"/>
  <c r="I1646" i="6" a="1"/>
  <c r="I1646" i="6" s="1"/>
  <c r="I1647" i="6" a="1"/>
  <c r="I1647" i="6" s="1"/>
  <c r="I1648" i="6" a="1"/>
  <c r="I1648" i="6" s="1"/>
  <c r="I1649" i="6" a="1"/>
  <c r="I1649" i="6" s="1"/>
  <c r="I1650" i="6" a="1"/>
  <c r="I1650" i="6" s="1"/>
  <c r="I1651" i="6" a="1"/>
  <c r="I1651" i="6" s="1"/>
  <c r="I1652" i="6" a="1"/>
  <c r="I1652" i="6" s="1"/>
  <c r="I1653" i="6" a="1"/>
  <c r="I1653" i="6" s="1"/>
  <c r="I1654" i="6" a="1"/>
  <c r="I1654" i="6" s="1"/>
  <c r="I1655" i="6" a="1"/>
  <c r="I1655" i="6" s="1"/>
  <c r="I1656" i="6" a="1"/>
  <c r="I1656" i="6" s="1"/>
  <c r="I1657" i="6" a="1"/>
  <c r="I1657" i="6" s="1"/>
  <c r="I1658" i="6" a="1"/>
  <c r="I1658" i="6" s="1"/>
  <c r="I1659" i="6" a="1"/>
  <c r="I1659" i="6" s="1"/>
  <c r="I1660" i="6" a="1"/>
  <c r="I1660" i="6" s="1"/>
  <c r="I1661" i="6" a="1"/>
  <c r="I1661" i="6" s="1"/>
  <c r="I1662" i="6" a="1"/>
  <c r="I1662" i="6" s="1"/>
  <c r="I1663" i="6" a="1"/>
  <c r="I1663" i="6" s="1"/>
  <c r="I1664" i="6" a="1"/>
  <c r="I1664" i="6" s="1"/>
  <c r="I1665" i="6" a="1"/>
  <c r="I1665" i="6" s="1"/>
  <c r="I1666" i="6" a="1"/>
  <c r="I1666" i="6" s="1"/>
  <c r="I1667" i="6" a="1"/>
  <c r="I1667" i="6" s="1"/>
  <c r="I1668" i="6" a="1"/>
  <c r="I1668" i="6" s="1"/>
  <c r="I1669" i="6" a="1"/>
  <c r="I1669" i="6" s="1"/>
  <c r="I1670" i="6" a="1"/>
  <c r="I1670" i="6" s="1"/>
  <c r="I1671" i="6" a="1"/>
  <c r="I1671" i="6" s="1"/>
  <c r="I1672" i="6" a="1"/>
  <c r="I1672" i="6" s="1"/>
  <c r="I1673" i="6" a="1"/>
  <c r="I1673" i="6" s="1"/>
  <c r="I1674" i="6" a="1"/>
  <c r="I1674" i="6" s="1"/>
  <c r="I1675" i="6" a="1"/>
  <c r="I1675" i="6" s="1"/>
  <c r="I1676" i="6" a="1"/>
  <c r="I1676" i="6" s="1"/>
  <c r="I1677" i="6" a="1"/>
  <c r="I1677" i="6" s="1"/>
  <c r="I1678" i="6" a="1"/>
  <c r="I1678" i="6" s="1"/>
  <c r="I1679" i="6" a="1"/>
  <c r="I1679" i="6" s="1"/>
  <c r="I1680" i="6" a="1"/>
  <c r="I1680" i="6" s="1"/>
  <c r="I1681" i="6" a="1"/>
  <c r="I1681" i="6" s="1"/>
  <c r="I1682" i="6" a="1"/>
  <c r="I1682" i="6" s="1"/>
  <c r="I1683" i="6" a="1"/>
  <c r="I1683" i="6" s="1"/>
  <c r="I1684" i="6" a="1"/>
  <c r="I1684" i="6" s="1"/>
  <c r="I1685" i="6" a="1"/>
  <c r="I1685" i="6" s="1"/>
  <c r="I1686" i="6" a="1"/>
  <c r="I1686" i="6" s="1"/>
  <c r="I1687" i="6" a="1"/>
  <c r="I1687" i="6" s="1"/>
  <c r="I1688" i="6" a="1"/>
  <c r="I1688" i="6" s="1"/>
  <c r="I1689" i="6" a="1"/>
  <c r="I1689" i="6" s="1"/>
  <c r="I1690" i="6" a="1"/>
  <c r="I1690" i="6" s="1"/>
  <c r="I1691" i="6" a="1"/>
  <c r="I1691" i="6" s="1"/>
  <c r="I1692" i="6" a="1"/>
  <c r="I1692" i="6" s="1"/>
  <c r="I1693" i="6" a="1"/>
  <c r="I1693" i="6" s="1"/>
  <c r="I1694" i="6" a="1"/>
  <c r="I1694" i="6" s="1"/>
  <c r="I1695" i="6" a="1"/>
  <c r="I1695" i="6" s="1"/>
  <c r="I1696" i="6" a="1"/>
  <c r="I1696" i="6" s="1"/>
  <c r="I1697" i="6" a="1"/>
  <c r="I1697" i="6" s="1"/>
  <c r="I1698" i="6" a="1"/>
  <c r="I1698" i="6" s="1"/>
  <c r="I1699" i="6" a="1"/>
  <c r="I1699" i="6" s="1"/>
  <c r="I1700" i="6" a="1"/>
  <c r="I1700" i="6" s="1"/>
  <c r="I1701" i="6" a="1"/>
  <c r="I1701" i="6" s="1"/>
  <c r="I1702" i="6" a="1"/>
  <c r="I1702" i="6" s="1"/>
  <c r="I1703" i="6" a="1"/>
  <c r="I1703" i="6" s="1"/>
  <c r="I1704" i="6" a="1"/>
  <c r="I1704" i="6" s="1"/>
  <c r="I1705" i="6" a="1"/>
  <c r="I1705" i="6" s="1"/>
  <c r="I1706" i="6" a="1"/>
  <c r="I1706" i="6" s="1"/>
  <c r="I1707" i="6" a="1"/>
  <c r="I1707" i="6" s="1"/>
  <c r="I1708" i="6" a="1"/>
  <c r="I1708" i="6" s="1"/>
  <c r="I1709" i="6" a="1"/>
  <c r="I1709" i="6" s="1"/>
  <c r="I1710" i="6" a="1"/>
  <c r="I1710" i="6" s="1"/>
  <c r="I1711" i="6" a="1"/>
  <c r="I1711" i="6" s="1"/>
  <c r="I1712" i="6" a="1"/>
  <c r="I1712" i="6" s="1"/>
  <c r="I1713" i="6" a="1"/>
  <c r="I1713" i="6" s="1"/>
  <c r="I1714" i="6" a="1"/>
  <c r="I1714" i="6" s="1"/>
  <c r="I1715" i="6" a="1"/>
  <c r="I1715" i="6" s="1"/>
  <c r="I1716" i="6" a="1"/>
  <c r="I1716" i="6" s="1"/>
  <c r="I1717" i="6" a="1"/>
  <c r="I1717" i="6" s="1"/>
  <c r="I1718" i="6" a="1"/>
  <c r="I1718" i="6" s="1"/>
  <c r="I1719" i="6" a="1"/>
  <c r="I1719" i="6" s="1"/>
  <c r="I1720" i="6" a="1"/>
  <c r="I1720" i="6" s="1"/>
  <c r="I1721" i="6" a="1"/>
  <c r="I1721" i="6" s="1"/>
  <c r="I1722" i="6" a="1"/>
  <c r="I1722" i="6" s="1"/>
  <c r="I1723" i="6" a="1"/>
  <c r="I1723" i="6" s="1"/>
  <c r="I1724" i="6" a="1"/>
  <c r="I1724" i="6" s="1"/>
  <c r="I1725" i="6" a="1"/>
  <c r="I1725" i="6" s="1"/>
  <c r="I1726" i="6" a="1"/>
  <c r="I1726" i="6" s="1"/>
  <c r="I1727" i="6" a="1"/>
  <c r="I1727" i="6" s="1"/>
  <c r="I1728" i="6" a="1"/>
  <c r="I1728" i="6" s="1"/>
  <c r="I1729" i="6" a="1"/>
  <c r="I1729" i="6" s="1"/>
  <c r="I1730" i="6" a="1"/>
  <c r="I1730" i="6" s="1"/>
  <c r="I1731" i="6" a="1"/>
  <c r="I1731" i="6" s="1"/>
  <c r="I1732" i="6" a="1"/>
  <c r="I1732" i="6" s="1"/>
  <c r="I1733" i="6" a="1"/>
  <c r="I1733" i="6" s="1"/>
  <c r="I1734" i="6" a="1"/>
  <c r="I1734" i="6" s="1"/>
  <c r="I1735" i="6" a="1"/>
  <c r="I1735" i="6" s="1"/>
  <c r="I1736" i="6" a="1"/>
  <c r="I1736" i="6" s="1"/>
  <c r="I1737" i="6" a="1"/>
  <c r="I1737" i="6" s="1"/>
  <c r="I1738" i="6" a="1"/>
  <c r="I1738" i="6" s="1"/>
  <c r="I1739" i="6" a="1"/>
  <c r="I1739" i="6" s="1"/>
  <c r="I1740" i="6" a="1"/>
  <c r="I1740" i="6" s="1"/>
  <c r="I1741" i="6" a="1"/>
  <c r="I1741" i="6" s="1"/>
  <c r="I1742" i="6" a="1"/>
  <c r="I1742" i="6" s="1"/>
  <c r="I1743" i="6" a="1"/>
  <c r="I1743" i="6" s="1"/>
  <c r="I1744" i="6" a="1"/>
  <c r="I1744" i="6" s="1"/>
  <c r="I1745" i="6" a="1"/>
  <c r="I1745" i="6" s="1"/>
  <c r="I1746" i="6" a="1"/>
  <c r="I1746" i="6" s="1"/>
  <c r="I1747" i="6" a="1"/>
  <c r="I1747" i="6" s="1"/>
  <c r="I1748" i="6" a="1"/>
  <c r="I1748" i="6" s="1"/>
  <c r="I1749" i="6" a="1"/>
  <c r="I1749" i="6" s="1"/>
  <c r="I1750" i="6" a="1"/>
  <c r="I1750" i="6" s="1"/>
  <c r="I1751" i="6" a="1"/>
  <c r="I1751" i="6" s="1"/>
  <c r="I1752" i="6" a="1"/>
  <c r="I1752" i="6" s="1"/>
  <c r="I1753" i="6" a="1"/>
  <c r="I1753" i="6" s="1"/>
  <c r="I1754" i="6" a="1"/>
  <c r="I1754" i="6" s="1"/>
  <c r="I1755" i="6" a="1"/>
  <c r="I1755" i="6" s="1"/>
  <c r="I1756" i="6" a="1"/>
  <c r="I1756" i="6" s="1"/>
  <c r="I1757" i="6" a="1"/>
  <c r="I1757" i="6" s="1"/>
  <c r="I1758" i="6" a="1"/>
  <c r="I1758" i="6" s="1"/>
  <c r="I1759" i="6" a="1"/>
  <c r="I1759" i="6" s="1"/>
  <c r="I1760" i="6" a="1"/>
  <c r="I1760" i="6" s="1"/>
  <c r="I1761" i="6" a="1"/>
  <c r="I1761" i="6" s="1"/>
  <c r="I1762" i="6" a="1"/>
  <c r="I1762" i="6" s="1"/>
  <c r="I1763" i="6" a="1"/>
  <c r="I1763" i="6" s="1"/>
  <c r="I1764" i="6" a="1"/>
  <c r="I1764" i="6" s="1"/>
  <c r="I1765" i="6" a="1"/>
  <c r="I1765" i="6" s="1"/>
  <c r="I1766" i="6" a="1"/>
  <c r="I1766" i="6" s="1"/>
  <c r="I1767" i="6" a="1"/>
  <c r="I1767" i="6" s="1"/>
  <c r="I1768" i="6" a="1"/>
  <c r="I1768" i="6" s="1"/>
  <c r="I1769" i="6" a="1"/>
  <c r="I1769" i="6" s="1"/>
  <c r="I1770" i="6" a="1"/>
  <c r="I1770" i="6" s="1"/>
  <c r="I1771" i="6" a="1"/>
  <c r="I1771" i="6" s="1"/>
  <c r="I1772" i="6" a="1"/>
  <c r="I1772" i="6" s="1"/>
  <c r="I1773" i="6" a="1"/>
  <c r="I1773" i="6" s="1"/>
  <c r="I1774" i="6" a="1"/>
  <c r="I1774" i="6" s="1"/>
  <c r="I1775" i="6" a="1"/>
  <c r="I1775" i="6" s="1"/>
  <c r="I1776" i="6" a="1"/>
  <c r="I1776" i="6" s="1"/>
  <c r="I1777" i="6" a="1"/>
  <c r="I1777" i="6" s="1"/>
  <c r="I1778" i="6" a="1"/>
  <c r="I1778" i="6" s="1"/>
  <c r="I1779" i="6" a="1"/>
  <c r="I1779" i="6" s="1"/>
  <c r="I1780" i="6" a="1"/>
  <c r="I1780" i="6" s="1"/>
  <c r="I1781" i="6" a="1"/>
  <c r="I1781" i="6" s="1"/>
  <c r="I1782" i="6" a="1"/>
  <c r="I1782" i="6" s="1"/>
  <c r="I1783" i="6" a="1"/>
  <c r="I1783" i="6" s="1"/>
  <c r="I1784" i="6" a="1"/>
  <c r="I1784" i="6" s="1"/>
  <c r="I1785" i="6" a="1"/>
  <c r="I1785" i="6" s="1"/>
  <c r="I1786" i="6" a="1"/>
  <c r="I1786" i="6" s="1"/>
  <c r="I1787" i="6" a="1"/>
  <c r="I1787" i="6" s="1"/>
  <c r="I1788" i="6" a="1"/>
  <c r="I1788" i="6" s="1"/>
  <c r="I1789" i="6" a="1"/>
  <c r="I1789" i="6" s="1"/>
  <c r="I1790" i="6" a="1"/>
  <c r="I1790" i="6" s="1"/>
  <c r="I1791" i="6" a="1"/>
  <c r="I1791" i="6" s="1"/>
  <c r="I1792" i="6" a="1"/>
  <c r="I1792" i="6" s="1"/>
  <c r="I1793" i="6" a="1"/>
  <c r="I1793" i="6" s="1"/>
  <c r="I1794" i="6" a="1"/>
  <c r="I1794" i="6" s="1"/>
  <c r="I1795" i="6" a="1"/>
  <c r="I1795" i="6" s="1"/>
  <c r="I1796" i="6" a="1"/>
  <c r="I1796" i="6" s="1"/>
  <c r="I1797" i="6" a="1"/>
  <c r="I1797" i="6" s="1"/>
  <c r="I1798" i="6" a="1"/>
  <c r="I1798" i="6" s="1"/>
  <c r="I1799" i="6" a="1"/>
  <c r="I1799" i="6" s="1"/>
  <c r="I1800" i="6" a="1"/>
  <c r="I1800" i="6" s="1"/>
  <c r="I1801" i="6" a="1"/>
  <c r="I1801" i="6" s="1"/>
  <c r="I1802" i="6" a="1"/>
  <c r="I1802" i="6" s="1"/>
  <c r="I1803" i="6" a="1"/>
  <c r="I1803" i="6" s="1"/>
  <c r="I1804" i="6" a="1"/>
  <c r="I1804" i="6" s="1"/>
  <c r="I1805" i="6" a="1"/>
  <c r="I1805" i="6" s="1"/>
  <c r="I1806" i="6" a="1"/>
  <c r="I1806" i="6" s="1"/>
  <c r="I1807" i="6" a="1"/>
  <c r="I1807" i="6" s="1"/>
  <c r="I1808" i="6" a="1"/>
  <c r="I1808" i="6" s="1"/>
  <c r="I1809" i="6" a="1"/>
  <c r="I1809" i="6" s="1"/>
  <c r="I1810" i="6" a="1"/>
  <c r="I1810" i="6" s="1"/>
  <c r="I1811" i="6" a="1"/>
  <c r="I1811" i="6" s="1"/>
  <c r="I1812" i="6" a="1"/>
  <c r="I1812" i="6" s="1"/>
  <c r="I1813" i="6" a="1"/>
  <c r="I1813" i="6" s="1"/>
  <c r="I1814" i="6" a="1"/>
  <c r="I1814" i="6" s="1"/>
  <c r="I1815" i="6" a="1"/>
  <c r="I1815" i="6" s="1"/>
  <c r="I1816" i="6" a="1"/>
  <c r="I1816" i="6" s="1"/>
  <c r="I1817" i="6" a="1"/>
  <c r="I1817" i="6" s="1"/>
  <c r="I1818" i="6" a="1"/>
  <c r="I1818" i="6" s="1"/>
  <c r="I1819" i="6" a="1"/>
  <c r="I1819" i="6" s="1"/>
  <c r="I1820" i="6" a="1"/>
  <c r="I1820" i="6" s="1"/>
  <c r="I1821" i="6" a="1"/>
  <c r="I1821" i="6" s="1"/>
  <c r="I1822" i="6" a="1"/>
  <c r="I1822" i="6" s="1"/>
  <c r="I1823" i="6" a="1"/>
  <c r="I1823" i="6" s="1"/>
  <c r="I1824" i="6" a="1"/>
  <c r="I1824" i="6" s="1"/>
  <c r="I1825" i="6" a="1"/>
  <c r="I1825" i="6" s="1"/>
  <c r="I1826" i="6" a="1"/>
  <c r="I1826" i="6" s="1"/>
  <c r="I1827" i="6" a="1"/>
  <c r="I1827" i="6" s="1"/>
  <c r="I1828" i="6" a="1"/>
  <c r="I1828" i="6" s="1"/>
  <c r="I1829" i="6" a="1"/>
  <c r="I1829" i="6" s="1"/>
  <c r="I1830" i="6" a="1"/>
  <c r="I1830" i="6" s="1"/>
  <c r="I1831" i="6" a="1"/>
  <c r="I1831" i="6" s="1"/>
  <c r="I1832" i="6" a="1"/>
  <c r="I1832" i="6" s="1"/>
  <c r="I1833" i="6" a="1"/>
  <c r="I1833" i="6" s="1"/>
  <c r="I1834" i="6" a="1"/>
  <c r="I1834" i="6" s="1"/>
  <c r="I1835" i="6" a="1"/>
  <c r="I1835" i="6" s="1"/>
  <c r="I1836" i="6" a="1"/>
  <c r="I1836" i="6" s="1"/>
  <c r="I1837" i="6" a="1"/>
  <c r="I1837" i="6" s="1"/>
  <c r="I1838" i="6" a="1"/>
  <c r="I1838" i="6" s="1"/>
  <c r="I1839" i="6" a="1"/>
  <c r="I1839" i="6" s="1"/>
  <c r="I1840" i="6" a="1"/>
  <c r="I1840" i="6" s="1"/>
  <c r="I1841" i="6" a="1"/>
  <c r="I1841" i="6" s="1"/>
  <c r="I1842" i="6" a="1"/>
  <c r="I1842" i="6" s="1"/>
  <c r="I1843" i="6" a="1"/>
  <c r="I1843" i="6" s="1"/>
  <c r="I1844" i="6" a="1"/>
  <c r="I1844" i="6" s="1"/>
  <c r="I1845" i="6" a="1"/>
  <c r="I1845" i="6" s="1"/>
  <c r="I1846" i="6" a="1"/>
  <c r="I1846" i="6" s="1"/>
  <c r="I1847" i="6" a="1"/>
  <c r="I1847" i="6" s="1"/>
  <c r="I1848" i="6" a="1"/>
  <c r="I1848" i="6" s="1"/>
  <c r="I1849" i="6" a="1"/>
  <c r="I1849" i="6" s="1"/>
  <c r="I1850" i="6" a="1"/>
  <c r="I1850" i="6" s="1"/>
  <c r="I1851" i="6" a="1"/>
  <c r="I1851" i="6" s="1"/>
  <c r="I1852" i="6" a="1"/>
  <c r="I1852" i="6" s="1"/>
  <c r="I1853" i="6" a="1"/>
  <c r="I1853" i="6" s="1"/>
  <c r="I1854" i="6" a="1"/>
  <c r="I1854" i="6" s="1"/>
  <c r="I1855" i="6" a="1"/>
  <c r="I1855" i="6" s="1"/>
  <c r="I1856" i="6" a="1"/>
  <c r="I1856" i="6" s="1"/>
  <c r="I1857" i="6" a="1"/>
  <c r="I1857" i="6" s="1"/>
  <c r="I1858" i="6" a="1"/>
  <c r="I1858" i="6" s="1"/>
  <c r="I1859" i="6" a="1"/>
  <c r="I1859" i="6" s="1"/>
  <c r="I1860" i="6" a="1"/>
  <c r="I1860" i="6" s="1"/>
  <c r="I1861" i="6" a="1"/>
  <c r="I1861" i="6" s="1"/>
  <c r="I1862" i="6" a="1"/>
  <c r="I1862" i="6" s="1"/>
  <c r="I1863" i="6" a="1"/>
  <c r="I1863" i="6" s="1"/>
  <c r="I1864" i="6" a="1"/>
  <c r="I1864" i="6" s="1"/>
  <c r="I1865" i="6" a="1"/>
  <c r="I1865" i="6" s="1"/>
  <c r="I1866" i="6" a="1"/>
  <c r="I1866" i="6" s="1"/>
  <c r="I1867" i="6" a="1"/>
  <c r="I1867" i="6" s="1"/>
  <c r="I1868" i="6" a="1"/>
  <c r="I1868" i="6" s="1"/>
  <c r="I1869" i="6" a="1"/>
  <c r="I1869" i="6" s="1"/>
  <c r="I1870" i="6" a="1"/>
  <c r="I1870" i="6" s="1"/>
  <c r="I1871" i="6" a="1"/>
  <c r="I1871" i="6" s="1"/>
  <c r="I1872" i="6" a="1"/>
  <c r="I1872" i="6" s="1"/>
  <c r="I1873" i="6" a="1"/>
  <c r="I1873" i="6" s="1"/>
  <c r="I1874" i="6" a="1"/>
  <c r="I1874" i="6" s="1"/>
  <c r="I1875" i="6" a="1"/>
  <c r="I1875" i="6" s="1"/>
  <c r="I1876" i="6" a="1"/>
  <c r="I1876" i="6" s="1"/>
  <c r="I1877" i="6" a="1"/>
  <c r="I1877" i="6" s="1"/>
  <c r="I1878" i="6" a="1"/>
  <c r="I1878" i="6" s="1"/>
  <c r="I1879" i="6" a="1"/>
  <c r="I1879" i="6" s="1"/>
  <c r="I1880" i="6" a="1"/>
  <c r="I1880" i="6" s="1"/>
  <c r="I1881" i="6" a="1"/>
  <c r="I1881" i="6" s="1"/>
  <c r="I1882" i="6" a="1"/>
  <c r="I1882" i="6" s="1"/>
  <c r="I1883" i="6" a="1"/>
  <c r="I1883" i="6" s="1"/>
  <c r="I1884" i="6" a="1"/>
  <c r="I1884" i="6" s="1"/>
  <c r="I1885" i="6" a="1"/>
  <c r="I1885" i="6" s="1"/>
  <c r="I1886" i="6" a="1"/>
  <c r="I1886" i="6" s="1"/>
  <c r="I1887" i="6" a="1"/>
  <c r="I1887" i="6" s="1"/>
  <c r="I1888" i="6" a="1"/>
  <c r="I1888" i="6" s="1"/>
  <c r="I1889" i="6" a="1"/>
  <c r="I1889" i="6" s="1"/>
  <c r="I1890" i="6" a="1"/>
  <c r="I1890" i="6" s="1"/>
  <c r="I1891" i="6" a="1"/>
  <c r="I1891" i="6" s="1"/>
  <c r="I1892" i="6" a="1"/>
  <c r="I1892" i="6" s="1"/>
  <c r="I1893" i="6" a="1"/>
  <c r="I1893" i="6" s="1"/>
  <c r="I1894" i="6" a="1"/>
  <c r="I1894" i="6" s="1"/>
  <c r="I1895" i="6" a="1"/>
  <c r="I1895" i="6" s="1"/>
  <c r="I1896" i="6" a="1"/>
  <c r="I1896" i="6" s="1"/>
  <c r="I1897" i="6" a="1"/>
  <c r="I1897" i="6" s="1"/>
  <c r="I1898" i="6" a="1"/>
  <c r="I1898" i="6" s="1"/>
  <c r="I1899" i="6" a="1"/>
  <c r="I1899" i="6" s="1"/>
  <c r="I1900" i="6" a="1"/>
  <c r="I1900" i="6" s="1"/>
  <c r="I1901" i="6" a="1"/>
  <c r="I1901" i="6" s="1"/>
  <c r="I1902" i="6" a="1"/>
  <c r="I1902" i="6" s="1"/>
  <c r="I1903" i="6" a="1"/>
  <c r="I1903" i="6" s="1"/>
  <c r="I1904" i="6" a="1"/>
  <c r="I1904" i="6" s="1"/>
  <c r="I1905" i="6" a="1"/>
  <c r="I1905" i="6" s="1"/>
  <c r="I1906" i="6" a="1"/>
  <c r="I1906" i="6" s="1"/>
  <c r="I1907" i="6" a="1"/>
  <c r="I1907" i="6" s="1"/>
  <c r="I1908" i="6" a="1"/>
  <c r="I1908" i="6" s="1"/>
  <c r="I1909" i="6" a="1"/>
  <c r="I1909" i="6" s="1"/>
  <c r="I1910" i="6" a="1"/>
  <c r="I1910" i="6" s="1"/>
  <c r="I1911" i="6" a="1"/>
  <c r="I1911" i="6" s="1"/>
  <c r="I1912" i="6" a="1"/>
  <c r="I1912" i="6" s="1"/>
  <c r="I1913" i="6" a="1"/>
  <c r="I1913" i="6" s="1"/>
  <c r="I1914" i="6" a="1"/>
  <c r="I1914" i="6" s="1"/>
  <c r="I1915" i="6" a="1"/>
  <c r="I1915" i="6" s="1"/>
  <c r="I1916" i="6" a="1"/>
  <c r="I1916" i="6" s="1"/>
  <c r="I1917" i="6" a="1"/>
  <c r="I1917" i="6" s="1"/>
  <c r="I1918" i="6" a="1"/>
  <c r="I1918" i="6" s="1"/>
  <c r="I1919" i="6" a="1"/>
  <c r="I1919" i="6" s="1"/>
  <c r="I1920" i="6" a="1"/>
  <c r="I1920" i="6" s="1"/>
  <c r="I1921" i="6" a="1"/>
  <c r="I1921" i="6" s="1"/>
  <c r="I1922" i="6" a="1"/>
  <c r="I1922" i="6" s="1"/>
  <c r="I1923" i="6" a="1"/>
  <c r="I1923" i="6" s="1"/>
  <c r="I1924" i="6" a="1"/>
  <c r="I1924" i="6" s="1"/>
  <c r="I1925" i="6" a="1"/>
  <c r="I1925" i="6" s="1"/>
  <c r="I1926" i="6" a="1"/>
  <c r="I1926" i="6" s="1"/>
  <c r="I1927" i="6" a="1"/>
  <c r="I1927" i="6" s="1"/>
  <c r="I1928" i="6" a="1"/>
  <c r="I1928" i="6" s="1"/>
  <c r="I1929" i="6" a="1"/>
  <c r="I1929" i="6" s="1"/>
  <c r="I1930" i="6" a="1"/>
  <c r="I1930" i="6" s="1"/>
  <c r="I1931" i="6" a="1"/>
  <c r="I1931" i="6" s="1"/>
  <c r="I1932" i="6" a="1"/>
  <c r="I1932" i="6" s="1"/>
  <c r="I1933" i="6" a="1"/>
  <c r="I1933" i="6" s="1"/>
  <c r="I1934" i="6" a="1"/>
  <c r="I1934" i="6" s="1"/>
  <c r="I1935" i="6" a="1"/>
  <c r="I1935" i="6" s="1"/>
  <c r="I1936" i="6" a="1"/>
  <c r="I1936" i="6" s="1"/>
  <c r="I1937" i="6" a="1"/>
  <c r="I1937" i="6" s="1"/>
  <c r="I1938" i="6" a="1"/>
  <c r="I1938" i="6" s="1"/>
  <c r="I1939" i="6" a="1"/>
  <c r="I1939" i="6" s="1"/>
  <c r="I1940" i="6" a="1"/>
  <c r="I1940" i="6" s="1"/>
  <c r="I1941" i="6" a="1"/>
  <c r="I1941" i="6" s="1"/>
  <c r="I1942" i="6" a="1"/>
  <c r="I1942" i="6" s="1"/>
  <c r="I1943" i="6" a="1"/>
  <c r="I1943" i="6" s="1"/>
  <c r="I1944" i="6" a="1"/>
  <c r="I1944" i="6" s="1"/>
  <c r="I1945" i="6" a="1"/>
  <c r="I1945" i="6" s="1"/>
  <c r="I1946" i="6" a="1"/>
  <c r="I1946" i="6" s="1"/>
  <c r="I1947" i="6" a="1"/>
  <c r="I1947" i="6" s="1"/>
  <c r="I1948" i="6" a="1"/>
  <c r="I1948" i="6" s="1"/>
  <c r="I1949" i="6" a="1"/>
  <c r="I1949" i="6" s="1"/>
  <c r="I1950" i="6" a="1"/>
  <c r="I1950" i="6" s="1"/>
  <c r="I1951" i="6" a="1"/>
  <c r="I1951" i="6" s="1"/>
  <c r="I1952" i="6" a="1"/>
  <c r="I1952" i="6" s="1"/>
  <c r="I1953" i="6" a="1"/>
  <c r="I1953" i="6" s="1"/>
  <c r="I1954" i="6" a="1"/>
  <c r="I1954" i="6" s="1"/>
  <c r="I1955" i="6" a="1"/>
  <c r="I1955" i="6" s="1"/>
  <c r="I1956" i="6" a="1"/>
  <c r="I1956" i="6" s="1"/>
  <c r="I1957" i="6" a="1"/>
  <c r="I1957" i="6" s="1"/>
  <c r="I1958" i="6" a="1"/>
  <c r="I1958" i="6" s="1"/>
  <c r="I1959" i="6" a="1"/>
  <c r="I1959" i="6" s="1"/>
  <c r="I1960" i="6" a="1"/>
  <c r="I1960" i="6" s="1"/>
  <c r="I1961" i="6" a="1"/>
  <c r="I1961" i="6" s="1"/>
  <c r="I1962" i="6" a="1"/>
  <c r="I1962" i="6" s="1"/>
  <c r="I1963" i="6" a="1"/>
  <c r="I1963" i="6" s="1"/>
  <c r="I1964" i="6" a="1"/>
  <c r="I1964" i="6" s="1"/>
  <c r="I1965" i="6" a="1"/>
  <c r="I1965" i="6" s="1"/>
  <c r="I1966" i="6" a="1"/>
  <c r="I1966" i="6" s="1"/>
  <c r="I1967" i="6" a="1"/>
  <c r="I1967" i="6" s="1"/>
  <c r="I1968" i="6" a="1"/>
  <c r="I1968" i="6" s="1"/>
  <c r="I1969" i="6" a="1"/>
  <c r="I1969" i="6" s="1"/>
  <c r="I1970" i="6" a="1"/>
  <c r="I1970" i="6" s="1"/>
  <c r="I1971" i="6" a="1"/>
  <c r="I1971" i="6" s="1"/>
  <c r="I1972" i="6" a="1"/>
  <c r="I1972" i="6" s="1"/>
  <c r="I1973" i="6" a="1"/>
  <c r="I1973" i="6" s="1"/>
  <c r="I1974" i="6" a="1"/>
  <c r="I1974" i="6" s="1"/>
  <c r="I1975" i="6" a="1"/>
  <c r="I1975" i="6" s="1"/>
  <c r="I1976" i="6" a="1"/>
  <c r="I1976" i="6" s="1"/>
  <c r="I1977" i="6" a="1"/>
  <c r="I1977" i="6" s="1"/>
  <c r="I1978" i="6" a="1"/>
  <c r="I1978" i="6" s="1"/>
  <c r="I1979" i="6" a="1"/>
  <c r="I1979" i="6" s="1"/>
  <c r="I1980" i="6" a="1"/>
  <c r="I1980" i="6" s="1"/>
  <c r="I1981" i="6" a="1"/>
  <c r="I1981" i="6" s="1"/>
  <c r="I1982" i="6" a="1"/>
  <c r="I1982" i="6" s="1"/>
  <c r="I1983" i="6" a="1"/>
  <c r="I1983" i="6" s="1"/>
  <c r="I1984" i="6" a="1"/>
  <c r="I1984" i="6" s="1"/>
  <c r="I1985" i="6" a="1"/>
  <c r="I1985" i="6" s="1"/>
  <c r="I1986" i="6" a="1"/>
  <c r="I1986" i="6" s="1"/>
  <c r="I1987" i="6" a="1"/>
  <c r="I1987" i="6" s="1"/>
  <c r="I1988" i="6" a="1"/>
  <c r="I1988" i="6" s="1"/>
  <c r="I1989" i="6" a="1"/>
  <c r="I1989" i="6" s="1"/>
  <c r="I1990" i="6" a="1"/>
  <c r="I1990" i="6" s="1"/>
  <c r="I1991" i="6" a="1"/>
  <c r="I1991" i="6" s="1"/>
  <c r="I1992" i="6" a="1"/>
  <c r="I1992" i="6" s="1"/>
  <c r="I1993" i="6" a="1"/>
  <c r="I1993" i="6" s="1"/>
  <c r="I1994" i="6" a="1"/>
  <c r="I1994" i="6" s="1"/>
  <c r="I1995" i="6" a="1"/>
  <c r="I1995" i="6" s="1"/>
  <c r="I1996" i="6" a="1"/>
  <c r="I1996" i="6" s="1"/>
  <c r="I1997" i="6" a="1"/>
  <c r="I1997" i="6" s="1"/>
  <c r="I1998" i="6" a="1"/>
  <c r="I1998" i="6" s="1"/>
  <c r="I1999" i="6" a="1"/>
  <c r="I1999" i="6" s="1"/>
  <c r="I2000" i="6" a="1"/>
  <c r="I2000" i="6" s="1"/>
  <c r="I2001" i="6" a="1"/>
  <c r="I2001" i="6" s="1"/>
  <c r="I2002" i="6" a="1"/>
  <c r="I2002" i="6" s="1"/>
  <c r="I2003" i="6" a="1"/>
  <c r="I2003" i="6" s="1"/>
  <c r="I2004" i="6" a="1"/>
  <c r="I2004" i="6" s="1"/>
  <c r="I2005" i="6" a="1"/>
  <c r="I2005" i="6" s="1"/>
  <c r="I2006" i="6" a="1"/>
  <c r="I2006" i="6" s="1"/>
  <c r="I2007" i="6" a="1"/>
  <c r="I2007" i="6" s="1"/>
  <c r="I2008" i="6" a="1"/>
  <c r="I2008" i="6" s="1"/>
  <c r="I2009" i="6" a="1"/>
  <c r="I2009" i="6" s="1"/>
  <c r="I2010" i="6" a="1"/>
  <c r="I2010" i="6" s="1"/>
  <c r="I2011" i="6" a="1"/>
  <c r="I2011" i="6" s="1"/>
  <c r="I2012" i="6" a="1"/>
  <c r="I2012" i="6" s="1"/>
  <c r="I2013" i="6" a="1"/>
  <c r="I2013" i="6" s="1"/>
  <c r="I2014" i="6" a="1"/>
  <c r="I2014" i="6" s="1"/>
  <c r="I2015" i="6" a="1"/>
  <c r="I2015" i="6" s="1"/>
  <c r="I2016" i="6" a="1"/>
  <c r="I2016" i="6" s="1"/>
  <c r="I2017" i="6" a="1"/>
  <c r="I2017" i="6" s="1"/>
  <c r="I2018" i="6" a="1"/>
  <c r="I2018" i="6" s="1"/>
  <c r="I2019" i="6" a="1"/>
  <c r="I2019" i="6" s="1"/>
  <c r="I2020" i="6" a="1"/>
  <c r="I2020" i="6" s="1"/>
  <c r="I2021" i="6" a="1"/>
  <c r="I2021" i="6" s="1"/>
  <c r="I2022" i="6" a="1"/>
  <c r="I2022" i="6" s="1"/>
  <c r="I2023" i="6" a="1"/>
  <c r="I2023" i="6" s="1"/>
  <c r="I2024" i="6" a="1"/>
  <c r="I2024" i="6" s="1"/>
  <c r="I2025" i="6" a="1"/>
  <c r="I2025" i="6" s="1"/>
  <c r="I2026" i="6" a="1"/>
  <c r="I2026" i="6" s="1"/>
  <c r="I2027" i="6" a="1"/>
  <c r="I2027" i="6" s="1"/>
  <c r="I2028" i="6" a="1"/>
  <c r="I2028" i="6" s="1"/>
  <c r="I2029" i="6" a="1"/>
  <c r="I2029" i="6" s="1"/>
  <c r="I2030" i="6" a="1"/>
  <c r="I2030" i="6" s="1"/>
  <c r="I2031" i="6" a="1"/>
  <c r="I2031" i="6" s="1"/>
  <c r="I2" i="6" a="1"/>
  <c r="I2" i="6" s="1"/>
  <c r="A3" i="6" a="1"/>
  <c r="A3" i="6" s="1"/>
  <c r="A4" i="6" a="1"/>
  <c r="A4" i="6" s="1"/>
  <c r="A5" i="6" a="1"/>
  <c r="A5" i="6" s="1"/>
  <c r="A6" i="6" a="1"/>
  <c r="A6" i="6" s="1"/>
  <c r="A7" i="6" a="1"/>
  <c r="A7" i="6" s="1"/>
  <c r="A8" i="6" a="1"/>
  <c r="A8" i="6" s="1"/>
  <c r="A9" i="6" a="1"/>
  <c r="A9" i="6" s="1"/>
  <c r="A10" i="6" a="1"/>
  <c r="A10" i="6" s="1"/>
  <c r="A11" i="6" a="1"/>
  <c r="A11" i="6" s="1"/>
  <c r="A12" i="6" a="1"/>
  <c r="A12" i="6" s="1"/>
  <c r="A13" i="6" a="1"/>
  <c r="A13" i="6" s="1"/>
  <c r="A14" i="6" a="1"/>
  <c r="A14" i="6" s="1"/>
  <c r="A15" i="6" a="1"/>
  <c r="A15" i="6" s="1"/>
  <c r="A16" i="6" a="1"/>
  <c r="A16" i="6" s="1"/>
  <c r="A17" i="6" a="1"/>
  <c r="A17" i="6" s="1"/>
  <c r="A18" i="6" a="1"/>
  <c r="A18" i="6" s="1"/>
  <c r="A19" i="6" a="1"/>
  <c r="A19" i="6" s="1"/>
  <c r="A20" i="6" a="1"/>
  <c r="A20" i="6" s="1"/>
  <c r="A21" i="6" a="1"/>
  <c r="A21" i="6" s="1"/>
  <c r="A22" i="6" a="1"/>
  <c r="A22" i="6" s="1"/>
  <c r="A23" i="6" a="1"/>
  <c r="A23" i="6" s="1"/>
  <c r="A24" i="6" a="1"/>
  <c r="A24" i="6" s="1"/>
  <c r="A25" i="6" a="1"/>
  <c r="A25" i="6" s="1"/>
  <c r="A26" i="6" a="1"/>
  <c r="A26" i="6" s="1"/>
  <c r="A27" i="6" a="1"/>
  <c r="A27" i="6" s="1"/>
  <c r="A28" i="6" a="1"/>
  <c r="A28" i="6" s="1"/>
  <c r="A29" i="6" a="1"/>
  <c r="A29" i="6" s="1"/>
  <c r="A30" i="6" a="1"/>
  <c r="A30" i="6" s="1"/>
  <c r="A31" i="6" a="1"/>
  <c r="A31" i="6" s="1"/>
  <c r="A32" i="6" a="1"/>
  <c r="A32" i="6" s="1"/>
  <c r="A33" i="6" a="1"/>
  <c r="A33" i="6" s="1"/>
  <c r="A34" i="6" a="1"/>
  <c r="A34" i="6" s="1"/>
  <c r="A35" i="6" a="1"/>
  <c r="A35" i="6" s="1"/>
  <c r="A36" i="6" a="1"/>
  <c r="A36" i="6" s="1"/>
  <c r="A37" i="6" a="1"/>
  <c r="A37" i="6" s="1"/>
  <c r="A38" i="6" a="1"/>
  <c r="A38" i="6" s="1"/>
  <c r="A39" i="6" a="1"/>
  <c r="A39" i="6" s="1"/>
  <c r="A40" i="6" a="1"/>
  <c r="A40" i="6" s="1"/>
  <c r="A41" i="6" a="1"/>
  <c r="A41" i="6" s="1"/>
  <c r="A42" i="6" a="1"/>
  <c r="A42" i="6" s="1"/>
  <c r="A43" i="6" a="1"/>
  <c r="A43" i="6" s="1"/>
  <c r="A44" i="6" a="1"/>
  <c r="A44" i="6" s="1"/>
  <c r="A45" i="6" a="1"/>
  <c r="A45" i="6" s="1"/>
  <c r="A46" i="6" a="1"/>
  <c r="A46" i="6" s="1"/>
  <c r="A47" i="6" a="1"/>
  <c r="A47" i="6" s="1"/>
  <c r="A48" i="6" a="1"/>
  <c r="A48" i="6" s="1"/>
  <c r="A49" i="6" a="1"/>
  <c r="A49" i="6" s="1"/>
  <c r="A50" i="6" a="1"/>
  <c r="A50" i="6" s="1"/>
  <c r="A51" i="6" a="1"/>
  <c r="A51" i="6" s="1"/>
  <c r="A52" i="6" a="1"/>
  <c r="A52" i="6" s="1"/>
  <c r="A53" i="6" a="1"/>
  <c r="A53" i="6" s="1"/>
  <c r="A54" i="6" a="1"/>
  <c r="A54" i="6" s="1"/>
  <c r="A55" i="6" a="1"/>
  <c r="A55" i="6" s="1"/>
  <c r="A56" i="6" a="1"/>
  <c r="A56" i="6" s="1"/>
  <c r="A57" i="6" a="1"/>
  <c r="A57" i="6" s="1"/>
  <c r="A58" i="6" a="1"/>
  <c r="A58" i="6" s="1"/>
  <c r="A59" i="6" a="1"/>
  <c r="A59" i="6" s="1"/>
  <c r="A60" i="6" a="1"/>
  <c r="A60" i="6" s="1"/>
  <c r="A61" i="6" a="1"/>
  <c r="A61" i="6" s="1"/>
  <c r="A62" i="6" a="1"/>
  <c r="A62" i="6" s="1"/>
  <c r="A63" i="6" a="1"/>
  <c r="A63" i="6" s="1"/>
  <c r="A64" i="6" a="1"/>
  <c r="A64" i="6" s="1"/>
  <c r="A65" i="6" a="1"/>
  <c r="A65" i="6" s="1"/>
  <c r="A66" i="6" a="1"/>
  <c r="A66" i="6" s="1"/>
  <c r="A67" i="6" a="1"/>
  <c r="A67" i="6" s="1"/>
  <c r="A68" i="6" a="1"/>
  <c r="A68" i="6" s="1"/>
  <c r="A69" i="6" a="1"/>
  <c r="A69" i="6" s="1"/>
  <c r="A70" i="6" a="1"/>
  <c r="A70" i="6" s="1"/>
  <c r="A71" i="6" a="1"/>
  <c r="A71" i="6" s="1"/>
  <c r="A72" i="6" a="1"/>
  <c r="A72" i="6" s="1"/>
  <c r="A73" i="6" a="1"/>
  <c r="A73" i="6" s="1"/>
  <c r="A74" i="6" a="1"/>
  <c r="A74" i="6" s="1"/>
  <c r="A75" i="6" a="1"/>
  <c r="A75" i="6" s="1"/>
  <c r="A76" i="6" a="1"/>
  <c r="A76" i="6" s="1"/>
  <c r="A77" i="6" a="1"/>
  <c r="A77" i="6" s="1"/>
  <c r="A78" i="6" a="1"/>
  <c r="A78" i="6" s="1"/>
  <c r="A79" i="6" a="1"/>
  <c r="A79" i="6" s="1"/>
  <c r="A80" i="6" a="1"/>
  <c r="A80" i="6" s="1"/>
  <c r="A81" i="6" a="1"/>
  <c r="A81" i="6" s="1"/>
  <c r="A82" i="6" a="1"/>
  <c r="A82" i="6" s="1"/>
  <c r="A83" i="6" a="1"/>
  <c r="A83" i="6" s="1"/>
  <c r="A84" i="6" a="1"/>
  <c r="A84" i="6" s="1"/>
  <c r="A85" i="6" a="1"/>
  <c r="A85" i="6" s="1"/>
  <c r="A86" i="6" a="1"/>
  <c r="A86" i="6" s="1"/>
  <c r="A87" i="6" a="1"/>
  <c r="A87" i="6" s="1"/>
  <c r="A88" i="6" a="1"/>
  <c r="A88" i="6" s="1"/>
  <c r="A89" i="6" a="1"/>
  <c r="A89" i="6" s="1"/>
  <c r="A90" i="6" a="1"/>
  <c r="A90" i="6" s="1"/>
  <c r="A91" i="6" a="1"/>
  <c r="A91" i="6" s="1"/>
  <c r="A92" i="6" a="1"/>
  <c r="A92" i="6" s="1"/>
  <c r="A93" i="6" a="1"/>
  <c r="A93" i="6" s="1"/>
  <c r="A94" i="6" a="1"/>
  <c r="A94" i="6" s="1"/>
  <c r="A95" i="6" a="1"/>
  <c r="A95" i="6" s="1"/>
  <c r="A96" i="6" a="1"/>
  <c r="A96" i="6" s="1"/>
  <c r="A97" i="6" a="1"/>
  <c r="A97" i="6" s="1"/>
  <c r="A98" i="6" a="1"/>
  <c r="A98" i="6" s="1"/>
  <c r="A99" i="6" a="1"/>
  <c r="A99" i="6" s="1"/>
  <c r="A100" i="6" a="1"/>
  <c r="A100" i="6" s="1"/>
  <c r="A101" i="6" a="1"/>
  <c r="A101" i="6" s="1"/>
  <c r="A102" i="6" a="1"/>
  <c r="A102" i="6" s="1"/>
  <c r="A103" i="6" a="1"/>
  <c r="A103" i="6" s="1"/>
  <c r="A104" i="6" a="1"/>
  <c r="A104" i="6" s="1"/>
  <c r="A105" i="6" a="1"/>
  <c r="A105" i="6" s="1"/>
  <c r="A106" i="6" a="1"/>
  <c r="A106" i="6" s="1"/>
  <c r="A107" i="6" a="1"/>
  <c r="A107" i="6" s="1"/>
  <c r="A108" i="6" a="1"/>
  <c r="A108" i="6" s="1"/>
  <c r="A109" i="6" a="1"/>
  <c r="A109" i="6" s="1"/>
  <c r="A110" i="6" a="1"/>
  <c r="A110" i="6" s="1"/>
  <c r="A111" i="6" a="1"/>
  <c r="A111" i="6" s="1"/>
  <c r="A112" i="6" a="1"/>
  <c r="A112" i="6" s="1"/>
  <c r="A113" i="6" a="1"/>
  <c r="A113" i="6" s="1"/>
  <c r="A114" i="6" a="1"/>
  <c r="A114" i="6" s="1"/>
  <c r="A115" i="6" a="1"/>
  <c r="A115" i="6" s="1"/>
  <c r="A116" i="6" a="1"/>
  <c r="A116" i="6" s="1"/>
  <c r="A117" i="6" a="1"/>
  <c r="A117" i="6" s="1"/>
  <c r="A118" i="6" a="1"/>
  <c r="A118" i="6" s="1"/>
  <c r="A119" i="6" a="1"/>
  <c r="A119" i="6" s="1"/>
  <c r="A120" i="6" a="1"/>
  <c r="A120" i="6" s="1"/>
  <c r="A121" i="6" a="1"/>
  <c r="A121" i="6" s="1"/>
  <c r="A122" i="6" a="1"/>
  <c r="A122" i="6" s="1"/>
  <c r="A123" i="6" a="1"/>
  <c r="A123" i="6" s="1"/>
  <c r="A124" i="6" a="1"/>
  <c r="A124" i="6" s="1"/>
  <c r="A125" i="6" a="1"/>
  <c r="A125" i="6" s="1"/>
  <c r="A126" i="6" a="1"/>
  <c r="A126" i="6" s="1"/>
  <c r="A127" i="6" a="1"/>
  <c r="A127" i="6" s="1"/>
  <c r="A128" i="6" a="1"/>
  <c r="A128" i="6" s="1"/>
  <c r="A129" i="6" a="1"/>
  <c r="A129" i="6" s="1"/>
  <c r="A130" i="6" a="1"/>
  <c r="A130" i="6" s="1"/>
  <c r="A131" i="6" a="1"/>
  <c r="A131" i="6" s="1"/>
  <c r="A132" i="6" a="1"/>
  <c r="A132" i="6" s="1"/>
  <c r="A133" i="6" a="1"/>
  <c r="A133" i="6" s="1"/>
  <c r="A134" i="6" a="1"/>
  <c r="A134" i="6" s="1"/>
  <c r="A135" i="6" a="1"/>
  <c r="A135" i="6" s="1"/>
  <c r="A136" i="6" a="1"/>
  <c r="A136" i="6" s="1"/>
  <c r="A137" i="6" a="1"/>
  <c r="A137" i="6" s="1"/>
  <c r="A138" i="6" a="1"/>
  <c r="A138" i="6" s="1"/>
  <c r="A139" i="6" a="1"/>
  <c r="A139" i="6" s="1"/>
  <c r="A140" i="6" a="1"/>
  <c r="A140" i="6" s="1"/>
  <c r="A141" i="6" a="1"/>
  <c r="A141" i="6" s="1"/>
  <c r="A142" i="6" a="1"/>
  <c r="A142" i="6" s="1"/>
  <c r="A143" i="6" a="1"/>
  <c r="A143" i="6" s="1"/>
  <c r="A144" i="6" a="1"/>
  <c r="A144" i="6" s="1"/>
  <c r="A145" i="6" a="1"/>
  <c r="A145" i="6" s="1"/>
  <c r="A146" i="6" a="1"/>
  <c r="A146" i="6" s="1"/>
  <c r="A147" i="6" a="1"/>
  <c r="A147" i="6" s="1"/>
  <c r="A148" i="6" a="1"/>
  <c r="A148" i="6" s="1"/>
  <c r="A149" i="6" a="1"/>
  <c r="A149" i="6" s="1"/>
  <c r="A150" i="6" a="1"/>
  <c r="A150" i="6" s="1"/>
  <c r="A151" i="6" a="1"/>
  <c r="A151" i="6" s="1"/>
  <c r="A152" i="6" a="1"/>
  <c r="A152" i="6" s="1"/>
  <c r="A153" i="6" a="1"/>
  <c r="A153" i="6" s="1"/>
  <c r="A154" i="6" a="1"/>
  <c r="A154" i="6" s="1"/>
  <c r="A155" i="6" a="1"/>
  <c r="A155" i="6" s="1"/>
  <c r="A156" i="6" a="1"/>
  <c r="A156" i="6" s="1"/>
  <c r="A157" i="6" a="1"/>
  <c r="A157" i="6" s="1"/>
  <c r="A158" i="6" a="1"/>
  <c r="A158" i="6" s="1"/>
  <c r="A159" i="6" a="1"/>
  <c r="A159" i="6" s="1"/>
  <c r="A160" i="6" a="1"/>
  <c r="A160" i="6" s="1"/>
  <c r="A161" i="6" a="1"/>
  <c r="A161" i="6" s="1"/>
  <c r="A162" i="6" a="1"/>
  <c r="A162" i="6" s="1"/>
  <c r="A163" i="6" a="1"/>
  <c r="A163" i="6" s="1"/>
  <c r="A164" i="6" a="1"/>
  <c r="A164" i="6" s="1"/>
  <c r="A165" i="6" a="1"/>
  <c r="A165" i="6" s="1"/>
  <c r="A166" i="6" a="1"/>
  <c r="A166" i="6" s="1"/>
  <c r="A167" i="6" a="1"/>
  <c r="A167" i="6" s="1"/>
  <c r="A168" i="6" a="1"/>
  <c r="A168" i="6" s="1"/>
  <c r="A169" i="6" a="1"/>
  <c r="A169" i="6" s="1"/>
  <c r="A170" i="6" a="1"/>
  <c r="A170" i="6" s="1"/>
  <c r="A171" i="6" a="1"/>
  <c r="A171" i="6" s="1"/>
  <c r="A172" i="6" a="1"/>
  <c r="A172" i="6" s="1"/>
  <c r="A173" i="6" a="1"/>
  <c r="A173" i="6" s="1"/>
  <c r="A174" i="6" a="1"/>
  <c r="A174" i="6" s="1"/>
  <c r="A175" i="6" a="1"/>
  <c r="A175" i="6" s="1"/>
  <c r="A176" i="6" a="1"/>
  <c r="A176" i="6" s="1"/>
  <c r="A177" i="6" a="1"/>
  <c r="A177" i="6" s="1"/>
  <c r="A178" i="6" a="1"/>
  <c r="A178" i="6" s="1"/>
  <c r="A179" i="6" a="1"/>
  <c r="A179" i="6" s="1"/>
  <c r="A180" i="6" a="1"/>
  <c r="A180" i="6" s="1"/>
  <c r="A181" i="6" a="1"/>
  <c r="A181" i="6" s="1"/>
  <c r="A182" i="6" a="1"/>
  <c r="A182" i="6" s="1"/>
  <c r="A183" i="6" a="1"/>
  <c r="A183" i="6" s="1"/>
  <c r="A184" i="6" a="1"/>
  <c r="A184" i="6" s="1"/>
  <c r="A185" i="6" a="1"/>
  <c r="A185" i="6" s="1"/>
  <c r="A186" i="6" a="1"/>
  <c r="A186" i="6" s="1"/>
  <c r="A187" i="6" a="1"/>
  <c r="A187" i="6" s="1"/>
  <c r="A188" i="6" a="1"/>
  <c r="A188" i="6" s="1"/>
  <c r="A189" i="6" a="1"/>
  <c r="A189" i="6" s="1"/>
  <c r="A190" i="6" a="1"/>
  <c r="A190" i="6" s="1"/>
  <c r="A191" i="6" a="1"/>
  <c r="A191" i="6" s="1"/>
  <c r="A192" i="6" a="1"/>
  <c r="A192" i="6" s="1"/>
  <c r="A193" i="6" a="1"/>
  <c r="A193" i="6" s="1"/>
  <c r="A194" i="6" a="1"/>
  <c r="A194" i="6" s="1"/>
  <c r="A195" i="6" a="1"/>
  <c r="A195" i="6" s="1"/>
  <c r="A196" i="6" a="1"/>
  <c r="A196" i="6" s="1"/>
  <c r="A197" i="6" a="1"/>
  <c r="A197" i="6" s="1"/>
  <c r="A198" i="6" a="1"/>
  <c r="A198" i="6" s="1"/>
  <c r="A199" i="6" a="1"/>
  <c r="A199" i="6" s="1"/>
  <c r="A200" i="6" a="1"/>
  <c r="A200" i="6" s="1"/>
  <c r="A201" i="6" a="1"/>
  <c r="A201" i="6" s="1"/>
  <c r="A202" i="6" a="1"/>
  <c r="A202" i="6" s="1"/>
  <c r="A203" i="6" a="1"/>
  <c r="A203" i="6" s="1"/>
  <c r="A204" i="6" a="1"/>
  <c r="A204" i="6" s="1"/>
  <c r="A205" i="6" a="1"/>
  <c r="A205" i="6" s="1"/>
  <c r="A206" i="6" a="1"/>
  <c r="A206" i="6" s="1"/>
  <c r="A207" i="6" a="1"/>
  <c r="A207" i="6" s="1"/>
  <c r="A208" i="6" a="1"/>
  <c r="A208" i="6" s="1"/>
  <c r="A209" i="6" a="1"/>
  <c r="A209" i="6" s="1"/>
  <c r="A210" i="6" a="1"/>
  <c r="A210" i="6" s="1"/>
  <c r="A211" i="6" a="1"/>
  <c r="A211" i="6" s="1"/>
  <c r="A212" i="6" a="1"/>
  <c r="A212" i="6" s="1"/>
  <c r="A213" i="6" a="1"/>
  <c r="A213" i="6" s="1"/>
  <c r="A214" i="6" a="1"/>
  <c r="A214" i="6" s="1"/>
  <c r="A215" i="6" a="1"/>
  <c r="A215" i="6" s="1"/>
  <c r="A216" i="6" a="1"/>
  <c r="A216" i="6" s="1"/>
  <c r="A217" i="6" a="1"/>
  <c r="A217" i="6" s="1"/>
  <c r="A218" i="6" a="1"/>
  <c r="A218" i="6" s="1"/>
  <c r="A219" i="6" a="1"/>
  <c r="A219" i="6" s="1"/>
  <c r="A220" i="6" a="1"/>
  <c r="A220" i="6" s="1"/>
  <c r="A221" i="6" a="1"/>
  <c r="A221" i="6" s="1"/>
  <c r="A222" i="6" a="1"/>
  <c r="A222" i="6" s="1"/>
  <c r="A223" i="6" a="1"/>
  <c r="A223" i="6" s="1"/>
  <c r="A224" i="6" a="1"/>
  <c r="A224" i="6" s="1"/>
  <c r="A225" i="6" a="1"/>
  <c r="A225" i="6" s="1"/>
  <c r="A226" i="6" a="1"/>
  <c r="A226" i="6" s="1"/>
  <c r="A227" i="6" a="1"/>
  <c r="A227" i="6" s="1"/>
  <c r="A228" i="6" a="1"/>
  <c r="A228" i="6" s="1"/>
  <c r="A229" i="6" a="1"/>
  <c r="A229" i="6" s="1"/>
  <c r="A230" i="6" a="1"/>
  <c r="A230" i="6" s="1"/>
  <c r="A231" i="6" a="1"/>
  <c r="A231" i="6" s="1"/>
  <c r="A232" i="6" a="1"/>
  <c r="A232" i="6" s="1"/>
  <c r="A233" i="6" a="1"/>
  <c r="A233" i="6" s="1"/>
  <c r="A234" i="6" a="1"/>
  <c r="A234" i="6" s="1"/>
  <c r="A235" i="6" a="1"/>
  <c r="A235" i="6" s="1"/>
  <c r="A236" i="6" a="1"/>
  <c r="A236" i="6" s="1"/>
  <c r="A237" i="6" a="1"/>
  <c r="A237" i="6" s="1"/>
  <c r="A238" i="6" a="1"/>
  <c r="A238" i="6" s="1"/>
  <c r="A239" i="6" a="1"/>
  <c r="A239" i="6" s="1"/>
  <c r="A240" i="6" a="1"/>
  <c r="A240" i="6" s="1"/>
  <c r="A241" i="6" a="1"/>
  <c r="A241" i="6" s="1"/>
  <c r="A242" i="6" a="1"/>
  <c r="A242" i="6" s="1"/>
  <c r="A243" i="6" a="1"/>
  <c r="A243" i="6" s="1"/>
  <c r="A244" i="6" a="1"/>
  <c r="A244" i="6" s="1"/>
  <c r="A245" i="6" a="1"/>
  <c r="A245" i="6" s="1"/>
  <c r="A246" i="6" a="1"/>
  <c r="A246" i="6" s="1"/>
  <c r="A247" i="6" a="1"/>
  <c r="A247" i="6" s="1"/>
  <c r="A248" i="6" a="1"/>
  <c r="A248" i="6" s="1"/>
  <c r="A249" i="6" a="1"/>
  <c r="A249" i="6" s="1"/>
  <c r="A250" i="6" a="1"/>
  <c r="A250" i="6" s="1"/>
  <c r="A251" i="6" a="1"/>
  <c r="A251" i="6" s="1"/>
  <c r="A252" i="6" a="1"/>
  <c r="A252" i="6" s="1"/>
  <c r="A253" i="6" a="1"/>
  <c r="A253" i="6" s="1"/>
  <c r="A254" i="6" a="1"/>
  <c r="A254" i="6" s="1"/>
  <c r="A255" i="6" a="1"/>
  <c r="A255" i="6" s="1"/>
  <c r="A256" i="6" a="1"/>
  <c r="A256" i="6" s="1"/>
  <c r="A257" i="6" a="1"/>
  <c r="A257" i="6" s="1"/>
  <c r="A258" i="6" a="1"/>
  <c r="A258" i="6" s="1"/>
  <c r="A259" i="6" a="1"/>
  <c r="A259" i="6" s="1"/>
  <c r="A260" i="6" a="1"/>
  <c r="A260" i="6" s="1"/>
  <c r="A261" i="6" a="1"/>
  <c r="A261" i="6" s="1"/>
  <c r="A262" i="6" a="1"/>
  <c r="A262" i="6" s="1"/>
  <c r="A263" i="6" a="1"/>
  <c r="A263" i="6" s="1"/>
  <c r="A264" i="6" a="1"/>
  <c r="A264" i="6" s="1"/>
  <c r="A265" i="6" a="1"/>
  <c r="A265" i="6" s="1"/>
  <c r="A266" i="6" a="1"/>
  <c r="A266" i="6" s="1"/>
  <c r="A267" i="6" a="1"/>
  <c r="A267" i="6" s="1"/>
  <c r="A268" i="6" a="1"/>
  <c r="A268" i="6" s="1"/>
  <c r="A269" i="6" a="1"/>
  <c r="A269" i="6" s="1"/>
  <c r="A270" i="6" a="1"/>
  <c r="A270" i="6" s="1"/>
  <c r="A271" i="6" a="1"/>
  <c r="A271" i="6" s="1"/>
  <c r="A272" i="6" a="1"/>
  <c r="A272" i="6" s="1"/>
  <c r="A273" i="6" a="1"/>
  <c r="A273" i="6" s="1"/>
  <c r="A274" i="6" a="1"/>
  <c r="A274" i="6" s="1"/>
  <c r="A275" i="6" a="1"/>
  <c r="A275" i="6" s="1"/>
  <c r="A276" i="6" a="1"/>
  <c r="A276" i="6" s="1"/>
  <c r="A277" i="6" a="1"/>
  <c r="A277" i="6" s="1"/>
  <c r="A278" i="6" a="1"/>
  <c r="A278" i="6" s="1"/>
  <c r="A279" i="6" a="1"/>
  <c r="A279" i="6" s="1"/>
  <c r="A280" i="6" a="1"/>
  <c r="A280" i="6" s="1"/>
  <c r="A281" i="6" a="1"/>
  <c r="A281" i="6" s="1"/>
  <c r="A282" i="6" a="1"/>
  <c r="A282" i="6" s="1"/>
  <c r="A283" i="6" a="1"/>
  <c r="A283" i="6" s="1"/>
  <c r="A284" i="6" a="1"/>
  <c r="A284" i="6" s="1"/>
  <c r="A285" i="6" a="1"/>
  <c r="A285" i="6" s="1"/>
  <c r="A286" i="6" a="1"/>
  <c r="A286" i="6" s="1"/>
  <c r="A287" i="6" a="1"/>
  <c r="A287" i="6" s="1"/>
  <c r="A288" i="6" a="1"/>
  <c r="A288" i="6" s="1"/>
  <c r="A289" i="6" a="1"/>
  <c r="A289" i="6" s="1"/>
  <c r="A290" i="6" a="1"/>
  <c r="A290" i="6" s="1"/>
  <c r="A291" i="6" a="1"/>
  <c r="A291" i="6" s="1"/>
  <c r="A292" i="6" a="1"/>
  <c r="A292" i="6" s="1"/>
  <c r="A293" i="6" a="1"/>
  <c r="A293" i="6" s="1"/>
  <c r="A294" i="6" a="1"/>
  <c r="A294" i="6" s="1"/>
  <c r="A295" i="6" a="1"/>
  <c r="A295" i="6" s="1"/>
  <c r="A296" i="6" a="1"/>
  <c r="A296" i="6" s="1"/>
  <c r="A297" i="6" a="1"/>
  <c r="A297" i="6" s="1"/>
  <c r="A298" i="6" a="1"/>
  <c r="A298" i="6" s="1"/>
  <c r="A299" i="6" a="1"/>
  <c r="A299" i="6" s="1"/>
  <c r="A300" i="6" a="1"/>
  <c r="A300" i="6" s="1"/>
  <c r="A301" i="6" a="1"/>
  <c r="A301" i="6" s="1"/>
  <c r="A302" i="6" a="1"/>
  <c r="A302" i="6" s="1"/>
  <c r="A303" i="6" a="1"/>
  <c r="A303" i="6" s="1"/>
  <c r="A304" i="6" a="1"/>
  <c r="A304" i="6" s="1"/>
  <c r="A305" i="6" a="1"/>
  <c r="A305" i="6" s="1"/>
  <c r="A306" i="6" a="1"/>
  <c r="A306" i="6" s="1"/>
  <c r="A307" i="6" a="1"/>
  <c r="A307" i="6" s="1"/>
  <c r="A308" i="6" a="1"/>
  <c r="A308" i="6" s="1"/>
  <c r="A309" i="6" a="1"/>
  <c r="A309" i="6" s="1"/>
  <c r="A310" i="6" a="1"/>
  <c r="A310" i="6" s="1"/>
  <c r="A311" i="6" a="1"/>
  <c r="A311" i="6" s="1"/>
  <c r="A312" i="6" a="1"/>
  <c r="A312" i="6" s="1"/>
  <c r="A313" i="6" a="1"/>
  <c r="A313" i="6" s="1"/>
  <c r="A314" i="6" a="1"/>
  <c r="A314" i="6" s="1"/>
  <c r="A315" i="6" a="1"/>
  <c r="A315" i="6" s="1"/>
  <c r="A316" i="6" a="1"/>
  <c r="A316" i="6" s="1"/>
  <c r="A317" i="6" a="1"/>
  <c r="A317" i="6" s="1"/>
  <c r="A318" i="6" a="1"/>
  <c r="A318" i="6" s="1"/>
  <c r="A319" i="6" a="1"/>
  <c r="A319" i="6" s="1"/>
  <c r="A320" i="6" a="1"/>
  <c r="A320" i="6" s="1"/>
  <c r="A321" i="6" a="1"/>
  <c r="A321" i="6" s="1"/>
  <c r="A322" i="6" a="1"/>
  <c r="A322" i="6" s="1"/>
  <c r="A323" i="6" a="1"/>
  <c r="A323" i="6" s="1"/>
  <c r="A324" i="6" a="1"/>
  <c r="A324" i="6" s="1"/>
  <c r="A325" i="6" a="1"/>
  <c r="A325" i="6" s="1"/>
  <c r="A326" i="6" a="1"/>
  <c r="A326" i="6" s="1"/>
  <c r="A327" i="6" a="1"/>
  <c r="A327" i="6" s="1"/>
  <c r="A328" i="6" a="1"/>
  <c r="A328" i="6" s="1"/>
  <c r="A329" i="6" a="1"/>
  <c r="A329" i="6" s="1"/>
  <c r="A330" i="6" a="1"/>
  <c r="A330" i="6" s="1"/>
  <c r="A331" i="6" a="1"/>
  <c r="A331" i="6" s="1"/>
  <c r="A332" i="6" a="1"/>
  <c r="A332" i="6" s="1"/>
  <c r="A333" i="6" a="1"/>
  <c r="A333" i="6" s="1"/>
  <c r="A334" i="6" a="1"/>
  <c r="A334" i="6" s="1"/>
  <c r="A335" i="6" a="1"/>
  <c r="A335" i="6" s="1"/>
  <c r="A336" i="6" a="1"/>
  <c r="A336" i="6" s="1"/>
  <c r="A337" i="6" a="1"/>
  <c r="A337" i="6" s="1"/>
  <c r="A338" i="6" a="1"/>
  <c r="A338" i="6" s="1"/>
  <c r="A339" i="6" a="1"/>
  <c r="A339" i="6" s="1"/>
  <c r="A340" i="6" a="1"/>
  <c r="A340" i="6" s="1"/>
  <c r="A341" i="6" a="1"/>
  <c r="A341" i="6" s="1"/>
  <c r="A342" i="6" a="1"/>
  <c r="A342" i="6" s="1"/>
  <c r="A343" i="6" a="1"/>
  <c r="A343" i="6" s="1"/>
  <c r="A344" i="6" a="1"/>
  <c r="A344" i="6" s="1"/>
  <c r="A345" i="6" a="1"/>
  <c r="A345" i="6" s="1"/>
  <c r="A346" i="6" a="1"/>
  <c r="A346" i="6" s="1"/>
  <c r="A347" i="6" a="1"/>
  <c r="A347" i="6" s="1"/>
  <c r="A348" i="6" a="1"/>
  <c r="A348" i="6" s="1"/>
  <c r="A349" i="6" a="1"/>
  <c r="A349" i="6" s="1"/>
  <c r="A350" i="6" a="1"/>
  <c r="A350" i="6" s="1"/>
  <c r="A351" i="6" a="1"/>
  <c r="A351" i="6" s="1"/>
  <c r="A352" i="6" a="1"/>
  <c r="A352" i="6" s="1"/>
  <c r="A353" i="6" a="1"/>
  <c r="A353" i="6" s="1"/>
  <c r="A354" i="6" a="1"/>
  <c r="A354" i="6" s="1"/>
  <c r="A355" i="6" a="1"/>
  <c r="A355" i="6" s="1"/>
  <c r="A356" i="6" a="1"/>
  <c r="A356" i="6" s="1"/>
  <c r="A357" i="6" a="1"/>
  <c r="A357" i="6" s="1"/>
  <c r="A358" i="6" a="1"/>
  <c r="A358" i="6" s="1"/>
  <c r="A359" i="6" a="1"/>
  <c r="A359" i="6" s="1"/>
  <c r="A360" i="6" a="1"/>
  <c r="A360" i="6" s="1"/>
  <c r="A361" i="6" a="1"/>
  <c r="A361" i="6" s="1"/>
  <c r="A362" i="6" a="1"/>
  <c r="A362" i="6" s="1"/>
  <c r="A363" i="6" a="1"/>
  <c r="A363" i="6" s="1"/>
  <c r="A364" i="6" a="1"/>
  <c r="A364" i="6" s="1"/>
  <c r="A365" i="6" a="1"/>
  <c r="A365" i="6" s="1"/>
  <c r="A366" i="6" a="1"/>
  <c r="A366" i="6" s="1"/>
  <c r="A367" i="6" a="1"/>
  <c r="A367" i="6" s="1"/>
  <c r="A368" i="6" a="1"/>
  <c r="A368" i="6" s="1"/>
  <c r="A369" i="6" a="1"/>
  <c r="A369" i="6" s="1"/>
  <c r="A370" i="6" a="1"/>
  <c r="A370" i="6" s="1"/>
  <c r="A371" i="6" a="1"/>
  <c r="A371" i="6" s="1"/>
  <c r="A372" i="6" a="1"/>
  <c r="A372" i="6" s="1"/>
  <c r="A373" i="6" a="1"/>
  <c r="A373" i="6" s="1"/>
  <c r="A374" i="6" a="1"/>
  <c r="A374" i="6" s="1"/>
  <c r="A375" i="6" a="1"/>
  <c r="A375" i="6" s="1"/>
  <c r="A376" i="6" a="1"/>
  <c r="A376" i="6" s="1"/>
  <c r="A377" i="6" a="1"/>
  <c r="A377" i="6" s="1"/>
  <c r="A378" i="6" a="1"/>
  <c r="A378" i="6" s="1"/>
  <c r="A379" i="6" a="1"/>
  <c r="A379" i="6" s="1"/>
  <c r="A380" i="6" a="1"/>
  <c r="A380" i="6" s="1"/>
  <c r="A381" i="6" a="1"/>
  <c r="A381" i="6" s="1"/>
  <c r="A382" i="6" a="1"/>
  <c r="A382" i="6" s="1"/>
  <c r="A383" i="6" a="1"/>
  <c r="A383" i="6" s="1"/>
  <c r="A384" i="6" a="1"/>
  <c r="A384" i="6" s="1"/>
  <c r="A385" i="6" a="1"/>
  <c r="A385" i="6" s="1"/>
  <c r="A386" i="6" a="1"/>
  <c r="A386" i="6" s="1"/>
  <c r="A387" i="6" a="1"/>
  <c r="A387" i="6" s="1"/>
  <c r="A388" i="6" a="1"/>
  <c r="A388" i="6" s="1"/>
  <c r="A389" i="6" a="1"/>
  <c r="A389" i="6" s="1"/>
  <c r="A390" i="6" a="1"/>
  <c r="A390" i="6" s="1"/>
  <c r="A391" i="6" a="1"/>
  <c r="A391" i="6" s="1"/>
  <c r="A392" i="6" a="1"/>
  <c r="A392" i="6" s="1"/>
  <c r="A393" i="6" a="1"/>
  <c r="A393" i="6" s="1"/>
  <c r="A394" i="6" a="1"/>
  <c r="A394" i="6" s="1"/>
  <c r="A395" i="6" a="1"/>
  <c r="A395" i="6" s="1"/>
  <c r="A396" i="6" a="1"/>
  <c r="A396" i="6" s="1"/>
  <c r="A397" i="6" a="1"/>
  <c r="A397" i="6" s="1"/>
  <c r="A398" i="6" a="1"/>
  <c r="A398" i="6" s="1"/>
  <c r="A399" i="6" a="1"/>
  <c r="A399" i="6" s="1"/>
  <c r="A400" i="6" a="1"/>
  <c r="A400" i="6" s="1"/>
  <c r="A401" i="6" a="1"/>
  <c r="A401" i="6" s="1"/>
  <c r="A402" i="6" a="1"/>
  <c r="A402" i="6" s="1"/>
  <c r="A403" i="6" a="1"/>
  <c r="A403" i="6" s="1"/>
  <c r="A404" i="6" a="1"/>
  <c r="A404" i="6" s="1"/>
  <c r="A405" i="6" a="1"/>
  <c r="A405" i="6" s="1"/>
  <c r="A406" i="6" a="1"/>
  <c r="A406" i="6" s="1"/>
  <c r="A407" i="6" a="1"/>
  <c r="A407" i="6" s="1"/>
  <c r="A408" i="6" a="1"/>
  <c r="A408" i="6" s="1"/>
  <c r="A409" i="6" a="1"/>
  <c r="A409" i="6" s="1"/>
  <c r="A410" i="6" a="1"/>
  <c r="A410" i="6" s="1"/>
  <c r="A411" i="6" a="1"/>
  <c r="A411" i="6" s="1"/>
  <c r="A412" i="6" a="1"/>
  <c r="A412" i="6" s="1"/>
  <c r="A413" i="6" a="1"/>
  <c r="A413" i="6" s="1"/>
  <c r="A414" i="6" a="1"/>
  <c r="A414" i="6" s="1"/>
  <c r="A415" i="6" a="1"/>
  <c r="A415" i="6" s="1"/>
  <c r="A416" i="6" a="1"/>
  <c r="A416" i="6" s="1"/>
  <c r="A417" i="6" a="1"/>
  <c r="A417" i="6" s="1"/>
  <c r="A418" i="6" a="1"/>
  <c r="A418" i="6" s="1"/>
  <c r="A419" i="6" a="1"/>
  <c r="A419" i="6" s="1"/>
  <c r="A420" i="6" a="1"/>
  <c r="A420" i="6" s="1"/>
  <c r="A421" i="6" a="1"/>
  <c r="A421" i="6" s="1"/>
  <c r="A422" i="6" a="1"/>
  <c r="A422" i="6" s="1"/>
  <c r="A423" i="6" a="1"/>
  <c r="A423" i="6" s="1"/>
  <c r="A424" i="6" a="1"/>
  <c r="A424" i="6" s="1"/>
  <c r="A425" i="6" a="1"/>
  <c r="A425" i="6" s="1"/>
  <c r="A426" i="6" a="1"/>
  <c r="A426" i="6" s="1"/>
  <c r="A427" i="6" a="1"/>
  <c r="A427" i="6" s="1"/>
  <c r="A428" i="6" a="1"/>
  <c r="A428" i="6" s="1"/>
  <c r="A429" i="6" a="1"/>
  <c r="A429" i="6" s="1"/>
  <c r="A430" i="6" a="1"/>
  <c r="A430" i="6" s="1"/>
  <c r="A431" i="6" a="1"/>
  <c r="A431" i="6" s="1"/>
  <c r="A432" i="6" a="1"/>
  <c r="A432" i="6" s="1"/>
  <c r="A433" i="6" a="1"/>
  <c r="A433" i="6" s="1"/>
  <c r="A434" i="6" a="1"/>
  <c r="A434" i="6" s="1"/>
  <c r="A435" i="6" a="1"/>
  <c r="A435" i="6" s="1"/>
  <c r="A436" i="6" a="1"/>
  <c r="A436" i="6" s="1"/>
  <c r="A437" i="6" a="1"/>
  <c r="A437" i="6" s="1"/>
  <c r="A438" i="6" a="1"/>
  <c r="A438" i="6" s="1"/>
  <c r="A439" i="6" a="1"/>
  <c r="A439" i="6" s="1"/>
  <c r="A440" i="6" a="1"/>
  <c r="A440" i="6" s="1"/>
  <c r="A441" i="6" a="1"/>
  <c r="A441" i="6" s="1"/>
  <c r="A442" i="6" a="1"/>
  <c r="A442" i="6" s="1"/>
  <c r="A443" i="6" a="1"/>
  <c r="A443" i="6" s="1"/>
  <c r="A444" i="6" a="1"/>
  <c r="A444" i="6" s="1"/>
  <c r="A445" i="6" a="1"/>
  <c r="A445" i="6" s="1"/>
  <c r="A446" i="6" a="1"/>
  <c r="A446" i="6" s="1"/>
  <c r="A447" i="6" a="1"/>
  <c r="A447" i="6" s="1"/>
  <c r="A448" i="6" a="1"/>
  <c r="A448" i="6" s="1"/>
  <c r="A449" i="6" a="1"/>
  <c r="A449" i="6" s="1"/>
  <c r="A450" i="6" a="1"/>
  <c r="A450" i="6" s="1"/>
  <c r="A451" i="6" a="1"/>
  <c r="A451" i="6" s="1"/>
  <c r="A452" i="6" a="1"/>
  <c r="A452" i="6" s="1"/>
  <c r="A453" i="6" a="1"/>
  <c r="A453" i="6" s="1"/>
  <c r="A454" i="6" a="1"/>
  <c r="A454" i="6" s="1"/>
  <c r="A455" i="6" a="1"/>
  <c r="A455" i="6" s="1"/>
  <c r="A456" i="6" a="1"/>
  <c r="A456" i="6" s="1"/>
  <c r="A457" i="6" a="1"/>
  <c r="A457" i="6" s="1"/>
  <c r="A458" i="6" a="1"/>
  <c r="A458" i="6" s="1"/>
  <c r="A459" i="6" a="1"/>
  <c r="A459" i="6" s="1"/>
  <c r="A460" i="6" a="1"/>
  <c r="A460" i="6" s="1"/>
  <c r="A461" i="6" a="1"/>
  <c r="A461" i="6" s="1"/>
  <c r="A462" i="6" a="1"/>
  <c r="A462" i="6" s="1"/>
  <c r="A463" i="6" a="1"/>
  <c r="A463" i="6" s="1"/>
  <c r="A464" i="6" a="1"/>
  <c r="A464" i="6" s="1"/>
  <c r="A465" i="6" a="1"/>
  <c r="A465" i="6" s="1"/>
  <c r="A466" i="6" a="1"/>
  <c r="A466" i="6" s="1"/>
  <c r="A467" i="6" a="1"/>
  <c r="A467" i="6" s="1"/>
  <c r="A468" i="6" a="1"/>
  <c r="A468" i="6" s="1"/>
  <c r="A469" i="6" a="1"/>
  <c r="A469" i="6" s="1"/>
  <c r="A470" i="6" a="1"/>
  <c r="A470" i="6" s="1"/>
  <c r="A471" i="6" a="1"/>
  <c r="A471" i="6" s="1"/>
  <c r="A472" i="6" a="1"/>
  <c r="A472" i="6" s="1"/>
  <c r="A473" i="6" a="1"/>
  <c r="A473" i="6" s="1"/>
  <c r="A474" i="6" a="1"/>
  <c r="A474" i="6" s="1"/>
  <c r="A475" i="6" a="1"/>
  <c r="A475" i="6" s="1"/>
  <c r="A476" i="6" a="1"/>
  <c r="A476" i="6" s="1"/>
  <c r="A477" i="6" a="1"/>
  <c r="A477" i="6" s="1"/>
  <c r="A478" i="6" a="1"/>
  <c r="A478" i="6" s="1"/>
  <c r="A479" i="6" a="1"/>
  <c r="A479" i="6" s="1"/>
  <c r="A480" i="6" a="1"/>
  <c r="A480" i="6" s="1"/>
  <c r="A481" i="6" a="1"/>
  <c r="A481" i="6" s="1"/>
  <c r="A482" i="6" a="1"/>
  <c r="A482" i="6" s="1"/>
  <c r="A483" i="6" a="1"/>
  <c r="A483" i="6" s="1"/>
  <c r="A484" i="6" a="1"/>
  <c r="A484" i="6" s="1"/>
  <c r="A485" i="6" a="1"/>
  <c r="A485" i="6" s="1"/>
  <c r="A486" i="6" a="1"/>
  <c r="A486" i="6" s="1"/>
  <c r="A487" i="6" a="1"/>
  <c r="A487" i="6" s="1"/>
  <c r="A488" i="6" a="1"/>
  <c r="A488" i="6" s="1"/>
  <c r="A489" i="6" a="1"/>
  <c r="A489" i="6" s="1"/>
  <c r="A490" i="6" a="1"/>
  <c r="A490" i="6" s="1"/>
  <c r="A491" i="6" a="1"/>
  <c r="A491" i="6" s="1"/>
  <c r="A492" i="6" a="1"/>
  <c r="A492" i="6" s="1"/>
  <c r="A493" i="6" a="1"/>
  <c r="A493" i="6" s="1"/>
  <c r="A494" i="6" a="1"/>
  <c r="A494" i="6" s="1"/>
  <c r="A495" i="6" a="1"/>
  <c r="A495" i="6" s="1"/>
  <c r="A496" i="6" a="1"/>
  <c r="A496" i="6" s="1"/>
  <c r="A497" i="6" a="1"/>
  <c r="A497" i="6" s="1"/>
  <c r="A498" i="6" a="1"/>
  <c r="A498" i="6" s="1"/>
  <c r="A499" i="6" a="1"/>
  <c r="A499" i="6" s="1"/>
  <c r="A500" i="6" a="1"/>
  <c r="A500" i="6" s="1"/>
  <c r="A501" i="6" a="1"/>
  <c r="A501" i="6" s="1"/>
  <c r="A502" i="6" a="1"/>
  <c r="A502" i="6" s="1"/>
  <c r="A503" i="6" a="1"/>
  <c r="A503" i="6" s="1"/>
  <c r="A504" i="6" a="1"/>
  <c r="A504" i="6" s="1"/>
  <c r="A505" i="6" a="1"/>
  <c r="A505" i="6" s="1"/>
  <c r="A506" i="6" a="1"/>
  <c r="A506" i="6" s="1"/>
  <c r="A507" i="6" a="1"/>
  <c r="A507" i="6" s="1"/>
  <c r="A508" i="6" a="1"/>
  <c r="A508" i="6" s="1"/>
  <c r="A509" i="6" a="1"/>
  <c r="A509" i="6" s="1"/>
  <c r="A510" i="6" a="1"/>
  <c r="A510" i="6" s="1"/>
  <c r="A511" i="6" a="1"/>
  <c r="A511" i="6" s="1"/>
  <c r="A512" i="6" a="1"/>
  <c r="A512" i="6" s="1"/>
  <c r="A513" i="6" a="1"/>
  <c r="A513" i="6" s="1"/>
  <c r="A514" i="6" a="1"/>
  <c r="A514" i="6" s="1"/>
  <c r="A515" i="6" a="1"/>
  <c r="A515" i="6" s="1"/>
  <c r="A516" i="6" a="1"/>
  <c r="A516" i="6" s="1"/>
  <c r="A517" i="6" a="1"/>
  <c r="A517" i="6" s="1"/>
  <c r="A518" i="6" a="1"/>
  <c r="A518" i="6" s="1"/>
  <c r="A519" i="6" a="1"/>
  <c r="A519" i="6" s="1"/>
  <c r="A520" i="6" a="1"/>
  <c r="A520" i="6" s="1"/>
  <c r="A521" i="6" a="1"/>
  <c r="A521" i="6" s="1"/>
  <c r="A522" i="6" a="1"/>
  <c r="A522" i="6" s="1"/>
  <c r="A523" i="6" a="1"/>
  <c r="A523" i="6" s="1"/>
  <c r="A524" i="6" a="1"/>
  <c r="A524" i="6" s="1"/>
  <c r="A525" i="6" a="1"/>
  <c r="A525" i="6" s="1"/>
  <c r="A526" i="6" a="1"/>
  <c r="A526" i="6" s="1"/>
  <c r="A527" i="6" a="1"/>
  <c r="A527" i="6" s="1"/>
  <c r="A528" i="6" a="1"/>
  <c r="A528" i="6" s="1"/>
  <c r="A529" i="6" a="1"/>
  <c r="A529" i="6" s="1"/>
  <c r="A530" i="6" a="1"/>
  <c r="A530" i="6" s="1"/>
  <c r="A531" i="6" a="1"/>
  <c r="A531" i="6" s="1"/>
  <c r="A532" i="6" a="1"/>
  <c r="A532" i="6" s="1"/>
  <c r="A533" i="6" a="1"/>
  <c r="A533" i="6" s="1"/>
  <c r="A534" i="6" a="1"/>
  <c r="A534" i="6" s="1"/>
  <c r="A535" i="6" a="1"/>
  <c r="A535" i="6" s="1"/>
  <c r="A536" i="6" a="1"/>
  <c r="A536" i="6" s="1"/>
  <c r="A537" i="6" a="1"/>
  <c r="A537" i="6" s="1"/>
  <c r="A538" i="6" a="1"/>
  <c r="A538" i="6" s="1"/>
  <c r="A539" i="6" a="1"/>
  <c r="A539" i="6" s="1"/>
  <c r="A540" i="6" a="1"/>
  <c r="A540" i="6" s="1"/>
  <c r="A541" i="6" a="1"/>
  <c r="A541" i="6" s="1"/>
  <c r="A542" i="6" a="1"/>
  <c r="A542" i="6" s="1"/>
  <c r="A543" i="6" a="1"/>
  <c r="A543" i="6" s="1"/>
  <c r="A544" i="6" a="1"/>
  <c r="A544" i="6" s="1"/>
  <c r="A545" i="6" a="1"/>
  <c r="A545" i="6" s="1"/>
  <c r="A546" i="6" a="1"/>
  <c r="A546" i="6" s="1"/>
  <c r="A547" i="6" a="1"/>
  <c r="A547" i="6" s="1"/>
  <c r="A548" i="6" a="1"/>
  <c r="A548" i="6" s="1"/>
  <c r="A549" i="6" a="1"/>
  <c r="A549" i="6" s="1"/>
  <c r="A550" i="6" a="1"/>
  <c r="A550" i="6" s="1"/>
  <c r="A551" i="6" a="1"/>
  <c r="A551" i="6" s="1"/>
  <c r="A552" i="6" a="1"/>
  <c r="A552" i="6" s="1"/>
  <c r="A553" i="6" a="1"/>
  <c r="A553" i="6" s="1"/>
  <c r="A554" i="6" a="1"/>
  <c r="A554" i="6" s="1"/>
  <c r="A555" i="6" a="1"/>
  <c r="A555" i="6" s="1"/>
  <c r="A556" i="6" a="1"/>
  <c r="A556" i="6" s="1"/>
  <c r="A557" i="6" a="1"/>
  <c r="A557" i="6" s="1"/>
  <c r="A558" i="6" a="1"/>
  <c r="A558" i="6" s="1"/>
  <c r="A559" i="6" a="1"/>
  <c r="A559" i="6" s="1"/>
  <c r="A560" i="6" a="1"/>
  <c r="A560" i="6" s="1"/>
  <c r="A561" i="6" a="1"/>
  <c r="A561" i="6" s="1"/>
  <c r="A562" i="6" a="1"/>
  <c r="A562" i="6" s="1"/>
  <c r="A563" i="6" a="1"/>
  <c r="A563" i="6" s="1"/>
  <c r="A564" i="6" a="1"/>
  <c r="A564" i="6" s="1"/>
  <c r="A565" i="6" a="1"/>
  <c r="A565" i="6" s="1"/>
  <c r="A566" i="6" a="1"/>
  <c r="A566" i="6" s="1"/>
  <c r="A567" i="6" a="1"/>
  <c r="A567" i="6" s="1"/>
  <c r="A568" i="6" a="1"/>
  <c r="A568" i="6" s="1"/>
  <c r="A569" i="6" a="1"/>
  <c r="A569" i="6" s="1"/>
  <c r="A570" i="6" a="1"/>
  <c r="A570" i="6" s="1"/>
  <c r="A571" i="6" a="1"/>
  <c r="A571" i="6" s="1"/>
  <c r="A572" i="6" a="1"/>
  <c r="A572" i="6" s="1"/>
  <c r="A573" i="6" a="1"/>
  <c r="A573" i="6" s="1"/>
  <c r="A574" i="6" a="1"/>
  <c r="A574" i="6" s="1"/>
  <c r="A575" i="6" a="1"/>
  <c r="A575" i="6" s="1"/>
  <c r="A576" i="6" a="1"/>
  <c r="A576" i="6" s="1"/>
  <c r="A577" i="6" a="1"/>
  <c r="A577" i="6" s="1"/>
  <c r="A578" i="6" a="1"/>
  <c r="A578" i="6" s="1"/>
  <c r="A579" i="6" a="1"/>
  <c r="A579" i="6" s="1"/>
  <c r="A580" i="6" a="1"/>
  <c r="A580" i="6" s="1"/>
  <c r="A581" i="6" a="1"/>
  <c r="A581" i="6" s="1"/>
  <c r="A582" i="6" a="1"/>
  <c r="A582" i="6" s="1"/>
  <c r="A583" i="6" a="1"/>
  <c r="A583" i="6" s="1"/>
  <c r="A584" i="6" a="1"/>
  <c r="A584" i="6" s="1"/>
  <c r="A585" i="6" a="1"/>
  <c r="A585" i="6" s="1"/>
  <c r="A586" i="6" a="1"/>
  <c r="A586" i="6" s="1"/>
  <c r="A587" i="6" a="1"/>
  <c r="A587" i="6" s="1"/>
  <c r="A588" i="6" a="1"/>
  <c r="A588" i="6" s="1"/>
  <c r="A589" i="6" a="1"/>
  <c r="A589" i="6" s="1"/>
  <c r="A590" i="6" a="1"/>
  <c r="A590" i="6" s="1"/>
  <c r="A591" i="6" a="1"/>
  <c r="A591" i="6" s="1"/>
  <c r="A592" i="6" a="1"/>
  <c r="A592" i="6" s="1"/>
  <c r="A593" i="6" a="1"/>
  <c r="A593" i="6" s="1"/>
  <c r="A594" i="6" a="1"/>
  <c r="A594" i="6" s="1"/>
  <c r="A595" i="6" a="1"/>
  <c r="A595" i="6" s="1"/>
  <c r="A596" i="6" a="1"/>
  <c r="A596" i="6" s="1"/>
  <c r="A597" i="6" a="1"/>
  <c r="A597" i="6" s="1"/>
  <c r="A598" i="6" a="1"/>
  <c r="A598" i="6" s="1"/>
  <c r="A599" i="6" a="1"/>
  <c r="A599" i="6" s="1"/>
  <c r="A600" i="6" a="1"/>
  <c r="A600" i="6" s="1"/>
  <c r="A601" i="6" a="1"/>
  <c r="A601" i="6" s="1"/>
  <c r="A602" i="6" a="1"/>
  <c r="A602" i="6" s="1"/>
  <c r="A603" i="6" a="1"/>
  <c r="A603" i="6" s="1"/>
  <c r="A604" i="6" a="1"/>
  <c r="A604" i="6" s="1"/>
  <c r="A605" i="6" a="1"/>
  <c r="A605" i="6" s="1"/>
  <c r="A606" i="6" a="1"/>
  <c r="A606" i="6" s="1"/>
  <c r="A607" i="6" a="1"/>
  <c r="A607" i="6" s="1"/>
  <c r="A608" i="6" a="1"/>
  <c r="A608" i="6" s="1"/>
  <c r="A609" i="6" a="1"/>
  <c r="A609" i="6" s="1"/>
  <c r="A610" i="6" a="1"/>
  <c r="A610" i="6" s="1"/>
  <c r="A611" i="6" a="1"/>
  <c r="A611" i="6" s="1"/>
  <c r="A612" i="6" a="1"/>
  <c r="A612" i="6" s="1"/>
  <c r="A613" i="6" a="1"/>
  <c r="A613" i="6" s="1"/>
  <c r="A614" i="6" a="1"/>
  <c r="A614" i="6" s="1"/>
  <c r="A615" i="6" a="1"/>
  <c r="A615" i="6" s="1"/>
  <c r="A616" i="6" a="1"/>
  <c r="A616" i="6" s="1"/>
  <c r="A617" i="6" a="1"/>
  <c r="A617" i="6" s="1"/>
  <c r="A618" i="6" a="1"/>
  <c r="A618" i="6" s="1"/>
  <c r="A619" i="6" a="1"/>
  <c r="A619" i="6" s="1"/>
  <c r="A620" i="6" a="1"/>
  <c r="A620" i="6" s="1"/>
  <c r="A621" i="6" a="1"/>
  <c r="A621" i="6" s="1"/>
  <c r="A622" i="6" a="1"/>
  <c r="A622" i="6" s="1"/>
  <c r="A623" i="6" a="1"/>
  <c r="A623" i="6" s="1"/>
  <c r="A624" i="6" a="1"/>
  <c r="A624" i="6" s="1"/>
  <c r="A625" i="6" a="1"/>
  <c r="A625" i="6" s="1"/>
  <c r="A626" i="6" a="1"/>
  <c r="A626" i="6" s="1"/>
  <c r="A627" i="6" a="1"/>
  <c r="A627" i="6" s="1"/>
  <c r="A628" i="6" a="1"/>
  <c r="A628" i="6" s="1"/>
  <c r="A629" i="6" a="1"/>
  <c r="A629" i="6" s="1"/>
  <c r="A630" i="6" a="1"/>
  <c r="A630" i="6" s="1"/>
  <c r="A631" i="6" a="1"/>
  <c r="A631" i="6" s="1"/>
  <c r="A632" i="6" a="1"/>
  <c r="A632" i="6" s="1"/>
  <c r="A633" i="6" a="1"/>
  <c r="A633" i="6" s="1"/>
  <c r="A634" i="6" a="1"/>
  <c r="A634" i="6" s="1"/>
  <c r="A635" i="6" a="1"/>
  <c r="A635" i="6" s="1"/>
  <c r="A636" i="6" a="1"/>
  <c r="A636" i="6" s="1"/>
  <c r="A637" i="6" a="1"/>
  <c r="A637" i="6" s="1"/>
  <c r="A638" i="6" a="1"/>
  <c r="A638" i="6" s="1"/>
  <c r="A639" i="6" a="1"/>
  <c r="A639" i="6" s="1"/>
  <c r="A640" i="6" a="1"/>
  <c r="A640" i="6" s="1"/>
  <c r="A641" i="6" a="1"/>
  <c r="A641" i="6" s="1"/>
  <c r="A642" i="6" a="1"/>
  <c r="A642" i="6" s="1"/>
  <c r="A643" i="6" a="1"/>
  <c r="A643" i="6" s="1"/>
  <c r="A644" i="6" a="1"/>
  <c r="A644" i="6" s="1"/>
  <c r="A645" i="6" a="1"/>
  <c r="A645" i="6" s="1"/>
  <c r="A646" i="6" a="1"/>
  <c r="A646" i="6" s="1"/>
  <c r="A647" i="6" a="1"/>
  <c r="A647" i="6" s="1"/>
  <c r="A648" i="6" a="1"/>
  <c r="A648" i="6" s="1"/>
  <c r="A649" i="6" a="1"/>
  <c r="A649" i="6" s="1"/>
  <c r="A650" i="6" a="1"/>
  <c r="A650" i="6" s="1"/>
  <c r="A651" i="6" a="1"/>
  <c r="A651" i="6" s="1"/>
  <c r="A652" i="6" a="1"/>
  <c r="A652" i="6" s="1"/>
  <c r="A653" i="6" a="1"/>
  <c r="A653" i="6" s="1"/>
  <c r="A654" i="6" a="1"/>
  <c r="A654" i="6" s="1"/>
  <c r="A655" i="6" a="1"/>
  <c r="A655" i="6" s="1"/>
  <c r="A656" i="6" a="1"/>
  <c r="A656" i="6" s="1"/>
  <c r="A657" i="6" a="1"/>
  <c r="A657" i="6" s="1"/>
  <c r="A658" i="6" a="1"/>
  <c r="A658" i="6" s="1"/>
  <c r="A659" i="6" a="1"/>
  <c r="A659" i="6" s="1"/>
  <c r="A660" i="6" a="1"/>
  <c r="A660" i="6" s="1"/>
  <c r="A661" i="6" a="1"/>
  <c r="A661" i="6" s="1"/>
  <c r="A662" i="6" a="1"/>
  <c r="A662" i="6" s="1"/>
  <c r="A663" i="6" a="1"/>
  <c r="A663" i="6" s="1"/>
  <c r="A664" i="6" a="1"/>
  <c r="A664" i="6" s="1"/>
  <c r="A665" i="6" a="1"/>
  <c r="A665" i="6" s="1"/>
  <c r="A666" i="6" a="1"/>
  <c r="A666" i="6" s="1"/>
  <c r="A667" i="6" a="1"/>
  <c r="A667" i="6" s="1"/>
  <c r="A668" i="6" a="1"/>
  <c r="A668" i="6" s="1"/>
  <c r="A669" i="6" a="1"/>
  <c r="A669" i="6" s="1"/>
  <c r="A670" i="6" a="1"/>
  <c r="A670" i="6" s="1"/>
  <c r="A671" i="6" a="1"/>
  <c r="A671" i="6" s="1"/>
  <c r="A672" i="6" a="1"/>
  <c r="A672" i="6" s="1"/>
  <c r="A673" i="6" a="1"/>
  <c r="A673" i="6" s="1"/>
  <c r="A674" i="6" a="1"/>
  <c r="A674" i="6" s="1"/>
  <c r="A675" i="6" a="1"/>
  <c r="A675" i="6" s="1"/>
  <c r="A676" i="6" a="1"/>
  <c r="A676" i="6" s="1"/>
  <c r="A677" i="6" a="1"/>
  <c r="A677" i="6" s="1"/>
  <c r="A678" i="6" a="1"/>
  <c r="A678" i="6" s="1"/>
  <c r="A679" i="6" a="1"/>
  <c r="A679" i="6" s="1"/>
  <c r="A680" i="6" a="1"/>
  <c r="A680" i="6" s="1"/>
  <c r="A681" i="6" a="1"/>
  <c r="A681" i="6" s="1"/>
  <c r="A682" i="6" a="1"/>
  <c r="A682" i="6" s="1"/>
  <c r="A683" i="6" a="1"/>
  <c r="A683" i="6" s="1"/>
  <c r="A684" i="6" a="1"/>
  <c r="A684" i="6" s="1"/>
  <c r="A685" i="6" a="1"/>
  <c r="A685" i="6" s="1"/>
  <c r="A686" i="6" a="1"/>
  <c r="A686" i="6" s="1"/>
  <c r="A687" i="6" a="1"/>
  <c r="A687" i="6" s="1"/>
  <c r="A688" i="6" a="1"/>
  <c r="A688" i="6" s="1"/>
  <c r="A689" i="6" a="1"/>
  <c r="A689" i="6" s="1"/>
  <c r="A690" i="6" a="1"/>
  <c r="A690" i="6" s="1"/>
  <c r="A691" i="6" a="1"/>
  <c r="A691" i="6" s="1"/>
  <c r="A692" i="6" a="1"/>
  <c r="A692" i="6" s="1"/>
  <c r="A693" i="6" a="1"/>
  <c r="A693" i="6" s="1"/>
  <c r="A694" i="6" a="1"/>
  <c r="A694" i="6" s="1"/>
  <c r="A695" i="6" a="1"/>
  <c r="A695" i="6" s="1"/>
  <c r="A696" i="6" a="1"/>
  <c r="A696" i="6" s="1"/>
  <c r="A697" i="6" a="1"/>
  <c r="A697" i="6" s="1"/>
  <c r="A698" i="6" a="1"/>
  <c r="A698" i="6" s="1"/>
  <c r="A699" i="6" a="1"/>
  <c r="A699" i="6" s="1"/>
  <c r="A700" i="6" a="1"/>
  <c r="A700" i="6" s="1"/>
  <c r="A701" i="6" a="1"/>
  <c r="A701" i="6" s="1"/>
  <c r="A702" i="6" a="1"/>
  <c r="A702" i="6" s="1"/>
  <c r="A703" i="6" a="1"/>
  <c r="A703" i="6" s="1"/>
  <c r="A704" i="6" a="1"/>
  <c r="A704" i="6" s="1"/>
  <c r="A705" i="6" a="1"/>
  <c r="A705" i="6" s="1"/>
  <c r="A706" i="6" a="1"/>
  <c r="A706" i="6" s="1"/>
  <c r="A707" i="6" a="1"/>
  <c r="A707" i="6" s="1"/>
  <c r="A708" i="6" a="1"/>
  <c r="A708" i="6" s="1"/>
  <c r="A709" i="6" a="1"/>
  <c r="A709" i="6" s="1"/>
  <c r="A710" i="6" a="1"/>
  <c r="A710" i="6" s="1"/>
  <c r="A711" i="6" a="1"/>
  <c r="A711" i="6" s="1"/>
  <c r="A712" i="6" a="1"/>
  <c r="A712" i="6" s="1"/>
  <c r="A713" i="6" a="1"/>
  <c r="A713" i="6" s="1"/>
  <c r="A714" i="6" a="1"/>
  <c r="A714" i="6" s="1"/>
  <c r="A715" i="6" a="1"/>
  <c r="A715" i="6" s="1"/>
  <c r="A716" i="6" a="1"/>
  <c r="A716" i="6" s="1"/>
  <c r="A717" i="6" a="1"/>
  <c r="A717" i="6" s="1"/>
  <c r="A718" i="6" a="1"/>
  <c r="A718" i="6" s="1"/>
  <c r="A719" i="6" a="1"/>
  <c r="A719" i="6" s="1"/>
  <c r="A720" i="6" a="1"/>
  <c r="A720" i="6" s="1"/>
  <c r="A721" i="6" a="1"/>
  <c r="A721" i="6" s="1"/>
  <c r="A722" i="6" a="1"/>
  <c r="A722" i="6" s="1"/>
  <c r="A723" i="6" a="1"/>
  <c r="A723" i="6" s="1"/>
  <c r="A724" i="6" a="1"/>
  <c r="A724" i="6" s="1"/>
  <c r="A725" i="6" a="1"/>
  <c r="A725" i="6" s="1"/>
  <c r="A726" i="6" a="1"/>
  <c r="A726" i="6" s="1"/>
  <c r="A727" i="6" a="1"/>
  <c r="A727" i="6" s="1"/>
  <c r="A728" i="6" a="1"/>
  <c r="A728" i="6" s="1"/>
  <c r="A729" i="6" a="1"/>
  <c r="A729" i="6" s="1"/>
  <c r="A730" i="6" a="1"/>
  <c r="A730" i="6" s="1"/>
  <c r="A731" i="6" a="1"/>
  <c r="A731" i="6" s="1"/>
  <c r="A732" i="6" a="1"/>
  <c r="A732" i="6" s="1"/>
  <c r="A733" i="6" a="1"/>
  <c r="A733" i="6" s="1"/>
  <c r="A734" i="6" a="1"/>
  <c r="A734" i="6" s="1"/>
  <c r="A735" i="6" a="1"/>
  <c r="A735" i="6" s="1"/>
  <c r="A736" i="6" a="1"/>
  <c r="A736" i="6" s="1"/>
  <c r="A737" i="6" a="1"/>
  <c r="A737" i="6" s="1"/>
  <c r="A738" i="6" a="1"/>
  <c r="A738" i="6" s="1"/>
  <c r="A739" i="6" a="1"/>
  <c r="A739" i="6" s="1"/>
  <c r="A740" i="6" a="1"/>
  <c r="A740" i="6" s="1"/>
  <c r="A741" i="6" a="1"/>
  <c r="A741" i="6" s="1"/>
  <c r="A742" i="6" a="1"/>
  <c r="A742" i="6" s="1"/>
  <c r="A743" i="6" a="1"/>
  <c r="A743" i="6" s="1"/>
  <c r="A744" i="6" a="1"/>
  <c r="A744" i="6" s="1"/>
  <c r="A745" i="6" a="1"/>
  <c r="A745" i="6" s="1"/>
  <c r="A746" i="6" a="1"/>
  <c r="A746" i="6" s="1"/>
  <c r="A747" i="6" a="1"/>
  <c r="A747" i="6" s="1"/>
  <c r="A748" i="6" a="1"/>
  <c r="A748" i="6" s="1"/>
  <c r="A749" i="6" a="1"/>
  <c r="A749" i="6" s="1"/>
  <c r="A750" i="6" a="1"/>
  <c r="A750" i="6" s="1"/>
  <c r="A751" i="6" a="1"/>
  <c r="A751" i="6" s="1"/>
  <c r="A752" i="6" a="1"/>
  <c r="A752" i="6" s="1"/>
  <c r="A753" i="6" a="1"/>
  <c r="A753" i="6" s="1"/>
  <c r="A754" i="6" a="1"/>
  <c r="A754" i="6" s="1"/>
  <c r="A755" i="6" a="1"/>
  <c r="A755" i="6" s="1"/>
  <c r="A756" i="6" a="1"/>
  <c r="A756" i="6" s="1"/>
  <c r="A757" i="6" a="1"/>
  <c r="A757" i="6" s="1"/>
  <c r="A758" i="6" a="1"/>
  <c r="A758" i="6" s="1"/>
  <c r="A759" i="6" a="1"/>
  <c r="A759" i="6" s="1"/>
  <c r="A760" i="6" a="1"/>
  <c r="A760" i="6" s="1"/>
  <c r="A761" i="6" a="1"/>
  <c r="A761" i="6" s="1"/>
  <c r="A762" i="6" a="1"/>
  <c r="A762" i="6" s="1"/>
  <c r="A763" i="6" a="1"/>
  <c r="A763" i="6" s="1"/>
  <c r="A764" i="6" a="1"/>
  <c r="A764" i="6" s="1"/>
  <c r="A765" i="6" a="1"/>
  <c r="A765" i="6" s="1"/>
  <c r="A766" i="6" a="1"/>
  <c r="A766" i="6" s="1"/>
  <c r="A767" i="6" a="1"/>
  <c r="A767" i="6" s="1"/>
  <c r="A768" i="6" a="1"/>
  <c r="A768" i="6" s="1"/>
  <c r="A769" i="6" a="1"/>
  <c r="A769" i="6" s="1"/>
  <c r="A770" i="6" a="1"/>
  <c r="A770" i="6" s="1"/>
  <c r="A771" i="6" a="1"/>
  <c r="A771" i="6" s="1"/>
  <c r="A772" i="6" a="1"/>
  <c r="A772" i="6" s="1"/>
  <c r="A773" i="6" a="1"/>
  <c r="A773" i="6" s="1"/>
  <c r="A774" i="6" a="1"/>
  <c r="A774" i="6" s="1"/>
  <c r="A775" i="6" a="1"/>
  <c r="A775" i="6" s="1"/>
  <c r="A776" i="6" a="1"/>
  <c r="A776" i="6" s="1"/>
  <c r="A777" i="6" a="1"/>
  <c r="A777" i="6" s="1"/>
  <c r="A778" i="6" a="1"/>
  <c r="A778" i="6" s="1"/>
  <c r="A779" i="6" a="1"/>
  <c r="A779" i="6" s="1"/>
  <c r="A780" i="6" a="1"/>
  <c r="A780" i="6" s="1"/>
  <c r="A781" i="6" a="1"/>
  <c r="A781" i="6" s="1"/>
  <c r="A782" i="6" a="1"/>
  <c r="A782" i="6" s="1"/>
  <c r="A783" i="6" a="1"/>
  <c r="A783" i="6" s="1"/>
  <c r="A784" i="6" a="1"/>
  <c r="A784" i="6" s="1"/>
  <c r="A785" i="6" a="1"/>
  <c r="A785" i="6" s="1"/>
  <c r="A786" i="6" a="1"/>
  <c r="A786" i="6" s="1"/>
  <c r="A787" i="6" a="1"/>
  <c r="A787" i="6" s="1"/>
  <c r="A788" i="6" a="1"/>
  <c r="A788" i="6" s="1"/>
  <c r="A789" i="6" a="1"/>
  <c r="A789" i="6" s="1"/>
  <c r="A790" i="6" a="1"/>
  <c r="A790" i="6" s="1"/>
  <c r="A791" i="6" a="1"/>
  <c r="A791" i="6" s="1"/>
  <c r="A792" i="6" a="1"/>
  <c r="A792" i="6" s="1"/>
  <c r="A793" i="6" a="1"/>
  <c r="A793" i="6" s="1"/>
  <c r="A794" i="6" a="1"/>
  <c r="A794" i="6" s="1"/>
  <c r="A795" i="6" a="1"/>
  <c r="A795" i="6" s="1"/>
  <c r="A796" i="6" a="1"/>
  <c r="A796" i="6" s="1"/>
  <c r="A797" i="6" a="1"/>
  <c r="A797" i="6" s="1"/>
  <c r="A798" i="6" a="1"/>
  <c r="A798" i="6" s="1"/>
  <c r="A799" i="6" a="1"/>
  <c r="A799" i="6" s="1"/>
  <c r="A800" i="6" a="1"/>
  <c r="A800" i="6" s="1"/>
  <c r="A801" i="6" a="1"/>
  <c r="A801" i="6" s="1"/>
  <c r="A802" i="6" a="1"/>
  <c r="A802" i="6" s="1"/>
  <c r="A803" i="6" a="1"/>
  <c r="A803" i="6" s="1"/>
  <c r="A804" i="6" a="1"/>
  <c r="A804" i="6" s="1"/>
  <c r="A805" i="6" a="1"/>
  <c r="A805" i="6" s="1"/>
  <c r="A806" i="6" a="1"/>
  <c r="A806" i="6" s="1"/>
  <c r="A807" i="6" a="1"/>
  <c r="A807" i="6" s="1"/>
  <c r="A808" i="6" a="1"/>
  <c r="A808" i="6" s="1"/>
  <c r="A809" i="6" a="1"/>
  <c r="A809" i="6" s="1"/>
  <c r="A810" i="6" a="1"/>
  <c r="A810" i="6" s="1"/>
  <c r="A811" i="6" a="1"/>
  <c r="A811" i="6" s="1"/>
  <c r="A812" i="6" a="1"/>
  <c r="A812" i="6" s="1"/>
  <c r="A813" i="6" a="1"/>
  <c r="A813" i="6" s="1"/>
  <c r="A814" i="6" a="1"/>
  <c r="A814" i="6" s="1"/>
  <c r="A815" i="6" a="1"/>
  <c r="A815" i="6" s="1"/>
  <c r="A816" i="6" a="1"/>
  <c r="A816" i="6" s="1"/>
  <c r="A817" i="6" a="1"/>
  <c r="A817" i="6" s="1"/>
  <c r="A818" i="6" a="1"/>
  <c r="A818" i="6" s="1"/>
  <c r="A819" i="6" a="1"/>
  <c r="A819" i="6" s="1"/>
  <c r="A820" i="6" a="1"/>
  <c r="A820" i="6" s="1"/>
  <c r="A821" i="6" a="1"/>
  <c r="A821" i="6" s="1"/>
  <c r="A822" i="6" a="1"/>
  <c r="A822" i="6" s="1"/>
  <c r="A823" i="6" a="1"/>
  <c r="A823" i="6" s="1"/>
  <c r="A824" i="6" a="1"/>
  <c r="A824" i="6" s="1"/>
  <c r="A825" i="6" a="1"/>
  <c r="A825" i="6" s="1"/>
  <c r="A826" i="6" a="1"/>
  <c r="A826" i="6" s="1"/>
  <c r="A827" i="6" a="1"/>
  <c r="A827" i="6" s="1"/>
  <c r="A828" i="6" a="1"/>
  <c r="A828" i="6" s="1"/>
  <c r="A829" i="6" a="1"/>
  <c r="A829" i="6" s="1"/>
  <c r="A830" i="6" a="1"/>
  <c r="A830" i="6" s="1"/>
  <c r="A831" i="6" a="1"/>
  <c r="A831" i="6" s="1"/>
  <c r="A832" i="6" a="1"/>
  <c r="A832" i="6" s="1"/>
  <c r="A833" i="6" a="1"/>
  <c r="A833" i="6" s="1"/>
  <c r="A834" i="6" a="1"/>
  <c r="A834" i="6" s="1"/>
  <c r="A835" i="6" a="1"/>
  <c r="A835" i="6" s="1"/>
  <c r="A836" i="6" a="1"/>
  <c r="A836" i="6" s="1"/>
  <c r="A837" i="6" a="1"/>
  <c r="A837" i="6" s="1"/>
  <c r="A838" i="6" a="1"/>
  <c r="A838" i="6" s="1"/>
  <c r="A839" i="6" a="1"/>
  <c r="A839" i="6" s="1"/>
  <c r="A840" i="6" a="1"/>
  <c r="A840" i="6" s="1"/>
  <c r="A841" i="6" a="1"/>
  <c r="A841" i="6" s="1"/>
  <c r="A842" i="6" a="1"/>
  <c r="A842" i="6" s="1"/>
  <c r="A843" i="6" a="1"/>
  <c r="A843" i="6" s="1"/>
  <c r="A844" i="6" a="1"/>
  <c r="A844" i="6" s="1"/>
  <c r="A845" i="6" a="1"/>
  <c r="A845" i="6" s="1"/>
  <c r="A846" i="6" a="1"/>
  <c r="A846" i="6" s="1"/>
  <c r="A847" i="6" a="1"/>
  <c r="A847" i="6" s="1"/>
  <c r="A848" i="6" a="1"/>
  <c r="A848" i="6" s="1"/>
  <c r="A849" i="6" a="1"/>
  <c r="A849" i="6" s="1"/>
  <c r="A850" i="6" a="1"/>
  <c r="A850" i="6" s="1"/>
  <c r="A851" i="6" a="1"/>
  <c r="A851" i="6" s="1"/>
  <c r="A852" i="6" a="1"/>
  <c r="A852" i="6" s="1"/>
  <c r="A853" i="6" a="1"/>
  <c r="A853" i="6" s="1"/>
  <c r="A854" i="6" a="1"/>
  <c r="A854" i="6" s="1"/>
  <c r="A855" i="6" a="1"/>
  <c r="A855" i="6" s="1"/>
  <c r="A856" i="6" a="1"/>
  <c r="A856" i="6" s="1"/>
  <c r="A857" i="6" a="1"/>
  <c r="A857" i="6" s="1"/>
  <c r="A858" i="6" a="1"/>
  <c r="A858" i="6" s="1"/>
  <c r="A859" i="6" a="1"/>
  <c r="A859" i="6" s="1"/>
  <c r="A860" i="6" a="1"/>
  <c r="A860" i="6" s="1"/>
  <c r="A861" i="6" a="1"/>
  <c r="A861" i="6" s="1"/>
  <c r="A862" i="6" a="1"/>
  <c r="A862" i="6" s="1"/>
  <c r="A863" i="6" a="1"/>
  <c r="A863" i="6" s="1"/>
  <c r="A864" i="6" a="1"/>
  <c r="A864" i="6" s="1"/>
  <c r="A865" i="6" a="1"/>
  <c r="A865" i="6" s="1"/>
  <c r="A866" i="6" a="1"/>
  <c r="A866" i="6" s="1"/>
  <c r="A867" i="6" a="1"/>
  <c r="A867" i="6" s="1"/>
  <c r="A868" i="6" a="1"/>
  <c r="A868" i="6" s="1"/>
  <c r="A869" i="6" a="1"/>
  <c r="A869" i="6" s="1"/>
  <c r="A870" i="6" a="1"/>
  <c r="A870" i="6" s="1"/>
  <c r="A871" i="6" a="1"/>
  <c r="A871" i="6" s="1"/>
  <c r="A872" i="6" a="1"/>
  <c r="A872" i="6" s="1"/>
  <c r="A873" i="6" a="1"/>
  <c r="A873" i="6" s="1"/>
  <c r="A874" i="6" a="1"/>
  <c r="A874" i="6" s="1"/>
  <c r="A875" i="6" a="1"/>
  <c r="A875" i="6" s="1"/>
  <c r="A876" i="6" a="1"/>
  <c r="A876" i="6" s="1"/>
  <c r="A877" i="6" a="1"/>
  <c r="A877" i="6" s="1"/>
  <c r="A878" i="6" a="1"/>
  <c r="A878" i="6" s="1"/>
  <c r="A879" i="6" a="1"/>
  <c r="A879" i="6" s="1"/>
  <c r="A880" i="6" a="1"/>
  <c r="A880" i="6" s="1"/>
  <c r="A881" i="6" a="1"/>
  <c r="A881" i="6" s="1"/>
  <c r="A882" i="6" a="1"/>
  <c r="A882" i="6" s="1"/>
  <c r="A883" i="6" a="1"/>
  <c r="A883" i="6" s="1"/>
  <c r="A884" i="6" a="1"/>
  <c r="A884" i="6" s="1"/>
  <c r="A885" i="6" a="1"/>
  <c r="A885" i="6" s="1"/>
  <c r="A886" i="6" a="1"/>
  <c r="A886" i="6" s="1"/>
  <c r="A887" i="6" a="1"/>
  <c r="A887" i="6" s="1"/>
  <c r="A888" i="6" a="1"/>
  <c r="A888" i="6" s="1"/>
  <c r="A889" i="6" a="1"/>
  <c r="A889" i="6" s="1"/>
  <c r="A890" i="6" a="1"/>
  <c r="A890" i="6" s="1"/>
  <c r="A891" i="6" a="1"/>
  <c r="A891" i="6" s="1"/>
  <c r="A892" i="6" a="1"/>
  <c r="A892" i="6" s="1"/>
  <c r="A893" i="6" a="1"/>
  <c r="A893" i="6" s="1"/>
  <c r="A894" i="6" a="1"/>
  <c r="A894" i="6" s="1"/>
  <c r="A895" i="6" a="1"/>
  <c r="A895" i="6" s="1"/>
  <c r="A896" i="6" a="1"/>
  <c r="A896" i="6" s="1"/>
  <c r="A897" i="6" a="1"/>
  <c r="A897" i="6" s="1"/>
  <c r="A898" i="6" a="1"/>
  <c r="A898" i="6" s="1"/>
  <c r="A899" i="6" a="1"/>
  <c r="A899" i="6" s="1"/>
  <c r="A900" i="6" a="1"/>
  <c r="A900" i="6" s="1"/>
  <c r="A901" i="6" a="1"/>
  <c r="A901" i="6" s="1"/>
  <c r="A902" i="6" a="1"/>
  <c r="A902" i="6" s="1"/>
  <c r="A903" i="6" a="1"/>
  <c r="A903" i="6" s="1"/>
  <c r="A904" i="6" a="1"/>
  <c r="A904" i="6" s="1"/>
  <c r="A905" i="6" a="1"/>
  <c r="A905" i="6" s="1"/>
  <c r="A906" i="6" a="1"/>
  <c r="A906" i="6" s="1"/>
  <c r="A907" i="6" a="1"/>
  <c r="A907" i="6" s="1"/>
  <c r="A908" i="6" a="1"/>
  <c r="A908" i="6" s="1"/>
  <c r="A909" i="6" a="1"/>
  <c r="A909" i="6" s="1"/>
  <c r="A910" i="6" a="1"/>
  <c r="A910" i="6" s="1"/>
  <c r="A911" i="6" a="1"/>
  <c r="A911" i="6" s="1"/>
  <c r="A912" i="6" a="1"/>
  <c r="A912" i="6" s="1"/>
  <c r="A913" i="6" a="1"/>
  <c r="A913" i="6" s="1"/>
  <c r="A914" i="6" a="1"/>
  <c r="A914" i="6" s="1"/>
  <c r="A915" i="6" a="1"/>
  <c r="A915" i="6" s="1"/>
  <c r="A916" i="6" a="1"/>
  <c r="A916" i="6" s="1"/>
  <c r="A917" i="6" a="1"/>
  <c r="A917" i="6" s="1"/>
  <c r="A918" i="6" a="1"/>
  <c r="A918" i="6" s="1"/>
  <c r="A919" i="6" a="1"/>
  <c r="A919" i="6" s="1"/>
  <c r="A920" i="6" a="1"/>
  <c r="A920" i="6" s="1"/>
  <c r="A921" i="6" a="1"/>
  <c r="A921" i="6" s="1"/>
  <c r="A922" i="6" a="1"/>
  <c r="A922" i="6" s="1"/>
  <c r="A923" i="6" a="1"/>
  <c r="A923" i="6" s="1"/>
  <c r="A924" i="6" a="1"/>
  <c r="A924" i="6" s="1"/>
  <c r="A925" i="6" a="1"/>
  <c r="A925" i="6" s="1"/>
  <c r="A926" i="6" a="1"/>
  <c r="A926" i="6" s="1"/>
  <c r="A927" i="6" a="1"/>
  <c r="A927" i="6" s="1"/>
  <c r="A928" i="6" a="1"/>
  <c r="A928" i="6" s="1"/>
  <c r="A929" i="6" a="1"/>
  <c r="A929" i="6" s="1"/>
  <c r="A930" i="6" a="1"/>
  <c r="A930" i="6" s="1"/>
  <c r="A931" i="6" a="1"/>
  <c r="A931" i="6" s="1"/>
  <c r="A932" i="6" a="1"/>
  <c r="A932" i="6" s="1"/>
  <c r="A933" i="6" a="1"/>
  <c r="A933" i="6" s="1"/>
  <c r="A934" i="6" a="1"/>
  <c r="A934" i="6" s="1"/>
  <c r="A935" i="6" a="1"/>
  <c r="A935" i="6" s="1"/>
  <c r="A936" i="6" a="1"/>
  <c r="A936" i="6" s="1"/>
  <c r="A937" i="6" a="1"/>
  <c r="A937" i="6" s="1"/>
  <c r="A938" i="6" a="1"/>
  <c r="A938" i="6" s="1"/>
  <c r="A939" i="6" a="1"/>
  <c r="A939" i="6" s="1"/>
  <c r="A940" i="6" a="1"/>
  <c r="A940" i="6" s="1"/>
  <c r="A941" i="6" a="1"/>
  <c r="A941" i="6" s="1"/>
  <c r="A942" i="6" a="1"/>
  <c r="A942" i="6" s="1"/>
  <c r="A943" i="6" a="1"/>
  <c r="A943" i="6" s="1"/>
  <c r="A944" i="6" a="1"/>
  <c r="A944" i="6" s="1"/>
  <c r="A945" i="6" a="1"/>
  <c r="A945" i="6" s="1"/>
  <c r="A946" i="6" a="1"/>
  <c r="A946" i="6" s="1"/>
  <c r="A947" i="6" a="1"/>
  <c r="A947" i="6" s="1"/>
  <c r="A948" i="6" a="1"/>
  <c r="A948" i="6" s="1"/>
  <c r="A949" i="6" a="1"/>
  <c r="A949" i="6" s="1"/>
  <c r="A950" i="6" a="1"/>
  <c r="A950" i="6" s="1"/>
  <c r="A951" i="6" a="1"/>
  <c r="A951" i="6" s="1"/>
  <c r="A952" i="6" a="1"/>
  <c r="A952" i="6" s="1"/>
  <c r="A953" i="6" a="1"/>
  <c r="A953" i="6" s="1"/>
  <c r="A954" i="6" a="1"/>
  <c r="A954" i="6" s="1"/>
  <c r="A955" i="6" a="1"/>
  <c r="A955" i="6" s="1"/>
  <c r="A956" i="6" a="1"/>
  <c r="A956" i="6" s="1"/>
  <c r="A957" i="6" a="1"/>
  <c r="A957" i="6" s="1"/>
  <c r="A958" i="6" a="1"/>
  <c r="A958" i="6" s="1"/>
  <c r="A959" i="6" a="1"/>
  <c r="A959" i="6" s="1"/>
  <c r="A960" i="6" a="1"/>
  <c r="A960" i="6" s="1"/>
  <c r="A961" i="6" a="1"/>
  <c r="A961" i="6" s="1"/>
  <c r="A962" i="6" a="1"/>
  <c r="A962" i="6" s="1"/>
  <c r="A963" i="6" a="1"/>
  <c r="A963" i="6" s="1"/>
  <c r="A964" i="6" a="1"/>
  <c r="A964" i="6" s="1"/>
  <c r="A965" i="6" a="1"/>
  <c r="A965" i="6" s="1"/>
  <c r="A966" i="6" a="1"/>
  <c r="A966" i="6" s="1"/>
  <c r="A967" i="6" a="1"/>
  <c r="A967" i="6" s="1"/>
  <c r="A968" i="6" a="1"/>
  <c r="A968" i="6" s="1"/>
  <c r="A969" i="6" a="1"/>
  <c r="A969" i="6" s="1"/>
  <c r="A970" i="6" a="1"/>
  <c r="A970" i="6" s="1"/>
  <c r="A971" i="6" a="1"/>
  <c r="A971" i="6" s="1"/>
  <c r="A972" i="6" a="1"/>
  <c r="A972" i="6" s="1"/>
  <c r="A973" i="6" a="1"/>
  <c r="A973" i="6" s="1"/>
  <c r="A974" i="6" a="1"/>
  <c r="A974" i="6" s="1"/>
  <c r="A975" i="6" a="1"/>
  <c r="A975" i="6" s="1"/>
  <c r="A976" i="6" a="1"/>
  <c r="A976" i="6" s="1"/>
  <c r="A977" i="6" a="1"/>
  <c r="A977" i="6" s="1"/>
  <c r="A978" i="6" a="1"/>
  <c r="A978" i="6" s="1"/>
  <c r="A979" i="6" a="1"/>
  <c r="A979" i="6" s="1"/>
  <c r="A980" i="6" a="1"/>
  <c r="A980" i="6" s="1"/>
  <c r="A981" i="6" a="1"/>
  <c r="A981" i="6" s="1"/>
  <c r="A982" i="6" a="1"/>
  <c r="A982" i="6" s="1"/>
  <c r="A983" i="6" a="1"/>
  <c r="A983" i="6" s="1"/>
  <c r="A984" i="6" a="1"/>
  <c r="A984" i="6" s="1"/>
  <c r="A985" i="6" a="1"/>
  <c r="A985" i="6" s="1"/>
  <c r="A986" i="6" a="1"/>
  <c r="A986" i="6" s="1"/>
  <c r="A987" i="6" a="1"/>
  <c r="A987" i="6" s="1"/>
  <c r="A988" i="6" a="1"/>
  <c r="A988" i="6" s="1"/>
  <c r="A989" i="6" a="1"/>
  <c r="A989" i="6" s="1"/>
  <c r="A990" i="6" a="1"/>
  <c r="A990" i="6" s="1"/>
  <c r="A991" i="6" a="1"/>
  <c r="A991" i="6" s="1"/>
  <c r="A992" i="6" a="1"/>
  <c r="A992" i="6" s="1"/>
  <c r="A993" i="6" a="1"/>
  <c r="A993" i="6" s="1"/>
  <c r="A994" i="6" a="1"/>
  <c r="A994" i="6" s="1"/>
  <c r="A995" i="6" a="1"/>
  <c r="A995" i="6" s="1"/>
  <c r="A996" i="6" a="1"/>
  <c r="A996" i="6" s="1"/>
  <c r="A997" i="6" a="1"/>
  <c r="A997" i="6" s="1"/>
  <c r="A998" i="6" a="1"/>
  <c r="A998" i="6" s="1"/>
  <c r="A999" i="6" a="1"/>
  <c r="A999" i="6" s="1"/>
  <c r="A1000" i="6" a="1"/>
  <c r="A1000" i="6" s="1"/>
  <c r="A1001" i="6" a="1"/>
  <c r="A1001" i="6" s="1"/>
  <c r="A1002" i="6" a="1"/>
  <c r="A1002" i="6" s="1"/>
  <c r="A1003" i="6" a="1"/>
  <c r="A1003" i="6" s="1"/>
  <c r="A1004" i="6" a="1"/>
  <c r="A1004" i="6" s="1"/>
  <c r="A1005" i="6" a="1"/>
  <c r="A1005" i="6" s="1"/>
  <c r="A1006" i="6" a="1"/>
  <c r="A1006" i="6" s="1"/>
  <c r="A1007" i="6" a="1"/>
  <c r="A1007" i="6" s="1"/>
  <c r="A1008" i="6" a="1"/>
  <c r="A1008" i="6" s="1"/>
  <c r="A1009" i="6" a="1"/>
  <c r="A1009" i="6" s="1"/>
  <c r="A1010" i="6" a="1"/>
  <c r="A1010" i="6" s="1"/>
  <c r="A1011" i="6" a="1"/>
  <c r="A1011" i="6" s="1"/>
  <c r="A1012" i="6" a="1"/>
  <c r="A1012" i="6" s="1"/>
  <c r="A1013" i="6" a="1"/>
  <c r="A1013" i="6" s="1"/>
  <c r="A1014" i="6" a="1"/>
  <c r="A1014" i="6" s="1"/>
  <c r="A1015" i="6" a="1"/>
  <c r="A1015" i="6" s="1"/>
  <c r="A1016" i="6" a="1"/>
  <c r="A1016" i="6" s="1"/>
  <c r="A1017" i="6" a="1"/>
  <c r="A1017" i="6" s="1"/>
  <c r="A1018" i="6" a="1"/>
  <c r="A1018" i="6" s="1"/>
  <c r="A1019" i="6" a="1"/>
  <c r="A1019" i="6" s="1"/>
  <c r="A1020" i="6" a="1"/>
  <c r="A1020" i="6" s="1"/>
  <c r="A1021" i="6" a="1"/>
  <c r="A1021" i="6" s="1"/>
  <c r="A1022" i="6" a="1"/>
  <c r="A1022" i="6" s="1"/>
  <c r="A1023" i="6" a="1"/>
  <c r="A1023" i="6" s="1"/>
  <c r="A1024" i="6" a="1"/>
  <c r="A1024" i="6" s="1"/>
  <c r="A1025" i="6" a="1"/>
  <c r="A1025" i="6" s="1"/>
  <c r="A1026" i="6" a="1"/>
  <c r="A1026" i="6" s="1"/>
  <c r="A1027" i="6" a="1"/>
  <c r="A1027" i="6" s="1"/>
  <c r="A1028" i="6" a="1"/>
  <c r="A1028" i="6" s="1"/>
  <c r="A1029" i="6" a="1"/>
  <c r="A1029" i="6" s="1"/>
  <c r="A1030" i="6" a="1"/>
  <c r="A1030" i="6" s="1"/>
  <c r="A1031" i="6" a="1"/>
  <c r="A1031" i="6" s="1"/>
  <c r="A1032" i="6" a="1"/>
  <c r="A1032" i="6" s="1"/>
  <c r="A1033" i="6" a="1"/>
  <c r="A1033" i="6" s="1"/>
  <c r="A1034" i="6" a="1"/>
  <c r="A1034" i="6" s="1"/>
  <c r="A1035" i="6" a="1"/>
  <c r="A1035" i="6" s="1"/>
  <c r="A1036" i="6" a="1"/>
  <c r="A1036" i="6" s="1"/>
  <c r="A1037" i="6" a="1"/>
  <c r="A1037" i="6" s="1"/>
  <c r="A1038" i="6" a="1"/>
  <c r="A1038" i="6" s="1"/>
  <c r="A1039" i="6" a="1"/>
  <c r="A1039" i="6" s="1"/>
  <c r="A1040" i="6" a="1"/>
  <c r="A1040" i="6" s="1"/>
  <c r="A1041" i="6" a="1"/>
  <c r="A1041" i="6" s="1"/>
  <c r="A1042" i="6" a="1"/>
  <c r="A1042" i="6" s="1"/>
  <c r="A1043" i="6" a="1"/>
  <c r="A1043" i="6" s="1"/>
  <c r="A1044" i="6" a="1"/>
  <c r="A1044" i="6" s="1"/>
  <c r="A1045" i="6" a="1"/>
  <c r="A1045" i="6" s="1"/>
  <c r="A1046" i="6" a="1"/>
  <c r="A1046" i="6" s="1"/>
  <c r="A1047" i="6" a="1"/>
  <c r="A1047" i="6" s="1"/>
  <c r="A1048" i="6" a="1"/>
  <c r="A1048" i="6" s="1"/>
  <c r="A1049" i="6" a="1"/>
  <c r="A1049" i="6" s="1"/>
  <c r="A1050" i="6" a="1"/>
  <c r="A1050" i="6" s="1"/>
  <c r="A1051" i="6" a="1"/>
  <c r="A1051" i="6" s="1"/>
  <c r="A1052" i="6" a="1"/>
  <c r="A1052" i="6" s="1"/>
  <c r="A1053" i="6" a="1"/>
  <c r="A1053" i="6" s="1"/>
  <c r="A1054" i="6" a="1"/>
  <c r="A1054" i="6" s="1"/>
  <c r="A1055" i="6" a="1"/>
  <c r="A1055" i="6" s="1"/>
  <c r="A1056" i="6" a="1"/>
  <c r="A1056" i="6" s="1"/>
  <c r="A1057" i="6" a="1"/>
  <c r="A1057" i="6" s="1"/>
  <c r="A1058" i="6" a="1"/>
  <c r="A1058" i="6" s="1"/>
  <c r="A1059" i="6" a="1"/>
  <c r="A1059" i="6" s="1"/>
  <c r="A1060" i="6" a="1"/>
  <c r="A1060" i="6" s="1"/>
  <c r="A1061" i="6" a="1"/>
  <c r="A1061" i="6" s="1"/>
  <c r="A1062" i="6" a="1"/>
  <c r="A1062" i="6" s="1"/>
  <c r="A1063" i="6" a="1"/>
  <c r="A1063" i="6" s="1"/>
  <c r="A1064" i="6" a="1"/>
  <c r="A1064" i="6" s="1"/>
  <c r="A1065" i="6" a="1"/>
  <c r="A1065" i="6" s="1"/>
  <c r="A1066" i="6" a="1"/>
  <c r="A1066" i="6" s="1"/>
  <c r="A1067" i="6" a="1"/>
  <c r="A1067" i="6" s="1"/>
  <c r="A1068" i="6" a="1"/>
  <c r="A1068" i="6" s="1"/>
  <c r="A1069" i="6" a="1"/>
  <c r="A1069" i="6" s="1"/>
  <c r="A1070" i="6" a="1"/>
  <c r="A1070" i="6" s="1"/>
  <c r="A1071" i="6" a="1"/>
  <c r="A1071" i="6" s="1"/>
  <c r="A1072" i="6" a="1"/>
  <c r="A1072" i="6" s="1"/>
  <c r="A1073" i="6" a="1"/>
  <c r="A1073" i="6" s="1"/>
  <c r="A1074" i="6" a="1"/>
  <c r="A1074" i="6" s="1"/>
  <c r="A1075" i="6" a="1"/>
  <c r="A1075" i="6" s="1"/>
  <c r="A1076" i="6" a="1"/>
  <c r="A1076" i="6" s="1"/>
  <c r="A1077" i="6" a="1"/>
  <c r="A1077" i="6" s="1"/>
  <c r="A1078" i="6" a="1"/>
  <c r="A1078" i="6" s="1"/>
  <c r="A1079" i="6" a="1"/>
  <c r="A1079" i="6" s="1"/>
  <c r="A1080" i="6" a="1"/>
  <c r="A1080" i="6" s="1"/>
  <c r="A1081" i="6" a="1"/>
  <c r="A1081" i="6" s="1"/>
  <c r="A1082" i="6" a="1"/>
  <c r="A1082" i="6" s="1"/>
  <c r="A1083" i="6" a="1"/>
  <c r="A1083" i="6" s="1"/>
  <c r="A1084" i="6" a="1"/>
  <c r="A1084" i="6" s="1"/>
  <c r="A1085" i="6" a="1"/>
  <c r="A1085" i="6" s="1"/>
  <c r="A1086" i="6" a="1"/>
  <c r="A1086" i="6" s="1"/>
  <c r="A1087" i="6" a="1"/>
  <c r="A1087" i="6" s="1"/>
  <c r="A1088" i="6" a="1"/>
  <c r="A1088" i="6" s="1"/>
  <c r="A1089" i="6" a="1"/>
  <c r="A1089" i="6" s="1"/>
  <c r="A1090" i="6" a="1"/>
  <c r="A1090" i="6" s="1"/>
  <c r="A1091" i="6" a="1"/>
  <c r="A1091" i="6" s="1"/>
  <c r="A1092" i="6" a="1"/>
  <c r="A1092" i="6" s="1"/>
  <c r="A1093" i="6" a="1"/>
  <c r="A1093" i="6" s="1"/>
  <c r="A1094" i="6" a="1"/>
  <c r="A1094" i="6" s="1"/>
  <c r="A1095" i="6" a="1"/>
  <c r="A1095" i="6" s="1"/>
  <c r="A1096" i="6" a="1"/>
  <c r="A1096" i="6" s="1"/>
  <c r="A1097" i="6" a="1"/>
  <c r="A1097" i="6" s="1"/>
  <c r="A1098" i="6" a="1"/>
  <c r="A1098" i="6" s="1"/>
  <c r="A1099" i="6" a="1"/>
  <c r="A1099" i="6" s="1"/>
  <c r="A1100" i="6" a="1"/>
  <c r="A1100" i="6" s="1"/>
  <c r="A1101" i="6" a="1"/>
  <c r="A1101" i="6" s="1"/>
  <c r="A1102" i="6" a="1"/>
  <c r="A1102" i="6" s="1"/>
  <c r="A1103" i="6" a="1"/>
  <c r="A1103" i="6" s="1"/>
  <c r="A1104" i="6" a="1"/>
  <c r="A1104" i="6" s="1"/>
  <c r="A1105" i="6" a="1"/>
  <c r="A1105" i="6" s="1"/>
  <c r="A1106" i="6" a="1"/>
  <c r="A1106" i="6" s="1"/>
  <c r="A1107" i="6" a="1"/>
  <c r="A1107" i="6" s="1"/>
  <c r="A1108" i="6" a="1"/>
  <c r="A1108" i="6" s="1"/>
  <c r="A1109" i="6" a="1"/>
  <c r="A1109" i="6" s="1"/>
  <c r="A1110" i="6" a="1"/>
  <c r="A1110" i="6" s="1"/>
  <c r="A1111" i="6" a="1"/>
  <c r="A1111" i="6" s="1"/>
  <c r="A1112" i="6" a="1"/>
  <c r="A1112" i="6" s="1"/>
  <c r="A1113" i="6" a="1"/>
  <c r="A1113" i="6" s="1"/>
  <c r="A1114" i="6" a="1"/>
  <c r="A1114" i="6" s="1"/>
  <c r="A1115" i="6" a="1"/>
  <c r="A1115" i="6" s="1"/>
  <c r="A1116" i="6" a="1"/>
  <c r="A1116" i="6" s="1"/>
  <c r="A1117" i="6" a="1"/>
  <c r="A1117" i="6" s="1"/>
  <c r="A1118" i="6" a="1"/>
  <c r="A1118" i="6" s="1"/>
  <c r="A1119" i="6" a="1"/>
  <c r="A1119" i="6" s="1"/>
  <c r="A1120" i="6" a="1"/>
  <c r="A1120" i="6" s="1"/>
  <c r="A1121" i="6" a="1"/>
  <c r="A1121" i="6" s="1"/>
  <c r="A1122" i="6" a="1"/>
  <c r="A1122" i="6" s="1"/>
  <c r="A1123" i="6" a="1"/>
  <c r="A1123" i="6" s="1"/>
  <c r="A1124" i="6" a="1"/>
  <c r="A1124" i="6" s="1"/>
  <c r="A1125" i="6" a="1"/>
  <c r="A1125" i="6" s="1"/>
  <c r="A1126" i="6" a="1"/>
  <c r="A1126" i="6" s="1"/>
  <c r="A1127" i="6" a="1"/>
  <c r="A1127" i="6" s="1"/>
  <c r="A1128" i="6" a="1"/>
  <c r="A1128" i="6" s="1"/>
  <c r="A1129" i="6" a="1"/>
  <c r="A1129" i="6" s="1"/>
  <c r="A1130" i="6" a="1"/>
  <c r="A1130" i="6" s="1"/>
  <c r="A1131" i="6" a="1"/>
  <c r="A1131" i="6" s="1"/>
  <c r="A1132" i="6" a="1"/>
  <c r="A1132" i="6" s="1"/>
  <c r="A1133" i="6" a="1"/>
  <c r="A1133" i="6" s="1"/>
  <c r="A1134" i="6" a="1"/>
  <c r="A1134" i="6" s="1"/>
  <c r="A1135" i="6" a="1"/>
  <c r="A1135" i="6" s="1"/>
  <c r="A1136" i="6" a="1"/>
  <c r="A1136" i="6" s="1"/>
  <c r="A1137" i="6" a="1"/>
  <c r="A1137" i="6" s="1"/>
  <c r="A1138" i="6" a="1"/>
  <c r="A1138" i="6" s="1"/>
  <c r="A1139" i="6" a="1"/>
  <c r="A1139" i="6" s="1"/>
  <c r="A1140" i="6" a="1"/>
  <c r="A1140" i="6" s="1"/>
  <c r="A1141" i="6" a="1"/>
  <c r="A1141" i="6" s="1"/>
  <c r="A1142" i="6" a="1"/>
  <c r="A1142" i="6" s="1"/>
  <c r="A1143" i="6" a="1"/>
  <c r="A1143" i="6" s="1"/>
  <c r="A1144" i="6" a="1"/>
  <c r="A1144" i="6" s="1"/>
  <c r="A1145" i="6" a="1"/>
  <c r="A1145" i="6" s="1"/>
  <c r="A1146" i="6" a="1"/>
  <c r="A1146" i="6" s="1"/>
  <c r="A1147" i="6" a="1"/>
  <c r="A1147" i="6" s="1"/>
  <c r="A1148" i="6" a="1"/>
  <c r="A1148" i="6" s="1"/>
  <c r="A1149" i="6" a="1"/>
  <c r="A1149" i="6" s="1"/>
  <c r="A1150" i="6" a="1"/>
  <c r="A1150" i="6" s="1"/>
  <c r="A1151" i="6" a="1"/>
  <c r="A1151" i="6" s="1"/>
  <c r="A1152" i="6" a="1"/>
  <c r="A1152" i="6" s="1"/>
  <c r="A1153" i="6" a="1"/>
  <c r="A1153" i="6" s="1"/>
  <c r="A1154" i="6" a="1"/>
  <c r="A1154" i="6" s="1"/>
  <c r="A1155" i="6" a="1"/>
  <c r="A1155" i="6" s="1"/>
  <c r="A1156" i="6" a="1"/>
  <c r="A1156" i="6" s="1"/>
  <c r="A1157" i="6" a="1"/>
  <c r="A1157" i="6" s="1"/>
  <c r="A1158" i="6" a="1"/>
  <c r="A1158" i="6" s="1"/>
  <c r="A1159" i="6" a="1"/>
  <c r="A1159" i="6" s="1"/>
  <c r="A1160" i="6" a="1"/>
  <c r="A1160" i="6" s="1"/>
  <c r="A1161" i="6" a="1"/>
  <c r="A1161" i="6" s="1"/>
  <c r="A1162" i="6" a="1"/>
  <c r="A1162" i="6" s="1"/>
  <c r="A1163" i="6" a="1"/>
  <c r="A1163" i="6" s="1"/>
  <c r="A1164" i="6" a="1"/>
  <c r="A1164" i="6" s="1"/>
  <c r="A1165" i="6" a="1"/>
  <c r="A1165" i="6" s="1"/>
  <c r="A1166" i="6" a="1"/>
  <c r="A1166" i="6" s="1"/>
  <c r="A1167" i="6" a="1"/>
  <c r="A1167" i="6" s="1"/>
  <c r="A1168" i="6" a="1"/>
  <c r="A1168" i="6" s="1"/>
  <c r="A1169" i="6" a="1"/>
  <c r="A1169" i="6" s="1"/>
  <c r="A1170" i="6" a="1"/>
  <c r="A1170" i="6" s="1"/>
  <c r="A1171" i="6" a="1"/>
  <c r="A1171" i="6" s="1"/>
  <c r="A1172" i="6" a="1"/>
  <c r="A1172" i="6" s="1"/>
  <c r="A1173" i="6" a="1"/>
  <c r="A1173" i="6" s="1"/>
  <c r="A1174" i="6" a="1"/>
  <c r="A1174" i="6" s="1"/>
  <c r="A1175" i="6" a="1"/>
  <c r="A1175" i="6" s="1"/>
  <c r="A1176" i="6" a="1"/>
  <c r="A1176" i="6" s="1"/>
  <c r="A1177" i="6" a="1"/>
  <c r="A1177" i="6" s="1"/>
  <c r="A1178" i="6" a="1"/>
  <c r="A1178" i="6" s="1"/>
  <c r="A1179" i="6" a="1"/>
  <c r="A1179" i="6" s="1"/>
  <c r="A1180" i="6" a="1"/>
  <c r="A1180" i="6" s="1"/>
  <c r="A1181" i="6" a="1"/>
  <c r="A1181" i="6" s="1"/>
  <c r="A1182" i="6" a="1"/>
  <c r="A1182" i="6" s="1"/>
  <c r="A1183" i="6" a="1"/>
  <c r="A1183" i="6" s="1"/>
  <c r="A1184" i="6" a="1"/>
  <c r="A1184" i="6" s="1"/>
  <c r="A1185" i="6" a="1"/>
  <c r="A1185" i="6" s="1"/>
  <c r="A1186" i="6" a="1"/>
  <c r="A1186" i="6" s="1"/>
  <c r="A1187" i="6" a="1"/>
  <c r="A1187" i="6" s="1"/>
  <c r="A1188" i="6" a="1"/>
  <c r="A1188" i="6" s="1"/>
  <c r="A1189" i="6" a="1"/>
  <c r="A1189" i="6" s="1"/>
  <c r="A1190" i="6" a="1"/>
  <c r="A1190" i="6" s="1"/>
  <c r="A1191" i="6" a="1"/>
  <c r="A1191" i="6" s="1"/>
  <c r="A1192" i="6" a="1"/>
  <c r="A1192" i="6" s="1"/>
  <c r="A1193" i="6" a="1"/>
  <c r="A1193" i="6" s="1"/>
  <c r="A1194" i="6" a="1"/>
  <c r="A1194" i="6" s="1"/>
  <c r="A1195" i="6" a="1"/>
  <c r="A1195" i="6" s="1"/>
  <c r="A1196" i="6" a="1"/>
  <c r="A1196" i="6" s="1"/>
  <c r="A1197" i="6" a="1"/>
  <c r="A1197" i="6" s="1"/>
  <c r="A1198" i="6" a="1"/>
  <c r="A1198" i="6" s="1"/>
  <c r="A1199" i="6" a="1"/>
  <c r="A1199" i="6" s="1"/>
  <c r="A1200" i="6" a="1"/>
  <c r="A1200" i="6" s="1"/>
  <c r="A1201" i="6" a="1"/>
  <c r="A1201" i="6" s="1"/>
  <c r="A1202" i="6" a="1"/>
  <c r="A1202" i="6" s="1"/>
  <c r="A1203" i="6" a="1"/>
  <c r="A1203" i="6" s="1"/>
  <c r="A1204" i="6" a="1"/>
  <c r="A1204" i="6" s="1"/>
  <c r="A1205" i="6" a="1"/>
  <c r="A1205" i="6" s="1"/>
  <c r="A1206" i="6" a="1"/>
  <c r="A1206" i="6" s="1"/>
  <c r="A1207" i="6" a="1"/>
  <c r="A1207" i="6" s="1"/>
  <c r="A1208" i="6" a="1"/>
  <c r="A1208" i="6" s="1"/>
  <c r="A1209" i="6" a="1"/>
  <c r="A1209" i="6" s="1"/>
  <c r="A1210" i="6" a="1"/>
  <c r="A1210" i="6" s="1"/>
  <c r="A1211" i="6" a="1"/>
  <c r="A1211" i="6" s="1"/>
  <c r="A1212" i="6" a="1"/>
  <c r="A1212" i="6" s="1"/>
  <c r="A1213" i="6" a="1"/>
  <c r="A1213" i="6" s="1"/>
  <c r="A1214" i="6" a="1"/>
  <c r="A1214" i="6" s="1"/>
  <c r="A1215" i="6" a="1"/>
  <c r="A1215" i="6" s="1"/>
  <c r="A1216" i="6" a="1"/>
  <c r="A1216" i="6" s="1"/>
  <c r="A1217" i="6" a="1"/>
  <c r="A1217" i="6" s="1"/>
  <c r="A1218" i="6" a="1"/>
  <c r="A1218" i="6" s="1"/>
  <c r="A1219" i="6" a="1"/>
  <c r="A1219" i="6" s="1"/>
  <c r="A1220" i="6" a="1"/>
  <c r="A1220" i="6" s="1"/>
  <c r="A1221" i="6" a="1"/>
  <c r="A1221" i="6" s="1"/>
  <c r="A1222" i="6" a="1"/>
  <c r="A1222" i="6" s="1"/>
  <c r="A1223" i="6" a="1"/>
  <c r="A1223" i="6" s="1"/>
  <c r="A1224" i="6" a="1"/>
  <c r="A1224" i="6" s="1"/>
  <c r="A1225" i="6" a="1"/>
  <c r="A1225" i="6" s="1"/>
  <c r="A1226" i="6" a="1"/>
  <c r="A1226" i="6" s="1"/>
  <c r="A1227" i="6" a="1"/>
  <c r="A1227" i="6" s="1"/>
  <c r="A1228" i="6" a="1"/>
  <c r="A1228" i="6" s="1"/>
  <c r="A1229" i="6" a="1"/>
  <c r="A1229" i="6" s="1"/>
  <c r="A1230" i="6" a="1"/>
  <c r="A1230" i="6" s="1"/>
  <c r="A1231" i="6" a="1"/>
  <c r="A1231" i="6" s="1"/>
  <c r="A1232" i="6" a="1"/>
  <c r="A1232" i="6" s="1"/>
  <c r="A1233" i="6" a="1"/>
  <c r="A1233" i="6" s="1"/>
  <c r="A1234" i="6" a="1"/>
  <c r="A1234" i="6" s="1"/>
  <c r="A1235" i="6" a="1"/>
  <c r="A1235" i="6" s="1"/>
  <c r="A1236" i="6" a="1"/>
  <c r="A1236" i="6" s="1"/>
  <c r="A1237" i="6" a="1"/>
  <c r="A1237" i="6" s="1"/>
  <c r="A1238" i="6" a="1"/>
  <c r="A1238" i="6" s="1"/>
  <c r="A1239" i="6" a="1"/>
  <c r="A1239" i="6" s="1"/>
  <c r="A1240" i="6" a="1"/>
  <c r="A1240" i="6" s="1"/>
  <c r="A1241" i="6" a="1"/>
  <c r="A1241" i="6" s="1"/>
  <c r="A1242" i="6" a="1"/>
  <c r="A1242" i="6" s="1"/>
  <c r="A1243" i="6" a="1"/>
  <c r="A1243" i="6" s="1"/>
  <c r="A1244" i="6" a="1"/>
  <c r="A1244" i="6" s="1"/>
  <c r="A1245" i="6" a="1"/>
  <c r="A1245" i="6" s="1"/>
  <c r="A1246" i="6" a="1"/>
  <c r="A1246" i="6" s="1"/>
  <c r="A1247" i="6" a="1"/>
  <c r="A1247" i="6" s="1"/>
  <c r="A1248" i="6" a="1"/>
  <c r="A1248" i="6" s="1"/>
  <c r="A1249" i="6" a="1"/>
  <c r="A1249" i="6" s="1"/>
  <c r="A1250" i="6" a="1"/>
  <c r="A1250" i="6" s="1"/>
  <c r="A1251" i="6" a="1"/>
  <c r="A1251" i="6" s="1"/>
  <c r="A1252" i="6" a="1"/>
  <c r="A1252" i="6" s="1"/>
  <c r="A1253" i="6" a="1"/>
  <c r="A1253" i="6" s="1"/>
  <c r="A1254" i="6" a="1"/>
  <c r="A1254" i="6" s="1"/>
  <c r="A1255" i="6" a="1"/>
  <c r="A1255" i="6" s="1"/>
  <c r="A1256" i="6" a="1"/>
  <c r="A1256" i="6" s="1"/>
  <c r="A1257" i="6" a="1"/>
  <c r="A1257" i="6" s="1"/>
  <c r="A1258" i="6" a="1"/>
  <c r="A1258" i="6" s="1"/>
  <c r="A1259" i="6" a="1"/>
  <c r="A1259" i="6" s="1"/>
  <c r="A1260" i="6" a="1"/>
  <c r="A1260" i="6" s="1"/>
  <c r="A1261" i="6" a="1"/>
  <c r="A1261" i="6" s="1"/>
  <c r="A1262" i="6" a="1"/>
  <c r="A1262" i="6" s="1"/>
  <c r="A1263" i="6" a="1"/>
  <c r="A1263" i="6" s="1"/>
  <c r="A1264" i="6" a="1"/>
  <c r="A1264" i="6" s="1"/>
  <c r="A1265" i="6" a="1"/>
  <c r="A1265" i="6" s="1"/>
  <c r="A1266" i="6" a="1"/>
  <c r="A1266" i="6" s="1"/>
  <c r="A1267" i="6" a="1"/>
  <c r="A1267" i="6" s="1"/>
  <c r="A1268" i="6" a="1"/>
  <c r="A1268" i="6" s="1"/>
  <c r="A1269" i="6" a="1"/>
  <c r="A1269" i="6" s="1"/>
  <c r="A1270" i="6" a="1"/>
  <c r="A1270" i="6" s="1"/>
  <c r="A1271" i="6" a="1"/>
  <c r="A1271" i="6" s="1"/>
  <c r="A1272" i="6" a="1"/>
  <c r="A1272" i="6" s="1"/>
  <c r="A1273" i="6" a="1"/>
  <c r="A1273" i="6" s="1"/>
  <c r="A1274" i="6" a="1"/>
  <c r="A1274" i="6" s="1"/>
  <c r="A1275" i="6" a="1"/>
  <c r="A1275" i="6" s="1"/>
  <c r="A1276" i="6" a="1"/>
  <c r="A1276" i="6" s="1"/>
  <c r="A1277" i="6" a="1"/>
  <c r="A1277" i="6" s="1"/>
  <c r="A1278" i="6" a="1"/>
  <c r="A1278" i="6" s="1"/>
  <c r="A1279" i="6" a="1"/>
  <c r="A1279" i="6" s="1"/>
  <c r="A1280" i="6" a="1"/>
  <c r="A1280" i="6" s="1"/>
  <c r="A1281" i="6" a="1"/>
  <c r="A1281" i="6" s="1"/>
  <c r="A1282" i="6" a="1"/>
  <c r="A1282" i="6" s="1"/>
  <c r="A1283" i="6" a="1"/>
  <c r="A1283" i="6" s="1"/>
  <c r="A1284" i="6" a="1"/>
  <c r="A1284" i="6" s="1"/>
  <c r="A1285" i="6" a="1"/>
  <c r="A1285" i="6" s="1"/>
  <c r="A1286" i="6" a="1"/>
  <c r="A1286" i="6" s="1"/>
  <c r="A1287" i="6" a="1"/>
  <c r="A1287" i="6" s="1"/>
  <c r="A1288" i="6" a="1"/>
  <c r="A1288" i="6" s="1"/>
  <c r="A1289" i="6" a="1"/>
  <c r="A1289" i="6" s="1"/>
  <c r="A1290" i="6" a="1"/>
  <c r="A1290" i="6" s="1"/>
  <c r="A1291" i="6" a="1"/>
  <c r="A1291" i="6" s="1"/>
  <c r="A1292" i="6" a="1"/>
  <c r="A1292" i="6" s="1"/>
  <c r="A1293" i="6" a="1"/>
  <c r="A1293" i="6" s="1"/>
  <c r="A1294" i="6" a="1"/>
  <c r="A1294" i="6" s="1"/>
  <c r="A1295" i="6" a="1"/>
  <c r="A1295" i="6" s="1"/>
  <c r="A1296" i="6" a="1"/>
  <c r="A1296" i="6" s="1"/>
  <c r="A1297" i="6" a="1"/>
  <c r="A1297" i="6" s="1"/>
  <c r="A1298" i="6" a="1"/>
  <c r="A1298" i="6" s="1"/>
  <c r="A1299" i="6" a="1"/>
  <c r="A1299" i="6" s="1"/>
  <c r="A1300" i="6" a="1"/>
  <c r="A1300" i="6" s="1"/>
  <c r="A1301" i="6" a="1"/>
  <c r="A1301" i="6" s="1"/>
  <c r="A1302" i="6" a="1"/>
  <c r="A1302" i="6" s="1"/>
  <c r="A1303" i="6" a="1"/>
  <c r="A1303" i="6" s="1"/>
  <c r="A1304" i="6" a="1"/>
  <c r="A1304" i="6" s="1"/>
  <c r="A1305" i="6" a="1"/>
  <c r="A1305" i="6" s="1"/>
  <c r="A1306" i="6" a="1"/>
  <c r="A1306" i="6" s="1"/>
  <c r="A1307" i="6" a="1"/>
  <c r="A1307" i="6" s="1"/>
  <c r="A1308" i="6" a="1"/>
  <c r="A1308" i="6" s="1"/>
  <c r="A1309" i="6" a="1"/>
  <c r="A1309" i="6" s="1"/>
  <c r="A1310" i="6" a="1"/>
  <c r="A1310" i="6" s="1"/>
  <c r="A1311" i="6" a="1"/>
  <c r="A1311" i="6" s="1"/>
  <c r="A1312" i="6" a="1"/>
  <c r="A1312" i="6" s="1"/>
  <c r="A1313" i="6" a="1"/>
  <c r="A1313" i="6" s="1"/>
  <c r="A1314" i="6" a="1"/>
  <c r="A1314" i="6" s="1"/>
  <c r="A1315" i="6" a="1"/>
  <c r="A1315" i="6" s="1"/>
  <c r="A1316" i="6" a="1"/>
  <c r="A1316" i="6" s="1"/>
  <c r="A1317" i="6" a="1"/>
  <c r="A1317" i="6" s="1"/>
  <c r="A1318" i="6" a="1"/>
  <c r="A1318" i="6" s="1"/>
  <c r="A1319" i="6" a="1"/>
  <c r="A1319" i="6" s="1"/>
  <c r="A1320" i="6" a="1"/>
  <c r="A1320" i="6" s="1"/>
  <c r="A1321" i="6" a="1"/>
  <c r="A1321" i="6" s="1"/>
  <c r="A1322" i="6" a="1"/>
  <c r="A1322" i="6" s="1"/>
  <c r="A1323" i="6" a="1"/>
  <c r="A1323" i="6" s="1"/>
  <c r="A1324" i="6" a="1"/>
  <c r="A1324" i="6" s="1"/>
  <c r="A1325" i="6" a="1"/>
  <c r="A1325" i="6" s="1"/>
  <c r="A1326" i="6" a="1"/>
  <c r="A1326" i="6" s="1"/>
  <c r="A1327" i="6" a="1"/>
  <c r="A1327" i="6" s="1"/>
  <c r="A1328" i="6" a="1"/>
  <c r="A1328" i="6" s="1"/>
  <c r="A1329" i="6" a="1"/>
  <c r="A1329" i="6" s="1"/>
  <c r="A1330" i="6" a="1"/>
  <c r="A1330" i="6" s="1"/>
  <c r="A1331" i="6" a="1"/>
  <c r="A1331" i="6" s="1"/>
  <c r="A1332" i="6" a="1"/>
  <c r="A1332" i="6" s="1"/>
  <c r="A1333" i="6" a="1"/>
  <c r="A1333" i="6" s="1"/>
  <c r="A1334" i="6" a="1"/>
  <c r="A1334" i="6" s="1"/>
  <c r="A1335" i="6" a="1"/>
  <c r="A1335" i="6" s="1"/>
  <c r="A1336" i="6" a="1"/>
  <c r="A1336" i="6" s="1"/>
  <c r="A1337" i="6" a="1"/>
  <c r="A1337" i="6" s="1"/>
  <c r="A1338" i="6" a="1"/>
  <c r="A1338" i="6" s="1"/>
  <c r="A1339" i="6" a="1"/>
  <c r="A1339" i="6" s="1"/>
  <c r="A1340" i="6" a="1"/>
  <c r="A1340" i="6" s="1"/>
  <c r="A1341" i="6" a="1"/>
  <c r="A1341" i="6" s="1"/>
  <c r="A1342" i="6" a="1"/>
  <c r="A1342" i="6" s="1"/>
  <c r="A1343" i="6" a="1"/>
  <c r="A1343" i="6" s="1"/>
  <c r="A1344" i="6" a="1"/>
  <c r="A1344" i="6" s="1"/>
  <c r="A1345" i="6" a="1"/>
  <c r="A1345" i="6" s="1"/>
  <c r="A1346" i="6" a="1"/>
  <c r="A1346" i="6" s="1"/>
  <c r="A1347" i="6" a="1"/>
  <c r="A1347" i="6" s="1"/>
  <c r="A1348" i="6" a="1"/>
  <c r="A1348" i="6" s="1"/>
  <c r="A1349" i="6" a="1"/>
  <c r="A1349" i="6" s="1"/>
  <c r="A1350" i="6" a="1"/>
  <c r="A1350" i="6" s="1"/>
  <c r="A1351" i="6" a="1"/>
  <c r="A1351" i="6" s="1"/>
  <c r="A1352" i="6" a="1"/>
  <c r="A1352" i="6" s="1"/>
  <c r="A1353" i="6" a="1"/>
  <c r="A1353" i="6" s="1"/>
  <c r="A1354" i="6" a="1"/>
  <c r="A1354" i="6" s="1"/>
  <c r="A1355" i="6" a="1"/>
  <c r="A1355" i="6" s="1"/>
  <c r="A1356" i="6" a="1"/>
  <c r="A1356" i="6" s="1"/>
  <c r="A1357" i="6" a="1"/>
  <c r="A1357" i="6" s="1"/>
  <c r="A1358" i="6" a="1"/>
  <c r="A1358" i="6" s="1"/>
  <c r="A1359" i="6" a="1"/>
  <c r="A1359" i="6" s="1"/>
  <c r="A1360" i="6" a="1"/>
  <c r="A1360" i="6" s="1"/>
  <c r="A1361" i="6" a="1"/>
  <c r="A1361" i="6" s="1"/>
  <c r="A1362" i="6" a="1"/>
  <c r="A1362" i="6" s="1"/>
  <c r="A1363" i="6" a="1"/>
  <c r="A1363" i="6" s="1"/>
  <c r="A1364" i="6" a="1"/>
  <c r="A1364" i="6" s="1"/>
  <c r="A1365" i="6" a="1"/>
  <c r="A1365" i="6" s="1"/>
  <c r="A1366" i="6" a="1"/>
  <c r="A1366" i="6" s="1"/>
  <c r="A1367" i="6" a="1"/>
  <c r="A1367" i="6" s="1"/>
  <c r="A1368" i="6" a="1"/>
  <c r="A1368" i="6" s="1"/>
  <c r="A1369" i="6" a="1"/>
  <c r="A1369" i="6" s="1"/>
  <c r="A1370" i="6" a="1"/>
  <c r="A1370" i="6" s="1"/>
  <c r="A1371" i="6" a="1"/>
  <c r="A1371" i="6" s="1"/>
  <c r="A1372" i="6" a="1"/>
  <c r="A1372" i="6" s="1"/>
  <c r="A1373" i="6" a="1"/>
  <c r="A1373" i="6" s="1"/>
  <c r="A1374" i="6" a="1"/>
  <c r="A1374" i="6" s="1"/>
  <c r="A1375" i="6" a="1"/>
  <c r="A1375" i="6" s="1"/>
  <c r="A1376" i="6" a="1"/>
  <c r="A1376" i="6" s="1"/>
  <c r="A1377" i="6" a="1"/>
  <c r="A1377" i="6" s="1"/>
  <c r="A1378" i="6" a="1"/>
  <c r="A1378" i="6" s="1"/>
  <c r="A1379" i="6" a="1"/>
  <c r="A1379" i="6" s="1"/>
  <c r="A1380" i="6" a="1"/>
  <c r="A1380" i="6" s="1"/>
  <c r="A1381" i="6" a="1"/>
  <c r="A1381" i="6" s="1"/>
  <c r="A1382" i="6" a="1"/>
  <c r="A1382" i="6" s="1"/>
  <c r="A1383" i="6" a="1"/>
  <c r="A1383" i="6" s="1"/>
  <c r="A1384" i="6" a="1"/>
  <c r="A1384" i="6" s="1"/>
  <c r="A1385" i="6" a="1"/>
  <c r="A1385" i="6" s="1"/>
  <c r="A1386" i="6" a="1"/>
  <c r="A1386" i="6" s="1"/>
  <c r="A1387" i="6" a="1"/>
  <c r="A1387" i="6" s="1"/>
  <c r="A1388" i="6" a="1"/>
  <c r="A1388" i="6" s="1"/>
  <c r="A1389" i="6" a="1"/>
  <c r="A1389" i="6" s="1"/>
  <c r="A1390" i="6" a="1"/>
  <c r="A1390" i="6" s="1"/>
  <c r="A1391" i="6" a="1"/>
  <c r="A1391" i="6" s="1"/>
  <c r="A1392" i="6" a="1"/>
  <c r="A1392" i="6" s="1"/>
  <c r="A1393" i="6" a="1"/>
  <c r="A1393" i="6" s="1"/>
  <c r="A1394" i="6" a="1"/>
  <c r="A1394" i="6" s="1"/>
  <c r="A1395" i="6" a="1"/>
  <c r="A1395" i="6" s="1"/>
  <c r="A1396" i="6" a="1"/>
  <c r="A1396" i="6" s="1"/>
  <c r="A1397" i="6" a="1"/>
  <c r="A1397" i="6" s="1"/>
  <c r="A1398" i="6" a="1"/>
  <c r="A1398" i="6" s="1"/>
  <c r="A1399" i="6" a="1"/>
  <c r="A1399" i="6" s="1"/>
  <c r="A1400" i="6" a="1"/>
  <c r="A1400" i="6" s="1"/>
  <c r="A1401" i="6" a="1"/>
  <c r="A1401" i="6" s="1"/>
  <c r="A1402" i="6" a="1"/>
  <c r="A1402" i="6" s="1"/>
  <c r="A1403" i="6" a="1"/>
  <c r="A1403" i="6" s="1"/>
  <c r="A1404" i="6" a="1"/>
  <c r="A1404" i="6" s="1"/>
  <c r="A1405" i="6" a="1"/>
  <c r="A1405" i="6" s="1"/>
  <c r="A1406" i="6" a="1"/>
  <c r="A1406" i="6" s="1"/>
  <c r="A1407" i="6" a="1"/>
  <c r="A1407" i="6" s="1"/>
  <c r="A1408" i="6" a="1"/>
  <c r="A1408" i="6" s="1"/>
  <c r="A1409" i="6" a="1"/>
  <c r="A1409" i="6" s="1"/>
  <c r="A1410" i="6" a="1"/>
  <c r="A1410" i="6" s="1"/>
  <c r="A1411" i="6" a="1"/>
  <c r="A1411" i="6" s="1"/>
  <c r="A1412" i="6" a="1"/>
  <c r="A1412" i="6" s="1"/>
  <c r="A1413" i="6" a="1"/>
  <c r="A1413" i="6" s="1"/>
  <c r="A1414" i="6" a="1"/>
  <c r="A1414" i="6" s="1"/>
  <c r="A1415" i="6" a="1"/>
  <c r="A1415" i="6" s="1"/>
  <c r="A1416" i="6" a="1"/>
  <c r="A1416" i="6" s="1"/>
  <c r="A1417" i="6" a="1"/>
  <c r="A1417" i="6" s="1"/>
  <c r="A1418" i="6" a="1"/>
  <c r="A1418" i="6" s="1"/>
  <c r="A1419" i="6" a="1"/>
  <c r="A1419" i="6" s="1"/>
  <c r="A1420" i="6" a="1"/>
  <c r="A1420" i="6" s="1"/>
  <c r="A1421" i="6" a="1"/>
  <c r="A1421" i="6" s="1"/>
  <c r="A1422" i="6" a="1"/>
  <c r="A1422" i="6" s="1"/>
  <c r="A1423" i="6" a="1"/>
  <c r="A1423" i="6" s="1"/>
  <c r="A1424" i="6" a="1"/>
  <c r="A1424" i="6" s="1"/>
  <c r="A1425" i="6" a="1"/>
  <c r="A1425" i="6" s="1"/>
  <c r="A1426" i="6" a="1"/>
  <c r="A1426" i="6" s="1"/>
  <c r="A1427" i="6" a="1"/>
  <c r="A1427" i="6" s="1"/>
  <c r="A1428" i="6" a="1"/>
  <c r="A1428" i="6" s="1"/>
  <c r="A1429" i="6" a="1"/>
  <c r="A1429" i="6" s="1"/>
  <c r="A1430" i="6" a="1"/>
  <c r="A1430" i="6" s="1"/>
  <c r="A1431" i="6" a="1"/>
  <c r="A1431" i="6" s="1"/>
  <c r="A1432" i="6" a="1"/>
  <c r="A1432" i="6" s="1"/>
  <c r="A1433" i="6" a="1"/>
  <c r="A1433" i="6" s="1"/>
  <c r="A1434" i="6" a="1"/>
  <c r="A1434" i="6" s="1"/>
  <c r="A1435" i="6" a="1"/>
  <c r="A1435" i="6" s="1"/>
  <c r="A1436" i="6" a="1"/>
  <c r="A1436" i="6" s="1"/>
  <c r="A1437" i="6" a="1"/>
  <c r="A1437" i="6" s="1"/>
  <c r="A1438" i="6" a="1"/>
  <c r="A1438" i="6" s="1"/>
  <c r="A1439" i="6" a="1"/>
  <c r="A1439" i="6" s="1"/>
  <c r="A1440" i="6" a="1"/>
  <c r="A1440" i="6" s="1"/>
  <c r="A1441" i="6" a="1"/>
  <c r="A1441" i="6" s="1"/>
  <c r="A1442" i="6" a="1"/>
  <c r="A1442" i="6" s="1"/>
  <c r="A1443" i="6" a="1"/>
  <c r="A1443" i="6" s="1"/>
  <c r="A1444" i="6" a="1"/>
  <c r="A1444" i="6" s="1"/>
  <c r="A1445" i="6" a="1"/>
  <c r="A1445" i="6" s="1"/>
  <c r="A1446" i="6" a="1"/>
  <c r="A1446" i="6" s="1"/>
  <c r="A1447" i="6" a="1"/>
  <c r="A1447" i="6" s="1"/>
  <c r="A1448" i="6" a="1"/>
  <c r="A1448" i="6" s="1"/>
  <c r="A1449" i="6" a="1"/>
  <c r="A1449" i="6" s="1"/>
  <c r="A1450" i="6" a="1"/>
  <c r="A1450" i="6" s="1"/>
  <c r="A1451" i="6" a="1"/>
  <c r="A1451" i="6" s="1"/>
  <c r="A1452" i="6" a="1"/>
  <c r="A1452" i="6" s="1"/>
  <c r="A1453" i="6" a="1"/>
  <c r="A1453" i="6" s="1"/>
  <c r="A1454" i="6" a="1"/>
  <c r="A1454" i="6" s="1"/>
  <c r="A1455" i="6" a="1"/>
  <c r="A1455" i="6" s="1"/>
  <c r="A1456" i="6" a="1"/>
  <c r="A1456" i="6" s="1"/>
  <c r="A1457" i="6" a="1"/>
  <c r="A1457" i="6" s="1"/>
  <c r="A1458" i="6" a="1"/>
  <c r="A1458" i="6" s="1"/>
  <c r="A1459" i="6" a="1"/>
  <c r="A1459" i="6" s="1"/>
  <c r="A1460" i="6" a="1"/>
  <c r="A1460" i="6" s="1"/>
  <c r="A1461" i="6" a="1"/>
  <c r="A1461" i="6" s="1"/>
  <c r="A1462" i="6" a="1"/>
  <c r="A1462" i="6" s="1"/>
  <c r="A1463" i="6" a="1"/>
  <c r="A1463" i="6" s="1"/>
  <c r="A1464" i="6" a="1"/>
  <c r="A1464" i="6" s="1"/>
  <c r="A1465" i="6" a="1"/>
  <c r="A1465" i="6" s="1"/>
  <c r="A1466" i="6" a="1"/>
  <c r="A1466" i="6" s="1"/>
  <c r="A1467" i="6" a="1"/>
  <c r="A1467" i="6" s="1"/>
  <c r="A1468" i="6" a="1"/>
  <c r="A1468" i="6" s="1"/>
  <c r="A1469" i="6" a="1"/>
  <c r="A1469" i="6" s="1"/>
  <c r="A1470" i="6" a="1"/>
  <c r="A1470" i="6" s="1"/>
  <c r="A1471" i="6" a="1"/>
  <c r="A1471" i="6" s="1"/>
  <c r="A1472" i="6" a="1"/>
  <c r="A1472" i="6" s="1"/>
  <c r="A1473" i="6" a="1"/>
  <c r="A1473" i="6" s="1"/>
  <c r="A1474" i="6" a="1"/>
  <c r="A1474" i="6" s="1"/>
  <c r="A1475" i="6" a="1"/>
  <c r="A1475" i="6" s="1"/>
  <c r="A1476" i="6" a="1"/>
  <c r="A1476" i="6" s="1"/>
  <c r="A1477" i="6" a="1"/>
  <c r="A1477" i="6" s="1"/>
  <c r="A1478" i="6" a="1"/>
  <c r="A1478" i="6" s="1"/>
  <c r="A1479" i="6" a="1"/>
  <c r="A1479" i="6" s="1"/>
  <c r="A1480" i="6" a="1"/>
  <c r="A1480" i="6" s="1"/>
  <c r="A1481" i="6" a="1"/>
  <c r="A1481" i="6" s="1"/>
  <c r="A1482" i="6" a="1"/>
  <c r="A1482" i="6" s="1"/>
  <c r="A1483" i="6" a="1"/>
  <c r="A1483" i="6" s="1"/>
  <c r="A1484" i="6" a="1"/>
  <c r="A1484" i="6" s="1"/>
  <c r="A1485" i="6" a="1"/>
  <c r="A1485" i="6" s="1"/>
  <c r="A1486" i="6" a="1"/>
  <c r="A1486" i="6" s="1"/>
  <c r="A1487" i="6" a="1"/>
  <c r="A1487" i="6" s="1"/>
  <c r="A1488" i="6" a="1"/>
  <c r="A1488" i="6" s="1"/>
  <c r="A1489" i="6" a="1"/>
  <c r="A1489" i="6" s="1"/>
  <c r="A1490" i="6" a="1"/>
  <c r="A1490" i="6" s="1"/>
  <c r="A1491" i="6" a="1"/>
  <c r="A1491" i="6" s="1"/>
  <c r="A1492" i="6" a="1"/>
  <c r="A1492" i="6" s="1"/>
  <c r="A1493" i="6" a="1"/>
  <c r="A1493" i="6" s="1"/>
  <c r="A1494" i="6" a="1"/>
  <c r="A1494" i="6" s="1"/>
  <c r="A1495" i="6" a="1"/>
  <c r="A1495" i="6" s="1"/>
  <c r="A1496" i="6" a="1"/>
  <c r="A1496" i="6" s="1"/>
  <c r="A1497" i="6" a="1"/>
  <c r="A1497" i="6" s="1"/>
  <c r="A1498" i="6" a="1"/>
  <c r="A1498" i="6" s="1"/>
  <c r="A1499" i="6" a="1"/>
  <c r="A1499" i="6" s="1"/>
  <c r="A1500" i="6" a="1"/>
  <c r="A1500" i="6" s="1"/>
  <c r="A1501" i="6" a="1"/>
  <c r="A1501" i="6" s="1"/>
  <c r="A1502" i="6" a="1"/>
  <c r="A1502" i="6" s="1"/>
  <c r="A1503" i="6" a="1"/>
  <c r="A1503" i="6" s="1"/>
  <c r="A1504" i="6" a="1"/>
  <c r="A1504" i="6" s="1"/>
  <c r="A1505" i="6" a="1"/>
  <c r="A1505" i="6" s="1"/>
  <c r="A1506" i="6" a="1"/>
  <c r="A1506" i="6" s="1"/>
  <c r="A1507" i="6" a="1"/>
  <c r="A1507" i="6" s="1"/>
  <c r="A1508" i="6" a="1"/>
  <c r="A1508" i="6" s="1"/>
  <c r="A1509" i="6" a="1"/>
  <c r="A1509" i="6" s="1"/>
  <c r="A1510" i="6" a="1"/>
  <c r="A1510" i="6" s="1"/>
  <c r="A1511" i="6" a="1"/>
  <c r="A1511" i="6" s="1"/>
  <c r="A1512" i="6" a="1"/>
  <c r="A1512" i="6" s="1"/>
  <c r="A1513" i="6" a="1"/>
  <c r="A1513" i="6" s="1"/>
  <c r="A1514" i="6" a="1"/>
  <c r="A1514" i="6" s="1"/>
  <c r="A1515" i="6" a="1"/>
  <c r="A1515" i="6" s="1"/>
  <c r="A1516" i="6" a="1"/>
  <c r="A1516" i="6" s="1"/>
  <c r="A1517" i="6" a="1"/>
  <c r="A1517" i="6" s="1"/>
  <c r="A1518" i="6" a="1"/>
  <c r="A1518" i="6" s="1"/>
  <c r="A1519" i="6" a="1"/>
  <c r="A1519" i="6" s="1"/>
  <c r="A1520" i="6" a="1"/>
  <c r="A1520" i="6" s="1"/>
  <c r="A1521" i="6" a="1"/>
  <c r="A1521" i="6" s="1"/>
  <c r="A1522" i="6" a="1"/>
  <c r="A1522" i="6" s="1"/>
  <c r="A1523" i="6" a="1"/>
  <c r="A1523" i="6" s="1"/>
  <c r="A1524" i="6" a="1"/>
  <c r="A1524" i="6" s="1"/>
  <c r="A1525" i="6" a="1"/>
  <c r="A1525" i="6" s="1"/>
  <c r="A1526" i="6" a="1"/>
  <c r="A1526" i="6" s="1"/>
  <c r="A1527" i="6" a="1"/>
  <c r="A1527" i="6" s="1"/>
  <c r="A1528" i="6" a="1"/>
  <c r="A1528" i="6" s="1"/>
  <c r="A1529" i="6" a="1"/>
  <c r="A1529" i="6" s="1"/>
  <c r="A1530" i="6" a="1"/>
  <c r="A1530" i="6" s="1"/>
  <c r="A1531" i="6" a="1"/>
  <c r="A1531" i="6" s="1"/>
  <c r="A1532" i="6" a="1"/>
  <c r="A1532" i="6" s="1"/>
  <c r="A1533" i="6" a="1"/>
  <c r="A1533" i="6" s="1"/>
  <c r="A1534" i="6" a="1"/>
  <c r="A1534" i="6" s="1"/>
  <c r="A1535" i="6" a="1"/>
  <c r="A1535" i="6" s="1"/>
  <c r="A1536" i="6" a="1"/>
  <c r="A1536" i="6" s="1"/>
  <c r="A1537" i="6" a="1"/>
  <c r="A1537" i="6" s="1"/>
  <c r="A1538" i="6" a="1"/>
  <c r="A1538" i="6" s="1"/>
  <c r="A1539" i="6" a="1"/>
  <c r="A1539" i="6" s="1"/>
  <c r="A1540" i="6" a="1"/>
  <c r="A1540" i="6" s="1"/>
  <c r="A1541" i="6" a="1"/>
  <c r="A1541" i="6" s="1"/>
  <c r="A1542" i="6" a="1"/>
  <c r="A1542" i="6" s="1"/>
  <c r="A1543" i="6" a="1"/>
  <c r="A1543" i="6" s="1"/>
  <c r="A1544" i="6" a="1"/>
  <c r="A1544" i="6" s="1"/>
  <c r="A1545" i="6" a="1"/>
  <c r="A1545" i="6" s="1"/>
  <c r="A1546" i="6" a="1"/>
  <c r="A1546" i="6" s="1"/>
  <c r="A1547" i="6" a="1"/>
  <c r="A1547" i="6" s="1"/>
  <c r="A1548" i="6" a="1"/>
  <c r="A1548" i="6" s="1"/>
  <c r="A1549" i="6" a="1"/>
  <c r="A1549" i="6" s="1"/>
  <c r="A1550" i="6" a="1"/>
  <c r="A1550" i="6" s="1"/>
  <c r="A1551" i="6" a="1"/>
  <c r="A1551" i="6" s="1"/>
  <c r="A1552" i="6" a="1"/>
  <c r="A1552" i="6" s="1"/>
  <c r="A1553" i="6" a="1"/>
  <c r="A1553" i="6" s="1"/>
  <c r="A1554" i="6" a="1"/>
  <c r="A1554" i="6" s="1"/>
  <c r="A1555" i="6" a="1"/>
  <c r="A1555" i="6" s="1"/>
  <c r="A1556" i="6" a="1"/>
  <c r="A1556" i="6" s="1"/>
  <c r="A1557" i="6" a="1"/>
  <c r="A1557" i="6" s="1"/>
  <c r="A1558" i="6" a="1"/>
  <c r="A1558" i="6" s="1"/>
  <c r="A1559" i="6" a="1"/>
  <c r="A1559" i="6" s="1"/>
  <c r="A1560" i="6" a="1"/>
  <c r="A1560" i="6" s="1"/>
  <c r="A1561" i="6" a="1"/>
  <c r="A1561" i="6" s="1"/>
  <c r="A1562" i="6" a="1"/>
  <c r="A1562" i="6" s="1"/>
  <c r="A1563" i="6" a="1"/>
  <c r="A1563" i="6" s="1"/>
  <c r="A1564" i="6" a="1"/>
  <c r="A1564" i="6" s="1"/>
  <c r="A1565" i="6" a="1"/>
  <c r="A1565" i="6" s="1"/>
  <c r="A1566" i="6" a="1"/>
  <c r="A1566" i="6" s="1"/>
  <c r="A1567" i="6" a="1"/>
  <c r="A1567" i="6" s="1"/>
  <c r="A1568" i="6" a="1"/>
  <c r="A1568" i="6" s="1"/>
  <c r="A1569" i="6" a="1"/>
  <c r="A1569" i="6" s="1"/>
  <c r="A1570" i="6" a="1"/>
  <c r="A1570" i="6" s="1"/>
  <c r="A1571" i="6" a="1"/>
  <c r="A1571" i="6" s="1"/>
  <c r="A1572" i="6" a="1"/>
  <c r="A1572" i="6" s="1"/>
  <c r="A1573" i="6" a="1"/>
  <c r="A1573" i="6" s="1"/>
  <c r="A1574" i="6" a="1"/>
  <c r="A1574" i="6" s="1"/>
  <c r="A1575" i="6" a="1"/>
  <c r="A1575" i="6" s="1"/>
  <c r="A1576" i="6" a="1"/>
  <c r="A1576" i="6" s="1"/>
  <c r="A1577" i="6" a="1"/>
  <c r="A1577" i="6" s="1"/>
  <c r="A1578" i="6" a="1"/>
  <c r="A1578" i="6" s="1"/>
  <c r="A1579" i="6" a="1"/>
  <c r="A1579" i="6" s="1"/>
  <c r="A1580" i="6" a="1"/>
  <c r="A1580" i="6" s="1"/>
  <c r="A1581" i="6" a="1"/>
  <c r="A1581" i="6" s="1"/>
  <c r="A1582" i="6" a="1"/>
  <c r="A1582" i="6" s="1"/>
  <c r="A1583" i="6" a="1"/>
  <c r="A1583" i="6" s="1"/>
  <c r="A1584" i="6" a="1"/>
  <c r="A1584" i="6" s="1"/>
  <c r="A1585" i="6" a="1"/>
  <c r="A1585" i="6" s="1"/>
  <c r="A1586" i="6" a="1"/>
  <c r="A1586" i="6" s="1"/>
  <c r="A1587" i="6" a="1"/>
  <c r="A1587" i="6" s="1"/>
  <c r="A1588" i="6" a="1"/>
  <c r="A1588" i="6" s="1"/>
  <c r="A1589" i="6" a="1"/>
  <c r="A1589" i="6" s="1"/>
  <c r="A1590" i="6" a="1"/>
  <c r="A1590" i="6" s="1"/>
  <c r="A1591" i="6" a="1"/>
  <c r="A1591" i="6" s="1"/>
  <c r="A1592" i="6" a="1"/>
  <c r="A1592" i="6" s="1"/>
  <c r="A1593" i="6" a="1"/>
  <c r="A1593" i="6" s="1"/>
  <c r="A1594" i="6" a="1"/>
  <c r="A1594" i="6" s="1"/>
  <c r="A1595" i="6" a="1"/>
  <c r="A1595" i="6" s="1"/>
  <c r="A1596" i="6" a="1"/>
  <c r="A1596" i="6" s="1"/>
  <c r="A1597" i="6" a="1"/>
  <c r="A1597" i="6" s="1"/>
  <c r="A1598" i="6" a="1"/>
  <c r="A1598" i="6" s="1"/>
  <c r="A1599" i="6" a="1"/>
  <c r="A1599" i="6" s="1"/>
  <c r="A1600" i="6" a="1"/>
  <c r="A1600" i="6" s="1"/>
  <c r="A1601" i="6" a="1"/>
  <c r="A1601" i="6" s="1"/>
  <c r="A1602" i="6" a="1"/>
  <c r="A1602" i="6" s="1"/>
  <c r="A1603" i="6" a="1"/>
  <c r="A1603" i="6" s="1"/>
  <c r="A1604" i="6" a="1"/>
  <c r="A1604" i="6" s="1"/>
  <c r="A1605" i="6" a="1"/>
  <c r="A1605" i="6" s="1"/>
  <c r="A1606" i="6" a="1"/>
  <c r="A1606" i="6" s="1"/>
  <c r="A1607" i="6" a="1"/>
  <c r="A1607" i="6" s="1"/>
  <c r="A1608" i="6" a="1"/>
  <c r="A1608" i="6" s="1"/>
  <c r="A1609" i="6" a="1"/>
  <c r="A1609" i="6" s="1"/>
  <c r="A1610" i="6" a="1"/>
  <c r="A1610" i="6" s="1"/>
  <c r="A1611" i="6" a="1"/>
  <c r="A1611" i="6" s="1"/>
  <c r="A1612" i="6" a="1"/>
  <c r="A1612" i="6" s="1"/>
  <c r="A1613" i="6" a="1"/>
  <c r="A1613" i="6" s="1"/>
  <c r="A1614" i="6" a="1"/>
  <c r="A1614" i="6" s="1"/>
  <c r="A1615" i="6" a="1"/>
  <c r="A1615" i="6" s="1"/>
  <c r="A1616" i="6" a="1"/>
  <c r="A1616" i="6" s="1"/>
  <c r="A1617" i="6" a="1"/>
  <c r="A1617" i="6" s="1"/>
  <c r="A1618" i="6" a="1"/>
  <c r="A1618" i="6" s="1"/>
  <c r="A1619" i="6" a="1"/>
  <c r="A1619" i="6" s="1"/>
  <c r="A1620" i="6" a="1"/>
  <c r="A1620" i="6" s="1"/>
  <c r="A1621" i="6" a="1"/>
  <c r="A1621" i="6" s="1"/>
  <c r="A1622" i="6" a="1"/>
  <c r="A1622" i="6" s="1"/>
  <c r="A1623" i="6" a="1"/>
  <c r="A1623" i="6" s="1"/>
  <c r="A1624" i="6" a="1"/>
  <c r="A1624" i="6" s="1"/>
  <c r="A1625" i="6" a="1"/>
  <c r="A1625" i="6" s="1"/>
  <c r="A1626" i="6" a="1"/>
  <c r="A1626" i="6" s="1"/>
  <c r="A1627" i="6" a="1"/>
  <c r="A1627" i="6" s="1"/>
  <c r="A1628" i="6" a="1"/>
  <c r="A1628" i="6" s="1"/>
  <c r="A1629" i="6" a="1"/>
  <c r="A1629" i="6" s="1"/>
  <c r="A1630" i="6" a="1"/>
  <c r="A1630" i="6" s="1"/>
  <c r="A1631" i="6" a="1"/>
  <c r="A1631" i="6" s="1"/>
  <c r="A1632" i="6" a="1"/>
  <c r="A1632" i="6" s="1"/>
  <c r="A1633" i="6" a="1"/>
  <c r="A1633" i="6" s="1"/>
  <c r="A1634" i="6" a="1"/>
  <c r="A1634" i="6" s="1"/>
  <c r="A1635" i="6" a="1"/>
  <c r="A1635" i="6" s="1"/>
  <c r="A1636" i="6" a="1"/>
  <c r="A1636" i="6" s="1"/>
  <c r="A1637" i="6" a="1"/>
  <c r="A1637" i="6" s="1"/>
  <c r="A1638" i="6" a="1"/>
  <c r="A1638" i="6" s="1"/>
  <c r="A1639" i="6" a="1"/>
  <c r="A1639" i="6" s="1"/>
  <c r="A1640" i="6" a="1"/>
  <c r="A1640" i="6" s="1"/>
  <c r="A1641" i="6" a="1"/>
  <c r="A1641" i="6" s="1"/>
  <c r="A1642" i="6" a="1"/>
  <c r="A1642" i="6" s="1"/>
  <c r="A1643" i="6" a="1"/>
  <c r="A1643" i="6" s="1"/>
  <c r="A1644" i="6" a="1"/>
  <c r="A1644" i="6" s="1"/>
  <c r="A1645" i="6" a="1"/>
  <c r="A1645" i="6" s="1"/>
  <c r="A1646" i="6" a="1"/>
  <c r="A1646" i="6" s="1"/>
  <c r="A1647" i="6" a="1"/>
  <c r="A1647" i="6" s="1"/>
  <c r="A1648" i="6" a="1"/>
  <c r="A1648" i="6" s="1"/>
  <c r="A1649" i="6" a="1"/>
  <c r="A1649" i="6" s="1"/>
  <c r="A1650" i="6" a="1"/>
  <c r="A1650" i="6" s="1"/>
  <c r="A1651" i="6" a="1"/>
  <c r="A1651" i="6" s="1"/>
  <c r="A1652" i="6" a="1"/>
  <c r="A1652" i="6" s="1"/>
  <c r="A1653" i="6" a="1"/>
  <c r="A1653" i="6" s="1"/>
  <c r="A1654" i="6" a="1"/>
  <c r="A1654" i="6" s="1"/>
  <c r="A1655" i="6" a="1"/>
  <c r="A1655" i="6" s="1"/>
  <c r="A1656" i="6" a="1"/>
  <c r="A1656" i="6" s="1"/>
  <c r="A1657" i="6" a="1"/>
  <c r="A1657" i="6" s="1"/>
  <c r="A1658" i="6" a="1"/>
  <c r="A1658" i="6" s="1"/>
  <c r="A1659" i="6" a="1"/>
  <c r="A1659" i="6" s="1"/>
  <c r="A1660" i="6" a="1"/>
  <c r="A1660" i="6" s="1"/>
  <c r="A1661" i="6" a="1"/>
  <c r="A1661" i="6" s="1"/>
  <c r="A1662" i="6" a="1"/>
  <c r="A1662" i="6" s="1"/>
  <c r="A1663" i="6" a="1"/>
  <c r="A1663" i="6" s="1"/>
  <c r="A1664" i="6" a="1"/>
  <c r="A1664" i="6" s="1"/>
  <c r="A1665" i="6" a="1"/>
  <c r="A1665" i="6" s="1"/>
  <c r="A1666" i="6" a="1"/>
  <c r="A1666" i="6" s="1"/>
  <c r="A1667" i="6" a="1"/>
  <c r="A1667" i="6" s="1"/>
  <c r="A1668" i="6" a="1"/>
  <c r="A1668" i="6" s="1"/>
  <c r="A1669" i="6" a="1"/>
  <c r="A1669" i="6" s="1"/>
  <c r="A1670" i="6" a="1"/>
  <c r="A1670" i="6" s="1"/>
  <c r="A1671" i="6" a="1"/>
  <c r="A1671" i="6" s="1"/>
  <c r="A1672" i="6" a="1"/>
  <c r="A1672" i="6" s="1"/>
  <c r="A1673" i="6" a="1"/>
  <c r="A1673" i="6" s="1"/>
  <c r="A1674" i="6" a="1"/>
  <c r="A1674" i="6" s="1"/>
  <c r="A1675" i="6" a="1"/>
  <c r="A1675" i="6" s="1"/>
  <c r="A1676" i="6" a="1"/>
  <c r="A1676" i="6" s="1"/>
  <c r="A1677" i="6" a="1"/>
  <c r="A1677" i="6" s="1"/>
  <c r="A1678" i="6" a="1"/>
  <c r="A1678" i="6" s="1"/>
  <c r="A1679" i="6" a="1"/>
  <c r="A1679" i="6" s="1"/>
  <c r="A1680" i="6" a="1"/>
  <c r="A1680" i="6" s="1"/>
  <c r="A1681" i="6" a="1"/>
  <c r="A1681" i="6" s="1"/>
  <c r="A1682" i="6" a="1"/>
  <c r="A1682" i="6" s="1"/>
  <c r="A1683" i="6" a="1"/>
  <c r="A1683" i="6" s="1"/>
  <c r="A1684" i="6" a="1"/>
  <c r="A1684" i="6" s="1"/>
  <c r="A1685" i="6" a="1"/>
  <c r="A1685" i="6" s="1"/>
  <c r="A1686" i="6" a="1"/>
  <c r="A1686" i="6" s="1"/>
  <c r="A1687" i="6" a="1"/>
  <c r="A1687" i="6" s="1"/>
  <c r="A1688" i="6" a="1"/>
  <c r="A1688" i="6" s="1"/>
  <c r="A1689" i="6" a="1"/>
  <c r="A1689" i="6" s="1"/>
  <c r="A1690" i="6" a="1"/>
  <c r="A1690" i="6" s="1"/>
  <c r="A1691" i="6" a="1"/>
  <c r="A1691" i="6" s="1"/>
  <c r="A1692" i="6" a="1"/>
  <c r="A1692" i="6" s="1"/>
  <c r="A1693" i="6" a="1"/>
  <c r="A1693" i="6" s="1"/>
  <c r="A1694" i="6" a="1"/>
  <c r="A1694" i="6" s="1"/>
  <c r="A1695" i="6" a="1"/>
  <c r="A1695" i="6" s="1"/>
  <c r="A1696" i="6" a="1"/>
  <c r="A1696" i="6" s="1"/>
  <c r="A1697" i="6" a="1"/>
  <c r="A1697" i="6" s="1"/>
  <c r="A1698" i="6" a="1"/>
  <c r="A1698" i="6" s="1"/>
  <c r="A1699" i="6" a="1"/>
  <c r="A1699" i="6" s="1"/>
  <c r="A1700" i="6" a="1"/>
  <c r="A1700" i="6" s="1"/>
  <c r="A1701" i="6" a="1"/>
  <c r="A1701" i="6" s="1"/>
  <c r="A1702" i="6" a="1"/>
  <c r="A1702" i="6" s="1"/>
  <c r="A1703" i="6" a="1"/>
  <c r="A1703" i="6" s="1"/>
  <c r="A1704" i="6" a="1"/>
  <c r="A1704" i="6" s="1"/>
  <c r="A1705" i="6" a="1"/>
  <c r="A1705" i="6" s="1"/>
  <c r="A1706" i="6" a="1"/>
  <c r="A1706" i="6" s="1"/>
  <c r="A1707" i="6" a="1"/>
  <c r="A1707" i="6" s="1"/>
  <c r="A1708" i="6" a="1"/>
  <c r="A1708" i="6" s="1"/>
  <c r="A1709" i="6" a="1"/>
  <c r="A1709" i="6" s="1"/>
  <c r="A1710" i="6" a="1"/>
  <c r="A1710" i="6" s="1"/>
  <c r="A1711" i="6" a="1"/>
  <c r="A1711" i="6" s="1"/>
  <c r="A1712" i="6" a="1"/>
  <c r="A1712" i="6" s="1"/>
  <c r="A1713" i="6" a="1"/>
  <c r="A1713" i="6" s="1"/>
  <c r="A1714" i="6" a="1"/>
  <c r="A1714" i="6" s="1"/>
  <c r="A1715" i="6" a="1"/>
  <c r="A1715" i="6" s="1"/>
  <c r="A1716" i="6" a="1"/>
  <c r="A1716" i="6" s="1"/>
  <c r="A1717" i="6" a="1"/>
  <c r="A1717" i="6" s="1"/>
  <c r="A1718" i="6" a="1"/>
  <c r="A1718" i="6" s="1"/>
  <c r="A1719" i="6" a="1"/>
  <c r="A1719" i="6" s="1"/>
  <c r="A1720" i="6" a="1"/>
  <c r="A1720" i="6" s="1"/>
  <c r="A1721" i="6" a="1"/>
  <c r="A1721" i="6" s="1"/>
  <c r="A1722" i="6" a="1"/>
  <c r="A1722" i="6" s="1"/>
  <c r="A1723" i="6" a="1"/>
  <c r="A1723" i="6" s="1"/>
  <c r="A1724" i="6" a="1"/>
  <c r="A1724" i="6" s="1"/>
  <c r="A1725" i="6" a="1"/>
  <c r="A1725" i="6" s="1"/>
  <c r="A1726" i="6" a="1"/>
  <c r="A1726" i="6" s="1"/>
  <c r="A1727" i="6" a="1"/>
  <c r="A1727" i="6" s="1"/>
  <c r="A1728" i="6" a="1"/>
  <c r="A1728" i="6" s="1"/>
  <c r="A1729" i="6" a="1"/>
  <c r="A1729" i="6" s="1"/>
  <c r="A1730" i="6" a="1"/>
  <c r="A1730" i="6" s="1"/>
  <c r="A1731" i="6" a="1"/>
  <c r="A1731" i="6" s="1"/>
  <c r="A1732" i="6" a="1"/>
  <c r="A1732" i="6" s="1"/>
  <c r="A1733" i="6" a="1"/>
  <c r="A1733" i="6" s="1"/>
  <c r="A1734" i="6" a="1"/>
  <c r="A1734" i="6" s="1"/>
  <c r="A1735" i="6" a="1"/>
  <c r="A1735" i="6" s="1"/>
  <c r="A1736" i="6" a="1"/>
  <c r="A1736" i="6" s="1"/>
  <c r="A1737" i="6" a="1"/>
  <c r="A1737" i="6" s="1"/>
  <c r="A1738" i="6" a="1"/>
  <c r="A1738" i="6" s="1"/>
  <c r="A1739" i="6" a="1"/>
  <c r="A1739" i="6" s="1"/>
  <c r="A1740" i="6" a="1"/>
  <c r="A1740" i="6" s="1"/>
  <c r="A1741" i="6" a="1"/>
  <c r="A1741" i="6" s="1"/>
  <c r="A1742" i="6" a="1"/>
  <c r="A1742" i="6" s="1"/>
  <c r="A1743" i="6" a="1"/>
  <c r="A1743" i="6" s="1"/>
  <c r="A1744" i="6" a="1"/>
  <c r="A1744" i="6" s="1"/>
  <c r="A1745" i="6" a="1"/>
  <c r="A1745" i="6" s="1"/>
  <c r="A1746" i="6" a="1"/>
  <c r="A1746" i="6" s="1"/>
  <c r="A1747" i="6" a="1"/>
  <c r="A1747" i="6" s="1"/>
  <c r="A1748" i="6" a="1"/>
  <c r="A1748" i="6" s="1"/>
  <c r="A1749" i="6" a="1"/>
  <c r="A1749" i="6" s="1"/>
  <c r="A1750" i="6" a="1"/>
  <c r="A1750" i="6" s="1"/>
  <c r="A1751" i="6" a="1"/>
  <c r="A1751" i="6" s="1"/>
  <c r="A1752" i="6" a="1"/>
  <c r="A1752" i="6" s="1"/>
  <c r="A1753" i="6" a="1"/>
  <c r="A1753" i="6" s="1"/>
  <c r="A1754" i="6" a="1"/>
  <c r="A1754" i="6" s="1"/>
  <c r="A1755" i="6" a="1"/>
  <c r="A1755" i="6" s="1"/>
  <c r="A1756" i="6" a="1"/>
  <c r="A1756" i="6" s="1"/>
  <c r="A1757" i="6" a="1"/>
  <c r="A1757" i="6" s="1"/>
  <c r="A1758" i="6" a="1"/>
  <c r="A1758" i="6" s="1"/>
  <c r="A1759" i="6" a="1"/>
  <c r="A1759" i="6" s="1"/>
  <c r="A1760" i="6" a="1"/>
  <c r="A1760" i="6" s="1"/>
  <c r="A1761" i="6" a="1"/>
  <c r="A1761" i="6" s="1"/>
  <c r="A1762" i="6" a="1"/>
  <c r="A1762" i="6" s="1"/>
  <c r="A1763" i="6" a="1"/>
  <c r="A1763" i="6" s="1"/>
  <c r="A1764" i="6" a="1"/>
  <c r="A1764" i="6" s="1"/>
  <c r="A1765" i="6" a="1"/>
  <c r="A1765" i="6" s="1"/>
  <c r="A1766" i="6" a="1"/>
  <c r="A1766" i="6" s="1"/>
  <c r="A1767" i="6" a="1"/>
  <c r="A1767" i="6" s="1"/>
  <c r="A1768" i="6" a="1"/>
  <c r="A1768" i="6" s="1"/>
  <c r="A1769" i="6" a="1"/>
  <c r="A1769" i="6" s="1"/>
  <c r="A1770" i="6" a="1"/>
  <c r="A1770" i="6" s="1"/>
  <c r="A1771" i="6" a="1"/>
  <c r="A1771" i="6" s="1"/>
  <c r="A1772" i="6" a="1"/>
  <c r="A1772" i="6" s="1"/>
  <c r="A1773" i="6" a="1"/>
  <c r="A1773" i="6" s="1"/>
  <c r="A1774" i="6" a="1"/>
  <c r="A1774" i="6" s="1"/>
  <c r="A1775" i="6" a="1"/>
  <c r="A1775" i="6" s="1"/>
  <c r="A1776" i="6" a="1"/>
  <c r="A1776" i="6" s="1"/>
  <c r="A1777" i="6" a="1"/>
  <c r="A1777" i="6" s="1"/>
  <c r="A1778" i="6" a="1"/>
  <c r="A1778" i="6" s="1"/>
  <c r="A1779" i="6" a="1"/>
  <c r="A1779" i="6" s="1"/>
  <c r="A1780" i="6" a="1"/>
  <c r="A1780" i="6" s="1"/>
  <c r="A1781" i="6" a="1"/>
  <c r="A1781" i="6" s="1"/>
  <c r="A1782" i="6" a="1"/>
  <c r="A1782" i="6" s="1"/>
  <c r="A1783" i="6" a="1"/>
  <c r="A1783" i="6" s="1"/>
  <c r="A1784" i="6" a="1"/>
  <c r="A1784" i="6" s="1"/>
  <c r="A1785" i="6" a="1"/>
  <c r="A1785" i="6" s="1"/>
  <c r="A1786" i="6" a="1"/>
  <c r="A1786" i="6" s="1"/>
  <c r="A1787" i="6" a="1"/>
  <c r="A1787" i="6" s="1"/>
  <c r="A1788" i="6" a="1"/>
  <c r="A1788" i="6" s="1"/>
  <c r="A1789" i="6" a="1"/>
  <c r="A1789" i="6" s="1"/>
  <c r="A1790" i="6" a="1"/>
  <c r="A1790" i="6" s="1"/>
  <c r="A1791" i="6" a="1"/>
  <c r="A1791" i="6" s="1"/>
  <c r="A1792" i="6" a="1"/>
  <c r="A1792" i="6" s="1"/>
  <c r="A1793" i="6" a="1"/>
  <c r="A1793" i="6" s="1"/>
  <c r="A1794" i="6" a="1"/>
  <c r="A1794" i="6" s="1"/>
  <c r="A1795" i="6" a="1"/>
  <c r="A1795" i="6" s="1"/>
  <c r="A1796" i="6" a="1"/>
  <c r="A1796" i="6" s="1"/>
  <c r="A1797" i="6" a="1"/>
  <c r="A1797" i="6" s="1"/>
  <c r="A1798" i="6" a="1"/>
  <c r="A1798" i="6" s="1"/>
  <c r="A1799" i="6" a="1"/>
  <c r="A1799" i="6" s="1"/>
  <c r="A1800" i="6" a="1"/>
  <c r="A1800" i="6" s="1"/>
  <c r="A1801" i="6" a="1"/>
  <c r="A1801" i="6" s="1"/>
  <c r="A1802" i="6" a="1"/>
  <c r="A1802" i="6" s="1"/>
  <c r="A1803" i="6" a="1"/>
  <c r="A1803" i="6" s="1"/>
  <c r="A1804" i="6" a="1"/>
  <c r="A1804" i="6" s="1"/>
  <c r="A1805" i="6" a="1"/>
  <c r="A1805" i="6" s="1"/>
  <c r="A1806" i="6" a="1"/>
  <c r="A1806" i="6" s="1"/>
  <c r="A1807" i="6" a="1"/>
  <c r="A1807" i="6" s="1"/>
  <c r="A1808" i="6" a="1"/>
  <c r="A1808" i="6" s="1"/>
  <c r="A1809" i="6" a="1"/>
  <c r="A1809" i="6" s="1"/>
  <c r="A1810" i="6" a="1"/>
  <c r="A1810" i="6" s="1"/>
  <c r="A1811" i="6" a="1"/>
  <c r="A1811" i="6" s="1"/>
  <c r="A1812" i="6" a="1"/>
  <c r="A1812" i="6" s="1"/>
  <c r="A1813" i="6" a="1"/>
  <c r="A1813" i="6" s="1"/>
  <c r="A1814" i="6" a="1"/>
  <c r="A1814" i="6" s="1"/>
  <c r="A1815" i="6" a="1"/>
  <c r="A1815" i="6" s="1"/>
  <c r="A1816" i="6" a="1"/>
  <c r="A1816" i="6" s="1"/>
  <c r="A1817" i="6" a="1"/>
  <c r="A1817" i="6" s="1"/>
  <c r="A1818" i="6" a="1"/>
  <c r="A1818" i="6" s="1"/>
  <c r="A1819" i="6" a="1"/>
  <c r="A1819" i="6" s="1"/>
  <c r="A1820" i="6" a="1"/>
  <c r="A1820" i="6" s="1"/>
  <c r="A1821" i="6" a="1"/>
  <c r="A1821" i="6" s="1"/>
  <c r="A1822" i="6" a="1"/>
  <c r="A1822" i="6" s="1"/>
  <c r="A1823" i="6" a="1"/>
  <c r="A1823" i="6" s="1"/>
  <c r="A1824" i="6" a="1"/>
  <c r="A1824" i="6" s="1"/>
  <c r="A1825" i="6" a="1"/>
  <c r="A1825" i="6" s="1"/>
  <c r="A1826" i="6" a="1"/>
  <c r="A1826" i="6" s="1"/>
  <c r="A1827" i="6" a="1"/>
  <c r="A1827" i="6" s="1"/>
  <c r="A1828" i="6" a="1"/>
  <c r="A1828" i="6" s="1"/>
  <c r="A1829" i="6" a="1"/>
  <c r="A1829" i="6" s="1"/>
  <c r="A1830" i="6" a="1"/>
  <c r="A1830" i="6" s="1"/>
  <c r="A1831" i="6" a="1"/>
  <c r="A1831" i="6" s="1"/>
  <c r="A1832" i="6" a="1"/>
  <c r="A1832" i="6" s="1"/>
  <c r="A1833" i="6" a="1"/>
  <c r="A1833" i="6" s="1"/>
  <c r="A1834" i="6" a="1"/>
  <c r="A1834" i="6" s="1"/>
  <c r="A1835" i="6" a="1"/>
  <c r="A1835" i="6" s="1"/>
  <c r="A1836" i="6" a="1"/>
  <c r="A1836" i="6" s="1"/>
  <c r="A1837" i="6" a="1"/>
  <c r="A1837" i="6" s="1"/>
  <c r="A1838" i="6" a="1"/>
  <c r="A1838" i="6" s="1"/>
  <c r="A1839" i="6" a="1"/>
  <c r="A1839" i="6" s="1"/>
  <c r="A1840" i="6" a="1"/>
  <c r="A1840" i="6" s="1"/>
  <c r="A1841" i="6" a="1"/>
  <c r="A1841" i="6" s="1"/>
  <c r="A1842" i="6" a="1"/>
  <c r="A1842" i="6" s="1"/>
  <c r="A1843" i="6" a="1"/>
  <c r="A1843" i="6" s="1"/>
  <c r="A1844" i="6" a="1"/>
  <c r="A1844" i="6" s="1"/>
  <c r="A1845" i="6" a="1"/>
  <c r="A1845" i="6" s="1"/>
  <c r="A1846" i="6" a="1"/>
  <c r="A1846" i="6" s="1"/>
  <c r="A1847" i="6" a="1"/>
  <c r="A1847" i="6" s="1"/>
  <c r="A1848" i="6" a="1"/>
  <c r="A1848" i="6" s="1"/>
  <c r="A1849" i="6" a="1"/>
  <c r="A1849" i="6" s="1"/>
  <c r="A1850" i="6" a="1"/>
  <c r="A1850" i="6" s="1"/>
  <c r="A1851" i="6" a="1"/>
  <c r="A1851" i="6" s="1"/>
  <c r="A1852" i="6" a="1"/>
  <c r="A1852" i="6" s="1"/>
  <c r="A1853" i="6" a="1"/>
  <c r="A1853" i="6" s="1"/>
  <c r="A1854" i="6" a="1"/>
  <c r="A1854" i="6" s="1"/>
  <c r="A1855" i="6" a="1"/>
  <c r="A1855" i="6" s="1"/>
  <c r="A1856" i="6" a="1"/>
  <c r="A1856" i="6" s="1"/>
  <c r="A1857" i="6" a="1"/>
  <c r="A1857" i="6" s="1"/>
  <c r="A1858" i="6" a="1"/>
  <c r="A1858" i="6" s="1"/>
  <c r="A1859" i="6" a="1"/>
  <c r="A1859" i="6" s="1"/>
  <c r="A1860" i="6" a="1"/>
  <c r="A1860" i="6" s="1"/>
  <c r="A1861" i="6" a="1"/>
  <c r="A1861" i="6" s="1"/>
  <c r="A1862" i="6" a="1"/>
  <c r="A1862" i="6" s="1"/>
  <c r="A1863" i="6" a="1"/>
  <c r="A1863" i="6" s="1"/>
  <c r="A1864" i="6" a="1"/>
  <c r="A1864" i="6" s="1"/>
  <c r="A1865" i="6" a="1"/>
  <c r="A1865" i="6" s="1"/>
  <c r="A1866" i="6" a="1"/>
  <c r="A1866" i="6" s="1"/>
  <c r="A1867" i="6" a="1"/>
  <c r="A1867" i="6" s="1"/>
  <c r="A1868" i="6" a="1"/>
  <c r="A1868" i="6" s="1"/>
  <c r="A1869" i="6" a="1"/>
  <c r="A1869" i="6" s="1"/>
  <c r="A1870" i="6" a="1"/>
  <c r="A1870" i="6" s="1"/>
  <c r="A1871" i="6" a="1"/>
  <c r="A1871" i="6" s="1"/>
  <c r="A1872" i="6" a="1"/>
  <c r="A1872" i="6" s="1"/>
  <c r="A1873" i="6" a="1"/>
  <c r="A1873" i="6" s="1"/>
  <c r="A1874" i="6" a="1"/>
  <c r="A1874" i="6" s="1"/>
  <c r="A1875" i="6" a="1"/>
  <c r="A1875" i="6" s="1"/>
  <c r="A1876" i="6" a="1"/>
  <c r="A1876" i="6" s="1"/>
  <c r="A1877" i="6" a="1"/>
  <c r="A1877" i="6" s="1"/>
  <c r="A1878" i="6" a="1"/>
  <c r="A1878" i="6" s="1"/>
  <c r="A1879" i="6" a="1"/>
  <c r="A1879" i="6" s="1"/>
  <c r="A1880" i="6" a="1"/>
  <c r="A1880" i="6" s="1"/>
  <c r="A1881" i="6" a="1"/>
  <c r="A1881" i="6" s="1"/>
  <c r="A1882" i="6" a="1"/>
  <c r="A1882" i="6" s="1"/>
  <c r="A1883" i="6" a="1"/>
  <c r="A1883" i="6" s="1"/>
  <c r="A1884" i="6" a="1"/>
  <c r="A1884" i="6" s="1"/>
  <c r="A1885" i="6" a="1"/>
  <c r="A1885" i="6" s="1"/>
  <c r="A1886" i="6" a="1"/>
  <c r="A1886" i="6" s="1"/>
  <c r="A1887" i="6" a="1"/>
  <c r="A1887" i="6" s="1"/>
  <c r="A1888" i="6" a="1"/>
  <c r="A1888" i="6" s="1"/>
  <c r="A1889" i="6" a="1"/>
  <c r="A1889" i="6" s="1"/>
  <c r="A1890" i="6" a="1"/>
  <c r="A1890" i="6" s="1"/>
  <c r="A1891" i="6" a="1"/>
  <c r="A1891" i="6" s="1"/>
  <c r="A1892" i="6" a="1"/>
  <c r="A1892" i="6" s="1"/>
  <c r="A1893" i="6" a="1"/>
  <c r="A1893" i="6" s="1"/>
  <c r="A1894" i="6" a="1"/>
  <c r="A1894" i="6" s="1"/>
  <c r="A1895" i="6" a="1"/>
  <c r="A1895" i="6" s="1"/>
  <c r="A1896" i="6" a="1"/>
  <c r="A1896" i="6" s="1"/>
  <c r="A1897" i="6" a="1"/>
  <c r="A1897" i="6" s="1"/>
  <c r="A1898" i="6" a="1"/>
  <c r="A1898" i="6" s="1"/>
  <c r="A1899" i="6" a="1"/>
  <c r="A1899" i="6" s="1"/>
  <c r="A1900" i="6" a="1"/>
  <c r="A1900" i="6" s="1"/>
  <c r="A1901" i="6" a="1"/>
  <c r="A1901" i="6" s="1"/>
  <c r="A1902" i="6" a="1"/>
  <c r="A1902" i="6" s="1"/>
  <c r="A1903" i="6" a="1"/>
  <c r="A1903" i="6" s="1"/>
  <c r="A1904" i="6" a="1"/>
  <c r="A1904" i="6" s="1"/>
  <c r="A1905" i="6" a="1"/>
  <c r="A1905" i="6" s="1"/>
  <c r="A1906" i="6" a="1"/>
  <c r="A1906" i="6" s="1"/>
  <c r="A1907" i="6" a="1"/>
  <c r="A1907" i="6" s="1"/>
  <c r="A1908" i="6" a="1"/>
  <c r="A1908" i="6" s="1"/>
  <c r="A1909" i="6" a="1"/>
  <c r="A1909" i="6" s="1"/>
  <c r="A1910" i="6" a="1"/>
  <c r="A1910" i="6" s="1"/>
  <c r="A1911" i="6" a="1"/>
  <c r="A1911" i="6" s="1"/>
  <c r="A1912" i="6" a="1"/>
  <c r="A1912" i="6" s="1"/>
  <c r="A1913" i="6" a="1"/>
  <c r="A1913" i="6" s="1"/>
  <c r="A1914" i="6" a="1"/>
  <c r="A1914" i="6" s="1"/>
  <c r="A1915" i="6" a="1"/>
  <c r="A1915" i="6" s="1"/>
  <c r="A1916" i="6" a="1"/>
  <c r="A1916" i="6" s="1"/>
  <c r="A1917" i="6" a="1"/>
  <c r="A1917" i="6" s="1"/>
  <c r="A1918" i="6" a="1"/>
  <c r="A1918" i="6" s="1"/>
  <c r="A1919" i="6" a="1"/>
  <c r="A1919" i="6" s="1"/>
  <c r="A1920" i="6" a="1"/>
  <c r="A1920" i="6" s="1"/>
  <c r="A1921" i="6" a="1"/>
  <c r="A1921" i="6" s="1"/>
  <c r="A1922" i="6" a="1"/>
  <c r="A1922" i="6" s="1"/>
  <c r="A1923" i="6" a="1"/>
  <c r="A1923" i="6" s="1"/>
  <c r="A1924" i="6" a="1"/>
  <c r="A1924" i="6" s="1"/>
  <c r="A1925" i="6" a="1"/>
  <c r="A1925" i="6" s="1"/>
  <c r="A1926" i="6" a="1"/>
  <c r="A1926" i="6" s="1"/>
  <c r="A1927" i="6" a="1"/>
  <c r="A1927" i="6" s="1"/>
  <c r="A1928" i="6" a="1"/>
  <c r="A1928" i="6" s="1"/>
  <c r="A1929" i="6" a="1"/>
  <c r="A1929" i="6" s="1"/>
  <c r="A1930" i="6" a="1"/>
  <c r="A1930" i="6" s="1"/>
  <c r="A1931" i="6" a="1"/>
  <c r="A1931" i="6" s="1"/>
  <c r="A1932" i="6" a="1"/>
  <c r="A1932" i="6" s="1"/>
  <c r="A1933" i="6" a="1"/>
  <c r="A1933" i="6" s="1"/>
  <c r="A1934" i="6" a="1"/>
  <c r="A1934" i="6" s="1"/>
  <c r="A1935" i="6" a="1"/>
  <c r="A1935" i="6" s="1"/>
  <c r="A1936" i="6" a="1"/>
  <c r="A1936" i="6" s="1"/>
  <c r="A1937" i="6" a="1"/>
  <c r="A1937" i="6" s="1"/>
  <c r="A1938" i="6" a="1"/>
  <c r="A1938" i="6" s="1"/>
  <c r="A1939" i="6" a="1"/>
  <c r="A1939" i="6" s="1"/>
  <c r="A1940" i="6" a="1"/>
  <c r="A1940" i="6" s="1"/>
  <c r="A1941" i="6" a="1"/>
  <c r="A1941" i="6" s="1"/>
  <c r="A1942" i="6" a="1"/>
  <c r="A1942" i="6" s="1"/>
  <c r="A1943" i="6" a="1"/>
  <c r="A1943" i="6" s="1"/>
  <c r="A1944" i="6" a="1"/>
  <c r="A1944" i="6" s="1"/>
  <c r="A1945" i="6" a="1"/>
  <c r="A1945" i="6" s="1"/>
  <c r="A1946" i="6" a="1"/>
  <c r="A1946" i="6" s="1"/>
  <c r="A1947" i="6" a="1"/>
  <c r="A1947" i="6" s="1"/>
  <c r="A1948" i="6" a="1"/>
  <c r="A1948" i="6" s="1"/>
  <c r="A1949" i="6" a="1"/>
  <c r="A1949" i="6" s="1"/>
  <c r="A1950" i="6" a="1"/>
  <c r="A1950" i="6" s="1"/>
  <c r="A1951" i="6" a="1"/>
  <c r="A1951" i="6" s="1"/>
  <c r="A1952" i="6" a="1"/>
  <c r="A1952" i="6" s="1"/>
  <c r="A1953" i="6" a="1"/>
  <c r="A1953" i="6" s="1"/>
  <c r="A1954" i="6" a="1"/>
  <c r="A1954" i="6" s="1"/>
  <c r="A1955" i="6" a="1"/>
  <c r="A1955" i="6" s="1"/>
  <c r="A1956" i="6" a="1"/>
  <c r="A1956" i="6" s="1"/>
  <c r="A1957" i="6" a="1"/>
  <c r="A1957" i="6" s="1"/>
  <c r="A1958" i="6" a="1"/>
  <c r="A1958" i="6" s="1"/>
  <c r="A1959" i="6" a="1"/>
  <c r="A1959" i="6" s="1"/>
  <c r="A1960" i="6" a="1"/>
  <c r="A1960" i="6" s="1"/>
  <c r="A1961" i="6" a="1"/>
  <c r="A1961" i="6" s="1"/>
  <c r="A1962" i="6" a="1"/>
  <c r="A1962" i="6" s="1"/>
  <c r="A1963" i="6" a="1"/>
  <c r="A1963" i="6" s="1"/>
  <c r="A1964" i="6" a="1"/>
  <c r="A1964" i="6" s="1"/>
  <c r="A1965" i="6" a="1"/>
  <c r="A1965" i="6" s="1"/>
  <c r="A1966" i="6" a="1"/>
  <c r="A1966" i="6" s="1"/>
  <c r="A1967" i="6" a="1"/>
  <c r="A1967" i="6" s="1"/>
  <c r="A1968" i="6" a="1"/>
  <c r="A1968" i="6" s="1"/>
  <c r="A1969" i="6" a="1"/>
  <c r="A1969" i="6" s="1"/>
  <c r="A1970" i="6" a="1"/>
  <c r="A1970" i="6" s="1"/>
  <c r="A1971" i="6" a="1"/>
  <c r="A1971" i="6" s="1"/>
  <c r="A1972" i="6" a="1"/>
  <c r="A1972" i="6" s="1"/>
  <c r="A1973" i="6" a="1"/>
  <c r="A1973" i="6" s="1"/>
  <c r="A1974" i="6" a="1"/>
  <c r="A1974" i="6" s="1"/>
  <c r="A1975" i="6" a="1"/>
  <c r="A1975" i="6" s="1"/>
  <c r="A1976" i="6" a="1"/>
  <c r="A1976" i="6" s="1"/>
  <c r="A1977" i="6" a="1"/>
  <c r="A1977" i="6" s="1"/>
  <c r="A1978" i="6" a="1"/>
  <c r="A1978" i="6" s="1"/>
  <c r="A1979" i="6" a="1"/>
  <c r="A1979" i="6" s="1"/>
  <c r="A1980" i="6" a="1"/>
  <c r="A1980" i="6" s="1"/>
  <c r="A1981" i="6" a="1"/>
  <c r="A1981" i="6" s="1"/>
  <c r="A1982" i="6" a="1"/>
  <c r="A1982" i="6" s="1"/>
  <c r="A1983" i="6" a="1"/>
  <c r="A1983" i="6" s="1"/>
  <c r="A1984" i="6" a="1"/>
  <c r="A1984" i="6" s="1"/>
  <c r="A1985" i="6" a="1"/>
  <c r="A1985" i="6" s="1"/>
  <c r="A1986" i="6" a="1"/>
  <c r="A1986" i="6" s="1"/>
  <c r="A1987" i="6" a="1"/>
  <c r="A1987" i="6" s="1"/>
  <c r="A1988" i="6" a="1"/>
  <c r="A1988" i="6" s="1"/>
  <c r="A1989" i="6" a="1"/>
  <c r="A1989" i="6" s="1"/>
  <c r="A1990" i="6" a="1"/>
  <c r="A1990" i="6" s="1"/>
  <c r="A1991" i="6" a="1"/>
  <c r="A1991" i="6" s="1"/>
  <c r="A1992" i="6" a="1"/>
  <c r="A1992" i="6" s="1"/>
  <c r="A1993" i="6" a="1"/>
  <c r="A1993" i="6" s="1"/>
  <c r="A1994" i="6" a="1"/>
  <c r="A1994" i="6" s="1"/>
  <c r="A1995" i="6" a="1"/>
  <c r="A1995" i="6" s="1"/>
  <c r="A1996" i="6" a="1"/>
  <c r="A1996" i="6" s="1"/>
  <c r="A1997" i="6" a="1"/>
  <c r="A1997" i="6" s="1"/>
  <c r="A1998" i="6" a="1"/>
  <c r="A1998" i="6" s="1"/>
  <c r="A1999" i="6" a="1"/>
  <c r="A1999" i="6" s="1"/>
  <c r="A2000" i="6" a="1"/>
  <c r="A2000" i="6" s="1"/>
  <c r="A2001" i="6" a="1"/>
  <c r="A2001" i="6" s="1"/>
  <c r="A2002" i="6" a="1"/>
  <c r="A2002" i="6" s="1"/>
  <c r="A2003" i="6" a="1"/>
  <c r="A2003" i="6" s="1"/>
  <c r="A2004" i="6" a="1"/>
  <c r="A2004" i="6" s="1"/>
  <c r="A2005" i="6" a="1"/>
  <c r="A2005" i="6" s="1"/>
  <c r="A2006" i="6" a="1"/>
  <c r="A2006" i="6" s="1"/>
  <c r="A2007" i="6" a="1"/>
  <c r="A2007" i="6" s="1"/>
  <c r="A2008" i="6" a="1"/>
  <c r="A2008" i="6" s="1"/>
  <c r="A2009" i="6" a="1"/>
  <c r="A2009" i="6" s="1"/>
  <c r="A2010" i="6" a="1"/>
  <c r="A2010" i="6" s="1"/>
  <c r="A2011" i="6" a="1"/>
  <c r="A2011" i="6" s="1"/>
  <c r="A2012" i="6" a="1"/>
  <c r="A2012" i="6" s="1"/>
  <c r="A2013" i="6" a="1"/>
  <c r="A2013" i="6" s="1"/>
  <c r="A2014" i="6" a="1"/>
  <c r="A2014" i="6" s="1"/>
  <c r="A2015" i="6" a="1"/>
  <c r="A2015" i="6" s="1"/>
  <c r="A2016" i="6" a="1"/>
  <c r="A2016" i="6" s="1"/>
  <c r="A2017" i="6" a="1"/>
  <c r="A2017" i="6" s="1"/>
  <c r="A2018" i="6" a="1"/>
  <c r="A2018" i="6" s="1"/>
  <c r="A2019" i="6" a="1"/>
  <c r="A2019" i="6" s="1"/>
  <c r="A2020" i="6" a="1"/>
  <c r="A2020" i="6" s="1"/>
  <c r="A2021" i="6" a="1"/>
  <c r="A2021" i="6" s="1"/>
  <c r="A2022" i="6" a="1"/>
  <c r="A2022" i="6" s="1"/>
  <c r="A2023" i="6" a="1"/>
  <c r="A2023" i="6" s="1"/>
  <c r="A2024" i="6" a="1"/>
  <c r="A2024" i="6" s="1"/>
  <c r="A2025" i="6" a="1"/>
  <c r="A2025" i="6" s="1"/>
  <c r="A2026" i="6" a="1"/>
  <c r="A2026" i="6" s="1"/>
  <c r="A2027" i="6" a="1"/>
  <c r="A2027" i="6" s="1"/>
  <c r="A2028" i="6" a="1"/>
  <c r="A2028" i="6" s="1"/>
  <c r="A2029" i="6" a="1"/>
  <c r="A2029" i="6" s="1"/>
  <c r="A2030" i="6" a="1"/>
  <c r="A2030" i="6" s="1"/>
  <c r="A2031" i="6" a="1"/>
  <c r="A2031" i="6" s="1"/>
  <c r="A2" i="6" a="1"/>
  <c r="A2" i="6" s="1"/>
  <c r="B3" i="6"/>
  <c r="N3" i="6" s="1"/>
  <c r="B4" i="6"/>
  <c r="N4" i="6" s="1"/>
  <c r="B5" i="6"/>
  <c r="N5" i="6" s="1"/>
  <c r="B6" i="6"/>
  <c r="N6" i="6" s="1"/>
  <c r="B7" i="6"/>
  <c r="N7" i="6" s="1"/>
  <c r="B8" i="6"/>
  <c r="N8" i="6" s="1"/>
  <c r="B9" i="6"/>
  <c r="N9" i="6" s="1"/>
  <c r="B10" i="6"/>
  <c r="N10" i="6" s="1"/>
  <c r="B11" i="6"/>
  <c r="N11" i="6" s="1"/>
  <c r="B12" i="6"/>
  <c r="N12" i="6" s="1"/>
  <c r="B13" i="6"/>
  <c r="N13" i="6" s="1"/>
  <c r="B14" i="6"/>
  <c r="N14" i="6" s="1"/>
  <c r="B15" i="6"/>
  <c r="N15" i="6" s="1"/>
  <c r="B16" i="6"/>
  <c r="N16" i="6" s="1"/>
  <c r="B17" i="6"/>
  <c r="N17" i="6" s="1"/>
  <c r="B18" i="6"/>
  <c r="N18" i="6" s="1"/>
  <c r="B19" i="6"/>
  <c r="N19" i="6" s="1"/>
  <c r="B20" i="6"/>
  <c r="N20" i="6" s="1"/>
  <c r="B21" i="6"/>
  <c r="N21" i="6" s="1"/>
  <c r="B22" i="6"/>
  <c r="N22" i="6" s="1"/>
  <c r="B23" i="6"/>
  <c r="N23" i="6" s="1"/>
  <c r="B24" i="6"/>
  <c r="N24" i="6" s="1"/>
  <c r="B25" i="6"/>
  <c r="N25" i="6" s="1"/>
  <c r="B26" i="6"/>
  <c r="N26" i="6" s="1"/>
  <c r="B27" i="6"/>
  <c r="N27" i="6" s="1"/>
  <c r="B28" i="6"/>
  <c r="N28" i="6" s="1"/>
  <c r="B29" i="6"/>
  <c r="N29" i="6" s="1"/>
  <c r="B30" i="6"/>
  <c r="N30" i="6" s="1"/>
  <c r="B31" i="6"/>
  <c r="N31" i="6" s="1"/>
  <c r="B32" i="6"/>
  <c r="N32" i="6" s="1"/>
  <c r="B33" i="6"/>
  <c r="N33" i="6" s="1"/>
  <c r="B34" i="6"/>
  <c r="N34" i="6" s="1"/>
  <c r="B35" i="6"/>
  <c r="N35" i="6" s="1"/>
  <c r="B36" i="6"/>
  <c r="N36" i="6" s="1"/>
  <c r="B37" i="6"/>
  <c r="N37" i="6" s="1"/>
  <c r="B38" i="6"/>
  <c r="N38" i="6" s="1"/>
  <c r="B39" i="6"/>
  <c r="N39" i="6" s="1"/>
  <c r="B40" i="6"/>
  <c r="N40" i="6" s="1"/>
  <c r="B41" i="6"/>
  <c r="N41" i="6" s="1"/>
  <c r="B42" i="6"/>
  <c r="N42" i="6" s="1"/>
  <c r="B43" i="6"/>
  <c r="N43" i="6" s="1"/>
  <c r="B44" i="6"/>
  <c r="N44" i="6" s="1"/>
  <c r="B45" i="6"/>
  <c r="N45" i="6" s="1"/>
  <c r="B46" i="6"/>
  <c r="N46" i="6" s="1"/>
  <c r="B47" i="6"/>
  <c r="N47" i="6" s="1"/>
  <c r="B48" i="6"/>
  <c r="N48" i="6" s="1"/>
  <c r="B49" i="6"/>
  <c r="N49" i="6" s="1"/>
  <c r="B50" i="6"/>
  <c r="N50" i="6" s="1"/>
  <c r="B51" i="6"/>
  <c r="N51" i="6" s="1"/>
  <c r="B52" i="6"/>
  <c r="N52" i="6" s="1"/>
  <c r="B53" i="6"/>
  <c r="N53" i="6" s="1"/>
  <c r="B54" i="6"/>
  <c r="N54" i="6" s="1"/>
  <c r="B55" i="6"/>
  <c r="N55" i="6" s="1"/>
  <c r="B56" i="6"/>
  <c r="N56" i="6" s="1"/>
  <c r="B57" i="6"/>
  <c r="N57" i="6" s="1"/>
  <c r="B58" i="6"/>
  <c r="N58" i="6" s="1"/>
  <c r="B59" i="6"/>
  <c r="N59" i="6" s="1"/>
  <c r="B60" i="6"/>
  <c r="N60" i="6" s="1"/>
  <c r="B61" i="6"/>
  <c r="N61" i="6" s="1"/>
  <c r="B62" i="6"/>
  <c r="N62" i="6" s="1"/>
  <c r="B63" i="6"/>
  <c r="N63" i="6" s="1"/>
  <c r="B64" i="6"/>
  <c r="N64" i="6" s="1"/>
  <c r="B65" i="6"/>
  <c r="N65" i="6" s="1"/>
  <c r="B66" i="6"/>
  <c r="N66" i="6" s="1"/>
  <c r="B67" i="6"/>
  <c r="N67" i="6" s="1"/>
  <c r="B68" i="6"/>
  <c r="N68" i="6" s="1"/>
  <c r="B69" i="6"/>
  <c r="N69" i="6" s="1"/>
  <c r="B70" i="6"/>
  <c r="B71" i="6"/>
  <c r="N71" i="6" s="1"/>
  <c r="B72" i="6"/>
  <c r="N72" i="6" s="1"/>
  <c r="B73" i="6"/>
  <c r="N73" i="6" s="1"/>
  <c r="B74" i="6"/>
  <c r="N74" i="6" s="1"/>
  <c r="B75" i="6"/>
  <c r="N75" i="6" s="1"/>
  <c r="B76" i="6"/>
  <c r="N76" i="6" s="1"/>
  <c r="B77" i="6"/>
  <c r="N77" i="6" s="1"/>
  <c r="B78" i="6"/>
  <c r="N78" i="6" s="1"/>
  <c r="B79" i="6"/>
  <c r="N79" i="6" s="1"/>
  <c r="B80" i="6"/>
  <c r="N80" i="6" s="1"/>
  <c r="B81" i="6"/>
  <c r="N81" i="6" s="1"/>
  <c r="B82" i="6"/>
  <c r="N82" i="6" s="1"/>
  <c r="B83" i="6"/>
  <c r="N83" i="6" s="1"/>
  <c r="B84" i="6"/>
  <c r="N84" i="6" s="1"/>
  <c r="B85" i="6"/>
  <c r="N85" i="6" s="1"/>
  <c r="B86" i="6"/>
  <c r="N86" i="6" s="1"/>
  <c r="B87" i="6"/>
  <c r="N87" i="6" s="1"/>
  <c r="B88" i="6"/>
  <c r="N88" i="6" s="1"/>
  <c r="B89" i="6"/>
  <c r="N89" i="6" s="1"/>
  <c r="B90" i="6"/>
  <c r="N90" i="6" s="1"/>
  <c r="B91" i="6"/>
  <c r="N91" i="6" s="1"/>
  <c r="B92" i="6"/>
  <c r="N92" i="6" s="1"/>
  <c r="B93" i="6"/>
  <c r="N93" i="6" s="1"/>
  <c r="B94" i="6"/>
  <c r="N94" i="6" s="1"/>
  <c r="B95" i="6"/>
  <c r="N95" i="6" s="1"/>
  <c r="B96" i="6"/>
  <c r="N96" i="6" s="1"/>
  <c r="B97" i="6"/>
  <c r="N97" i="6" s="1"/>
  <c r="B98" i="6"/>
  <c r="N98" i="6" s="1"/>
  <c r="B99" i="6"/>
  <c r="N99" i="6" s="1"/>
  <c r="B100" i="6"/>
  <c r="N100" i="6" s="1"/>
  <c r="B101" i="6"/>
  <c r="N101" i="6" s="1"/>
  <c r="B102" i="6"/>
  <c r="N102" i="6" s="1"/>
  <c r="B103" i="6"/>
  <c r="N103" i="6" s="1"/>
  <c r="B104" i="6"/>
  <c r="N104" i="6" s="1"/>
  <c r="B105" i="6"/>
  <c r="N105" i="6" s="1"/>
  <c r="B106" i="6"/>
  <c r="B107" i="6"/>
  <c r="N107" i="6" s="1"/>
  <c r="M107" i="6" s="1"/>
  <c r="B108" i="6"/>
  <c r="N108" i="6" s="1"/>
  <c r="B109" i="6"/>
  <c r="N109" i="6" s="1"/>
  <c r="B110" i="6"/>
  <c r="N110" i="6" s="1"/>
  <c r="B111" i="6"/>
  <c r="N111" i="6" s="1"/>
  <c r="B112" i="6"/>
  <c r="N112" i="6" s="1"/>
  <c r="B113" i="6"/>
  <c r="N113" i="6" s="1"/>
  <c r="B114" i="6"/>
  <c r="N114" i="6" s="1"/>
  <c r="B115" i="6"/>
  <c r="N115" i="6" s="1"/>
  <c r="B116" i="6"/>
  <c r="N116" i="6" s="1"/>
  <c r="B117" i="6"/>
  <c r="N117" i="6" s="1"/>
  <c r="B118" i="6"/>
  <c r="N118" i="6" s="1"/>
  <c r="B119" i="6"/>
  <c r="N119" i="6" s="1"/>
  <c r="M119" i="6" s="1"/>
  <c r="B120" i="6"/>
  <c r="N120" i="6" s="1"/>
  <c r="B121" i="6"/>
  <c r="N121" i="6" s="1"/>
  <c r="B122" i="6"/>
  <c r="N122" i="6" s="1"/>
  <c r="B123" i="6"/>
  <c r="N123" i="6" s="1"/>
  <c r="B124" i="6"/>
  <c r="N124" i="6" s="1"/>
  <c r="B125" i="6"/>
  <c r="N125" i="6" s="1"/>
  <c r="B126" i="6"/>
  <c r="N126" i="6" s="1"/>
  <c r="B127" i="6"/>
  <c r="B128" i="6"/>
  <c r="N128" i="6" s="1"/>
  <c r="B129" i="6"/>
  <c r="N129" i="6" s="1"/>
  <c r="B130" i="6"/>
  <c r="N130" i="6" s="1"/>
  <c r="B131" i="6"/>
  <c r="N131" i="6" s="1"/>
  <c r="B132" i="6"/>
  <c r="N132" i="6" s="1"/>
  <c r="B133" i="6"/>
  <c r="N133" i="6" s="1"/>
  <c r="B134" i="6"/>
  <c r="N134" i="6" s="1"/>
  <c r="B135" i="6"/>
  <c r="N135" i="6" s="1"/>
  <c r="B136" i="6"/>
  <c r="N136" i="6" s="1"/>
  <c r="B137" i="6"/>
  <c r="N137" i="6" s="1"/>
  <c r="B138" i="6"/>
  <c r="N138" i="6" s="1"/>
  <c r="B139" i="6"/>
  <c r="N139" i="6" s="1"/>
  <c r="B140" i="6"/>
  <c r="N140" i="6" s="1"/>
  <c r="B141" i="6"/>
  <c r="N141" i="6" s="1"/>
  <c r="B142" i="6"/>
  <c r="N142" i="6" s="1"/>
  <c r="B143" i="6"/>
  <c r="N143" i="6" s="1"/>
  <c r="M143" i="6" s="1"/>
  <c r="B144" i="6"/>
  <c r="N144" i="6" s="1"/>
  <c r="B145" i="6"/>
  <c r="N145" i="6" s="1"/>
  <c r="B146" i="6"/>
  <c r="N146" i="6" s="1"/>
  <c r="B147" i="6"/>
  <c r="N147" i="6" s="1"/>
  <c r="B148" i="6"/>
  <c r="N148" i="6" s="1"/>
  <c r="B149" i="6"/>
  <c r="N149" i="6" s="1"/>
  <c r="B150" i="6"/>
  <c r="N150" i="6" s="1"/>
  <c r="B151" i="6"/>
  <c r="N151" i="6" s="1"/>
  <c r="B152" i="6"/>
  <c r="N152" i="6" s="1"/>
  <c r="B153" i="6"/>
  <c r="N153" i="6" s="1"/>
  <c r="B154" i="6"/>
  <c r="N154" i="6" s="1"/>
  <c r="B155" i="6"/>
  <c r="N155" i="6" s="1"/>
  <c r="B156" i="6"/>
  <c r="N156" i="6" s="1"/>
  <c r="B157" i="6"/>
  <c r="N157" i="6" s="1"/>
  <c r="B158" i="6"/>
  <c r="N158" i="6" s="1"/>
  <c r="B159" i="6"/>
  <c r="N159" i="6" s="1"/>
  <c r="B160" i="6"/>
  <c r="N160" i="6" s="1"/>
  <c r="B161" i="6"/>
  <c r="N161" i="6" s="1"/>
  <c r="B162" i="6"/>
  <c r="N162" i="6" s="1"/>
  <c r="B163" i="6"/>
  <c r="N163" i="6" s="1"/>
  <c r="B164" i="6"/>
  <c r="N164" i="6" s="1"/>
  <c r="B165" i="6"/>
  <c r="N165" i="6" s="1"/>
  <c r="B166" i="6"/>
  <c r="N166" i="6" s="1"/>
  <c r="B167" i="6"/>
  <c r="N167" i="6" s="1"/>
  <c r="B168" i="6"/>
  <c r="N168" i="6" s="1"/>
  <c r="B169" i="6"/>
  <c r="N169" i="6" s="1"/>
  <c r="B170" i="6"/>
  <c r="N170" i="6" s="1"/>
  <c r="B171" i="6"/>
  <c r="N171" i="6" s="1"/>
  <c r="B172" i="6"/>
  <c r="N172" i="6" s="1"/>
  <c r="B173" i="6"/>
  <c r="N173" i="6" s="1"/>
  <c r="B174" i="6"/>
  <c r="N174" i="6" s="1"/>
  <c r="B175" i="6"/>
  <c r="N175" i="6" s="1"/>
  <c r="B176" i="6"/>
  <c r="N176" i="6" s="1"/>
  <c r="B177" i="6"/>
  <c r="N177" i="6" s="1"/>
  <c r="B178" i="6"/>
  <c r="N178" i="6" s="1"/>
  <c r="B179" i="6"/>
  <c r="N179" i="6" s="1"/>
  <c r="B180" i="6"/>
  <c r="N180" i="6" s="1"/>
  <c r="B181" i="6"/>
  <c r="N181" i="6" s="1"/>
  <c r="B182" i="6"/>
  <c r="N182" i="6" s="1"/>
  <c r="B183" i="6"/>
  <c r="N183" i="6" s="1"/>
  <c r="B184" i="6"/>
  <c r="N184" i="6" s="1"/>
  <c r="B185" i="6"/>
  <c r="N185" i="6" s="1"/>
  <c r="B186" i="6"/>
  <c r="N186" i="6" s="1"/>
  <c r="B187" i="6"/>
  <c r="N187" i="6" s="1"/>
  <c r="B188" i="6"/>
  <c r="N188" i="6" s="1"/>
  <c r="B189" i="6"/>
  <c r="N189" i="6" s="1"/>
  <c r="B190" i="6"/>
  <c r="B191" i="6"/>
  <c r="N191" i="6" s="1"/>
  <c r="B192" i="6"/>
  <c r="N192" i="6" s="1"/>
  <c r="B193" i="6"/>
  <c r="N193" i="6" s="1"/>
  <c r="B194" i="6"/>
  <c r="N194" i="6" s="1"/>
  <c r="B195" i="6"/>
  <c r="N195" i="6" s="1"/>
  <c r="B196" i="6"/>
  <c r="N196" i="6" s="1"/>
  <c r="B197" i="6"/>
  <c r="N197" i="6" s="1"/>
  <c r="B198" i="6"/>
  <c r="N198" i="6" s="1"/>
  <c r="B199" i="6"/>
  <c r="N199" i="6" s="1"/>
  <c r="B200" i="6"/>
  <c r="N200" i="6" s="1"/>
  <c r="B201" i="6"/>
  <c r="N201" i="6" s="1"/>
  <c r="B202" i="6"/>
  <c r="N202" i="6" s="1"/>
  <c r="B203" i="6"/>
  <c r="N203" i="6" s="1"/>
  <c r="B204" i="6"/>
  <c r="N204" i="6" s="1"/>
  <c r="B205" i="6"/>
  <c r="N205" i="6" s="1"/>
  <c r="B206" i="6"/>
  <c r="N206" i="6" s="1"/>
  <c r="B207" i="6"/>
  <c r="N207" i="6" s="1"/>
  <c r="B208" i="6"/>
  <c r="N208" i="6" s="1"/>
  <c r="B209" i="6"/>
  <c r="N209" i="6" s="1"/>
  <c r="B210" i="6"/>
  <c r="B211" i="6"/>
  <c r="N211" i="6" s="1"/>
  <c r="B212" i="6"/>
  <c r="N212" i="6" s="1"/>
  <c r="B213" i="6"/>
  <c r="N213" i="6" s="1"/>
  <c r="B214" i="6"/>
  <c r="B215" i="6"/>
  <c r="N215" i="6" s="1"/>
  <c r="B216" i="6"/>
  <c r="N216" i="6" s="1"/>
  <c r="B217" i="6"/>
  <c r="N217" i="6" s="1"/>
  <c r="B218" i="6"/>
  <c r="N218" i="6" s="1"/>
  <c r="B219" i="6"/>
  <c r="N219" i="6" s="1"/>
  <c r="B220" i="6"/>
  <c r="N220" i="6" s="1"/>
  <c r="B221" i="6"/>
  <c r="N221" i="6" s="1"/>
  <c r="B222" i="6"/>
  <c r="N222" i="6" s="1"/>
  <c r="B223" i="6"/>
  <c r="N223" i="6" s="1"/>
  <c r="B224" i="6"/>
  <c r="N224" i="6" s="1"/>
  <c r="B225" i="6"/>
  <c r="N225" i="6" s="1"/>
  <c r="B226" i="6"/>
  <c r="N226" i="6" s="1"/>
  <c r="B227" i="6"/>
  <c r="N227" i="6" s="1"/>
  <c r="B228" i="6"/>
  <c r="N228" i="6" s="1"/>
  <c r="B229" i="6"/>
  <c r="N229" i="6" s="1"/>
  <c r="B230" i="6"/>
  <c r="N230" i="6" s="1"/>
  <c r="B231" i="6"/>
  <c r="N231" i="6" s="1"/>
  <c r="B232" i="6"/>
  <c r="N232" i="6" s="1"/>
  <c r="B233" i="6"/>
  <c r="N233" i="6" s="1"/>
  <c r="B234" i="6"/>
  <c r="N234" i="6" s="1"/>
  <c r="B235" i="6"/>
  <c r="N235" i="6" s="1"/>
  <c r="B236" i="6"/>
  <c r="N236" i="6" s="1"/>
  <c r="B237" i="6"/>
  <c r="N237" i="6" s="1"/>
  <c r="B238" i="6"/>
  <c r="B239" i="6"/>
  <c r="N239" i="6" s="1"/>
  <c r="B240" i="6"/>
  <c r="N240" i="6" s="1"/>
  <c r="B241" i="6"/>
  <c r="N241" i="6" s="1"/>
  <c r="B242" i="6"/>
  <c r="N242" i="6" s="1"/>
  <c r="B243" i="6"/>
  <c r="N243" i="6" s="1"/>
  <c r="B244" i="6"/>
  <c r="N244" i="6" s="1"/>
  <c r="B245" i="6"/>
  <c r="N245" i="6" s="1"/>
  <c r="B246" i="6"/>
  <c r="N246" i="6" s="1"/>
  <c r="B247" i="6"/>
  <c r="N247" i="6" s="1"/>
  <c r="B248" i="6"/>
  <c r="N248" i="6" s="1"/>
  <c r="B249" i="6"/>
  <c r="N249" i="6" s="1"/>
  <c r="B250" i="6"/>
  <c r="N250" i="6" s="1"/>
  <c r="B251" i="6"/>
  <c r="N251" i="6" s="1"/>
  <c r="B252" i="6"/>
  <c r="N252" i="6" s="1"/>
  <c r="B253" i="6"/>
  <c r="N253" i="6" s="1"/>
  <c r="B254" i="6"/>
  <c r="N254" i="6" s="1"/>
  <c r="B255" i="6"/>
  <c r="N255" i="6" s="1"/>
  <c r="M255" i="6" s="1"/>
  <c r="B256" i="6"/>
  <c r="N256" i="6" s="1"/>
  <c r="B257" i="6"/>
  <c r="N257" i="6" s="1"/>
  <c r="B258" i="6"/>
  <c r="N258" i="6" s="1"/>
  <c r="B259" i="6"/>
  <c r="N259" i="6" s="1"/>
  <c r="B260" i="6"/>
  <c r="N260" i="6" s="1"/>
  <c r="B261" i="6"/>
  <c r="N261" i="6" s="1"/>
  <c r="B262" i="6"/>
  <c r="N262" i="6" s="1"/>
  <c r="B263" i="6"/>
  <c r="N263" i="6" s="1"/>
  <c r="B264" i="6"/>
  <c r="N264" i="6" s="1"/>
  <c r="B265" i="6"/>
  <c r="N265" i="6" s="1"/>
  <c r="B266" i="6"/>
  <c r="N266" i="6" s="1"/>
  <c r="B267" i="6"/>
  <c r="N267" i="6" s="1"/>
  <c r="M267" i="6" s="1"/>
  <c r="B268" i="6"/>
  <c r="N268" i="6" s="1"/>
  <c r="B269" i="6"/>
  <c r="N269" i="6" s="1"/>
  <c r="B270" i="6"/>
  <c r="N270" i="6" s="1"/>
  <c r="B271" i="6"/>
  <c r="N271" i="6" s="1"/>
  <c r="B272" i="6"/>
  <c r="N272" i="6" s="1"/>
  <c r="B273" i="6"/>
  <c r="N273" i="6" s="1"/>
  <c r="B274" i="6"/>
  <c r="N274" i="6" s="1"/>
  <c r="B275" i="6"/>
  <c r="N275" i="6" s="1"/>
  <c r="B276" i="6"/>
  <c r="N276" i="6" s="1"/>
  <c r="B277" i="6"/>
  <c r="N277" i="6" s="1"/>
  <c r="B278" i="6"/>
  <c r="N278" i="6" s="1"/>
  <c r="B279" i="6"/>
  <c r="N279" i="6" s="1"/>
  <c r="B280" i="6"/>
  <c r="N280" i="6" s="1"/>
  <c r="B281" i="6"/>
  <c r="N281" i="6" s="1"/>
  <c r="B282" i="6"/>
  <c r="N282" i="6" s="1"/>
  <c r="B283" i="6"/>
  <c r="N283" i="6" s="1"/>
  <c r="B284" i="6"/>
  <c r="N284" i="6" s="1"/>
  <c r="B285" i="6"/>
  <c r="N285" i="6" s="1"/>
  <c r="B286" i="6"/>
  <c r="N286" i="6" s="1"/>
  <c r="B287" i="6"/>
  <c r="B288" i="6"/>
  <c r="N288" i="6" s="1"/>
  <c r="B289" i="6"/>
  <c r="N289" i="6" s="1"/>
  <c r="B290" i="6"/>
  <c r="N290" i="6" s="1"/>
  <c r="B291" i="6"/>
  <c r="N291" i="6" s="1"/>
  <c r="B292" i="6"/>
  <c r="N292" i="6" s="1"/>
  <c r="B293" i="6"/>
  <c r="N293" i="6" s="1"/>
  <c r="B294" i="6"/>
  <c r="N294" i="6" s="1"/>
  <c r="B295" i="6"/>
  <c r="N295" i="6" s="1"/>
  <c r="B296" i="6"/>
  <c r="N296" i="6" s="1"/>
  <c r="B297" i="6"/>
  <c r="N297" i="6" s="1"/>
  <c r="B298" i="6"/>
  <c r="N298" i="6" s="1"/>
  <c r="B299" i="6"/>
  <c r="N299" i="6" s="1"/>
  <c r="B300" i="6"/>
  <c r="N300" i="6" s="1"/>
  <c r="B301" i="6"/>
  <c r="N301" i="6" s="1"/>
  <c r="B302" i="6"/>
  <c r="N302" i="6" s="1"/>
  <c r="B303" i="6"/>
  <c r="N303" i="6" s="1"/>
  <c r="B304" i="6"/>
  <c r="N304" i="6" s="1"/>
  <c r="B305" i="6"/>
  <c r="N305" i="6" s="1"/>
  <c r="B306" i="6"/>
  <c r="N306" i="6" s="1"/>
  <c r="B307" i="6"/>
  <c r="N307" i="6" s="1"/>
  <c r="B308" i="6"/>
  <c r="N308" i="6" s="1"/>
  <c r="B309" i="6"/>
  <c r="N309" i="6" s="1"/>
  <c r="B310" i="6"/>
  <c r="N310" i="6" s="1"/>
  <c r="B311" i="6"/>
  <c r="N311" i="6" s="1"/>
  <c r="B312" i="6"/>
  <c r="N312" i="6" s="1"/>
  <c r="B313" i="6"/>
  <c r="N313" i="6" s="1"/>
  <c r="B314" i="6"/>
  <c r="N314" i="6" s="1"/>
  <c r="B315" i="6"/>
  <c r="N315" i="6" s="1"/>
  <c r="B316" i="6"/>
  <c r="N316" i="6" s="1"/>
  <c r="B317" i="6"/>
  <c r="N317" i="6" s="1"/>
  <c r="B318" i="6"/>
  <c r="N318" i="6" s="1"/>
  <c r="B319" i="6"/>
  <c r="N319" i="6" s="1"/>
  <c r="B320" i="6"/>
  <c r="N320" i="6" s="1"/>
  <c r="B321" i="6"/>
  <c r="N321" i="6" s="1"/>
  <c r="B322" i="6"/>
  <c r="N322" i="6" s="1"/>
  <c r="B323" i="6"/>
  <c r="N323" i="6" s="1"/>
  <c r="B324" i="6"/>
  <c r="N324" i="6" s="1"/>
  <c r="B325" i="6"/>
  <c r="N325" i="6" s="1"/>
  <c r="B326" i="6"/>
  <c r="N326" i="6" s="1"/>
  <c r="B327" i="6"/>
  <c r="N327" i="6" s="1"/>
  <c r="M327" i="6" s="1"/>
  <c r="B328" i="6"/>
  <c r="N328" i="6" s="1"/>
  <c r="B329" i="6"/>
  <c r="N329" i="6" s="1"/>
  <c r="B330" i="6"/>
  <c r="N330" i="6" s="1"/>
  <c r="B331" i="6"/>
  <c r="N331" i="6" s="1"/>
  <c r="B332" i="6"/>
  <c r="N332" i="6" s="1"/>
  <c r="B333" i="6"/>
  <c r="N333" i="6" s="1"/>
  <c r="B334" i="6"/>
  <c r="N334" i="6" s="1"/>
  <c r="B335" i="6"/>
  <c r="N335" i="6" s="1"/>
  <c r="B336" i="6"/>
  <c r="N336" i="6" s="1"/>
  <c r="B337" i="6"/>
  <c r="N337" i="6" s="1"/>
  <c r="B338" i="6"/>
  <c r="N338" i="6" s="1"/>
  <c r="B339" i="6"/>
  <c r="N339" i="6" s="1"/>
  <c r="M339" i="6" s="1"/>
  <c r="B340" i="6"/>
  <c r="N340" i="6" s="1"/>
  <c r="B341" i="6"/>
  <c r="N341" i="6" s="1"/>
  <c r="B342" i="6"/>
  <c r="N342" i="6" s="1"/>
  <c r="B343" i="6"/>
  <c r="N343" i="6" s="1"/>
  <c r="B344" i="6"/>
  <c r="N344" i="6" s="1"/>
  <c r="B345" i="6"/>
  <c r="N345" i="6" s="1"/>
  <c r="B346" i="6"/>
  <c r="N346" i="6" s="1"/>
  <c r="B347" i="6"/>
  <c r="N347" i="6" s="1"/>
  <c r="B348" i="6"/>
  <c r="N348" i="6" s="1"/>
  <c r="B349" i="6"/>
  <c r="N349" i="6" s="1"/>
  <c r="B350" i="6"/>
  <c r="N350" i="6" s="1"/>
  <c r="B351" i="6"/>
  <c r="N351" i="6" s="1"/>
  <c r="B352" i="6"/>
  <c r="N352" i="6" s="1"/>
  <c r="B353" i="6"/>
  <c r="N353" i="6" s="1"/>
  <c r="B354" i="6"/>
  <c r="N354" i="6" s="1"/>
  <c r="B355" i="6"/>
  <c r="N355" i="6" s="1"/>
  <c r="B356" i="6"/>
  <c r="N356" i="6" s="1"/>
  <c r="B357" i="6"/>
  <c r="N357" i="6" s="1"/>
  <c r="B358" i="6"/>
  <c r="N358" i="6" s="1"/>
  <c r="B359" i="6"/>
  <c r="N359" i="6" s="1"/>
  <c r="B360" i="6"/>
  <c r="N360" i="6" s="1"/>
  <c r="B361" i="6"/>
  <c r="N361" i="6" s="1"/>
  <c r="B362" i="6"/>
  <c r="N362" i="6" s="1"/>
  <c r="B363" i="6"/>
  <c r="B364" i="6"/>
  <c r="N364" i="6" s="1"/>
  <c r="B365" i="6"/>
  <c r="N365" i="6" s="1"/>
  <c r="B366" i="6"/>
  <c r="N366" i="6" s="1"/>
  <c r="B367" i="6"/>
  <c r="N367" i="6" s="1"/>
  <c r="B368" i="6"/>
  <c r="N368" i="6" s="1"/>
  <c r="B369" i="6"/>
  <c r="N369" i="6" s="1"/>
  <c r="B370" i="6"/>
  <c r="N370" i="6" s="1"/>
  <c r="B371" i="6"/>
  <c r="B372" i="6"/>
  <c r="N372" i="6" s="1"/>
  <c r="B373" i="6"/>
  <c r="N373" i="6" s="1"/>
  <c r="B374" i="6"/>
  <c r="N374" i="6" s="1"/>
  <c r="B375" i="6"/>
  <c r="N375" i="6" s="1"/>
  <c r="B376" i="6"/>
  <c r="N376" i="6" s="1"/>
  <c r="B377" i="6"/>
  <c r="N377" i="6" s="1"/>
  <c r="B378" i="6"/>
  <c r="N378" i="6" s="1"/>
  <c r="B379" i="6"/>
  <c r="N379" i="6" s="1"/>
  <c r="B380" i="6"/>
  <c r="N380" i="6" s="1"/>
  <c r="B381" i="6"/>
  <c r="N381" i="6" s="1"/>
  <c r="B382" i="6"/>
  <c r="N382" i="6" s="1"/>
  <c r="B383" i="6"/>
  <c r="N383" i="6" s="1"/>
  <c r="B384" i="6"/>
  <c r="N384" i="6" s="1"/>
  <c r="B385" i="6"/>
  <c r="N385" i="6" s="1"/>
  <c r="B386" i="6"/>
  <c r="N386" i="6" s="1"/>
  <c r="B387" i="6"/>
  <c r="N387" i="6" s="1"/>
  <c r="M387" i="6" s="1"/>
  <c r="B388" i="6"/>
  <c r="N388" i="6" s="1"/>
  <c r="B389" i="6"/>
  <c r="N389" i="6" s="1"/>
  <c r="B390" i="6"/>
  <c r="N390" i="6" s="1"/>
  <c r="B391" i="6"/>
  <c r="N391" i="6" s="1"/>
  <c r="B392" i="6"/>
  <c r="N392" i="6" s="1"/>
  <c r="B393" i="6"/>
  <c r="N393" i="6" s="1"/>
  <c r="B394" i="6"/>
  <c r="N394" i="6" s="1"/>
  <c r="B395" i="6"/>
  <c r="N395" i="6" s="1"/>
  <c r="M395" i="6" s="1"/>
  <c r="B396" i="6"/>
  <c r="N396" i="6" s="1"/>
  <c r="B397" i="6"/>
  <c r="N397" i="6" s="1"/>
  <c r="B398" i="6"/>
  <c r="N398" i="6" s="1"/>
  <c r="B399" i="6"/>
  <c r="N399" i="6" s="1"/>
  <c r="M399" i="6" s="1"/>
  <c r="B400" i="6"/>
  <c r="N400" i="6" s="1"/>
  <c r="B401" i="6"/>
  <c r="N401" i="6" s="1"/>
  <c r="B402" i="6"/>
  <c r="N402" i="6" s="1"/>
  <c r="B403" i="6"/>
  <c r="N403" i="6" s="1"/>
  <c r="B404" i="6"/>
  <c r="N404" i="6" s="1"/>
  <c r="B405" i="6"/>
  <c r="N405" i="6" s="1"/>
  <c r="B406" i="6"/>
  <c r="N406" i="6" s="1"/>
  <c r="B407" i="6"/>
  <c r="N407" i="6" s="1"/>
  <c r="B408" i="6"/>
  <c r="N408" i="6" s="1"/>
  <c r="B409" i="6"/>
  <c r="N409" i="6" s="1"/>
  <c r="B410" i="6"/>
  <c r="N410" i="6" s="1"/>
  <c r="B411" i="6"/>
  <c r="B412" i="6"/>
  <c r="B413" i="6"/>
  <c r="N413" i="6" s="1"/>
  <c r="B414" i="6"/>
  <c r="N414" i="6" s="1"/>
  <c r="B415" i="6"/>
  <c r="N415" i="6" s="1"/>
  <c r="B416" i="6"/>
  <c r="N416" i="6" s="1"/>
  <c r="B417" i="6"/>
  <c r="N417" i="6" s="1"/>
  <c r="B418" i="6"/>
  <c r="N418" i="6" s="1"/>
  <c r="B419" i="6"/>
  <c r="N419" i="6" s="1"/>
  <c r="B420" i="6"/>
  <c r="N420" i="6" s="1"/>
  <c r="B421" i="6"/>
  <c r="N421" i="6" s="1"/>
  <c r="B422" i="6"/>
  <c r="N422" i="6" s="1"/>
  <c r="B423" i="6"/>
  <c r="N423" i="6" s="1"/>
  <c r="B424" i="6"/>
  <c r="N424" i="6" s="1"/>
  <c r="B425" i="6"/>
  <c r="N425" i="6" s="1"/>
  <c r="B426" i="6"/>
  <c r="N426" i="6" s="1"/>
  <c r="B427" i="6"/>
  <c r="N427" i="6" s="1"/>
  <c r="B428" i="6"/>
  <c r="N428" i="6" s="1"/>
  <c r="B429" i="6"/>
  <c r="N429" i="6" s="1"/>
  <c r="B430" i="6"/>
  <c r="N430" i="6" s="1"/>
  <c r="B431" i="6"/>
  <c r="N431" i="6" s="1"/>
  <c r="B432" i="6"/>
  <c r="N432" i="6" s="1"/>
  <c r="B433" i="6"/>
  <c r="N433" i="6" s="1"/>
  <c r="B434" i="6"/>
  <c r="N434" i="6" s="1"/>
  <c r="B435" i="6"/>
  <c r="N435" i="6" s="1"/>
  <c r="M435" i="6" s="1"/>
  <c r="B436" i="6"/>
  <c r="N436" i="6" s="1"/>
  <c r="B437" i="6"/>
  <c r="N437" i="6" s="1"/>
  <c r="B438" i="6"/>
  <c r="N438" i="6" s="1"/>
  <c r="B439" i="6"/>
  <c r="N439" i="6" s="1"/>
  <c r="B440" i="6"/>
  <c r="N440" i="6" s="1"/>
  <c r="B441" i="6"/>
  <c r="N441" i="6" s="1"/>
  <c r="B442" i="6"/>
  <c r="N442" i="6" s="1"/>
  <c r="B443" i="6"/>
  <c r="N443" i="6" s="1"/>
  <c r="B444" i="6"/>
  <c r="N444" i="6" s="1"/>
  <c r="B445" i="6"/>
  <c r="N445" i="6" s="1"/>
  <c r="B446" i="6"/>
  <c r="N446" i="6" s="1"/>
  <c r="B447" i="6"/>
  <c r="N447" i="6" s="1"/>
  <c r="M447" i="6" s="1"/>
  <c r="B448" i="6"/>
  <c r="N448" i="6" s="1"/>
  <c r="B449" i="6"/>
  <c r="N449" i="6" s="1"/>
  <c r="B450" i="6"/>
  <c r="N450" i="6" s="1"/>
  <c r="B451" i="6"/>
  <c r="N451" i="6" s="1"/>
  <c r="B452" i="6"/>
  <c r="N452" i="6" s="1"/>
  <c r="B453" i="6"/>
  <c r="N453" i="6" s="1"/>
  <c r="B454" i="6"/>
  <c r="N454" i="6" s="1"/>
  <c r="B455" i="6"/>
  <c r="N455" i="6" s="1"/>
  <c r="B456" i="6"/>
  <c r="N456" i="6" s="1"/>
  <c r="B457" i="6"/>
  <c r="N457" i="6" s="1"/>
  <c r="B458" i="6"/>
  <c r="N458" i="6" s="1"/>
  <c r="B459" i="6"/>
  <c r="N459" i="6" s="1"/>
  <c r="B460" i="6"/>
  <c r="N460" i="6" s="1"/>
  <c r="B461" i="6"/>
  <c r="N461" i="6" s="1"/>
  <c r="B462" i="6"/>
  <c r="N462" i="6" s="1"/>
  <c r="B463" i="6"/>
  <c r="N463" i="6" s="1"/>
  <c r="B464" i="6"/>
  <c r="N464" i="6" s="1"/>
  <c r="B465" i="6"/>
  <c r="N465" i="6" s="1"/>
  <c r="B466" i="6"/>
  <c r="N466" i="6" s="1"/>
  <c r="B467" i="6"/>
  <c r="N467" i="6" s="1"/>
  <c r="B468" i="6"/>
  <c r="N468" i="6" s="1"/>
  <c r="B469" i="6"/>
  <c r="N469" i="6" s="1"/>
  <c r="B470" i="6"/>
  <c r="N470" i="6" s="1"/>
  <c r="B471" i="6"/>
  <c r="N471" i="6" s="1"/>
  <c r="B472" i="6"/>
  <c r="N472" i="6" s="1"/>
  <c r="B473" i="6"/>
  <c r="N473" i="6" s="1"/>
  <c r="B474" i="6"/>
  <c r="N474" i="6" s="1"/>
  <c r="B475" i="6"/>
  <c r="N475" i="6" s="1"/>
  <c r="B476" i="6"/>
  <c r="N476" i="6" s="1"/>
  <c r="B477" i="6"/>
  <c r="N477" i="6" s="1"/>
  <c r="B478" i="6"/>
  <c r="N478" i="6" s="1"/>
  <c r="B479" i="6"/>
  <c r="N479" i="6" s="1"/>
  <c r="B480" i="6"/>
  <c r="N480" i="6" s="1"/>
  <c r="B481" i="6"/>
  <c r="N481" i="6" s="1"/>
  <c r="B482" i="6"/>
  <c r="N482" i="6" s="1"/>
  <c r="B483" i="6"/>
  <c r="N483" i="6" s="1"/>
  <c r="M483" i="6" s="1"/>
  <c r="B484" i="6"/>
  <c r="N484" i="6" s="1"/>
  <c r="B485" i="6"/>
  <c r="N485" i="6" s="1"/>
  <c r="B486" i="6"/>
  <c r="N486" i="6" s="1"/>
  <c r="B487" i="6"/>
  <c r="N487" i="6" s="1"/>
  <c r="B488" i="6"/>
  <c r="N488" i="6" s="1"/>
  <c r="B489" i="6"/>
  <c r="B490" i="6"/>
  <c r="N490" i="6" s="1"/>
  <c r="B491" i="6"/>
  <c r="N491" i="6" s="1"/>
  <c r="B492" i="6"/>
  <c r="N492" i="6" s="1"/>
  <c r="B493" i="6"/>
  <c r="N493" i="6" s="1"/>
  <c r="B494" i="6"/>
  <c r="N494" i="6" s="1"/>
  <c r="B495" i="6"/>
  <c r="N495" i="6" s="1"/>
  <c r="M495" i="6" s="1"/>
  <c r="B496" i="6"/>
  <c r="N496" i="6" s="1"/>
  <c r="B497" i="6"/>
  <c r="N497" i="6" s="1"/>
  <c r="B498" i="6"/>
  <c r="N498" i="6" s="1"/>
  <c r="B499" i="6"/>
  <c r="N499" i="6" s="1"/>
  <c r="B500" i="6"/>
  <c r="N500" i="6" s="1"/>
  <c r="B501" i="6"/>
  <c r="N501" i="6" s="1"/>
  <c r="B502" i="6"/>
  <c r="N502" i="6" s="1"/>
  <c r="B503" i="6"/>
  <c r="N503" i="6" s="1"/>
  <c r="B504" i="6"/>
  <c r="N504" i="6" s="1"/>
  <c r="B505" i="6"/>
  <c r="N505" i="6" s="1"/>
  <c r="B506" i="6"/>
  <c r="N506" i="6" s="1"/>
  <c r="B507" i="6"/>
  <c r="N507" i="6" s="1"/>
  <c r="B508" i="6"/>
  <c r="N508" i="6" s="1"/>
  <c r="B509" i="6"/>
  <c r="N509" i="6" s="1"/>
  <c r="B510" i="6"/>
  <c r="N510" i="6" s="1"/>
  <c r="B511" i="6"/>
  <c r="N511" i="6" s="1"/>
  <c r="B512" i="6"/>
  <c r="N512" i="6" s="1"/>
  <c r="B513" i="6"/>
  <c r="N513" i="6" s="1"/>
  <c r="B514" i="6"/>
  <c r="N514" i="6" s="1"/>
  <c r="B515" i="6"/>
  <c r="B516" i="6"/>
  <c r="N516" i="6" s="1"/>
  <c r="B517" i="6"/>
  <c r="N517" i="6" s="1"/>
  <c r="B518" i="6"/>
  <c r="N518" i="6" s="1"/>
  <c r="B519" i="6"/>
  <c r="B520" i="6"/>
  <c r="N520" i="6" s="1"/>
  <c r="B521" i="6"/>
  <c r="N521" i="6" s="1"/>
  <c r="B522" i="6"/>
  <c r="N522" i="6" s="1"/>
  <c r="B523" i="6"/>
  <c r="N523" i="6" s="1"/>
  <c r="B524" i="6"/>
  <c r="N524" i="6" s="1"/>
  <c r="B525" i="6"/>
  <c r="N525" i="6" s="1"/>
  <c r="B526" i="6"/>
  <c r="N526" i="6" s="1"/>
  <c r="B527" i="6"/>
  <c r="N527" i="6" s="1"/>
  <c r="B528" i="6"/>
  <c r="N528" i="6" s="1"/>
  <c r="B529" i="6"/>
  <c r="N529" i="6" s="1"/>
  <c r="B530" i="6"/>
  <c r="N530" i="6" s="1"/>
  <c r="B531" i="6"/>
  <c r="N531" i="6" s="1"/>
  <c r="M531" i="6" s="1"/>
  <c r="B532" i="6"/>
  <c r="N532" i="6" s="1"/>
  <c r="B533" i="6"/>
  <c r="N533" i="6" s="1"/>
  <c r="B534" i="6"/>
  <c r="N534" i="6" s="1"/>
  <c r="B535" i="6"/>
  <c r="N535" i="6" s="1"/>
  <c r="B536" i="6"/>
  <c r="N536" i="6" s="1"/>
  <c r="B537" i="6"/>
  <c r="N537" i="6" s="1"/>
  <c r="B538" i="6"/>
  <c r="N538" i="6" s="1"/>
  <c r="B539" i="6"/>
  <c r="N539" i="6" s="1"/>
  <c r="B540" i="6"/>
  <c r="N540" i="6" s="1"/>
  <c r="B541" i="6"/>
  <c r="N541" i="6" s="1"/>
  <c r="B542" i="6"/>
  <c r="N542" i="6" s="1"/>
  <c r="B543" i="6"/>
  <c r="N543" i="6" s="1"/>
  <c r="M543" i="6" s="1"/>
  <c r="B544" i="6"/>
  <c r="N544" i="6" s="1"/>
  <c r="B545" i="6"/>
  <c r="N545" i="6" s="1"/>
  <c r="B546" i="6"/>
  <c r="N546" i="6" s="1"/>
  <c r="B547" i="6"/>
  <c r="N547" i="6" s="1"/>
  <c r="B548" i="6"/>
  <c r="N548" i="6" s="1"/>
  <c r="B549" i="6"/>
  <c r="N549" i="6" s="1"/>
  <c r="B550" i="6"/>
  <c r="N550" i="6" s="1"/>
  <c r="B551" i="6"/>
  <c r="N551" i="6" s="1"/>
  <c r="B552" i="6"/>
  <c r="N552" i="6" s="1"/>
  <c r="B553" i="6"/>
  <c r="N553" i="6" s="1"/>
  <c r="B554" i="6"/>
  <c r="N554" i="6" s="1"/>
  <c r="B555" i="6"/>
  <c r="B556" i="6"/>
  <c r="N556" i="6" s="1"/>
  <c r="B557" i="6"/>
  <c r="N557" i="6" s="1"/>
  <c r="B558" i="6"/>
  <c r="N558" i="6" s="1"/>
  <c r="B559" i="6"/>
  <c r="N559" i="6" s="1"/>
  <c r="B560" i="6"/>
  <c r="N560" i="6" s="1"/>
  <c r="B561" i="6"/>
  <c r="N561" i="6" s="1"/>
  <c r="B562" i="6"/>
  <c r="N562" i="6" s="1"/>
  <c r="B563" i="6"/>
  <c r="N563" i="6" s="1"/>
  <c r="B564" i="6"/>
  <c r="N564" i="6" s="1"/>
  <c r="B565" i="6"/>
  <c r="N565" i="6" s="1"/>
  <c r="B566" i="6"/>
  <c r="N566" i="6" s="1"/>
  <c r="B567" i="6"/>
  <c r="N567" i="6" s="1"/>
  <c r="B568" i="6"/>
  <c r="N568" i="6" s="1"/>
  <c r="B569" i="6"/>
  <c r="N569" i="6" s="1"/>
  <c r="B570" i="6"/>
  <c r="N570" i="6" s="1"/>
  <c r="B571" i="6"/>
  <c r="N571" i="6" s="1"/>
  <c r="B572" i="6"/>
  <c r="N572" i="6" s="1"/>
  <c r="B573" i="6"/>
  <c r="N573" i="6" s="1"/>
  <c r="B574" i="6"/>
  <c r="N574" i="6" s="1"/>
  <c r="B575" i="6"/>
  <c r="N575" i="6" s="1"/>
  <c r="B576" i="6"/>
  <c r="N576" i="6" s="1"/>
  <c r="B577" i="6"/>
  <c r="N577" i="6" s="1"/>
  <c r="M577" i="6" s="1"/>
  <c r="B578" i="6"/>
  <c r="N578" i="6" s="1"/>
  <c r="B579" i="6"/>
  <c r="N579" i="6" s="1"/>
  <c r="M579" i="6" s="1"/>
  <c r="B580" i="6"/>
  <c r="N580" i="6" s="1"/>
  <c r="B581" i="6"/>
  <c r="N581" i="6" s="1"/>
  <c r="B582" i="6"/>
  <c r="N582" i="6" s="1"/>
  <c r="B583" i="6"/>
  <c r="N583" i="6" s="1"/>
  <c r="B584" i="6"/>
  <c r="N584" i="6" s="1"/>
  <c r="B585" i="6"/>
  <c r="N585" i="6" s="1"/>
  <c r="B586" i="6"/>
  <c r="B587" i="6"/>
  <c r="N587" i="6" s="1"/>
  <c r="B588" i="6"/>
  <c r="N588" i="6" s="1"/>
  <c r="B589" i="6"/>
  <c r="N589" i="6" s="1"/>
  <c r="B590" i="6"/>
  <c r="N590" i="6" s="1"/>
  <c r="B591" i="6"/>
  <c r="N591" i="6" s="1"/>
  <c r="B592" i="6"/>
  <c r="N592" i="6" s="1"/>
  <c r="B593" i="6"/>
  <c r="N593" i="6" s="1"/>
  <c r="B594" i="6"/>
  <c r="N594" i="6" s="1"/>
  <c r="B595" i="6"/>
  <c r="N595" i="6" s="1"/>
  <c r="B596" i="6"/>
  <c r="N596" i="6" s="1"/>
  <c r="B597" i="6"/>
  <c r="N597" i="6" s="1"/>
  <c r="B598" i="6"/>
  <c r="N598" i="6" s="1"/>
  <c r="B599" i="6"/>
  <c r="N599" i="6" s="1"/>
  <c r="B600" i="6"/>
  <c r="N600" i="6" s="1"/>
  <c r="B601" i="6"/>
  <c r="N601" i="6" s="1"/>
  <c r="B602" i="6"/>
  <c r="N602" i="6" s="1"/>
  <c r="B603" i="6"/>
  <c r="N603" i="6" s="1"/>
  <c r="B604" i="6"/>
  <c r="N604" i="6" s="1"/>
  <c r="B605" i="6"/>
  <c r="N605" i="6" s="1"/>
  <c r="B606" i="6"/>
  <c r="N606" i="6" s="1"/>
  <c r="B607" i="6"/>
  <c r="N607" i="6" s="1"/>
  <c r="B608" i="6"/>
  <c r="N608" i="6" s="1"/>
  <c r="B609" i="6"/>
  <c r="N609" i="6" s="1"/>
  <c r="B610" i="6"/>
  <c r="N610" i="6" s="1"/>
  <c r="B611" i="6"/>
  <c r="N611" i="6" s="1"/>
  <c r="B612" i="6"/>
  <c r="N612" i="6" s="1"/>
  <c r="B613" i="6"/>
  <c r="N613" i="6" s="1"/>
  <c r="M613" i="6" s="1"/>
  <c r="B614" i="6"/>
  <c r="N614" i="6" s="1"/>
  <c r="B615" i="6"/>
  <c r="B616" i="6"/>
  <c r="N616" i="6" s="1"/>
  <c r="B617" i="6"/>
  <c r="N617" i="6" s="1"/>
  <c r="B618" i="6"/>
  <c r="B619" i="6"/>
  <c r="B620" i="6"/>
  <c r="N620" i="6" s="1"/>
  <c r="B621" i="6"/>
  <c r="N621" i="6" s="1"/>
  <c r="B622" i="6"/>
  <c r="N622" i="6" s="1"/>
  <c r="B623" i="6"/>
  <c r="N623" i="6" s="1"/>
  <c r="B624" i="6"/>
  <c r="N624" i="6" s="1"/>
  <c r="B625" i="6"/>
  <c r="N625" i="6" s="1"/>
  <c r="B626" i="6"/>
  <c r="N626" i="6" s="1"/>
  <c r="B627" i="6"/>
  <c r="N627" i="6" s="1"/>
  <c r="B628" i="6"/>
  <c r="N628" i="6" s="1"/>
  <c r="B629" i="6"/>
  <c r="N629" i="6" s="1"/>
  <c r="B630" i="6"/>
  <c r="N630" i="6" s="1"/>
  <c r="B631" i="6"/>
  <c r="N631" i="6" s="1"/>
  <c r="B632" i="6"/>
  <c r="N632" i="6" s="1"/>
  <c r="B633" i="6"/>
  <c r="N633" i="6" s="1"/>
  <c r="B634" i="6"/>
  <c r="N634" i="6" s="1"/>
  <c r="B635" i="6"/>
  <c r="N635" i="6" s="1"/>
  <c r="B636" i="6"/>
  <c r="N636" i="6" s="1"/>
  <c r="B637" i="6"/>
  <c r="N637" i="6" s="1"/>
  <c r="B638" i="6"/>
  <c r="N638" i="6" s="1"/>
  <c r="B639" i="6"/>
  <c r="N639" i="6" s="1"/>
  <c r="B640" i="6"/>
  <c r="N640" i="6" s="1"/>
  <c r="B641" i="6"/>
  <c r="N641" i="6" s="1"/>
  <c r="B642" i="6"/>
  <c r="N642" i="6" s="1"/>
  <c r="B643" i="6"/>
  <c r="N643" i="6" s="1"/>
  <c r="B644" i="6"/>
  <c r="N644" i="6" s="1"/>
  <c r="B645" i="6"/>
  <c r="N645" i="6" s="1"/>
  <c r="B646" i="6"/>
  <c r="N646" i="6" s="1"/>
  <c r="B647" i="6"/>
  <c r="N647" i="6" s="1"/>
  <c r="B648" i="6"/>
  <c r="N648" i="6" s="1"/>
  <c r="B649" i="6"/>
  <c r="N649" i="6" s="1"/>
  <c r="M649" i="6" s="1"/>
  <c r="B650" i="6"/>
  <c r="N650" i="6" s="1"/>
  <c r="B651" i="6"/>
  <c r="N651" i="6" s="1"/>
  <c r="M651" i="6" s="1"/>
  <c r="B652" i="6"/>
  <c r="N652" i="6" s="1"/>
  <c r="B653" i="6"/>
  <c r="B654" i="6"/>
  <c r="N654" i="6" s="1"/>
  <c r="B655" i="6"/>
  <c r="N655" i="6" s="1"/>
  <c r="B656" i="6"/>
  <c r="N656" i="6" s="1"/>
  <c r="B657" i="6"/>
  <c r="N657" i="6" s="1"/>
  <c r="B658" i="6"/>
  <c r="N658" i="6" s="1"/>
  <c r="B659" i="6"/>
  <c r="N659" i="6" s="1"/>
  <c r="B660" i="6"/>
  <c r="N660" i="6" s="1"/>
  <c r="B661" i="6"/>
  <c r="N661" i="6" s="1"/>
  <c r="B662" i="6"/>
  <c r="N662" i="6" s="1"/>
  <c r="B663" i="6"/>
  <c r="N663" i="6" s="1"/>
  <c r="B664" i="6"/>
  <c r="N664" i="6" s="1"/>
  <c r="B665" i="6"/>
  <c r="N665" i="6" s="1"/>
  <c r="B666" i="6"/>
  <c r="N666" i="6" s="1"/>
  <c r="B667" i="6"/>
  <c r="N667" i="6" s="1"/>
  <c r="B668" i="6"/>
  <c r="N668" i="6" s="1"/>
  <c r="B669" i="6"/>
  <c r="N669" i="6" s="1"/>
  <c r="B670" i="6"/>
  <c r="N670" i="6" s="1"/>
  <c r="B671" i="6"/>
  <c r="N671" i="6" s="1"/>
  <c r="B672" i="6"/>
  <c r="N672" i="6" s="1"/>
  <c r="B673" i="6"/>
  <c r="N673" i="6" s="1"/>
  <c r="B674" i="6"/>
  <c r="N674" i="6" s="1"/>
  <c r="B675" i="6"/>
  <c r="N675" i="6" s="1"/>
  <c r="B676" i="6"/>
  <c r="B677" i="6"/>
  <c r="N677" i="6" s="1"/>
  <c r="B678" i="6"/>
  <c r="N678" i="6" s="1"/>
  <c r="B679" i="6"/>
  <c r="N679" i="6" s="1"/>
  <c r="B680" i="6"/>
  <c r="N680" i="6" s="1"/>
  <c r="B681" i="6"/>
  <c r="N681" i="6" s="1"/>
  <c r="B682" i="6"/>
  <c r="N682" i="6" s="1"/>
  <c r="B683" i="6"/>
  <c r="N683" i="6" s="1"/>
  <c r="B684" i="6"/>
  <c r="N684" i="6" s="1"/>
  <c r="B685" i="6"/>
  <c r="N685" i="6" s="1"/>
  <c r="M685" i="6" s="1"/>
  <c r="B686" i="6"/>
  <c r="N686" i="6" s="1"/>
  <c r="B687" i="6"/>
  <c r="B688" i="6"/>
  <c r="N688" i="6" s="1"/>
  <c r="B689" i="6"/>
  <c r="N689" i="6" s="1"/>
  <c r="B690" i="6"/>
  <c r="N690" i="6" s="1"/>
  <c r="B691" i="6"/>
  <c r="N691" i="6" s="1"/>
  <c r="B692" i="6"/>
  <c r="N692" i="6" s="1"/>
  <c r="B693" i="6"/>
  <c r="N693" i="6" s="1"/>
  <c r="B694" i="6"/>
  <c r="N694" i="6" s="1"/>
  <c r="B695" i="6"/>
  <c r="N695" i="6" s="1"/>
  <c r="M695" i="6" s="1"/>
  <c r="B696" i="6"/>
  <c r="N696" i="6" s="1"/>
  <c r="B697" i="6"/>
  <c r="N697" i="6" s="1"/>
  <c r="B698" i="6"/>
  <c r="N698" i="6" s="1"/>
  <c r="B699" i="6"/>
  <c r="N699" i="6" s="1"/>
  <c r="B700" i="6"/>
  <c r="N700" i="6" s="1"/>
  <c r="B701" i="6"/>
  <c r="N701" i="6" s="1"/>
  <c r="B702" i="6"/>
  <c r="N702" i="6" s="1"/>
  <c r="B703" i="6"/>
  <c r="N703" i="6" s="1"/>
  <c r="B704" i="6"/>
  <c r="N704" i="6" s="1"/>
  <c r="B705" i="6"/>
  <c r="N705" i="6" s="1"/>
  <c r="B706" i="6"/>
  <c r="N706" i="6" s="1"/>
  <c r="B707" i="6"/>
  <c r="N707" i="6" s="1"/>
  <c r="B708" i="6"/>
  <c r="N708" i="6" s="1"/>
  <c r="B709" i="6"/>
  <c r="N709" i="6" s="1"/>
  <c r="B710" i="6"/>
  <c r="N710" i="6" s="1"/>
  <c r="B711" i="6"/>
  <c r="B712" i="6"/>
  <c r="N712" i="6" s="1"/>
  <c r="B713" i="6"/>
  <c r="N713" i="6" s="1"/>
  <c r="B714" i="6"/>
  <c r="N714" i="6" s="1"/>
  <c r="B715" i="6"/>
  <c r="N715" i="6" s="1"/>
  <c r="B716" i="6"/>
  <c r="N716" i="6" s="1"/>
  <c r="B717" i="6"/>
  <c r="N717" i="6" s="1"/>
  <c r="B718" i="6"/>
  <c r="B719" i="6"/>
  <c r="N719" i="6" s="1"/>
  <c r="B720" i="6"/>
  <c r="N720" i="6" s="1"/>
  <c r="B721" i="6"/>
  <c r="N721" i="6" s="1"/>
  <c r="M721" i="6" s="1"/>
  <c r="B722" i="6"/>
  <c r="N722" i="6" s="1"/>
  <c r="B723" i="6"/>
  <c r="N723" i="6" s="1"/>
  <c r="M723" i="6" s="1"/>
  <c r="B724" i="6"/>
  <c r="N724" i="6" s="1"/>
  <c r="B725" i="6"/>
  <c r="N725" i="6" s="1"/>
  <c r="B726" i="6"/>
  <c r="N726" i="6" s="1"/>
  <c r="B727" i="6"/>
  <c r="N727" i="6" s="1"/>
  <c r="B728" i="6"/>
  <c r="N728" i="6" s="1"/>
  <c r="B729" i="6"/>
  <c r="N729" i="6" s="1"/>
  <c r="B730" i="6"/>
  <c r="N730" i="6" s="1"/>
  <c r="B731" i="6"/>
  <c r="N731" i="6" s="1"/>
  <c r="B732" i="6"/>
  <c r="N732" i="6" s="1"/>
  <c r="B733" i="6"/>
  <c r="N733" i="6" s="1"/>
  <c r="B734" i="6"/>
  <c r="N734" i="6" s="1"/>
  <c r="B735" i="6"/>
  <c r="N735" i="6" s="1"/>
  <c r="B736" i="6"/>
  <c r="N736" i="6" s="1"/>
  <c r="B737" i="6"/>
  <c r="N737" i="6" s="1"/>
  <c r="B738" i="6"/>
  <c r="N738" i="6" s="1"/>
  <c r="B739" i="6"/>
  <c r="N739" i="6" s="1"/>
  <c r="B740" i="6"/>
  <c r="N740" i="6" s="1"/>
  <c r="B741" i="6"/>
  <c r="N741" i="6" s="1"/>
  <c r="B742" i="6"/>
  <c r="N742" i="6" s="1"/>
  <c r="B743" i="6"/>
  <c r="N743" i="6" s="1"/>
  <c r="B744" i="6"/>
  <c r="N744" i="6" s="1"/>
  <c r="B745" i="6"/>
  <c r="N745" i="6" s="1"/>
  <c r="B746" i="6"/>
  <c r="N746" i="6" s="1"/>
  <c r="B747" i="6"/>
  <c r="N747" i="6" s="1"/>
  <c r="B748" i="6"/>
  <c r="N748" i="6" s="1"/>
  <c r="B749" i="6"/>
  <c r="N749" i="6" s="1"/>
  <c r="B750" i="6"/>
  <c r="N750" i="6" s="1"/>
  <c r="B751" i="6"/>
  <c r="N751" i="6" s="1"/>
  <c r="B752" i="6"/>
  <c r="N752" i="6" s="1"/>
  <c r="B753" i="6"/>
  <c r="N753" i="6" s="1"/>
  <c r="B754" i="6"/>
  <c r="B755" i="6"/>
  <c r="N755" i="6" s="1"/>
  <c r="B756" i="6"/>
  <c r="N756" i="6" s="1"/>
  <c r="B757" i="6"/>
  <c r="N757" i="6" s="1"/>
  <c r="M757" i="6" s="1"/>
  <c r="B758" i="6"/>
  <c r="N758" i="6" s="1"/>
  <c r="B759" i="6"/>
  <c r="N759" i="6" s="1"/>
  <c r="B760" i="6"/>
  <c r="N760" i="6" s="1"/>
  <c r="B761" i="6"/>
  <c r="N761" i="6" s="1"/>
  <c r="B762" i="6"/>
  <c r="N762" i="6" s="1"/>
  <c r="B763" i="6"/>
  <c r="N763" i="6" s="1"/>
  <c r="B764" i="6"/>
  <c r="N764" i="6" s="1"/>
  <c r="B765" i="6"/>
  <c r="N765" i="6" s="1"/>
  <c r="B766" i="6"/>
  <c r="N766" i="6" s="1"/>
  <c r="B767" i="6"/>
  <c r="N767" i="6" s="1"/>
  <c r="B768" i="6"/>
  <c r="N768" i="6" s="1"/>
  <c r="B769" i="6"/>
  <c r="N769" i="6" s="1"/>
  <c r="B770" i="6"/>
  <c r="N770" i="6" s="1"/>
  <c r="B771" i="6"/>
  <c r="N771" i="6" s="1"/>
  <c r="B772" i="6"/>
  <c r="N772" i="6" s="1"/>
  <c r="B773" i="6"/>
  <c r="N773" i="6" s="1"/>
  <c r="B774" i="6"/>
  <c r="N774" i="6" s="1"/>
  <c r="B775" i="6"/>
  <c r="N775" i="6" s="1"/>
  <c r="B776" i="6"/>
  <c r="N776" i="6" s="1"/>
  <c r="B777" i="6"/>
  <c r="N777" i="6" s="1"/>
  <c r="B778" i="6"/>
  <c r="N778" i="6" s="1"/>
  <c r="B779" i="6"/>
  <c r="N779" i="6" s="1"/>
  <c r="B780" i="6"/>
  <c r="N780" i="6" s="1"/>
  <c r="B781" i="6"/>
  <c r="N781" i="6" s="1"/>
  <c r="B782" i="6"/>
  <c r="N782" i="6" s="1"/>
  <c r="B783" i="6"/>
  <c r="N783" i="6" s="1"/>
  <c r="B784" i="6"/>
  <c r="N784" i="6" s="1"/>
  <c r="B785" i="6"/>
  <c r="N785" i="6" s="1"/>
  <c r="B786" i="6"/>
  <c r="N786" i="6" s="1"/>
  <c r="B787" i="6"/>
  <c r="N787" i="6" s="1"/>
  <c r="B788" i="6"/>
  <c r="N788" i="6" s="1"/>
  <c r="B789" i="6"/>
  <c r="N789" i="6" s="1"/>
  <c r="B790" i="6"/>
  <c r="N790" i="6" s="1"/>
  <c r="B791" i="6"/>
  <c r="N791" i="6" s="1"/>
  <c r="B792" i="6"/>
  <c r="N792" i="6" s="1"/>
  <c r="B793" i="6"/>
  <c r="N793" i="6" s="1"/>
  <c r="B794" i="6"/>
  <c r="N794" i="6" s="1"/>
  <c r="B795" i="6"/>
  <c r="N795" i="6" s="1"/>
  <c r="B796" i="6"/>
  <c r="N796" i="6" s="1"/>
  <c r="B797" i="6"/>
  <c r="N797" i="6" s="1"/>
  <c r="B798" i="6"/>
  <c r="N798" i="6" s="1"/>
  <c r="B799" i="6"/>
  <c r="N799" i="6" s="1"/>
  <c r="B800" i="6"/>
  <c r="N800" i="6" s="1"/>
  <c r="B801" i="6"/>
  <c r="N801" i="6" s="1"/>
  <c r="B802" i="6"/>
  <c r="N802" i="6" s="1"/>
  <c r="B803" i="6"/>
  <c r="N803" i="6" s="1"/>
  <c r="B804" i="6"/>
  <c r="N804" i="6" s="1"/>
  <c r="B805" i="6"/>
  <c r="N805" i="6" s="1"/>
  <c r="B806" i="6"/>
  <c r="N806" i="6" s="1"/>
  <c r="B807" i="6"/>
  <c r="N807" i="6" s="1"/>
  <c r="B808" i="6"/>
  <c r="B809" i="6"/>
  <c r="N809" i="6" s="1"/>
  <c r="B810" i="6"/>
  <c r="B811" i="6"/>
  <c r="N811" i="6" s="1"/>
  <c r="B812" i="6"/>
  <c r="N812" i="6" s="1"/>
  <c r="B813" i="6"/>
  <c r="N813" i="6" s="1"/>
  <c r="B814" i="6"/>
  <c r="N814" i="6" s="1"/>
  <c r="B815" i="6"/>
  <c r="N815" i="6" s="1"/>
  <c r="B816" i="6"/>
  <c r="N816" i="6" s="1"/>
  <c r="B817" i="6"/>
  <c r="N817" i="6" s="1"/>
  <c r="B818" i="6"/>
  <c r="N818" i="6" s="1"/>
  <c r="B819" i="6"/>
  <c r="B820" i="6"/>
  <c r="N820" i="6" s="1"/>
  <c r="B821" i="6"/>
  <c r="N821" i="6" s="1"/>
  <c r="B822" i="6"/>
  <c r="N822" i="6" s="1"/>
  <c r="B823" i="6"/>
  <c r="N823" i="6" s="1"/>
  <c r="B824" i="6"/>
  <c r="N824" i="6" s="1"/>
  <c r="B825" i="6"/>
  <c r="N825" i="6" s="1"/>
  <c r="B826" i="6"/>
  <c r="N826" i="6" s="1"/>
  <c r="B827" i="6"/>
  <c r="N827" i="6" s="1"/>
  <c r="B828" i="6"/>
  <c r="N828" i="6" s="1"/>
  <c r="B829" i="6"/>
  <c r="N829" i="6" s="1"/>
  <c r="B830" i="6"/>
  <c r="N830" i="6" s="1"/>
  <c r="B831" i="6"/>
  <c r="N831" i="6" s="1"/>
  <c r="B832" i="6"/>
  <c r="N832" i="6" s="1"/>
  <c r="B833" i="6"/>
  <c r="N833" i="6" s="1"/>
  <c r="B834" i="6"/>
  <c r="N834" i="6" s="1"/>
  <c r="B835" i="6"/>
  <c r="N835" i="6" s="1"/>
  <c r="B836" i="6"/>
  <c r="N836" i="6" s="1"/>
  <c r="B837" i="6"/>
  <c r="N837" i="6" s="1"/>
  <c r="B838" i="6"/>
  <c r="N838" i="6" s="1"/>
  <c r="B839" i="6"/>
  <c r="B840" i="6"/>
  <c r="N840" i="6" s="1"/>
  <c r="B841" i="6"/>
  <c r="N841" i="6" s="1"/>
  <c r="B842" i="6"/>
  <c r="N842" i="6" s="1"/>
  <c r="B843" i="6"/>
  <c r="N843" i="6" s="1"/>
  <c r="B844" i="6"/>
  <c r="N844" i="6" s="1"/>
  <c r="B845" i="6"/>
  <c r="N845" i="6" s="1"/>
  <c r="B846" i="6"/>
  <c r="N846" i="6" s="1"/>
  <c r="B847" i="6"/>
  <c r="N847" i="6" s="1"/>
  <c r="B848" i="6"/>
  <c r="N848" i="6" s="1"/>
  <c r="B849" i="6"/>
  <c r="N849" i="6" s="1"/>
  <c r="B850" i="6"/>
  <c r="N850" i="6" s="1"/>
  <c r="B851" i="6"/>
  <c r="N851" i="6" s="1"/>
  <c r="B852" i="6"/>
  <c r="N852" i="6" s="1"/>
  <c r="B853" i="6"/>
  <c r="N853" i="6" s="1"/>
  <c r="B854" i="6"/>
  <c r="N854" i="6" s="1"/>
  <c r="B855" i="6"/>
  <c r="N855" i="6" s="1"/>
  <c r="B856" i="6"/>
  <c r="N856" i="6" s="1"/>
  <c r="B857" i="6"/>
  <c r="N857" i="6" s="1"/>
  <c r="B858" i="6"/>
  <c r="N858" i="6" s="1"/>
  <c r="B859" i="6"/>
  <c r="N859" i="6" s="1"/>
  <c r="B860" i="6"/>
  <c r="N860" i="6" s="1"/>
  <c r="B861" i="6"/>
  <c r="N861" i="6" s="1"/>
  <c r="B862" i="6"/>
  <c r="N862" i="6" s="1"/>
  <c r="B863" i="6"/>
  <c r="N863" i="6" s="1"/>
  <c r="B864" i="6"/>
  <c r="N864" i="6" s="1"/>
  <c r="B865" i="6"/>
  <c r="N865" i="6" s="1"/>
  <c r="B866" i="6"/>
  <c r="N866" i="6" s="1"/>
  <c r="B867" i="6"/>
  <c r="N867" i="6" s="1"/>
  <c r="M867" i="6" s="1"/>
  <c r="B868" i="6"/>
  <c r="N868" i="6" s="1"/>
  <c r="B869" i="6"/>
  <c r="N869" i="6" s="1"/>
  <c r="B870" i="6"/>
  <c r="N870" i="6" s="1"/>
  <c r="B871" i="6"/>
  <c r="N871" i="6" s="1"/>
  <c r="B872" i="6"/>
  <c r="N872" i="6" s="1"/>
  <c r="B873" i="6"/>
  <c r="N873" i="6" s="1"/>
  <c r="B874" i="6"/>
  <c r="N874" i="6" s="1"/>
  <c r="B875" i="6"/>
  <c r="N875" i="6" s="1"/>
  <c r="B876" i="6"/>
  <c r="N876" i="6" s="1"/>
  <c r="B877" i="6"/>
  <c r="N877" i="6" s="1"/>
  <c r="B878" i="6"/>
  <c r="N878" i="6" s="1"/>
  <c r="B879" i="6"/>
  <c r="B880" i="6"/>
  <c r="N880" i="6" s="1"/>
  <c r="B881" i="6"/>
  <c r="N881" i="6" s="1"/>
  <c r="B882" i="6"/>
  <c r="N882" i="6" s="1"/>
  <c r="B883" i="6"/>
  <c r="N883" i="6" s="1"/>
  <c r="B884" i="6"/>
  <c r="N884" i="6" s="1"/>
  <c r="B885" i="6"/>
  <c r="N885" i="6" s="1"/>
  <c r="B886" i="6"/>
  <c r="N886" i="6" s="1"/>
  <c r="B887" i="6"/>
  <c r="N887" i="6" s="1"/>
  <c r="B888" i="6"/>
  <c r="N888" i="6" s="1"/>
  <c r="B889" i="6"/>
  <c r="N889" i="6" s="1"/>
  <c r="B890" i="6"/>
  <c r="N890" i="6" s="1"/>
  <c r="B891" i="6"/>
  <c r="N891" i="6" s="1"/>
  <c r="B892" i="6"/>
  <c r="N892" i="6" s="1"/>
  <c r="B893" i="6"/>
  <c r="N893" i="6" s="1"/>
  <c r="B894" i="6"/>
  <c r="N894" i="6" s="1"/>
  <c r="B895" i="6"/>
  <c r="N895" i="6" s="1"/>
  <c r="B896" i="6"/>
  <c r="N896" i="6" s="1"/>
  <c r="M896" i="6" s="1"/>
  <c r="B897" i="6"/>
  <c r="N897" i="6" s="1"/>
  <c r="B898" i="6"/>
  <c r="N898" i="6" s="1"/>
  <c r="B899" i="6"/>
  <c r="N899" i="6" s="1"/>
  <c r="B900" i="6"/>
  <c r="N900" i="6" s="1"/>
  <c r="B901" i="6"/>
  <c r="N901" i="6" s="1"/>
  <c r="B902" i="6"/>
  <c r="N902" i="6" s="1"/>
  <c r="B903" i="6"/>
  <c r="N903" i="6" s="1"/>
  <c r="B904" i="6"/>
  <c r="N904" i="6" s="1"/>
  <c r="B905" i="6"/>
  <c r="N905" i="6" s="1"/>
  <c r="B906" i="6"/>
  <c r="N906" i="6" s="1"/>
  <c r="B907" i="6"/>
  <c r="B908" i="6"/>
  <c r="N908" i="6" s="1"/>
  <c r="B909" i="6"/>
  <c r="N909" i="6" s="1"/>
  <c r="B910" i="6"/>
  <c r="N910" i="6" s="1"/>
  <c r="B911" i="6"/>
  <c r="N911" i="6" s="1"/>
  <c r="B912" i="6"/>
  <c r="N912" i="6" s="1"/>
  <c r="B913" i="6"/>
  <c r="N913" i="6" s="1"/>
  <c r="B914" i="6"/>
  <c r="N914" i="6" s="1"/>
  <c r="B915" i="6"/>
  <c r="N915" i="6" s="1"/>
  <c r="B916" i="6"/>
  <c r="N916" i="6" s="1"/>
  <c r="B917" i="6"/>
  <c r="N917" i="6" s="1"/>
  <c r="B918" i="6"/>
  <c r="N918" i="6" s="1"/>
  <c r="B919" i="6"/>
  <c r="N919" i="6" s="1"/>
  <c r="B920" i="6"/>
  <c r="N920" i="6" s="1"/>
  <c r="B921" i="6"/>
  <c r="N921" i="6" s="1"/>
  <c r="B922" i="6"/>
  <c r="N922" i="6" s="1"/>
  <c r="B923" i="6"/>
  <c r="N923" i="6" s="1"/>
  <c r="B924" i="6"/>
  <c r="N924" i="6" s="1"/>
  <c r="B925" i="6"/>
  <c r="N925" i="6" s="1"/>
  <c r="B926" i="6"/>
  <c r="N926" i="6" s="1"/>
  <c r="B927" i="6"/>
  <c r="N927" i="6" s="1"/>
  <c r="B928" i="6"/>
  <c r="N928" i="6" s="1"/>
  <c r="B929" i="6"/>
  <c r="N929" i="6" s="1"/>
  <c r="B930" i="6"/>
  <c r="N930" i="6" s="1"/>
  <c r="B931" i="6"/>
  <c r="N931" i="6" s="1"/>
  <c r="B932" i="6"/>
  <c r="N932" i="6" s="1"/>
  <c r="B933" i="6"/>
  <c r="N933" i="6" s="1"/>
  <c r="B934" i="6"/>
  <c r="N934" i="6" s="1"/>
  <c r="B935" i="6"/>
  <c r="N935" i="6" s="1"/>
  <c r="B936" i="6"/>
  <c r="N936" i="6" s="1"/>
  <c r="B937" i="6"/>
  <c r="N937" i="6" s="1"/>
  <c r="B938" i="6"/>
  <c r="N938" i="6" s="1"/>
  <c r="B939" i="6"/>
  <c r="N939" i="6" s="1"/>
  <c r="B940" i="6"/>
  <c r="N940" i="6" s="1"/>
  <c r="B941" i="6"/>
  <c r="N941" i="6" s="1"/>
  <c r="B942" i="6"/>
  <c r="N942" i="6" s="1"/>
  <c r="B943" i="6"/>
  <c r="N943" i="6" s="1"/>
  <c r="B944" i="6"/>
  <c r="N944" i="6" s="1"/>
  <c r="B945" i="6"/>
  <c r="N945" i="6" s="1"/>
  <c r="B946" i="6"/>
  <c r="N946" i="6" s="1"/>
  <c r="B947" i="6"/>
  <c r="N947" i="6" s="1"/>
  <c r="B948" i="6"/>
  <c r="N948" i="6" s="1"/>
  <c r="B949" i="6"/>
  <c r="N949" i="6" s="1"/>
  <c r="B950" i="6"/>
  <c r="N950" i="6" s="1"/>
  <c r="B951" i="6"/>
  <c r="N951" i="6" s="1"/>
  <c r="M951" i="6" s="1"/>
  <c r="B952" i="6"/>
  <c r="N952" i="6" s="1"/>
  <c r="B953" i="6"/>
  <c r="N953" i="6" s="1"/>
  <c r="B954" i="6"/>
  <c r="N954" i="6" s="1"/>
  <c r="B955" i="6"/>
  <c r="N955" i="6" s="1"/>
  <c r="B956" i="6"/>
  <c r="N956" i="6" s="1"/>
  <c r="B957" i="6"/>
  <c r="N957" i="6" s="1"/>
  <c r="B958" i="6"/>
  <c r="N958" i="6" s="1"/>
  <c r="B959" i="6"/>
  <c r="N959" i="6" s="1"/>
  <c r="B960" i="6"/>
  <c r="N960" i="6" s="1"/>
  <c r="B961" i="6"/>
  <c r="N961" i="6" s="1"/>
  <c r="B962" i="6"/>
  <c r="N962" i="6" s="1"/>
  <c r="B963" i="6"/>
  <c r="N963" i="6" s="1"/>
  <c r="B964" i="6"/>
  <c r="B965" i="6"/>
  <c r="N965" i="6" s="1"/>
  <c r="B966" i="6"/>
  <c r="N966" i="6" s="1"/>
  <c r="B967" i="6"/>
  <c r="N967" i="6" s="1"/>
  <c r="B968" i="6"/>
  <c r="N968" i="6" s="1"/>
  <c r="B969" i="6"/>
  <c r="N969" i="6" s="1"/>
  <c r="B970" i="6"/>
  <c r="N970" i="6" s="1"/>
  <c r="B971" i="6"/>
  <c r="N971" i="6" s="1"/>
  <c r="B972" i="6"/>
  <c r="N972" i="6" s="1"/>
  <c r="B973" i="6"/>
  <c r="N973" i="6" s="1"/>
  <c r="M973" i="6" s="1"/>
  <c r="B974" i="6"/>
  <c r="N974" i="6" s="1"/>
  <c r="B975" i="6"/>
  <c r="N975" i="6" s="1"/>
  <c r="B976" i="6"/>
  <c r="N976" i="6" s="1"/>
  <c r="B977" i="6"/>
  <c r="N977" i="6" s="1"/>
  <c r="B978" i="6"/>
  <c r="N978" i="6" s="1"/>
  <c r="B979" i="6"/>
  <c r="N979" i="6" s="1"/>
  <c r="B980" i="6"/>
  <c r="N980" i="6" s="1"/>
  <c r="B981" i="6"/>
  <c r="N981" i="6" s="1"/>
  <c r="B982" i="6"/>
  <c r="N982" i="6" s="1"/>
  <c r="B983" i="6"/>
  <c r="N983" i="6" s="1"/>
  <c r="B984" i="6"/>
  <c r="N984" i="6" s="1"/>
  <c r="B985" i="6"/>
  <c r="N985" i="6" s="1"/>
  <c r="B986" i="6"/>
  <c r="N986" i="6" s="1"/>
  <c r="B987" i="6"/>
  <c r="N987" i="6" s="1"/>
  <c r="B988" i="6"/>
  <c r="N988" i="6" s="1"/>
  <c r="B989" i="6"/>
  <c r="N989" i="6" s="1"/>
  <c r="B990" i="6"/>
  <c r="N990" i="6" s="1"/>
  <c r="B991" i="6"/>
  <c r="N991" i="6" s="1"/>
  <c r="B992" i="6"/>
  <c r="N992" i="6" s="1"/>
  <c r="B993" i="6"/>
  <c r="N993" i="6" s="1"/>
  <c r="B994" i="6"/>
  <c r="N994" i="6" s="1"/>
  <c r="B995" i="6"/>
  <c r="N995" i="6" s="1"/>
  <c r="B996" i="6"/>
  <c r="N996" i="6" s="1"/>
  <c r="B997" i="6"/>
  <c r="N997" i="6" s="1"/>
  <c r="B998" i="6"/>
  <c r="N998" i="6" s="1"/>
  <c r="B999" i="6"/>
  <c r="N999" i="6" s="1"/>
  <c r="B1000" i="6"/>
  <c r="N1000" i="6" s="1"/>
  <c r="B1001" i="6"/>
  <c r="N1001" i="6" s="1"/>
  <c r="B1002" i="6"/>
  <c r="N1002" i="6" s="1"/>
  <c r="B1003" i="6"/>
  <c r="N1003" i="6" s="1"/>
  <c r="B1004" i="6"/>
  <c r="N1004" i="6" s="1"/>
  <c r="B1005" i="6"/>
  <c r="N1005" i="6" s="1"/>
  <c r="B1006" i="6"/>
  <c r="N1006" i="6" s="1"/>
  <c r="B1007" i="6"/>
  <c r="N1007" i="6" s="1"/>
  <c r="B1008" i="6"/>
  <c r="N1008" i="6" s="1"/>
  <c r="B1009" i="6"/>
  <c r="N1009" i="6" s="1"/>
  <c r="B1010" i="6"/>
  <c r="N1010" i="6" s="1"/>
  <c r="B1011" i="6"/>
  <c r="N1011" i="6" s="1"/>
  <c r="B1012" i="6"/>
  <c r="N1012" i="6" s="1"/>
  <c r="B1013" i="6"/>
  <c r="N1013" i="6" s="1"/>
  <c r="B1014" i="6"/>
  <c r="N1014" i="6" s="1"/>
  <c r="B1015" i="6"/>
  <c r="N1015" i="6" s="1"/>
  <c r="B1016" i="6"/>
  <c r="N1016" i="6" s="1"/>
  <c r="B1017" i="6"/>
  <c r="N1017" i="6" s="1"/>
  <c r="B1018" i="6"/>
  <c r="N1018" i="6" s="1"/>
  <c r="B1019" i="6"/>
  <c r="N1019" i="6" s="1"/>
  <c r="B1020" i="6"/>
  <c r="N1020" i="6" s="1"/>
  <c r="B1021" i="6"/>
  <c r="N1021" i="6" s="1"/>
  <c r="B1022" i="6"/>
  <c r="N1022" i="6" s="1"/>
  <c r="B1023" i="6"/>
  <c r="N1023" i="6" s="1"/>
  <c r="B1024" i="6"/>
  <c r="N1024" i="6" s="1"/>
  <c r="B1025" i="6"/>
  <c r="N1025" i="6" s="1"/>
  <c r="B1026" i="6"/>
  <c r="N1026" i="6" s="1"/>
  <c r="B1027" i="6"/>
  <c r="N1027" i="6" s="1"/>
  <c r="B1028" i="6"/>
  <c r="N1028" i="6" s="1"/>
  <c r="B1029" i="6"/>
  <c r="N1029" i="6" s="1"/>
  <c r="M1029" i="6" s="1"/>
  <c r="B1030" i="6"/>
  <c r="N1030" i="6" s="1"/>
  <c r="B1031" i="6"/>
  <c r="N1031" i="6" s="1"/>
  <c r="M1031" i="6" s="1"/>
  <c r="B1032" i="6"/>
  <c r="N1032" i="6" s="1"/>
  <c r="B1033" i="6"/>
  <c r="N1033" i="6" s="1"/>
  <c r="B1034" i="6"/>
  <c r="N1034" i="6" s="1"/>
  <c r="B1035" i="6"/>
  <c r="N1035" i="6" s="1"/>
  <c r="B1036" i="6"/>
  <c r="N1036" i="6" s="1"/>
  <c r="B1037" i="6"/>
  <c r="N1037" i="6" s="1"/>
  <c r="B1038" i="6"/>
  <c r="N1038" i="6" s="1"/>
  <c r="B1039" i="6"/>
  <c r="N1039" i="6" s="1"/>
  <c r="B1040" i="6"/>
  <c r="N1040" i="6" s="1"/>
  <c r="B1041" i="6"/>
  <c r="N1041" i="6" s="1"/>
  <c r="M1041" i="6" s="1"/>
  <c r="B1042" i="6"/>
  <c r="N1042" i="6" s="1"/>
  <c r="B1043" i="6"/>
  <c r="N1043" i="6" s="1"/>
  <c r="B1044" i="6"/>
  <c r="N1044" i="6" s="1"/>
  <c r="B1045" i="6"/>
  <c r="N1045" i="6" s="1"/>
  <c r="B1046" i="6"/>
  <c r="N1046" i="6" s="1"/>
  <c r="B1047" i="6"/>
  <c r="N1047" i="6" s="1"/>
  <c r="B1048" i="6"/>
  <c r="N1048" i="6" s="1"/>
  <c r="B1049" i="6"/>
  <c r="N1049" i="6" s="1"/>
  <c r="B1050" i="6"/>
  <c r="N1050" i="6" s="1"/>
  <c r="B1051" i="6"/>
  <c r="N1051" i="6" s="1"/>
  <c r="B1052" i="6"/>
  <c r="N1052" i="6" s="1"/>
  <c r="B1053" i="6"/>
  <c r="N1053" i="6" s="1"/>
  <c r="B1054" i="6"/>
  <c r="N1054" i="6" s="1"/>
  <c r="B1055" i="6"/>
  <c r="N1055" i="6" s="1"/>
  <c r="B1056" i="6"/>
  <c r="N1056" i="6" s="1"/>
  <c r="B1057" i="6"/>
  <c r="N1057" i="6" s="1"/>
  <c r="B1058" i="6"/>
  <c r="N1058" i="6" s="1"/>
  <c r="B1059" i="6"/>
  <c r="N1059" i="6" s="1"/>
  <c r="B1060" i="6"/>
  <c r="N1060" i="6" s="1"/>
  <c r="B1061" i="6"/>
  <c r="N1061" i="6" s="1"/>
  <c r="B1062" i="6"/>
  <c r="N1062" i="6" s="1"/>
  <c r="B1063" i="6"/>
  <c r="N1063" i="6" s="1"/>
  <c r="B1064" i="6"/>
  <c r="N1064" i="6" s="1"/>
  <c r="B1065" i="6"/>
  <c r="N1065" i="6" s="1"/>
  <c r="B1066" i="6"/>
  <c r="N1066" i="6" s="1"/>
  <c r="B1067" i="6"/>
  <c r="N1067" i="6" s="1"/>
  <c r="B1068" i="6"/>
  <c r="N1068" i="6" s="1"/>
  <c r="B1069" i="6"/>
  <c r="N1069" i="6" s="1"/>
  <c r="B1070" i="6"/>
  <c r="N1070" i="6" s="1"/>
  <c r="B1071" i="6"/>
  <c r="N1071" i="6" s="1"/>
  <c r="B1072" i="6"/>
  <c r="B1073" i="6"/>
  <c r="N1073" i="6" s="1"/>
  <c r="B1074" i="6"/>
  <c r="N1074" i="6" s="1"/>
  <c r="B1075" i="6"/>
  <c r="N1075" i="6" s="1"/>
  <c r="B1076" i="6"/>
  <c r="N1076" i="6" s="1"/>
  <c r="B1077" i="6"/>
  <c r="N1077" i="6" s="1"/>
  <c r="B1078" i="6"/>
  <c r="N1078" i="6" s="1"/>
  <c r="B1079" i="6"/>
  <c r="B1080" i="6"/>
  <c r="N1080" i="6" s="1"/>
  <c r="B1081" i="6"/>
  <c r="N1081" i="6" s="1"/>
  <c r="B1082" i="6"/>
  <c r="N1082" i="6" s="1"/>
  <c r="B1083" i="6"/>
  <c r="N1083" i="6" s="1"/>
  <c r="B1084" i="6"/>
  <c r="N1084" i="6" s="1"/>
  <c r="B1085" i="6"/>
  <c r="N1085" i="6" s="1"/>
  <c r="B1086" i="6"/>
  <c r="N1086" i="6" s="1"/>
  <c r="B1087" i="6"/>
  <c r="N1087" i="6" s="1"/>
  <c r="B1088" i="6"/>
  <c r="N1088" i="6" s="1"/>
  <c r="B1089" i="6"/>
  <c r="N1089" i="6" s="1"/>
  <c r="M1089" i="6" s="1"/>
  <c r="B1090" i="6"/>
  <c r="N1090" i="6" s="1"/>
  <c r="B1091" i="6"/>
  <c r="N1091" i="6" s="1"/>
  <c r="B1092" i="6"/>
  <c r="N1092" i="6" s="1"/>
  <c r="B1093" i="6"/>
  <c r="N1093" i="6" s="1"/>
  <c r="B1094" i="6"/>
  <c r="N1094" i="6" s="1"/>
  <c r="B1095" i="6"/>
  <c r="N1095" i="6" s="1"/>
  <c r="B1096" i="6"/>
  <c r="B1097" i="6"/>
  <c r="N1097" i="6" s="1"/>
  <c r="B1098" i="6"/>
  <c r="N1098" i="6" s="1"/>
  <c r="B1099" i="6"/>
  <c r="N1099" i="6" s="1"/>
  <c r="B1100" i="6"/>
  <c r="N1100" i="6" s="1"/>
  <c r="B1101" i="6"/>
  <c r="N1101" i="6" s="1"/>
  <c r="B1102" i="6"/>
  <c r="N1102" i="6" s="1"/>
  <c r="B1103" i="6"/>
  <c r="N1103" i="6" s="1"/>
  <c r="B1104" i="6"/>
  <c r="N1104" i="6" s="1"/>
  <c r="B1105" i="6"/>
  <c r="N1105" i="6" s="1"/>
  <c r="B1106" i="6"/>
  <c r="N1106" i="6" s="1"/>
  <c r="B1107" i="6"/>
  <c r="N1107" i="6" s="1"/>
  <c r="B1108" i="6"/>
  <c r="N1108" i="6" s="1"/>
  <c r="B1109" i="6"/>
  <c r="N1109" i="6" s="1"/>
  <c r="B1110" i="6"/>
  <c r="N1110" i="6" s="1"/>
  <c r="B1111" i="6"/>
  <c r="N1111" i="6" s="1"/>
  <c r="B1112" i="6"/>
  <c r="N1112" i="6" s="1"/>
  <c r="B1113" i="6"/>
  <c r="N1113" i="6" s="1"/>
  <c r="B1114" i="6"/>
  <c r="N1114" i="6" s="1"/>
  <c r="B1115" i="6"/>
  <c r="N1115" i="6" s="1"/>
  <c r="B1116" i="6"/>
  <c r="N1116" i="6" s="1"/>
  <c r="B1117" i="6"/>
  <c r="N1117" i="6" s="1"/>
  <c r="B1118" i="6"/>
  <c r="N1118" i="6" s="1"/>
  <c r="B1119" i="6"/>
  <c r="N1119" i="6" s="1"/>
  <c r="B1120" i="6"/>
  <c r="N1120" i="6" s="1"/>
  <c r="B1121" i="6"/>
  <c r="N1121" i="6" s="1"/>
  <c r="B1122" i="6"/>
  <c r="N1122" i="6" s="1"/>
  <c r="B1123" i="6"/>
  <c r="N1123" i="6" s="1"/>
  <c r="B1124" i="6"/>
  <c r="N1124" i="6" s="1"/>
  <c r="B1125" i="6"/>
  <c r="N1125" i="6" s="1"/>
  <c r="M1125" i="6" s="1"/>
  <c r="B1126" i="6"/>
  <c r="N1126" i="6" s="1"/>
  <c r="B1127" i="6"/>
  <c r="N1127" i="6" s="1"/>
  <c r="M1127" i="6" s="1"/>
  <c r="B1128" i="6"/>
  <c r="N1128" i="6" s="1"/>
  <c r="B1129" i="6"/>
  <c r="N1129" i="6" s="1"/>
  <c r="B1130" i="6"/>
  <c r="N1130" i="6" s="1"/>
  <c r="B1131" i="6"/>
  <c r="B1132" i="6"/>
  <c r="B1133" i="6"/>
  <c r="N1133" i="6" s="1"/>
  <c r="B1134" i="6"/>
  <c r="N1134" i="6" s="1"/>
  <c r="B1135" i="6"/>
  <c r="N1135" i="6" s="1"/>
  <c r="B1136" i="6"/>
  <c r="N1136" i="6" s="1"/>
  <c r="B1137" i="6"/>
  <c r="N1137" i="6" s="1"/>
  <c r="B1138" i="6"/>
  <c r="N1138" i="6" s="1"/>
  <c r="B1139" i="6"/>
  <c r="N1139" i="6" s="1"/>
  <c r="B1140" i="6"/>
  <c r="N1140" i="6" s="1"/>
  <c r="B1141" i="6"/>
  <c r="N1141" i="6" s="1"/>
  <c r="B1142" i="6"/>
  <c r="N1142" i="6" s="1"/>
  <c r="B1143" i="6"/>
  <c r="N1143" i="6" s="1"/>
  <c r="B1144" i="6"/>
  <c r="N1144" i="6" s="1"/>
  <c r="B1145" i="6"/>
  <c r="N1145" i="6" s="1"/>
  <c r="B1146" i="6"/>
  <c r="N1146" i="6" s="1"/>
  <c r="B1147" i="6"/>
  <c r="N1147" i="6" s="1"/>
  <c r="B1148" i="6"/>
  <c r="N1148" i="6" s="1"/>
  <c r="B1149" i="6"/>
  <c r="N1149" i="6" s="1"/>
  <c r="B1150" i="6"/>
  <c r="N1150" i="6" s="1"/>
  <c r="B1151" i="6"/>
  <c r="N1151" i="6" s="1"/>
  <c r="B1152" i="6"/>
  <c r="N1152" i="6" s="1"/>
  <c r="B1153" i="6"/>
  <c r="N1153" i="6" s="1"/>
  <c r="B1154" i="6"/>
  <c r="N1154" i="6" s="1"/>
  <c r="B1155" i="6"/>
  <c r="N1155" i="6" s="1"/>
  <c r="B1156" i="6"/>
  <c r="N1156" i="6" s="1"/>
  <c r="B1157" i="6"/>
  <c r="B1158" i="6"/>
  <c r="N1158" i="6" s="1"/>
  <c r="B1159" i="6"/>
  <c r="N1159" i="6" s="1"/>
  <c r="B1160" i="6"/>
  <c r="N1160" i="6" s="1"/>
  <c r="B1161" i="6"/>
  <c r="N1161" i="6" s="1"/>
  <c r="M1161" i="6" s="1"/>
  <c r="B1162" i="6"/>
  <c r="N1162" i="6" s="1"/>
  <c r="B1163" i="6"/>
  <c r="N1163" i="6" s="1"/>
  <c r="M1163" i="6" s="1"/>
  <c r="B1164" i="6"/>
  <c r="N1164" i="6" s="1"/>
  <c r="B1165" i="6"/>
  <c r="N1165" i="6" s="1"/>
  <c r="B1166" i="6"/>
  <c r="N1166" i="6" s="1"/>
  <c r="B1167" i="6"/>
  <c r="N1167" i="6" s="1"/>
  <c r="B1168" i="6"/>
  <c r="N1168" i="6" s="1"/>
  <c r="B1169" i="6"/>
  <c r="N1169" i="6" s="1"/>
  <c r="B1170" i="6"/>
  <c r="N1170" i="6" s="1"/>
  <c r="B1171" i="6"/>
  <c r="N1171" i="6" s="1"/>
  <c r="B1172" i="6"/>
  <c r="N1172" i="6" s="1"/>
  <c r="B1173" i="6"/>
  <c r="N1173" i="6" s="1"/>
  <c r="B1174" i="6"/>
  <c r="N1174" i="6" s="1"/>
  <c r="B1175" i="6"/>
  <c r="N1175" i="6" s="1"/>
  <c r="B1176" i="6"/>
  <c r="B1177" i="6"/>
  <c r="N1177" i="6" s="1"/>
  <c r="B1178" i="6"/>
  <c r="N1178" i="6" s="1"/>
  <c r="B1179" i="6"/>
  <c r="N1179" i="6" s="1"/>
  <c r="B1180" i="6"/>
  <c r="N1180" i="6" s="1"/>
  <c r="B1181" i="6"/>
  <c r="N1181" i="6" s="1"/>
  <c r="B1182" i="6"/>
  <c r="N1182" i="6" s="1"/>
  <c r="B1183" i="6"/>
  <c r="D1183" i="6" s="1"/>
  <c r="E1183" i="6" s="1"/>
  <c r="B1184" i="6"/>
  <c r="N1184" i="6" s="1"/>
  <c r="B1185" i="6"/>
  <c r="N1185" i="6" s="1"/>
  <c r="B1186" i="6"/>
  <c r="N1186" i="6" s="1"/>
  <c r="B1187" i="6"/>
  <c r="N1187" i="6" s="1"/>
  <c r="B1188" i="6"/>
  <c r="N1188" i="6" s="1"/>
  <c r="B1189" i="6"/>
  <c r="N1189" i="6" s="1"/>
  <c r="B1190" i="6"/>
  <c r="N1190" i="6" s="1"/>
  <c r="B1191" i="6"/>
  <c r="N1191" i="6" s="1"/>
  <c r="B1192" i="6"/>
  <c r="N1192" i="6" s="1"/>
  <c r="B1193" i="6"/>
  <c r="N1193" i="6" s="1"/>
  <c r="B1194" i="6"/>
  <c r="N1194" i="6" s="1"/>
  <c r="B1195" i="6"/>
  <c r="N1195" i="6" s="1"/>
  <c r="B1196" i="6"/>
  <c r="N1196" i="6" s="1"/>
  <c r="B1197" i="6"/>
  <c r="N1197" i="6" s="1"/>
  <c r="M1197" i="6" s="1"/>
  <c r="B1198" i="6"/>
  <c r="N1198" i="6" s="1"/>
  <c r="B1199" i="6"/>
  <c r="N1199" i="6" s="1"/>
  <c r="M1199" i="6" s="1"/>
  <c r="B1200" i="6"/>
  <c r="N1200" i="6" s="1"/>
  <c r="B1201" i="6"/>
  <c r="N1201" i="6" s="1"/>
  <c r="B1202" i="6"/>
  <c r="N1202" i="6" s="1"/>
  <c r="B1203" i="6"/>
  <c r="B1204" i="6"/>
  <c r="N1204" i="6" s="1"/>
  <c r="B1205" i="6"/>
  <c r="N1205" i="6" s="1"/>
  <c r="B1206" i="6"/>
  <c r="N1206" i="6" s="1"/>
  <c r="B1207" i="6"/>
  <c r="N1207" i="6" s="1"/>
  <c r="B1208" i="6"/>
  <c r="N1208" i="6" s="1"/>
  <c r="B1209" i="6"/>
  <c r="N1209" i="6" s="1"/>
  <c r="B1210" i="6"/>
  <c r="N1210" i="6" s="1"/>
  <c r="B1211" i="6"/>
  <c r="N1211" i="6" s="1"/>
  <c r="B1212" i="6"/>
  <c r="N1212" i="6" s="1"/>
  <c r="B1213" i="6"/>
  <c r="N1213" i="6" s="1"/>
  <c r="B1214" i="6"/>
  <c r="N1214" i="6" s="1"/>
  <c r="B1215" i="6"/>
  <c r="N1215" i="6" s="1"/>
  <c r="B1216" i="6"/>
  <c r="N1216" i="6" s="1"/>
  <c r="B1217" i="6"/>
  <c r="N1217" i="6" s="1"/>
  <c r="B1218" i="6"/>
  <c r="N1218" i="6" s="1"/>
  <c r="B1219" i="6"/>
  <c r="N1219" i="6" s="1"/>
  <c r="B1220" i="6"/>
  <c r="N1220" i="6" s="1"/>
  <c r="B1221" i="6"/>
  <c r="N1221" i="6" s="1"/>
  <c r="B1222" i="6"/>
  <c r="N1222" i="6" s="1"/>
  <c r="B1223" i="6"/>
  <c r="N1223" i="6" s="1"/>
  <c r="B1224" i="6"/>
  <c r="N1224" i="6" s="1"/>
  <c r="B1225" i="6"/>
  <c r="N1225" i="6" s="1"/>
  <c r="B1226" i="6"/>
  <c r="N1226" i="6" s="1"/>
  <c r="B1227" i="6"/>
  <c r="B1228" i="6"/>
  <c r="N1228" i="6" s="1"/>
  <c r="B1229" i="6"/>
  <c r="B1230" i="6"/>
  <c r="N1230" i="6" s="1"/>
  <c r="B1231" i="6"/>
  <c r="N1231" i="6" s="1"/>
  <c r="B1232" i="6"/>
  <c r="N1232" i="6" s="1"/>
  <c r="B1233" i="6"/>
  <c r="N1233" i="6" s="1"/>
  <c r="M1233" i="6" s="1"/>
  <c r="B1234" i="6"/>
  <c r="N1234" i="6" s="1"/>
  <c r="B1235" i="6"/>
  <c r="N1235" i="6" s="1"/>
  <c r="M1235" i="6" s="1"/>
  <c r="B1236" i="6"/>
  <c r="N1236" i="6" s="1"/>
  <c r="B1237" i="6"/>
  <c r="N1237" i="6" s="1"/>
  <c r="B1238" i="6"/>
  <c r="N1238" i="6" s="1"/>
  <c r="B1239" i="6"/>
  <c r="N1239" i="6" s="1"/>
  <c r="B1240" i="6"/>
  <c r="N1240" i="6" s="1"/>
  <c r="B1241" i="6"/>
  <c r="N1241" i="6" s="1"/>
  <c r="B1242" i="6"/>
  <c r="N1242" i="6" s="1"/>
  <c r="B1243" i="6"/>
  <c r="N1243" i="6" s="1"/>
  <c r="B1244" i="6"/>
  <c r="N1244" i="6" s="1"/>
  <c r="B1245" i="6"/>
  <c r="N1245" i="6" s="1"/>
  <c r="B1246" i="6"/>
  <c r="N1246" i="6" s="1"/>
  <c r="B1247" i="6"/>
  <c r="N1247" i="6" s="1"/>
  <c r="B1248" i="6"/>
  <c r="N1248" i="6" s="1"/>
  <c r="B1249" i="6"/>
  <c r="N1249" i="6" s="1"/>
  <c r="B1250" i="6"/>
  <c r="N1250" i="6" s="1"/>
  <c r="B1251" i="6"/>
  <c r="N1251" i="6" s="1"/>
  <c r="B1252" i="6"/>
  <c r="N1252" i="6" s="1"/>
  <c r="B1253" i="6"/>
  <c r="N1253" i="6" s="1"/>
  <c r="B1254" i="6"/>
  <c r="N1254" i="6" s="1"/>
  <c r="B1255" i="6"/>
  <c r="D1255" i="6" s="1"/>
  <c r="E1255" i="6" s="1"/>
  <c r="B1256" i="6"/>
  <c r="N1256" i="6" s="1"/>
  <c r="B1257" i="6"/>
  <c r="N1257" i="6" s="1"/>
  <c r="B1258" i="6"/>
  <c r="N1258" i="6" s="1"/>
  <c r="B1259" i="6"/>
  <c r="N1259" i="6" s="1"/>
  <c r="B1260" i="6"/>
  <c r="N1260" i="6" s="1"/>
  <c r="B1261" i="6"/>
  <c r="N1261" i="6" s="1"/>
  <c r="B1262" i="6"/>
  <c r="N1262" i="6" s="1"/>
  <c r="B1263" i="6"/>
  <c r="N1263" i="6" s="1"/>
  <c r="B1264" i="6"/>
  <c r="N1264" i="6" s="1"/>
  <c r="B1265" i="6"/>
  <c r="N1265" i="6" s="1"/>
  <c r="B1266" i="6"/>
  <c r="N1266" i="6" s="1"/>
  <c r="B1267" i="6"/>
  <c r="N1267" i="6" s="1"/>
  <c r="B1268" i="6"/>
  <c r="N1268" i="6" s="1"/>
  <c r="B1269" i="6"/>
  <c r="N1269" i="6" s="1"/>
  <c r="M1269" i="6" s="1"/>
  <c r="B1270" i="6"/>
  <c r="N1270" i="6" s="1"/>
  <c r="B1271" i="6"/>
  <c r="N1271" i="6" s="1"/>
  <c r="M1271" i="6" s="1"/>
  <c r="B1272" i="6"/>
  <c r="N1272" i="6" s="1"/>
  <c r="B1273" i="6"/>
  <c r="N1273" i="6" s="1"/>
  <c r="B1274" i="6"/>
  <c r="B1275" i="6"/>
  <c r="B1276" i="6"/>
  <c r="N1276" i="6" s="1"/>
  <c r="B1277" i="6"/>
  <c r="B1278" i="6"/>
  <c r="D1278" i="6" s="1"/>
  <c r="E1278" i="6" s="1"/>
  <c r="B1279" i="6"/>
  <c r="D1279" i="6" s="1"/>
  <c r="E1279" i="6" s="1"/>
  <c r="B1280" i="6"/>
  <c r="N1280" i="6" s="1"/>
  <c r="B1281" i="6"/>
  <c r="N1281" i="6" s="1"/>
  <c r="B1282" i="6"/>
  <c r="N1282" i="6" s="1"/>
  <c r="B1283" i="6"/>
  <c r="N1283" i="6" s="1"/>
  <c r="B1284" i="6"/>
  <c r="N1284" i="6" s="1"/>
  <c r="B1285" i="6"/>
  <c r="N1285" i="6" s="1"/>
  <c r="B1286" i="6"/>
  <c r="N1286" i="6" s="1"/>
  <c r="B1287" i="6"/>
  <c r="N1287" i="6" s="1"/>
  <c r="B1288" i="6"/>
  <c r="N1288" i="6" s="1"/>
  <c r="B1289" i="6"/>
  <c r="N1289" i="6" s="1"/>
  <c r="B1290" i="6"/>
  <c r="N1290" i="6" s="1"/>
  <c r="B1291" i="6"/>
  <c r="N1291" i="6" s="1"/>
  <c r="B1292" i="6"/>
  <c r="N1292" i="6" s="1"/>
  <c r="B1293" i="6"/>
  <c r="N1293" i="6" s="1"/>
  <c r="B1294" i="6"/>
  <c r="N1294" i="6" s="1"/>
  <c r="B1295" i="6"/>
  <c r="N1295" i="6" s="1"/>
  <c r="M1295" i="6" s="1"/>
  <c r="B1296" i="6"/>
  <c r="N1296" i="6" s="1"/>
  <c r="B1297" i="6"/>
  <c r="N1297" i="6" s="1"/>
  <c r="B1298" i="6"/>
  <c r="N1298" i="6" s="1"/>
  <c r="B1299" i="6"/>
  <c r="N1299" i="6" s="1"/>
  <c r="B1300" i="6"/>
  <c r="N1300" i="6" s="1"/>
  <c r="B1301" i="6"/>
  <c r="N1301" i="6" s="1"/>
  <c r="B1302" i="6"/>
  <c r="N1302" i="6" s="1"/>
  <c r="B1303" i="6"/>
  <c r="N1303" i="6" s="1"/>
  <c r="B1304" i="6"/>
  <c r="N1304" i="6" s="1"/>
  <c r="M1304" i="6" s="1"/>
  <c r="B1305" i="6"/>
  <c r="N1305" i="6" s="1"/>
  <c r="B1306" i="6"/>
  <c r="N1306" i="6" s="1"/>
  <c r="B1307" i="6"/>
  <c r="N1307" i="6" s="1"/>
  <c r="B1308" i="6"/>
  <c r="N1308" i="6" s="1"/>
  <c r="B1309" i="6"/>
  <c r="N1309" i="6" s="1"/>
  <c r="B1310" i="6"/>
  <c r="N1310" i="6" s="1"/>
  <c r="B1311" i="6"/>
  <c r="N1311" i="6" s="1"/>
  <c r="B1312" i="6"/>
  <c r="N1312" i="6" s="1"/>
  <c r="B1313" i="6"/>
  <c r="N1313" i="6" s="1"/>
  <c r="B1314" i="6"/>
  <c r="N1314" i="6" s="1"/>
  <c r="B1315" i="6"/>
  <c r="N1315" i="6" s="1"/>
  <c r="B1316" i="6"/>
  <c r="N1316" i="6" s="1"/>
  <c r="B1317" i="6"/>
  <c r="N1317" i="6" s="1"/>
  <c r="B1318" i="6"/>
  <c r="N1318" i="6" s="1"/>
  <c r="B1319" i="6"/>
  <c r="N1319" i="6" s="1"/>
  <c r="B1320" i="6"/>
  <c r="N1320" i="6" s="1"/>
  <c r="B1321" i="6"/>
  <c r="N1321" i="6" s="1"/>
  <c r="B1322" i="6"/>
  <c r="N1322" i="6" s="1"/>
  <c r="B1323" i="6"/>
  <c r="N1323" i="6" s="1"/>
  <c r="B1324" i="6"/>
  <c r="N1324" i="6" s="1"/>
  <c r="B1325" i="6"/>
  <c r="N1325" i="6" s="1"/>
  <c r="B1326" i="6"/>
  <c r="N1326" i="6" s="1"/>
  <c r="B1327" i="6"/>
  <c r="N1327" i="6" s="1"/>
  <c r="B1328" i="6"/>
  <c r="N1328" i="6" s="1"/>
  <c r="M1328" i="6" s="1"/>
  <c r="B1329" i="6"/>
  <c r="N1329" i="6" s="1"/>
  <c r="B1330" i="6"/>
  <c r="N1330" i="6" s="1"/>
  <c r="M1330" i="6" s="1"/>
  <c r="B1331" i="6"/>
  <c r="N1331" i="6" s="1"/>
  <c r="B1332" i="6"/>
  <c r="N1332" i="6" s="1"/>
  <c r="B1333" i="6"/>
  <c r="N1333" i="6" s="1"/>
  <c r="B1334" i="6"/>
  <c r="N1334" i="6" s="1"/>
  <c r="B1335" i="6"/>
  <c r="N1335" i="6" s="1"/>
  <c r="B1336" i="6"/>
  <c r="N1336" i="6" s="1"/>
  <c r="B1337" i="6"/>
  <c r="N1337" i="6" s="1"/>
  <c r="B1338" i="6"/>
  <c r="N1338" i="6" s="1"/>
  <c r="B1339" i="6"/>
  <c r="N1339" i="6" s="1"/>
  <c r="B1340" i="6"/>
  <c r="N1340" i="6" s="1"/>
  <c r="B1341" i="6"/>
  <c r="N1341" i="6" s="1"/>
  <c r="B1342" i="6"/>
  <c r="N1342" i="6" s="1"/>
  <c r="B1343" i="6"/>
  <c r="N1343" i="6" s="1"/>
  <c r="B1344" i="6"/>
  <c r="N1344" i="6" s="1"/>
  <c r="B1345" i="6"/>
  <c r="N1345" i="6" s="1"/>
  <c r="B1346" i="6"/>
  <c r="N1346" i="6" s="1"/>
  <c r="B1347" i="6"/>
  <c r="N1347" i="6" s="1"/>
  <c r="B1348" i="6"/>
  <c r="N1348" i="6" s="1"/>
  <c r="B1349" i="6"/>
  <c r="N1349" i="6" s="1"/>
  <c r="B1350" i="6"/>
  <c r="N1350" i="6" s="1"/>
  <c r="B1351" i="6"/>
  <c r="N1351" i="6" s="1"/>
  <c r="B1352" i="6"/>
  <c r="N1352" i="6" s="1"/>
  <c r="B1353" i="6"/>
  <c r="N1353" i="6" s="1"/>
  <c r="B1354" i="6"/>
  <c r="N1354" i="6" s="1"/>
  <c r="M1354" i="6" s="1"/>
  <c r="B1355" i="6"/>
  <c r="N1355" i="6" s="1"/>
  <c r="B1356" i="6"/>
  <c r="B1357" i="6"/>
  <c r="N1357" i="6" s="1"/>
  <c r="B1358" i="6"/>
  <c r="N1358" i="6" s="1"/>
  <c r="B1359" i="6"/>
  <c r="N1359" i="6" s="1"/>
  <c r="B1360" i="6"/>
  <c r="N1360" i="6" s="1"/>
  <c r="B1361" i="6"/>
  <c r="N1361" i="6" s="1"/>
  <c r="B1362" i="6"/>
  <c r="N1362" i="6" s="1"/>
  <c r="M1362" i="6" s="1"/>
  <c r="B1363" i="6"/>
  <c r="N1363" i="6" s="1"/>
  <c r="B1364" i="6"/>
  <c r="N1364" i="6" s="1"/>
  <c r="B1365" i="6"/>
  <c r="N1365" i="6" s="1"/>
  <c r="B1366" i="6"/>
  <c r="N1366" i="6" s="1"/>
  <c r="B1367" i="6"/>
  <c r="N1367" i="6" s="1"/>
  <c r="B1368" i="6"/>
  <c r="N1368" i="6" s="1"/>
  <c r="B1369" i="6"/>
  <c r="N1369" i="6" s="1"/>
  <c r="B1370" i="6"/>
  <c r="N1370" i="6" s="1"/>
  <c r="B1371" i="6"/>
  <c r="N1371" i="6" s="1"/>
  <c r="B1372" i="6"/>
  <c r="B1373" i="6"/>
  <c r="N1373" i="6" s="1"/>
  <c r="B1374" i="6"/>
  <c r="N1374" i="6" s="1"/>
  <c r="B1375" i="6"/>
  <c r="N1375" i="6" s="1"/>
  <c r="B1376" i="6"/>
  <c r="N1376" i="6" s="1"/>
  <c r="B1377" i="6"/>
  <c r="N1377" i="6" s="1"/>
  <c r="B1378" i="6"/>
  <c r="N1378" i="6" s="1"/>
  <c r="B1379" i="6"/>
  <c r="N1379" i="6" s="1"/>
  <c r="B1380" i="6"/>
  <c r="N1380" i="6" s="1"/>
  <c r="B1381" i="6"/>
  <c r="N1381" i="6" s="1"/>
  <c r="B1382" i="6"/>
  <c r="N1382" i="6" s="1"/>
  <c r="B1383" i="6"/>
  <c r="N1383" i="6" s="1"/>
  <c r="B1384" i="6"/>
  <c r="N1384" i="6" s="1"/>
  <c r="B1385" i="6"/>
  <c r="N1385" i="6" s="1"/>
  <c r="B1386" i="6"/>
  <c r="N1386" i="6" s="1"/>
  <c r="M1386" i="6" s="1"/>
  <c r="B1387" i="6"/>
  <c r="N1387" i="6" s="1"/>
  <c r="B1388" i="6"/>
  <c r="N1388" i="6" s="1"/>
  <c r="B1389" i="6"/>
  <c r="N1389" i="6" s="1"/>
  <c r="M1389" i="6" s="1"/>
  <c r="B1390" i="6"/>
  <c r="N1390" i="6" s="1"/>
  <c r="B1391" i="6"/>
  <c r="N1391" i="6" s="1"/>
  <c r="B1392" i="6"/>
  <c r="N1392" i="6" s="1"/>
  <c r="B1393" i="6"/>
  <c r="N1393" i="6" s="1"/>
  <c r="B1394" i="6"/>
  <c r="N1394" i="6" s="1"/>
  <c r="B1395" i="6"/>
  <c r="N1395" i="6" s="1"/>
  <c r="B1396" i="6"/>
  <c r="B1397" i="6"/>
  <c r="N1397" i="6" s="1"/>
  <c r="B1398" i="6"/>
  <c r="N1398" i="6" s="1"/>
  <c r="B1399" i="6"/>
  <c r="N1399" i="6" s="1"/>
  <c r="B1400" i="6"/>
  <c r="N1400" i="6" s="1"/>
  <c r="B1401" i="6"/>
  <c r="N1401" i="6" s="1"/>
  <c r="B1402" i="6"/>
  <c r="N1402" i="6" s="1"/>
  <c r="B1403" i="6"/>
  <c r="N1403" i="6" s="1"/>
  <c r="B1404" i="6"/>
  <c r="N1404" i="6" s="1"/>
  <c r="B1405" i="6"/>
  <c r="N1405" i="6" s="1"/>
  <c r="B1406" i="6"/>
  <c r="N1406" i="6" s="1"/>
  <c r="B1407" i="6"/>
  <c r="N1407" i="6" s="1"/>
  <c r="B1408" i="6"/>
  <c r="N1408" i="6" s="1"/>
  <c r="B1409" i="6"/>
  <c r="N1409" i="6" s="1"/>
  <c r="B1410" i="6"/>
  <c r="N1410" i="6" s="1"/>
  <c r="B1411" i="6"/>
  <c r="N1411" i="6" s="1"/>
  <c r="B1412" i="6"/>
  <c r="N1412" i="6" s="1"/>
  <c r="B1413" i="6"/>
  <c r="N1413" i="6" s="1"/>
  <c r="M1413" i="6" s="1"/>
  <c r="B1414" i="6"/>
  <c r="N1414" i="6" s="1"/>
  <c r="B1415" i="6"/>
  <c r="N1415" i="6" s="1"/>
  <c r="M1415" i="6" s="1"/>
  <c r="B1416" i="6"/>
  <c r="N1416" i="6" s="1"/>
  <c r="B1417" i="6"/>
  <c r="N1417" i="6" s="1"/>
  <c r="B1418" i="6"/>
  <c r="N1418" i="6" s="1"/>
  <c r="B1419" i="6"/>
  <c r="N1419" i="6" s="1"/>
  <c r="B1420" i="6"/>
  <c r="B1421" i="6"/>
  <c r="N1421" i="6" s="1"/>
  <c r="B1422" i="6"/>
  <c r="N1422" i="6" s="1"/>
  <c r="B1423" i="6"/>
  <c r="N1423" i="6" s="1"/>
  <c r="B1424" i="6"/>
  <c r="N1424" i="6" s="1"/>
  <c r="B1425" i="6"/>
  <c r="N1425" i="6" s="1"/>
  <c r="B1426" i="6"/>
  <c r="N1426" i="6" s="1"/>
  <c r="B1427" i="6"/>
  <c r="N1427" i="6" s="1"/>
  <c r="B1428" i="6"/>
  <c r="N1428" i="6" s="1"/>
  <c r="B1429" i="6"/>
  <c r="N1429" i="6" s="1"/>
  <c r="B1430" i="6"/>
  <c r="N1430" i="6" s="1"/>
  <c r="B1431" i="6"/>
  <c r="N1431" i="6" s="1"/>
  <c r="B1432" i="6"/>
  <c r="N1432" i="6" s="1"/>
  <c r="B1433" i="6"/>
  <c r="N1433" i="6" s="1"/>
  <c r="B1434" i="6"/>
  <c r="N1434" i="6" s="1"/>
  <c r="B1435" i="6"/>
  <c r="N1435" i="6" s="1"/>
  <c r="B1436" i="6"/>
  <c r="N1436" i="6" s="1"/>
  <c r="B1437" i="6"/>
  <c r="N1437" i="6" s="1"/>
  <c r="B1438" i="6"/>
  <c r="N1438" i="6" s="1"/>
  <c r="B1439" i="6"/>
  <c r="N1439" i="6" s="1"/>
  <c r="M1439" i="6" s="1"/>
  <c r="B1440" i="6"/>
  <c r="N1440" i="6" s="1"/>
  <c r="B1441" i="6"/>
  <c r="N1441" i="6" s="1"/>
  <c r="B1442" i="6"/>
  <c r="N1442" i="6" s="1"/>
  <c r="B1443" i="6"/>
  <c r="N1443" i="6" s="1"/>
  <c r="B1444" i="6"/>
  <c r="N1444" i="6" s="1"/>
  <c r="B1445" i="6"/>
  <c r="N1445" i="6" s="1"/>
  <c r="B1446" i="6"/>
  <c r="D1446" i="6" s="1"/>
  <c r="E1446" i="6" s="1"/>
  <c r="B1447" i="6"/>
  <c r="D1447" i="6" s="1"/>
  <c r="E1447" i="6" s="1"/>
  <c r="B1448" i="6"/>
  <c r="N1448" i="6" s="1"/>
  <c r="M1448" i="6" s="1"/>
  <c r="B1449" i="6"/>
  <c r="N1449" i="6" s="1"/>
  <c r="B1450" i="6"/>
  <c r="N1450" i="6" s="1"/>
  <c r="B1451" i="6"/>
  <c r="N1451" i="6" s="1"/>
  <c r="B1452" i="6"/>
  <c r="N1452" i="6" s="1"/>
  <c r="B1453" i="6"/>
  <c r="N1453" i="6" s="1"/>
  <c r="B1454" i="6"/>
  <c r="N1454" i="6" s="1"/>
  <c r="B1455" i="6"/>
  <c r="N1455" i="6" s="1"/>
  <c r="B1456" i="6"/>
  <c r="N1456" i="6" s="1"/>
  <c r="B1457" i="6"/>
  <c r="N1457" i="6" s="1"/>
  <c r="B1458" i="6"/>
  <c r="N1458" i="6" s="1"/>
  <c r="B1459" i="6"/>
  <c r="D1459" i="6" s="1"/>
  <c r="E1459" i="6" s="1"/>
  <c r="B1460" i="6"/>
  <c r="N1460" i="6" s="1"/>
  <c r="B1461" i="6"/>
  <c r="N1461" i="6" s="1"/>
  <c r="B1462" i="6"/>
  <c r="B1463" i="6"/>
  <c r="N1463" i="6" s="1"/>
  <c r="B1464" i="6"/>
  <c r="N1464" i="6" s="1"/>
  <c r="B1465" i="6"/>
  <c r="N1465" i="6" s="1"/>
  <c r="B1466" i="6"/>
  <c r="N1466" i="6" s="1"/>
  <c r="B1467" i="6"/>
  <c r="N1467" i="6" s="1"/>
  <c r="B1468" i="6"/>
  <c r="N1468" i="6" s="1"/>
  <c r="B1469" i="6"/>
  <c r="N1469" i="6" s="1"/>
  <c r="B1470" i="6"/>
  <c r="N1470" i="6" s="1"/>
  <c r="B1471" i="6"/>
  <c r="N1471" i="6" s="1"/>
  <c r="B1472" i="6"/>
  <c r="N1472" i="6" s="1"/>
  <c r="M1472" i="6" s="1"/>
  <c r="B1473" i="6"/>
  <c r="N1473" i="6" s="1"/>
  <c r="B1474" i="6"/>
  <c r="N1474" i="6" s="1"/>
  <c r="M1474" i="6" s="1"/>
  <c r="B1475" i="6"/>
  <c r="N1475" i="6" s="1"/>
  <c r="B1476" i="6"/>
  <c r="N1476" i="6" s="1"/>
  <c r="B1477" i="6"/>
  <c r="N1477" i="6" s="1"/>
  <c r="B1478" i="6"/>
  <c r="N1478" i="6" s="1"/>
  <c r="B1479" i="6"/>
  <c r="N1479" i="6" s="1"/>
  <c r="B1480" i="6"/>
  <c r="N1480" i="6" s="1"/>
  <c r="B1481" i="6"/>
  <c r="N1481" i="6" s="1"/>
  <c r="B1482" i="6"/>
  <c r="N1482" i="6" s="1"/>
  <c r="B1483" i="6"/>
  <c r="N1483" i="6" s="1"/>
  <c r="B1484" i="6"/>
  <c r="N1484" i="6" s="1"/>
  <c r="B1485" i="6"/>
  <c r="N1485" i="6" s="1"/>
  <c r="B1486" i="6"/>
  <c r="N1486" i="6" s="1"/>
  <c r="B1487" i="6"/>
  <c r="N1487" i="6" s="1"/>
  <c r="B1488" i="6"/>
  <c r="N1488" i="6" s="1"/>
  <c r="B1489" i="6"/>
  <c r="N1489" i="6" s="1"/>
  <c r="B1490" i="6"/>
  <c r="B1491" i="6"/>
  <c r="B1492" i="6"/>
  <c r="B1493" i="6"/>
  <c r="N1493" i="6" s="1"/>
  <c r="B1494" i="6"/>
  <c r="N1494" i="6" s="1"/>
  <c r="B1495" i="6"/>
  <c r="N1495" i="6" s="1"/>
  <c r="B1496" i="6"/>
  <c r="N1496" i="6" s="1"/>
  <c r="B1497" i="6"/>
  <c r="N1497" i="6" s="1"/>
  <c r="B1498" i="6"/>
  <c r="N1498" i="6" s="1"/>
  <c r="M1498" i="6" s="1"/>
  <c r="B1499" i="6"/>
  <c r="N1499" i="6" s="1"/>
  <c r="B1500" i="6"/>
  <c r="N1500" i="6" s="1"/>
  <c r="B1501" i="6"/>
  <c r="N1501" i="6" s="1"/>
  <c r="B1502" i="6"/>
  <c r="N1502" i="6" s="1"/>
  <c r="B1503" i="6"/>
  <c r="N1503" i="6" s="1"/>
  <c r="B1504" i="6"/>
  <c r="N1504" i="6" s="1"/>
  <c r="B1505" i="6"/>
  <c r="N1505" i="6" s="1"/>
  <c r="B1506" i="6"/>
  <c r="N1506" i="6" s="1"/>
  <c r="M1506" i="6" s="1"/>
  <c r="B1507" i="6"/>
  <c r="N1507" i="6" s="1"/>
  <c r="B1508" i="6"/>
  <c r="N1508" i="6" s="1"/>
  <c r="B1509" i="6"/>
  <c r="N1509" i="6" s="1"/>
  <c r="B1510" i="6"/>
  <c r="N1510" i="6" s="1"/>
  <c r="B1511" i="6"/>
  <c r="N1511" i="6" s="1"/>
  <c r="B1512" i="6"/>
  <c r="N1512" i="6" s="1"/>
  <c r="B1513" i="6"/>
  <c r="N1513" i="6" s="1"/>
  <c r="B1514" i="6"/>
  <c r="N1514" i="6" s="1"/>
  <c r="B1515" i="6"/>
  <c r="B1516" i="6"/>
  <c r="B1517" i="6"/>
  <c r="B1518" i="6"/>
  <c r="D1518" i="6" s="1"/>
  <c r="E1518" i="6" s="1"/>
  <c r="B1519" i="6"/>
  <c r="N1519" i="6" s="1"/>
  <c r="B1520" i="6"/>
  <c r="N1520" i="6" s="1"/>
  <c r="B1521" i="6"/>
  <c r="N1521" i="6" s="1"/>
  <c r="B1522" i="6"/>
  <c r="N1522" i="6" s="1"/>
  <c r="B1523" i="6"/>
  <c r="N1523" i="6" s="1"/>
  <c r="B1524" i="6"/>
  <c r="N1524" i="6" s="1"/>
  <c r="B1525" i="6"/>
  <c r="N1525" i="6" s="1"/>
  <c r="B1526" i="6"/>
  <c r="N1526" i="6" s="1"/>
  <c r="B1527" i="6"/>
  <c r="N1527" i="6" s="1"/>
  <c r="B1528" i="6"/>
  <c r="B1529" i="6"/>
  <c r="B1530" i="6"/>
  <c r="D1530" i="6" s="1"/>
  <c r="E1530" i="6" s="1"/>
  <c r="B1531" i="6"/>
  <c r="N1531" i="6" s="1"/>
  <c r="B1532" i="6"/>
  <c r="N1532" i="6" s="1"/>
  <c r="B1533" i="6"/>
  <c r="N1533" i="6" s="1"/>
  <c r="M1533" i="6" s="1"/>
  <c r="B1534" i="6"/>
  <c r="N1534" i="6" s="1"/>
  <c r="B1535" i="6"/>
  <c r="N1535" i="6" s="1"/>
  <c r="B1536" i="6"/>
  <c r="N1536" i="6" s="1"/>
  <c r="B1537" i="6"/>
  <c r="N1537" i="6" s="1"/>
  <c r="B1538" i="6"/>
  <c r="N1538" i="6" s="1"/>
  <c r="B1539" i="6"/>
  <c r="N1539" i="6" s="1"/>
  <c r="B1540" i="6"/>
  <c r="N1540" i="6" s="1"/>
  <c r="B1541" i="6"/>
  <c r="N1541" i="6" s="1"/>
  <c r="B1542" i="6"/>
  <c r="N1542" i="6" s="1"/>
  <c r="B1543" i="6"/>
  <c r="D1543" i="6" s="1"/>
  <c r="E1543" i="6" s="1"/>
  <c r="B1544" i="6"/>
  <c r="N1544" i="6" s="1"/>
  <c r="B1545" i="6"/>
  <c r="N1545" i="6" s="1"/>
  <c r="B1546" i="6"/>
  <c r="N1546" i="6" s="1"/>
  <c r="B1547" i="6"/>
  <c r="N1547" i="6" s="1"/>
  <c r="B1548" i="6"/>
  <c r="N1548" i="6" s="1"/>
  <c r="B1549" i="6"/>
  <c r="N1549" i="6" s="1"/>
  <c r="B1550" i="6"/>
  <c r="N1550" i="6" s="1"/>
  <c r="B1551" i="6"/>
  <c r="N1551" i="6" s="1"/>
  <c r="B1552" i="6"/>
  <c r="N1552" i="6" s="1"/>
  <c r="B1553" i="6"/>
  <c r="N1553" i="6" s="1"/>
  <c r="B1554" i="6"/>
  <c r="N1554" i="6" s="1"/>
  <c r="B1555" i="6"/>
  <c r="N1555" i="6" s="1"/>
  <c r="B1556" i="6"/>
  <c r="N1556" i="6" s="1"/>
  <c r="B1557" i="6"/>
  <c r="N1557" i="6" s="1"/>
  <c r="M1557" i="6" s="1"/>
  <c r="B1558" i="6"/>
  <c r="N1558" i="6" s="1"/>
  <c r="B1559" i="6"/>
  <c r="N1559" i="6" s="1"/>
  <c r="M1559" i="6" s="1"/>
  <c r="B1560" i="6"/>
  <c r="N1560" i="6" s="1"/>
  <c r="B1561" i="6"/>
  <c r="N1561" i="6" s="1"/>
  <c r="B1562" i="6"/>
  <c r="N1562" i="6" s="1"/>
  <c r="B1563" i="6"/>
  <c r="N1563" i="6" s="1"/>
  <c r="B1564" i="6"/>
  <c r="N1564" i="6" s="1"/>
  <c r="B1565" i="6"/>
  <c r="N1565" i="6" s="1"/>
  <c r="B1566" i="6"/>
  <c r="N1566" i="6" s="1"/>
  <c r="B1567" i="6"/>
  <c r="N1567" i="6" s="1"/>
  <c r="B1568" i="6"/>
  <c r="B1569" i="6"/>
  <c r="B1570" i="6"/>
  <c r="N1570" i="6" s="1"/>
  <c r="B1571" i="6"/>
  <c r="N1571" i="6" s="1"/>
  <c r="B1572" i="6"/>
  <c r="N1572" i="6" s="1"/>
  <c r="B1573" i="6"/>
  <c r="N1573" i="6" s="1"/>
  <c r="B1574" i="6"/>
  <c r="N1574" i="6" s="1"/>
  <c r="B1575" i="6"/>
  <c r="N1575" i="6" s="1"/>
  <c r="B1576" i="6"/>
  <c r="N1576" i="6" s="1"/>
  <c r="B1577" i="6"/>
  <c r="N1577" i="6" s="1"/>
  <c r="B1578" i="6"/>
  <c r="B1579" i="6"/>
  <c r="N1579" i="6" s="1"/>
  <c r="B1580" i="6"/>
  <c r="N1580" i="6" s="1"/>
  <c r="B1581" i="6"/>
  <c r="N1581" i="6" s="1"/>
  <c r="B1582" i="6"/>
  <c r="B1583" i="6"/>
  <c r="N1583" i="6" s="1"/>
  <c r="M1583" i="6" s="1"/>
  <c r="B1584" i="6"/>
  <c r="N1584" i="6" s="1"/>
  <c r="B1585" i="6"/>
  <c r="N1585" i="6" s="1"/>
  <c r="B1586" i="6"/>
  <c r="N1586" i="6" s="1"/>
  <c r="B1587" i="6"/>
  <c r="N1587" i="6" s="1"/>
  <c r="B1588" i="6"/>
  <c r="N1588" i="6" s="1"/>
  <c r="B1589" i="6"/>
  <c r="N1589" i="6" s="1"/>
  <c r="B1590" i="6"/>
  <c r="N1590" i="6" s="1"/>
  <c r="B1591" i="6"/>
  <c r="N1591" i="6" s="1"/>
  <c r="B1592" i="6"/>
  <c r="N1592" i="6" s="1"/>
  <c r="M1592" i="6" s="1"/>
  <c r="B1593" i="6"/>
  <c r="N1593" i="6" s="1"/>
  <c r="B1594" i="6"/>
  <c r="N1594" i="6" s="1"/>
  <c r="B1595" i="6"/>
  <c r="N1595" i="6" s="1"/>
  <c r="B1596" i="6"/>
  <c r="N1596" i="6" s="1"/>
  <c r="B1597" i="6"/>
  <c r="N1597" i="6" s="1"/>
  <c r="B1598" i="6"/>
  <c r="N1598" i="6" s="1"/>
  <c r="B1599" i="6"/>
  <c r="N1599" i="6" s="1"/>
  <c r="B1600" i="6"/>
  <c r="N1600" i="6" s="1"/>
  <c r="B1601" i="6"/>
  <c r="N1601" i="6" s="1"/>
  <c r="B1602" i="6"/>
  <c r="N1602" i="6" s="1"/>
  <c r="B1603" i="6"/>
  <c r="N1603" i="6" s="1"/>
  <c r="B1604" i="6"/>
  <c r="N1604" i="6" s="1"/>
  <c r="B1605" i="6"/>
  <c r="N1605" i="6" s="1"/>
  <c r="B1606" i="6"/>
  <c r="N1606" i="6" s="1"/>
  <c r="B1607" i="6"/>
  <c r="N1607" i="6" s="1"/>
  <c r="B1608" i="6"/>
  <c r="N1608" i="6" s="1"/>
  <c r="B1609" i="6"/>
  <c r="N1609" i="6" s="1"/>
  <c r="B1610" i="6"/>
  <c r="N1610" i="6" s="1"/>
  <c r="B1611" i="6"/>
  <c r="N1611" i="6" s="1"/>
  <c r="B1612" i="6"/>
  <c r="N1612" i="6" s="1"/>
  <c r="B1613" i="6"/>
  <c r="N1613" i="6" s="1"/>
  <c r="B1614" i="6"/>
  <c r="N1614" i="6" s="1"/>
  <c r="B1615" i="6"/>
  <c r="N1615" i="6" s="1"/>
  <c r="B1616" i="6"/>
  <c r="N1616" i="6" s="1"/>
  <c r="M1616" i="6" s="1"/>
  <c r="B1617" i="6"/>
  <c r="N1617" i="6" s="1"/>
  <c r="B1618" i="6"/>
  <c r="N1618" i="6" s="1"/>
  <c r="M1618" i="6" s="1"/>
  <c r="B1619" i="6"/>
  <c r="B1620" i="6"/>
  <c r="N1620" i="6" s="1"/>
  <c r="B1621" i="6"/>
  <c r="N1621" i="6" s="1"/>
  <c r="B1622" i="6"/>
  <c r="N1622" i="6" s="1"/>
  <c r="B1623" i="6"/>
  <c r="N1623" i="6" s="1"/>
  <c r="B1624" i="6"/>
  <c r="N1624" i="6" s="1"/>
  <c r="B1625" i="6"/>
  <c r="N1625" i="6" s="1"/>
  <c r="B1626" i="6"/>
  <c r="N1626" i="6" s="1"/>
  <c r="B1627" i="6"/>
  <c r="N1627" i="6" s="1"/>
  <c r="B1628" i="6"/>
  <c r="N1628" i="6" s="1"/>
  <c r="B1629" i="6"/>
  <c r="N1629" i="6" s="1"/>
  <c r="B1630" i="6"/>
  <c r="B1631" i="6"/>
  <c r="N1631" i="6" s="1"/>
  <c r="B1632" i="6"/>
  <c r="B1633" i="6"/>
  <c r="N1633" i="6" s="1"/>
  <c r="B1634" i="6"/>
  <c r="N1634" i="6" s="1"/>
  <c r="B1635" i="6"/>
  <c r="B1636" i="6"/>
  <c r="N1636" i="6" s="1"/>
  <c r="B1637" i="6"/>
  <c r="N1637" i="6" s="1"/>
  <c r="B1638" i="6"/>
  <c r="N1638" i="6" s="1"/>
  <c r="B1639" i="6"/>
  <c r="N1639" i="6" s="1"/>
  <c r="B1640" i="6"/>
  <c r="N1640" i="6" s="1"/>
  <c r="B1641" i="6"/>
  <c r="N1641" i="6" s="1"/>
  <c r="M1641" i="6" s="1"/>
  <c r="B1642" i="6"/>
  <c r="B1643" i="6"/>
  <c r="N1643" i="6" s="1"/>
  <c r="M1643" i="6" s="1"/>
  <c r="B1644" i="6"/>
  <c r="N1644" i="6" s="1"/>
  <c r="B1645" i="6"/>
  <c r="N1645" i="6" s="1"/>
  <c r="B1646" i="6"/>
  <c r="N1646" i="6" s="1"/>
  <c r="B1647" i="6"/>
  <c r="B1648" i="6"/>
  <c r="B1649" i="6"/>
  <c r="N1649" i="6" s="1"/>
  <c r="B1650" i="6"/>
  <c r="B1651" i="6"/>
  <c r="N1651" i="6" s="1"/>
  <c r="B1652" i="6"/>
  <c r="N1652" i="6" s="1"/>
  <c r="B1653" i="6"/>
  <c r="N1653" i="6" s="1"/>
  <c r="B1654" i="6"/>
  <c r="N1654" i="6" s="1"/>
  <c r="B1655" i="6"/>
  <c r="N1655" i="6" s="1"/>
  <c r="B1656" i="6"/>
  <c r="B1657" i="6"/>
  <c r="N1657" i="6" s="1"/>
  <c r="B1658" i="6"/>
  <c r="N1658" i="6" s="1"/>
  <c r="B1659" i="6"/>
  <c r="N1659" i="6" s="1"/>
  <c r="B1660" i="6"/>
  <c r="N1660" i="6" s="1"/>
  <c r="B1661" i="6"/>
  <c r="B1662" i="6"/>
  <c r="N1662" i="6" s="1"/>
  <c r="B1663" i="6"/>
  <c r="N1663" i="6" s="1"/>
  <c r="M1663" i="6" s="1"/>
  <c r="B1664" i="6"/>
  <c r="N1664" i="6" s="1"/>
  <c r="B1665" i="6"/>
  <c r="N1665" i="6" s="1"/>
  <c r="M1665" i="6" s="1"/>
  <c r="B1666" i="6"/>
  <c r="N1666" i="6" s="1"/>
  <c r="B1667" i="6"/>
  <c r="N1667" i="6" s="1"/>
  <c r="B1668" i="6"/>
  <c r="N1668" i="6" s="1"/>
  <c r="B1669" i="6"/>
  <c r="N1669" i="6" s="1"/>
  <c r="B1670" i="6"/>
  <c r="N1670" i="6" s="1"/>
  <c r="B1671" i="6"/>
  <c r="N1671" i="6" s="1"/>
  <c r="B1672" i="6"/>
  <c r="N1672" i="6" s="1"/>
  <c r="B1673" i="6"/>
  <c r="N1673" i="6" s="1"/>
  <c r="B1674" i="6"/>
  <c r="N1674" i="6" s="1"/>
  <c r="B1675" i="6"/>
  <c r="N1675" i="6" s="1"/>
  <c r="B1676" i="6"/>
  <c r="N1676" i="6" s="1"/>
  <c r="B1677" i="6"/>
  <c r="N1677" i="6" s="1"/>
  <c r="B1678" i="6"/>
  <c r="N1678" i="6" s="1"/>
  <c r="B1679" i="6"/>
  <c r="N1679" i="6" s="1"/>
  <c r="B1680" i="6"/>
  <c r="N1680" i="6" s="1"/>
  <c r="B1681" i="6"/>
  <c r="N1681" i="6" s="1"/>
  <c r="B1682" i="6"/>
  <c r="N1682" i="6" s="1"/>
  <c r="B1683" i="6"/>
  <c r="N1683" i="6" s="1"/>
  <c r="B1684" i="6"/>
  <c r="N1684" i="6" s="1"/>
  <c r="B1685" i="6"/>
  <c r="B1686" i="6"/>
  <c r="D1686" i="6" s="1"/>
  <c r="E1686" i="6" s="1"/>
  <c r="B1687" i="6"/>
  <c r="D1687" i="6" s="1"/>
  <c r="E1687" i="6" s="1"/>
  <c r="B1688" i="6"/>
  <c r="N1688" i="6" s="1"/>
  <c r="B1689" i="6"/>
  <c r="N1689" i="6" s="1"/>
  <c r="B1690" i="6"/>
  <c r="N1690" i="6" s="1"/>
  <c r="B1691" i="6"/>
  <c r="N1691" i="6" s="1"/>
  <c r="B1692" i="6"/>
  <c r="N1692" i="6" s="1"/>
  <c r="B1693" i="6"/>
  <c r="N1693" i="6" s="1"/>
  <c r="B1694" i="6"/>
  <c r="N1694" i="6" s="1"/>
  <c r="B1695" i="6"/>
  <c r="N1695" i="6" s="1"/>
  <c r="B1696" i="6"/>
  <c r="B1697" i="6"/>
  <c r="N1697" i="6" s="1"/>
  <c r="B1698" i="6"/>
  <c r="N1698" i="6" s="1"/>
  <c r="B1699" i="6"/>
  <c r="N1699" i="6" s="1"/>
  <c r="B1700" i="6"/>
  <c r="N1700" i="6" s="1"/>
  <c r="B1701" i="6"/>
  <c r="N1701" i="6" s="1"/>
  <c r="B1702" i="6"/>
  <c r="N1702" i="6" s="1"/>
  <c r="M1702" i="6" s="1"/>
  <c r="B1703" i="6"/>
  <c r="N1703" i="6" s="1"/>
  <c r="B1704" i="6"/>
  <c r="N1704" i="6" s="1"/>
  <c r="B1705" i="6"/>
  <c r="N1705" i="6" s="1"/>
  <c r="B1706" i="6"/>
  <c r="N1706" i="6" s="1"/>
  <c r="B1707" i="6"/>
  <c r="N1707" i="6" s="1"/>
  <c r="B1708" i="6"/>
  <c r="N1708" i="6" s="1"/>
  <c r="B1709" i="6"/>
  <c r="N1709" i="6" s="1"/>
  <c r="M1709" i="6" s="1"/>
  <c r="B1710" i="6"/>
  <c r="N1710" i="6" s="1"/>
  <c r="B1711" i="6"/>
  <c r="N1711" i="6" s="1"/>
  <c r="B1712" i="6"/>
  <c r="N1712" i="6" s="1"/>
  <c r="B1713" i="6"/>
  <c r="N1713" i="6" s="1"/>
  <c r="B1714" i="6"/>
  <c r="N1714" i="6" s="1"/>
  <c r="B1715" i="6"/>
  <c r="N1715" i="6" s="1"/>
  <c r="B1716" i="6"/>
  <c r="N1716" i="6" s="1"/>
  <c r="B1717" i="6"/>
  <c r="N1717" i="6" s="1"/>
  <c r="B1718" i="6"/>
  <c r="N1718" i="6" s="1"/>
  <c r="B1719" i="6"/>
  <c r="N1719" i="6" s="1"/>
  <c r="B1720" i="6"/>
  <c r="B1721" i="6"/>
  <c r="N1721" i="6" s="1"/>
  <c r="B1722" i="6"/>
  <c r="N1722" i="6" s="1"/>
  <c r="B1723" i="6"/>
  <c r="N1723" i="6" s="1"/>
  <c r="B1724" i="6"/>
  <c r="N1724" i="6" s="1"/>
  <c r="M1724" i="6" s="1"/>
  <c r="B1725" i="6"/>
  <c r="N1725" i="6" s="1"/>
  <c r="B1726" i="6"/>
  <c r="N1726" i="6" s="1"/>
  <c r="M1726" i="6" s="1"/>
  <c r="B1727" i="6"/>
  <c r="B1728" i="6"/>
  <c r="N1728" i="6" s="1"/>
  <c r="B1729" i="6"/>
  <c r="N1729" i="6" s="1"/>
  <c r="B1730" i="6"/>
  <c r="N1730" i="6" s="1"/>
  <c r="B1731" i="6"/>
  <c r="N1731" i="6" s="1"/>
  <c r="B1732" i="6"/>
  <c r="N1732" i="6" s="1"/>
  <c r="B1733" i="6"/>
  <c r="N1733" i="6" s="1"/>
  <c r="B1734" i="6"/>
  <c r="N1734" i="6" s="1"/>
  <c r="B1735" i="6"/>
  <c r="N1735" i="6" s="1"/>
  <c r="B1736" i="6"/>
  <c r="N1736" i="6" s="1"/>
  <c r="B1737" i="6"/>
  <c r="B1738" i="6"/>
  <c r="N1738" i="6" s="1"/>
  <c r="B1739" i="6"/>
  <c r="N1739" i="6" s="1"/>
  <c r="B1740" i="6"/>
  <c r="N1740" i="6" s="1"/>
  <c r="B1741" i="6"/>
  <c r="N1741" i="6" s="1"/>
  <c r="B1742" i="6"/>
  <c r="N1742" i="6" s="1"/>
  <c r="B1743" i="6"/>
  <c r="N1743" i="6" s="1"/>
  <c r="B1744" i="6"/>
  <c r="N1744" i="6" s="1"/>
  <c r="B1745" i="6"/>
  <c r="N1745" i="6" s="1"/>
  <c r="B1746" i="6"/>
  <c r="N1746" i="6" s="1"/>
  <c r="M1746" i="6" s="1"/>
  <c r="B1747" i="6"/>
  <c r="N1747" i="6" s="1"/>
  <c r="B1748" i="6"/>
  <c r="N1748" i="6" s="1"/>
  <c r="M1748" i="6" s="1"/>
  <c r="B1749" i="6"/>
  <c r="N1749" i="6" s="1"/>
  <c r="B1750" i="6"/>
  <c r="N1750" i="6" s="1"/>
  <c r="B1751" i="6"/>
  <c r="N1751" i="6" s="1"/>
  <c r="B1752" i="6"/>
  <c r="N1752" i="6" s="1"/>
  <c r="B1753" i="6"/>
  <c r="N1753" i="6" s="1"/>
  <c r="B1754" i="6"/>
  <c r="N1754" i="6" s="1"/>
  <c r="B1755" i="6"/>
  <c r="N1755" i="6" s="1"/>
  <c r="B1756" i="6"/>
  <c r="N1756" i="6" s="1"/>
  <c r="B1757" i="6"/>
  <c r="N1757" i="6" s="1"/>
  <c r="B1758" i="6"/>
  <c r="N1758" i="6" s="1"/>
  <c r="B1759" i="6"/>
  <c r="N1759" i="6" s="1"/>
  <c r="B1760" i="6"/>
  <c r="B1761" i="6"/>
  <c r="B1762" i="6"/>
  <c r="B1763" i="6"/>
  <c r="N1763" i="6" s="1"/>
  <c r="B1764" i="6"/>
  <c r="N1764" i="6" s="1"/>
  <c r="B1765" i="6"/>
  <c r="N1765" i="6" s="1"/>
  <c r="B1766" i="6"/>
  <c r="N1766" i="6" s="1"/>
  <c r="B1767" i="6"/>
  <c r="B1768" i="6"/>
  <c r="N1768" i="6" s="1"/>
  <c r="M1768" i="6" s="1"/>
  <c r="B1769" i="6"/>
  <c r="N1769" i="6" s="1"/>
  <c r="B1770" i="6"/>
  <c r="N1770" i="6" s="1"/>
  <c r="B1771" i="6"/>
  <c r="N1771" i="6" s="1"/>
  <c r="B1772" i="6"/>
  <c r="N1772" i="6" s="1"/>
  <c r="B1773" i="6"/>
  <c r="B1774" i="6"/>
  <c r="N1774" i="6" s="1"/>
  <c r="B1775" i="6"/>
  <c r="N1775" i="6" s="1"/>
  <c r="B1776" i="6"/>
  <c r="B1777" i="6"/>
  <c r="N1777" i="6" s="1"/>
  <c r="B1778" i="6"/>
  <c r="N1778" i="6" s="1"/>
  <c r="M1778" i="6" s="1"/>
  <c r="B1779" i="6"/>
  <c r="B1780" i="6"/>
  <c r="N1780" i="6" s="1"/>
  <c r="M1780" i="6" s="1"/>
  <c r="B1781" i="6"/>
  <c r="N1781" i="6" s="1"/>
  <c r="B1782" i="6"/>
  <c r="N1782" i="6" s="1"/>
  <c r="B1783" i="6"/>
  <c r="N1783" i="6" s="1"/>
  <c r="B1784" i="6"/>
  <c r="N1784" i="6" s="1"/>
  <c r="B1785" i="6"/>
  <c r="N1785" i="6" s="1"/>
  <c r="B1786" i="6"/>
  <c r="N1786" i="6" s="1"/>
  <c r="B1787" i="6"/>
  <c r="N1787" i="6" s="1"/>
  <c r="B1788" i="6"/>
  <c r="B1789" i="6"/>
  <c r="N1789" i="6" s="1"/>
  <c r="B1790" i="6"/>
  <c r="N1790" i="6" s="1"/>
  <c r="M1790" i="6" s="1"/>
  <c r="B1791" i="6"/>
  <c r="B1792" i="6"/>
  <c r="B1793" i="6"/>
  <c r="B1794" i="6"/>
  <c r="N1794" i="6" s="1"/>
  <c r="B1795" i="6"/>
  <c r="N1795" i="6" s="1"/>
  <c r="B1796" i="6"/>
  <c r="N1796" i="6" s="1"/>
  <c r="B1797" i="6"/>
  <c r="N1797" i="6" s="1"/>
  <c r="B1798" i="6"/>
  <c r="N1798" i="6" s="1"/>
  <c r="B1799" i="6"/>
  <c r="N1799" i="6" s="1"/>
  <c r="B1800" i="6"/>
  <c r="B1801" i="6"/>
  <c r="N1801" i="6" s="1"/>
  <c r="B1802" i="6"/>
  <c r="N1802" i="6" s="1"/>
  <c r="M1802" i="6" s="1"/>
  <c r="B1803" i="6"/>
  <c r="B1804" i="6"/>
  <c r="B1805" i="6"/>
  <c r="B1806" i="6"/>
  <c r="D1806" i="6" s="1"/>
  <c r="E1806" i="6" s="1"/>
  <c r="B1807" i="6"/>
  <c r="N1807" i="6" s="1"/>
  <c r="B1808" i="6"/>
  <c r="N1808" i="6" s="1"/>
  <c r="B1809" i="6"/>
  <c r="N1809" i="6" s="1"/>
  <c r="B1810" i="6"/>
  <c r="N1810" i="6" s="1"/>
  <c r="B1811" i="6"/>
  <c r="B1812" i="6"/>
  <c r="B1813" i="6"/>
  <c r="N1813" i="6" s="1"/>
  <c r="B1814" i="6"/>
  <c r="N1814" i="6" s="1"/>
  <c r="M1814" i="6" s="1"/>
  <c r="B1815" i="6"/>
  <c r="N1815" i="6" s="1"/>
  <c r="B1816" i="6"/>
  <c r="N1816" i="6" s="1"/>
  <c r="M1816" i="6" s="1"/>
  <c r="B1817" i="6"/>
  <c r="B1818" i="6"/>
  <c r="N1818" i="6" s="1"/>
  <c r="B1819" i="6"/>
  <c r="N1819" i="6" s="1"/>
  <c r="B1820" i="6"/>
  <c r="N1820" i="6" s="1"/>
  <c r="B1821" i="6"/>
  <c r="N1821" i="6" s="1"/>
  <c r="B1822" i="6"/>
  <c r="N1822" i="6" s="1"/>
  <c r="B1823" i="6"/>
  <c r="N1823" i="6" s="1"/>
  <c r="B1824" i="6"/>
  <c r="N1824" i="6" s="1"/>
  <c r="B1825" i="6"/>
  <c r="N1825" i="6" s="1"/>
  <c r="B1826" i="6"/>
  <c r="B1827" i="6"/>
  <c r="N1827" i="6" s="1"/>
  <c r="B1828" i="6"/>
  <c r="N1828" i="6" s="1"/>
  <c r="M1828" i="6" s="1"/>
  <c r="B1829" i="6"/>
  <c r="B1830" i="6"/>
  <c r="D1830" i="6" s="1"/>
  <c r="E1830" i="6" s="1"/>
  <c r="B1831" i="6"/>
  <c r="D1831" i="6" s="1"/>
  <c r="E1831" i="6" s="1"/>
  <c r="B1832" i="6"/>
  <c r="N1832" i="6" s="1"/>
  <c r="B1833" i="6"/>
  <c r="N1833" i="6" s="1"/>
  <c r="B1834" i="6"/>
  <c r="N1834" i="6" s="1"/>
  <c r="B1835" i="6"/>
  <c r="N1835" i="6" s="1"/>
  <c r="B1836" i="6"/>
  <c r="N1836" i="6" s="1"/>
  <c r="B1837" i="6"/>
  <c r="N1837" i="6" s="1"/>
  <c r="B1838" i="6"/>
  <c r="N1838" i="6" s="1"/>
  <c r="M1838" i="6" s="1"/>
  <c r="B1839" i="6"/>
  <c r="N1839" i="6" s="1"/>
  <c r="B1840" i="6"/>
  <c r="B1841" i="6"/>
  <c r="N1841" i="6" s="1"/>
  <c r="B1842" i="6"/>
  <c r="N1842" i="6" s="1"/>
  <c r="B1843" i="6"/>
  <c r="N1843" i="6" s="1"/>
  <c r="B1844" i="6"/>
  <c r="N1844" i="6" s="1"/>
  <c r="B1845" i="6"/>
  <c r="B1846" i="6"/>
  <c r="N1846" i="6" s="1"/>
  <c r="B1847" i="6"/>
  <c r="N1847" i="6" s="1"/>
  <c r="B1848" i="6"/>
  <c r="N1848" i="6" s="1"/>
  <c r="B1849" i="6"/>
  <c r="N1849" i="6" s="1"/>
  <c r="B1850" i="6"/>
  <c r="B1851" i="6"/>
  <c r="N1851" i="6" s="1"/>
  <c r="B1852" i="6"/>
  <c r="N1852" i="6" s="1"/>
  <c r="M1852" i="6" s="1"/>
  <c r="B1853" i="6"/>
  <c r="N1853" i="6" s="1"/>
  <c r="B1854" i="6"/>
  <c r="N1854" i="6" s="1"/>
  <c r="B1855" i="6"/>
  <c r="N1855" i="6" s="1"/>
  <c r="B1856" i="6"/>
  <c r="N1856" i="6" s="1"/>
  <c r="B1857" i="6"/>
  <c r="N1857" i="6" s="1"/>
  <c r="B1858" i="6"/>
  <c r="N1858" i="6" s="1"/>
  <c r="B1859" i="6"/>
  <c r="N1859" i="6" s="1"/>
  <c r="B1860" i="6"/>
  <c r="N1860" i="6" s="1"/>
  <c r="B1861" i="6"/>
  <c r="N1861" i="6" s="1"/>
  <c r="B1862" i="6"/>
  <c r="N1862" i="6" s="1"/>
  <c r="M1862" i="6" s="1"/>
  <c r="B1863" i="6"/>
  <c r="N1863" i="6" s="1"/>
  <c r="B1864" i="6"/>
  <c r="D1864" i="6" s="1"/>
  <c r="E1864" i="6" s="1"/>
  <c r="B1865" i="6"/>
  <c r="N1865" i="6" s="1"/>
  <c r="B1866" i="6"/>
  <c r="N1866" i="6" s="1"/>
  <c r="B1867" i="6"/>
  <c r="N1867" i="6" s="1"/>
  <c r="B1868" i="6"/>
  <c r="D1868" i="6" s="1"/>
  <c r="E1868" i="6" s="1"/>
  <c r="B1869" i="6"/>
  <c r="D1869" i="6" s="1"/>
  <c r="E1869" i="6" s="1"/>
  <c r="B1870" i="6"/>
  <c r="N1870" i="6" s="1"/>
  <c r="B1871" i="6"/>
  <c r="D1871" i="6" s="1"/>
  <c r="E1871" i="6" s="1"/>
  <c r="B1872" i="6"/>
  <c r="N1872" i="6" s="1"/>
  <c r="B1873" i="6"/>
  <c r="N1873" i="6" s="1"/>
  <c r="B1874" i="6"/>
  <c r="N1874" i="6" s="1"/>
  <c r="M1874" i="6" s="1"/>
  <c r="B1875" i="6"/>
  <c r="N1875" i="6" s="1"/>
  <c r="B1876" i="6"/>
  <c r="N1876" i="6" s="1"/>
  <c r="M1876" i="6" s="1"/>
  <c r="B1877" i="6"/>
  <c r="N1877" i="6" s="1"/>
  <c r="B1878" i="6"/>
  <c r="N1878" i="6" s="1"/>
  <c r="B1879" i="6"/>
  <c r="N1879" i="6" s="1"/>
  <c r="B1880" i="6"/>
  <c r="N1880" i="6" s="1"/>
  <c r="B1881" i="6"/>
  <c r="D1881" i="6" s="1"/>
  <c r="E1881" i="6" s="1"/>
  <c r="B1882" i="6"/>
  <c r="N1882" i="6" s="1"/>
  <c r="B1883" i="6"/>
  <c r="N1883" i="6" s="1"/>
  <c r="B1884" i="6"/>
  <c r="N1884" i="6" s="1"/>
  <c r="B1885" i="6"/>
  <c r="N1885" i="6" s="1"/>
  <c r="B1886" i="6"/>
  <c r="N1886" i="6" s="1"/>
  <c r="M1886" i="6" s="1"/>
  <c r="B1887" i="6"/>
  <c r="N1887" i="6" s="1"/>
  <c r="B1888" i="6"/>
  <c r="N1888" i="6" s="1"/>
  <c r="M1888" i="6" s="1"/>
  <c r="B1889" i="6"/>
  <c r="N1889" i="6" s="1"/>
  <c r="B1890" i="6"/>
  <c r="N1890" i="6" s="1"/>
  <c r="B1891" i="6"/>
  <c r="N1891" i="6" s="1"/>
  <c r="B1892" i="6"/>
  <c r="N1892" i="6" s="1"/>
  <c r="B1893" i="6"/>
  <c r="N1893" i="6" s="1"/>
  <c r="B1894" i="6"/>
  <c r="D1894" i="6" s="1"/>
  <c r="E1894" i="6" s="1"/>
  <c r="B1895" i="6"/>
  <c r="N1895" i="6" s="1"/>
  <c r="B1896" i="6"/>
  <c r="N1896" i="6" s="1"/>
  <c r="B1897" i="6"/>
  <c r="N1897" i="6" s="1"/>
  <c r="B1898" i="6"/>
  <c r="N1898" i="6" s="1"/>
  <c r="M1898" i="6" s="1"/>
  <c r="B1899" i="6"/>
  <c r="N1899" i="6" s="1"/>
  <c r="B1900" i="6"/>
  <c r="N1900" i="6" s="1"/>
  <c r="M1900" i="6" s="1"/>
  <c r="B1901" i="6"/>
  <c r="N1901" i="6" s="1"/>
  <c r="B1902" i="6"/>
  <c r="N1902" i="6" s="1"/>
  <c r="B1903" i="6"/>
  <c r="N1903" i="6" s="1"/>
  <c r="B1904" i="6"/>
  <c r="N1904" i="6" s="1"/>
  <c r="B1905" i="6"/>
  <c r="N1905" i="6" s="1"/>
  <c r="B1906" i="6"/>
  <c r="D1906" i="6" s="1"/>
  <c r="E1906" i="6" s="1"/>
  <c r="B1907" i="6"/>
  <c r="D1907" i="6" s="1"/>
  <c r="E1907" i="6" s="1"/>
  <c r="B1908" i="6"/>
  <c r="N1908" i="6" s="1"/>
  <c r="B1909" i="6"/>
  <c r="N1909" i="6" s="1"/>
  <c r="B1910" i="6"/>
  <c r="N1910" i="6" s="1"/>
  <c r="M1910" i="6" s="1"/>
  <c r="B1911" i="6"/>
  <c r="N1911" i="6" s="1"/>
  <c r="B1912" i="6"/>
  <c r="N1912" i="6" s="1"/>
  <c r="M1912" i="6" s="1"/>
  <c r="B1913" i="6"/>
  <c r="N1913" i="6" s="1"/>
  <c r="B1914" i="6"/>
  <c r="N1914" i="6" s="1"/>
  <c r="B1915" i="6"/>
  <c r="N1915" i="6" s="1"/>
  <c r="B1916" i="6"/>
  <c r="N1916" i="6" s="1"/>
  <c r="B1917" i="6"/>
  <c r="N1917" i="6" s="1"/>
  <c r="B1918" i="6"/>
  <c r="N1918" i="6" s="1"/>
  <c r="B1919" i="6"/>
  <c r="N1919" i="6" s="1"/>
  <c r="B1920" i="6"/>
  <c r="N1920" i="6" s="1"/>
  <c r="B1921" i="6"/>
  <c r="N1921" i="6" s="1"/>
  <c r="B1922" i="6"/>
  <c r="N1922" i="6" s="1"/>
  <c r="M1922" i="6" s="1"/>
  <c r="B1923" i="6"/>
  <c r="D1923" i="6" s="1"/>
  <c r="E1923" i="6" s="1"/>
  <c r="B1924" i="6"/>
  <c r="D1924" i="6" s="1"/>
  <c r="E1924" i="6" s="1"/>
  <c r="B1925" i="6"/>
  <c r="N1925" i="6" s="1"/>
  <c r="B1926" i="6"/>
  <c r="N1926" i="6" s="1"/>
  <c r="B1927" i="6"/>
  <c r="N1927" i="6" s="1"/>
  <c r="B1928" i="6"/>
  <c r="N1928" i="6" s="1"/>
  <c r="B1929" i="6"/>
  <c r="N1929" i="6" s="1"/>
  <c r="B1930" i="6"/>
  <c r="N1930" i="6" s="1"/>
  <c r="B1931" i="6"/>
  <c r="N1931" i="6" s="1"/>
  <c r="B1932" i="6"/>
  <c r="N1932" i="6" s="1"/>
  <c r="B1933" i="6"/>
  <c r="N1933" i="6" s="1"/>
  <c r="B1934" i="6"/>
  <c r="N1934" i="6" s="1"/>
  <c r="M1934" i="6" s="1"/>
  <c r="B1935" i="6"/>
  <c r="D1935" i="6" s="1"/>
  <c r="E1935" i="6" s="1"/>
  <c r="B1936" i="6"/>
  <c r="D1936" i="6" s="1"/>
  <c r="E1936" i="6" s="1"/>
  <c r="B1937" i="6"/>
  <c r="D1937" i="6" s="1"/>
  <c r="E1937" i="6" s="1"/>
  <c r="B1938" i="6"/>
  <c r="N1938" i="6" s="1"/>
  <c r="B1939" i="6"/>
  <c r="N1939" i="6" s="1"/>
  <c r="B1940" i="6"/>
  <c r="N1940" i="6" s="1"/>
  <c r="B1941" i="6"/>
  <c r="N1941" i="6" s="1"/>
  <c r="B1942" i="6"/>
  <c r="N1942" i="6" s="1"/>
  <c r="B1943" i="6"/>
  <c r="N1943" i="6" s="1"/>
  <c r="B1944" i="6"/>
  <c r="N1944" i="6" s="1"/>
  <c r="B1945" i="6"/>
  <c r="N1945" i="6" s="1"/>
  <c r="B1946" i="6"/>
  <c r="B1947" i="6"/>
  <c r="N1947" i="6" s="1"/>
  <c r="B1948" i="6"/>
  <c r="D1948" i="6" s="1"/>
  <c r="E1948" i="6" s="1"/>
  <c r="B1949" i="6"/>
  <c r="D1949" i="6" s="1"/>
  <c r="E1949" i="6" s="1"/>
  <c r="B1950" i="6"/>
  <c r="D1950" i="6" s="1"/>
  <c r="E1950" i="6" s="1"/>
  <c r="B1951" i="6"/>
  <c r="N1951" i="6" s="1"/>
  <c r="B1952" i="6"/>
  <c r="N1952" i="6" s="1"/>
  <c r="B1953" i="6"/>
  <c r="N1953" i="6" s="1"/>
  <c r="B1954" i="6"/>
  <c r="N1954" i="6" s="1"/>
  <c r="B1955" i="6"/>
  <c r="N1955" i="6" s="1"/>
  <c r="B1956" i="6"/>
  <c r="N1956" i="6" s="1"/>
  <c r="B1957" i="6"/>
  <c r="N1957" i="6" s="1"/>
  <c r="B1958" i="6"/>
  <c r="N1958" i="6" s="1"/>
  <c r="M1958" i="6" s="1"/>
  <c r="B1959" i="6"/>
  <c r="N1959" i="6" s="1"/>
  <c r="B1960" i="6"/>
  <c r="N1960" i="6" s="1"/>
  <c r="M1960" i="6" s="1"/>
  <c r="B1961" i="6"/>
  <c r="N1961" i="6" s="1"/>
  <c r="B1962" i="6"/>
  <c r="N1962" i="6" s="1"/>
  <c r="B1963" i="6"/>
  <c r="N1963" i="6" s="1"/>
  <c r="B1964" i="6"/>
  <c r="N1964" i="6" s="1"/>
  <c r="B1965" i="6"/>
  <c r="N1965" i="6" s="1"/>
  <c r="B1966" i="6"/>
  <c r="N1966" i="6" s="1"/>
  <c r="B1967" i="6"/>
  <c r="N1967" i="6" s="1"/>
  <c r="B1968" i="6"/>
  <c r="N1968" i="6" s="1"/>
  <c r="B1969" i="6"/>
  <c r="N1969" i="6" s="1"/>
  <c r="B1970" i="6"/>
  <c r="N1970" i="6" s="1"/>
  <c r="M1970" i="6" s="1"/>
  <c r="B1971" i="6"/>
  <c r="N1971" i="6" s="1"/>
  <c r="B1972" i="6"/>
  <c r="N1972" i="6" s="1"/>
  <c r="M1972" i="6" s="1"/>
  <c r="B1973" i="6"/>
  <c r="N1973" i="6" s="1"/>
  <c r="B1974" i="6"/>
  <c r="N1974" i="6" s="1"/>
  <c r="B1975" i="6"/>
  <c r="N1975" i="6" s="1"/>
  <c r="B1976" i="6"/>
  <c r="N1976" i="6" s="1"/>
  <c r="B1977" i="6"/>
  <c r="N1977" i="6" s="1"/>
  <c r="B1978" i="6"/>
  <c r="N1978" i="6" s="1"/>
  <c r="B1979" i="6"/>
  <c r="N1979" i="6" s="1"/>
  <c r="B1980" i="6"/>
  <c r="N1980" i="6" s="1"/>
  <c r="B1981" i="6"/>
  <c r="N1981" i="6" s="1"/>
  <c r="B1982" i="6"/>
  <c r="N1982" i="6" s="1"/>
  <c r="M1982" i="6" s="1"/>
  <c r="B1983" i="6"/>
  <c r="N1983" i="6" s="1"/>
  <c r="B1984" i="6"/>
  <c r="N1984" i="6" s="1"/>
  <c r="M1984" i="6" s="1"/>
  <c r="B1985" i="6"/>
  <c r="N1985" i="6" s="1"/>
  <c r="B1986" i="6"/>
  <c r="N1986" i="6" s="1"/>
  <c r="B1987" i="6"/>
  <c r="N1987" i="6" s="1"/>
  <c r="B1988" i="6"/>
  <c r="N1988" i="6" s="1"/>
  <c r="B1989" i="6"/>
  <c r="D1989" i="6" s="1"/>
  <c r="E1989" i="6" s="1"/>
  <c r="B1990" i="6"/>
  <c r="N1990" i="6" s="1"/>
  <c r="B1991" i="6"/>
  <c r="N1991" i="6" s="1"/>
  <c r="B1992" i="6"/>
  <c r="N1992" i="6" s="1"/>
  <c r="B1993" i="6"/>
  <c r="N1993" i="6" s="1"/>
  <c r="B1994" i="6"/>
  <c r="N1994" i="6" s="1"/>
  <c r="M1994" i="6" s="1"/>
  <c r="B1995" i="6"/>
  <c r="N1995" i="6" s="1"/>
  <c r="B1996" i="6"/>
  <c r="N1996" i="6" s="1"/>
  <c r="M1996" i="6" s="1"/>
  <c r="B1997" i="6"/>
  <c r="N1997" i="6" s="1"/>
  <c r="B1998" i="6"/>
  <c r="N1998" i="6" s="1"/>
  <c r="B1999" i="6"/>
  <c r="N1999" i="6" s="1"/>
  <c r="B2000" i="6"/>
  <c r="N2000" i="6" s="1"/>
  <c r="B2001" i="6"/>
  <c r="N2001" i="6" s="1"/>
  <c r="B2002" i="6"/>
  <c r="N2002" i="6" s="1"/>
  <c r="B2003" i="6"/>
  <c r="N2003" i="6" s="1"/>
  <c r="B2004" i="6"/>
  <c r="N2004" i="6" s="1"/>
  <c r="B2005" i="6"/>
  <c r="N2005" i="6" s="1"/>
  <c r="B2006" i="6"/>
  <c r="N2006" i="6" s="1"/>
  <c r="M2006" i="6" s="1"/>
  <c r="B2007" i="6"/>
  <c r="N2007" i="6" s="1"/>
  <c r="B2008" i="6"/>
  <c r="D2008" i="6" s="1"/>
  <c r="E2008" i="6" s="1"/>
  <c r="B2009" i="6"/>
  <c r="N2009" i="6" s="1"/>
  <c r="B2010" i="6"/>
  <c r="N2010" i="6" s="1"/>
  <c r="B2011" i="6"/>
  <c r="N2011" i="6" s="1"/>
  <c r="B2012" i="6"/>
  <c r="N2012" i="6" s="1"/>
  <c r="B2013" i="6"/>
  <c r="D2013" i="6" s="1"/>
  <c r="E2013" i="6" s="1"/>
  <c r="B2014" i="6"/>
  <c r="D2014" i="6" s="1"/>
  <c r="E2014" i="6" s="1"/>
  <c r="B2015" i="6"/>
  <c r="N2015" i="6" s="1"/>
  <c r="B2016" i="6"/>
  <c r="N2016" i="6" s="1"/>
  <c r="B2017" i="6"/>
  <c r="N2017" i="6" s="1"/>
  <c r="B2018" i="6"/>
  <c r="N2018" i="6" s="1"/>
  <c r="M2018" i="6" s="1"/>
  <c r="B2019" i="6"/>
  <c r="N2019" i="6" s="1"/>
  <c r="B2020" i="6"/>
  <c r="N2020" i="6" s="1"/>
  <c r="M2020" i="6" s="1"/>
  <c r="B2021" i="6"/>
  <c r="N2021" i="6" s="1"/>
  <c r="B2022" i="6"/>
  <c r="N2022" i="6" s="1"/>
  <c r="B2023" i="6"/>
  <c r="N2023" i="6" s="1"/>
  <c r="B2024" i="6"/>
  <c r="N2024" i="6" s="1"/>
  <c r="B2025" i="6"/>
  <c r="N2025" i="6" s="1"/>
  <c r="B2026" i="6"/>
  <c r="D2026" i="6" s="1"/>
  <c r="E2026" i="6" s="1"/>
  <c r="B2027" i="6"/>
  <c r="N2027" i="6" s="1"/>
  <c r="B2028" i="6"/>
  <c r="N2028" i="6" s="1"/>
  <c r="B2029" i="6"/>
  <c r="N2029" i="6" s="1"/>
  <c r="B2030" i="6"/>
  <c r="N2030" i="6" s="1"/>
  <c r="M2030" i="6" s="1"/>
  <c r="B2031" i="6"/>
  <c r="B2" i="6"/>
  <c r="R3" i="6"/>
  <c r="R4" i="6"/>
  <c r="R5" i="6"/>
  <c r="R6" i="6"/>
  <c r="R7" i="6"/>
  <c r="R8" i="6"/>
  <c r="R9" i="6"/>
  <c r="R10" i="6"/>
  <c r="R11" i="6"/>
  <c r="R12" i="6"/>
  <c r="R13" i="6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R51" i="6"/>
  <c r="R52" i="6"/>
  <c r="R53" i="6"/>
  <c r="R54" i="6"/>
  <c r="R55" i="6"/>
  <c r="R56" i="6"/>
  <c r="R57" i="6"/>
  <c r="R58" i="6"/>
  <c r="R59" i="6"/>
  <c r="R60" i="6"/>
  <c r="R61" i="6"/>
  <c r="R62" i="6"/>
  <c r="R63" i="6"/>
  <c r="R64" i="6"/>
  <c r="R65" i="6"/>
  <c r="R66" i="6"/>
  <c r="R67" i="6"/>
  <c r="R68" i="6"/>
  <c r="R69" i="6"/>
  <c r="R70" i="6"/>
  <c r="R71" i="6"/>
  <c r="R72" i="6"/>
  <c r="R73" i="6"/>
  <c r="R74" i="6"/>
  <c r="S74" i="6" s="1"/>
  <c r="R75" i="6"/>
  <c r="R76" i="6"/>
  <c r="R77" i="6"/>
  <c r="R78" i="6"/>
  <c r="R79" i="6"/>
  <c r="R80" i="6"/>
  <c r="R81" i="6"/>
  <c r="R82" i="6"/>
  <c r="R83" i="6"/>
  <c r="R84" i="6"/>
  <c r="R85" i="6"/>
  <c r="R86" i="6"/>
  <c r="R87" i="6"/>
  <c r="R88" i="6"/>
  <c r="R89" i="6"/>
  <c r="R90" i="6"/>
  <c r="R91" i="6"/>
  <c r="R92" i="6"/>
  <c r="R93" i="6"/>
  <c r="R94" i="6"/>
  <c r="R95" i="6"/>
  <c r="R96" i="6"/>
  <c r="R97" i="6"/>
  <c r="R98" i="6"/>
  <c r="R99" i="6"/>
  <c r="R100" i="6"/>
  <c r="R101" i="6"/>
  <c r="R102" i="6"/>
  <c r="R103" i="6"/>
  <c r="R104" i="6"/>
  <c r="R105" i="6"/>
  <c r="R106" i="6"/>
  <c r="R107" i="6"/>
  <c r="R109" i="6"/>
  <c r="R110" i="6"/>
  <c r="R112" i="6"/>
  <c r="T112" i="6" s="1"/>
  <c r="R113" i="6"/>
  <c r="R114" i="6"/>
  <c r="R115" i="6"/>
  <c r="R116" i="6"/>
  <c r="R117" i="6"/>
  <c r="R118" i="6"/>
  <c r="T118" i="6" s="1"/>
  <c r="R119" i="6"/>
  <c r="R120" i="6"/>
  <c r="R121" i="6"/>
  <c r="R122" i="6"/>
  <c r="R123" i="6"/>
  <c r="R124" i="6"/>
  <c r="T124" i="6" s="1"/>
  <c r="R125" i="6"/>
  <c r="R126" i="6"/>
  <c r="R127" i="6"/>
  <c r="R128" i="6"/>
  <c r="R129" i="6"/>
  <c r="R130" i="6"/>
  <c r="T130" i="6" s="1"/>
  <c r="R131" i="6"/>
  <c r="R132" i="6"/>
  <c r="R133" i="6"/>
  <c r="R134" i="6"/>
  <c r="R135" i="6"/>
  <c r="R136" i="6"/>
  <c r="T136" i="6" s="1"/>
  <c r="R137" i="6"/>
  <c r="R138" i="6"/>
  <c r="R139" i="6"/>
  <c r="R140" i="6"/>
  <c r="R141" i="6"/>
  <c r="R142" i="6"/>
  <c r="T142" i="6" s="1"/>
  <c r="R143" i="6"/>
  <c r="R144" i="6"/>
  <c r="R145" i="6"/>
  <c r="R146" i="6"/>
  <c r="S146" i="6" s="1"/>
  <c r="R147" i="6"/>
  <c r="R148" i="6"/>
  <c r="T148" i="6" s="1"/>
  <c r="R149" i="6"/>
  <c r="R150" i="6"/>
  <c r="R151" i="6"/>
  <c r="R152" i="6"/>
  <c r="R153" i="6"/>
  <c r="R154" i="6"/>
  <c r="T154" i="6" s="1"/>
  <c r="R155" i="6"/>
  <c r="R156" i="6"/>
  <c r="R157" i="6"/>
  <c r="R158" i="6"/>
  <c r="R159" i="6"/>
  <c r="R160" i="6"/>
  <c r="T160" i="6" s="1"/>
  <c r="R161" i="6"/>
  <c r="R162" i="6"/>
  <c r="R163" i="6"/>
  <c r="R164" i="6"/>
  <c r="R165" i="6"/>
  <c r="R166" i="6"/>
  <c r="T166" i="6" s="1"/>
  <c r="R167" i="6"/>
  <c r="R168" i="6"/>
  <c r="R169" i="6"/>
  <c r="R170" i="6"/>
  <c r="R171" i="6"/>
  <c r="R172" i="6"/>
  <c r="T172" i="6" s="1"/>
  <c r="R173" i="6"/>
  <c r="R174" i="6"/>
  <c r="R175" i="6"/>
  <c r="R176" i="6"/>
  <c r="R177" i="6"/>
  <c r="R178" i="6"/>
  <c r="T178" i="6" s="1"/>
  <c r="R179" i="6"/>
  <c r="R180" i="6"/>
  <c r="R181" i="6"/>
  <c r="R182" i="6"/>
  <c r="R183" i="6"/>
  <c r="R184" i="6"/>
  <c r="T184" i="6" s="1"/>
  <c r="R185" i="6"/>
  <c r="R186" i="6"/>
  <c r="R187" i="6"/>
  <c r="R188" i="6"/>
  <c r="R189" i="6"/>
  <c r="R190" i="6"/>
  <c r="R191" i="6"/>
  <c r="R192" i="6"/>
  <c r="R193" i="6"/>
  <c r="R194" i="6"/>
  <c r="R195" i="6"/>
  <c r="R196" i="6"/>
  <c r="T196" i="6" s="1"/>
  <c r="R197" i="6"/>
  <c r="R198" i="6"/>
  <c r="R199" i="6"/>
  <c r="R200" i="6"/>
  <c r="R201" i="6"/>
  <c r="R202" i="6"/>
  <c r="T202" i="6" s="1"/>
  <c r="R203" i="6"/>
  <c r="R204" i="6"/>
  <c r="R205" i="6"/>
  <c r="R206" i="6"/>
  <c r="R207" i="6"/>
  <c r="R208" i="6"/>
  <c r="T208" i="6" s="1"/>
  <c r="R209" i="6"/>
  <c r="R210" i="6"/>
  <c r="R211" i="6"/>
  <c r="R212" i="6"/>
  <c r="R213" i="6"/>
  <c r="R214" i="6"/>
  <c r="R215" i="6"/>
  <c r="R216" i="6"/>
  <c r="R217" i="6"/>
  <c r="R218" i="6"/>
  <c r="S218" i="6" s="1"/>
  <c r="R220" i="6"/>
  <c r="R221" i="6"/>
  <c r="R223" i="6"/>
  <c r="R224" i="6"/>
  <c r="R225" i="6"/>
  <c r="R226" i="6"/>
  <c r="R227" i="6"/>
  <c r="R228" i="6"/>
  <c r="R229" i="6"/>
  <c r="R230" i="6"/>
  <c r="R231" i="6"/>
  <c r="R232" i="6"/>
  <c r="R233" i="6"/>
  <c r="R234" i="6"/>
  <c r="R235" i="6"/>
  <c r="R236" i="6"/>
  <c r="R237" i="6"/>
  <c r="R238" i="6"/>
  <c r="R239" i="6"/>
  <c r="R240" i="6"/>
  <c r="R241" i="6"/>
  <c r="R242" i="6"/>
  <c r="R243" i="6"/>
  <c r="R244" i="6"/>
  <c r="R245" i="6"/>
  <c r="R246" i="6"/>
  <c r="R247" i="6"/>
  <c r="R248" i="6"/>
  <c r="R249" i="6"/>
  <c r="R250" i="6"/>
  <c r="R251" i="6"/>
  <c r="R252" i="6"/>
  <c r="R253" i="6"/>
  <c r="R254" i="6"/>
  <c r="R255" i="6"/>
  <c r="R256" i="6"/>
  <c r="R257" i="6"/>
  <c r="R258" i="6"/>
  <c r="R259" i="6"/>
  <c r="R260" i="6"/>
  <c r="R261" i="6"/>
  <c r="R262" i="6"/>
  <c r="R263" i="6"/>
  <c r="R264" i="6"/>
  <c r="R265" i="6"/>
  <c r="R266" i="6"/>
  <c r="R267" i="6"/>
  <c r="R268" i="6"/>
  <c r="R269" i="6"/>
  <c r="R270" i="6"/>
  <c r="R271" i="6"/>
  <c r="R272" i="6"/>
  <c r="R273" i="6"/>
  <c r="R274" i="6"/>
  <c r="R275" i="6"/>
  <c r="R276" i="6"/>
  <c r="R277" i="6"/>
  <c r="R278" i="6"/>
  <c r="R279" i="6"/>
  <c r="R280" i="6"/>
  <c r="R281" i="6"/>
  <c r="R282" i="6"/>
  <c r="R283" i="6"/>
  <c r="R284" i="6"/>
  <c r="R285" i="6"/>
  <c r="R286" i="6"/>
  <c r="R287" i="6"/>
  <c r="R288" i="6"/>
  <c r="R289" i="6"/>
  <c r="R290" i="6"/>
  <c r="S290" i="6" s="1"/>
  <c r="R291" i="6"/>
  <c r="R292" i="6"/>
  <c r="R293" i="6"/>
  <c r="R294" i="6"/>
  <c r="R295" i="6"/>
  <c r="R296" i="6"/>
  <c r="R297" i="6"/>
  <c r="R298" i="6"/>
  <c r="R299" i="6"/>
  <c r="R300" i="6"/>
  <c r="R301" i="6"/>
  <c r="R302" i="6"/>
  <c r="R303" i="6"/>
  <c r="R304" i="6"/>
  <c r="R305" i="6"/>
  <c r="R306" i="6"/>
  <c r="R307" i="6"/>
  <c r="R308" i="6"/>
  <c r="R309" i="6"/>
  <c r="R310" i="6"/>
  <c r="R311" i="6"/>
  <c r="R312" i="6"/>
  <c r="R313" i="6"/>
  <c r="R314" i="6"/>
  <c r="R315" i="6"/>
  <c r="R316" i="6"/>
  <c r="R317" i="6"/>
  <c r="R318" i="6"/>
  <c r="R319" i="6"/>
  <c r="R320" i="6"/>
  <c r="R321" i="6"/>
  <c r="R322" i="6"/>
  <c r="R323" i="6"/>
  <c r="R324" i="6"/>
  <c r="R325" i="6"/>
  <c r="R326" i="6"/>
  <c r="R327" i="6"/>
  <c r="R328" i="6"/>
  <c r="R329" i="6"/>
  <c r="R331" i="6"/>
  <c r="R332" i="6"/>
  <c r="R334" i="6"/>
  <c r="R335" i="6"/>
  <c r="R336" i="6"/>
  <c r="R337" i="6"/>
  <c r="R338" i="6"/>
  <c r="R339" i="6"/>
  <c r="R340" i="6"/>
  <c r="R341" i="6"/>
  <c r="R342" i="6"/>
  <c r="R343" i="6"/>
  <c r="R344" i="6"/>
  <c r="R345" i="6"/>
  <c r="R346" i="6"/>
  <c r="R347" i="6"/>
  <c r="R348" i="6"/>
  <c r="R349" i="6"/>
  <c r="R350" i="6"/>
  <c r="R351" i="6"/>
  <c r="R352" i="6"/>
  <c r="R353" i="6"/>
  <c r="R354" i="6"/>
  <c r="R355" i="6"/>
  <c r="R356" i="6"/>
  <c r="R357" i="6"/>
  <c r="R358" i="6"/>
  <c r="R359" i="6"/>
  <c r="R360" i="6"/>
  <c r="R361" i="6"/>
  <c r="R362" i="6"/>
  <c r="R363" i="6"/>
  <c r="R364" i="6"/>
  <c r="R365" i="6"/>
  <c r="R366" i="6"/>
  <c r="R367" i="6"/>
  <c r="R368" i="6"/>
  <c r="R369" i="6"/>
  <c r="R370" i="6"/>
  <c r="R371" i="6"/>
  <c r="R372" i="6"/>
  <c r="R373" i="6"/>
  <c r="R374" i="6"/>
  <c r="R375" i="6"/>
  <c r="R376" i="6"/>
  <c r="R377" i="6"/>
  <c r="R378" i="6"/>
  <c r="R379" i="6"/>
  <c r="R380" i="6"/>
  <c r="R381" i="6"/>
  <c r="R382" i="6"/>
  <c r="R383" i="6"/>
  <c r="R384" i="6"/>
  <c r="R385" i="6"/>
  <c r="R386" i="6"/>
  <c r="R387" i="6"/>
  <c r="R388" i="6"/>
  <c r="R389" i="6"/>
  <c r="R390" i="6"/>
  <c r="R391" i="6"/>
  <c r="R392" i="6"/>
  <c r="R393" i="6"/>
  <c r="R394" i="6"/>
  <c r="R395" i="6"/>
  <c r="R396" i="6"/>
  <c r="R397" i="6"/>
  <c r="R398" i="6"/>
  <c r="R399" i="6"/>
  <c r="R400" i="6"/>
  <c r="R401" i="6"/>
  <c r="R402" i="6"/>
  <c r="R403" i="6"/>
  <c r="R404" i="6"/>
  <c r="R405" i="6"/>
  <c r="R406" i="6"/>
  <c r="R407" i="6"/>
  <c r="R408" i="6"/>
  <c r="R409" i="6"/>
  <c r="R410" i="6"/>
  <c r="R411" i="6"/>
  <c r="R412" i="6"/>
  <c r="R413" i="6"/>
  <c r="R414" i="6"/>
  <c r="R415" i="6"/>
  <c r="R416" i="6"/>
  <c r="R417" i="6"/>
  <c r="R418" i="6"/>
  <c r="R419" i="6"/>
  <c r="R420" i="6"/>
  <c r="R421" i="6"/>
  <c r="R422" i="6"/>
  <c r="R423" i="6"/>
  <c r="R424" i="6"/>
  <c r="R425" i="6"/>
  <c r="R426" i="6"/>
  <c r="R427" i="6"/>
  <c r="R428" i="6"/>
  <c r="R429" i="6"/>
  <c r="R430" i="6"/>
  <c r="R431" i="6"/>
  <c r="R432" i="6"/>
  <c r="R433" i="6"/>
  <c r="R434" i="6"/>
  <c r="R435" i="6"/>
  <c r="R436" i="6"/>
  <c r="R437" i="6"/>
  <c r="R438" i="6"/>
  <c r="R439" i="6"/>
  <c r="R440" i="6"/>
  <c r="R442" i="6"/>
  <c r="R443" i="6"/>
  <c r="R445" i="6"/>
  <c r="R446" i="6"/>
  <c r="R447" i="6"/>
  <c r="R448" i="6"/>
  <c r="R449" i="6"/>
  <c r="R450" i="6"/>
  <c r="R451" i="6"/>
  <c r="R452" i="6"/>
  <c r="R453" i="6"/>
  <c r="R454" i="6"/>
  <c r="R455" i="6"/>
  <c r="R456" i="6"/>
  <c r="R457" i="6"/>
  <c r="R458" i="6"/>
  <c r="R459" i="6"/>
  <c r="R460" i="6"/>
  <c r="R461" i="6"/>
  <c r="R462" i="6"/>
  <c r="R463" i="6"/>
  <c r="R464" i="6"/>
  <c r="R465" i="6"/>
  <c r="R466" i="6"/>
  <c r="R467" i="6"/>
  <c r="R468" i="6"/>
  <c r="R469" i="6"/>
  <c r="R470" i="6"/>
  <c r="S470" i="6" s="1"/>
  <c r="R471" i="6"/>
  <c r="R472" i="6"/>
  <c r="R473" i="6"/>
  <c r="R474" i="6"/>
  <c r="R475" i="6"/>
  <c r="R476" i="6"/>
  <c r="R477" i="6"/>
  <c r="R478" i="6"/>
  <c r="R479" i="6"/>
  <c r="R480" i="6"/>
  <c r="R481" i="6"/>
  <c r="R482" i="6"/>
  <c r="R483" i="6"/>
  <c r="R484" i="6"/>
  <c r="R485" i="6"/>
  <c r="R486" i="6"/>
  <c r="R487" i="6"/>
  <c r="R488" i="6"/>
  <c r="R489" i="6"/>
  <c r="R490" i="6"/>
  <c r="R491" i="6"/>
  <c r="R492" i="6"/>
  <c r="R493" i="6"/>
  <c r="R494" i="6"/>
  <c r="R495" i="6"/>
  <c r="R496" i="6"/>
  <c r="R497" i="6"/>
  <c r="R498" i="6"/>
  <c r="R499" i="6"/>
  <c r="R500" i="6"/>
  <c r="R501" i="6"/>
  <c r="R502" i="6"/>
  <c r="R503" i="6"/>
  <c r="R504" i="6"/>
  <c r="R505" i="6"/>
  <c r="R506" i="6"/>
  <c r="R507" i="6"/>
  <c r="R508" i="6"/>
  <c r="R509" i="6"/>
  <c r="R510" i="6"/>
  <c r="R511" i="6"/>
  <c r="R512" i="6"/>
  <c r="R513" i="6"/>
  <c r="R514" i="6"/>
  <c r="R515" i="6"/>
  <c r="R516" i="6"/>
  <c r="R517" i="6"/>
  <c r="R518" i="6"/>
  <c r="S518" i="6" s="1"/>
  <c r="R519" i="6"/>
  <c r="R520" i="6"/>
  <c r="R521" i="6"/>
  <c r="R522" i="6"/>
  <c r="R523" i="6"/>
  <c r="R524" i="6"/>
  <c r="R525" i="6"/>
  <c r="R526" i="6"/>
  <c r="R527" i="6"/>
  <c r="R528" i="6"/>
  <c r="R529" i="6"/>
  <c r="R530" i="6"/>
  <c r="R531" i="6"/>
  <c r="R532" i="6"/>
  <c r="R533" i="6"/>
  <c r="R534" i="6"/>
  <c r="R535" i="6"/>
  <c r="R536" i="6"/>
  <c r="R537" i="6"/>
  <c r="R538" i="6"/>
  <c r="R539" i="6"/>
  <c r="R540" i="6"/>
  <c r="R541" i="6"/>
  <c r="R542" i="6"/>
  <c r="R543" i="6"/>
  <c r="R544" i="6"/>
  <c r="R545" i="6"/>
  <c r="R546" i="6"/>
  <c r="R547" i="6"/>
  <c r="R548" i="6"/>
  <c r="R549" i="6"/>
  <c r="R550" i="6"/>
  <c r="R551" i="6"/>
  <c r="R553" i="6"/>
  <c r="R554" i="6"/>
  <c r="R556" i="6"/>
  <c r="R557" i="6"/>
  <c r="R558" i="6"/>
  <c r="R559" i="6"/>
  <c r="R560" i="6"/>
  <c r="R561" i="6"/>
  <c r="R562" i="6"/>
  <c r="R563" i="6"/>
  <c r="R564" i="6"/>
  <c r="R565" i="6"/>
  <c r="R566" i="6"/>
  <c r="S566" i="6" s="1"/>
  <c r="R567" i="6"/>
  <c r="R568" i="6"/>
  <c r="R569" i="6"/>
  <c r="R570" i="6"/>
  <c r="R571" i="6"/>
  <c r="R572" i="6"/>
  <c r="R573" i="6"/>
  <c r="R574" i="6"/>
  <c r="R575" i="6"/>
  <c r="R576" i="6"/>
  <c r="R577" i="6"/>
  <c r="R578" i="6"/>
  <c r="R579" i="6"/>
  <c r="R580" i="6"/>
  <c r="R581" i="6"/>
  <c r="R582" i="6"/>
  <c r="R583" i="6"/>
  <c r="R584" i="6"/>
  <c r="R585" i="6"/>
  <c r="R586" i="6"/>
  <c r="R587" i="6"/>
  <c r="R588" i="6"/>
  <c r="R589" i="6"/>
  <c r="R590" i="6"/>
  <c r="R591" i="6"/>
  <c r="R592" i="6"/>
  <c r="R593" i="6"/>
  <c r="R594" i="6"/>
  <c r="R595" i="6"/>
  <c r="R596" i="6"/>
  <c r="R597" i="6"/>
  <c r="R598" i="6"/>
  <c r="R599" i="6"/>
  <c r="R600" i="6"/>
  <c r="R601" i="6"/>
  <c r="R602" i="6"/>
  <c r="R603" i="6"/>
  <c r="R604" i="6"/>
  <c r="R605" i="6"/>
  <c r="R606" i="6"/>
  <c r="R607" i="6"/>
  <c r="R608" i="6"/>
  <c r="R609" i="6"/>
  <c r="R610" i="6"/>
  <c r="R611" i="6"/>
  <c r="R612" i="6"/>
  <c r="R613" i="6"/>
  <c r="R614" i="6"/>
  <c r="R615" i="6"/>
  <c r="R616" i="6"/>
  <c r="R617" i="6"/>
  <c r="R618" i="6"/>
  <c r="R619" i="6"/>
  <c r="R620" i="6"/>
  <c r="R621" i="6"/>
  <c r="R622" i="6"/>
  <c r="R623" i="6"/>
  <c r="R624" i="6"/>
  <c r="R625" i="6"/>
  <c r="R626" i="6"/>
  <c r="R627" i="6"/>
  <c r="R628" i="6"/>
  <c r="R629" i="6"/>
  <c r="R630" i="6"/>
  <c r="R631" i="6"/>
  <c r="R632" i="6"/>
  <c r="R633" i="6"/>
  <c r="R634" i="6"/>
  <c r="R635" i="6"/>
  <c r="R636" i="6"/>
  <c r="R637" i="6"/>
  <c r="R638" i="6"/>
  <c r="R639" i="6"/>
  <c r="R640" i="6"/>
  <c r="R641" i="6"/>
  <c r="R642" i="6"/>
  <c r="R643" i="6"/>
  <c r="R644" i="6"/>
  <c r="R645" i="6"/>
  <c r="R646" i="6"/>
  <c r="R647" i="6"/>
  <c r="R648" i="6"/>
  <c r="R649" i="6"/>
  <c r="R650" i="6"/>
  <c r="R651" i="6"/>
  <c r="R652" i="6"/>
  <c r="R653" i="6"/>
  <c r="R654" i="6"/>
  <c r="R655" i="6"/>
  <c r="R656" i="6"/>
  <c r="R657" i="6"/>
  <c r="R658" i="6"/>
  <c r="R659" i="6"/>
  <c r="R660" i="6"/>
  <c r="R661" i="6"/>
  <c r="R662" i="6"/>
  <c r="R664" i="6"/>
  <c r="R665" i="6"/>
  <c r="R667" i="6"/>
  <c r="R668" i="6"/>
  <c r="R669" i="6"/>
  <c r="R670" i="6"/>
  <c r="R671" i="6"/>
  <c r="R672" i="6"/>
  <c r="R673" i="6"/>
  <c r="R674" i="6"/>
  <c r="R675" i="6"/>
  <c r="R676" i="6"/>
  <c r="R677" i="6"/>
  <c r="R678" i="6"/>
  <c r="S678" i="6" s="1"/>
  <c r="R679" i="6"/>
  <c r="R680" i="6"/>
  <c r="R681" i="6"/>
  <c r="R682" i="6"/>
  <c r="R683" i="6"/>
  <c r="R684" i="6"/>
  <c r="R685" i="6"/>
  <c r="R686" i="6"/>
  <c r="R687" i="6"/>
  <c r="R688" i="6"/>
  <c r="R689" i="6"/>
  <c r="R690" i="6"/>
  <c r="R691" i="6"/>
  <c r="R692" i="6"/>
  <c r="R693" i="6"/>
  <c r="R694" i="6"/>
  <c r="R695" i="6"/>
  <c r="R696" i="6"/>
  <c r="R697" i="6"/>
  <c r="R698" i="6"/>
  <c r="R699" i="6"/>
  <c r="R700" i="6"/>
  <c r="R701" i="6"/>
  <c r="R702" i="6"/>
  <c r="R703" i="6"/>
  <c r="R704" i="6"/>
  <c r="R705" i="6"/>
  <c r="R706" i="6"/>
  <c r="R707" i="6"/>
  <c r="R708" i="6"/>
  <c r="R709" i="6"/>
  <c r="R710" i="6"/>
  <c r="R711" i="6"/>
  <c r="R712" i="6"/>
  <c r="R713" i="6"/>
  <c r="R714" i="6"/>
  <c r="S714" i="6" s="1"/>
  <c r="R715" i="6"/>
  <c r="R716" i="6"/>
  <c r="R717" i="6"/>
  <c r="R718" i="6"/>
  <c r="R719" i="6"/>
  <c r="R720" i="6"/>
  <c r="R721" i="6"/>
  <c r="R722" i="6"/>
  <c r="R723" i="6"/>
  <c r="R724" i="6"/>
  <c r="R725" i="6"/>
  <c r="R726" i="6"/>
  <c r="R727" i="6"/>
  <c r="R728" i="6"/>
  <c r="R729" i="6"/>
  <c r="R730" i="6"/>
  <c r="R731" i="6"/>
  <c r="R732" i="6"/>
  <c r="R733" i="6"/>
  <c r="R734" i="6"/>
  <c r="R735" i="6"/>
  <c r="R736" i="6"/>
  <c r="R737" i="6"/>
  <c r="R738" i="6"/>
  <c r="R739" i="6"/>
  <c r="R740" i="6"/>
  <c r="R741" i="6"/>
  <c r="R742" i="6"/>
  <c r="R743" i="6"/>
  <c r="R744" i="6"/>
  <c r="R745" i="6"/>
  <c r="R746" i="6"/>
  <c r="R747" i="6"/>
  <c r="R748" i="6"/>
  <c r="R749" i="6"/>
  <c r="R750" i="6"/>
  <c r="S750" i="6" s="1"/>
  <c r="R751" i="6"/>
  <c r="R752" i="6"/>
  <c r="R753" i="6"/>
  <c r="R754" i="6"/>
  <c r="R755" i="6"/>
  <c r="R756" i="6"/>
  <c r="R757" i="6"/>
  <c r="R758" i="6"/>
  <c r="R759" i="6"/>
  <c r="R760" i="6"/>
  <c r="R761" i="6"/>
  <c r="R762" i="6"/>
  <c r="R763" i="6"/>
  <c r="R764" i="6"/>
  <c r="R765" i="6"/>
  <c r="R766" i="6"/>
  <c r="R767" i="6"/>
  <c r="R768" i="6"/>
  <c r="R769" i="6"/>
  <c r="R770" i="6"/>
  <c r="R771" i="6"/>
  <c r="R772" i="6"/>
  <c r="R773" i="6"/>
  <c r="R775" i="6"/>
  <c r="R776" i="6"/>
  <c r="R778" i="6"/>
  <c r="T778" i="6" s="1"/>
  <c r="R779" i="6"/>
  <c r="R780" i="6"/>
  <c r="R781" i="6"/>
  <c r="R782" i="6"/>
  <c r="R783" i="6"/>
  <c r="R784" i="6"/>
  <c r="T784" i="6" s="1"/>
  <c r="R785" i="6"/>
  <c r="R786" i="6"/>
  <c r="S786" i="6" s="1"/>
  <c r="R787" i="6"/>
  <c r="R788" i="6"/>
  <c r="R789" i="6"/>
  <c r="R790" i="6"/>
  <c r="R791" i="6"/>
  <c r="R792" i="6"/>
  <c r="R793" i="6"/>
  <c r="R794" i="6"/>
  <c r="R795" i="6"/>
  <c r="R796" i="6"/>
  <c r="T796" i="6" s="1"/>
  <c r="R797" i="6"/>
  <c r="R798" i="6"/>
  <c r="R799" i="6"/>
  <c r="R800" i="6"/>
  <c r="R801" i="6"/>
  <c r="R802" i="6"/>
  <c r="T802" i="6" s="1"/>
  <c r="R803" i="6"/>
  <c r="R804" i="6"/>
  <c r="R805" i="6"/>
  <c r="R806" i="6"/>
  <c r="R807" i="6"/>
  <c r="R808" i="6"/>
  <c r="R809" i="6"/>
  <c r="R810" i="6"/>
  <c r="R811" i="6"/>
  <c r="R812" i="6"/>
  <c r="R813" i="6"/>
  <c r="R814" i="6"/>
  <c r="T814" i="6" s="1"/>
  <c r="R815" i="6"/>
  <c r="R816" i="6"/>
  <c r="R817" i="6"/>
  <c r="R818" i="6"/>
  <c r="R819" i="6"/>
  <c r="R820" i="6"/>
  <c r="R821" i="6"/>
  <c r="R822" i="6"/>
  <c r="S822" i="6" s="1"/>
  <c r="R823" i="6"/>
  <c r="R824" i="6"/>
  <c r="R825" i="6"/>
  <c r="R826" i="6"/>
  <c r="T826" i="6" s="1"/>
  <c r="R827" i="6"/>
  <c r="R828" i="6"/>
  <c r="R829" i="6"/>
  <c r="R830" i="6"/>
  <c r="R831" i="6"/>
  <c r="R832" i="6"/>
  <c r="T832" i="6" s="1"/>
  <c r="R833" i="6"/>
  <c r="R834" i="6"/>
  <c r="R835" i="6"/>
  <c r="R836" i="6"/>
  <c r="R837" i="6"/>
  <c r="R838" i="6"/>
  <c r="T838" i="6" s="1"/>
  <c r="R839" i="6"/>
  <c r="R840" i="6"/>
  <c r="R841" i="6"/>
  <c r="R842" i="6"/>
  <c r="R843" i="6"/>
  <c r="R844" i="6"/>
  <c r="T844" i="6" s="1"/>
  <c r="R845" i="6"/>
  <c r="R846" i="6"/>
  <c r="R847" i="6"/>
  <c r="R848" i="6"/>
  <c r="R849" i="6"/>
  <c r="R850" i="6"/>
  <c r="R851" i="6"/>
  <c r="R852" i="6"/>
  <c r="R853" i="6"/>
  <c r="R854" i="6"/>
  <c r="R855" i="6"/>
  <c r="R856" i="6"/>
  <c r="T856" i="6" s="1"/>
  <c r="R857" i="6"/>
  <c r="R858" i="6"/>
  <c r="S858" i="6" s="1"/>
  <c r="R859" i="6"/>
  <c r="R860" i="6"/>
  <c r="R861" i="6"/>
  <c r="R862" i="6"/>
  <c r="T862" i="6" s="1"/>
  <c r="R863" i="6"/>
  <c r="R864" i="6"/>
  <c r="R865" i="6"/>
  <c r="R866" i="6"/>
  <c r="R867" i="6"/>
  <c r="R868" i="6"/>
  <c r="T868" i="6" s="1"/>
  <c r="R869" i="6"/>
  <c r="R870" i="6"/>
  <c r="R871" i="6"/>
  <c r="R872" i="6"/>
  <c r="R873" i="6"/>
  <c r="R874" i="6"/>
  <c r="T874" i="6" s="1"/>
  <c r="R875" i="6"/>
  <c r="R876" i="6"/>
  <c r="R877" i="6"/>
  <c r="R878" i="6"/>
  <c r="R879" i="6"/>
  <c r="R880" i="6"/>
  <c r="T880" i="6" s="1"/>
  <c r="R881" i="6"/>
  <c r="R882" i="6"/>
  <c r="R883" i="6"/>
  <c r="R884" i="6"/>
  <c r="R886" i="6"/>
  <c r="R887" i="6"/>
  <c r="R889" i="6"/>
  <c r="R890" i="6"/>
  <c r="R891" i="6"/>
  <c r="R892" i="6"/>
  <c r="R893" i="6"/>
  <c r="R894" i="6"/>
  <c r="R895" i="6"/>
  <c r="R896" i="6"/>
  <c r="R897" i="6"/>
  <c r="R898" i="6"/>
  <c r="R899" i="6"/>
  <c r="R900" i="6"/>
  <c r="R901" i="6"/>
  <c r="R902" i="6"/>
  <c r="R903" i="6"/>
  <c r="R904" i="6"/>
  <c r="R905" i="6"/>
  <c r="R906" i="6"/>
  <c r="R907" i="6"/>
  <c r="R908" i="6"/>
  <c r="R909" i="6"/>
  <c r="R910" i="6"/>
  <c r="R911" i="6"/>
  <c r="R912" i="6"/>
  <c r="R913" i="6"/>
  <c r="R914" i="6"/>
  <c r="R915" i="6"/>
  <c r="R916" i="6"/>
  <c r="R917" i="6"/>
  <c r="R918" i="6"/>
  <c r="R919" i="6"/>
  <c r="R920" i="6"/>
  <c r="R921" i="6"/>
  <c r="R922" i="6"/>
  <c r="R923" i="6"/>
  <c r="R924" i="6"/>
  <c r="R925" i="6"/>
  <c r="R926" i="6"/>
  <c r="R927" i="6"/>
  <c r="R928" i="6"/>
  <c r="R929" i="6"/>
  <c r="R930" i="6"/>
  <c r="R931" i="6"/>
  <c r="R932" i="6"/>
  <c r="R933" i="6"/>
  <c r="R934" i="6"/>
  <c r="R935" i="6"/>
  <c r="R936" i="6"/>
  <c r="R937" i="6"/>
  <c r="R938" i="6"/>
  <c r="R939" i="6"/>
  <c r="R940" i="6"/>
  <c r="R941" i="6"/>
  <c r="R942" i="6"/>
  <c r="R943" i="6"/>
  <c r="R944" i="6"/>
  <c r="R945" i="6"/>
  <c r="R946" i="6"/>
  <c r="R947" i="6"/>
  <c r="R948" i="6"/>
  <c r="R949" i="6"/>
  <c r="R950" i="6"/>
  <c r="R951" i="6"/>
  <c r="R952" i="6"/>
  <c r="R953" i="6"/>
  <c r="R954" i="6"/>
  <c r="R955" i="6"/>
  <c r="R956" i="6"/>
  <c r="R957" i="6"/>
  <c r="R958" i="6"/>
  <c r="R959" i="6"/>
  <c r="R960" i="6"/>
  <c r="R961" i="6"/>
  <c r="R962" i="6"/>
  <c r="R963" i="6"/>
  <c r="R964" i="6"/>
  <c r="R965" i="6"/>
  <c r="R966" i="6"/>
  <c r="R967" i="6"/>
  <c r="R968" i="6"/>
  <c r="R969" i="6"/>
  <c r="R970" i="6"/>
  <c r="R971" i="6"/>
  <c r="R972" i="6"/>
  <c r="R973" i="6"/>
  <c r="R974" i="6"/>
  <c r="R975" i="6"/>
  <c r="R976" i="6"/>
  <c r="R977" i="6"/>
  <c r="R978" i="6"/>
  <c r="R979" i="6"/>
  <c r="R980" i="6"/>
  <c r="R981" i="6"/>
  <c r="S981" i="6" s="1"/>
  <c r="R982" i="6"/>
  <c r="R983" i="6"/>
  <c r="R984" i="6"/>
  <c r="R985" i="6"/>
  <c r="R986" i="6"/>
  <c r="R987" i="6"/>
  <c r="R988" i="6"/>
  <c r="R989" i="6"/>
  <c r="R990" i="6"/>
  <c r="R991" i="6"/>
  <c r="R992" i="6"/>
  <c r="R993" i="6"/>
  <c r="R994" i="6"/>
  <c r="R995" i="6"/>
  <c r="R997" i="6"/>
  <c r="R998" i="6"/>
  <c r="R1000" i="6"/>
  <c r="R1001" i="6"/>
  <c r="R1002" i="6"/>
  <c r="R1003" i="6"/>
  <c r="R1004" i="6"/>
  <c r="R1005" i="6"/>
  <c r="S1005" i="6" s="1"/>
  <c r="R1006" i="6"/>
  <c r="R1007" i="6"/>
  <c r="R1008" i="6"/>
  <c r="R1009" i="6"/>
  <c r="R1010" i="6"/>
  <c r="R1011" i="6"/>
  <c r="R1012" i="6"/>
  <c r="R1013" i="6"/>
  <c r="R1014" i="6"/>
  <c r="R1015" i="6"/>
  <c r="R1016" i="6"/>
  <c r="R1017" i="6"/>
  <c r="R1018" i="6"/>
  <c r="R1019" i="6"/>
  <c r="R1020" i="6"/>
  <c r="R1021" i="6"/>
  <c r="R1022" i="6"/>
  <c r="R1023" i="6"/>
  <c r="R1024" i="6"/>
  <c r="R1025" i="6"/>
  <c r="R1026" i="6"/>
  <c r="R1027" i="6"/>
  <c r="R1028" i="6"/>
  <c r="R1029" i="6"/>
  <c r="R1030" i="6"/>
  <c r="R1031" i="6"/>
  <c r="R1032" i="6"/>
  <c r="R1033" i="6"/>
  <c r="R1034" i="6"/>
  <c r="R1035" i="6"/>
  <c r="R1036" i="6"/>
  <c r="R1037" i="6"/>
  <c r="S1037" i="6" s="1"/>
  <c r="R1038" i="6"/>
  <c r="R1039" i="6"/>
  <c r="R1040" i="6"/>
  <c r="R1041" i="6"/>
  <c r="R1042" i="6"/>
  <c r="R1043" i="6"/>
  <c r="R1044" i="6"/>
  <c r="R1045" i="6"/>
  <c r="R1046" i="6"/>
  <c r="R1047" i="6"/>
  <c r="R1048" i="6"/>
  <c r="R1049" i="6"/>
  <c r="R1050" i="6"/>
  <c r="R1051" i="6"/>
  <c r="R1052" i="6"/>
  <c r="R1053" i="6"/>
  <c r="R1054" i="6"/>
  <c r="R1055" i="6"/>
  <c r="R1056" i="6"/>
  <c r="R1057" i="6"/>
  <c r="R1058" i="6"/>
  <c r="R1059" i="6"/>
  <c r="R1060" i="6"/>
  <c r="R1061" i="6"/>
  <c r="R1062" i="6"/>
  <c r="R1063" i="6"/>
  <c r="R1064" i="6"/>
  <c r="R1065" i="6"/>
  <c r="R1066" i="6"/>
  <c r="R1067" i="6"/>
  <c r="R1068" i="6"/>
  <c r="R1069" i="6"/>
  <c r="R1070" i="6"/>
  <c r="R1071" i="6"/>
  <c r="R1072" i="6"/>
  <c r="R1073" i="6"/>
  <c r="R1074" i="6"/>
  <c r="R1075" i="6"/>
  <c r="R1076" i="6"/>
  <c r="R1077" i="6"/>
  <c r="R1078" i="6"/>
  <c r="R1079" i="6"/>
  <c r="R1080" i="6"/>
  <c r="R1081" i="6"/>
  <c r="R1082" i="6"/>
  <c r="R1083" i="6"/>
  <c r="R1084" i="6"/>
  <c r="R1085" i="6"/>
  <c r="R1086" i="6"/>
  <c r="R1087" i="6"/>
  <c r="R1088" i="6"/>
  <c r="R1089" i="6"/>
  <c r="R1090" i="6"/>
  <c r="R1091" i="6"/>
  <c r="R1092" i="6"/>
  <c r="R1093" i="6"/>
  <c r="R1094" i="6"/>
  <c r="R1095" i="6"/>
  <c r="R1096" i="6"/>
  <c r="R1097" i="6"/>
  <c r="R1098" i="6"/>
  <c r="R1099" i="6"/>
  <c r="R1100" i="6"/>
  <c r="R1101" i="6"/>
  <c r="R1102" i="6"/>
  <c r="R1103" i="6"/>
  <c r="R1104" i="6"/>
  <c r="R1105" i="6"/>
  <c r="R1106" i="6"/>
  <c r="R1108" i="6"/>
  <c r="R1109" i="6"/>
  <c r="R1111" i="6"/>
  <c r="R1112" i="6"/>
  <c r="S1112" i="6" s="1"/>
  <c r="R1113" i="6"/>
  <c r="R1114" i="6"/>
  <c r="R1115" i="6"/>
  <c r="R1116" i="6"/>
  <c r="R1117" i="6"/>
  <c r="R1118" i="6"/>
  <c r="R1119" i="6"/>
  <c r="R1120" i="6"/>
  <c r="R1121" i="6"/>
  <c r="R1122" i="6"/>
  <c r="R1123" i="6"/>
  <c r="R1124" i="6"/>
  <c r="S1124" i="6" s="1"/>
  <c r="R1125" i="6"/>
  <c r="R1126" i="6"/>
  <c r="R1127" i="6"/>
  <c r="R1128" i="6"/>
  <c r="R1129" i="6"/>
  <c r="R1130" i="6"/>
  <c r="R1131" i="6"/>
  <c r="R1132" i="6"/>
  <c r="R1133" i="6"/>
  <c r="S1133" i="6" s="1"/>
  <c r="R1134" i="6"/>
  <c r="R1135" i="6"/>
  <c r="R1136" i="6"/>
  <c r="S1136" i="6" s="1"/>
  <c r="R1137" i="6"/>
  <c r="R1138" i="6"/>
  <c r="R1139" i="6"/>
  <c r="R1140" i="6"/>
  <c r="R1141" i="6"/>
  <c r="R1142" i="6"/>
  <c r="R1143" i="6"/>
  <c r="R1144" i="6"/>
  <c r="R1145" i="6"/>
  <c r="R1146" i="6"/>
  <c r="R1147" i="6"/>
  <c r="R1148" i="6"/>
  <c r="S1148" i="6" s="1"/>
  <c r="R1149" i="6"/>
  <c r="R1150" i="6"/>
  <c r="R1151" i="6"/>
  <c r="R1152" i="6"/>
  <c r="R1153" i="6"/>
  <c r="R1154" i="6"/>
  <c r="R1155" i="6"/>
  <c r="R1156" i="6"/>
  <c r="R1157" i="6"/>
  <c r="R1158" i="6"/>
  <c r="R1159" i="6"/>
  <c r="R1160" i="6"/>
  <c r="S1160" i="6" s="1"/>
  <c r="R1161" i="6"/>
  <c r="R1162" i="6"/>
  <c r="R1163" i="6"/>
  <c r="R1164" i="6"/>
  <c r="R1165" i="6"/>
  <c r="R1166" i="6"/>
  <c r="R1167" i="6"/>
  <c r="R1168" i="6"/>
  <c r="R1169" i="6"/>
  <c r="R1170" i="6"/>
  <c r="R1171" i="6"/>
  <c r="R1172" i="6"/>
  <c r="S1172" i="6" s="1"/>
  <c r="R1173" i="6"/>
  <c r="R1174" i="6"/>
  <c r="R1175" i="6"/>
  <c r="R1176" i="6"/>
  <c r="R1177" i="6"/>
  <c r="R1178" i="6"/>
  <c r="R1179" i="6"/>
  <c r="R1180" i="6"/>
  <c r="R1181" i="6"/>
  <c r="S1181" i="6" s="1"/>
  <c r="R1182" i="6"/>
  <c r="R1183" i="6"/>
  <c r="R1184" i="6"/>
  <c r="S1184" i="6" s="1"/>
  <c r="R1185" i="6"/>
  <c r="R1186" i="6"/>
  <c r="R1187" i="6"/>
  <c r="R1188" i="6"/>
  <c r="R1189" i="6"/>
  <c r="R1190" i="6"/>
  <c r="R1191" i="6"/>
  <c r="R1192" i="6"/>
  <c r="R1193" i="6"/>
  <c r="R1194" i="6"/>
  <c r="R1195" i="6"/>
  <c r="R1196" i="6"/>
  <c r="S1196" i="6" s="1"/>
  <c r="R1197" i="6"/>
  <c r="R1198" i="6"/>
  <c r="R1199" i="6"/>
  <c r="R1200" i="6"/>
  <c r="R1201" i="6"/>
  <c r="R1202" i="6"/>
  <c r="R1203" i="6"/>
  <c r="R1204" i="6"/>
  <c r="R1205" i="6"/>
  <c r="R1206" i="6"/>
  <c r="R1207" i="6"/>
  <c r="R1208" i="6"/>
  <c r="S1208" i="6" s="1"/>
  <c r="R1209" i="6"/>
  <c r="R1210" i="6"/>
  <c r="R1211" i="6"/>
  <c r="R1212" i="6"/>
  <c r="R1213" i="6"/>
  <c r="R1214" i="6"/>
  <c r="R1215" i="6"/>
  <c r="R1216" i="6"/>
  <c r="R1217" i="6"/>
  <c r="R1219" i="6"/>
  <c r="R1220" i="6"/>
  <c r="R1222" i="6"/>
  <c r="S1222" i="6" s="1"/>
  <c r="R1223" i="6"/>
  <c r="R1224" i="6"/>
  <c r="R1225" i="6"/>
  <c r="R1226" i="6"/>
  <c r="R1227" i="6"/>
  <c r="R1228" i="6"/>
  <c r="R1229" i="6"/>
  <c r="S1229" i="6" s="1"/>
  <c r="R1230" i="6"/>
  <c r="R1231" i="6"/>
  <c r="R1232" i="6"/>
  <c r="R1233" i="6"/>
  <c r="R1234" i="6"/>
  <c r="S1234" i="6" s="1"/>
  <c r="R1235" i="6"/>
  <c r="R1236" i="6"/>
  <c r="R1237" i="6"/>
  <c r="R1238" i="6"/>
  <c r="R1239" i="6"/>
  <c r="R1240" i="6"/>
  <c r="R1241" i="6"/>
  <c r="R1242" i="6"/>
  <c r="R1243" i="6"/>
  <c r="R1244" i="6"/>
  <c r="R1245" i="6"/>
  <c r="R1246" i="6"/>
  <c r="S1246" i="6" s="1"/>
  <c r="R1247" i="6"/>
  <c r="R1248" i="6"/>
  <c r="R1249" i="6"/>
  <c r="R1250" i="6"/>
  <c r="R1251" i="6"/>
  <c r="R1252" i="6"/>
  <c r="R1253" i="6"/>
  <c r="R1254" i="6"/>
  <c r="R1255" i="6"/>
  <c r="R1256" i="6"/>
  <c r="R1257" i="6"/>
  <c r="R1258" i="6"/>
  <c r="S1258" i="6" s="1"/>
  <c r="R1259" i="6"/>
  <c r="R1260" i="6"/>
  <c r="R1261" i="6"/>
  <c r="R1262" i="6"/>
  <c r="R1263" i="6"/>
  <c r="R1264" i="6"/>
  <c r="R1265" i="6"/>
  <c r="R1266" i="6"/>
  <c r="R1267" i="6"/>
  <c r="R1268" i="6"/>
  <c r="R1269" i="6"/>
  <c r="R1270" i="6"/>
  <c r="S1270" i="6" s="1"/>
  <c r="R1271" i="6"/>
  <c r="R1272" i="6"/>
  <c r="R1273" i="6"/>
  <c r="R1274" i="6"/>
  <c r="R1275" i="6"/>
  <c r="R1276" i="6"/>
  <c r="R1277" i="6"/>
  <c r="S1277" i="6" s="1"/>
  <c r="R1278" i="6"/>
  <c r="R1279" i="6"/>
  <c r="R1280" i="6"/>
  <c r="R1281" i="6"/>
  <c r="R1282" i="6"/>
  <c r="S1282" i="6" s="1"/>
  <c r="R1283" i="6"/>
  <c r="R1284" i="6"/>
  <c r="R1285" i="6"/>
  <c r="R1286" i="6"/>
  <c r="R1287" i="6"/>
  <c r="R1288" i="6"/>
  <c r="R1289" i="6"/>
  <c r="R1290" i="6"/>
  <c r="R1291" i="6"/>
  <c r="R1292" i="6"/>
  <c r="R1293" i="6"/>
  <c r="R1294" i="6"/>
  <c r="S1294" i="6" s="1"/>
  <c r="R1295" i="6"/>
  <c r="R1296" i="6"/>
  <c r="R1297" i="6"/>
  <c r="R1298" i="6"/>
  <c r="R1299" i="6"/>
  <c r="R1300" i="6"/>
  <c r="R1301" i="6"/>
  <c r="R1302" i="6"/>
  <c r="R1303" i="6"/>
  <c r="R1304" i="6"/>
  <c r="R1305" i="6"/>
  <c r="R1306" i="6"/>
  <c r="S1306" i="6" s="1"/>
  <c r="R1307" i="6"/>
  <c r="R1308" i="6"/>
  <c r="R1309" i="6"/>
  <c r="R1310" i="6"/>
  <c r="R1311" i="6"/>
  <c r="R1312" i="6"/>
  <c r="R1313" i="6"/>
  <c r="R1314" i="6"/>
  <c r="R1315" i="6"/>
  <c r="R1316" i="6"/>
  <c r="R1317" i="6"/>
  <c r="R1318" i="6"/>
  <c r="S1318" i="6" s="1"/>
  <c r="R1319" i="6"/>
  <c r="R1320" i="6"/>
  <c r="R1321" i="6"/>
  <c r="R1322" i="6"/>
  <c r="R1323" i="6"/>
  <c r="R1324" i="6"/>
  <c r="R1325" i="6"/>
  <c r="S1325" i="6" s="1"/>
  <c r="R1326" i="6"/>
  <c r="R1327" i="6"/>
  <c r="R1328" i="6"/>
  <c r="R1330" i="6"/>
  <c r="R1331" i="6"/>
  <c r="R1333" i="6"/>
  <c r="R1334" i="6"/>
  <c r="R1335" i="6"/>
  <c r="R1336" i="6"/>
  <c r="R1337" i="6"/>
  <c r="S1337" i="6" s="1"/>
  <c r="R1338" i="6"/>
  <c r="R1339" i="6"/>
  <c r="R1340" i="6"/>
  <c r="R1341" i="6"/>
  <c r="R1342" i="6"/>
  <c r="R1343" i="6"/>
  <c r="R1344" i="6"/>
  <c r="R1345" i="6"/>
  <c r="R1346" i="6"/>
  <c r="R1347" i="6"/>
  <c r="R1348" i="6"/>
  <c r="R1349" i="6"/>
  <c r="S1349" i="6" s="1"/>
  <c r="R1350" i="6"/>
  <c r="R1351" i="6"/>
  <c r="R1352" i="6"/>
  <c r="R1353" i="6"/>
  <c r="R1354" i="6"/>
  <c r="R1355" i="6"/>
  <c r="R1356" i="6"/>
  <c r="R1357" i="6"/>
  <c r="R1358" i="6"/>
  <c r="R1359" i="6"/>
  <c r="R1360" i="6"/>
  <c r="R1361" i="6"/>
  <c r="S1361" i="6" s="1"/>
  <c r="R1362" i="6"/>
  <c r="R1363" i="6"/>
  <c r="R1364" i="6"/>
  <c r="R1365" i="6"/>
  <c r="R1366" i="6"/>
  <c r="R1367" i="6"/>
  <c r="R1368" i="6"/>
  <c r="R1369" i="6"/>
  <c r="R1370" i="6"/>
  <c r="R1371" i="6"/>
  <c r="R1372" i="6"/>
  <c r="R1373" i="6"/>
  <c r="S1373" i="6" s="1"/>
  <c r="R1374" i="6"/>
  <c r="R1375" i="6"/>
  <c r="R1376" i="6"/>
  <c r="R1377" i="6"/>
  <c r="R1378" i="6"/>
  <c r="R1379" i="6"/>
  <c r="R1380" i="6"/>
  <c r="R1381" i="6"/>
  <c r="R1382" i="6"/>
  <c r="R1383" i="6"/>
  <c r="R1384" i="6"/>
  <c r="R1385" i="6"/>
  <c r="S1385" i="6" s="1"/>
  <c r="R1386" i="6"/>
  <c r="R1387" i="6"/>
  <c r="R1388" i="6"/>
  <c r="R1389" i="6"/>
  <c r="R1390" i="6"/>
  <c r="R1391" i="6"/>
  <c r="R1392" i="6"/>
  <c r="R1393" i="6"/>
  <c r="R1394" i="6"/>
  <c r="R1395" i="6"/>
  <c r="R1396" i="6"/>
  <c r="R1397" i="6"/>
  <c r="S1397" i="6" s="1"/>
  <c r="R1398" i="6"/>
  <c r="R1399" i="6"/>
  <c r="R1400" i="6"/>
  <c r="R1401" i="6"/>
  <c r="R1402" i="6"/>
  <c r="R1403" i="6"/>
  <c r="R1404" i="6"/>
  <c r="R1405" i="6"/>
  <c r="R1406" i="6"/>
  <c r="R1407" i="6"/>
  <c r="R1408" i="6"/>
  <c r="R1409" i="6"/>
  <c r="S1409" i="6" s="1"/>
  <c r="R1410" i="6"/>
  <c r="R1411" i="6"/>
  <c r="R1412" i="6"/>
  <c r="R1413" i="6"/>
  <c r="R1414" i="6"/>
  <c r="R1415" i="6"/>
  <c r="R1416" i="6"/>
  <c r="R1417" i="6"/>
  <c r="R1418" i="6"/>
  <c r="R1419" i="6"/>
  <c r="R1420" i="6"/>
  <c r="R1421" i="6"/>
  <c r="S1421" i="6" s="1"/>
  <c r="R1422" i="6"/>
  <c r="R1423" i="6"/>
  <c r="R1424" i="6"/>
  <c r="R1425" i="6"/>
  <c r="R1426" i="6"/>
  <c r="R1427" i="6"/>
  <c r="R1428" i="6"/>
  <c r="R1429" i="6"/>
  <c r="R1430" i="6"/>
  <c r="R1431" i="6"/>
  <c r="R1432" i="6"/>
  <c r="R1433" i="6"/>
  <c r="S1433" i="6" s="1"/>
  <c r="R1434" i="6"/>
  <c r="R1435" i="6"/>
  <c r="R1436" i="6"/>
  <c r="R1437" i="6"/>
  <c r="R1438" i="6"/>
  <c r="R1439" i="6"/>
  <c r="R1441" i="6"/>
  <c r="R1442" i="6"/>
  <c r="R1444" i="6"/>
  <c r="R1445" i="6"/>
  <c r="S1445" i="6" s="1"/>
  <c r="R1446" i="6"/>
  <c r="R1447" i="6"/>
  <c r="R1448" i="6"/>
  <c r="S1448" i="6" s="1"/>
  <c r="R1449" i="6"/>
  <c r="R1450" i="6"/>
  <c r="T1450" i="6" s="1"/>
  <c r="R1451" i="6"/>
  <c r="R1452" i="6"/>
  <c r="R1453" i="6"/>
  <c r="R1454" i="6"/>
  <c r="R1455" i="6"/>
  <c r="R1456" i="6"/>
  <c r="R1457" i="6"/>
  <c r="S1457" i="6" s="1"/>
  <c r="R1458" i="6"/>
  <c r="R1459" i="6"/>
  <c r="R1460" i="6"/>
  <c r="S1460" i="6" s="1"/>
  <c r="R1461" i="6"/>
  <c r="R1462" i="6"/>
  <c r="R1463" i="6"/>
  <c r="R1464" i="6"/>
  <c r="R1465" i="6"/>
  <c r="R1466" i="6"/>
  <c r="R1467" i="6"/>
  <c r="R1468" i="6"/>
  <c r="R1469" i="6"/>
  <c r="S1469" i="6" s="1"/>
  <c r="R1470" i="6"/>
  <c r="R1471" i="6"/>
  <c r="R1472" i="6"/>
  <c r="S1472" i="6" s="1"/>
  <c r="R1473" i="6"/>
  <c r="R1474" i="6"/>
  <c r="T1474" i="6" s="1"/>
  <c r="R1475" i="6"/>
  <c r="R1476" i="6"/>
  <c r="R1477" i="6"/>
  <c r="R1478" i="6"/>
  <c r="R1479" i="6"/>
  <c r="R1480" i="6"/>
  <c r="R1481" i="6"/>
  <c r="S1481" i="6" s="1"/>
  <c r="R1482" i="6"/>
  <c r="R1483" i="6"/>
  <c r="R1484" i="6"/>
  <c r="S1484" i="6" s="1"/>
  <c r="R1485" i="6"/>
  <c r="R1486" i="6"/>
  <c r="T1486" i="6" s="1"/>
  <c r="R1487" i="6"/>
  <c r="R1488" i="6"/>
  <c r="R1489" i="6"/>
  <c r="R1490" i="6"/>
  <c r="R1491" i="6"/>
  <c r="R1492" i="6"/>
  <c r="R1493" i="6"/>
  <c r="S1493" i="6" s="1"/>
  <c r="R1494" i="6"/>
  <c r="R1495" i="6"/>
  <c r="R1496" i="6"/>
  <c r="S1496" i="6" s="1"/>
  <c r="R1497" i="6"/>
  <c r="R1498" i="6"/>
  <c r="T1498" i="6" s="1"/>
  <c r="R1499" i="6"/>
  <c r="R1500" i="6"/>
  <c r="R1501" i="6"/>
  <c r="R1502" i="6"/>
  <c r="R1503" i="6"/>
  <c r="R1504" i="6"/>
  <c r="T1504" i="6" s="1"/>
  <c r="R1505" i="6"/>
  <c r="S1505" i="6" s="1"/>
  <c r="R1506" i="6"/>
  <c r="R1507" i="6"/>
  <c r="R1508" i="6"/>
  <c r="S1508" i="6" s="1"/>
  <c r="R1509" i="6"/>
  <c r="R1510" i="6"/>
  <c r="T1510" i="6" s="1"/>
  <c r="R1511" i="6"/>
  <c r="R1512" i="6"/>
  <c r="R1513" i="6"/>
  <c r="R1514" i="6"/>
  <c r="R1515" i="6"/>
  <c r="R1516" i="6"/>
  <c r="R1517" i="6"/>
  <c r="S1517" i="6" s="1"/>
  <c r="R1518" i="6"/>
  <c r="R1519" i="6"/>
  <c r="R1520" i="6"/>
  <c r="S1520" i="6" s="1"/>
  <c r="R1521" i="6"/>
  <c r="R1522" i="6"/>
  <c r="T1522" i="6" s="1"/>
  <c r="R1523" i="6"/>
  <c r="R1524" i="6"/>
  <c r="R1525" i="6"/>
  <c r="R1526" i="6"/>
  <c r="R1527" i="6"/>
  <c r="R1528" i="6"/>
  <c r="R1529" i="6"/>
  <c r="S1529" i="6" s="1"/>
  <c r="R1530" i="6"/>
  <c r="R1531" i="6"/>
  <c r="R1532" i="6"/>
  <c r="S1532" i="6" s="1"/>
  <c r="R1533" i="6"/>
  <c r="R1534" i="6"/>
  <c r="T1534" i="6" s="1"/>
  <c r="R1535" i="6"/>
  <c r="R1536" i="6"/>
  <c r="R1537" i="6"/>
  <c r="R1538" i="6"/>
  <c r="R1539" i="6"/>
  <c r="R1540" i="6"/>
  <c r="R1541" i="6"/>
  <c r="S1541" i="6" s="1"/>
  <c r="R1542" i="6"/>
  <c r="R1543" i="6"/>
  <c r="R1544" i="6"/>
  <c r="S1544" i="6" s="1"/>
  <c r="R1545" i="6"/>
  <c r="R1546" i="6"/>
  <c r="T1546" i="6" s="1"/>
  <c r="R1547" i="6"/>
  <c r="R1548" i="6"/>
  <c r="R1549" i="6"/>
  <c r="R1550" i="6"/>
  <c r="R1552" i="6"/>
  <c r="R1553" i="6"/>
  <c r="R1555" i="6"/>
  <c r="R1556" i="6"/>
  <c r="S1556" i="6" s="1"/>
  <c r="R1557" i="6"/>
  <c r="R1558" i="6"/>
  <c r="S1558" i="6" s="1"/>
  <c r="R1559" i="6"/>
  <c r="R1560" i="6"/>
  <c r="R1561" i="6"/>
  <c r="R1562" i="6"/>
  <c r="R1563" i="6"/>
  <c r="R1564" i="6"/>
  <c r="R1565" i="6"/>
  <c r="S1565" i="6" s="1"/>
  <c r="R1566" i="6"/>
  <c r="R1567" i="6"/>
  <c r="R1568" i="6"/>
  <c r="S1568" i="6" s="1"/>
  <c r="R1569" i="6"/>
  <c r="R1570" i="6"/>
  <c r="S1570" i="6" s="1"/>
  <c r="R1571" i="6"/>
  <c r="R1572" i="6"/>
  <c r="R1573" i="6"/>
  <c r="R1574" i="6"/>
  <c r="R1575" i="6"/>
  <c r="R1576" i="6"/>
  <c r="R1577" i="6"/>
  <c r="S1577" i="6" s="1"/>
  <c r="R1578" i="6"/>
  <c r="R1579" i="6"/>
  <c r="R1580" i="6"/>
  <c r="S1580" i="6" s="1"/>
  <c r="R1581" i="6"/>
  <c r="R1582" i="6"/>
  <c r="S1582" i="6" s="1"/>
  <c r="R1583" i="6"/>
  <c r="R1584" i="6"/>
  <c r="R1585" i="6"/>
  <c r="R1586" i="6"/>
  <c r="R1587" i="6"/>
  <c r="R1588" i="6"/>
  <c r="R1589" i="6"/>
  <c r="S1589" i="6" s="1"/>
  <c r="R1590" i="6"/>
  <c r="R1591" i="6"/>
  <c r="R1592" i="6"/>
  <c r="S1592" i="6" s="1"/>
  <c r="R1593" i="6"/>
  <c r="R1594" i="6"/>
  <c r="S1594" i="6" s="1"/>
  <c r="R1595" i="6"/>
  <c r="R1596" i="6"/>
  <c r="R1597" i="6"/>
  <c r="R1598" i="6"/>
  <c r="R1599" i="6"/>
  <c r="R1600" i="6"/>
  <c r="R1601" i="6"/>
  <c r="S1601" i="6" s="1"/>
  <c r="R1602" i="6"/>
  <c r="R1603" i="6"/>
  <c r="R1604" i="6"/>
  <c r="S1604" i="6" s="1"/>
  <c r="R1605" i="6"/>
  <c r="R1606" i="6"/>
  <c r="S1606" i="6" s="1"/>
  <c r="R1607" i="6"/>
  <c r="R1608" i="6"/>
  <c r="R1609" i="6"/>
  <c r="R1610" i="6"/>
  <c r="R1611" i="6"/>
  <c r="R1612" i="6"/>
  <c r="R1613" i="6"/>
  <c r="S1613" i="6" s="1"/>
  <c r="R1614" i="6"/>
  <c r="R1615" i="6"/>
  <c r="R1616" i="6"/>
  <c r="S1616" i="6" s="1"/>
  <c r="R1617" i="6"/>
  <c r="R1618" i="6"/>
  <c r="S1618" i="6" s="1"/>
  <c r="R1619" i="6"/>
  <c r="R1620" i="6"/>
  <c r="R1621" i="6"/>
  <c r="R1622" i="6"/>
  <c r="R1623" i="6"/>
  <c r="R1624" i="6"/>
  <c r="R1625" i="6"/>
  <c r="S1625" i="6" s="1"/>
  <c r="R1626" i="6"/>
  <c r="R1627" i="6"/>
  <c r="R1628" i="6"/>
  <c r="S1628" i="6" s="1"/>
  <c r="R1629" i="6"/>
  <c r="R1630" i="6"/>
  <c r="S1630" i="6" s="1"/>
  <c r="R1631" i="6"/>
  <c r="R1632" i="6"/>
  <c r="R1633" i="6"/>
  <c r="R1634" i="6"/>
  <c r="R1635" i="6"/>
  <c r="R1636" i="6"/>
  <c r="R1637" i="6"/>
  <c r="S1637" i="6" s="1"/>
  <c r="R1638" i="6"/>
  <c r="R1639" i="6"/>
  <c r="R1640" i="6"/>
  <c r="S1640" i="6" s="1"/>
  <c r="R1641" i="6"/>
  <c r="R1642" i="6"/>
  <c r="S1642" i="6" s="1"/>
  <c r="R1643" i="6"/>
  <c r="R1644" i="6"/>
  <c r="R1645" i="6"/>
  <c r="R1646" i="6"/>
  <c r="R1647" i="6"/>
  <c r="R1648" i="6"/>
  <c r="R1649" i="6"/>
  <c r="S1649" i="6" s="1"/>
  <c r="R1650" i="6"/>
  <c r="R1651" i="6"/>
  <c r="R1652" i="6"/>
  <c r="S1652" i="6" s="1"/>
  <c r="R1653" i="6"/>
  <c r="R1654" i="6"/>
  <c r="S1654" i="6" s="1"/>
  <c r="R1655" i="6"/>
  <c r="R1656" i="6"/>
  <c r="R1657" i="6"/>
  <c r="R1658" i="6"/>
  <c r="R1659" i="6"/>
  <c r="R1660" i="6"/>
  <c r="R1661" i="6"/>
  <c r="S1661" i="6" s="1"/>
  <c r="R1663" i="6"/>
  <c r="R1664" i="6"/>
  <c r="S1664" i="6" s="1"/>
  <c r="R1666" i="6"/>
  <c r="S1666" i="6" s="1"/>
  <c r="R1667" i="6"/>
  <c r="R1668" i="6"/>
  <c r="R1669" i="6"/>
  <c r="R1670" i="6"/>
  <c r="R1671" i="6"/>
  <c r="R1672" i="6"/>
  <c r="R1673" i="6"/>
  <c r="R1674" i="6"/>
  <c r="R1675" i="6"/>
  <c r="R1676" i="6"/>
  <c r="R1677" i="6"/>
  <c r="R1678" i="6"/>
  <c r="S1678" i="6" s="1"/>
  <c r="R1679" i="6"/>
  <c r="R1680" i="6"/>
  <c r="R1681" i="6"/>
  <c r="R1682" i="6"/>
  <c r="R1683" i="6"/>
  <c r="R1684" i="6"/>
  <c r="R1685" i="6"/>
  <c r="R1686" i="6"/>
  <c r="R1687" i="6"/>
  <c r="R1688" i="6"/>
  <c r="R1689" i="6"/>
  <c r="R1690" i="6"/>
  <c r="S1690" i="6" s="1"/>
  <c r="R1691" i="6"/>
  <c r="R1692" i="6"/>
  <c r="R1693" i="6"/>
  <c r="R1694" i="6"/>
  <c r="R1695" i="6"/>
  <c r="R1696" i="6"/>
  <c r="R1697" i="6"/>
  <c r="R1698" i="6"/>
  <c r="R1699" i="6"/>
  <c r="R1700" i="6"/>
  <c r="R1701" i="6"/>
  <c r="R1702" i="6"/>
  <c r="S1702" i="6" s="1"/>
  <c r="R1703" i="6"/>
  <c r="R1704" i="6"/>
  <c r="R1705" i="6"/>
  <c r="R1706" i="6"/>
  <c r="R1707" i="6"/>
  <c r="R1708" i="6"/>
  <c r="R1709" i="6"/>
  <c r="R1710" i="6"/>
  <c r="R1711" i="6"/>
  <c r="R1712" i="6"/>
  <c r="R1713" i="6"/>
  <c r="R1714" i="6"/>
  <c r="S1714" i="6" s="1"/>
  <c r="R1715" i="6"/>
  <c r="R1716" i="6"/>
  <c r="R1717" i="6"/>
  <c r="R1718" i="6"/>
  <c r="R1719" i="6"/>
  <c r="R1720" i="6"/>
  <c r="R1721" i="6"/>
  <c r="R1722" i="6"/>
  <c r="R1723" i="6"/>
  <c r="R1724" i="6"/>
  <c r="R1725" i="6"/>
  <c r="R1726" i="6"/>
  <c r="S1726" i="6" s="1"/>
  <c r="R1727" i="6"/>
  <c r="R1728" i="6"/>
  <c r="R1729" i="6"/>
  <c r="R1730" i="6"/>
  <c r="R1731" i="6"/>
  <c r="R1732" i="6"/>
  <c r="R1733" i="6"/>
  <c r="R1734" i="6"/>
  <c r="R1735" i="6"/>
  <c r="R1736" i="6"/>
  <c r="R1737" i="6"/>
  <c r="R1738" i="6"/>
  <c r="S1738" i="6" s="1"/>
  <c r="R1739" i="6"/>
  <c r="R1740" i="6"/>
  <c r="R1741" i="6"/>
  <c r="R1742" i="6"/>
  <c r="R1743" i="6"/>
  <c r="R1744" i="6"/>
  <c r="R1745" i="6"/>
  <c r="R1746" i="6"/>
  <c r="R1747" i="6"/>
  <c r="R1748" i="6"/>
  <c r="R1749" i="6"/>
  <c r="R1750" i="6"/>
  <c r="S1750" i="6" s="1"/>
  <c r="R1751" i="6"/>
  <c r="R1752" i="6"/>
  <c r="R1753" i="6"/>
  <c r="R1754" i="6"/>
  <c r="R1755" i="6"/>
  <c r="R1756" i="6"/>
  <c r="R1757" i="6"/>
  <c r="R1758" i="6"/>
  <c r="R1759" i="6"/>
  <c r="R1760" i="6"/>
  <c r="R1761" i="6"/>
  <c r="R1762" i="6"/>
  <c r="S1762" i="6" s="1"/>
  <c r="R1763" i="6"/>
  <c r="R1764" i="6"/>
  <c r="R1765" i="6"/>
  <c r="R1766" i="6"/>
  <c r="R1767" i="6"/>
  <c r="R1768" i="6"/>
  <c r="R1769" i="6"/>
  <c r="R1770" i="6"/>
  <c r="S1770" i="6" s="1"/>
  <c r="R1771" i="6"/>
  <c r="S1771" i="6" s="1"/>
  <c r="R1772" i="6"/>
  <c r="R1774" i="6"/>
  <c r="S1774" i="6" s="1"/>
  <c r="R1775" i="6"/>
  <c r="S1775" i="6" s="1"/>
  <c r="R1777" i="6"/>
  <c r="S1777" i="6" s="1"/>
  <c r="R1778" i="6"/>
  <c r="S1778" i="6" s="1"/>
  <c r="R1779" i="6"/>
  <c r="R1780" i="6"/>
  <c r="R1781" i="6"/>
  <c r="R1782" i="6"/>
  <c r="S1782" i="6" s="1"/>
  <c r="R1783" i="6"/>
  <c r="R1784" i="6"/>
  <c r="S1784" i="6" s="1"/>
  <c r="R1785" i="6"/>
  <c r="S1785" i="6" s="1"/>
  <c r="R1786" i="6"/>
  <c r="R1787" i="6"/>
  <c r="S1787" i="6" s="1"/>
  <c r="R1788" i="6"/>
  <c r="S1788" i="6" s="1"/>
  <c r="R1789" i="6"/>
  <c r="S1789" i="6" s="1"/>
  <c r="R1790" i="6"/>
  <c r="S1790" i="6" s="1"/>
  <c r="R1791" i="6"/>
  <c r="R1792" i="6"/>
  <c r="R1793" i="6"/>
  <c r="R1794" i="6"/>
  <c r="S1794" i="6" s="1"/>
  <c r="R1795" i="6"/>
  <c r="R1796" i="6"/>
  <c r="S1796" i="6" s="1"/>
  <c r="R1797" i="6"/>
  <c r="S1797" i="6" s="1"/>
  <c r="R1798" i="6"/>
  <c r="R1799" i="6"/>
  <c r="S1799" i="6" s="1"/>
  <c r="R1800" i="6"/>
  <c r="S1800" i="6" s="1"/>
  <c r="R1801" i="6"/>
  <c r="S1801" i="6" s="1"/>
  <c r="R1802" i="6"/>
  <c r="S1802" i="6" s="1"/>
  <c r="R1803" i="6"/>
  <c r="R1804" i="6"/>
  <c r="R1805" i="6"/>
  <c r="R1806" i="6"/>
  <c r="S1806" i="6" s="1"/>
  <c r="R1807" i="6"/>
  <c r="R1808" i="6"/>
  <c r="S1808" i="6" s="1"/>
  <c r="R1809" i="6"/>
  <c r="S1809" i="6" s="1"/>
  <c r="R1810" i="6"/>
  <c r="R1811" i="6"/>
  <c r="S1811" i="6" s="1"/>
  <c r="R1812" i="6"/>
  <c r="S1812" i="6" s="1"/>
  <c r="R1813" i="6"/>
  <c r="S1813" i="6" s="1"/>
  <c r="R1814" i="6"/>
  <c r="S1814" i="6" s="1"/>
  <c r="R1815" i="6"/>
  <c r="R1816" i="6"/>
  <c r="R1817" i="6"/>
  <c r="R1818" i="6"/>
  <c r="S1818" i="6" s="1"/>
  <c r="R1819" i="6"/>
  <c r="R1820" i="6"/>
  <c r="S1820" i="6" s="1"/>
  <c r="R1821" i="6"/>
  <c r="S1821" i="6" s="1"/>
  <c r="R1822" i="6"/>
  <c r="R1823" i="6"/>
  <c r="S1823" i="6" s="1"/>
  <c r="R1824" i="6"/>
  <c r="S1824" i="6" s="1"/>
  <c r="R1825" i="6"/>
  <c r="S1825" i="6" s="1"/>
  <c r="R1826" i="6"/>
  <c r="S1826" i="6" s="1"/>
  <c r="R1827" i="6"/>
  <c r="R1828" i="6"/>
  <c r="R1829" i="6"/>
  <c r="R1830" i="6"/>
  <c r="S1830" i="6" s="1"/>
  <c r="R1831" i="6"/>
  <c r="R1832" i="6"/>
  <c r="S1832" i="6" s="1"/>
  <c r="R1833" i="6"/>
  <c r="S1833" i="6" s="1"/>
  <c r="R1834" i="6"/>
  <c r="R1835" i="6"/>
  <c r="S1835" i="6" s="1"/>
  <c r="R1836" i="6"/>
  <c r="S1836" i="6" s="1"/>
  <c r="R1837" i="6"/>
  <c r="S1837" i="6" s="1"/>
  <c r="R1838" i="6"/>
  <c r="S1838" i="6" s="1"/>
  <c r="R1839" i="6"/>
  <c r="R1840" i="6"/>
  <c r="R1841" i="6"/>
  <c r="R1842" i="6"/>
  <c r="S1842" i="6" s="1"/>
  <c r="R1843" i="6"/>
  <c r="R1844" i="6"/>
  <c r="S1844" i="6" s="1"/>
  <c r="R1845" i="6"/>
  <c r="S1845" i="6" s="1"/>
  <c r="R1846" i="6"/>
  <c r="R1847" i="6"/>
  <c r="S1847" i="6" s="1"/>
  <c r="R1848" i="6"/>
  <c r="S1848" i="6" s="1"/>
  <c r="R1849" i="6"/>
  <c r="S1849" i="6" s="1"/>
  <c r="R1850" i="6"/>
  <c r="S1850" i="6" s="1"/>
  <c r="R1851" i="6"/>
  <c r="R1852" i="6"/>
  <c r="R1853" i="6"/>
  <c r="R1854" i="6"/>
  <c r="S1854" i="6" s="1"/>
  <c r="R1855" i="6"/>
  <c r="R1856" i="6"/>
  <c r="S1856" i="6" s="1"/>
  <c r="R1857" i="6"/>
  <c r="S1857" i="6" s="1"/>
  <c r="R1858" i="6"/>
  <c r="R1859" i="6"/>
  <c r="S1859" i="6" s="1"/>
  <c r="R1860" i="6"/>
  <c r="S1860" i="6" s="1"/>
  <c r="R1861" i="6"/>
  <c r="S1861" i="6" s="1"/>
  <c r="R1862" i="6"/>
  <c r="S1862" i="6" s="1"/>
  <c r="R1863" i="6"/>
  <c r="R1864" i="6"/>
  <c r="R1865" i="6"/>
  <c r="R1866" i="6"/>
  <c r="S1866" i="6" s="1"/>
  <c r="R1867" i="6"/>
  <c r="R1868" i="6"/>
  <c r="S1868" i="6" s="1"/>
  <c r="R1869" i="6"/>
  <c r="S1869" i="6" s="1"/>
  <c r="R1870" i="6"/>
  <c r="R1871" i="6"/>
  <c r="S1871" i="6" s="1"/>
  <c r="R1872" i="6"/>
  <c r="S1872" i="6" s="1"/>
  <c r="R1873" i="6"/>
  <c r="S1873" i="6" s="1"/>
  <c r="R1874" i="6"/>
  <c r="S1874" i="6" s="1"/>
  <c r="R1875" i="6"/>
  <c r="R1876" i="6"/>
  <c r="R1877" i="6"/>
  <c r="R1878" i="6"/>
  <c r="S1878" i="6" s="1"/>
  <c r="R1879" i="6"/>
  <c r="R1880" i="6"/>
  <c r="S1880" i="6" s="1"/>
  <c r="R1881" i="6"/>
  <c r="S1881" i="6" s="1"/>
  <c r="R1882" i="6"/>
  <c r="R1883" i="6"/>
  <c r="S1883" i="6" s="1"/>
  <c r="R1885" i="6"/>
  <c r="S1885" i="6" s="1"/>
  <c r="R1886" i="6"/>
  <c r="S1886" i="6" s="1"/>
  <c r="R1888" i="6"/>
  <c r="S1888" i="6" s="1"/>
  <c r="R1889" i="6"/>
  <c r="R1890" i="6"/>
  <c r="S1890" i="6" s="1"/>
  <c r="R1891" i="6"/>
  <c r="R1892" i="6"/>
  <c r="R1893" i="6"/>
  <c r="R1894" i="6"/>
  <c r="S1894" i="6" s="1"/>
  <c r="R1895" i="6"/>
  <c r="S1895" i="6" s="1"/>
  <c r="R1896" i="6"/>
  <c r="R1897" i="6"/>
  <c r="S1897" i="6" s="1"/>
  <c r="R1898" i="6"/>
  <c r="S1898" i="6" s="1"/>
  <c r="R1899" i="6"/>
  <c r="S1899" i="6" s="1"/>
  <c r="R1900" i="6"/>
  <c r="S1900" i="6" s="1"/>
  <c r="R1901" i="6"/>
  <c r="R1902" i="6"/>
  <c r="S1902" i="6" s="1"/>
  <c r="R1903" i="6"/>
  <c r="R1904" i="6"/>
  <c r="R1905" i="6"/>
  <c r="R1906" i="6"/>
  <c r="S1906" i="6" s="1"/>
  <c r="R1907" i="6"/>
  <c r="S1907" i="6" s="1"/>
  <c r="R1908" i="6"/>
  <c r="R1909" i="6"/>
  <c r="S1909" i="6" s="1"/>
  <c r="R1910" i="6"/>
  <c r="S1910" i="6" s="1"/>
  <c r="R1911" i="6"/>
  <c r="S1911" i="6" s="1"/>
  <c r="R1912" i="6"/>
  <c r="S1912" i="6" s="1"/>
  <c r="R1913" i="6"/>
  <c r="R1914" i="6"/>
  <c r="S1914" i="6" s="1"/>
  <c r="R1915" i="6"/>
  <c r="R1916" i="6"/>
  <c r="R1917" i="6"/>
  <c r="R1918" i="6"/>
  <c r="S1918" i="6" s="1"/>
  <c r="R1919" i="6"/>
  <c r="S1919" i="6" s="1"/>
  <c r="R1920" i="6"/>
  <c r="R1921" i="6"/>
  <c r="S1921" i="6" s="1"/>
  <c r="R1922" i="6"/>
  <c r="S1922" i="6" s="1"/>
  <c r="R1923" i="6"/>
  <c r="S1923" i="6" s="1"/>
  <c r="R1924" i="6"/>
  <c r="S1924" i="6" s="1"/>
  <c r="R1925" i="6"/>
  <c r="R1926" i="6"/>
  <c r="S1926" i="6" s="1"/>
  <c r="R1927" i="6"/>
  <c r="R1928" i="6"/>
  <c r="R1929" i="6"/>
  <c r="R1930" i="6"/>
  <c r="S1930" i="6" s="1"/>
  <c r="R1931" i="6"/>
  <c r="S1931" i="6" s="1"/>
  <c r="R1932" i="6"/>
  <c r="R1933" i="6"/>
  <c r="S1933" i="6" s="1"/>
  <c r="R1934" i="6"/>
  <c r="S1934" i="6" s="1"/>
  <c r="R1935" i="6"/>
  <c r="S1935" i="6" s="1"/>
  <c r="R1936" i="6"/>
  <c r="S1936" i="6" s="1"/>
  <c r="R1937" i="6"/>
  <c r="R1938" i="6"/>
  <c r="S1938" i="6" s="1"/>
  <c r="R1939" i="6"/>
  <c r="R1940" i="6"/>
  <c r="R1941" i="6"/>
  <c r="R1942" i="6"/>
  <c r="S1942" i="6" s="1"/>
  <c r="R1943" i="6"/>
  <c r="S1943" i="6" s="1"/>
  <c r="R1944" i="6"/>
  <c r="R1945" i="6"/>
  <c r="S1945" i="6" s="1"/>
  <c r="R1946" i="6"/>
  <c r="S1946" i="6" s="1"/>
  <c r="R1947" i="6"/>
  <c r="S1947" i="6" s="1"/>
  <c r="R1948" i="6"/>
  <c r="S1948" i="6" s="1"/>
  <c r="R1949" i="6"/>
  <c r="R1950" i="6"/>
  <c r="S1950" i="6" s="1"/>
  <c r="R1951" i="6"/>
  <c r="R1952" i="6"/>
  <c r="R1953" i="6"/>
  <c r="R1954" i="6"/>
  <c r="S1954" i="6" s="1"/>
  <c r="R1955" i="6"/>
  <c r="S1955" i="6" s="1"/>
  <c r="R1956" i="6"/>
  <c r="R1957" i="6"/>
  <c r="S1957" i="6" s="1"/>
  <c r="R1958" i="6"/>
  <c r="S1958" i="6" s="1"/>
  <c r="R1959" i="6"/>
  <c r="S1959" i="6" s="1"/>
  <c r="R1960" i="6"/>
  <c r="S1960" i="6" s="1"/>
  <c r="R1961" i="6"/>
  <c r="R1962" i="6"/>
  <c r="S1962" i="6" s="1"/>
  <c r="R1963" i="6"/>
  <c r="R1964" i="6"/>
  <c r="R1965" i="6"/>
  <c r="R1966" i="6"/>
  <c r="S1966" i="6" s="1"/>
  <c r="R1967" i="6"/>
  <c r="S1967" i="6" s="1"/>
  <c r="R1968" i="6"/>
  <c r="R1969" i="6"/>
  <c r="S1969" i="6" s="1"/>
  <c r="R1970" i="6"/>
  <c r="S1970" i="6" s="1"/>
  <c r="R1971" i="6"/>
  <c r="S1971" i="6" s="1"/>
  <c r="R1972" i="6"/>
  <c r="S1972" i="6" s="1"/>
  <c r="R1973" i="6"/>
  <c r="R1974" i="6"/>
  <c r="S1974" i="6" s="1"/>
  <c r="R1975" i="6"/>
  <c r="R1976" i="6"/>
  <c r="R1977" i="6"/>
  <c r="R1978" i="6"/>
  <c r="S1978" i="6" s="1"/>
  <c r="R1979" i="6"/>
  <c r="S1979" i="6" s="1"/>
  <c r="R1980" i="6"/>
  <c r="R1981" i="6"/>
  <c r="S1981" i="6" s="1"/>
  <c r="R1982" i="6"/>
  <c r="S1982" i="6" s="1"/>
  <c r="R1983" i="6"/>
  <c r="S1983" i="6" s="1"/>
  <c r="R1984" i="6"/>
  <c r="S1984" i="6" s="1"/>
  <c r="R1985" i="6"/>
  <c r="R1986" i="6"/>
  <c r="S1986" i="6" s="1"/>
  <c r="R1987" i="6"/>
  <c r="R1988" i="6"/>
  <c r="R1989" i="6"/>
  <c r="R1990" i="6"/>
  <c r="S1990" i="6" s="1"/>
  <c r="R1991" i="6"/>
  <c r="S1991" i="6" s="1"/>
  <c r="R1992" i="6"/>
  <c r="R1993" i="6"/>
  <c r="S1993" i="6" s="1"/>
  <c r="R1994" i="6"/>
  <c r="S1994" i="6" s="1"/>
  <c r="R1996" i="6"/>
  <c r="S1996" i="6" s="1"/>
  <c r="R1997" i="6"/>
  <c r="S1997" i="6" s="1"/>
  <c r="R1999" i="6"/>
  <c r="R2000" i="6"/>
  <c r="R2001" i="6"/>
  <c r="R2002" i="6"/>
  <c r="R2003" i="6"/>
  <c r="R2004" i="6"/>
  <c r="S2004" i="6" s="1"/>
  <c r="R2005" i="6"/>
  <c r="S2005" i="6" s="1"/>
  <c r="R2006" i="6"/>
  <c r="R2007" i="6"/>
  <c r="S2007" i="6" s="1"/>
  <c r="R2008" i="6"/>
  <c r="S2008" i="6" s="1"/>
  <c r="R2009" i="6"/>
  <c r="S2009" i="6" s="1"/>
  <c r="R2010" i="6"/>
  <c r="S2010" i="6" s="1"/>
  <c r="R2011" i="6"/>
  <c r="R2012" i="6"/>
  <c r="R2013" i="6"/>
  <c r="R2014" i="6"/>
  <c r="R2015" i="6"/>
  <c r="R2016" i="6"/>
  <c r="S2016" i="6" s="1"/>
  <c r="R2017" i="6"/>
  <c r="S2017" i="6" s="1"/>
  <c r="R2018" i="6"/>
  <c r="R2019" i="6"/>
  <c r="S2019" i="6" s="1"/>
  <c r="R2020" i="6"/>
  <c r="S2020" i="6" s="1"/>
  <c r="R2021" i="6"/>
  <c r="S2021" i="6" s="1"/>
  <c r="R2022" i="6"/>
  <c r="S2022" i="6" s="1"/>
  <c r="R2023" i="6"/>
  <c r="R2024" i="6"/>
  <c r="R2025" i="6"/>
  <c r="R2026" i="6"/>
  <c r="R2027" i="6"/>
  <c r="R2028" i="6"/>
  <c r="S2028" i="6" s="1"/>
  <c r="R2029" i="6"/>
  <c r="S2029" i="6" s="1"/>
  <c r="R2030" i="6"/>
  <c r="R2031" i="6"/>
  <c r="S2031" i="6" s="1"/>
  <c r="R2" i="6"/>
  <c r="C2" i="6" s="1"/>
  <c r="A10" i="19"/>
  <c r="A9" i="19"/>
  <c r="A8" i="19"/>
  <c r="A7" i="19"/>
  <c r="A6" i="19"/>
  <c r="A5" i="19"/>
  <c r="A4" i="19"/>
  <c r="A3" i="19"/>
  <c r="A2" i="19"/>
  <c r="A3" i="18"/>
  <c r="A4" i="18"/>
  <c r="A5" i="18"/>
  <c r="A6" i="18"/>
  <c r="A7" i="18"/>
  <c r="A8" i="18"/>
  <c r="A9" i="18"/>
  <c r="A10" i="18"/>
  <c r="A11" i="18"/>
  <c r="A12" i="18"/>
  <c r="A2" i="18"/>
  <c r="D11" i="14"/>
  <c r="A2" i="15"/>
  <c r="A3" i="5"/>
  <c r="A4" i="5"/>
  <c r="A5" i="5"/>
  <c r="A6" i="5"/>
  <c r="A7" i="5"/>
  <c r="A2" i="5"/>
  <c r="A3" i="13"/>
  <c r="A4" i="13"/>
  <c r="A5" i="13"/>
  <c r="A6" i="13"/>
  <c r="A2" i="13"/>
  <c r="A3" i="2"/>
  <c r="A2" i="2"/>
  <c r="A2" i="12"/>
  <c r="B3" i="14"/>
  <c r="D3" i="14" s="1"/>
  <c r="B4" i="14"/>
  <c r="D4" i="14" s="1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" i="14"/>
  <c r="D2" i="14" s="1"/>
  <c r="A3" i="9"/>
  <c r="A4" i="9"/>
  <c r="A5" i="9"/>
  <c r="A6" i="9"/>
  <c r="A7" i="9"/>
  <c r="A2" i="9"/>
  <c r="A3" i="11"/>
  <c r="A4" i="11"/>
  <c r="A2" i="11"/>
  <c r="A3" i="7"/>
  <c r="A4" i="7"/>
  <c r="A5" i="7"/>
  <c r="A6" i="7"/>
  <c r="A7" i="7"/>
  <c r="A8" i="7"/>
  <c r="A9" i="7"/>
  <c r="A10" i="7"/>
  <c r="A11" i="7"/>
  <c r="A12" i="7"/>
  <c r="A13" i="7"/>
  <c r="A2" i="7"/>
  <c r="A3" i="10"/>
  <c r="A4" i="10"/>
  <c r="A5" i="10"/>
  <c r="A6" i="10"/>
  <c r="A7" i="10"/>
  <c r="A8" i="10"/>
  <c r="A9" i="10"/>
  <c r="A10" i="10"/>
  <c r="A11" i="10"/>
  <c r="A2" i="10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E27" i="1" s="1"/>
  <c r="A28" i="1"/>
  <c r="E28" i="1" s="1"/>
  <c r="A29" i="1"/>
  <c r="A30" i="1"/>
  <c r="A31" i="1"/>
  <c r="A32" i="1"/>
  <c r="A33" i="1"/>
  <c r="A34" i="1"/>
  <c r="A35" i="1"/>
  <c r="A36" i="1"/>
  <c r="A37" i="1"/>
  <c r="A38" i="1"/>
  <c r="A39" i="1"/>
  <c r="E39" i="1" s="1"/>
  <c r="A40" i="1"/>
  <c r="E40" i="1" s="1"/>
  <c r="A41" i="1"/>
  <c r="A42" i="1"/>
  <c r="A43" i="1"/>
  <c r="A44" i="1"/>
  <c r="A45" i="1"/>
  <c r="A46" i="1"/>
  <c r="A47" i="1"/>
  <c r="A48" i="1"/>
  <c r="A49" i="1"/>
  <c r="A50" i="1"/>
  <c r="A51" i="1"/>
  <c r="E51" i="1" s="1"/>
  <c r="A52" i="1"/>
  <c r="E52" i="1" s="1"/>
  <c r="A53" i="1"/>
  <c r="A54" i="1"/>
  <c r="A55" i="1"/>
  <c r="A56" i="1"/>
  <c r="A57" i="1"/>
  <c r="A58" i="1"/>
  <c r="A59" i="1"/>
  <c r="A60" i="1"/>
  <c r="A61" i="1"/>
  <c r="A62" i="1"/>
  <c r="A63" i="1"/>
  <c r="E63" i="1" s="1"/>
  <c r="A64" i="1"/>
  <c r="E64" i="1" s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E87" i="1" s="1"/>
  <c r="A88" i="1"/>
  <c r="E88" i="1" s="1"/>
  <c r="A89" i="1"/>
  <c r="A90" i="1"/>
  <c r="A91" i="1"/>
  <c r="A92" i="1"/>
  <c r="A93" i="1"/>
  <c r="A94" i="1"/>
  <c r="A95" i="1"/>
  <c r="A96" i="1"/>
  <c r="A97" i="1"/>
  <c r="A98" i="1"/>
  <c r="A99" i="1"/>
  <c r="E99" i="1" s="1"/>
  <c r="A100" i="1"/>
  <c r="E100" i="1" s="1"/>
  <c r="A101" i="1"/>
  <c r="A102" i="1"/>
  <c r="A103" i="1"/>
  <c r="A104" i="1"/>
  <c r="A105" i="1"/>
  <c r="A106" i="1"/>
  <c r="A107" i="1"/>
  <c r="A108" i="1"/>
  <c r="A109" i="1"/>
  <c r="A110" i="1"/>
  <c r="A111" i="1"/>
  <c r="E111" i="1" s="1"/>
  <c r="A112" i="1"/>
  <c r="E112" i="1" s="1"/>
  <c r="A113" i="1"/>
  <c r="A114" i="1"/>
  <c r="A115" i="1"/>
  <c r="A116" i="1"/>
  <c r="A117" i="1"/>
  <c r="A118" i="1"/>
  <c r="A119" i="1"/>
  <c r="A120" i="1"/>
  <c r="A121" i="1"/>
  <c r="A122" i="1"/>
  <c r="A123" i="1"/>
  <c r="E123" i="1" s="1"/>
  <c r="A124" i="1"/>
  <c r="E124" i="1" s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E147" i="1" s="1"/>
  <c r="A148" i="1"/>
  <c r="E148" i="1" s="1"/>
  <c r="A149" i="1"/>
  <c r="A150" i="1"/>
  <c r="A151" i="1"/>
  <c r="A152" i="1"/>
  <c r="A153" i="1"/>
  <c r="A154" i="1"/>
  <c r="A155" i="1"/>
  <c r="A156" i="1"/>
  <c r="A157" i="1"/>
  <c r="A158" i="1"/>
  <c r="A159" i="1"/>
  <c r="E159" i="1" s="1"/>
  <c r="A160" i="1"/>
  <c r="E160" i="1" s="1"/>
  <c r="A161" i="1"/>
  <c r="A162" i="1"/>
  <c r="A163" i="1"/>
  <c r="A164" i="1"/>
  <c r="A165" i="1"/>
  <c r="A166" i="1"/>
  <c r="A167" i="1"/>
  <c r="A168" i="1"/>
  <c r="A169" i="1"/>
  <c r="A170" i="1"/>
  <c r="A171" i="1"/>
  <c r="E171" i="1" s="1"/>
  <c r="A172" i="1"/>
  <c r="E172" i="1" s="1"/>
  <c r="A173" i="1"/>
  <c r="A174" i="1"/>
  <c r="A175" i="1"/>
  <c r="A176" i="1"/>
  <c r="A177" i="1"/>
  <c r="A178" i="1"/>
  <c r="A179" i="1"/>
  <c r="A180" i="1"/>
  <c r="A181" i="1"/>
  <c r="A182" i="1"/>
  <c r="A183" i="1"/>
  <c r="E183" i="1" s="1"/>
  <c r="A184" i="1"/>
  <c r="E184" i="1" s="1"/>
  <c r="A185" i="1"/>
  <c r="A186" i="1"/>
  <c r="A187" i="1"/>
  <c r="A188" i="1"/>
  <c r="A189" i="1"/>
  <c r="A190" i="1"/>
  <c r="A191" i="1"/>
  <c r="A192" i="1"/>
  <c r="A193" i="1"/>
  <c r="A194" i="1"/>
  <c r="A195" i="1"/>
  <c r="E195" i="1" s="1"/>
  <c r="A196" i="1"/>
  <c r="E196" i="1" s="1"/>
  <c r="A197" i="1"/>
  <c r="A198" i="1"/>
  <c r="A199" i="1"/>
  <c r="A200" i="1"/>
  <c r="A201" i="1"/>
  <c r="A202" i="1"/>
  <c r="A203" i="1"/>
  <c r="A204" i="1"/>
  <c r="A205" i="1"/>
  <c r="A206" i="1"/>
  <c r="A207" i="1"/>
  <c r="E207" i="1" s="1"/>
  <c r="A208" i="1"/>
  <c r="E208" i="1" s="1"/>
  <c r="A209" i="1"/>
  <c r="A210" i="1"/>
  <c r="A211" i="1"/>
  <c r="A212" i="1"/>
  <c r="A213" i="1"/>
  <c r="A214" i="1"/>
  <c r="A215" i="1"/>
  <c r="A216" i="1"/>
  <c r="A217" i="1"/>
  <c r="A218" i="1"/>
  <c r="A219" i="1"/>
  <c r="E219" i="1" s="1"/>
  <c r="A220" i="1"/>
  <c r="E220" i="1" s="1"/>
  <c r="A221" i="1"/>
  <c r="A222" i="1"/>
  <c r="A223" i="1"/>
  <c r="A224" i="1"/>
  <c r="A225" i="1"/>
  <c r="A226" i="1"/>
  <c r="A227" i="1"/>
  <c r="A228" i="1"/>
  <c r="A229" i="1"/>
  <c r="A230" i="1"/>
  <c r="A231" i="1"/>
  <c r="E231" i="1" s="1"/>
  <c r="A232" i="1"/>
  <c r="E232" i="1" s="1"/>
  <c r="A233" i="1"/>
  <c r="A234" i="1"/>
  <c r="A235" i="1"/>
  <c r="A236" i="1"/>
  <c r="A237" i="1"/>
  <c r="A238" i="1"/>
  <c r="A239" i="1"/>
  <c r="A240" i="1"/>
  <c r="A241" i="1"/>
  <c r="A242" i="1"/>
  <c r="A243" i="1"/>
  <c r="E243" i="1" s="1"/>
  <c r="A244" i="1"/>
  <c r="A245" i="1"/>
  <c r="A246" i="1"/>
  <c r="A247" i="1"/>
  <c r="A248" i="1"/>
  <c r="A249" i="1"/>
  <c r="A250" i="1"/>
  <c r="A251" i="1"/>
  <c r="A252" i="1"/>
  <c r="A253" i="1"/>
  <c r="A254" i="1"/>
  <c r="A255" i="1"/>
  <c r="E255" i="1" s="1"/>
  <c r="A256" i="1"/>
  <c r="E256" i="1" s="1"/>
  <c r="A257" i="1"/>
  <c r="A258" i="1"/>
  <c r="A259" i="1"/>
  <c r="A260" i="1"/>
  <c r="A261" i="1"/>
  <c r="A262" i="1"/>
  <c r="A263" i="1"/>
  <c r="A264" i="1"/>
  <c r="A265" i="1"/>
  <c r="A266" i="1"/>
  <c r="A267" i="1"/>
  <c r="A268" i="1"/>
  <c r="E268" i="1" s="1"/>
  <c r="A269" i="1"/>
  <c r="A270" i="1"/>
  <c r="A271" i="1"/>
  <c r="A272" i="1"/>
  <c r="A273" i="1"/>
  <c r="A274" i="1"/>
  <c r="A275" i="1"/>
  <c r="A276" i="1"/>
  <c r="A277" i="1"/>
  <c r="A278" i="1"/>
  <c r="A279" i="1"/>
  <c r="A280" i="1"/>
  <c r="E280" i="1" s="1"/>
  <c r="A281" i="1"/>
  <c r="A282" i="1"/>
  <c r="A283" i="1"/>
  <c r="A284" i="1"/>
  <c r="A285" i="1"/>
  <c r="A286" i="1"/>
  <c r="A287" i="1"/>
  <c r="A288" i="1"/>
  <c r="A289" i="1"/>
  <c r="A290" i="1"/>
  <c r="A291" i="1"/>
  <c r="A292" i="1"/>
  <c r="E292" i="1" s="1"/>
  <c r="A293" i="1"/>
  <c r="A294" i="1"/>
  <c r="A295" i="1"/>
  <c r="A296" i="1"/>
  <c r="A297" i="1"/>
  <c r="A298" i="1"/>
  <c r="A299" i="1"/>
  <c r="A300" i="1"/>
  <c r="A301" i="1"/>
  <c r="A302" i="1"/>
  <c r="A303" i="1"/>
  <c r="E303" i="1" s="1"/>
  <c r="A304" i="1"/>
  <c r="E304" i="1" s="1"/>
  <c r="A305" i="1"/>
  <c r="A306" i="1"/>
  <c r="A307" i="1"/>
  <c r="A308" i="1"/>
  <c r="A309" i="1"/>
  <c r="A310" i="1"/>
  <c r="A311" i="1"/>
  <c r="A312" i="1"/>
  <c r="A313" i="1"/>
  <c r="A314" i="1"/>
  <c r="A315" i="1"/>
  <c r="E315" i="1" s="1"/>
  <c r="A316" i="1"/>
  <c r="E316" i="1" s="1"/>
  <c r="A317" i="1"/>
  <c r="A318" i="1"/>
  <c r="A319" i="1"/>
  <c r="A320" i="1"/>
  <c r="A321" i="1"/>
  <c r="A322" i="1"/>
  <c r="A323" i="1"/>
  <c r="A324" i="1"/>
  <c r="A325" i="1"/>
  <c r="A326" i="1"/>
  <c r="A327" i="1"/>
  <c r="E327" i="1" s="1"/>
  <c r="A328" i="1"/>
  <c r="E328" i="1" s="1"/>
  <c r="A329" i="1"/>
  <c r="A330" i="1"/>
  <c r="A331" i="1"/>
  <c r="A332" i="1"/>
  <c r="A333" i="1"/>
  <c r="A334" i="1"/>
  <c r="A335" i="1"/>
  <c r="A336" i="1"/>
  <c r="A337" i="1"/>
  <c r="A338" i="1"/>
  <c r="A339" i="1"/>
  <c r="A340" i="1"/>
  <c r="E340" i="1" s="1"/>
  <c r="A341" i="1"/>
  <c r="A342" i="1"/>
  <c r="A343" i="1"/>
  <c r="A344" i="1"/>
  <c r="A345" i="1"/>
  <c r="A346" i="1"/>
  <c r="A347" i="1"/>
  <c r="A348" i="1"/>
  <c r="A349" i="1"/>
  <c r="A350" i="1"/>
  <c r="A351" i="1"/>
  <c r="E351" i="1" s="1"/>
  <c r="A352" i="1"/>
  <c r="E352" i="1" s="1"/>
  <c r="A353" i="1"/>
  <c r="A354" i="1"/>
  <c r="A355" i="1"/>
  <c r="A356" i="1"/>
  <c r="A357" i="1"/>
  <c r="A358" i="1"/>
  <c r="A359" i="1"/>
  <c r="A360" i="1"/>
  <c r="A361" i="1"/>
  <c r="A362" i="1"/>
  <c r="A363" i="1"/>
  <c r="E363" i="1" s="1"/>
  <c r="A364" i="1"/>
  <c r="E364" i="1" s="1"/>
  <c r="A365" i="1"/>
  <c r="A366" i="1"/>
  <c r="A367" i="1"/>
  <c r="A5" i="1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2" i="4"/>
  <c r="E50" i="1"/>
  <c r="E62" i="1"/>
  <c r="E74" i="1"/>
  <c r="E86" i="1"/>
  <c r="E98" i="1"/>
  <c r="E110" i="1"/>
  <c r="E122" i="1"/>
  <c r="E134" i="1"/>
  <c r="E146" i="1"/>
  <c r="E158" i="1"/>
  <c r="E170" i="1"/>
  <c r="E194" i="1"/>
  <c r="E206" i="1"/>
  <c r="E218" i="1"/>
  <c r="E230" i="1"/>
  <c r="E254" i="1"/>
  <c r="E266" i="1"/>
  <c r="E278" i="1"/>
  <c r="E290" i="1"/>
  <c r="E302" i="1"/>
  <c r="E326" i="1"/>
  <c r="E338" i="1"/>
  <c r="E350" i="1"/>
  <c r="E362" i="1"/>
  <c r="D745" i="6"/>
  <c r="E745" i="6" s="1"/>
  <c r="E5" i="1"/>
  <c r="E6" i="1"/>
  <c r="E18" i="1"/>
  <c r="E20" i="1"/>
  <c r="E21" i="1"/>
  <c r="E42" i="1"/>
  <c r="E56" i="1"/>
  <c r="E68" i="1"/>
  <c r="E80" i="1"/>
  <c r="E92" i="1"/>
  <c r="E116" i="1"/>
  <c r="E152" i="1"/>
  <c r="E164" i="1"/>
  <c r="E174" i="1"/>
  <c r="E188" i="1"/>
  <c r="E200" i="1"/>
  <c r="E244" i="1"/>
  <c r="E7" i="1"/>
  <c r="E9" i="1"/>
  <c r="E30" i="1"/>
  <c r="E37" i="1"/>
  <c r="E44" i="1"/>
  <c r="E49" i="1"/>
  <c r="E67" i="1"/>
  <c r="E75" i="1"/>
  <c r="E76" i="1"/>
  <c r="E79" i="1"/>
  <c r="E81" i="1"/>
  <c r="E93" i="1"/>
  <c r="E102" i="1"/>
  <c r="E109" i="1"/>
  <c r="E121" i="1"/>
  <c r="E135" i="1"/>
  <c r="E136" i="1"/>
  <c r="E279" i="1"/>
  <c r="E291" i="1"/>
  <c r="E267" i="1"/>
  <c r="E339" i="1"/>
  <c r="E8" i="1"/>
  <c r="E10" i="1"/>
  <c r="E11" i="1"/>
  <c r="E12" i="1"/>
  <c r="E13" i="1"/>
  <c r="E17" i="1"/>
  <c r="E19" i="1"/>
  <c r="E22" i="1"/>
  <c r="E23" i="1"/>
  <c r="E24" i="1"/>
  <c r="E25" i="1"/>
  <c r="E29" i="1"/>
  <c r="E31" i="1"/>
  <c r="E32" i="1"/>
  <c r="E33" i="1"/>
  <c r="E34" i="1"/>
  <c r="E35" i="1"/>
  <c r="E36" i="1"/>
  <c r="E41" i="1"/>
  <c r="E43" i="1"/>
  <c r="E45" i="1"/>
  <c r="E46" i="1"/>
  <c r="E47" i="1"/>
  <c r="E48" i="1"/>
  <c r="E53" i="1"/>
  <c r="E54" i="1"/>
  <c r="E55" i="1"/>
  <c r="E57" i="1"/>
  <c r="E58" i="1"/>
  <c r="E59" i="1"/>
  <c r="E60" i="1"/>
  <c r="E61" i="1"/>
  <c r="E65" i="1"/>
  <c r="E66" i="1"/>
  <c r="E69" i="1"/>
  <c r="E70" i="1"/>
  <c r="E71" i="1"/>
  <c r="E72" i="1"/>
  <c r="E73" i="1"/>
  <c r="E77" i="1"/>
  <c r="E78" i="1"/>
  <c r="E82" i="1"/>
  <c r="E83" i="1"/>
  <c r="E84" i="1"/>
  <c r="E85" i="1"/>
  <c r="E89" i="1"/>
  <c r="E90" i="1"/>
  <c r="E91" i="1"/>
  <c r="E94" i="1"/>
  <c r="E95" i="1"/>
  <c r="E96" i="1"/>
  <c r="E97" i="1"/>
  <c r="E101" i="1"/>
  <c r="E103" i="1"/>
  <c r="E104" i="1"/>
  <c r="E105" i="1"/>
  <c r="E106" i="1"/>
  <c r="E107" i="1"/>
  <c r="E108" i="1"/>
  <c r="E113" i="1"/>
  <c r="E114" i="1"/>
  <c r="E115" i="1"/>
  <c r="E117" i="1"/>
  <c r="E118" i="1"/>
  <c r="E119" i="1"/>
  <c r="E120" i="1"/>
  <c r="E125" i="1"/>
  <c r="E126" i="1"/>
  <c r="E127" i="1"/>
  <c r="E128" i="1"/>
  <c r="E129" i="1"/>
  <c r="E130" i="1"/>
  <c r="E131" i="1"/>
  <c r="E132" i="1"/>
  <c r="E133" i="1"/>
  <c r="E137" i="1"/>
  <c r="E138" i="1"/>
  <c r="E139" i="1"/>
  <c r="E140" i="1"/>
  <c r="E141" i="1"/>
  <c r="E142" i="1"/>
  <c r="E143" i="1"/>
  <c r="E144" i="1"/>
  <c r="E145" i="1"/>
  <c r="E149" i="1"/>
  <c r="E150" i="1"/>
  <c r="E151" i="1"/>
  <c r="E153" i="1"/>
  <c r="E154" i="1"/>
  <c r="E155" i="1"/>
  <c r="E156" i="1"/>
  <c r="E157" i="1"/>
  <c r="E161" i="1"/>
  <c r="E162" i="1"/>
  <c r="E163" i="1"/>
  <c r="E165" i="1"/>
  <c r="E166" i="1"/>
  <c r="E167" i="1"/>
  <c r="E168" i="1"/>
  <c r="E169" i="1"/>
  <c r="E173" i="1"/>
  <c r="E175" i="1"/>
  <c r="E176" i="1"/>
  <c r="E177" i="1"/>
  <c r="E178" i="1"/>
  <c r="E179" i="1"/>
  <c r="E180" i="1"/>
  <c r="E181" i="1"/>
  <c r="E182" i="1"/>
  <c r="E185" i="1"/>
  <c r="E186" i="1"/>
  <c r="E187" i="1"/>
  <c r="E189" i="1"/>
  <c r="E190" i="1"/>
  <c r="E191" i="1"/>
  <c r="E192" i="1"/>
  <c r="E193" i="1"/>
  <c r="E197" i="1"/>
  <c r="E198" i="1"/>
  <c r="E199" i="1"/>
  <c r="E201" i="1"/>
  <c r="E202" i="1"/>
  <c r="E203" i="1"/>
  <c r="E204" i="1"/>
  <c r="E205" i="1"/>
  <c r="E209" i="1"/>
  <c r="E210" i="1"/>
  <c r="E211" i="1"/>
  <c r="E212" i="1"/>
  <c r="E213" i="1"/>
  <c r="E214" i="1"/>
  <c r="E215" i="1"/>
  <c r="E216" i="1"/>
  <c r="E217" i="1"/>
  <c r="E221" i="1"/>
  <c r="E222" i="1"/>
  <c r="E223" i="1"/>
  <c r="E224" i="1"/>
  <c r="E225" i="1"/>
  <c r="E226" i="1"/>
  <c r="E227" i="1"/>
  <c r="E228" i="1"/>
  <c r="E229" i="1"/>
  <c r="E233" i="1"/>
  <c r="E234" i="1"/>
  <c r="E235" i="1"/>
  <c r="E236" i="1"/>
  <c r="E237" i="1"/>
  <c r="E238" i="1"/>
  <c r="E239" i="1"/>
  <c r="E240" i="1"/>
  <c r="E241" i="1"/>
  <c r="E242" i="1"/>
  <c r="E245" i="1"/>
  <c r="E246" i="1"/>
  <c r="E247" i="1"/>
  <c r="E248" i="1"/>
  <c r="E249" i="1"/>
  <c r="E250" i="1"/>
  <c r="E251" i="1"/>
  <c r="E252" i="1"/>
  <c r="E253" i="1"/>
  <c r="E257" i="1"/>
  <c r="E258" i="1"/>
  <c r="E259" i="1"/>
  <c r="E260" i="1"/>
  <c r="E261" i="1"/>
  <c r="E262" i="1"/>
  <c r="E263" i="1"/>
  <c r="E264" i="1"/>
  <c r="E265" i="1"/>
  <c r="E269" i="1"/>
  <c r="E270" i="1"/>
  <c r="E271" i="1"/>
  <c r="E272" i="1"/>
  <c r="E273" i="1"/>
  <c r="E274" i="1"/>
  <c r="E275" i="1"/>
  <c r="E276" i="1"/>
  <c r="E277" i="1"/>
  <c r="E281" i="1"/>
  <c r="E282" i="1"/>
  <c r="E283" i="1"/>
  <c r="E284" i="1"/>
  <c r="E285" i="1"/>
  <c r="E286" i="1"/>
  <c r="E287" i="1"/>
  <c r="E288" i="1"/>
  <c r="E289" i="1"/>
  <c r="E293" i="1"/>
  <c r="E294" i="1"/>
  <c r="E295" i="1"/>
  <c r="E296" i="1"/>
  <c r="E297" i="1"/>
  <c r="E298" i="1"/>
  <c r="E299" i="1"/>
  <c r="E300" i="1"/>
  <c r="E301" i="1"/>
  <c r="E305" i="1"/>
  <c r="E306" i="1"/>
  <c r="E307" i="1"/>
  <c r="E308" i="1"/>
  <c r="E309" i="1"/>
  <c r="E310" i="1"/>
  <c r="E311" i="1"/>
  <c r="E312" i="1"/>
  <c r="E313" i="1"/>
  <c r="E314" i="1"/>
  <c r="E317" i="1"/>
  <c r="E318" i="1"/>
  <c r="E319" i="1"/>
  <c r="E320" i="1"/>
  <c r="E321" i="1"/>
  <c r="E322" i="1"/>
  <c r="E323" i="1"/>
  <c r="E324" i="1"/>
  <c r="E325" i="1"/>
  <c r="E329" i="1"/>
  <c r="E330" i="1"/>
  <c r="E331" i="1"/>
  <c r="E332" i="1"/>
  <c r="E333" i="1"/>
  <c r="E334" i="1"/>
  <c r="E335" i="1"/>
  <c r="E336" i="1"/>
  <c r="E337" i="1"/>
  <c r="E341" i="1"/>
  <c r="E342" i="1"/>
  <c r="E343" i="1"/>
  <c r="E344" i="1"/>
  <c r="E345" i="1"/>
  <c r="E346" i="1"/>
  <c r="E347" i="1"/>
  <c r="E348" i="1"/>
  <c r="E349" i="1"/>
  <c r="E353" i="1"/>
  <c r="E354" i="1"/>
  <c r="E355" i="1"/>
  <c r="E356" i="1"/>
  <c r="E357" i="1"/>
  <c r="E358" i="1"/>
  <c r="E359" i="1"/>
  <c r="E360" i="1"/>
  <c r="E361" i="1"/>
  <c r="E365" i="1"/>
  <c r="E366" i="1"/>
  <c r="E367" i="1"/>
  <c r="M1938" i="6" l="1"/>
  <c r="M1926" i="6"/>
  <c r="M1914" i="6"/>
  <c r="M1902" i="6"/>
  <c r="M1890" i="6"/>
  <c r="M1878" i="6"/>
  <c r="M1734" i="6"/>
  <c r="M1722" i="6"/>
  <c r="M1710" i="6"/>
  <c r="M1698" i="6"/>
  <c r="M1674" i="6"/>
  <c r="M1662" i="6"/>
  <c r="M1638" i="6"/>
  <c r="M1626" i="6"/>
  <c r="M1614" i="6"/>
  <c r="M1602" i="6"/>
  <c r="M1590" i="6"/>
  <c r="M1566" i="6"/>
  <c r="M1554" i="6"/>
  <c r="M1542" i="6"/>
  <c r="M1494" i="6"/>
  <c r="M1482" i="6"/>
  <c r="M1470" i="6"/>
  <c r="M1458" i="6"/>
  <c r="M1434" i="6"/>
  <c r="M1422" i="6"/>
  <c r="M1410" i="6"/>
  <c r="M1398" i="6"/>
  <c r="M1374" i="6"/>
  <c r="M1350" i="6"/>
  <c r="M1338" i="6"/>
  <c r="M1326" i="6"/>
  <c r="M1314" i="6"/>
  <c r="M1302" i="6"/>
  <c r="M1290" i="6"/>
  <c r="M1266" i="6"/>
  <c r="M1254" i="6"/>
  <c r="M1242" i="6"/>
  <c r="M1230" i="6"/>
  <c r="M1218" i="6"/>
  <c r="M1206" i="6"/>
  <c r="M1194" i="6"/>
  <c r="M1182" i="6"/>
  <c r="M1170" i="6"/>
  <c r="M1158" i="6"/>
  <c r="M1146" i="6"/>
  <c r="M1134" i="6"/>
  <c r="M1122" i="6"/>
  <c r="M1110" i="6"/>
  <c r="M1098" i="6"/>
  <c r="M1086" i="6"/>
  <c r="M1074" i="6"/>
  <c r="M1062" i="6"/>
  <c r="M1050" i="6"/>
  <c r="M1038" i="6"/>
  <c r="M1026" i="6"/>
  <c r="M1014" i="6"/>
  <c r="M1002" i="6"/>
  <c r="M990" i="6"/>
  <c r="M978" i="6"/>
  <c r="M966" i="6"/>
  <c r="M954" i="6"/>
  <c r="M942" i="6"/>
  <c r="M930" i="6"/>
  <c r="M918" i="6"/>
  <c r="M2021" i="6"/>
  <c r="M2009" i="6"/>
  <c r="M1997" i="6"/>
  <c r="M1985" i="6"/>
  <c r="M1973" i="6"/>
  <c r="M1961" i="6"/>
  <c r="M1925" i="6"/>
  <c r="M1913" i="6"/>
  <c r="M1901" i="6"/>
  <c r="M1889" i="6"/>
  <c r="M1877" i="6"/>
  <c r="M1865" i="6"/>
  <c r="M1853" i="6"/>
  <c r="M1841" i="6"/>
  <c r="M1781" i="6"/>
  <c r="M1769" i="6"/>
  <c r="M1757" i="6"/>
  <c r="M1745" i="6"/>
  <c r="M1733" i="6"/>
  <c r="M1721" i="6"/>
  <c r="M1697" i="6"/>
  <c r="M1673" i="6"/>
  <c r="M1649" i="6"/>
  <c r="M1637" i="6"/>
  <c r="M1625" i="6"/>
  <c r="M1613" i="6"/>
  <c r="M1601" i="6"/>
  <c r="M1589" i="6"/>
  <c r="M1577" i="6"/>
  <c r="M1565" i="6"/>
  <c r="M1553" i="6"/>
  <c r="M1541" i="6"/>
  <c r="M1505" i="6"/>
  <c r="M1493" i="6"/>
  <c r="M1481" i="6"/>
  <c r="M1469" i="6"/>
  <c r="M1457" i="6"/>
  <c r="M1445" i="6"/>
  <c r="M1433" i="6"/>
  <c r="M1421" i="6"/>
  <c r="M1409" i="6"/>
  <c r="M1397" i="6"/>
  <c r="M1385" i="6"/>
  <c r="M1373" i="6"/>
  <c r="M1361" i="6"/>
  <c r="M1349" i="6"/>
  <c r="M1337" i="6"/>
  <c r="M1325" i="6"/>
  <c r="M1313" i="6"/>
  <c r="M1301" i="6"/>
  <c r="M1289" i="6"/>
  <c r="M1265" i="6"/>
  <c r="M1253" i="6"/>
  <c r="M1241" i="6"/>
  <c r="M1217" i="6"/>
  <c r="M1205" i="6"/>
  <c r="M1193" i="6"/>
  <c r="M1181" i="6"/>
  <c r="M1169" i="6"/>
  <c r="M1624" i="6"/>
  <c r="M1468" i="6"/>
  <c r="M1360" i="6"/>
  <c r="M1312" i="6"/>
  <c r="M1288" i="6"/>
  <c r="M1264" i="6"/>
  <c r="M1240" i="6"/>
  <c r="M1216" i="6"/>
  <c r="M1204" i="6"/>
  <c r="M1180" i="6"/>
  <c r="M1156" i="6"/>
  <c r="M1120" i="6"/>
  <c r="M1024" i="6"/>
  <c r="M1000" i="6"/>
  <c r="M976" i="6"/>
  <c r="M940" i="6"/>
  <c r="M916" i="6"/>
  <c r="M892" i="6"/>
  <c r="M868" i="6"/>
  <c r="M844" i="6"/>
  <c r="M820" i="6"/>
  <c r="M796" i="6"/>
  <c r="M772" i="6"/>
  <c r="M748" i="6"/>
  <c r="M724" i="6"/>
  <c r="M700" i="6"/>
  <c r="M652" i="6"/>
  <c r="M640" i="6"/>
  <c r="M616" i="6"/>
  <c r="M592" i="6"/>
  <c r="M580" i="6"/>
  <c r="M556" i="6"/>
  <c r="M532" i="6"/>
  <c r="M508" i="6"/>
  <c r="M496" i="6"/>
  <c r="M472" i="6"/>
  <c r="M448" i="6"/>
  <c r="M436" i="6"/>
  <c r="M400" i="6"/>
  <c r="M376" i="6"/>
  <c r="M364" i="6"/>
  <c r="M340" i="6"/>
  <c r="M316" i="6"/>
  <c r="M292" i="6"/>
  <c r="M280" i="6"/>
  <c r="M256" i="6"/>
  <c r="M232" i="6"/>
  <c r="M220" i="6"/>
  <c r="M196" i="6"/>
  <c r="M172" i="6"/>
  <c r="M148" i="6"/>
  <c r="M136" i="6"/>
  <c r="M112" i="6"/>
  <c r="M88" i="6"/>
  <c r="M76" i="6"/>
  <c r="M52" i="6"/>
  <c r="M28" i="6"/>
  <c r="M4" i="6"/>
  <c r="P4" i="6"/>
  <c r="M2022" i="6"/>
  <c r="M1818" i="6"/>
  <c r="M1732" i="6"/>
  <c r="M1576" i="6"/>
  <c r="M1444" i="6"/>
  <c r="M1348" i="6"/>
  <c r="M1300" i="6"/>
  <c r="M1276" i="6"/>
  <c r="M1252" i="6"/>
  <c r="M1228" i="6"/>
  <c r="M1192" i="6"/>
  <c r="M1168" i="6"/>
  <c r="M1144" i="6"/>
  <c r="M1084" i="6"/>
  <c r="M1012" i="6"/>
  <c r="M988" i="6"/>
  <c r="M952" i="6"/>
  <c r="M928" i="6"/>
  <c r="M904" i="6"/>
  <c r="M880" i="6"/>
  <c r="M856" i="6"/>
  <c r="M832" i="6"/>
  <c r="M784" i="6"/>
  <c r="M760" i="6"/>
  <c r="M736" i="6"/>
  <c r="M712" i="6"/>
  <c r="M688" i="6"/>
  <c r="M664" i="6"/>
  <c r="M628" i="6"/>
  <c r="M604" i="6"/>
  <c r="M568" i="6"/>
  <c r="M544" i="6"/>
  <c r="M520" i="6"/>
  <c r="M484" i="6"/>
  <c r="M460" i="6"/>
  <c r="M424" i="6"/>
  <c r="M388" i="6"/>
  <c r="M352" i="6"/>
  <c r="M328" i="6"/>
  <c r="M304" i="6"/>
  <c r="M268" i="6"/>
  <c r="M244" i="6"/>
  <c r="M208" i="6"/>
  <c r="M184" i="6"/>
  <c r="M160" i="6"/>
  <c r="M124" i="6"/>
  <c r="M100" i="6"/>
  <c r="M64" i="6"/>
  <c r="M40" i="6"/>
  <c r="M16" i="6"/>
  <c r="M2019" i="6"/>
  <c r="M2007" i="6"/>
  <c r="M1995" i="6"/>
  <c r="M1983" i="6"/>
  <c r="M1971" i="6"/>
  <c r="M1959" i="6"/>
  <c r="M1947" i="6"/>
  <c r="M1911" i="6"/>
  <c r="M1899" i="6"/>
  <c r="M1887" i="6"/>
  <c r="M1875" i="6"/>
  <c r="M1863" i="6"/>
  <c r="M1851" i="6"/>
  <c r="M1839" i="6"/>
  <c r="M1827" i="6"/>
  <c r="M1815" i="6"/>
  <c r="M1755" i="6"/>
  <c r="M1743" i="6"/>
  <c r="M1731" i="6"/>
  <c r="M1719" i="6"/>
  <c r="M1707" i="6"/>
  <c r="M1695" i="6"/>
  <c r="M1683" i="6"/>
  <c r="M1671" i="6"/>
  <c r="M1659" i="6"/>
  <c r="M1623" i="6"/>
  <c r="M1611" i="6"/>
  <c r="M1599" i="6"/>
  <c r="M1587" i="6"/>
  <c r="M1575" i="6"/>
  <c r="M1563" i="6"/>
  <c r="M1551" i="6"/>
  <c r="M1539" i="6"/>
  <c r="M1527" i="6"/>
  <c r="M1503" i="6"/>
  <c r="M1479" i="6"/>
  <c r="M1467" i="6"/>
  <c r="M1455" i="6"/>
  <c r="M1443" i="6"/>
  <c r="M1431" i="6"/>
  <c r="M1419" i="6"/>
  <c r="M1407" i="6"/>
  <c r="M1395" i="6"/>
  <c r="M1383" i="6"/>
  <c r="M1371" i="6"/>
  <c r="M1359" i="6"/>
  <c r="M1347" i="6"/>
  <c r="M1335" i="6"/>
  <c r="M1323" i="6"/>
  <c r="M1311" i="6"/>
  <c r="M1299" i="6"/>
  <c r="M1287" i="6"/>
  <c r="M1263" i="6"/>
  <c r="M1251" i="6"/>
  <c r="M1239" i="6"/>
  <c r="M1215" i="6"/>
  <c r="M1191" i="6"/>
  <c r="M1179" i="6"/>
  <c r="M1167" i="6"/>
  <c r="M1155" i="6"/>
  <c r="M1143" i="6"/>
  <c r="M1119" i="6"/>
  <c r="M1107" i="6"/>
  <c r="M1095" i="6"/>
  <c r="M1083" i="6"/>
  <c r="M1071" i="6"/>
  <c r="M1059" i="6"/>
  <c r="M1047" i="6"/>
  <c r="M1035" i="6"/>
  <c r="M1023" i="6"/>
  <c r="M1011" i="6"/>
  <c r="M999" i="6"/>
  <c r="M987" i="6"/>
  <c r="M975" i="6"/>
  <c r="M963" i="6"/>
  <c r="M939" i="6"/>
  <c r="M927" i="6"/>
  <c r="M915" i="6"/>
  <c r="M903" i="6"/>
  <c r="M891" i="6"/>
  <c r="M855" i="6"/>
  <c r="M843" i="6"/>
  <c r="M831" i="6"/>
  <c r="M807" i="6"/>
  <c r="M795" i="6"/>
  <c r="M783" i="6"/>
  <c r="M771" i="6"/>
  <c r="M759" i="6"/>
  <c r="M747" i="6"/>
  <c r="M735" i="6"/>
  <c r="M1986" i="6"/>
  <c r="M1794" i="6"/>
  <c r="M1660" i="6"/>
  <c r="M1540" i="6"/>
  <c r="M1384" i="6"/>
  <c r="M1324" i="6"/>
  <c r="M1730" i="6"/>
  <c r="M1670" i="6"/>
  <c r="M1562" i="6"/>
  <c r="M1454" i="6"/>
  <c r="M1358" i="6"/>
  <c r="M1250" i="6"/>
  <c r="M1142" i="6"/>
  <c r="M1046" i="6"/>
  <c r="M950" i="6"/>
  <c r="M866" i="6"/>
  <c r="M782" i="6"/>
  <c r="M698" i="6"/>
  <c r="M650" i="6"/>
  <c r="M614" i="6"/>
  <c r="M566" i="6"/>
  <c r="M530" i="6"/>
  <c r="M482" i="6"/>
  <c r="M446" i="6"/>
  <c r="M398" i="6"/>
  <c r="M350" i="6"/>
  <c r="M302" i="6"/>
  <c r="M266" i="6"/>
  <c r="M218" i="6"/>
  <c r="M134" i="6"/>
  <c r="M98" i="6"/>
  <c r="M50" i="6"/>
  <c r="M14" i="6"/>
  <c r="P14" i="6"/>
  <c r="M1866" i="6"/>
  <c r="M1684" i="6"/>
  <c r="M1504" i="6"/>
  <c r="M1766" i="6"/>
  <c r="M1694" i="6"/>
  <c r="M1622" i="6"/>
  <c r="M1574" i="6"/>
  <c r="M1478" i="6"/>
  <c r="M1406" i="6"/>
  <c r="M1310" i="6"/>
  <c r="M1238" i="6"/>
  <c r="M1166" i="6"/>
  <c r="M1094" i="6"/>
  <c r="M1010" i="6"/>
  <c r="M926" i="6"/>
  <c r="M854" i="6"/>
  <c r="M794" i="6"/>
  <c r="M722" i="6"/>
  <c r="M686" i="6"/>
  <c r="M662" i="6"/>
  <c r="M638" i="6"/>
  <c r="M602" i="6"/>
  <c r="M578" i="6"/>
  <c r="M554" i="6"/>
  <c r="M518" i="6"/>
  <c r="M494" i="6"/>
  <c r="M470" i="6"/>
  <c r="M434" i="6"/>
  <c r="M410" i="6"/>
  <c r="M386" i="6"/>
  <c r="M338" i="6"/>
  <c r="M314" i="6"/>
  <c r="M290" i="6"/>
  <c r="M254" i="6"/>
  <c r="M230" i="6"/>
  <c r="M206" i="6"/>
  <c r="M122" i="6"/>
  <c r="M86" i="6"/>
  <c r="M62" i="6"/>
  <c r="M26" i="6"/>
  <c r="M2029" i="6"/>
  <c r="M2017" i="6"/>
  <c r="M2005" i="6"/>
  <c r="M1993" i="6"/>
  <c r="M1981" i="6"/>
  <c r="M1969" i="6"/>
  <c r="M1957" i="6"/>
  <c r="M1945" i="6"/>
  <c r="M1933" i="6"/>
  <c r="M1921" i="6"/>
  <c r="M1909" i="6"/>
  <c r="M1897" i="6"/>
  <c r="M1885" i="6"/>
  <c r="M1873" i="6"/>
  <c r="M1861" i="6"/>
  <c r="M1849" i="6"/>
  <c r="M1837" i="6"/>
  <c r="M1825" i="6"/>
  <c r="M1813" i="6"/>
  <c r="M1801" i="6"/>
  <c r="M1789" i="6"/>
  <c r="M1777" i="6"/>
  <c r="M1765" i="6"/>
  <c r="M1753" i="6"/>
  <c r="M1741" i="6"/>
  <c r="M1729" i="6"/>
  <c r="M1717" i="6"/>
  <c r="M1705" i="6"/>
  <c r="M1693" i="6"/>
  <c r="M1681" i="6"/>
  <c r="M1669" i="6"/>
  <c r="M1657" i="6"/>
  <c r="M1645" i="6"/>
  <c r="M1633" i="6"/>
  <c r="M1621" i="6"/>
  <c r="M1609" i="6"/>
  <c r="M1597" i="6"/>
  <c r="M1585" i="6"/>
  <c r="M1573" i="6"/>
  <c r="M1561" i="6"/>
  <c r="M1549" i="6"/>
  <c r="M1537" i="6"/>
  <c r="M1525" i="6"/>
  <c r="M1513" i="6"/>
  <c r="M1501" i="6"/>
  <c r="M1489" i="6"/>
  <c r="M1477" i="6"/>
  <c r="M1465" i="6"/>
  <c r="M1453" i="6"/>
  <c r="M1441" i="6"/>
  <c r="M1429" i="6"/>
  <c r="M1417" i="6"/>
  <c r="M1405" i="6"/>
  <c r="M1393" i="6"/>
  <c r="M1381" i="6"/>
  <c r="M1369" i="6"/>
  <c r="M1357" i="6"/>
  <c r="M1345" i="6"/>
  <c r="M1333" i="6"/>
  <c r="M1321" i="6"/>
  <c r="M1309" i="6"/>
  <c r="M1297" i="6"/>
  <c r="M1285" i="6"/>
  <c r="M1273" i="6"/>
  <c r="M1261" i="6"/>
  <c r="M1249" i="6"/>
  <c r="M1237" i="6"/>
  <c r="M1225" i="6"/>
  <c r="M1213" i="6"/>
  <c r="M1201" i="6"/>
  <c r="M1189" i="6"/>
  <c r="M1177" i="6"/>
  <c r="M1165" i="6"/>
  <c r="M1153" i="6"/>
  <c r="M1141" i="6"/>
  <c r="M1129" i="6"/>
  <c r="M1117" i="6"/>
  <c r="M1105" i="6"/>
  <c r="M1093" i="6"/>
  <c r="M1081" i="6"/>
  <c r="M1069" i="6"/>
  <c r="M1057" i="6"/>
  <c r="M1045" i="6"/>
  <c r="M1033" i="6"/>
  <c r="M1021" i="6"/>
  <c r="M1009" i="6"/>
  <c r="M997" i="6"/>
  <c r="M985" i="6"/>
  <c r="M961" i="6"/>
  <c r="M949" i="6"/>
  <c r="M937" i="6"/>
  <c r="M925" i="6"/>
  <c r="M913" i="6"/>
  <c r="M901" i="6"/>
  <c r="M889" i="6"/>
  <c r="M877" i="6"/>
  <c r="M865" i="6"/>
  <c r="M853" i="6"/>
  <c r="M841" i="6"/>
  <c r="M829" i="6"/>
  <c r="M817" i="6"/>
  <c r="M805" i="6"/>
  <c r="M793" i="6"/>
  <c r="M781" i="6"/>
  <c r="M769" i="6"/>
  <c r="M2010" i="6"/>
  <c r="M1770" i="6"/>
  <c r="M1636" i="6"/>
  <c r="M1552" i="6"/>
  <c r="M1408" i="6"/>
  <c r="M1036" i="6"/>
  <c r="M1082" i="6"/>
  <c r="M962" i="6"/>
  <c r="M878" i="6"/>
  <c r="M806" i="6"/>
  <c r="M710" i="6"/>
  <c r="M674" i="6"/>
  <c r="M626" i="6"/>
  <c r="M590" i="6"/>
  <c r="M542" i="6"/>
  <c r="M506" i="6"/>
  <c r="M458" i="6"/>
  <c r="M422" i="6"/>
  <c r="M362" i="6"/>
  <c r="M326" i="6"/>
  <c r="M278" i="6"/>
  <c r="M242" i="6"/>
  <c r="M182" i="6"/>
  <c r="M110" i="6"/>
  <c r="M74" i="6"/>
  <c r="M38" i="6"/>
  <c r="M2028" i="6"/>
  <c r="M2016" i="6"/>
  <c r="M2004" i="6"/>
  <c r="M1992" i="6"/>
  <c r="M1980" i="6"/>
  <c r="M1968" i="6"/>
  <c r="M1956" i="6"/>
  <c r="M1944" i="6"/>
  <c r="M1932" i="6"/>
  <c r="M1920" i="6"/>
  <c r="M1908" i="6"/>
  <c r="M1896" i="6"/>
  <c r="M1884" i="6"/>
  <c r="M1872" i="6"/>
  <c r="M1860" i="6"/>
  <c r="M1848" i="6"/>
  <c r="M1836" i="6"/>
  <c r="M1824" i="6"/>
  <c r="M1764" i="6"/>
  <c r="M1752" i="6"/>
  <c r="M1740" i="6"/>
  <c r="M1728" i="6"/>
  <c r="M1716" i="6"/>
  <c r="M1704" i="6"/>
  <c r="M1692" i="6"/>
  <c r="M1680" i="6"/>
  <c r="M1668" i="6"/>
  <c r="M1644" i="6"/>
  <c r="M1620" i="6"/>
  <c r="M1608" i="6"/>
  <c r="M1596" i="6"/>
  <c r="M1584" i="6"/>
  <c r="M1572" i="6"/>
  <c r="M1560" i="6"/>
  <c r="M1548" i="6"/>
  <c r="M1536" i="6"/>
  <c r="M1524" i="6"/>
  <c r="M1512" i="6"/>
  <c r="M1500" i="6"/>
  <c r="M1488" i="6"/>
  <c r="M1476" i="6"/>
  <c r="M1464" i="6"/>
  <c r="M1452" i="6"/>
  <c r="M1440" i="6"/>
  <c r="M1428" i="6"/>
  <c r="M1416" i="6"/>
  <c r="M1404" i="6"/>
  <c r="M1392" i="6"/>
  <c r="M1380" i="6"/>
  <c r="M1368" i="6"/>
  <c r="M1344" i="6"/>
  <c r="M1332" i="6"/>
  <c r="M1320" i="6"/>
  <c r="M1308" i="6"/>
  <c r="M1296" i="6"/>
  <c r="M1284" i="6"/>
  <c r="M1272" i="6"/>
  <c r="M1260" i="6"/>
  <c r="M1248" i="6"/>
  <c r="M1236" i="6"/>
  <c r="M1224" i="6"/>
  <c r="M1212" i="6"/>
  <c r="M1200" i="6"/>
  <c r="M1188" i="6"/>
  <c r="M1164" i="6"/>
  <c r="M1152" i="6"/>
  <c r="M1998" i="6"/>
  <c r="M1758" i="6"/>
  <c r="M1672" i="6"/>
  <c r="M1588" i="6"/>
  <c r="M1480" i="6"/>
  <c r="M1048" i="6"/>
  <c r="M1706" i="6"/>
  <c r="M1610" i="6"/>
  <c r="M1514" i="6"/>
  <c r="M1322" i="6"/>
  <c r="M1202" i="6"/>
  <c r="M1118" i="6"/>
  <c r="M1034" i="6"/>
  <c r="M938" i="6"/>
  <c r="M818" i="6"/>
  <c r="M734" i="6"/>
  <c r="M194" i="6"/>
  <c r="M2003" i="6"/>
  <c r="M1979" i="6"/>
  <c r="M1955" i="6"/>
  <c r="M1943" i="6"/>
  <c r="M1931" i="6"/>
  <c r="M1919" i="6"/>
  <c r="M1895" i="6"/>
  <c r="M1883" i="6"/>
  <c r="M1859" i="6"/>
  <c r="M1823" i="6"/>
  <c r="M1775" i="6"/>
  <c r="M1739" i="6"/>
  <c r="M1703" i="6"/>
  <c r="M1679" i="6"/>
  <c r="M1655" i="6"/>
  <c r="M1547" i="6"/>
  <c r="M1535" i="6"/>
  <c r="M1523" i="6"/>
  <c r="M1511" i="6"/>
  <c r="M1499" i="6"/>
  <c r="M1487" i="6"/>
  <c r="M1475" i="6"/>
  <c r="M1451" i="6"/>
  <c r="M1427" i="6"/>
  <c r="M1403" i="6"/>
  <c r="M1391" i="6"/>
  <c r="M1379" i="6"/>
  <c r="M1367" i="6"/>
  <c r="M1355" i="6"/>
  <c r="M1343" i="6"/>
  <c r="M1331" i="6"/>
  <c r="M1319" i="6"/>
  <c r="M1307" i="6"/>
  <c r="M1283" i="6"/>
  <c r="M1259" i="6"/>
  <c r="M1247" i="6"/>
  <c r="M1223" i="6"/>
  <c r="M1211" i="6"/>
  <c r="M1187" i="6"/>
  <c r="M1175" i="6"/>
  <c r="M1151" i="6"/>
  <c r="M1139" i="6"/>
  <c r="M1115" i="6"/>
  <c r="M1103" i="6"/>
  <c r="M1091" i="6"/>
  <c r="M1067" i="6"/>
  <c r="M1055" i="6"/>
  <c r="M1043" i="6"/>
  <c r="M1019" i="6"/>
  <c r="M1007" i="6"/>
  <c r="M995" i="6"/>
  <c r="M983" i="6"/>
  <c r="M971" i="6"/>
  <c r="M959" i="6"/>
  <c r="M947" i="6"/>
  <c r="M935" i="6"/>
  <c r="M923" i="6"/>
  <c r="M911" i="6"/>
  <c r="M899" i="6"/>
  <c r="M887" i="6"/>
  <c r="M875" i="6"/>
  <c r="M863" i="6"/>
  <c r="M851" i="6"/>
  <c r="M827" i="6"/>
  <c r="M815" i="6"/>
  <c r="M803" i="6"/>
  <c r="M791" i="6"/>
  <c r="M779" i="6"/>
  <c r="M767" i="6"/>
  <c r="M755" i="6"/>
  <c r="M743" i="6"/>
  <c r="M731" i="6"/>
  <c r="M719" i="6"/>
  <c r="M707" i="6"/>
  <c r="M683" i="6"/>
  <c r="M671" i="6"/>
  <c r="M659" i="6"/>
  <c r="M647" i="6"/>
  <c r="M635" i="6"/>
  <c r="M623" i="6"/>
  <c r="M611" i="6"/>
  <c r="M599" i="6"/>
  <c r="M587" i="6"/>
  <c r="M575" i="6"/>
  <c r="M563" i="6"/>
  <c r="M551" i="6"/>
  <c r="M539" i="6"/>
  <c r="M527" i="6"/>
  <c r="M503" i="6"/>
  <c r="M491" i="6"/>
  <c r="M479" i="6"/>
  <c r="M467" i="6"/>
  <c r="M455" i="6"/>
  <c r="M443" i="6"/>
  <c r="M431" i="6"/>
  <c r="M419" i="6"/>
  <c r="M407" i="6"/>
  <c r="M383" i="6"/>
  <c r="M359" i="6"/>
  <c r="M347" i="6"/>
  <c r="M335" i="6"/>
  <c r="M323" i="6"/>
  <c r="M311" i="6"/>
  <c r="M299" i="6"/>
  <c r="M275" i="6"/>
  <c r="M263" i="6"/>
  <c r="M251" i="6"/>
  <c r="M239" i="6"/>
  <c r="M1854" i="6"/>
  <c r="M1708" i="6"/>
  <c r="M1612" i="6"/>
  <c r="M1108" i="6"/>
  <c r="M1682" i="6"/>
  <c r="M1598" i="6"/>
  <c r="M1538" i="6"/>
  <c r="M1466" i="6"/>
  <c r="M1394" i="6"/>
  <c r="M1334" i="6"/>
  <c r="M1262" i="6"/>
  <c r="M1190" i="6"/>
  <c r="M1130" i="6"/>
  <c r="M1058" i="6"/>
  <c r="M974" i="6"/>
  <c r="M902" i="6"/>
  <c r="M830" i="6"/>
  <c r="M758" i="6"/>
  <c r="M170" i="6"/>
  <c r="M2027" i="6"/>
  <c r="M2015" i="6"/>
  <c r="M1991" i="6"/>
  <c r="M1967" i="6"/>
  <c r="M1847" i="6"/>
  <c r="M1835" i="6"/>
  <c r="M1799" i="6"/>
  <c r="M1787" i="6"/>
  <c r="M1763" i="6"/>
  <c r="M1751" i="6"/>
  <c r="M1715" i="6"/>
  <c r="M1691" i="6"/>
  <c r="M1667" i="6"/>
  <c r="M1631" i="6"/>
  <c r="M1607" i="6"/>
  <c r="M1595" i="6"/>
  <c r="M1571" i="6"/>
  <c r="M1463" i="6"/>
  <c r="M2002" i="6"/>
  <c r="M1990" i="6"/>
  <c r="M1978" i="6"/>
  <c r="M1966" i="6"/>
  <c r="M1954" i="6"/>
  <c r="M1942" i="6"/>
  <c r="M1930" i="6"/>
  <c r="M1918" i="6"/>
  <c r="M1882" i="6"/>
  <c r="M1870" i="6"/>
  <c r="M1858" i="6"/>
  <c r="M1846" i="6"/>
  <c r="M1834" i="6"/>
  <c r="M1822" i="6"/>
  <c r="M1810" i="6"/>
  <c r="M1798" i="6"/>
  <c r="M1786" i="6"/>
  <c r="M1774" i="6"/>
  <c r="M1750" i="6"/>
  <c r="M1738" i="6"/>
  <c r="M1714" i="6"/>
  <c r="M1690" i="6"/>
  <c r="M1678" i="6"/>
  <c r="M1666" i="6"/>
  <c r="M1654" i="6"/>
  <c r="M1606" i="6"/>
  <c r="M1594" i="6"/>
  <c r="M1570" i="6"/>
  <c r="M1558" i="6"/>
  <c r="M1546" i="6"/>
  <c r="M1534" i="6"/>
  <c r="M1522" i="6"/>
  <c r="M1510" i="6"/>
  <c r="M1486" i="6"/>
  <c r="M1450" i="6"/>
  <c r="M1438" i="6"/>
  <c r="M1426" i="6"/>
  <c r="M1414" i="6"/>
  <c r="M1402" i="6"/>
  <c r="M1390" i="6"/>
  <c r="M1378" i="6"/>
  <c r="M1366" i="6"/>
  <c r="M1342" i="6"/>
  <c r="M1318" i="6"/>
  <c r="M1306" i="6"/>
  <c r="M1294" i="6"/>
  <c r="M1282" i="6"/>
  <c r="M1270" i="6"/>
  <c r="M1258" i="6"/>
  <c r="M1246" i="6"/>
  <c r="M1234" i="6"/>
  <c r="M1222" i="6"/>
  <c r="M1210" i="6"/>
  <c r="M1198" i="6"/>
  <c r="M1186" i="6"/>
  <c r="M1174" i="6"/>
  <c r="M1162" i="6"/>
  <c r="M1150" i="6"/>
  <c r="M1138" i="6"/>
  <c r="M1126" i="6"/>
  <c r="M1114" i="6"/>
  <c r="M1102" i="6"/>
  <c r="M1090" i="6"/>
  <c r="M1962" i="6"/>
  <c r="M1842" i="6"/>
  <c r="M1742" i="6"/>
  <c r="M1658" i="6"/>
  <c r="M1586" i="6"/>
  <c r="M1502" i="6"/>
  <c r="M1418" i="6"/>
  <c r="M1382" i="6"/>
  <c r="M1298" i="6"/>
  <c r="M1214" i="6"/>
  <c r="M1154" i="6"/>
  <c r="M1070" i="6"/>
  <c r="M986" i="6"/>
  <c r="M914" i="6"/>
  <c r="M842" i="6"/>
  <c r="M746" i="6"/>
  <c r="M158" i="6"/>
  <c r="M2025" i="6"/>
  <c r="M2001" i="6"/>
  <c r="M1977" i="6"/>
  <c r="M1965" i="6"/>
  <c r="M1953" i="6"/>
  <c r="M1941" i="6"/>
  <c r="M1929" i="6"/>
  <c r="M1917" i="6"/>
  <c r="M1905" i="6"/>
  <c r="M1893" i="6"/>
  <c r="M1857" i="6"/>
  <c r="M1833" i="6"/>
  <c r="M1821" i="6"/>
  <c r="M1809" i="6"/>
  <c r="M1797" i="6"/>
  <c r="M1785" i="6"/>
  <c r="M1749" i="6"/>
  <c r="M1725" i="6"/>
  <c r="M1713" i="6"/>
  <c r="M1701" i="6"/>
  <c r="M1689" i="6"/>
  <c r="M1677" i="6"/>
  <c r="M1653" i="6"/>
  <c r="M1629" i="6"/>
  <c r="M1617" i="6"/>
  <c r="M1605" i="6"/>
  <c r="M1593" i="6"/>
  <c r="M1581" i="6"/>
  <c r="M1545" i="6"/>
  <c r="M1521" i="6"/>
  <c r="M1509" i="6"/>
  <c r="M1497" i="6"/>
  <c r="M1485" i="6"/>
  <c r="M1473" i="6"/>
  <c r="M1461" i="6"/>
  <c r="M1449" i="6"/>
  <c r="M1437" i="6"/>
  <c r="M1425" i="6"/>
  <c r="M1401" i="6"/>
  <c r="M1377" i="6"/>
  <c r="M1365" i="6"/>
  <c r="M1353" i="6"/>
  <c r="M1341" i="6"/>
  <c r="M1329" i="6"/>
  <c r="M1317" i="6"/>
  <c r="M1305" i="6"/>
  <c r="M1293" i="6"/>
  <c r="M1281" i="6"/>
  <c r="M1257" i="6"/>
  <c r="M1245" i="6"/>
  <c r="M1221" i="6"/>
  <c r="M1209" i="6"/>
  <c r="M1185" i="6"/>
  <c r="M1173" i="6"/>
  <c r="M1149" i="6"/>
  <c r="M1137" i="6"/>
  <c r="M1113" i="6"/>
  <c r="M1101" i="6"/>
  <c r="M1077" i="6"/>
  <c r="M1065" i="6"/>
  <c r="M1053" i="6"/>
  <c r="M1744" i="6"/>
  <c r="M1564" i="6"/>
  <c r="M1432" i="6"/>
  <c r="M1336" i="6"/>
  <c r="M1754" i="6"/>
  <c r="M1634" i="6"/>
  <c r="M1526" i="6"/>
  <c r="M1430" i="6"/>
  <c r="M1346" i="6"/>
  <c r="M1226" i="6"/>
  <c r="M1106" i="6"/>
  <c r="M1022" i="6"/>
  <c r="M890" i="6"/>
  <c r="M770" i="6"/>
  <c r="M146" i="6"/>
  <c r="M2024" i="6"/>
  <c r="M2012" i="6"/>
  <c r="M2000" i="6"/>
  <c r="M1988" i="6"/>
  <c r="M1976" i="6"/>
  <c r="M1964" i="6"/>
  <c r="M1952" i="6"/>
  <c r="M1940" i="6"/>
  <c r="M1928" i="6"/>
  <c r="M1916" i="6"/>
  <c r="M1904" i="6"/>
  <c r="M1892" i="6"/>
  <c r="M1880" i="6"/>
  <c r="M1856" i="6"/>
  <c r="M1844" i="6"/>
  <c r="M1832" i="6"/>
  <c r="M1820" i="6"/>
  <c r="M1808" i="6"/>
  <c r="M1796" i="6"/>
  <c r="M1784" i="6"/>
  <c r="M1772" i="6"/>
  <c r="M1736" i="6"/>
  <c r="M1712" i="6"/>
  <c r="M1700" i="6"/>
  <c r="M1688" i="6"/>
  <c r="M1676" i="6"/>
  <c r="M1664" i="6"/>
  <c r="M1652" i="6"/>
  <c r="M1640" i="6"/>
  <c r="M1628" i="6"/>
  <c r="M1604" i="6"/>
  <c r="M1580" i="6"/>
  <c r="M1556" i="6"/>
  <c r="M1544" i="6"/>
  <c r="M1532" i="6"/>
  <c r="M1520" i="6"/>
  <c r="M1508" i="6"/>
  <c r="M1496" i="6"/>
  <c r="M1484" i="6"/>
  <c r="M1460" i="6"/>
  <c r="M1436" i="6"/>
  <c r="M1424" i="6"/>
  <c r="M1412" i="6"/>
  <c r="M1400" i="6"/>
  <c r="M1388" i="6"/>
  <c r="M1376" i="6"/>
  <c r="M1364" i="6"/>
  <c r="M1352" i="6"/>
  <c r="M1340" i="6"/>
  <c r="M1316" i="6"/>
  <c r="M1292" i="6"/>
  <c r="M1280" i="6"/>
  <c r="M1268" i="6"/>
  <c r="M1256" i="6"/>
  <c r="M1244" i="6"/>
  <c r="M1232" i="6"/>
  <c r="M1220" i="6"/>
  <c r="M1208" i="6"/>
  <c r="M1196" i="6"/>
  <c r="M1184" i="6"/>
  <c r="M1172" i="6"/>
  <c r="M1160" i="6"/>
  <c r="M1148" i="6"/>
  <c r="M1136" i="6"/>
  <c r="M1124" i="6"/>
  <c r="M1112" i="6"/>
  <c r="M1100" i="6"/>
  <c r="M1088" i="6"/>
  <c r="M1076" i="6"/>
  <c r="M1064" i="6"/>
  <c r="M1052" i="6"/>
  <c r="M1040" i="6"/>
  <c r="M1028" i="6"/>
  <c r="M1016" i="6"/>
  <c r="M1004" i="6"/>
  <c r="M992" i="6"/>
  <c r="M980" i="6"/>
  <c r="M968" i="6"/>
  <c r="M1974" i="6"/>
  <c r="M1782" i="6"/>
  <c r="M1756" i="6"/>
  <c r="M1600" i="6"/>
  <c r="M1456" i="6"/>
  <c r="M1060" i="6"/>
  <c r="M1718" i="6"/>
  <c r="M1646" i="6"/>
  <c r="M1550" i="6"/>
  <c r="M1442" i="6"/>
  <c r="M1370" i="6"/>
  <c r="M1286" i="6"/>
  <c r="M1178" i="6"/>
  <c r="M998" i="6"/>
  <c r="M374" i="6"/>
  <c r="M2023" i="6"/>
  <c r="M2011" i="6"/>
  <c r="M1999" i="6"/>
  <c r="M1987" i="6"/>
  <c r="M1975" i="6"/>
  <c r="M1963" i="6"/>
  <c r="M1951" i="6"/>
  <c r="M1939" i="6"/>
  <c r="M1927" i="6"/>
  <c r="M1915" i="6"/>
  <c r="M1903" i="6"/>
  <c r="M1891" i="6"/>
  <c r="M1879" i="6"/>
  <c r="M1867" i="6"/>
  <c r="M1855" i="6"/>
  <c r="M1843" i="6"/>
  <c r="M1819" i="6"/>
  <c r="M1807" i="6"/>
  <c r="M1795" i="6"/>
  <c r="M1783" i="6"/>
  <c r="M1771" i="6"/>
  <c r="M1759" i="6"/>
  <c r="M1747" i="6"/>
  <c r="M1735" i="6"/>
  <c r="M1723" i="6"/>
  <c r="M1711" i="6"/>
  <c r="M1699" i="6"/>
  <c r="M1675" i="6"/>
  <c r="M1651" i="6"/>
  <c r="M1639" i="6"/>
  <c r="M1627" i="6"/>
  <c r="M1615" i="6"/>
  <c r="M1603" i="6"/>
  <c r="M1591" i="6"/>
  <c r="M1579" i="6"/>
  <c r="M1567" i="6"/>
  <c r="M1555" i="6"/>
  <c r="M1531" i="6"/>
  <c r="M1519" i="6"/>
  <c r="M1507" i="6"/>
  <c r="M1495" i="6"/>
  <c r="M1483" i="6"/>
  <c r="M1471" i="6"/>
  <c r="M1435" i="6"/>
  <c r="M1423" i="6"/>
  <c r="M1411" i="6"/>
  <c r="M1399" i="6"/>
  <c r="M1387" i="6"/>
  <c r="M1375" i="6"/>
  <c r="M1363" i="6"/>
  <c r="M1351" i="6"/>
  <c r="M1339" i="6"/>
  <c r="M1327" i="6"/>
  <c r="M1315" i="6"/>
  <c r="M1303" i="6"/>
  <c r="M1291" i="6"/>
  <c r="M1267" i="6"/>
  <c r="M1243" i="6"/>
  <c r="M1231" i="6"/>
  <c r="M1219" i="6"/>
  <c r="M1207" i="6"/>
  <c r="M1195" i="6"/>
  <c r="M1171" i="6"/>
  <c r="M1159" i="6"/>
  <c r="M1147" i="6"/>
  <c r="M1135" i="6"/>
  <c r="M1123" i="6"/>
  <c r="M1111" i="6"/>
  <c r="M1099" i="6"/>
  <c r="M1087" i="6"/>
  <c r="M1075" i="6"/>
  <c r="M1063" i="6"/>
  <c r="M1051" i="6"/>
  <c r="M1039" i="6"/>
  <c r="M1027" i="6"/>
  <c r="M1015" i="6"/>
  <c r="M1003" i="6"/>
  <c r="M991" i="6"/>
  <c r="M979" i="6"/>
  <c r="M967" i="6"/>
  <c r="M955" i="6"/>
  <c r="M943" i="6"/>
  <c r="M931" i="6"/>
  <c r="M919" i="6"/>
  <c r="M895" i="6"/>
  <c r="M883" i="6"/>
  <c r="M871" i="6"/>
  <c r="M859" i="6"/>
  <c r="M1145" i="6"/>
  <c r="M1133" i="6"/>
  <c r="M1121" i="6"/>
  <c r="M1109" i="6"/>
  <c r="M1097" i="6"/>
  <c r="M1085" i="6"/>
  <c r="M1073" i="6"/>
  <c r="M1061" i="6"/>
  <c r="M1049" i="6"/>
  <c r="M1037" i="6"/>
  <c r="M1025" i="6"/>
  <c r="M1013" i="6"/>
  <c r="M1001" i="6"/>
  <c r="M989" i="6"/>
  <c r="M977" i="6"/>
  <c r="M965" i="6"/>
  <c r="M953" i="6"/>
  <c r="M941" i="6"/>
  <c r="M929" i="6"/>
  <c r="M917" i="6"/>
  <c r="M905" i="6"/>
  <c r="M893" i="6"/>
  <c r="M881" i="6"/>
  <c r="M869" i="6"/>
  <c r="M857" i="6"/>
  <c r="M845" i="6"/>
  <c r="M833" i="6"/>
  <c r="M821" i="6"/>
  <c r="M809" i="6"/>
  <c r="M797" i="6"/>
  <c r="M785" i="6"/>
  <c r="M773" i="6"/>
  <c r="M761" i="6"/>
  <c r="M749" i="6"/>
  <c r="M737" i="6"/>
  <c r="M725" i="6"/>
  <c r="M713" i="6"/>
  <c r="M701" i="6"/>
  <c r="M689" i="6"/>
  <c r="M677" i="6"/>
  <c r="M665" i="6"/>
  <c r="M641" i="6"/>
  <c r="M629" i="6"/>
  <c r="M617" i="6"/>
  <c r="M605" i="6"/>
  <c r="M593" i="6"/>
  <c r="M581" i="6"/>
  <c r="M569" i="6"/>
  <c r="M557" i="6"/>
  <c r="M545" i="6"/>
  <c r="M533" i="6"/>
  <c r="M521" i="6"/>
  <c r="M509" i="6"/>
  <c r="M497" i="6"/>
  <c r="M485" i="6"/>
  <c r="M473" i="6"/>
  <c r="M461" i="6"/>
  <c r="M449" i="6"/>
  <c r="M437" i="6"/>
  <c r="M425" i="6"/>
  <c r="M413" i="6"/>
  <c r="M401" i="6"/>
  <c r="M389" i="6"/>
  <c r="M377" i="6"/>
  <c r="M365" i="6"/>
  <c r="M353" i="6"/>
  <c r="M341" i="6"/>
  <c r="M329" i="6"/>
  <c r="M317" i="6"/>
  <c r="M305" i="6"/>
  <c r="M293" i="6"/>
  <c r="M281" i="6"/>
  <c r="M269" i="6"/>
  <c r="M257" i="6"/>
  <c r="M245" i="6"/>
  <c r="M233" i="6"/>
  <c r="M221" i="6"/>
  <c r="M209" i="6"/>
  <c r="M197" i="6"/>
  <c r="M185" i="6"/>
  <c r="M173" i="6"/>
  <c r="M161" i="6"/>
  <c r="M149" i="6"/>
  <c r="M137" i="6"/>
  <c r="M125" i="6"/>
  <c r="M113" i="6"/>
  <c r="M101" i="6"/>
  <c r="M89" i="6"/>
  <c r="M77" i="6"/>
  <c r="M65" i="6"/>
  <c r="M53" i="6"/>
  <c r="M41" i="6"/>
  <c r="M29" i="6"/>
  <c r="M17" i="6"/>
  <c r="M5" i="6"/>
  <c r="P5" i="6"/>
  <c r="M699" i="6"/>
  <c r="M675" i="6"/>
  <c r="M663" i="6"/>
  <c r="M639" i="6"/>
  <c r="M627" i="6"/>
  <c r="M603" i="6"/>
  <c r="M591" i="6"/>
  <c r="M567" i="6"/>
  <c r="M507" i="6"/>
  <c r="M471" i="6"/>
  <c r="M459" i="6"/>
  <c r="M423" i="6"/>
  <c r="M375" i="6"/>
  <c r="M351" i="6"/>
  <c r="M315" i="6"/>
  <c r="M303" i="6"/>
  <c r="M291" i="6"/>
  <c r="M279" i="6"/>
  <c r="M243" i="6"/>
  <c r="M231" i="6"/>
  <c r="M219" i="6"/>
  <c r="M207" i="6"/>
  <c r="M195" i="6"/>
  <c r="M183" i="6"/>
  <c r="M171" i="6"/>
  <c r="M159" i="6"/>
  <c r="M147" i="6"/>
  <c r="M135" i="6"/>
  <c r="M123" i="6"/>
  <c r="M111" i="6"/>
  <c r="M99" i="6"/>
  <c r="M87" i="6"/>
  <c r="M75" i="6"/>
  <c r="M63" i="6"/>
  <c r="M51" i="6"/>
  <c r="M39" i="6"/>
  <c r="M27" i="6"/>
  <c r="M15" i="6"/>
  <c r="P15" i="6"/>
  <c r="M3" i="6"/>
  <c r="P3" i="6"/>
  <c r="M745" i="6"/>
  <c r="M733" i="6"/>
  <c r="M709" i="6"/>
  <c r="M697" i="6"/>
  <c r="M673" i="6"/>
  <c r="M661" i="6"/>
  <c r="M637" i="6"/>
  <c r="M625" i="6"/>
  <c r="M601" i="6"/>
  <c r="M589" i="6"/>
  <c r="M565" i="6"/>
  <c r="M553" i="6"/>
  <c r="M541" i="6"/>
  <c r="M529" i="6"/>
  <c r="M517" i="6"/>
  <c r="M505" i="6"/>
  <c r="M493" i="6"/>
  <c r="M481" i="6"/>
  <c r="M469" i="6"/>
  <c r="M457" i="6"/>
  <c r="M445" i="6"/>
  <c r="M433" i="6"/>
  <c r="M421" i="6"/>
  <c r="M409" i="6"/>
  <c r="M397" i="6"/>
  <c r="M385" i="6"/>
  <c r="M373" i="6"/>
  <c r="M361" i="6"/>
  <c r="M349" i="6"/>
  <c r="M337" i="6"/>
  <c r="M325" i="6"/>
  <c r="M313" i="6"/>
  <c r="M301" i="6"/>
  <c r="M289" i="6"/>
  <c r="M277" i="6"/>
  <c r="M265" i="6"/>
  <c r="M253" i="6"/>
  <c r="M241" i="6"/>
  <c r="M229" i="6"/>
  <c r="M217" i="6"/>
  <c r="M205" i="6"/>
  <c r="M193" i="6"/>
  <c r="M181" i="6"/>
  <c r="M169" i="6"/>
  <c r="M157" i="6"/>
  <c r="M145" i="6"/>
  <c r="M133" i="6"/>
  <c r="M121" i="6"/>
  <c r="M109" i="6"/>
  <c r="M97" i="6"/>
  <c r="M85" i="6"/>
  <c r="M73" i="6"/>
  <c r="M61" i="6"/>
  <c r="M49" i="6"/>
  <c r="M37" i="6"/>
  <c r="M25" i="6"/>
  <c r="M13" i="6"/>
  <c r="P13" i="6"/>
  <c r="M1140" i="6"/>
  <c r="M1128" i="6"/>
  <c r="M1116" i="6"/>
  <c r="M1104" i="6"/>
  <c r="M1092" i="6"/>
  <c r="M1080" i="6"/>
  <c r="M1068" i="6"/>
  <c r="M1056" i="6"/>
  <c r="M1044" i="6"/>
  <c r="M1032" i="6"/>
  <c r="M1020" i="6"/>
  <c r="M1008" i="6"/>
  <c r="M996" i="6"/>
  <c r="M984" i="6"/>
  <c r="M972" i="6"/>
  <c r="M960" i="6"/>
  <c r="M948" i="6"/>
  <c r="M936" i="6"/>
  <c r="M924" i="6"/>
  <c r="M912" i="6"/>
  <c r="M900" i="6"/>
  <c r="M888" i="6"/>
  <c r="M876" i="6"/>
  <c r="M864" i="6"/>
  <c r="M852" i="6"/>
  <c r="M840" i="6"/>
  <c r="M828" i="6"/>
  <c r="M816" i="6"/>
  <c r="M804" i="6"/>
  <c r="M792" i="6"/>
  <c r="M780" i="6"/>
  <c r="M768" i="6"/>
  <c r="M756" i="6"/>
  <c r="M744" i="6"/>
  <c r="M732" i="6"/>
  <c r="M720" i="6"/>
  <c r="M708" i="6"/>
  <c r="M696" i="6"/>
  <c r="M684" i="6"/>
  <c r="M672" i="6"/>
  <c r="M660" i="6"/>
  <c r="M648" i="6"/>
  <c r="M636" i="6"/>
  <c r="M624" i="6"/>
  <c r="M612" i="6"/>
  <c r="M600" i="6"/>
  <c r="M588" i="6"/>
  <c r="M576" i="6"/>
  <c r="M564" i="6"/>
  <c r="M552" i="6"/>
  <c r="M540" i="6"/>
  <c r="M528" i="6"/>
  <c r="M516" i="6"/>
  <c r="M504" i="6"/>
  <c r="M492" i="6"/>
  <c r="M480" i="6"/>
  <c r="M468" i="6"/>
  <c r="M456" i="6"/>
  <c r="M444" i="6"/>
  <c r="M432" i="6"/>
  <c r="M420" i="6"/>
  <c r="M408" i="6"/>
  <c r="M396" i="6"/>
  <c r="M384" i="6"/>
  <c r="M372" i="6"/>
  <c r="M360" i="6"/>
  <c r="M348" i="6"/>
  <c r="M336" i="6"/>
  <c r="M324" i="6"/>
  <c r="M312" i="6"/>
  <c r="M300" i="6"/>
  <c r="M288" i="6"/>
  <c r="M276" i="6"/>
  <c r="M264" i="6"/>
  <c r="M252" i="6"/>
  <c r="M240" i="6"/>
  <c r="M228" i="6"/>
  <c r="M216" i="6"/>
  <c r="M204" i="6"/>
  <c r="M192" i="6"/>
  <c r="M180" i="6"/>
  <c r="M168" i="6"/>
  <c r="M156" i="6"/>
  <c r="M144" i="6"/>
  <c r="M132" i="6"/>
  <c r="M120" i="6"/>
  <c r="M108" i="6"/>
  <c r="M96" i="6"/>
  <c r="M84" i="6"/>
  <c r="M72" i="6"/>
  <c r="M60" i="6"/>
  <c r="M48" i="6"/>
  <c r="M36" i="6"/>
  <c r="M24" i="6"/>
  <c r="M12" i="6"/>
  <c r="P12" i="6"/>
  <c r="M227" i="6"/>
  <c r="M215" i="6"/>
  <c r="M203" i="6"/>
  <c r="M191" i="6"/>
  <c r="M179" i="6"/>
  <c r="M167" i="6"/>
  <c r="M155" i="6"/>
  <c r="M131" i="6"/>
  <c r="M95" i="6"/>
  <c r="M83" i="6"/>
  <c r="M71" i="6"/>
  <c r="M59" i="6"/>
  <c r="M47" i="6"/>
  <c r="M35" i="6"/>
  <c r="M23" i="6"/>
  <c r="M11" i="6"/>
  <c r="P11" i="6"/>
  <c r="M1078" i="6"/>
  <c r="M1066" i="6"/>
  <c r="M1054" i="6"/>
  <c r="M1042" i="6"/>
  <c r="M1030" i="6"/>
  <c r="M1018" i="6"/>
  <c r="M1006" i="6"/>
  <c r="M994" i="6"/>
  <c r="M982" i="6"/>
  <c r="M970" i="6"/>
  <c r="M958" i="6"/>
  <c r="M946" i="6"/>
  <c r="M934" i="6"/>
  <c r="M922" i="6"/>
  <c r="M910" i="6"/>
  <c r="M898" i="6"/>
  <c r="M886" i="6"/>
  <c r="M874" i="6"/>
  <c r="M862" i="6"/>
  <c r="M850" i="6"/>
  <c r="M838" i="6"/>
  <c r="M826" i="6"/>
  <c r="M814" i="6"/>
  <c r="M802" i="6"/>
  <c r="M790" i="6"/>
  <c r="M778" i="6"/>
  <c r="M766" i="6"/>
  <c r="M742" i="6"/>
  <c r="M730" i="6"/>
  <c r="M706" i="6"/>
  <c r="M694" i="6"/>
  <c r="M682" i="6"/>
  <c r="M670" i="6"/>
  <c r="M658" i="6"/>
  <c r="M646" i="6"/>
  <c r="M634" i="6"/>
  <c r="M622" i="6"/>
  <c r="M610" i="6"/>
  <c r="M598" i="6"/>
  <c r="M574" i="6"/>
  <c r="M562" i="6"/>
  <c r="M550" i="6"/>
  <c r="M538" i="6"/>
  <c r="M526" i="6"/>
  <c r="M514" i="6"/>
  <c r="M502" i="6"/>
  <c r="M490" i="6"/>
  <c r="M478" i="6"/>
  <c r="M466" i="6"/>
  <c r="M454" i="6"/>
  <c r="M442" i="6"/>
  <c r="M430" i="6"/>
  <c r="M418" i="6"/>
  <c r="M406" i="6"/>
  <c r="M394" i="6"/>
  <c r="M382" i="6"/>
  <c r="M370" i="6"/>
  <c r="M358" i="6"/>
  <c r="M346" i="6"/>
  <c r="M334" i="6"/>
  <c r="M322" i="6"/>
  <c r="M310" i="6"/>
  <c r="M298" i="6"/>
  <c r="M286" i="6"/>
  <c r="M274" i="6"/>
  <c r="M262" i="6"/>
  <c r="M250" i="6"/>
  <c r="M226" i="6"/>
  <c r="M202" i="6"/>
  <c r="M178" i="6"/>
  <c r="M166" i="6"/>
  <c r="M154" i="6"/>
  <c r="M142" i="6"/>
  <c r="M130" i="6"/>
  <c r="M118" i="6"/>
  <c r="M94" i="6"/>
  <c r="M82" i="6"/>
  <c r="M58" i="6"/>
  <c r="M46" i="6"/>
  <c r="M34" i="6"/>
  <c r="M22" i="6"/>
  <c r="M10" i="6"/>
  <c r="P10" i="6"/>
  <c r="M1017" i="6"/>
  <c r="M1005" i="6"/>
  <c r="M993" i="6"/>
  <c r="M981" i="6"/>
  <c r="M969" i="6"/>
  <c r="M957" i="6"/>
  <c r="M945" i="6"/>
  <c r="M933" i="6"/>
  <c r="M921" i="6"/>
  <c r="M909" i="6"/>
  <c r="M897" i="6"/>
  <c r="M885" i="6"/>
  <c r="M873" i="6"/>
  <c r="M861" i="6"/>
  <c r="M849" i="6"/>
  <c r="M837" i="6"/>
  <c r="M825" i="6"/>
  <c r="M813" i="6"/>
  <c r="M801" i="6"/>
  <c r="M789" i="6"/>
  <c r="M777" i="6"/>
  <c r="M765" i="6"/>
  <c r="M753" i="6"/>
  <c r="M741" i="6"/>
  <c r="M729" i="6"/>
  <c r="M717" i="6"/>
  <c r="M705" i="6"/>
  <c r="M693" i="6"/>
  <c r="M681" i="6"/>
  <c r="M669" i="6"/>
  <c r="M657" i="6"/>
  <c r="M645" i="6"/>
  <c r="M633" i="6"/>
  <c r="M621" i="6"/>
  <c r="M609" i="6"/>
  <c r="M597" i="6"/>
  <c r="M585" i="6"/>
  <c r="M573" i="6"/>
  <c r="M561" i="6"/>
  <c r="M549" i="6"/>
  <c r="M537" i="6"/>
  <c r="M525" i="6"/>
  <c r="M513" i="6"/>
  <c r="M501" i="6"/>
  <c r="M477" i="6"/>
  <c r="M465" i="6"/>
  <c r="M453" i="6"/>
  <c r="M441" i="6"/>
  <c r="M429" i="6"/>
  <c r="M417" i="6"/>
  <c r="M405" i="6"/>
  <c r="M393" i="6"/>
  <c r="M381" i="6"/>
  <c r="M369" i="6"/>
  <c r="M357" i="6"/>
  <c r="M345" i="6"/>
  <c r="M333" i="6"/>
  <c r="M321" i="6"/>
  <c r="M309" i="6"/>
  <c r="M297" i="6"/>
  <c r="M285" i="6"/>
  <c r="M273" i="6"/>
  <c r="M261" i="6"/>
  <c r="M249" i="6"/>
  <c r="M237" i="6"/>
  <c r="M225" i="6"/>
  <c r="M213" i="6"/>
  <c r="M201" i="6"/>
  <c r="M189" i="6"/>
  <c r="M177" i="6"/>
  <c r="M165" i="6"/>
  <c r="M153" i="6"/>
  <c r="M141" i="6"/>
  <c r="M129" i="6"/>
  <c r="M117" i="6"/>
  <c r="M105" i="6"/>
  <c r="M93" i="6"/>
  <c r="M81" i="6"/>
  <c r="M69" i="6"/>
  <c r="M57" i="6"/>
  <c r="M45" i="6"/>
  <c r="M33" i="6"/>
  <c r="M21" i="6"/>
  <c r="M9" i="6"/>
  <c r="P9" i="6"/>
  <c r="M956" i="6"/>
  <c r="M944" i="6"/>
  <c r="M932" i="6"/>
  <c r="M920" i="6"/>
  <c r="M908" i="6"/>
  <c r="M884" i="6"/>
  <c r="M872" i="6"/>
  <c r="M860" i="6"/>
  <c r="M848" i="6"/>
  <c r="M836" i="6"/>
  <c r="M824" i="6"/>
  <c r="M812" i="6"/>
  <c r="M800" i="6"/>
  <c r="M788" i="6"/>
  <c r="M776" i="6"/>
  <c r="M764" i="6"/>
  <c r="M752" i="6"/>
  <c r="M740" i="6"/>
  <c r="M728" i="6"/>
  <c r="M716" i="6"/>
  <c r="M704" i="6"/>
  <c r="M692" i="6"/>
  <c r="M680" i="6"/>
  <c r="M668" i="6"/>
  <c r="M656" i="6"/>
  <c r="M644" i="6"/>
  <c r="M632" i="6"/>
  <c r="M620" i="6"/>
  <c r="M608" i="6"/>
  <c r="M596" i="6"/>
  <c r="M584" i="6"/>
  <c r="M572" i="6"/>
  <c r="M560" i="6"/>
  <c r="M548" i="6"/>
  <c r="M536" i="6"/>
  <c r="M524" i="6"/>
  <c r="M512" i="6"/>
  <c r="M500" i="6"/>
  <c r="M488" i="6"/>
  <c r="M476" i="6"/>
  <c r="M464" i="6"/>
  <c r="M452" i="6"/>
  <c r="M440" i="6"/>
  <c r="M428" i="6"/>
  <c r="M416" i="6"/>
  <c r="M404" i="6"/>
  <c r="M392" i="6"/>
  <c r="M380" i="6"/>
  <c r="M368" i="6"/>
  <c r="M356" i="6"/>
  <c r="M344" i="6"/>
  <c r="M332" i="6"/>
  <c r="M320" i="6"/>
  <c r="M308" i="6"/>
  <c r="M296" i="6"/>
  <c r="M284" i="6"/>
  <c r="M272" i="6"/>
  <c r="M260" i="6"/>
  <c r="M248" i="6"/>
  <c r="M236" i="6"/>
  <c r="M224" i="6"/>
  <c r="M212" i="6"/>
  <c r="M200" i="6"/>
  <c r="M188" i="6"/>
  <c r="M176" i="6"/>
  <c r="M164" i="6"/>
  <c r="M152" i="6"/>
  <c r="M140" i="6"/>
  <c r="M128" i="6"/>
  <c r="M116" i="6"/>
  <c r="M104" i="6"/>
  <c r="M92" i="6"/>
  <c r="M80" i="6"/>
  <c r="M68" i="6"/>
  <c r="M56" i="6"/>
  <c r="M44" i="6"/>
  <c r="M32" i="6"/>
  <c r="M20" i="6"/>
  <c r="M8" i="6"/>
  <c r="P8" i="6"/>
  <c r="M847" i="6"/>
  <c r="M835" i="6"/>
  <c r="M823" i="6"/>
  <c r="M811" i="6"/>
  <c r="M799" i="6"/>
  <c r="M787" i="6"/>
  <c r="M775" i="6"/>
  <c r="M763" i="6"/>
  <c r="M751" i="6"/>
  <c r="M739" i="6"/>
  <c r="M727" i="6"/>
  <c r="M715" i="6"/>
  <c r="M703" i="6"/>
  <c r="M691" i="6"/>
  <c r="M679" i="6"/>
  <c r="M667" i="6"/>
  <c r="M655" i="6"/>
  <c r="M643" i="6"/>
  <c r="M631" i="6"/>
  <c r="M607" i="6"/>
  <c r="M595" i="6"/>
  <c r="M583" i="6"/>
  <c r="M571" i="6"/>
  <c r="M559" i="6"/>
  <c r="M547" i="6"/>
  <c r="M535" i="6"/>
  <c r="M523" i="6"/>
  <c r="M511" i="6"/>
  <c r="M499" i="6"/>
  <c r="M487" i="6"/>
  <c r="M475" i="6"/>
  <c r="M463" i="6"/>
  <c r="M451" i="6"/>
  <c r="M439" i="6"/>
  <c r="M427" i="6"/>
  <c r="M415" i="6"/>
  <c r="M403" i="6"/>
  <c r="M391" i="6"/>
  <c r="M379" i="6"/>
  <c r="M367" i="6"/>
  <c r="M355" i="6"/>
  <c r="M343" i="6"/>
  <c r="M331" i="6"/>
  <c r="M319" i="6"/>
  <c r="M307" i="6"/>
  <c r="M295" i="6"/>
  <c r="M283" i="6"/>
  <c r="M271" i="6"/>
  <c r="M259" i="6"/>
  <c r="M247" i="6"/>
  <c r="M235" i="6"/>
  <c r="M223" i="6"/>
  <c r="M211" i="6"/>
  <c r="M199" i="6"/>
  <c r="M187" i="6"/>
  <c r="M175" i="6"/>
  <c r="M163" i="6"/>
  <c r="M151" i="6"/>
  <c r="M139" i="6"/>
  <c r="M115" i="6"/>
  <c r="M103" i="6"/>
  <c r="M91" i="6"/>
  <c r="M79" i="6"/>
  <c r="M67" i="6"/>
  <c r="M55" i="6"/>
  <c r="M43" i="6"/>
  <c r="M31" i="6"/>
  <c r="M19" i="6"/>
  <c r="M7" i="6"/>
  <c r="P7" i="6"/>
  <c r="M906" i="6"/>
  <c r="M894" i="6"/>
  <c r="M882" i="6"/>
  <c r="M870" i="6"/>
  <c r="M858" i="6"/>
  <c r="M846" i="6"/>
  <c r="M834" i="6"/>
  <c r="M822" i="6"/>
  <c r="M798" i="6"/>
  <c r="M786" i="6"/>
  <c r="M774" i="6"/>
  <c r="M762" i="6"/>
  <c r="M750" i="6"/>
  <c r="M738" i="6"/>
  <c r="M726" i="6"/>
  <c r="M714" i="6"/>
  <c r="M702" i="6"/>
  <c r="M690" i="6"/>
  <c r="M678" i="6"/>
  <c r="M666" i="6"/>
  <c r="M654" i="6"/>
  <c r="M642" i="6"/>
  <c r="M630" i="6"/>
  <c r="M606" i="6"/>
  <c r="M594" i="6"/>
  <c r="M582" i="6"/>
  <c r="M570" i="6"/>
  <c r="M558" i="6"/>
  <c r="M546" i="6"/>
  <c r="M534" i="6"/>
  <c r="M522" i="6"/>
  <c r="M510" i="6"/>
  <c r="M498" i="6"/>
  <c r="M486" i="6"/>
  <c r="M474" i="6"/>
  <c r="M462" i="6"/>
  <c r="M450" i="6"/>
  <c r="M438" i="6"/>
  <c r="M426" i="6"/>
  <c r="M414" i="6"/>
  <c r="M402" i="6"/>
  <c r="M390" i="6"/>
  <c r="M378" i="6"/>
  <c r="M366" i="6"/>
  <c r="M354" i="6"/>
  <c r="M342" i="6"/>
  <c r="M330" i="6"/>
  <c r="M318" i="6"/>
  <c r="M306" i="6"/>
  <c r="M294" i="6"/>
  <c r="M282" i="6"/>
  <c r="M270" i="6"/>
  <c r="M258" i="6"/>
  <c r="M246" i="6"/>
  <c r="M234" i="6"/>
  <c r="M222" i="6"/>
  <c r="M198" i="6"/>
  <c r="M186" i="6"/>
  <c r="M174" i="6"/>
  <c r="M162" i="6"/>
  <c r="M150" i="6"/>
  <c r="M138" i="6"/>
  <c r="M126" i="6"/>
  <c r="M114" i="6"/>
  <c r="M102" i="6"/>
  <c r="M90" i="6"/>
  <c r="M78" i="6"/>
  <c r="M66" i="6"/>
  <c r="M54" i="6"/>
  <c r="M42" i="6"/>
  <c r="M30" i="6"/>
  <c r="M18" i="6"/>
  <c r="M6" i="6"/>
  <c r="P6" i="6"/>
  <c r="J2" i="6"/>
  <c r="T1129" i="6"/>
  <c r="T1117" i="6"/>
  <c r="T1213" i="6"/>
  <c r="T1189" i="6"/>
  <c r="T1153" i="6"/>
  <c r="T1141" i="6"/>
  <c r="T1074" i="6"/>
  <c r="T1038" i="6"/>
  <c r="T414" i="6"/>
  <c r="T366" i="6"/>
  <c r="T1086" i="6"/>
  <c r="T1026" i="6"/>
  <c r="T402" i="6"/>
  <c r="T342" i="6"/>
  <c r="T1098" i="6"/>
  <c r="T1050" i="6"/>
  <c r="T1002" i="6"/>
  <c r="T426" i="6"/>
  <c r="T378" i="6"/>
  <c r="T1062" i="6"/>
  <c r="T1014" i="6"/>
  <c r="T438" i="6"/>
  <c r="T390" i="6"/>
  <c r="T354" i="6"/>
  <c r="T1020" i="6"/>
  <c r="O1957" i="6"/>
  <c r="T432" i="6"/>
  <c r="T420" i="6"/>
  <c r="T408" i="6"/>
  <c r="T396" i="6"/>
  <c r="T384" i="6"/>
  <c r="T372" i="6"/>
  <c r="T360" i="6"/>
  <c r="T348" i="6"/>
  <c r="T336" i="6"/>
  <c r="T221" i="6"/>
  <c r="T989" i="6"/>
  <c r="T977" i="6"/>
  <c r="T965" i="6"/>
  <c r="T953" i="6"/>
  <c r="T941" i="6"/>
  <c r="T929" i="6"/>
  <c r="T917" i="6"/>
  <c r="T905" i="6"/>
  <c r="T893" i="6"/>
  <c r="T329" i="6"/>
  <c r="T317" i="6"/>
  <c r="T305" i="6"/>
  <c r="T293" i="6"/>
  <c r="T281" i="6"/>
  <c r="T269" i="6"/>
  <c r="T257" i="6"/>
  <c r="T245" i="6"/>
  <c r="T233" i="6"/>
  <c r="T1104" i="6"/>
  <c r="T1068" i="6"/>
  <c r="T1008" i="6"/>
  <c r="T1195" i="6"/>
  <c r="T1135" i="6"/>
  <c r="T535" i="6"/>
  <c r="T451" i="6"/>
  <c r="T1159" i="6"/>
  <c r="T487" i="6"/>
  <c r="T1171" i="6"/>
  <c r="T1111" i="6"/>
  <c r="T523" i="6"/>
  <c r="T463" i="6"/>
  <c r="T887" i="6"/>
  <c r="T1147" i="6"/>
  <c r="T511" i="6"/>
  <c r="T475" i="6"/>
  <c r="T995" i="6"/>
  <c r="T983" i="6"/>
  <c r="T971" i="6"/>
  <c r="T959" i="6"/>
  <c r="T947" i="6"/>
  <c r="T935" i="6"/>
  <c r="T923" i="6"/>
  <c r="T911" i="6"/>
  <c r="T899" i="6"/>
  <c r="T323" i="6"/>
  <c r="T311" i="6"/>
  <c r="T299" i="6"/>
  <c r="T275" i="6"/>
  <c r="T263" i="6"/>
  <c r="T251" i="6"/>
  <c r="T239" i="6"/>
  <c r="T227" i="6"/>
  <c r="T1207" i="6"/>
  <c r="T1123" i="6"/>
  <c r="T547" i="6"/>
  <c r="T499" i="6"/>
  <c r="T1310" i="6"/>
  <c r="T284" i="6"/>
  <c r="T2022" i="6"/>
  <c r="T1431" i="6"/>
  <c r="T1359" i="6"/>
  <c r="T1347" i="6"/>
  <c r="T771" i="6"/>
  <c r="T759" i="6"/>
  <c r="T747" i="6"/>
  <c r="T735" i="6"/>
  <c r="T723" i="6"/>
  <c r="T699" i="6"/>
  <c r="T675" i="6"/>
  <c r="T99" i="6"/>
  <c r="T87" i="6"/>
  <c r="T75" i="6"/>
  <c r="T63" i="6"/>
  <c r="T51" i="6"/>
  <c r="T39" i="6"/>
  <c r="T27" i="6"/>
  <c r="T15" i="6"/>
  <c r="T3" i="6"/>
  <c r="T2010" i="6"/>
  <c r="T1854" i="6"/>
  <c r="T1770" i="6"/>
  <c r="T1613" i="6"/>
  <c r="T1220" i="6"/>
  <c r="T1565" i="6"/>
  <c r="T1316" i="6"/>
  <c r="T1292" i="6"/>
  <c r="T1268" i="6"/>
  <c r="T1232" i="6"/>
  <c r="T620" i="6"/>
  <c r="T596" i="6"/>
  <c r="T572" i="6"/>
  <c r="T1469" i="6"/>
  <c r="T1328" i="6"/>
  <c r="T1304" i="6"/>
  <c r="T1280" i="6"/>
  <c r="T1256" i="6"/>
  <c r="T1244" i="6"/>
  <c r="T656" i="6"/>
  <c r="T644" i="6"/>
  <c r="T632" i="6"/>
  <c r="T608" i="6"/>
  <c r="T584" i="6"/>
  <c r="T560" i="6"/>
  <c r="T1421" i="6"/>
  <c r="T1738" i="6"/>
  <c r="T1702" i="6"/>
  <c r="T1373" i="6"/>
  <c r="T678" i="6"/>
  <c r="S1780" i="6"/>
  <c r="T1780" i="6"/>
  <c r="S1094" i="6"/>
  <c r="T1094" i="6"/>
  <c r="S1985" i="6"/>
  <c r="T1985" i="6"/>
  <c r="S1803" i="6"/>
  <c r="S1643" i="6"/>
  <c r="T1643" i="6"/>
  <c r="S1485" i="6"/>
  <c r="T1485" i="6"/>
  <c r="S1203" i="6"/>
  <c r="S1093" i="6"/>
  <c r="T1093" i="6"/>
  <c r="S1009" i="6"/>
  <c r="T1009" i="6"/>
  <c r="S825" i="6"/>
  <c r="T825" i="6"/>
  <c r="S727" i="6"/>
  <c r="T727" i="6"/>
  <c r="S629" i="6"/>
  <c r="T629" i="6"/>
  <c r="S569" i="6"/>
  <c r="T569" i="6"/>
  <c r="S495" i="6"/>
  <c r="T495" i="6"/>
  <c r="S433" i="6"/>
  <c r="T433" i="6"/>
  <c r="S421" i="6"/>
  <c r="T421" i="6"/>
  <c r="S361" i="6"/>
  <c r="T361" i="6"/>
  <c r="S189" i="6"/>
  <c r="T189" i="6"/>
  <c r="S67" i="6"/>
  <c r="T67" i="6"/>
  <c r="S2030" i="6"/>
  <c r="T2030" i="6"/>
  <c r="S2006" i="6"/>
  <c r="T2006" i="6"/>
  <c r="S1980" i="6"/>
  <c r="T1980" i="6"/>
  <c r="S1956" i="6"/>
  <c r="T1956" i="6"/>
  <c r="S1932" i="6"/>
  <c r="T1932" i="6"/>
  <c r="S1908" i="6"/>
  <c r="T1908" i="6"/>
  <c r="S1882" i="6"/>
  <c r="T1882" i="6"/>
  <c r="S1858" i="6"/>
  <c r="T1858" i="6"/>
  <c r="S1834" i="6"/>
  <c r="T1834" i="6"/>
  <c r="S1810" i="6"/>
  <c r="T1810" i="6"/>
  <c r="S1786" i="6"/>
  <c r="T1786" i="6"/>
  <c r="S1760" i="6"/>
  <c r="S1736" i="6"/>
  <c r="T1736" i="6"/>
  <c r="S1712" i="6"/>
  <c r="T1712" i="6"/>
  <c r="S1688" i="6"/>
  <c r="T1688" i="6"/>
  <c r="S1663" i="6"/>
  <c r="T1663" i="6"/>
  <c r="S1638" i="6"/>
  <c r="T1638" i="6"/>
  <c r="S1614" i="6"/>
  <c r="T1614" i="6"/>
  <c r="S1590" i="6"/>
  <c r="T1590" i="6"/>
  <c r="S1553" i="6"/>
  <c r="T1553" i="6"/>
  <c r="S1480" i="6"/>
  <c r="T1480" i="6"/>
  <c r="S1456" i="6"/>
  <c r="T1456" i="6"/>
  <c r="S1430" i="6"/>
  <c r="T1430" i="6"/>
  <c r="S1406" i="6"/>
  <c r="T1406" i="6"/>
  <c r="S1382" i="6"/>
  <c r="T1382" i="6"/>
  <c r="S1358" i="6"/>
  <c r="T1358" i="6"/>
  <c r="S1346" i="6"/>
  <c r="T1346" i="6"/>
  <c r="S1320" i="6"/>
  <c r="T1320" i="6"/>
  <c r="S1296" i="6"/>
  <c r="T1296" i="6"/>
  <c r="S1272" i="6"/>
  <c r="T1272" i="6"/>
  <c r="S1248" i="6"/>
  <c r="T1248" i="6"/>
  <c r="S1224" i="6"/>
  <c r="T1224" i="6"/>
  <c r="S1198" i="6"/>
  <c r="T1198" i="6"/>
  <c r="S1174" i="6"/>
  <c r="T1174" i="6"/>
  <c r="S1150" i="6"/>
  <c r="T1150" i="6"/>
  <c r="S1126" i="6"/>
  <c r="T1126" i="6"/>
  <c r="S1100" i="6"/>
  <c r="T1100" i="6"/>
  <c r="S1076" i="6"/>
  <c r="T1076" i="6"/>
  <c r="S1052" i="6"/>
  <c r="T1052" i="6"/>
  <c r="S1028" i="6"/>
  <c r="T1028" i="6"/>
  <c r="S1004" i="6"/>
  <c r="T1004" i="6"/>
  <c r="S966" i="6"/>
  <c r="T966" i="6"/>
  <c r="S942" i="6"/>
  <c r="T942" i="6"/>
  <c r="S906" i="6"/>
  <c r="T906" i="6"/>
  <c r="S820" i="6"/>
  <c r="T820" i="6"/>
  <c r="S770" i="6"/>
  <c r="T770" i="6"/>
  <c r="S734" i="6"/>
  <c r="T734" i="6"/>
  <c r="T1986" i="6"/>
  <c r="T1842" i="6"/>
  <c r="S1840" i="6"/>
  <c r="S1718" i="6"/>
  <c r="T1718" i="6"/>
  <c r="S1608" i="6"/>
  <c r="T1608" i="6"/>
  <c r="S1352" i="6"/>
  <c r="T1352" i="6"/>
  <c r="S1010" i="6"/>
  <c r="T1010" i="6"/>
  <c r="S1925" i="6"/>
  <c r="T1925" i="6"/>
  <c r="S1815" i="6"/>
  <c r="T1815" i="6"/>
  <c r="S1705" i="6"/>
  <c r="T1705" i="6"/>
  <c r="S1571" i="6"/>
  <c r="T1571" i="6"/>
  <c r="S1435" i="6"/>
  <c r="T1435" i="6"/>
  <c r="S1313" i="6"/>
  <c r="T1313" i="6"/>
  <c r="S1191" i="6"/>
  <c r="T1191" i="6"/>
  <c r="S1081" i="6"/>
  <c r="T1081" i="6"/>
  <c r="S801" i="6"/>
  <c r="T801" i="6"/>
  <c r="S653" i="6"/>
  <c r="S507" i="6"/>
  <c r="T507" i="6"/>
  <c r="S165" i="6"/>
  <c r="T165" i="6"/>
  <c r="S2018" i="6"/>
  <c r="T2018" i="6"/>
  <c r="S1992" i="6"/>
  <c r="T1992" i="6"/>
  <c r="S1968" i="6"/>
  <c r="T1968" i="6"/>
  <c r="S1944" i="6"/>
  <c r="T1944" i="6"/>
  <c r="S1920" i="6"/>
  <c r="T1920" i="6"/>
  <c r="S1896" i="6"/>
  <c r="T1896" i="6"/>
  <c r="S1870" i="6"/>
  <c r="T1870" i="6"/>
  <c r="S1846" i="6"/>
  <c r="T1846" i="6"/>
  <c r="S1822" i="6"/>
  <c r="T1822" i="6"/>
  <c r="S1798" i="6"/>
  <c r="T1798" i="6"/>
  <c r="S1772" i="6"/>
  <c r="T1772" i="6"/>
  <c r="S1748" i="6"/>
  <c r="T1748" i="6"/>
  <c r="S1724" i="6"/>
  <c r="T1724" i="6"/>
  <c r="S1700" i="6"/>
  <c r="T1700" i="6"/>
  <c r="S1676" i="6"/>
  <c r="T1676" i="6"/>
  <c r="S1650" i="6"/>
  <c r="S1626" i="6"/>
  <c r="T1626" i="6"/>
  <c r="S1602" i="6"/>
  <c r="T1602" i="6"/>
  <c r="S1578" i="6"/>
  <c r="S1566" i="6"/>
  <c r="T1566" i="6"/>
  <c r="S1540" i="6"/>
  <c r="T1540" i="6"/>
  <c r="S1528" i="6"/>
  <c r="S1516" i="6"/>
  <c r="S1492" i="6"/>
  <c r="S1468" i="6"/>
  <c r="T1468" i="6"/>
  <c r="S1444" i="6"/>
  <c r="T1444" i="6"/>
  <c r="S1418" i="6"/>
  <c r="T1418" i="6"/>
  <c r="S1394" i="6"/>
  <c r="T1394" i="6"/>
  <c r="S1370" i="6"/>
  <c r="T1370" i="6"/>
  <c r="S1334" i="6"/>
  <c r="T1334" i="6"/>
  <c r="S1308" i="6"/>
  <c r="T1308" i="6"/>
  <c r="S1284" i="6"/>
  <c r="T1284" i="6"/>
  <c r="S1260" i="6"/>
  <c r="T1260" i="6"/>
  <c r="S1236" i="6"/>
  <c r="T1236" i="6"/>
  <c r="S1210" i="6"/>
  <c r="T1210" i="6"/>
  <c r="S1186" i="6"/>
  <c r="T1186" i="6"/>
  <c r="S1162" i="6"/>
  <c r="T1162" i="6"/>
  <c r="S1138" i="6"/>
  <c r="T1138" i="6"/>
  <c r="S1114" i="6"/>
  <c r="T1114" i="6"/>
  <c r="S1088" i="6"/>
  <c r="T1088" i="6"/>
  <c r="S1064" i="6"/>
  <c r="T1064" i="6"/>
  <c r="S1040" i="6"/>
  <c r="T1040" i="6"/>
  <c r="S1016" i="6"/>
  <c r="T1016" i="6"/>
  <c r="S978" i="6"/>
  <c r="T978" i="6"/>
  <c r="S954" i="6"/>
  <c r="T954" i="6"/>
  <c r="S918" i="6"/>
  <c r="T918" i="6"/>
  <c r="S894" i="6"/>
  <c r="T894" i="6"/>
  <c r="S758" i="6"/>
  <c r="T758" i="6"/>
  <c r="S746" i="6"/>
  <c r="T746" i="6"/>
  <c r="S722" i="6"/>
  <c r="T722" i="6"/>
  <c r="T1974" i="6"/>
  <c r="S1816" i="6"/>
  <c r="T1816" i="6"/>
  <c r="S1706" i="6"/>
  <c r="T1706" i="6"/>
  <c r="S1424" i="6"/>
  <c r="T1424" i="6"/>
  <c r="S1290" i="6"/>
  <c r="T1290" i="6"/>
  <c r="S984" i="6"/>
  <c r="T984" i="6"/>
  <c r="S1949" i="6"/>
  <c r="S1875" i="6"/>
  <c r="T1875" i="6"/>
  <c r="S1791" i="6"/>
  <c r="S1729" i="6"/>
  <c r="T1729" i="6"/>
  <c r="S1655" i="6"/>
  <c r="T1655" i="6"/>
  <c r="S1583" i="6"/>
  <c r="T1583" i="6"/>
  <c r="S1497" i="6"/>
  <c r="T1497" i="6"/>
  <c r="S1423" i="6"/>
  <c r="T1423" i="6"/>
  <c r="S1339" i="6"/>
  <c r="T1339" i="6"/>
  <c r="S1253" i="6"/>
  <c r="T1253" i="6"/>
  <c r="S1167" i="6"/>
  <c r="T1167" i="6"/>
  <c r="S1057" i="6"/>
  <c r="T1057" i="6"/>
  <c r="S861" i="6"/>
  <c r="T861" i="6"/>
  <c r="S751" i="6"/>
  <c r="T751" i="6"/>
  <c r="S667" i="6"/>
  <c r="T667" i="6"/>
  <c r="S581" i="6"/>
  <c r="T581" i="6"/>
  <c r="S459" i="6"/>
  <c r="T459" i="6"/>
  <c r="S153" i="6"/>
  <c r="T153" i="6"/>
  <c r="S91" i="6"/>
  <c r="T91" i="6"/>
  <c r="S19" i="6"/>
  <c r="T19" i="6"/>
  <c r="S2027" i="6"/>
  <c r="T2027" i="6"/>
  <c r="S1977" i="6"/>
  <c r="T1977" i="6"/>
  <c r="S1941" i="6"/>
  <c r="T1941" i="6"/>
  <c r="S1893" i="6"/>
  <c r="T1893" i="6"/>
  <c r="S1843" i="6"/>
  <c r="T1843" i="6"/>
  <c r="S1795" i="6"/>
  <c r="T1795" i="6"/>
  <c r="S1745" i="6"/>
  <c r="T1745" i="6"/>
  <c r="S1709" i="6"/>
  <c r="T1709" i="6"/>
  <c r="S1659" i="6"/>
  <c r="T1659" i="6"/>
  <c r="S1611" i="6"/>
  <c r="T1611" i="6"/>
  <c r="S1549" i="6"/>
  <c r="T1549" i="6"/>
  <c r="S1501" i="6"/>
  <c r="T1501" i="6"/>
  <c r="S1465" i="6"/>
  <c r="T1465" i="6"/>
  <c r="S1427" i="6"/>
  <c r="T1427" i="6"/>
  <c r="S1391" i="6"/>
  <c r="T1391" i="6"/>
  <c r="S1367" i="6"/>
  <c r="T1367" i="6"/>
  <c r="S1330" i="6"/>
  <c r="T1330" i="6"/>
  <c r="S1305" i="6"/>
  <c r="T1305" i="6"/>
  <c r="S1293" i="6"/>
  <c r="T1293" i="6"/>
  <c r="S1269" i="6"/>
  <c r="T1269" i="6"/>
  <c r="S1257" i="6"/>
  <c r="T1257" i="6"/>
  <c r="S1245" i="6"/>
  <c r="T1245" i="6"/>
  <c r="S1233" i="6"/>
  <c r="T1233" i="6"/>
  <c r="S1085" i="6"/>
  <c r="T1085" i="6"/>
  <c r="S1073" i="6"/>
  <c r="T1073" i="6"/>
  <c r="S1061" i="6"/>
  <c r="T1061" i="6"/>
  <c r="S1049" i="6"/>
  <c r="T1049" i="6"/>
  <c r="S1025" i="6"/>
  <c r="T1025" i="6"/>
  <c r="S1013" i="6"/>
  <c r="T1013" i="6"/>
  <c r="S1001" i="6"/>
  <c r="T1001" i="6"/>
  <c r="S987" i="6"/>
  <c r="T987" i="6"/>
  <c r="S975" i="6"/>
  <c r="T975" i="6"/>
  <c r="S963" i="6"/>
  <c r="T963" i="6"/>
  <c r="S951" i="6"/>
  <c r="T951" i="6"/>
  <c r="S939" i="6"/>
  <c r="T939" i="6"/>
  <c r="S927" i="6"/>
  <c r="T927" i="6"/>
  <c r="S915" i="6"/>
  <c r="T915" i="6"/>
  <c r="S903" i="6"/>
  <c r="T903" i="6"/>
  <c r="S891" i="6"/>
  <c r="T891" i="6"/>
  <c r="S877" i="6"/>
  <c r="T877" i="6"/>
  <c r="S865" i="6"/>
  <c r="T865" i="6"/>
  <c r="S853" i="6"/>
  <c r="T853" i="6"/>
  <c r="S841" i="6"/>
  <c r="T841" i="6"/>
  <c r="S829" i="6"/>
  <c r="T829" i="6"/>
  <c r="S817" i="6"/>
  <c r="T817" i="6"/>
  <c r="S805" i="6"/>
  <c r="T805" i="6"/>
  <c r="S793" i="6"/>
  <c r="T793" i="6"/>
  <c r="S781" i="6"/>
  <c r="T781" i="6"/>
  <c r="S767" i="6"/>
  <c r="T767" i="6"/>
  <c r="S755" i="6"/>
  <c r="T755" i="6"/>
  <c r="S743" i="6"/>
  <c r="T743" i="6"/>
  <c r="S731" i="6"/>
  <c r="T731" i="6"/>
  <c r="S719" i="6"/>
  <c r="T719" i="6"/>
  <c r="S707" i="6"/>
  <c r="T707" i="6"/>
  <c r="S695" i="6"/>
  <c r="T695" i="6"/>
  <c r="S683" i="6"/>
  <c r="T683" i="6"/>
  <c r="S671" i="6"/>
  <c r="T671" i="6"/>
  <c r="S657" i="6"/>
  <c r="T657" i="6"/>
  <c r="S645" i="6"/>
  <c r="T645" i="6"/>
  <c r="S633" i="6"/>
  <c r="T633" i="6"/>
  <c r="S621" i="6"/>
  <c r="T621" i="6"/>
  <c r="S597" i="6"/>
  <c r="T597" i="6"/>
  <c r="S585" i="6"/>
  <c r="T585" i="6"/>
  <c r="S573" i="6"/>
  <c r="T573" i="6"/>
  <c r="S561" i="6"/>
  <c r="T561" i="6"/>
  <c r="S437" i="6"/>
  <c r="T437" i="6"/>
  <c r="S425" i="6"/>
  <c r="T425" i="6"/>
  <c r="S413" i="6"/>
  <c r="T413" i="6"/>
  <c r="S401" i="6"/>
  <c r="T401" i="6"/>
  <c r="S389" i="6"/>
  <c r="T389" i="6"/>
  <c r="S377" i="6"/>
  <c r="T377" i="6"/>
  <c r="S365" i="6"/>
  <c r="T365" i="6"/>
  <c r="S353" i="6"/>
  <c r="T353" i="6"/>
  <c r="S341" i="6"/>
  <c r="T341" i="6"/>
  <c r="S327" i="6"/>
  <c r="T327" i="6"/>
  <c r="S315" i="6"/>
  <c r="T315" i="6"/>
  <c r="S303" i="6"/>
  <c r="T303" i="6"/>
  <c r="S291" i="6"/>
  <c r="T291" i="6"/>
  <c r="S279" i="6"/>
  <c r="T279" i="6"/>
  <c r="S267" i="6"/>
  <c r="T267" i="6"/>
  <c r="S255" i="6"/>
  <c r="T255" i="6"/>
  <c r="S243" i="6"/>
  <c r="T243" i="6"/>
  <c r="S231" i="6"/>
  <c r="T231" i="6"/>
  <c r="S217" i="6"/>
  <c r="T217" i="6"/>
  <c r="S205" i="6"/>
  <c r="T205" i="6"/>
  <c r="S193" i="6"/>
  <c r="T193" i="6"/>
  <c r="S181" i="6"/>
  <c r="T181" i="6"/>
  <c r="S169" i="6"/>
  <c r="T169" i="6"/>
  <c r="S157" i="6"/>
  <c r="T157" i="6"/>
  <c r="S145" i="6"/>
  <c r="T145" i="6"/>
  <c r="S133" i="6"/>
  <c r="T133" i="6"/>
  <c r="S121" i="6"/>
  <c r="T121" i="6"/>
  <c r="S107" i="6"/>
  <c r="T107" i="6"/>
  <c r="S95" i="6"/>
  <c r="T95" i="6"/>
  <c r="S83" i="6"/>
  <c r="T83" i="6"/>
  <c r="S71" i="6"/>
  <c r="T71" i="6"/>
  <c r="S59" i="6"/>
  <c r="T59" i="6"/>
  <c r="S47" i="6"/>
  <c r="T47" i="6"/>
  <c r="S35" i="6"/>
  <c r="T35" i="6"/>
  <c r="S23" i="6"/>
  <c r="T23" i="6"/>
  <c r="S11" i="6"/>
  <c r="T11" i="6"/>
  <c r="T1962" i="6"/>
  <c r="T1818" i="6"/>
  <c r="S1242" i="6"/>
  <c r="T1242" i="6"/>
  <c r="S1461" i="6"/>
  <c r="T1461" i="6"/>
  <c r="S776" i="6"/>
  <c r="T776" i="6"/>
  <c r="S990" i="6"/>
  <c r="T990" i="6"/>
  <c r="S2003" i="6"/>
  <c r="T2003" i="6"/>
  <c r="S1965" i="6"/>
  <c r="T1965" i="6"/>
  <c r="S1917" i="6"/>
  <c r="T1917" i="6"/>
  <c r="S1867" i="6"/>
  <c r="T1867" i="6"/>
  <c r="S1831" i="6"/>
  <c r="S1807" i="6"/>
  <c r="T1807" i="6"/>
  <c r="S1769" i="6"/>
  <c r="T1769" i="6"/>
  <c r="S1721" i="6"/>
  <c r="T1721" i="6"/>
  <c r="S1685" i="6"/>
  <c r="S1635" i="6"/>
  <c r="S1599" i="6"/>
  <c r="T1599" i="6"/>
  <c r="S1563" i="6"/>
  <c r="T1563" i="6"/>
  <c r="S1525" i="6"/>
  <c r="T1525" i="6"/>
  <c r="S1477" i="6"/>
  <c r="T1477" i="6"/>
  <c r="S1439" i="6"/>
  <c r="T1439" i="6"/>
  <c r="S1403" i="6"/>
  <c r="T1403" i="6"/>
  <c r="S1379" i="6"/>
  <c r="T1379" i="6"/>
  <c r="S1343" i="6"/>
  <c r="T1343" i="6"/>
  <c r="S1317" i="6"/>
  <c r="T1317" i="6"/>
  <c r="S1281" i="6"/>
  <c r="T1281" i="6"/>
  <c r="S609" i="6"/>
  <c r="T609" i="6"/>
  <c r="S2026" i="6"/>
  <c r="S2014" i="6"/>
  <c r="S2002" i="6"/>
  <c r="T2002" i="6"/>
  <c r="S1988" i="6"/>
  <c r="T1988" i="6"/>
  <c r="S1976" i="6"/>
  <c r="T1976" i="6"/>
  <c r="S1964" i="6"/>
  <c r="T1964" i="6"/>
  <c r="S1952" i="6"/>
  <c r="T1952" i="6"/>
  <c r="S1940" i="6"/>
  <c r="T1940" i="6"/>
  <c r="S1928" i="6"/>
  <c r="T1928" i="6"/>
  <c r="S1916" i="6"/>
  <c r="T1916" i="6"/>
  <c r="S1904" i="6"/>
  <c r="T1904" i="6"/>
  <c r="S1892" i="6"/>
  <c r="T1892" i="6"/>
  <c r="S1768" i="6"/>
  <c r="T1768" i="6"/>
  <c r="S1756" i="6"/>
  <c r="T1756" i="6"/>
  <c r="S1744" i="6"/>
  <c r="T1744" i="6"/>
  <c r="S1732" i="6"/>
  <c r="T1732" i="6"/>
  <c r="S1720" i="6"/>
  <c r="S1708" i="6"/>
  <c r="T1708" i="6"/>
  <c r="S1696" i="6"/>
  <c r="S1684" i="6"/>
  <c r="T1684" i="6"/>
  <c r="S1672" i="6"/>
  <c r="T1672" i="6"/>
  <c r="S1658" i="6"/>
  <c r="T1658" i="6"/>
  <c r="S1646" i="6"/>
  <c r="T1646" i="6"/>
  <c r="S1634" i="6"/>
  <c r="T1634" i="6"/>
  <c r="S1622" i="6"/>
  <c r="T1622" i="6"/>
  <c r="S1610" i="6"/>
  <c r="T1610" i="6"/>
  <c r="S1598" i="6"/>
  <c r="T1598" i="6"/>
  <c r="S1586" i="6"/>
  <c r="T1586" i="6"/>
  <c r="S1574" i="6"/>
  <c r="T1574" i="6"/>
  <c r="S1562" i="6"/>
  <c r="T1562" i="6"/>
  <c r="S1548" i="6"/>
  <c r="T1548" i="6"/>
  <c r="S1536" i="6"/>
  <c r="T1536" i="6"/>
  <c r="S1524" i="6"/>
  <c r="T1524" i="6"/>
  <c r="S1512" i="6"/>
  <c r="T1512" i="6"/>
  <c r="S1500" i="6"/>
  <c r="T1500" i="6"/>
  <c r="S1488" i="6"/>
  <c r="T1488" i="6"/>
  <c r="S1476" i="6"/>
  <c r="T1476" i="6"/>
  <c r="S1464" i="6"/>
  <c r="T1464" i="6"/>
  <c r="S1452" i="6"/>
  <c r="T1452" i="6"/>
  <c r="S1438" i="6"/>
  <c r="T1438" i="6"/>
  <c r="S1426" i="6"/>
  <c r="T1426" i="6"/>
  <c r="S1414" i="6"/>
  <c r="T1414" i="6"/>
  <c r="S1402" i="6"/>
  <c r="T1402" i="6"/>
  <c r="S1390" i="6"/>
  <c r="T1390" i="6"/>
  <c r="S1378" i="6"/>
  <c r="T1378" i="6"/>
  <c r="S1366" i="6"/>
  <c r="T1366" i="6"/>
  <c r="S1354" i="6"/>
  <c r="T1354" i="6"/>
  <c r="S1342" i="6"/>
  <c r="T1342" i="6"/>
  <c r="S1219" i="6"/>
  <c r="T1219" i="6"/>
  <c r="S1206" i="6"/>
  <c r="T1206" i="6"/>
  <c r="S1194" i="6"/>
  <c r="T1194" i="6"/>
  <c r="S1182" i="6"/>
  <c r="T1182" i="6"/>
  <c r="S1170" i="6"/>
  <c r="T1170" i="6"/>
  <c r="S1158" i="6"/>
  <c r="T1158" i="6"/>
  <c r="S1146" i="6"/>
  <c r="T1146" i="6"/>
  <c r="S1134" i="6"/>
  <c r="T1134" i="6"/>
  <c r="S1122" i="6"/>
  <c r="T1122" i="6"/>
  <c r="S1109" i="6"/>
  <c r="T1109" i="6"/>
  <c r="S1096" i="6"/>
  <c r="S1084" i="6"/>
  <c r="T1084" i="6"/>
  <c r="S1072" i="6"/>
  <c r="S1060" i="6"/>
  <c r="T1060" i="6"/>
  <c r="S1048" i="6"/>
  <c r="T1048" i="6"/>
  <c r="S1036" i="6"/>
  <c r="T1036" i="6"/>
  <c r="S1024" i="6"/>
  <c r="T1024" i="6"/>
  <c r="S1012" i="6"/>
  <c r="T1012" i="6"/>
  <c r="S1000" i="6"/>
  <c r="T1000" i="6"/>
  <c r="S986" i="6"/>
  <c r="T986" i="6"/>
  <c r="S974" i="6"/>
  <c r="T974" i="6"/>
  <c r="S962" i="6"/>
  <c r="T962" i="6"/>
  <c r="S950" i="6"/>
  <c r="T950" i="6"/>
  <c r="S938" i="6"/>
  <c r="T938" i="6"/>
  <c r="S926" i="6"/>
  <c r="T926" i="6"/>
  <c r="S914" i="6"/>
  <c r="T914" i="6"/>
  <c r="S902" i="6"/>
  <c r="T902" i="6"/>
  <c r="S890" i="6"/>
  <c r="T890" i="6"/>
  <c r="S1792" i="6"/>
  <c r="S1656" i="6"/>
  <c r="S1388" i="6"/>
  <c r="T1388" i="6"/>
  <c r="S1314" i="6"/>
  <c r="T1314" i="6"/>
  <c r="S1070" i="6"/>
  <c r="T1070" i="6"/>
  <c r="S1961" i="6"/>
  <c r="T1961" i="6"/>
  <c r="S1851" i="6"/>
  <c r="T1851" i="6"/>
  <c r="S1717" i="6"/>
  <c r="T1717" i="6"/>
  <c r="S1595" i="6"/>
  <c r="T1595" i="6"/>
  <c r="S1473" i="6"/>
  <c r="T1473" i="6"/>
  <c r="S1351" i="6"/>
  <c r="T1351" i="6"/>
  <c r="S1241" i="6"/>
  <c r="T1241" i="6"/>
  <c r="S1105" i="6"/>
  <c r="T1105" i="6"/>
  <c r="S849" i="6"/>
  <c r="T849" i="6"/>
  <c r="S691" i="6"/>
  <c r="T691" i="6"/>
  <c r="S531" i="6"/>
  <c r="T531" i="6"/>
  <c r="S397" i="6"/>
  <c r="T397" i="6"/>
  <c r="S141" i="6"/>
  <c r="T141" i="6"/>
  <c r="S55" i="6"/>
  <c r="T55" i="6"/>
  <c r="S930" i="6"/>
  <c r="T930" i="6"/>
  <c r="S2015" i="6"/>
  <c r="T2015" i="6"/>
  <c r="S1989" i="6"/>
  <c r="S1953" i="6"/>
  <c r="T1953" i="6"/>
  <c r="S1929" i="6"/>
  <c r="T1929" i="6"/>
  <c r="S1905" i="6"/>
  <c r="T1905" i="6"/>
  <c r="S1879" i="6"/>
  <c r="T1879" i="6"/>
  <c r="S1855" i="6"/>
  <c r="T1855" i="6"/>
  <c r="S1819" i="6"/>
  <c r="T1819" i="6"/>
  <c r="S1783" i="6"/>
  <c r="T1783" i="6"/>
  <c r="S1757" i="6"/>
  <c r="T1757" i="6"/>
  <c r="S1733" i="6"/>
  <c r="T1733" i="6"/>
  <c r="S1697" i="6"/>
  <c r="T1697" i="6"/>
  <c r="S1673" i="6"/>
  <c r="T1673" i="6"/>
  <c r="S1647" i="6"/>
  <c r="S1623" i="6"/>
  <c r="T1623" i="6"/>
  <c r="S1587" i="6"/>
  <c r="T1587" i="6"/>
  <c r="S1575" i="6"/>
  <c r="T1575" i="6"/>
  <c r="S1537" i="6"/>
  <c r="T1537" i="6"/>
  <c r="S1513" i="6"/>
  <c r="T1513" i="6"/>
  <c r="S1489" i="6"/>
  <c r="T1489" i="6"/>
  <c r="S1453" i="6"/>
  <c r="T1453" i="6"/>
  <c r="S1415" i="6"/>
  <c r="T1415" i="6"/>
  <c r="S1355" i="6"/>
  <c r="T1355" i="6"/>
  <c r="S1097" i="6"/>
  <c r="T1097" i="6"/>
  <c r="S2025" i="6"/>
  <c r="T2025" i="6"/>
  <c r="S2013" i="6"/>
  <c r="S2001" i="6"/>
  <c r="T2001" i="6"/>
  <c r="S1987" i="6"/>
  <c r="T1987" i="6"/>
  <c r="S1975" i="6"/>
  <c r="T1975" i="6"/>
  <c r="S1963" i="6"/>
  <c r="T1963" i="6"/>
  <c r="S1951" i="6"/>
  <c r="T1951" i="6"/>
  <c r="S1939" i="6"/>
  <c r="T1939" i="6"/>
  <c r="S1927" i="6"/>
  <c r="T1927" i="6"/>
  <c r="S1915" i="6"/>
  <c r="T1915" i="6"/>
  <c r="S1903" i="6"/>
  <c r="T1903" i="6"/>
  <c r="S1891" i="6"/>
  <c r="T1891" i="6"/>
  <c r="S1877" i="6"/>
  <c r="T1877" i="6"/>
  <c r="S1865" i="6"/>
  <c r="T1865" i="6"/>
  <c r="S1853" i="6"/>
  <c r="T1853" i="6"/>
  <c r="S1841" i="6"/>
  <c r="T1841" i="6"/>
  <c r="S1829" i="6"/>
  <c r="S1817" i="6"/>
  <c r="S1805" i="6"/>
  <c r="S1793" i="6"/>
  <c r="S1781" i="6"/>
  <c r="T1781" i="6"/>
  <c r="S1767" i="6"/>
  <c r="S1755" i="6"/>
  <c r="T1755" i="6"/>
  <c r="S1743" i="6"/>
  <c r="T1743" i="6"/>
  <c r="S1731" i="6"/>
  <c r="T1731" i="6"/>
  <c r="S1719" i="6"/>
  <c r="T1719" i="6"/>
  <c r="S1707" i="6"/>
  <c r="T1707" i="6"/>
  <c r="S1695" i="6"/>
  <c r="T1695" i="6"/>
  <c r="S1683" i="6"/>
  <c r="T1683" i="6"/>
  <c r="S1671" i="6"/>
  <c r="T1671" i="6"/>
  <c r="S1657" i="6"/>
  <c r="T1657" i="6"/>
  <c r="S1645" i="6"/>
  <c r="T1645" i="6"/>
  <c r="S1633" i="6"/>
  <c r="T1633" i="6"/>
  <c r="S1621" i="6"/>
  <c r="T1621" i="6"/>
  <c r="S1609" i="6"/>
  <c r="T1609" i="6"/>
  <c r="S1597" i="6"/>
  <c r="T1597" i="6"/>
  <c r="S1585" i="6"/>
  <c r="T1585" i="6"/>
  <c r="S1573" i="6"/>
  <c r="T1573" i="6"/>
  <c r="S1561" i="6"/>
  <c r="T1561" i="6"/>
  <c r="S1547" i="6"/>
  <c r="T1547" i="6"/>
  <c r="S1535" i="6"/>
  <c r="T1535" i="6"/>
  <c r="S1523" i="6"/>
  <c r="T1523" i="6"/>
  <c r="S1511" i="6"/>
  <c r="T1511" i="6"/>
  <c r="S1499" i="6"/>
  <c r="T1499" i="6"/>
  <c r="S1487" i="6"/>
  <c r="T1487" i="6"/>
  <c r="S1475" i="6"/>
  <c r="T1475" i="6"/>
  <c r="S1463" i="6"/>
  <c r="T1463" i="6"/>
  <c r="S1451" i="6"/>
  <c r="T1451" i="6"/>
  <c r="T1437" i="6"/>
  <c r="T1425" i="6"/>
  <c r="T1413" i="6"/>
  <c r="T1401" i="6"/>
  <c r="T1389" i="6"/>
  <c r="T1377" i="6"/>
  <c r="T1365" i="6"/>
  <c r="T1353" i="6"/>
  <c r="T1341" i="6"/>
  <c r="S1327" i="6"/>
  <c r="T1327" i="6"/>
  <c r="S1315" i="6"/>
  <c r="T1315" i="6"/>
  <c r="S1303" i="6"/>
  <c r="T1303" i="6"/>
  <c r="S1291" i="6"/>
  <c r="T1291" i="6"/>
  <c r="S1279" i="6"/>
  <c r="S1267" i="6"/>
  <c r="T1267" i="6"/>
  <c r="S1255" i="6"/>
  <c r="S1243" i="6"/>
  <c r="T1243" i="6"/>
  <c r="S1231" i="6"/>
  <c r="T1231" i="6"/>
  <c r="S1217" i="6"/>
  <c r="T1217" i="6"/>
  <c r="S1205" i="6"/>
  <c r="T1205" i="6"/>
  <c r="S1193" i="6"/>
  <c r="T1193" i="6"/>
  <c r="S1169" i="6"/>
  <c r="T1169" i="6"/>
  <c r="S1157" i="6"/>
  <c r="S1145" i="6"/>
  <c r="T1145" i="6"/>
  <c r="S1121" i="6"/>
  <c r="T1121" i="6"/>
  <c r="S1108" i="6"/>
  <c r="T1108" i="6"/>
  <c r="S1095" i="6"/>
  <c r="T1095" i="6"/>
  <c r="S1083" i="6"/>
  <c r="T1083" i="6"/>
  <c r="S1071" i="6"/>
  <c r="T1071" i="6"/>
  <c r="S1059" i="6"/>
  <c r="T1059" i="6"/>
  <c r="S1047" i="6"/>
  <c r="T1047" i="6"/>
  <c r="S1035" i="6"/>
  <c r="T1035" i="6"/>
  <c r="S1023" i="6"/>
  <c r="T1023" i="6"/>
  <c r="S1011" i="6"/>
  <c r="T1011" i="6"/>
  <c r="S998" i="6"/>
  <c r="T998" i="6"/>
  <c r="S985" i="6"/>
  <c r="T985" i="6"/>
  <c r="S973" i="6"/>
  <c r="T973" i="6"/>
  <c r="S961" i="6"/>
  <c r="T961" i="6"/>
  <c r="S949" i="6"/>
  <c r="T949" i="6"/>
  <c r="S937" i="6"/>
  <c r="T937" i="6"/>
  <c r="S925" i="6"/>
  <c r="T925" i="6"/>
  <c r="S913" i="6"/>
  <c r="T913" i="6"/>
  <c r="S901" i="6"/>
  <c r="T901" i="6"/>
  <c r="S889" i="6"/>
  <c r="T889" i="6"/>
  <c r="S875" i="6"/>
  <c r="T875" i="6"/>
  <c r="S863" i="6"/>
  <c r="T863" i="6"/>
  <c r="S851" i="6"/>
  <c r="T851" i="6"/>
  <c r="S839" i="6"/>
  <c r="S827" i="6"/>
  <c r="T827" i="6"/>
  <c r="S815" i="6"/>
  <c r="T815" i="6"/>
  <c r="S803" i="6"/>
  <c r="T803" i="6"/>
  <c r="S791" i="6"/>
  <c r="T791" i="6"/>
  <c r="S779" i="6"/>
  <c r="T779" i="6"/>
  <c r="T765" i="6"/>
  <c r="T753" i="6"/>
  <c r="T741" i="6"/>
  <c r="T729" i="6"/>
  <c r="T717" i="6"/>
  <c r="T705" i="6"/>
  <c r="T693" i="6"/>
  <c r="T681" i="6"/>
  <c r="T669" i="6"/>
  <c r="S655" i="6"/>
  <c r="T655" i="6"/>
  <c r="S643" i="6"/>
  <c r="T643" i="6"/>
  <c r="S631" i="6"/>
  <c r="T631" i="6"/>
  <c r="S619" i="6"/>
  <c r="S607" i="6"/>
  <c r="T607" i="6"/>
  <c r="S595" i="6"/>
  <c r="T595" i="6"/>
  <c r="S583" i="6"/>
  <c r="T583" i="6"/>
  <c r="S571" i="6"/>
  <c r="T571" i="6"/>
  <c r="S559" i="6"/>
  <c r="T559" i="6"/>
  <c r="T1938" i="6"/>
  <c r="T1794" i="6"/>
  <c r="T1325" i="6"/>
  <c r="S2000" i="6"/>
  <c r="T2000" i="6"/>
  <c r="S1828" i="6"/>
  <c r="T1828" i="6"/>
  <c r="S1694" i="6"/>
  <c r="T1694" i="6"/>
  <c r="S1572" i="6"/>
  <c r="T1572" i="6"/>
  <c r="S1364" i="6"/>
  <c r="T1364" i="6"/>
  <c r="S1254" i="6"/>
  <c r="T1254" i="6"/>
  <c r="S1230" i="6"/>
  <c r="T1230" i="6"/>
  <c r="S1216" i="6"/>
  <c r="T1216" i="6"/>
  <c r="S1204" i="6"/>
  <c r="T1204" i="6"/>
  <c r="S1192" i="6"/>
  <c r="T1192" i="6"/>
  <c r="S1180" i="6"/>
  <c r="T1180" i="6"/>
  <c r="S1168" i="6"/>
  <c r="T1168" i="6"/>
  <c r="S1156" i="6"/>
  <c r="T1156" i="6"/>
  <c r="S1144" i="6"/>
  <c r="T1144" i="6"/>
  <c r="S1132" i="6"/>
  <c r="S1120" i="6"/>
  <c r="T1120" i="6"/>
  <c r="S1106" i="6"/>
  <c r="T1106" i="6"/>
  <c r="S1082" i="6"/>
  <c r="T1082" i="6"/>
  <c r="S1034" i="6"/>
  <c r="T1034" i="6"/>
  <c r="S960" i="6"/>
  <c r="T960" i="6"/>
  <c r="S948" i="6"/>
  <c r="T948" i="6"/>
  <c r="S936" i="6"/>
  <c r="T936" i="6"/>
  <c r="S924" i="6"/>
  <c r="T924" i="6"/>
  <c r="S912" i="6"/>
  <c r="T912" i="6"/>
  <c r="S900" i="6"/>
  <c r="T900" i="6"/>
  <c r="S850" i="6"/>
  <c r="T850" i="6"/>
  <c r="S790" i="6"/>
  <c r="T790" i="6"/>
  <c r="S764" i="6"/>
  <c r="T764" i="6"/>
  <c r="S752" i="6"/>
  <c r="T752" i="6"/>
  <c r="S740" i="6"/>
  <c r="T740" i="6"/>
  <c r="S728" i="6"/>
  <c r="T728" i="6"/>
  <c r="S716" i="6"/>
  <c r="T716" i="6"/>
  <c r="S704" i="6"/>
  <c r="T704" i="6"/>
  <c r="S692" i="6"/>
  <c r="T692" i="6"/>
  <c r="S680" i="6"/>
  <c r="T680" i="6"/>
  <c r="S668" i="6"/>
  <c r="T668" i="6"/>
  <c r="S654" i="6"/>
  <c r="T654" i="6"/>
  <c r="S642" i="6"/>
  <c r="T642" i="6"/>
  <c r="S630" i="6"/>
  <c r="T630" i="6"/>
  <c r="S618" i="6"/>
  <c r="S606" i="6"/>
  <c r="T606" i="6"/>
  <c r="S594" i="6"/>
  <c r="T594" i="6"/>
  <c r="S582" i="6"/>
  <c r="T582" i="6"/>
  <c r="S570" i="6"/>
  <c r="T570" i="6"/>
  <c r="S558" i="6"/>
  <c r="T558" i="6"/>
  <c r="S544" i="6"/>
  <c r="T544" i="6"/>
  <c r="S532" i="6"/>
  <c r="T532" i="6"/>
  <c r="S520" i="6"/>
  <c r="T520" i="6"/>
  <c r="S508" i="6"/>
  <c r="T508" i="6"/>
  <c r="S496" i="6"/>
  <c r="T496" i="6"/>
  <c r="S484" i="6"/>
  <c r="T484" i="6"/>
  <c r="S472" i="6"/>
  <c r="T472" i="6"/>
  <c r="S460" i="6"/>
  <c r="T460" i="6"/>
  <c r="S448" i="6"/>
  <c r="T448" i="6"/>
  <c r="S434" i="6"/>
  <c r="T434" i="6"/>
  <c r="S422" i="6"/>
  <c r="T422" i="6"/>
  <c r="S410" i="6"/>
  <c r="T410" i="6"/>
  <c r="S398" i="6"/>
  <c r="T398" i="6"/>
  <c r="S386" i="6"/>
  <c r="T386" i="6"/>
  <c r="S374" i="6"/>
  <c r="T374" i="6"/>
  <c r="S362" i="6"/>
  <c r="T362" i="6"/>
  <c r="S350" i="6"/>
  <c r="T350" i="6"/>
  <c r="S338" i="6"/>
  <c r="T338" i="6"/>
  <c r="S324" i="6"/>
  <c r="T324" i="6"/>
  <c r="S312" i="6"/>
  <c r="T312" i="6"/>
  <c r="S300" i="6"/>
  <c r="T300" i="6"/>
  <c r="S288" i="6"/>
  <c r="T288" i="6"/>
  <c r="S276" i="6"/>
  <c r="T276" i="6"/>
  <c r="S264" i="6"/>
  <c r="T264" i="6"/>
  <c r="S252" i="6"/>
  <c r="T252" i="6"/>
  <c r="S240" i="6"/>
  <c r="T240" i="6"/>
  <c r="S228" i="6"/>
  <c r="T228" i="6"/>
  <c r="S104" i="6"/>
  <c r="T104" i="6"/>
  <c r="S92" i="6"/>
  <c r="T92" i="6"/>
  <c r="S80" i="6"/>
  <c r="T80" i="6"/>
  <c r="S68" i="6"/>
  <c r="T68" i="6"/>
  <c r="S56" i="6"/>
  <c r="T56" i="6"/>
  <c r="S44" i="6"/>
  <c r="T44" i="6"/>
  <c r="S32" i="6"/>
  <c r="T32" i="6"/>
  <c r="S20" i="6"/>
  <c r="T20" i="6"/>
  <c r="S8" i="6"/>
  <c r="T8" i="6"/>
  <c r="T1926" i="6"/>
  <c r="T1782" i="6"/>
  <c r="S2012" i="6"/>
  <c r="T2012" i="6"/>
  <c r="S1754" i="6"/>
  <c r="T1754" i="6"/>
  <c r="S1644" i="6"/>
  <c r="T1644" i="6"/>
  <c r="S1376" i="6"/>
  <c r="T1376" i="6"/>
  <c r="S1266" i="6"/>
  <c r="T1266" i="6"/>
  <c r="S1046" i="6"/>
  <c r="T1046" i="6"/>
  <c r="S2011" i="6"/>
  <c r="T2011" i="6"/>
  <c r="S1889" i="6"/>
  <c r="T1889" i="6"/>
  <c r="S1765" i="6"/>
  <c r="T1765" i="6"/>
  <c r="S1619" i="6"/>
  <c r="S1509" i="6"/>
  <c r="T1509" i="6"/>
  <c r="S1363" i="6"/>
  <c r="T1363" i="6"/>
  <c r="S1119" i="6"/>
  <c r="T1119" i="6"/>
  <c r="S1021" i="6"/>
  <c r="T1021" i="6"/>
  <c r="S813" i="6"/>
  <c r="T813" i="6"/>
  <c r="S703" i="6"/>
  <c r="T703" i="6"/>
  <c r="S605" i="6"/>
  <c r="T605" i="6"/>
  <c r="S519" i="6"/>
  <c r="S373" i="6"/>
  <c r="T373" i="6"/>
  <c r="S213" i="6"/>
  <c r="T213" i="6"/>
  <c r="S103" i="6"/>
  <c r="T103" i="6"/>
  <c r="S43" i="6"/>
  <c r="T43" i="6"/>
  <c r="T1914" i="6"/>
  <c r="S1852" i="6"/>
  <c r="T1852" i="6"/>
  <c r="S1730" i="6"/>
  <c r="T1730" i="6"/>
  <c r="S1620" i="6"/>
  <c r="T1620" i="6"/>
  <c r="S1326" i="6"/>
  <c r="T1326" i="6"/>
  <c r="S997" i="6"/>
  <c r="T997" i="6"/>
  <c r="S2023" i="6"/>
  <c r="T2023" i="6"/>
  <c r="S1901" i="6"/>
  <c r="T1901" i="6"/>
  <c r="S1779" i="6"/>
  <c r="S1681" i="6"/>
  <c r="T1681" i="6"/>
  <c r="S1559" i="6"/>
  <c r="T1559" i="6"/>
  <c r="S1411" i="6"/>
  <c r="T1411" i="6"/>
  <c r="S1289" i="6"/>
  <c r="T1289" i="6"/>
  <c r="S1179" i="6"/>
  <c r="T1179" i="6"/>
  <c r="S1069" i="6"/>
  <c r="T1069" i="6"/>
  <c r="S789" i="6"/>
  <c r="T789" i="6"/>
  <c r="S641" i="6"/>
  <c r="T641" i="6"/>
  <c r="S483" i="6"/>
  <c r="T483" i="6"/>
  <c r="S177" i="6"/>
  <c r="T177" i="6"/>
  <c r="T1902" i="6"/>
  <c r="T1181" i="6"/>
  <c r="S1864" i="6"/>
  <c r="S1742" i="6"/>
  <c r="T1742" i="6"/>
  <c r="S1632" i="6"/>
  <c r="S1400" i="6"/>
  <c r="T1400" i="6"/>
  <c r="S1302" i="6"/>
  <c r="T1302" i="6"/>
  <c r="S1022" i="6"/>
  <c r="T1022" i="6"/>
  <c r="S1937" i="6"/>
  <c r="S1839" i="6"/>
  <c r="T1839" i="6"/>
  <c r="S1693" i="6"/>
  <c r="T1693" i="6"/>
  <c r="S1545" i="6"/>
  <c r="T1545" i="6"/>
  <c r="S1399" i="6"/>
  <c r="T1399" i="6"/>
  <c r="S1155" i="6"/>
  <c r="T1155" i="6"/>
  <c r="S1033" i="6"/>
  <c r="T1033" i="6"/>
  <c r="S837" i="6"/>
  <c r="T837" i="6"/>
  <c r="S739" i="6"/>
  <c r="T739" i="6"/>
  <c r="S617" i="6"/>
  <c r="T617" i="6"/>
  <c r="S543" i="6"/>
  <c r="T543" i="6"/>
  <c r="S447" i="6"/>
  <c r="T447" i="6"/>
  <c r="S385" i="6"/>
  <c r="T385" i="6"/>
  <c r="S117" i="6"/>
  <c r="T117" i="6"/>
  <c r="S31" i="6"/>
  <c r="T31" i="6"/>
  <c r="T1890" i="6"/>
  <c r="T1133" i="6"/>
  <c r="S1876" i="6"/>
  <c r="T1876" i="6"/>
  <c r="S1766" i="6"/>
  <c r="T1766" i="6"/>
  <c r="S1670" i="6"/>
  <c r="T1670" i="6"/>
  <c r="S1596" i="6"/>
  <c r="T1596" i="6"/>
  <c r="S1584" i="6"/>
  <c r="T1584" i="6"/>
  <c r="S1560" i="6"/>
  <c r="T1560" i="6"/>
  <c r="S1436" i="6"/>
  <c r="T1436" i="6"/>
  <c r="S1278" i="6"/>
  <c r="S972" i="6"/>
  <c r="T972" i="6"/>
  <c r="S1999" i="6"/>
  <c r="T1999" i="6"/>
  <c r="S1913" i="6"/>
  <c r="T1913" i="6"/>
  <c r="S1827" i="6"/>
  <c r="T1827" i="6"/>
  <c r="S1741" i="6"/>
  <c r="T1741" i="6"/>
  <c r="S1669" i="6"/>
  <c r="T1669" i="6"/>
  <c r="S1607" i="6"/>
  <c r="T1607" i="6"/>
  <c r="S1533" i="6"/>
  <c r="T1533" i="6"/>
  <c r="S1449" i="6"/>
  <c r="T1449" i="6"/>
  <c r="S1375" i="6"/>
  <c r="T1375" i="6"/>
  <c r="S1301" i="6"/>
  <c r="T1301" i="6"/>
  <c r="S1215" i="6"/>
  <c r="T1215" i="6"/>
  <c r="S1143" i="6"/>
  <c r="T1143" i="6"/>
  <c r="S1045" i="6"/>
  <c r="T1045" i="6"/>
  <c r="S873" i="6"/>
  <c r="T873" i="6"/>
  <c r="S763" i="6"/>
  <c r="T763" i="6"/>
  <c r="S679" i="6"/>
  <c r="T679" i="6"/>
  <c r="S593" i="6"/>
  <c r="T593" i="6"/>
  <c r="S471" i="6"/>
  <c r="T471" i="6"/>
  <c r="S409" i="6"/>
  <c r="T409" i="6"/>
  <c r="S337" i="6"/>
  <c r="T337" i="6"/>
  <c r="S201" i="6"/>
  <c r="T201" i="6"/>
  <c r="S129" i="6"/>
  <c r="T129" i="6"/>
  <c r="S79" i="6"/>
  <c r="T79" i="6"/>
  <c r="S7" i="6"/>
  <c r="T7" i="6"/>
  <c r="T1878" i="6"/>
  <c r="T1037" i="6"/>
  <c r="S2024" i="6"/>
  <c r="T2024" i="6"/>
  <c r="S1804" i="6"/>
  <c r="S1682" i="6"/>
  <c r="T1682" i="6"/>
  <c r="S1412" i="6"/>
  <c r="T1412" i="6"/>
  <c r="S1340" i="6"/>
  <c r="T1340" i="6"/>
  <c r="S1058" i="6"/>
  <c r="T1058" i="6"/>
  <c r="S1973" i="6"/>
  <c r="T1973" i="6"/>
  <c r="S1863" i="6"/>
  <c r="T1863" i="6"/>
  <c r="S1753" i="6"/>
  <c r="T1753" i="6"/>
  <c r="S1631" i="6"/>
  <c r="T1631" i="6"/>
  <c r="S1521" i="6"/>
  <c r="T1521" i="6"/>
  <c r="S1387" i="6"/>
  <c r="T1387" i="6"/>
  <c r="S1265" i="6"/>
  <c r="T1265" i="6"/>
  <c r="S1131" i="6"/>
  <c r="S886" i="6"/>
  <c r="T886" i="6"/>
  <c r="S715" i="6"/>
  <c r="T715" i="6"/>
  <c r="S557" i="6"/>
  <c r="T557" i="6"/>
  <c r="S349" i="6"/>
  <c r="T349" i="6"/>
  <c r="T1866" i="6"/>
  <c r="S1764" i="6"/>
  <c r="T1764" i="6"/>
  <c r="S1752" i="6"/>
  <c r="T1752" i="6"/>
  <c r="S1740" i="6"/>
  <c r="T1740" i="6"/>
  <c r="S1728" i="6"/>
  <c r="T1728" i="6"/>
  <c r="S1716" i="6"/>
  <c r="T1716" i="6"/>
  <c r="S1704" i="6"/>
  <c r="T1704" i="6"/>
  <c r="S1692" i="6"/>
  <c r="T1692" i="6"/>
  <c r="S1680" i="6"/>
  <c r="T1680" i="6"/>
  <c r="S1668" i="6"/>
  <c r="T1668" i="6"/>
  <c r="S1434" i="6"/>
  <c r="T1434" i="6"/>
  <c r="S1422" i="6"/>
  <c r="T1422" i="6"/>
  <c r="S1410" i="6"/>
  <c r="T1410" i="6"/>
  <c r="S1398" i="6"/>
  <c r="T1398" i="6"/>
  <c r="S1386" i="6"/>
  <c r="T1386" i="6"/>
  <c r="S1374" i="6"/>
  <c r="T1374" i="6"/>
  <c r="S1362" i="6"/>
  <c r="T1362" i="6"/>
  <c r="S1350" i="6"/>
  <c r="T1350" i="6"/>
  <c r="S1338" i="6"/>
  <c r="T1338" i="6"/>
  <c r="S1324" i="6"/>
  <c r="T1324" i="6"/>
  <c r="S1312" i="6"/>
  <c r="T1312" i="6"/>
  <c r="S1300" i="6"/>
  <c r="T1300" i="6"/>
  <c r="S1288" i="6"/>
  <c r="T1288" i="6"/>
  <c r="S1276" i="6"/>
  <c r="T1276" i="6"/>
  <c r="S1264" i="6"/>
  <c r="T1264" i="6"/>
  <c r="S1252" i="6"/>
  <c r="T1252" i="6"/>
  <c r="S1240" i="6"/>
  <c r="T1240" i="6"/>
  <c r="S1228" i="6"/>
  <c r="T1228" i="6"/>
  <c r="S1214" i="6"/>
  <c r="T1214" i="6"/>
  <c r="S1202" i="6"/>
  <c r="T1202" i="6"/>
  <c r="S1190" i="6"/>
  <c r="T1190" i="6"/>
  <c r="S1178" i="6"/>
  <c r="T1178" i="6"/>
  <c r="S1166" i="6"/>
  <c r="T1166" i="6"/>
  <c r="S1154" i="6"/>
  <c r="T1154" i="6"/>
  <c r="S1142" i="6"/>
  <c r="T1142" i="6"/>
  <c r="S1130" i="6"/>
  <c r="T1130" i="6"/>
  <c r="S1118" i="6"/>
  <c r="T1118" i="6"/>
  <c r="S1092" i="6"/>
  <c r="T1092" i="6"/>
  <c r="S1080" i="6"/>
  <c r="T1080" i="6"/>
  <c r="S1056" i="6"/>
  <c r="T1056" i="6"/>
  <c r="S1044" i="6"/>
  <c r="T1044" i="6"/>
  <c r="S1032" i="6"/>
  <c r="T1032" i="6"/>
  <c r="S994" i="6"/>
  <c r="T994" i="6"/>
  <c r="S982" i="6"/>
  <c r="T982" i="6"/>
  <c r="S970" i="6"/>
  <c r="T970" i="6"/>
  <c r="S958" i="6"/>
  <c r="T958" i="6"/>
  <c r="S946" i="6"/>
  <c r="T946" i="6"/>
  <c r="S934" i="6"/>
  <c r="T934" i="6"/>
  <c r="S922" i="6"/>
  <c r="T922" i="6"/>
  <c r="S910" i="6"/>
  <c r="T910" i="6"/>
  <c r="S898" i="6"/>
  <c r="T898" i="6"/>
  <c r="S884" i="6"/>
  <c r="T884" i="6"/>
  <c r="S872" i="6"/>
  <c r="T872" i="6"/>
  <c r="S860" i="6"/>
  <c r="T860" i="6"/>
  <c r="S848" i="6"/>
  <c r="T848" i="6"/>
  <c r="S836" i="6"/>
  <c r="T836" i="6"/>
  <c r="S824" i="6"/>
  <c r="T824" i="6"/>
  <c r="S812" i="6"/>
  <c r="T812" i="6"/>
  <c r="S800" i="6"/>
  <c r="T800" i="6"/>
  <c r="S788" i="6"/>
  <c r="T788" i="6"/>
  <c r="S775" i="6"/>
  <c r="T775" i="6"/>
  <c r="S762" i="6"/>
  <c r="T762" i="6"/>
  <c r="S738" i="6"/>
  <c r="T738" i="6"/>
  <c r="S726" i="6"/>
  <c r="T726" i="6"/>
  <c r="S702" i="6"/>
  <c r="T702" i="6"/>
  <c r="S690" i="6"/>
  <c r="T690" i="6"/>
  <c r="S665" i="6"/>
  <c r="T665" i="6"/>
  <c r="S652" i="6"/>
  <c r="T652" i="6"/>
  <c r="S640" i="6"/>
  <c r="T640" i="6"/>
  <c r="S628" i="6"/>
  <c r="T628" i="6"/>
  <c r="S616" i="6"/>
  <c r="T616" i="6"/>
  <c r="S604" i="6"/>
  <c r="T604" i="6"/>
  <c r="S592" i="6"/>
  <c r="T592" i="6"/>
  <c r="S580" i="6"/>
  <c r="T580" i="6"/>
  <c r="S568" i="6"/>
  <c r="T568" i="6"/>
  <c r="S556" i="6"/>
  <c r="T556" i="6"/>
  <c r="S542" i="6"/>
  <c r="T542" i="6"/>
  <c r="S530" i="6"/>
  <c r="T530" i="6"/>
  <c r="S506" i="6"/>
  <c r="T506" i="6"/>
  <c r="S494" i="6"/>
  <c r="T494" i="6"/>
  <c r="S482" i="6"/>
  <c r="T482" i="6"/>
  <c r="S458" i="6"/>
  <c r="T458" i="6"/>
  <c r="S446" i="6"/>
  <c r="T446" i="6"/>
  <c r="S322" i="6"/>
  <c r="T322" i="6"/>
  <c r="S310" i="6"/>
  <c r="T310" i="6"/>
  <c r="S298" i="6"/>
  <c r="T298" i="6"/>
  <c r="S286" i="6"/>
  <c r="T286" i="6"/>
  <c r="S274" i="6"/>
  <c r="T274" i="6"/>
  <c r="S262" i="6"/>
  <c r="T262" i="6"/>
  <c r="S250" i="6"/>
  <c r="T250" i="6"/>
  <c r="S226" i="6"/>
  <c r="T226" i="6"/>
  <c r="S212" i="6"/>
  <c r="T212" i="6"/>
  <c r="S200" i="6"/>
  <c r="T200" i="6"/>
  <c r="S188" i="6"/>
  <c r="T188" i="6"/>
  <c r="S176" i="6"/>
  <c r="T176" i="6"/>
  <c r="S164" i="6"/>
  <c r="T164" i="6"/>
  <c r="S152" i="6"/>
  <c r="T152" i="6"/>
  <c r="S140" i="6"/>
  <c r="T140" i="6"/>
  <c r="S128" i="6"/>
  <c r="T128" i="6"/>
  <c r="S116" i="6"/>
  <c r="T116" i="6"/>
  <c r="S102" i="6"/>
  <c r="T102" i="6"/>
  <c r="S90" i="6"/>
  <c r="T90" i="6"/>
  <c r="S78" i="6"/>
  <c r="T78" i="6"/>
  <c r="S66" i="6"/>
  <c r="T66" i="6"/>
  <c r="S54" i="6"/>
  <c r="T54" i="6"/>
  <c r="S42" i="6"/>
  <c r="T42" i="6"/>
  <c r="S30" i="6"/>
  <c r="T30" i="6"/>
  <c r="S18" i="6"/>
  <c r="T18" i="6"/>
  <c r="S6" i="6"/>
  <c r="T6" i="6"/>
  <c r="T2021" i="6"/>
  <c r="T2009" i="6"/>
  <c r="T1997" i="6"/>
  <c r="T1654" i="6"/>
  <c r="T1606" i="6"/>
  <c r="T1558" i="6"/>
  <c r="T1318" i="6"/>
  <c r="T1270" i="6"/>
  <c r="T1222" i="6"/>
  <c r="S1763" i="6"/>
  <c r="T1763" i="6"/>
  <c r="S1751" i="6"/>
  <c r="T1751" i="6"/>
  <c r="S1739" i="6"/>
  <c r="T1739" i="6"/>
  <c r="S1727" i="6"/>
  <c r="S1715" i="6"/>
  <c r="T1715" i="6"/>
  <c r="S1703" i="6"/>
  <c r="T1703" i="6"/>
  <c r="S1691" i="6"/>
  <c r="T1691" i="6"/>
  <c r="S1679" i="6"/>
  <c r="T1679" i="6"/>
  <c r="S1667" i="6"/>
  <c r="T1667" i="6"/>
  <c r="S1653" i="6"/>
  <c r="T1653" i="6"/>
  <c r="S1641" i="6"/>
  <c r="T1641" i="6"/>
  <c r="S1629" i="6"/>
  <c r="T1629" i="6"/>
  <c r="S1617" i="6"/>
  <c r="T1617" i="6"/>
  <c r="S1605" i="6"/>
  <c r="T1605" i="6"/>
  <c r="S1593" i="6"/>
  <c r="T1593" i="6"/>
  <c r="S1581" i="6"/>
  <c r="T1581" i="6"/>
  <c r="S1569" i="6"/>
  <c r="S1557" i="6"/>
  <c r="T1557" i="6"/>
  <c r="S1543" i="6"/>
  <c r="S1531" i="6"/>
  <c r="T1531" i="6"/>
  <c r="S1519" i="6"/>
  <c r="T1519" i="6"/>
  <c r="S1507" i="6"/>
  <c r="T1507" i="6"/>
  <c r="S1495" i="6"/>
  <c r="T1495" i="6"/>
  <c r="S1483" i="6"/>
  <c r="T1483" i="6"/>
  <c r="S1471" i="6"/>
  <c r="T1471" i="6"/>
  <c r="S1459" i="6"/>
  <c r="S1447" i="6"/>
  <c r="S1323" i="6"/>
  <c r="T1323" i="6"/>
  <c r="S1311" i="6"/>
  <c r="T1311" i="6"/>
  <c r="S1299" i="6"/>
  <c r="T1299" i="6"/>
  <c r="S1287" i="6"/>
  <c r="T1287" i="6"/>
  <c r="S1275" i="6"/>
  <c r="S1263" i="6"/>
  <c r="T1263" i="6"/>
  <c r="S1251" i="6"/>
  <c r="T1251" i="6"/>
  <c r="S1239" i="6"/>
  <c r="T1239" i="6"/>
  <c r="S1227" i="6"/>
  <c r="S1201" i="6"/>
  <c r="T1201" i="6"/>
  <c r="S1177" i="6"/>
  <c r="T1177" i="6"/>
  <c r="S1165" i="6"/>
  <c r="T1165" i="6"/>
  <c r="S1103" i="6"/>
  <c r="T1103" i="6"/>
  <c r="S1091" i="6"/>
  <c r="T1091" i="6"/>
  <c r="S1079" i="6"/>
  <c r="S1067" i="6"/>
  <c r="T1067" i="6"/>
  <c r="S1055" i="6"/>
  <c r="T1055" i="6"/>
  <c r="S1043" i="6"/>
  <c r="T1043" i="6"/>
  <c r="S1031" i="6"/>
  <c r="T1031" i="6"/>
  <c r="S1019" i="6"/>
  <c r="T1019" i="6"/>
  <c r="S1007" i="6"/>
  <c r="T1007" i="6"/>
  <c r="S993" i="6"/>
  <c r="T993" i="6"/>
  <c r="S969" i="6"/>
  <c r="T969" i="6"/>
  <c r="S957" i="6"/>
  <c r="T957" i="6"/>
  <c r="S945" i="6"/>
  <c r="T945" i="6"/>
  <c r="S933" i="6"/>
  <c r="T933" i="6"/>
  <c r="S921" i="6"/>
  <c r="T921" i="6"/>
  <c r="S909" i="6"/>
  <c r="T909" i="6"/>
  <c r="S897" i="6"/>
  <c r="T897" i="6"/>
  <c r="S883" i="6"/>
  <c r="T883" i="6"/>
  <c r="S871" i="6"/>
  <c r="T871" i="6"/>
  <c r="S859" i="6"/>
  <c r="T859" i="6"/>
  <c r="S847" i="6"/>
  <c r="T847" i="6"/>
  <c r="S835" i="6"/>
  <c r="T835" i="6"/>
  <c r="S823" i="6"/>
  <c r="T823" i="6"/>
  <c r="S811" i="6"/>
  <c r="T811" i="6"/>
  <c r="S799" i="6"/>
  <c r="T799" i="6"/>
  <c r="S787" i="6"/>
  <c r="T787" i="6"/>
  <c r="S773" i="6"/>
  <c r="T773" i="6"/>
  <c r="S761" i="6"/>
  <c r="T761" i="6"/>
  <c r="S749" i="6"/>
  <c r="T749" i="6"/>
  <c r="S737" i="6"/>
  <c r="T737" i="6"/>
  <c r="S725" i="6"/>
  <c r="T725" i="6"/>
  <c r="S713" i="6"/>
  <c r="T713" i="6"/>
  <c r="S701" i="6"/>
  <c r="T701" i="6"/>
  <c r="S689" i="6"/>
  <c r="T689" i="6"/>
  <c r="S677" i="6"/>
  <c r="T677" i="6"/>
  <c r="S664" i="6"/>
  <c r="T664" i="6"/>
  <c r="S651" i="6"/>
  <c r="T651" i="6"/>
  <c r="S639" i="6"/>
  <c r="T639" i="6"/>
  <c r="S627" i="6"/>
  <c r="T627" i="6"/>
  <c r="S615" i="6"/>
  <c r="S603" i="6"/>
  <c r="T603" i="6"/>
  <c r="S591" i="6"/>
  <c r="T591" i="6"/>
  <c r="S579" i="6"/>
  <c r="T579" i="6"/>
  <c r="S567" i="6"/>
  <c r="T567" i="6"/>
  <c r="S554" i="6"/>
  <c r="T554" i="6"/>
  <c r="S541" i="6"/>
  <c r="T541" i="6"/>
  <c r="S529" i="6"/>
  <c r="T529" i="6"/>
  <c r="S517" i="6"/>
  <c r="T517" i="6"/>
  <c r="S505" i="6"/>
  <c r="T505" i="6"/>
  <c r="S493" i="6"/>
  <c r="T493" i="6"/>
  <c r="S481" i="6"/>
  <c r="T481" i="6"/>
  <c r="S469" i="6"/>
  <c r="T469" i="6"/>
  <c r="S457" i="6"/>
  <c r="T457" i="6"/>
  <c r="S445" i="6"/>
  <c r="T445" i="6"/>
  <c r="S431" i="6"/>
  <c r="T431" i="6"/>
  <c r="S419" i="6"/>
  <c r="T419" i="6"/>
  <c r="S407" i="6"/>
  <c r="T407" i="6"/>
  <c r="S395" i="6"/>
  <c r="T395" i="6"/>
  <c r="S383" i="6"/>
  <c r="T383" i="6"/>
  <c r="S371" i="6"/>
  <c r="S359" i="6"/>
  <c r="T359" i="6"/>
  <c r="S347" i="6"/>
  <c r="T347" i="6"/>
  <c r="S335" i="6"/>
  <c r="T335" i="6"/>
  <c r="S321" i="6"/>
  <c r="T321" i="6"/>
  <c r="S309" i="6"/>
  <c r="T309" i="6"/>
  <c r="S297" i="6"/>
  <c r="T297" i="6"/>
  <c r="S285" i="6"/>
  <c r="T285" i="6"/>
  <c r="S273" i="6"/>
  <c r="T273" i="6"/>
  <c r="S261" i="6"/>
  <c r="T261" i="6"/>
  <c r="S249" i="6"/>
  <c r="T249" i="6"/>
  <c r="S237" i="6"/>
  <c r="T237" i="6"/>
  <c r="S225" i="6"/>
  <c r="T225" i="6"/>
  <c r="S211" i="6"/>
  <c r="T211" i="6"/>
  <c r="S199" i="6"/>
  <c r="T199" i="6"/>
  <c r="S187" i="6"/>
  <c r="T187" i="6"/>
  <c r="S175" i="6"/>
  <c r="T175" i="6"/>
  <c r="S163" i="6"/>
  <c r="T163" i="6"/>
  <c r="S151" i="6"/>
  <c r="T151" i="6"/>
  <c r="S139" i="6"/>
  <c r="T139" i="6"/>
  <c r="S127" i="6"/>
  <c r="S115" i="6"/>
  <c r="T115" i="6"/>
  <c r="S101" i="6"/>
  <c r="T101" i="6"/>
  <c r="S89" i="6"/>
  <c r="T89" i="6"/>
  <c r="S77" i="6"/>
  <c r="T77" i="6"/>
  <c r="S65" i="6"/>
  <c r="T65" i="6"/>
  <c r="S53" i="6"/>
  <c r="T53" i="6"/>
  <c r="S41" i="6"/>
  <c r="T41" i="6"/>
  <c r="S29" i="6"/>
  <c r="T29" i="6"/>
  <c r="S17" i="6"/>
  <c r="T17" i="6"/>
  <c r="S5" i="6"/>
  <c r="T5" i="6"/>
  <c r="T2020" i="6"/>
  <c r="T1996" i="6"/>
  <c r="T1984" i="6"/>
  <c r="T1972" i="6"/>
  <c r="T1960" i="6"/>
  <c r="T1912" i="6"/>
  <c r="T1900" i="6"/>
  <c r="T1888" i="6"/>
  <c r="T1652" i="6"/>
  <c r="T1604" i="6"/>
  <c r="T1556" i="6"/>
  <c r="T1508" i="6"/>
  <c r="T1460" i="6"/>
  <c r="T1172" i="6"/>
  <c r="T1124" i="6"/>
  <c r="T1005" i="6"/>
  <c r="S1542" i="6"/>
  <c r="T1542" i="6"/>
  <c r="S1530" i="6"/>
  <c r="S1518" i="6"/>
  <c r="S1506" i="6"/>
  <c r="T1506" i="6"/>
  <c r="S1494" i="6"/>
  <c r="T1494" i="6"/>
  <c r="S1482" i="6"/>
  <c r="T1482" i="6"/>
  <c r="S1470" i="6"/>
  <c r="T1470" i="6"/>
  <c r="S1458" i="6"/>
  <c r="T1458" i="6"/>
  <c r="S1446" i="6"/>
  <c r="S1432" i="6"/>
  <c r="T1432" i="6"/>
  <c r="S1420" i="6"/>
  <c r="S1408" i="6"/>
  <c r="T1408" i="6"/>
  <c r="S1396" i="6"/>
  <c r="S1384" i="6"/>
  <c r="T1384" i="6"/>
  <c r="S1372" i="6"/>
  <c r="S1360" i="6"/>
  <c r="T1360" i="6"/>
  <c r="S1348" i="6"/>
  <c r="T1348" i="6"/>
  <c r="S1336" i="6"/>
  <c r="T1336" i="6"/>
  <c r="S1322" i="6"/>
  <c r="T1322" i="6"/>
  <c r="S1298" i="6"/>
  <c r="T1298" i="6"/>
  <c r="S1286" i="6"/>
  <c r="T1286" i="6"/>
  <c r="S1274" i="6"/>
  <c r="S1262" i="6"/>
  <c r="T1262" i="6"/>
  <c r="S1250" i="6"/>
  <c r="T1250" i="6"/>
  <c r="S1238" i="6"/>
  <c r="T1238" i="6"/>
  <c r="S1226" i="6"/>
  <c r="T1226" i="6"/>
  <c r="S1212" i="6"/>
  <c r="T1212" i="6"/>
  <c r="S1200" i="6"/>
  <c r="T1200" i="6"/>
  <c r="S1188" i="6"/>
  <c r="T1188" i="6"/>
  <c r="S1176" i="6"/>
  <c r="S1164" i="6"/>
  <c r="T1164" i="6"/>
  <c r="S1152" i="6"/>
  <c r="T1152" i="6"/>
  <c r="S1140" i="6"/>
  <c r="T1140" i="6"/>
  <c r="S1128" i="6"/>
  <c r="T1128" i="6"/>
  <c r="S1116" i="6"/>
  <c r="T1116" i="6"/>
  <c r="S1102" i="6"/>
  <c r="T1102" i="6"/>
  <c r="S1090" i="6"/>
  <c r="T1090" i="6"/>
  <c r="S1078" i="6"/>
  <c r="T1078" i="6"/>
  <c r="S1066" i="6"/>
  <c r="T1066" i="6"/>
  <c r="S1054" i="6"/>
  <c r="T1054" i="6"/>
  <c r="S1042" i="6"/>
  <c r="T1042" i="6"/>
  <c r="S1030" i="6"/>
  <c r="T1030" i="6"/>
  <c r="S1018" i="6"/>
  <c r="T1018" i="6"/>
  <c r="S1006" i="6"/>
  <c r="T1006" i="6"/>
  <c r="S992" i="6"/>
  <c r="T992" i="6"/>
  <c r="S980" i="6"/>
  <c r="T980" i="6"/>
  <c r="S968" i="6"/>
  <c r="T968" i="6"/>
  <c r="S956" i="6"/>
  <c r="T956" i="6"/>
  <c r="S944" i="6"/>
  <c r="T944" i="6"/>
  <c r="S932" i="6"/>
  <c r="T932" i="6"/>
  <c r="S920" i="6"/>
  <c r="T920" i="6"/>
  <c r="S908" i="6"/>
  <c r="T908" i="6"/>
  <c r="S896" i="6"/>
  <c r="T896" i="6"/>
  <c r="S882" i="6"/>
  <c r="T882" i="6"/>
  <c r="S870" i="6"/>
  <c r="T870" i="6"/>
  <c r="S846" i="6"/>
  <c r="T846" i="6"/>
  <c r="S834" i="6"/>
  <c r="T834" i="6"/>
  <c r="S810" i="6"/>
  <c r="S798" i="6"/>
  <c r="T798" i="6"/>
  <c r="S772" i="6"/>
  <c r="T772" i="6"/>
  <c r="S760" i="6"/>
  <c r="T760" i="6"/>
  <c r="S748" i="6"/>
  <c r="T748" i="6"/>
  <c r="S736" i="6"/>
  <c r="T736" i="6"/>
  <c r="S724" i="6"/>
  <c r="T724" i="6"/>
  <c r="S712" i="6"/>
  <c r="T712" i="6"/>
  <c r="S700" i="6"/>
  <c r="T700" i="6"/>
  <c r="S688" i="6"/>
  <c r="T688" i="6"/>
  <c r="S676" i="6"/>
  <c r="S662" i="6"/>
  <c r="T662" i="6"/>
  <c r="S650" i="6"/>
  <c r="T650" i="6"/>
  <c r="S638" i="6"/>
  <c r="T638" i="6"/>
  <c r="S626" i="6"/>
  <c r="T626" i="6"/>
  <c r="S614" i="6"/>
  <c r="T614" i="6"/>
  <c r="S602" i="6"/>
  <c r="T602" i="6"/>
  <c r="S590" i="6"/>
  <c r="T590" i="6"/>
  <c r="S578" i="6"/>
  <c r="T578" i="6"/>
  <c r="S553" i="6"/>
  <c r="T553" i="6"/>
  <c r="S540" i="6"/>
  <c r="T540" i="6"/>
  <c r="S528" i="6"/>
  <c r="T528" i="6"/>
  <c r="S516" i="6"/>
  <c r="T516" i="6"/>
  <c r="S504" i="6"/>
  <c r="T504" i="6"/>
  <c r="S492" i="6"/>
  <c r="T492" i="6"/>
  <c r="S480" i="6"/>
  <c r="T480" i="6"/>
  <c r="S468" i="6"/>
  <c r="T468" i="6"/>
  <c r="S456" i="6"/>
  <c r="T456" i="6"/>
  <c r="S443" i="6"/>
  <c r="T443" i="6"/>
  <c r="S430" i="6"/>
  <c r="T430" i="6"/>
  <c r="S418" i="6"/>
  <c r="T418" i="6"/>
  <c r="S406" i="6"/>
  <c r="T406" i="6"/>
  <c r="S394" i="6"/>
  <c r="T394" i="6"/>
  <c r="S382" i="6"/>
  <c r="T382" i="6"/>
  <c r="S370" i="6"/>
  <c r="T370" i="6"/>
  <c r="S358" i="6"/>
  <c r="T358" i="6"/>
  <c r="S346" i="6"/>
  <c r="T346" i="6"/>
  <c r="S334" i="6"/>
  <c r="T334" i="6"/>
  <c r="S320" i="6"/>
  <c r="T320" i="6"/>
  <c r="S308" i="6"/>
  <c r="T308" i="6"/>
  <c r="S296" i="6"/>
  <c r="T296" i="6"/>
  <c r="S272" i="6"/>
  <c r="T272" i="6"/>
  <c r="S260" i="6"/>
  <c r="T260" i="6"/>
  <c r="S248" i="6"/>
  <c r="T248" i="6"/>
  <c r="S236" i="6"/>
  <c r="T236" i="6"/>
  <c r="S224" i="6"/>
  <c r="T224" i="6"/>
  <c r="S210" i="6"/>
  <c r="S198" i="6"/>
  <c r="T198" i="6"/>
  <c r="S186" i="6"/>
  <c r="T186" i="6"/>
  <c r="S174" i="6"/>
  <c r="T174" i="6"/>
  <c r="S162" i="6"/>
  <c r="T162" i="6"/>
  <c r="S150" i="6"/>
  <c r="T150" i="6"/>
  <c r="S138" i="6"/>
  <c r="T138" i="6"/>
  <c r="S126" i="6"/>
  <c r="T126" i="6"/>
  <c r="S114" i="6"/>
  <c r="T114" i="6"/>
  <c r="S100" i="6"/>
  <c r="T100" i="6"/>
  <c r="S88" i="6"/>
  <c r="T88" i="6"/>
  <c r="S76" i="6"/>
  <c r="T76" i="6"/>
  <c r="S64" i="6"/>
  <c r="T64" i="6"/>
  <c r="S52" i="6"/>
  <c r="T52" i="6"/>
  <c r="S40" i="6"/>
  <c r="T40" i="6"/>
  <c r="S28" i="6"/>
  <c r="T28" i="6"/>
  <c r="S16" i="6"/>
  <c r="T16" i="6"/>
  <c r="S4" i="6"/>
  <c r="T4" i="6"/>
  <c r="T2019" i="6"/>
  <c r="T2007" i="6"/>
  <c r="T1983" i="6"/>
  <c r="T1971" i="6"/>
  <c r="T1959" i="6"/>
  <c r="T1947" i="6"/>
  <c r="T1911" i="6"/>
  <c r="T1899" i="6"/>
  <c r="T1649" i="6"/>
  <c r="T1601" i="6"/>
  <c r="T1505" i="6"/>
  <c r="T1457" i="6"/>
  <c r="T1409" i="6"/>
  <c r="T1361" i="6"/>
  <c r="T981" i="6"/>
  <c r="T566" i="6"/>
  <c r="S1761" i="6"/>
  <c r="S1749" i="6"/>
  <c r="T1749" i="6"/>
  <c r="S1737" i="6"/>
  <c r="S1725" i="6"/>
  <c r="T1725" i="6"/>
  <c r="S1713" i="6"/>
  <c r="T1713" i="6"/>
  <c r="S1701" i="6"/>
  <c r="T1701" i="6"/>
  <c r="S1689" i="6"/>
  <c r="T1689" i="6"/>
  <c r="S1677" i="6"/>
  <c r="T1677" i="6"/>
  <c r="S1651" i="6"/>
  <c r="T1651" i="6"/>
  <c r="S1639" i="6"/>
  <c r="T1639" i="6"/>
  <c r="S1627" i="6"/>
  <c r="T1627" i="6"/>
  <c r="S1615" i="6"/>
  <c r="T1615" i="6"/>
  <c r="S1603" i="6"/>
  <c r="T1603" i="6"/>
  <c r="S1591" i="6"/>
  <c r="T1591" i="6"/>
  <c r="S1579" i="6"/>
  <c r="T1579" i="6"/>
  <c r="S1567" i="6"/>
  <c r="T1567" i="6"/>
  <c r="S1555" i="6"/>
  <c r="T1555" i="6"/>
  <c r="S1419" i="6"/>
  <c r="T1419" i="6"/>
  <c r="S1407" i="6"/>
  <c r="T1407" i="6"/>
  <c r="S1395" i="6"/>
  <c r="T1395" i="6"/>
  <c r="S1383" i="6"/>
  <c r="T1383" i="6"/>
  <c r="S1371" i="6"/>
  <c r="T1371" i="6"/>
  <c r="S1335" i="6"/>
  <c r="T1335" i="6"/>
  <c r="S1321" i="6"/>
  <c r="T1321" i="6"/>
  <c r="S1309" i="6"/>
  <c r="T1309" i="6"/>
  <c r="S1297" i="6"/>
  <c r="T1297" i="6"/>
  <c r="S1285" i="6"/>
  <c r="T1285" i="6"/>
  <c r="S1273" i="6"/>
  <c r="T1273" i="6"/>
  <c r="S1261" i="6"/>
  <c r="T1261" i="6"/>
  <c r="S1249" i="6"/>
  <c r="T1249" i="6"/>
  <c r="S1237" i="6"/>
  <c r="T1237" i="6"/>
  <c r="S1225" i="6"/>
  <c r="T1225" i="6"/>
  <c r="S1211" i="6"/>
  <c r="T1211" i="6"/>
  <c r="S1199" i="6"/>
  <c r="T1199" i="6"/>
  <c r="S1187" i="6"/>
  <c r="T1187" i="6"/>
  <c r="S1175" i="6"/>
  <c r="T1175" i="6"/>
  <c r="S1163" i="6"/>
  <c r="T1163" i="6"/>
  <c r="S1151" i="6"/>
  <c r="T1151" i="6"/>
  <c r="S1139" i="6"/>
  <c r="T1139" i="6"/>
  <c r="S1127" i="6"/>
  <c r="T1127" i="6"/>
  <c r="S1115" i="6"/>
  <c r="T1115" i="6"/>
  <c r="S1101" i="6"/>
  <c r="T1101" i="6"/>
  <c r="S1089" i="6"/>
  <c r="T1089" i="6"/>
  <c r="S1077" i="6"/>
  <c r="T1077" i="6"/>
  <c r="S1065" i="6"/>
  <c r="T1065" i="6"/>
  <c r="S1053" i="6"/>
  <c r="T1053" i="6"/>
  <c r="S1041" i="6"/>
  <c r="T1041" i="6"/>
  <c r="S1029" i="6"/>
  <c r="T1029" i="6"/>
  <c r="S1017" i="6"/>
  <c r="T1017" i="6"/>
  <c r="S991" i="6"/>
  <c r="T991" i="6"/>
  <c r="S979" i="6"/>
  <c r="T979" i="6"/>
  <c r="S967" i="6"/>
  <c r="T967" i="6"/>
  <c r="S955" i="6"/>
  <c r="T955" i="6"/>
  <c r="S943" i="6"/>
  <c r="T943" i="6"/>
  <c r="S931" i="6"/>
  <c r="T931" i="6"/>
  <c r="S919" i="6"/>
  <c r="T919" i="6"/>
  <c r="S907" i="6"/>
  <c r="S895" i="6"/>
  <c r="T895" i="6"/>
  <c r="S881" i="6"/>
  <c r="T881" i="6"/>
  <c r="S869" i="6"/>
  <c r="T869" i="6"/>
  <c r="S857" i="6"/>
  <c r="T857" i="6"/>
  <c r="S845" i="6"/>
  <c r="T845" i="6"/>
  <c r="S833" i="6"/>
  <c r="T833" i="6"/>
  <c r="S821" i="6"/>
  <c r="T821" i="6"/>
  <c r="S809" i="6"/>
  <c r="T809" i="6"/>
  <c r="S797" i="6"/>
  <c r="T797" i="6"/>
  <c r="S785" i="6"/>
  <c r="T785" i="6"/>
  <c r="S661" i="6"/>
  <c r="T661" i="6"/>
  <c r="S649" i="6"/>
  <c r="T649" i="6"/>
  <c r="S637" i="6"/>
  <c r="T637" i="6"/>
  <c r="S625" i="6"/>
  <c r="T625" i="6"/>
  <c r="S613" i="6"/>
  <c r="T613" i="6"/>
  <c r="S601" i="6"/>
  <c r="T601" i="6"/>
  <c r="S589" i="6"/>
  <c r="T589" i="6"/>
  <c r="S577" i="6"/>
  <c r="T577" i="6"/>
  <c r="S565" i="6"/>
  <c r="T565" i="6"/>
  <c r="S551" i="6"/>
  <c r="T551" i="6"/>
  <c r="S539" i="6"/>
  <c r="T539" i="6"/>
  <c r="S527" i="6"/>
  <c r="T527" i="6"/>
  <c r="S515" i="6"/>
  <c r="S503" i="6"/>
  <c r="T503" i="6"/>
  <c r="S491" i="6"/>
  <c r="T491" i="6"/>
  <c r="S479" i="6"/>
  <c r="T479" i="6"/>
  <c r="S467" i="6"/>
  <c r="T467" i="6"/>
  <c r="S455" i="6"/>
  <c r="T455" i="6"/>
  <c r="S442" i="6"/>
  <c r="T442" i="6"/>
  <c r="S429" i="6"/>
  <c r="T429" i="6"/>
  <c r="S417" i="6"/>
  <c r="T417" i="6"/>
  <c r="S405" i="6"/>
  <c r="T405" i="6"/>
  <c r="S393" i="6"/>
  <c r="T393" i="6"/>
  <c r="S381" i="6"/>
  <c r="T381" i="6"/>
  <c r="S369" i="6"/>
  <c r="T369" i="6"/>
  <c r="S357" i="6"/>
  <c r="T357" i="6"/>
  <c r="S345" i="6"/>
  <c r="T345" i="6"/>
  <c r="S332" i="6"/>
  <c r="T332" i="6"/>
  <c r="S319" i="6"/>
  <c r="T319" i="6"/>
  <c r="S307" i="6"/>
  <c r="T307" i="6"/>
  <c r="S295" i="6"/>
  <c r="T295" i="6"/>
  <c r="S283" i="6"/>
  <c r="T283" i="6"/>
  <c r="S271" i="6"/>
  <c r="T271" i="6"/>
  <c r="S259" i="6"/>
  <c r="T259" i="6"/>
  <c r="S247" i="6"/>
  <c r="T247" i="6"/>
  <c r="S235" i="6"/>
  <c r="T235" i="6"/>
  <c r="S223" i="6"/>
  <c r="T223" i="6"/>
  <c r="S209" i="6"/>
  <c r="T209" i="6"/>
  <c r="S197" i="6"/>
  <c r="T197" i="6"/>
  <c r="S185" i="6"/>
  <c r="T185" i="6"/>
  <c r="S173" i="6"/>
  <c r="T173" i="6"/>
  <c r="S161" i="6"/>
  <c r="T161" i="6"/>
  <c r="S149" i="6"/>
  <c r="T149" i="6"/>
  <c r="S137" i="6"/>
  <c r="T137" i="6"/>
  <c r="S125" i="6"/>
  <c r="T125" i="6"/>
  <c r="S113" i="6"/>
  <c r="T113" i="6"/>
  <c r="T1994" i="6"/>
  <c r="T1982" i="6"/>
  <c r="T1970" i="6"/>
  <c r="T1958" i="6"/>
  <c r="T1934" i="6"/>
  <c r="T1922" i="6"/>
  <c r="T1910" i="6"/>
  <c r="T1898" i="6"/>
  <c r="T1886" i="6"/>
  <c r="T1874" i="6"/>
  <c r="T1862" i="6"/>
  <c r="T1838" i="6"/>
  <c r="T1814" i="6"/>
  <c r="T1802" i="6"/>
  <c r="T1790" i="6"/>
  <c r="T1778" i="6"/>
  <c r="T1726" i="6"/>
  <c r="T1690" i="6"/>
  <c r="T1594" i="6"/>
  <c r="T1306" i="6"/>
  <c r="T1258" i="6"/>
  <c r="T518" i="6"/>
  <c r="S660" i="6"/>
  <c r="T660" i="6"/>
  <c r="S600" i="6"/>
  <c r="T600" i="6"/>
  <c r="S550" i="6"/>
  <c r="T550" i="6"/>
  <c r="S490" i="6"/>
  <c r="T490" i="6"/>
  <c r="S440" i="6"/>
  <c r="T440" i="6"/>
  <c r="S392" i="6"/>
  <c r="T392" i="6"/>
  <c r="S344" i="6"/>
  <c r="T344" i="6"/>
  <c r="S294" i="6"/>
  <c r="T294" i="6"/>
  <c r="S246" i="6"/>
  <c r="T246" i="6"/>
  <c r="S86" i="6"/>
  <c r="T86" i="6"/>
  <c r="S50" i="6"/>
  <c r="T50" i="6"/>
  <c r="T2029" i="6"/>
  <c r="T2017" i="6"/>
  <c r="T2005" i="6"/>
  <c r="T1993" i="6"/>
  <c r="T1981" i="6"/>
  <c r="T1969" i="6"/>
  <c r="T1957" i="6"/>
  <c r="T1945" i="6"/>
  <c r="T1933" i="6"/>
  <c r="T1921" i="6"/>
  <c r="T1909" i="6"/>
  <c r="T1897" i="6"/>
  <c r="T1885" i="6"/>
  <c r="T1873" i="6"/>
  <c r="T1861" i="6"/>
  <c r="T1849" i="6"/>
  <c r="T1837" i="6"/>
  <c r="T1825" i="6"/>
  <c r="T1813" i="6"/>
  <c r="T1801" i="6"/>
  <c r="T1789" i="6"/>
  <c r="T1777" i="6"/>
  <c r="T1640" i="6"/>
  <c r="T1592" i="6"/>
  <c r="T1544" i="6"/>
  <c r="T1496" i="6"/>
  <c r="T1448" i="6"/>
  <c r="T1208" i="6"/>
  <c r="T1160" i="6"/>
  <c r="T1112" i="6"/>
  <c r="T470" i="6"/>
  <c r="S710" i="6"/>
  <c r="T710" i="6"/>
  <c r="S698" i="6"/>
  <c r="T698" i="6"/>
  <c r="S686" i="6"/>
  <c r="T686" i="6"/>
  <c r="S648" i="6"/>
  <c r="T648" i="6"/>
  <c r="S636" i="6"/>
  <c r="T636" i="6"/>
  <c r="S612" i="6"/>
  <c r="T612" i="6"/>
  <c r="S588" i="6"/>
  <c r="T588" i="6"/>
  <c r="S564" i="6"/>
  <c r="T564" i="6"/>
  <c r="S538" i="6"/>
  <c r="T538" i="6"/>
  <c r="S514" i="6"/>
  <c r="T514" i="6"/>
  <c r="S478" i="6"/>
  <c r="T478" i="6"/>
  <c r="S454" i="6"/>
  <c r="T454" i="6"/>
  <c r="S416" i="6"/>
  <c r="T416" i="6"/>
  <c r="S380" i="6"/>
  <c r="T380" i="6"/>
  <c r="S356" i="6"/>
  <c r="T356" i="6"/>
  <c r="S318" i="6"/>
  <c r="T318" i="6"/>
  <c r="S282" i="6"/>
  <c r="T282" i="6"/>
  <c r="S258" i="6"/>
  <c r="T258" i="6"/>
  <c r="S1759" i="6"/>
  <c r="T1759" i="6"/>
  <c r="S1747" i="6"/>
  <c r="T1747" i="6"/>
  <c r="S1735" i="6"/>
  <c r="T1735" i="6"/>
  <c r="S1723" i="6"/>
  <c r="T1723" i="6"/>
  <c r="S1711" i="6"/>
  <c r="T1711" i="6"/>
  <c r="S1699" i="6"/>
  <c r="T1699" i="6"/>
  <c r="S1687" i="6"/>
  <c r="S1675" i="6"/>
  <c r="T1675" i="6"/>
  <c r="S1552" i="6"/>
  <c r="T1552" i="6"/>
  <c r="S1539" i="6"/>
  <c r="T1539" i="6"/>
  <c r="S1527" i="6"/>
  <c r="T1527" i="6"/>
  <c r="S1515" i="6"/>
  <c r="S1503" i="6"/>
  <c r="T1503" i="6"/>
  <c r="S1491" i="6"/>
  <c r="S1479" i="6"/>
  <c r="T1479" i="6"/>
  <c r="S1467" i="6"/>
  <c r="T1467" i="6"/>
  <c r="S1455" i="6"/>
  <c r="T1455" i="6"/>
  <c r="S1442" i="6"/>
  <c r="T1442" i="6"/>
  <c r="S1429" i="6"/>
  <c r="T1429" i="6"/>
  <c r="S1417" i="6"/>
  <c r="T1417" i="6"/>
  <c r="S1405" i="6"/>
  <c r="T1405" i="6"/>
  <c r="S1393" i="6"/>
  <c r="T1393" i="6"/>
  <c r="S1381" i="6"/>
  <c r="T1381" i="6"/>
  <c r="S1369" i="6"/>
  <c r="T1369" i="6"/>
  <c r="S1357" i="6"/>
  <c r="T1357" i="6"/>
  <c r="S1345" i="6"/>
  <c r="T1345" i="6"/>
  <c r="S1333" i="6"/>
  <c r="T1333" i="6"/>
  <c r="S1319" i="6"/>
  <c r="T1319" i="6"/>
  <c r="S1307" i="6"/>
  <c r="T1307" i="6"/>
  <c r="S1295" i="6"/>
  <c r="T1295" i="6"/>
  <c r="S1283" i="6"/>
  <c r="T1283" i="6"/>
  <c r="S1271" i="6"/>
  <c r="T1271" i="6"/>
  <c r="S1259" i="6"/>
  <c r="T1259" i="6"/>
  <c r="S1247" i="6"/>
  <c r="T1247" i="6"/>
  <c r="S1235" i="6"/>
  <c r="T1235" i="6"/>
  <c r="S1223" i="6"/>
  <c r="T1223" i="6"/>
  <c r="S1209" i="6"/>
  <c r="T1209" i="6"/>
  <c r="S1197" i="6"/>
  <c r="T1197" i="6"/>
  <c r="S1185" i="6"/>
  <c r="T1185" i="6"/>
  <c r="S1173" i="6"/>
  <c r="T1173" i="6"/>
  <c r="S1161" i="6"/>
  <c r="T1161" i="6"/>
  <c r="S1149" i="6"/>
  <c r="T1149" i="6"/>
  <c r="S1137" i="6"/>
  <c r="T1137" i="6"/>
  <c r="S1125" i="6"/>
  <c r="T1125" i="6"/>
  <c r="S1113" i="6"/>
  <c r="T1113" i="6"/>
  <c r="S1099" i="6"/>
  <c r="T1099" i="6"/>
  <c r="S1087" i="6"/>
  <c r="T1087" i="6"/>
  <c r="S1075" i="6"/>
  <c r="T1075" i="6"/>
  <c r="S1063" i="6"/>
  <c r="T1063" i="6"/>
  <c r="S1051" i="6"/>
  <c r="T1051" i="6"/>
  <c r="S1039" i="6"/>
  <c r="T1039" i="6"/>
  <c r="S1027" i="6"/>
  <c r="T1027" i="6"/>
  <c r="S1015" i="6"/>
  <c r="T1015" i="6"/>
  <c r="S1003" i="6"/>
  <c r="T1003" i="6"/>
  <c r="S879" i="6"/>
  <c r="S867" i="6"/>
  <c r="T867" i="6"/>
  <c r="S855" i="6"/>
  <c r="T855" i="6"/>
  <c r="S843" i="6"/>
  <c r="T843" i="6"/>
  <c r="S831" i="6"/>
  <c r="T831" i="6"/>
  <c r="S819" i="6"/>
  <c r="S807" i="6"/>
  <c r="T807" i="6"/>
  <c r="S795" i="6"/>
  <c r="T795" i="6"/>
  <c r="S783" i="6"/>
  <c r="T783" i="6"/>
  <c r="S769" i="6"/>
  <c r="T769" i="6"/>
  <c r="S757" i="6"/>
  <c r="T757" i="6"/>
  <c r="S745" i="6"/>
  <c r="T745" i="6"/>
  <c r="S733" i="6"/>
  <c r="T733" i="6"/>
  <c r="S721" i="6"/>
  <c r="T721" i="6"/>
  <c r="S709" i="6"/>
  <c r="T709" i="6"/>
  <c r="S697" i="6"/>
  <c r="T697" i="6"/>
  <c r="S685" i="6"/>
  <c r="T685" i="6"/>
  <c r="S673" i="6"/>
  <c r="T673" i="6"/>
  <c r="S659" i="6"/>
  <c r="T659" i="6"/>
  <c r="S647" i="6"/>
  <c r="T647" i="6"/>
  <c r="S635" i="6"/>
  <c r="T635" i="6"/>
  <c r="S623" i="6"/>
  <c r="T623" i="6"/>
  <c r="S611" i="6"/>
  <c r="T611" i="6"/>
  <c r="S599" i="6"/>
  <c r="T599" i="6"/>
  <c r="S587" i="6"/>
  <c r="T587" i="6"/>
  <c r="S575" i="6"/>
  <c r="T575" i="6"/>
  <c r="S563" i="6"/>
  <c r="T563" i="6"/>
  <c r="S549" i="6"/>
  <c r="T549" i="6"/>
  <c r="S537" i="6"/>
  <c r="T537" i="6"/>
  <c r="T525" i="6"/>
  <c r="S513" i="6"/>
  <c r="T513" i="6"/>
  <c r="S501" i="6"/>
  <c r="T501" i="6"/>
  <c r="S489" i="6"/>
  <c r="S477" i="6"/>
  <c r="T477" i="6"/>
  <c r="S465" i="6"/>
  <c r="T465" i="6"/>
  <c r="S453" i="6"/>
  <c r="T453" i="6"/>
  <c r="S439" i="6"/>
  <c r="T439" i="6"/>
  <c r="S427" i="6"/>
  <c r="T427" i="6"/>
  <c r="S415" i="6"/>
  <c r="T415" i="6"/>
  <c r="S403" i="6"/>
  <c r="T403" i="6"/>
  <c r="S391" i="6"/>
  <c r="T391" i="6"/>
  <c r="S379" i="6"/>
  <c r="T379" i="6"/>
  <c r="S367" i="6"/>
  <c r="T367" i="6"/>
  <c r="S355" i="6"/>
  <c r="T355" i="6"/>
  <c r="S343" i="6"/>
  <c r="T343" i="6"/>
  <c r="S220" i="6"/>
  <c r="T220" i="6"/>
  <c r="S207" i="6"/>
  <c r="T207" i="6"/>
  <c r="S195" i="6"/>
  <c r="T195" i="6"/>
  <c r="S183" i="6"/>
  <c r="T183" i="6"/>
  <c r="S171" i="6"/>
  <c r="T171" i="6"/>
  <c r="S159" i="6"/>
  <c r="T159" i="6"/>
  <c r="S147" i="6"/>
  <c r="T147" i="6"/>
  <c r="S135" i="6"/>
  <c r="T135" i="6"/>
  <c r="S123" i="6"/>
  <c r="T123" i="6"/>
  <c r="S110" i="6"/>
  <c r="T110" i="6"/>
  <c r="S97" i="6"/>
  <c r="T97" i="6"/>
  <c r="S85" i="6"/>
  <c r="T85" i="6"/>
  <c r="S73" i="6"/>
  <c r="T73" i="6"/>
  <c r="S61" i="6"/>
  <c r="T61" i="6"/>
  <c r="S49" i="6"/>
  <c r="T49" i="6"/>
  <c r="S37" i="6"/>
  <c r="T37" i="6"/>
  <c r="S25" i="6"/>
  <c r="T25" i="6"/>
  <c r="S13" i="6"/>
  <c r="T13" i="6"/>
  <c r="T2028" i="6"/>
  <c r="T2016" i="6"/>
  <c r="T2004" i="6"/>
  <c r="T1872" i="6"/>
  <c r="T1860" i="6"/>
  <c r="T1848" i="6"/>
  <c r="T1836" i="6"/>
  <c r="T1824" i="6"/>
  <c r="T1637" i="6"/>
  <c r="T1589" i="6"/>
  <c r="T1541" i="6"/>
  <c r="T1493" i="6"/>
  <c r="T1445" i="6"/>
  <c r="T1397" i="6"/>
  <c r="T1349" i="6"/>
  <c r="S674" i="6"/>
  <c r="T674" i="6"/>
  <c r="S624" i="6"/>
  <c r="T624" i="6"/>
  <c r="S576" i="6"/>
  <c r="T576" i="6"/>
  <c r="S526" i="6"/>
  <c r="T526" i="6"/>
  <c r="S502" i="6"/>
  <c r="T502" i="6"/>
  <c r="S466" i="6"/>
  <c r="T466" i="6"/>
  <c r="S428" i="6"/>
  <c r="T428" i="6"/>
  <c r="S404" i="6"/>
  <c r="T404" i="6"/>
  <c r="S368" i="6"/>
  <c r="T368" i="6"/>
  <c r="S331" i="6"/>
  <c r="T331" i="6"/>
  <c r="S306" i="6"/>
  <c r="T306" i="6"/>
  <c r="S270" i="6"/>
  <c r="T270" i="6"/>
  <c r="S234" i="6"/>
  <c r="T234" i="6"/>
  <c r="S98" i="6"/>
  <c r="T98" i="6"/>
  <c r="S62" i="6"/>
  <c r="T62" i="6"/>
  <c r="S38" i="6"/>
  <c r="T38" i="6"/>
  <c r="S26" i="6"/>
  <c r="T26" i="6"/>
  <c r="S14" i="6"/>
  <c r="T14" i="6"/>
  <c r="S1758" i="6"/>
  <c r="T1758" i="6"/>
  <c r="S1746" i="6"/>
  <c r="T1746" i="6"/>
  <c r="S1734" i="6"/>
  <c r="T1734" i="6"/>
  <c r="S1722" i="6"/>
  <c r="T1722" i="6"/>
  <c r="S1710" i="6"/>
  <c r="T1710" i="6"/>
  <c r="S1698" i="6"/>
  <c r="T1698" i="6"/>
  <c r="S1686" i="6"/>
  <c r="S1674" i="6"/>
  <c r="T1674" i="6"/>
  <c r="S1660" i="6"/>
  <c r="T1660" i="6"/>
  <c r="S1648" i="6"/>
  <c r="S1636" i="6"/>
  <c r="T1636" i="6"/>
  <c r="S1624" i="6"/>
  <c r="T1624" i="6"/>
  <c r="S1612" i="6"/>
  <c r="T1612" i="6"/>
  <c r="S1600" i="6"/>
  <c r="T1600" i="6"/>
  <c r="S1588" i="6"/>
  <c r="T1588" i="6"/>
  <c r="S1576" i="6"/>
  <c r="T1576" i="6"/>
  <c r="S1564" i="6"/>
  <c r="T1564" i="6"/>
  <c r="S1550" i="6"/>
  <c r="T1550" i="6"/>
  <c r="S1538" i="6"/>
  <c r="T1538" i="6"/>
  <c r="S1526" i="6"/>
  <c r="T1526" i="6"/>
  <c r="S1514" i="6"/>
  <c r="T1514" i="6"/>
  <c r="S1502" i="6"/>
  <c r="T1502" i="6"/>
  <c r="S1490" i="6"/>
  <c r="S1478" i="6"/>
  <c r="T1478" i="6"/>
  <c r="S1466" i="6"/>
  <c r="T1466" i="6"/>
  <c r="S1454" i="6"/>
  <c r="T1454" i="6"/>
  <c r="S1441" i="6"/>
  <c r="T1441" i="6"/>
  <c r="S1428" i="6"/>
  <c r="T1428" i="6"/>
  <c r="S1416" i="6"/>
  <c r="T1416" i="6"/>
  <c r="S1404" i="6"/>
  <c r="T1404" i="6"/>
  <c r="S1392" i="6"/>
  <c r="T1392" i="6"/>
  <c r="S1380" i="6"/>
  <c r="T1380" i="6"/>
  <c r="S1368" i="6"/>
  <c r="T1368" i="6"/>
  <c r="S1356" i="6"/>
  <c r="S1344" i="6"/>
  <c r="T1344" i="6"/>
  <c r="S1331" i="6"/>
  <c r="T1331" i="6"/>
  <c r="S988" i="6"/>
  <c r="T988" i="6"/>
  <c r="S976" i="6"/>
  <c r="T976" i="6"/>
  <c r="S964" i="6"/>
  <c r="S952" i="6"/>
  <c r="T952" i="6"/>
  <c r="S940" i="6"/>
  <c r="T940" i="6"/>
  <c r="S928" i="6"/>
  <c r="T928" i="6"/>
  <c r="S916" i="6"/>
  <c r="T916" i="6"/>
  <c r="S904" i="6"/>
  <c r="T904" i="6"/>
  <c r="S892" i="6"/>
  <c r="T892" i="6"/>
  <c r="S878" i="6"/>
  <c r="T878" i="6"/>
  <c r="S866" i="6"/>
  <c r="T866" i="6"/>
  <c r="S854" i="6"/>
  <c r="T854" i="6"/>
  <c r="S842" i="6"/>
  <c r="T842" i="6"/>
  <c r="S830" i="6"/>
  <c r="T830" i="6"/>
  <c r="S818" i="6"/>
  <c r="T818" i="6"/>
  <c r="S806" i="6"/>
  <c r="T806" i="6"/>
  <c r="S794" i="6"/>
  <c r="T794" i="6"/>
  <c r="S782" i="6"/>
  <c r="T782" i="6"/>
  <c r="S768" i="6"/>
  <c r="T768" i="6"/>
  <c r="S756" i="6"/>
  <c r="T756" i="6"/>
  <c r="S744" i="6"/>
  <c r="T744" i="6"/>
  <c r="S732" i="6"/>
  <c r="T732" i="6"/>
  <c r="S720" i="6"/>
  <c r="T720" i="6"/>
  <c r="S708" i="6"/>
  <c r="T708" i="6"/>
  <c r="S696" i="6"/>
  <c r="T696" i="6"/>
  <c r="S684" i="6"/>
  <c r="T684" i="6"/>
  <c r="S672" i="6"/>
  <c r="T672" i="6"/>
  <c r="S658" i="6"/>
  <c r="T658" i="6"/>
  <c r="S646" i="6"/>
  <c r="T646" i="6"/>
  <c r="S634" i="6"/>
  <c r="T634" i="6"/>
  <c r="S622" i="6"/>
  <c r="T622" i="6"/>
  <c r="S610" i="6"/>
  <c r="T610" i="6"/>
  <c r="S598" i="6"/>
  <c r="T598" i="6"/>
  <c r="S586" i="6"/>
  <c r="S574" i="6"/>
  <c r="T574" i="6"/>
  <c r="S562" i="6"/>
  <c r="T562" i="6"/>
  <c r="S548" i="6"/>
  <c r="T548" i="6"/>
  <c r="S536" i="6"/>
  <c r="T536" i="6"/>
  <c r="S524" i="6"/>
  <c r="T524" i="6"/>
  <c r="S512" i="6"/>
  <c r="T512" i="6"/>
  <c r="S500" i="6"/>
  <c r="T500" i="6"/>
  <c r="S488" i="6"/>
  <c r="T488" i="6"/>
  <c r="S476" i="6"/>
  <c r="T476" i="6"/>
  <c r="S464" i="6"/>
  <c r="T464" i="6"/>
  <c r="S452" i="6"/>
  <c r="T452" i="6"/>
  <c r="S328" i="6"/>
  <c r="T328" i="6"/>
  <c r="S316" i="6"/>
  <c r="T316" i="6"/>
  <c r="S304" i="6"/>
  <c r="T304" i="6"/>
  <c r="S292" i="6"/>
  <c r="T292" i="6"/>
  <c r="S280" i="6"/>
  <c r="T280" i="6"/>
  <c r="S268" i="6"/>
  <c r="T268" i="6"/>
  <c r="S256" i="6"/>
  <c r="T256" i="6"/>
  <c r="S244" i="6"/>
  <c r="T244" i="6"/>
  <c r="S232" i="6"/>
  <c r="T232" i="6"/>
  <c r="S206" i="6"/>
  <c r="T206" i="6"/>
  <c r="S194" i="6"/>
  <c r="T194" i="6"/>
  <c r="S182" i="6"/>
  <c r="T182" i="6"/>
  <c r="S170" i="6"/>
  <c r="T170" i="6"/>
  <c r="S158" i="6"/>
  <c r="T158" i="6"/>
  <c r="S134" i="6"/>
  <c r="T134" i="6"/>
  <c r="S122" i="6"/>
  <c r="T122" i="6"/>
  <c r="S109" i="6"/>
  <c r="T109" i="6"/>
  <c r="S96" i="6"/>
  <c r="T96" i="6"/>
  <c r="S84" i="6"/>
  <c r="T84" i="6"/>
  <c r="S72" i="6"/>
  <c r="T72" i="6"/>
  <c r="S60" i="6"/>
  <c r="T60" i="6"/>
  <c r="S48" i="6"/>
  <c r="T48" i="6"/>
  <c r="S36" i="6"/>
  <c r="T36" i="6"/>
  <c r="S24" i="6"/>
  <c r="T24" i="6"/>
  <c r="S12" i="6"/>
  <c r="T12" i="6"/>
  <c r="T1991" i="6"/>
  <c r="T1979" i="6"/>
  <c r="T1967" i="6"/>
  <c r="T1955" i="6"/>
  <c r="T1943" i="6"/>
  <c r="T1931" i="6"/>
  <c r="T1919" i="6"/>
  <c r="T1895" i="6"/>
  <c r="T1883" i="6"/>
  <c r="T1859" i="6"/>
  <c r="T1847" i="6"/>
  <c r="T1835" i="6"/>
  <c r="T1823" i="6"/>
  <c r="T1799" i="6"/>
  <c r="T1787" i="6"/>
  <c r="T1775" i="6"/>
  <c r="T1678" i="6"/>
  <c r="T1294" i="6"/>
  <c r="T1246" i="6"/>
  <c r="T858" i="6"/>
  <c r="T1990" i="6"/>
  <c r="T1978" i="6"/>
  <c r="T1966" i="6"/>
  <c r="T1954" i="6"/>
  <c r="T1942" i="6"/>
  <c r="T1930" i="6"/>
  <c r="T1918" i="6"/>
  <c r="T1774" i="6"/>
  <c r="T1750" i="6"/>
  <c r="T1714" i="6"/>
  <c r="T1628" i="6"/>
  <c r="T1580" i="6"/>
  <c r="T1532" i="6"/>
  <c r="T1484" i="6"/>
  <c r="T1196" i="6"/>
  <c r="T1148" i="6"/>
  <c r="T822" i="6"/>
  <c r="T290" i="6"/>
  <c r="S876" i="6"/>
  <c r="T876" i="6"/>
  <c r="S864" i="6"/>
  <c r="T864" i="6"/>
  <c r="S852" i="6"/>
  <c r="T852" i="6"/>
  <c r="S840" i="6"/>
  <c r="T840" i="6"/>
  <c r="S828" i="6"/>
  <c r="T828" i="6"/>
  <c r="S816" i="6"/>
  <c r="T816" i="6"/>
  <c r="S804" i="6"/>
  <c r="T804" i="6"/>
  <c r="S792" i="6"/>
  <c r="T792" i="6"/>
  <c r="S780" i="6"/>
  <c r="T780" i="6"/>
  <c r="S766" i="6"/>
  <c r="T766" i="6"/>
  <c r="S754" i="6"/>
  <c r="S742" i="6"/>
  <c r="T742" i="6"/>
  <c r="S730" i="6"/>
  <c r="T730" i="6"/>
  <c r="S718" i="6"/>
  <c r="S706" i="6"/>
  <c r="T706" i="6"/>
  <c r="S694" i="6"/>
  <c r="T694" i="6"/>
  <c r="S682" i="6"/>
  <c r="T682" i="6"/>
  <c r="S670" i="6"/>
  <c r="T670" i="6"/>
  <c r="S546" i="6"/>
  <c r="T546" i="6"/>
  <c r="S534" i="6"/>
  <c r="T534" i="6"/>
  <c r="S522" i="6"/>
  <c r="T522" i="6"/>
  <c r="S510" i="6"/>
  <c r="T510" i="6"/>
  <c r="S498" i="6"/>
  <c r="T498" i="6"/>
  <c r="S486" i="6"/>
  <c r="T486" i="6"/>
  <c r="S474" i="6"/>
  <c r="T474" i="6"/>
  <c r="S462" i="6"/>
  <c r="T462" i="6"/>
  <c r="S450" i="6"/>
  <c r="T450" i="6"/>
  <c r="S436" i="6"/>
  <c r="T436" i="6"/>
  <c r="S424" i="6"/>
  <c r="T424" i="6"/>
  <c r="S412" i="6"/>
  <c r="S400" i="6"/>
  <c r="T400" i="6"/>
  <c r="S388" i="6"/>
  <c r="T388" i="6"/>
  <c r="S376" i="6"/>
  <c r="T376" i="6"/>
  <c r="S364" i="6"/>
  <c r="T364" i="6"/>
  <c r="S352" i="6"/>
  <c r="T352" i="6"/>
  <c r="S340" i="6"/>
  <c r="T340" i="6"/>
  <c r="S326" i="6"/>
  <c r="T326" i="6"/>
  <c r="S314" i="6"/>
  <c r="T314" i="6"/>
  <c r="S302" i="6"/>
  <c r="T302" i="6"/>
  <c r="S278" i="6"/>
  <c r="T278" i="6"/>
  <c r="S266" i="6"/>
  <c r="T266" i="6"/>
  <c r="S254" i="6"/>
  <c r="T254" i="6"/>
  <c r="S242" i="6"/>
  <c r="T242" i="6"/>
  <c r="S230" i="6"/>
  <c r="T230" i="6"/>
  <c r="S216" i="6"/>
  <c r="T216" i="6"/>
  <c r="S204" i="6"/>
  <c r="T204" i="6"/>
  <c r="S192" i="6"/>
  <c r="T192" i="6"/>
  <c r="S180" i="6"/>
  <c r="T180" i="6"/>
  <c r="S168" i="6"/>
  <c r="T168" i="6"/>
  <c r="S156" i="6"/>
  <c r="T156" i="6"/>
  <c r="S144" i="6"/>
  <c r="T144" i="6"/>
  <c r="S132" i="6"/>
  <c r="T132" i="6"/>
  <c r="S120" i="6"/>
  <c r="T120" i="6"/>
  <c r="S106" i="6"/>
  <c r="S94" i="6"/>
  <c r="T94" i="6"/>
  <c r="S82" i="6"/>
  <c r="T82" i="6"/>
  <c r="S70" i="6"/>
  <c r="S58" i="6"/>
  <c r="T58" i="6"/>
  <c r="S46" i="6"/>
  <c r="T46" i="6"/>
  <c r="S34" i="6"/>
  <c r="T34" i="6"/>
  <c r="S22" i="6"/>
  <c r="T22" i="6"/>
  <c r="S10" i="6"/>
  <c r="T10" i="6"/>
  <c r="T1857" i="6"/>
  <c r="T1833" i="6"/>
  <c r="T1821" i="6"/>
  <c r="T1809" i="6"/>
  <c r="T1797" i="6"/>
  <c r="T1785" i="6"/>
  <c r="T1625" i="6"/>
  <c r="T1577" i="6"/>
  <c r="T1481" i="6"/>
  <c r="T1433" i="6"/>
  <c r="T1385" i="6"/>
  <c r="T1337" i="6"/>
  <c r="T786" i="6"/>
  <c r="T218" i="6"/>
  <c r="S545" i="6"/>
  <c r="T545" i="6"/>
  <c r="S533" i="6"/>
  <c r="T533" i="6"/>
  <c r="S521" i="6"/>
  <c r="T521" i="6"/>
  <c r="S509" i="6"/>
  <c r="T509" i="6"/>
  <c r="S497" i="6"/>
  <c r="T497" i="6"/>
  <c r="S485" i="6"/>
  <c r="T485" i="6"/>
  <c r="S473" i="6"/>
  <c r="T473" i="6"/>
  <c r="S461" i="6"/>
  <c r="T461" i="6"/>
  <c r="S449" i="6"/>
  <c r="T449" i="6"/>
  <c r="S435" i="6"/>
  <c r="T435" i="6"/>
  <c r="S423" i="6"/>
  <c r="T423" i="6"/>
  <c r="S411" i="6"/>
  <c r="S399" i="6"/>
  <c r="T399" i="6"/>
  <c r="S387" i="6"/>
  <c r="T387" i="6"/>
  <c r="S375" i="6"/>
  <c r="T375" i="6"/>
  <c r="S363" i="6"/>
  <c r="S351" i="6"/>
  <c r="T351" i="6"/>
  <c r="S339" i="6"/>
  <c r="T339" i="6"/>
  <c r="S325" i="6"/>
  <c r="T325" i="6"/>
  <c r="S313" i="6"/>
  <c r="T313" i="6"/>
  <c r="S301" i="6"/>
  <c r="T301" i="6"/>
  <c r="S289" i="6"/>
  <c r="T289" i="6"/>
  <c r="S277" i="6"/>
  <c r="T277" i="6"/>
  <c r="S265" i="6"/>
  <c r="T265" i="6"/>
  <c r="S253" i="6"/>
  <c r="T253" i="6"/>
  <c r="S241" i="6"/>
  <c r="T241" i="6"/>
  <c r="S229" i="6"/>
  <c r="T229" i="6"/>
  <c r="S215" i="6"/>
  <c r="T215" i="6"/>
  <c r="S203" i="6"/>
  <c r="T203" i="6"/>
  <c r="S191" i="6"/>
  <c r="T191" i="6"/>
  <c r="S179" i="6"/>
  <c r="T179" i="6"/>
  <c r="S167" i="6"/>
  <c r="T167" i="6"/>
  <c r="S155" i="6"/>
  <c r="T155" i="6"/>
  <c r="S143" i="6"/>
  <c r="T143" i="6"/>
  <c r="S131" i="6"/>
  <c r="T131" i="6"/>
  <c r="S119" i="6"/>
  <c r="T119" i="6"/>
  <c r="T105" i="6"/>
  <c r="T93" i="6"/>
  <c r="T81" i="6"/>
  <c r="T69" i="6"/>
  <c r="T57" i="6"/>
  <c r="T45" i="6"/>
  <c r="T33" i="6"/>
  <c r="T21" i="6"/>
  <c r="T9" i="6"/>
  <c r="T1880" i="6"/>
  <c r="T1856" i="6"/>
  <c r="T1844" i="6"/>
  <c r="T1832" i="6"/>
  <c r="T1820" i="6"/>
  <c r="T1808" i="6"/>
  <c r="T1796" i="6"/>
  <c r="T1784" i="6"/>
  <c r="T1666" i="6"/>
  <c r="T1618" i="6"/>
  <c r="T1570" i="6"/>
  <c r="T1282" i="6"/>
  <c r="T1234" i="6"/>
  <c r="T750" i="6"/>
  <c r="T146" i="6"/>
  <c r="T1771" i="6"/>
  <c r="T1664" i="6"/>
  <c r="T1616" i="6"/>
  <c r="T1520" i="6"/>
  <c r="T1472" i="6"/>
  <c r="T1184" i="6"/>
  <c r="T1136" i="6"/>
  <c r="T714" i="6"/>
  <c r="T74" i="6"/>
  <c r="T2" i="6"/>
  <c r="S348" i="6"/>
  <c r="S1213" i="6"/>
  <c r="S1189" i="6"/>
  <c r="S1153" i="6"/>
  <c r="S1141" i="6"/>
  <c r="S1129" i="6"/>
  <c r="S1117" i="6"/>
  <c r="S1020" i="6"/>
  <c r="S384" i="6"/>
  <c r="S284" i="6"/>
  <c r="S1431" i="6"/>
  <c r="S1359" i="6"/>
  <c r="S1347" i="6"/>
  <c r="S771" i="6"/>
  <c r="S759" i="6"/>
  <c r="S747" i="6"/>
  <c r="S735" i="6"/>
  <c r="S723" i="6"/>
  <c r="S711" i="6"/>
  <c r="S699" i="6"/>
  <c r="S687" i="6"/>
  <c r="S675" i="6"/>
  <c r="S99" i="6"/>
  <c r="S87" i="6"/>
  <c r="S75" i="6"/>
  <c r="S63" i="6"/>
  <c r="S51" i="6"/>
  <c r="S39" i="6"/>
  <c r="S27" i="6"/>
  <c r="S15" i="6"/>
  <c r="S3" i="6"/>
  <c r="S372" i="6"/>
  <c r="S880" i="6"/>
  <c r="S868" i="6"/>
  <c r="S856" i="6"/>
  <c r="S844" i="6"/>
  <c r="S832" i="6"/>
  <c r="S808" i="6"/>
  <c r="S796" i="6"/>
  <c r="S784" i="6"/>
  <c r="S221" i="6"/>
  <c r="S208" i="6"/>
  <c r="S196" i="6"/>
  <c r="S184" i="6"/>
  <c r="S172" i="6"/>
  <c r="S160" i="6"/>
  <c r="S148" i="6"/>
  <c r="S136" i="6"/>
  <c r="S124" i="6"/>
  <c r="S1008" i="6"/>
  <c r="S396" i="6"/>
  <c r="S989" i="6"/>
  <c r="S977" i="6"/>
  <c r="S965" i="6"/>
  <c r="S953" i="6"/>
  <c r="S941" i="6"/>
  <c r="S929" i="6"/>
  <c r="S917" i="6"/>
  <c r="S905" i="6"/>
  <c r="S893" i="6"/>
  <c r="S525" i="6"/>
  <c r="S329" i="6"/>
  <c r="S317" i="6"/>
  <c r="S305" i="6"/>
  <c r="S293" i="6"/>
  <c r="S281" i="6"/>
  <c r="S269" i="6"/>
  <c r="S257" i="6"/>
  <c r="S245" i="6"/>
  <c r="S233" i="6"/>
  <c r="S1068" i="6"/>
  <c r="S1098" i="6"/>
  <c r="S1086" i="6"/>
  <c r="S1074" i="6"/>
  <c r="S1062" i="6"/>
  <c r="S1050" i="6"/>
  <c r="S1038" i="6"/>
  <c r="S1026" i="6"/>
  <c r="S1014" i="6"/>
  <c r="S1002" i="6"/>
  <c r="S438" i="6"/>
  <c r="S426" i="6"/>
  <c r="S414" i="6"/>
  <c r="S402" i="6"/>
  <c r="S390" i="6"/>
  <c r="S378" i="6"/>
  <c r="S366" i="6"/>
  <c r="S354" i="6"/>
  <c r="S342" i="6"/>
  <c r="S420" i="6"/>
  <c r="S1220" i="6"/>
  <c r="S1207" i="6"/>
  <c r="S1195" i="6"/>
  <c r="S1183" i="6"/>
  <c r="S1171" i="6"/>
  <c r="S1159" i="6"/>
  <c r="S1147" i="6"/>
  <c r="S1135" i="6"/>
  <c r="S1123" i="6"/>
  <c r="S1111" i="6"/>
  <c r="S547" i="6"/>
  <c r="S535" i="6"/>
  <c r="S523" i="6"/>
  <c r="S511" i="6"/>
  <c r="S499" i="6"/>
  <c r="S487" i="6"/>
  <c r="S475" i="6"/>
  <c r="S463" i="6"/>
  <c r="S451" i="6"/>
  <c r="S1504" i="6"/>
  <c r="S408" i="6"/>
  <c r="S238" i="6"/>
  <c r="S1328" i="6"/>
  <c r="S1280" i="6"/>
  <c r="S1244" i="6"/>
  <c r="S620" i="6"/>
  <c r="S572" i="6"/>
  <c r="S1104" i="6"/>
  <c r="S336" i="6"/>
  <c r="S1310" i="6"/>
  <c r="S1316" i="6"/>
  <c r="S1256" i="6"/>
  <c r="S656" i="6"/>
  <c r="S608" i="6"/>
  <c r="S560" i="6"/>
  <c r="S1437" i="6"/>
  <c r="S1425" i="6"/>
  <c r="S1413" i="6"/>
  <c r="S1401" i="6"/>
  <c r="S1389" i="6"/>
  <c r="S1377" i="6"/>
  <c r="S1365" i="6"/>
  <c r="S1353" i="6"/>
  <c r="S1341" i="6"/>
  <c r="S765" i="6"/>
  <c r="S753" i="6"/>
  <c r="S741" i="6"/>
  <c r="S729" i="6"/>
  <c r="S717" i="6"/>
  <c r="S705" i="6"/>
  <c r="S693" i="6"/>
  <c r="S681" i="6"/>
  <c r="S669" i="6"/>
  <c r="S105" i="6"/>
  <c r="S93" i="6"/>
  <c r="S81" i="6"/>
  <c r="S69" i="6"/>
  <c r="S57" i="6"/>
  <c r="S45" i="6"/>
  <c r="S33" i="6"/>
  <c r="S21" i="6"/>
  <c r="S9" i="6"/>
  <c r="S1292" i="6"/>
  <c r="S632" i="6"/>
  <c r="S584" i="6"/>
  <c r="S1546" i="6"/>
  <c r="S1534" i="6"/>
  <c r="S1522" i="6"/>
  <c r="S1510" i="6"/>
  <c r="S1498" i="6"/>
  <c r="S1486" i="6"/>
  <c r="S1474" i="6"/>
  <c r="S1462" i="6"/>
  <c r="S1450" i="6"/>
  <c r="S887" i="6"/>
  <c r="S862" i="6"/>
  <c r="S838" i="6"/>
  <c r="S826" i="6"/>
  <c r="S814" i="6"/>
  <c r="S802" i="6"/>
  <c r="S778" i="6"/>
  <c r="S214" i="6"/>
  <c r="S202" i="6"/>
  <c r="S190" i="6"/>
  <c r="S178" i="6"/>
  <c r="S166" i="6"/>
  <c r="S154" i="6"/>
  <c r="S142" i="6"/>
  <c r="S130" i="6"/>
  <c r="S118" i="6"/>
  <c r="S874" i="6"/>
  <c r="S112" i="6"/>
  <c r="S432" i="6"/>
  <c r="S360" i="6"/>
  <c r="S1304" i="6"/>
  <c r="S1268" i="6"/>
  <c r="S1232" i="6"/>
  <c r="S644" i="6"/>
  <c r="S596" i="6"/>
  <c r="S995" i="6"/>
  <c r="S983" i="6"/>
  <c r="S971" i="6"/>
  <c r="S959" i="6"/>
  <c r="S947" i="6"/>
  <c r="S935" i="6"/>
  <c r="S923" i="6"/>
  <c r="S911" i="6"/>
  <c r="S899" i="6"/>
  <c r="S323" i="6"/>
  <c r="S311" i="6"/>
  <c r="S299" i="6"/>
  <c r="S287" i="6"/>
  <c r="S275" i="6"/>
  <c r="S263" i="6"/>
  <c r="S251" i="6"/>
  <c r="S239" i="6"/>
  <c r="S227" i="6"/>
  <c r="S2" i="6"/>
  <c r="D1832" i="6"/>
  <c r="E1832" i="6" s="1"/>
  <c r="D1700" i="6"/>
  <c r="E1700" i="6" s="1"/>
  <c r="D1448" i="6"/>
  <c r="D1316" i="6"/>
  <c r="E1316" i="6" s="1"/>
  <c r="D966" i="6"/>
  <c r="E966" i="6" s="1"/>
  <c r="O2025" i="6"/>
  <c r="O1953" i="6"/>
  <c r="O1704" i="6"/>
  <c r="O1488" i="6"/>
  <c r="O1272" i="6"/>
  <c r="O1056" i="6"/>
  <c r="O648" i="6"/>
  <c r="O432" i="6"/>
  <c r="O216" i="6"/>
  <c r="O2006" i="6"/>
  <c r="O1922" i="6"/>
  <c r="O1766" i="6"/>
  <c r="O1682" i="6"/>
  <c r="O1574" i="6"/>
  <c r="O1430" i="6"/>
  <c r="O1322" i="6"/>
  <c r="O1226" i="6"/>
  <c r="O1154" i="6"/>
  <c r="O1070" i="6"/>
  <c r="O986" i="6"/>
  <c r="O902" i="6"/>
  <c r="O830" i="6"/>
  <c r="O746" i="6"/>
  <c r="O638" i="6"/>
  <c r="O554" i="6"/>
  <c r="O494" i="6"/>
  <c r="O386" i="6"/>
  <c r="O290" i="6"/>
  <c r="O182" i="6"/>
  <c r="O98" i="6"/>
  <c r="O14" i="6"/>
  <c r="O1856" i="6"/>
  <c r="O1784" i="6"/>
  <c r="O1724" i="6"/>
  <c r="O1676" i="6"/>
  <c r="O1616" i="6"/>
  <c r="O1556" i="6"/>
  <c r="O1508" i="6"/>
  <c r="O1448" i="6"/>
  <c r="O1400" i="6"/>
  <c r="O1340" i="6"/>
  <c r="O1292" i="6"/>
  <c r="O1232" i="6"/>
  <c r="O1184" i="6"/>
  <c r="O1136" i="6"/>
  <c r="O1088" i="6"/>
  <c r="O1040" i="6"/>
  <c r="O992" i="6"/>
  <c r="O944" i="6"/>
  <c r="O896" i="6"/>
  <c r="O836" i="6"/>
  <c r="O716" i="6"/>
  <c r="O1489" i="6"/>
  <c r="O1843" i="6"/>
  <c r="O2022" i="6"/>
  <c r="O2010" i="6"/>
  <c r="O1998" i="6"/>
  <c r="O1986" i="6"/>
  <c r="O1974" i="6"/>
  <c r="O1962" i="6"/>
  <c r="O1938" i="6"/>
  <c r="O1926" i="6"/>
  <c r="O1914" i="6"/>
  <c r="O1902" i="6"/>
  <c r="O1890" i="6"/>
  <c r="O1878" i="6"/>
  <c r="O1866" i="6"/>
  <c r="O1854" i="6"/>
  <c r="O1842" i="6"/>
  <c r="O1818" i="6"/>
  <c r="O1794" i="6"/>
  <c r="O1782" i="6"/>
  <c r="O1770" i="6"/>
  <c r="O1758" i="6"/>
  <c r="O1746" i="6"/>
  <c r="O1734" i="6"/>
  <c r="O1722" i="6"/>
  <c r="O1710" i="6"/>
  <c r="O1698" i="6"/>
  <c r="O1674" i="6"/>
  <c r="O1662" i="6"/>
  <c r="O1638" i="6"/>
  <c r="O1626" i="6"/>
  <c r="O1614" i="6"/>
  <c r="O1602" i="6"/>
  <c r="O1590" i="6"/>
  <c r="O1566" i="6"/>
  <c r="O1554" i="6"/>
  <c r="O1542" i="6"/>
  <c r="O1506" i="6"/>
  <c r="O1494" i="6"/>
  <c r="O1482" i="6"/>
  <c r="O1470" i="6"/>
  <c r="O1458" i="6"/>
  <c r="O1434" i="6"/>
  <c r="O1422" i="6"/>
  <c r="O1410" i="6"/>
  <c r="O1398" i="6"/>
  <c r="O1386" i="6"/>
  <c r="O1374" i="6"/>
  <c r="O1362" i="6"/>
  <c r="O1350" i="6"/>
  <c r="O1338" i="6"/>
  <c r="O1326" i="6"/>
  <c r="O1314" i="6"/>
  <c r="O1302" i="6"/>
  <c r="O1290" i="6"/>
  <c r="O1266" i="6"/>
  <c r="O1254" i="6"/>
  <c r="O1242" i="6"/>
  <c r="O1230" i="6"/>
  <c r="O1218" i="6"/>
  <c r="O1206" i="6"/>
  <c r="O1194" i="6"/>
  <c r="O1182" i="6"/>
  <c r="O1170" i="6"/>
  <c r="O1158" i="6"/>
  <c r="O1146" i="6"/>
  <c r="O1134" i="6"/>
  <c r="O1122" i="6"/>
  <c r="O1110" i="6"/>
  <c r="O1098" i="6"/>
  <c r="O1086" i="6"/>
  <c r="O1074" i="6"/>
  <c r="O1062" i="6"/>
  <c r="O1941" i="6"/>
  <c r="O1669" i="6"/>
  <c r="O1453" i="6"/>
  <c r="O1237" i="6"/>
  <c r="O1021" i="6"/>
  <c r="O2018" i="6"/>
  <c r="O1910" i="6"/>
  <c r="O1742" i="6"/>
  <c r="O1658" i="6"/>
  <c r="O1526" i="6"/>
  <c r="O1406" i="6"/>
  <c r="O1298" i="6"/>
  <c r="O1130" i="6"/>
  <c r="O770" i="6"/>
  <c r="O686" i="6"/>
  <c r="O614" i="6"/>
  <c r="O530" i="6"/>
  <c r="O458" i="6"/>
  <c r="O374" i="6"/>
  <c r="O278" i="6"/>
  <c r="O194" i="6"/>
  <c r="O110" i="6"/>
  <c r="O26" i="6"/>
  <c r="O1820" i="6"/>
  <c r="O1772" i="6"/>
  <c r="O1712" i="6"/>
  <c r="O1664" i="6"/>
  <c r="O1628" i="6"/>
  <c r="O1592" i="6"/>
  <c r="O1520" i="6"/>
  <c r="O1472" i="6"/>
  <c r="O1424" i="6"/>
  <c r="O1376" i="6"/>
  <c r="O1328" i="6"/>
  <c r="O1280" i="6"/>
  <c r="O1244" i="6"/>
  <c r="O1208" i="6"/>
  <c r="O1172" i="6"/>
  <c r="O1124" i="6"/>
  <c r="O1076" i="6"/>
  <c r="O1028" i="6"/>
  <c r="O980" i="6"/>
  <c r="O908" i="6"/>
  <c r="O752" i="6"/>
  <c r="O1705" i="6"/>
  <c r="O2023" i="6"/>
  <c r="O1987" i="6"/>
  <c r="O1951" i="6"/>
  <c r="O1915" i="6"/>
  <c r="O1879" i="6"/>
  <c r="O1855" i="6"/>
  <c r="O1807" i="6"/>
  <c r="O1771" i="6"/>
  <c r="O1735" i="6"/>
  <c r="O1651" i="6"/>
  <c r="O1615" i="6"/>
  <c r="O1507" i="6"/>
  <c r="O2021" i="6"/>
  <c r="O2009" i="6"/>
  <c r="O1997" i="6"/>
  <c r="O1985" i="6"/>
  <c r="O1973" i="6"/>
  <c r="O1961" i="6"/>
  <c r="O1925" i="6"/>
  <c r="O1913" i="6"/>
  <c r="O1901" i="6"/>
  <c r="O1889" i="6"/>
  <c r="O1877" i="6"/>
  <c r="O1865" i="6"/>
  <c r="O1853" i="6"/>
  <c r="O1841" i="6"/>
  <c r="O1781" i="6"/>
  <c r="O1769" i="6"/>
  <c r="O1757" i="6"/>
  <c r="O1745" i="6"/>
  <c r="O1733" i="6"/>
  <c r="O1721" i="6"/>
  <c r="O1709" i="6"/>
  <c r="O1697" i="6"/>
  <c r="O2012" i="6"/>
  <c r="O1940" i="6"/>
  <c r="O1668" i="6"/>
  <c r="O1452" i="6"/>
  <c r="O1236" i="6"/>
  <c r="O1020" i="6"/>
  <c r="O1970" i="6"/>
  <c r="O1874" i="6"/>
  <c r="O1778" i="6"/>
  <c r="O1694" i="6"/>
  <c r="O1586" i="6"/>
  <c r="O1514" i="6"/>
  <c r="O1418" i="6"/>
  <c r="O1346" i="6"/>
  <c r="O1262" i="6"/>
  <c r="O1190" i="6"/>
  <c r="O1082" i="6"/>
  <c r="O1022" i="6"/>
  <c r="O938" i="6"/>
  <c r="O878" i="6"/>
  <c r="O782" i="6"/>
  <c r="O698" i="6"/>
  <c r="O326" i="6"/>
  <c r="O266" i="6"/>
  <c r="O158" i="6"/>
  <c r="O1832" i="6"/>
  <c r="O1796" i="6"/>
  <c r="O1736" i="6"/>
  <c r="O1688" i="6"/>
  <c r="O1640" i="6"/>
  <c r="O1580" i="6"/>
  <c r="O1532" i="6"/>
  <c r="O1484" i="6"/>
  <c r="O1436" i="6"/>
  <c r="O1388" i="6"/>
  <c r="O1352" i="6"/>
  <c r="O1304" i="6"/>
  <c r="O1256" i="6"/>
  <c r="O1196" i="6"/>
  <c r="O1148" i="6"/>
  <c r="O1112" i="6"/>
  <c r="O1064" i="6"/>
  <c r="O1016" i="6"/>
  <c r="O956" i="6"/>
  <c r="O920" i="6"/>
  <c r="O872" i="6"/>
  <c r="O848" i="6"/>
  <c r="O812" i="6"/>
  <c r="O788" i="6"/>
  <c r="O764" i="6"/>
  <c r="O740" i="6"/>
  <c r="O1273" i="6"/>
  <c r="O2011" i="6"/>
  <c r="O1975" i="6"/>
  <c r="O1939" i="6"/>
  <c r="O1903" i="6"/>
  <c r="O1867" i="6"/>
  <c r="O1819" i="6"/>
  <c r="O1783" i="6"/>
  <c r="O1759" i="6"/>
  <c r="O1723" i="6"/>
  <c r="O1711" i="6"/>
  <c r="O1699" i="6"/>
  <c r="O1675" i="6"/>
  <c r="O1663" i="6"/>
  <c r="O1639" i="6"/>
  <c r="O1627" i="6"/>
  <c r="O1603" i="6"/>
  <c r="O1591" i="6"/>
  <c r="O1579" i="6"/>
  <c r="O1567" i="6"/>
  <c r="O1555" i="6"/>
  <c r="O1519" i="6"/>
  <c r="O1952" i="6"/>
  <c r="J2020" i="6"/>
  <c r="O2020" i="6"/>
  <c r="O1996" i="6"/>
  <c r="O1984" i="6"/>
  <c r="O1972" i="6"/>
  <c r="O1960" i="6"/>
  <c r="O1912" i="6"/>
  <c r="O1900" i="6"/>
  <c r="O1888" i="6"/>
  <c r="O1876" i="6"/>
  <c r="O1852" i="6"/>
  <c r="O1828" i="6"/>
  <c r="O1816" i="6"/>
  <c r="O1780" i="6"/>
  <c r="O1768" i="6"/>
  <c r="O1756" i="6"/>
  <c r="O1744" i="6"/>
  <c r="O1732" i="6"/>
  <c r="O1708" i="6"/>
  <c r="O1684" i="6"/>
  <c r="O1672" i="6"/>
  <c r="O2001" i="6"/>
  <c r="O1929" i="6"/>
  <c r="O1849" i="6"/>
  <c r="O1633" i="6"/>
  <c r="O1417" i="6"/>
  <c r="O1201" i="6"/>
  <c r="O866" i="6"/>
  <c r="O1994" i="6"/>
  <c r="O1898" i="6"/>
  <c r="O1814" i="6"/>
  <c r="O1718" i="6"/>
  <c r="O1622" i="6"/>
  <c r="O1550" i="6"/>
  <c r="O1454" i="6"/>
  <c r="O1382" i="6"/>
  <c r="O1310" i="6"/>
  <c r="O1202" i="6"/>
  <c r="O1094" i="6"/>
  <c r="O1034" i="6"/>
  <c r="O962" i="6"/>
  <c r="O854" i="6"/>
  <c r="O758" i="6"/>
  <c r="O662" i="6"/>
  <c r="O602" i="6"/>
  <c r="O518" i="6"/>
  <c r="O422" i="6"/>
  <c r="O338" i="6"/>
  <c r="O254" i="6"/>
  <c r="O146" i="6"/>
  <c r="O74" i="6"/>
  <c r="O1844" i="6"/>
  <c r="O1808" i="6"/>
  <c r="O1748" i="6"/>
  <c r="O1700" i="6"/>
  <c r="O1652" i="6"/>
  <c r="O1604" i="6"/>
  <c r="O1544" i="6"/>
  <c r="O1496" i="6"/>
  <c r="O1460" i="6"/>
  <c r="O1412" i="6"/>
  <c r="O1364" i="6"/>
  <c r="O1316" i="6"/>
  <c r="O1268" i="6"/>
  <c r="O1220" i="6"/>
  <c r="O1160" i="6"/>
  <c r="O1100" i="6"/>
  <c r="O1052" i="6"/>
  <c r="O1004" i="6"/>
  <c r="O968" i="6"/>
  <c r="O932" i="6"/>
  <c r="O884" i="6"/>
  <c r="O860" i="6"/>
  <c r="O824" i="6"/>
  <c r="O800" i="6"/>
  <c r="O776" i="6"/>
  <c r="O728" i="6"/>
  <c r="O1057" i="6"/>
  <c r="O1999" i="6"/>
  <c r="O1963" i="6"/>
  <c r="O1927" i="6"/>
  <c r="O1891" i="6"/>
  <c r="O1795" i="6"/>
  <c r="O1747" i="6"/>
  <c r="O1531" i="6"/>
  <c r="O2024" i="6"/>
  <c r="O1880" i="6"/>
  <c r="O2019" i="6"/>
  <c r="O2007" i="6"/>
  <c r="O1995" i="6"/>
  <c r="O1983" i="6"/>
  <c r="O1971" i="6"/>
  <c r="O1959" i="6"/>
  <c r="O1947" i="6"/>
  <c r="O1911" i="6"/>
  <c r="O1899" i="6"/>
  <c r="O1887" i="6"/>
  <c r="O1875" i="6"/>
  <c r="O1863" i="6"/>
  <c r="O1851" i="6"/>
  <c r="O1839" i="6"/>
  <c r="O1827" i="6"/>
  <c r="O1815" i="6"/>
  <c r="O1755" i="6"/>
  <c r="O1743" i="6"/>
  <c r="O1731" i="6"/>
  <c r="O1719" i="6"/>
  <c r="O1707" i="6"/>
  <c r="O1695" i="6"/>
  <c r="O1683" i="6"/>
  <c r="O1671" i="6"/>
  <c r="O1659" i="6"/>
  <c r="O1623" i="6"/>
  <c r="O1611" i="6"/>
  <c r="O1599" i="6"/>
  <c r="O1587" i="6"/>
  <c r="O1575" i="6"/>
  <c r="O1563" i="6"/>
  <c r="O1551" i="6"/>
  <c r="O1539" i="6"/>
  <c r="O1527" i="6"/>
  <c r="O1503" i="6"/>
  <c r="O1479" i="6"/>
  <c r="O1467" i="6"/>
  <c r="O1455" i="6"/>
  <c r="O1443" i="6"/>
  <c r="O1431" i="6"/>
  <c r="O1419" i="6"/>
  <c r="O1407" i="6"/>
  <c r="O1395" i="6"/>
  <c r="O1383" i="6"/>
  <c r="O1371" i="6"/>
  <c r="O1359" i="6"/>
  <c r="O1347" i="6"/>
  <c r="O1335" i="6"/>
  <c r="O1323" i="6"/>
  <c r="O1311" i="6"/>
  <c r="O1299" i="6"/>
  <c r="O1287" i="6"/>
  <c r="O1263" i="6"/>
  <c r="O1251" i="6"/>
  <c r="O1239" i="6"/>
  <c r="O1215" i="6"/>
  <c r="O1191" i="6"/>
  <c r="O1179" i="6"/>
  <c r="O1167" i="6"/>
  <c r="O1155" i="6"/>
  <c r="O1143" i="6"/>
  <c r="O1119" i="6"/>
  <c r="O1107" i="6"/>
  <c r="O1095" i="6"/>
  <c r="O1083" i="6"/>
  <c r="O1071" i="6"/>
  <c r="O1059" i="6"/>
  <c r="O1047" i="6"/>
  <c r="O1035" i="6"/>
  <c r="O1023" i="6"/>
  <c r="O1011" i="6"/>
  <c r="O999" i="6"/>
  <c r="O2000" i="6"/>
  <c r="O1928" i="6"/>
  <c r="O1848" i="6"/>
  <c r="O1416" i="6"/>
  <c r="O1200" i="6"/>
  <c r="O864" i="6"/>
  <c r="O1838" i="6"/>
  <c r="O1706" i="6"/>
  <c r="O1466" i="6"/>
  <c r="O1178" i="6"/>
  <c r="O62" i="6"/>
  <c r="O1917" i="6"/>
  <c r="O1813" i="6"/>
  <c r="O1597" i="6"/>
  <c r="O1381" i="6"/>
  <c r="O1165" i="6"/>
  <c r="O650" i="6"/>
  <c r="O1934" i="6"/>
  <c r="O1790" i="6"/>
  <c r="O1634" i="6"/>
  <c r="O1478" i="6"/>
  <c r="O1358" i="6"/>
  <c r="O1214" i="6"/>
  <c r="O1106" i="6"/>
  <c r="O998" i="6"/>
  <c r="O890" i="6"/>
  <c r="O794" i="6"/>
  <c r="O674" i="6"/>
  <c r="O566" i="6"/>
  <c r="O470" i="6"/>
  <c r="O362" i="6"/>
  <c r="O242" i="6"/>
  <c r="O134" i="6"/>
  <c r="O50" i="6"/>
  <c r="O1993" i="6"/>
  <c r="O1945" i="6"/>
  <c r="O1753" i="6"/>
  <c r="O1729" i="6"/>
  <c r="O1645" i="6"/>
  <c r="O1621" i="6"/>
  <c r="O1465" i="6"/>
  <c r="O1441" i="6"/>
  <c r="O1429" i="6"/>
  <c r="O1249" i="6"/>
  <c r="O1225" i="6"/>
  <c r="O1189" i="6"/>
  <c r="O1153" i="6"/>
  <c r="O997" i="6"/>
  <c r="O949" i="6"/>
  <c r="O889" i="6"/>
  <c r="O841" i="6"/>
  <c r="O781" i="6"/>
  <c r="O733" i="6"/>
  <c r="O673" i="6"/>
  <c r="O613" i="6"/>
  <c r="O565" i="6"/>
  <c r="O517" i="6"/>
  <c r="O469" i="6"/>
  <c r="O397" i="6"/>
  <c r="O349" i="6"/>
  <c r="O301" i="6"/>
  <c r="O265" i="6"/>
  <c r="O217" i="6"/>
  <c r="O181" i="6"/>
  <c r="O145" i="6"/>
  <c r="O97" i="6"/>
  <c r="O61" i="6"/>
  <c r="O13" i="6"/>
  <c r="O1988" i="6"/>
  <c r="O1916" i="6"/>
  <c r="O1596" i="6"/>
  <c r="O1380" i="6"/>
  <c r="O1164" i="6"/>
  <c r="O1886" i="6"/>
  <c r="O1730" i="6"/>
  <c r="O1610" i="6"/>
  <c r="O1538" i="6"/>
  <c r="O1394" i="6"/>
  <c r="O1286" i="6"/>
  <c r="O1166" i="6"/>
  <c r="O1046" i="6"/>
  <c r="O950" i="6"/>
  <c r="O842" i="6"/>
  <c r="O722" i="6"/>
  <c r="O578" i="6"/>
  <c r="O446" i="6"/>
  <c r="O302" i="6"/>
  <c r="O206" i="6"/>
  <c r="O86" i="6"/>
  <c r="O2005" i="6"/>
  <c r="O1909" i="6"/>
  <c r="O1717" i="6"/>
  <c r="O1609" i="6"/>
  <c r="O1501" i="6"/>
  <c r="O1477" i="6"/>
  <c r="O1285" i="6"/>
  <c r="O1261" i="6"/>
  <c r="O1069" i="6"/>
  <c r="O1033" i="6"/>
  <c r="O985" i="6"/>
  <c r="O937" i="6"/>
  <c r="O901" i="6"/>
  <c r="O865" i="6"/>
  <c r="O817" i="6"/>
  <c r="O769" i="6"/>
  <c r="O721" i="6"/>
  <c r="O697" i="6"/>
  <c r="O649" i="6"/>
  <c r="O601" i="6"/>
  <c r="O553" i="6"/>
  <c r="O505" i="6"/>
  <c r="O457" i="6"/>
  <c r="O433" i="6"/>
  <c r="O385" i="6"/>
  <c r="O337" i="6"/>
  <c r="O289" i="6"/>
  <c r="O241" i="6"/>
  <c r="O205" i="6"/>
  <c r="O169" i="6"/>
  <c r="O133" i="6"/>
  <c r="O109" i="6"/>
  <c r="O73" i="6"/>
  <c r="O25" i="6"/>
  <c r="O2028" i="6"/>
  <c r="O2004" i="6"/>
  <c r="O1980" i="6"/>
  <c r="O1956" i="6"/>
  <c r="O1920" i="6"/>
  <c r="O1896" i="6"/>
  <c r="O1872" i="6"/>
  <c r="O1860" i="6"/>
  <c r="O1728" i="6"/>
  <c r="O1716" i="6"/>
  <c r="O1692" i="6"/>
  <c r="O1680" i="6"/>
  <c r="O1644" i="6"/>
  <c r="O1608" i="6"/>
  <c r="O1536" i="6"/>
  <c r="O1512" i="6"/>
  <c r="O1500" i="6"/>
  <c r="O1464" i="6"/>
  <c r="O1440" i="6"/>
  <c r="O1428" i="6"/>
  <c r="O1404" i="6"/>
  <c r="O1392" i="6"/>
  <c r="O1368" i="6"/>
  <c r="O1332" i="6"/>
  <c r="O1320" i="6"/>
  <c r="O1296" i="6"/>
  <c r="O1284" i="6"/>
  <c r="O1260" i="6"/>
  <c r="O1248" i="6"/>
  <c r="O1224" i="6"/>
  <c r="O1212" i="6"/>
  <c r="O1188" i="6"/>
  <c r="O1152" i="6"/>
  <c r="O1140" i="6"/>
  <c r="O1116" i="6"/>
  <c r="O1104" i="6"/>
  <c r="O1080" i="6"/>
  <c r="O1068" i="6"/>
  <c r="O1044" i="6"/>
  <c r="O1032" i="6"/>
  <c r="O1008" i="6"/>
  <c r="O996" i="6"/>
  <c r="O984" i="6"/>
  <c r="O972" i="6"/>
  <c r="O960" i="6"/>
  <c r="O948" i="6"/>
  <c r="O936" i="6"/>
  <c r="O924" i="6"/>
  <c r="O912" i="6"/>
  <c r="O900" i="6"/>
  <c r="O888" i="6"/>
  <c r="O876" i="6"/>
  <c r="O852" i="6"/>
  <c r="O840" i="6"/>
  <c r="O828" i="6"/>
  <c r="O816" i="6"/>
  <c r="O804" i="6"/>
  <c r="O1977" i="6"/>
  <c r="O1905" i="6"/>
  <c r="O1777" i="6"/>
  <c r="O1561" i="6"/>
  <c r="O1345" i="6"/>
  <c r="O1129" i="6"/>
  <c r="O434" i="6"/>
  <c r="O1982" i="6"/>
  <c r="O1862" i="6"/>
  <c r="O1754" i="6"/>
  <c r="O1670" i="6"/>
  <c r="O1562" i="6"/>
  <c r="O1442" i="6"/>
  <c r="O1334" i="6"/>
  <c r="O1238" i="6"/>
  <c r="O1142" i="6"/>
  <c r="O1058" i="6"/>
  <c r="O974" i="6"/>
  <c r="O926" i="6"/>
  <c r="O818" i="6"/>
  <c r="O734" i="6"/>
  <c r="O626" i="6"/>
  <c r="O542" i="6"/>
  <c r="O506" i="6"/>
  <c r="O410" i="6"/>
  <c r="O314" i="6"/>
  <c r="O170" i="6"/>
  <c r="O2017" i="6"/>
  <c r="O1981" i="6"/>
  <c r="O1969" i="6"/>
  <c r="O1933" i="6"/>
  <c r="O1921" i="6"/>
  <c r="O1897" i="6"/>
  <c r="O1885" i="6"/>
  <c r="O1873" i="6"/>
  <c r="O1861" i="6"/>
  <c r="O1837" i="6"/>
  <c r="O1825" i="6"/>
  <c r="O1801" i="6"/>
  <c r="O1789" i="6"/>
  <c r="O1765" i="6"/>
  <c r="O1693" i="6"/>
  <c r="O1681" i="6"/>
  <c r="O1657" i="6"/>
  <c r="O1585" i="6"/>
  <c r="O1573" i="6"/>
  <c r="O1549" i="6"/>
  <c r="O1537" i="6"/>
  <c r="O1513" i="6"/>
  <c r="O1405" i="6"/>
  <c r="O1393" i="6"/>
  <c r="O1369" i="6"/>
  <c r="O1213" i="6"/>
  <c r="O1117" i="6"/>
  <c r="O1105" i="6"/>
  <c r="O1081" i="6"/>
  <c r="O1045" i="6"/>
  <c r="O1009" i="6"/>
  <c r="O973" i="6"/>
  <c r="O925" i="6"/>
  <c r="O877" i="6"/>
  <c r="O829" i="6"/>
  <c r="O805" i="6"/>
  <c r="O757" i="6"/>
  <c r="O709" i="6"/>
  <c r="O661" i="6"/>
  <c r="O637" i="6"/>
  <c r="O589" i="6"/>
  <c r="O541" i="6"/>
  <c r="O493" i="6"/>
  <c r="O445" i="6"/>
  <c r="O409" i="6"/>
  <c r="O373" i="6"/>
  <c r="O325" i="6"/>
  <c r="O253" i="6"/>
  <c r="O49" i="6"/>
  <c r="O2016" i="6"/>
  <c r="O1992" i="6"/>
  <c r="O1968" i="6"/>
  <c r="O1944" i="6"/>
  <c r="O1932" i="6"/>
  <c r="O1908" i="6"/>
  <c r="O1884" i="6"/>
  <c r="O1836" i="6"/>
  <c r="O1824" i="6"/>
  <c r="O1764" i="6"/>
  <c r="O1752" i="6"/>
  <c r="O1620" i="6"/>
  <c r="O1584" i="6"/>
  <c r="O1572" i="6"/>
  <c r="O1548" i="6"/>
  <c r="O1476" i="6"/>
  <c r="O2027" i="6"/>
  <c r="O2015" i="6"/>
  <c r="O2003" i="6"/>
  <c r="O1991" i="6"/>
  <c r="O1979" i="6"/>
  <c r="O1967" i="6"/>
  <c r="O1955" i="6"/>
  <c r="O1943" i="6"/>
  <c r="O1931" i="6"/>
  <c r="O1919" i="6"/>
  <c r="O1895" i="6"/>
  <c r="O1883" i="6"/>
  <c r="O1859" i="6"/>
  <c r="O1847" i="6"/>
  <c r="O1835" i="6"/>
  <c r="O1823" i="6"/>
  <c r="O1799" i="6"/>
  <c r="O1787" i="6"/>
  <c r="O1775" i="6"/>
  <c r="O1763" i="6"/>
  <c r="O1751" i="6"/>
  <c r="O1739" i="6"/>
  <c r="O1715" i="6"/>
  <c r="O1703" i="6"/>
  <c r="O1691" i="6"/>
  <c r="O1679" i="6"/>
  <c r="O1667" i="6"/>
  <c r="O1655" i="6"/>
  <c r="O1643" i="6"/>
  <c r="O1631" i="6"/>
  <c r="O1607" i="6"/>
  <c r="O1595" i="6"/>
  <c r="O1583" i="6"/>
  <c r="O1571" i="6"/>
  <c r="O1559" i="6"/>
  <c r="O1547" i="6"/>
  <c r="O1535" i="6"/>
  <c r="O1523" i="6"/>
  <c r="O1511" i="6"/>
  <c r="O1499" i="6"/>
  <c r="O1487" i="6"/>
  <c r="O1475" i="6"/>
  <c r="O1463" i="6"/>
  <c r="O1451" i="6"/>
  <c r="O1439" i="6"/>
  <c r="O1427" i="6"/>
  <c r="O1415" i="6"/>
  <c r="O1403" i="6"/>
  <c r="O1391" i="6"/>
  <c r="O1379" i="6"/>
  <c r="O1367" i="6"/>
  <c r="O1355" i="6"/>
  <c r="O1343" i="6"/>
  <c r="O1331" i="6"/>
  <c r="O1319" i="6"/>
  <c r="O1307" i="6"/>
  <c r="O1295" i="6"/>
  <c r="O1283" i="6"/>
  <c r="O1271" i="6"/>
  <c r="O1259" i="6"/>
  <c r="O1247" i="6"/>
  <c r="O1235" i="6"/>
  <c r="O1223" i="6"/>
  <c r="O1211" i="6"/>
  <c r="O1199" i="6"/>
  <c r="O1187" i="6"/>
  <c r="O1175" i="6"/>
  <c r="O1163" i="6"/>
  <c r="O1976" i="6"/>
  <c r="O1904" i="6"/>
  <c r="O1560" i="6"/>
  <c r="O1344" i="6"/>
  <c r="O1128" i="6"/>
  <c r="O2030" i="6"/>
  <c r="O1802" i="6"/>
  <c r="O1646" i="6"/>
  <c r="O1502" i="6"/>
  <c r="O1370" i="6"/>
  <c r="O1250" i="6"/>
  <c r="O1118" i="6"/>
  <c r="O1010" i="6"/>
  <c r="O914" i="6"/>
  <c r="O806" i="6"/>
  <c r="O710" i="6"/>
  <c r="O590" i="6"/>
  <c r="O482" i="6"/>
  <c r="O350" i="6"/>
  <c r="O230" i="6"/>
  <c r="O122" i="6"/>
  <c r="O38" i="6"/>
  <c r="O2029" i="6"/>
  <c r="O1357" i="6"/>
  <c r="O1333" i="6"/>
  <c r="O1321" i="6"/>
  <c r="O1297" i="6"/>
  <c r="O1177" i="6"/>
  <c r="O1141" i="6"/>
  <c r="O961" i="6"/>
  <c r="O913" i="6"/>
  <c r="O853" i="6"/>
  <c r="O793" i="6"/>
  <c r="O745" i="6"/>
  <c r="O685" i="6"/>
  <c r="O625" i="6"/>
  <c r="O577" i="6"/>
  <c r="O529" i="6"/>
  <c r="O481" i="6"/>
  <c r="O421" i="6"/>
  <c r="O361" i="6"/>
  <c r="O313" i="6"/>
  <c r="O277" i="6"/>
  <c r="O229" i="6"/>
  <c r="O193" i="6"/>
  <c r="O157" i="6"/>
  <c r="O121" i="6"/>
  <c r="O85" i="6"/>
  <c r="O37" i="6"/>
  <c r="O2002" i="6"/>
  <c r="O1990" i="6"/>
  <c r="O1978" i="6"/>
  <c r="O1966" i="6"/>
  <c r="O1954" i="6"/>
  <c r="O1942" i="6"/>
  <c r="O1930" i="6"/>
  <c r="O1918" i="6"/>
  <c r="O1882" i="6"/>
  <c r="O1870" i="6"/>
  <c r="O1858" i="6"/>
  <c r="O1846" i="6"/>
  <c r="O1834" i="6"/>
  <c r="O1822" i="6"/>
  <c r="O1810" i="6"/>
  <c r="O1798" i="6"/>
  <c r="O1786" i="6"/>
  <c r="O1774" i="6"/>
  <c r="O1750" i="6"/>
  <c r="O1738" i="6"/>
  <c r="O1726" i="6"/>
  <c r="O1714" i="6"/>
  <c r="O1702" i="6"/>
  <c r="O1690" i="6"/>
  <c r="O1678" i="6"/>
  <c r="O1666" i="6"/>
  <c r="O1654" i="6"/>
  <c r="O1618" i="6"/>
  <c r="O1606" i="6"/>
  <c r="O1594" i="6"/>
  <c r="O1570" i="6"/>
  <c r="O1558" i="6"/>
  <c r="O1546" i="6"/>
  <c r="O1534" i="6"/>
  <c r="O1522" i="6"/>
  <c r="O1510" i="6"/>
  <c r="O1498" i="6"/>
  <c r="O1486" i="6"/>
  <c r="O1474" i="6"/>
  <c r="O1450" i="6"/>
  <c r="O1438" i="6"/>
  <c r="O1426" i="6"/>
  <c r="O1414" i="6"/>
  <c r="O1402" i="6"/>
  <c r="O1390" i="6"/>
  <c r="O1378" i="6"/>
  <c r="O1366" i="6"/>
  <c r="O1354" i="6"/>
  <c r="O1342" i="6"/>
  <c r="O1330" i="6"/>
  <c r="O1318" i="6"/>
  <c r="O1306" i="6"/>
  <c r="O1294" i="6"/>
  <c r="O1282" i="6"/>
  <c r="O1270" i="6"/>
  <c r="O1258" i="6"/>
  <c r="O1246" i="6"/>
  <c r="O1234" i="6"/>
  <c r="O1222" i="6"/>
  <c r="O1210" i="6"/>
  <c r="O1198" i="6"/>
  <c r="O1186" i="6"/>
  <c r="O1174" i="6"/>
  <c r="O1162" i="6"/>
  <c r="O1150" i="6"/>
  <c r="O1138" i="6"/>
  <c r="O1126" i="6"/>
  <c r="O1114" i="6"/>
  <c r="O1102" i="6"/>
  <c r="O1090" i="6"/>
  <c r="O1078" i="6"/>
  <c r="O1066" i="6"/>
  <c r="O1054" i="6"/>
  <c r="O1042" i="6"/>
  <c r="O1030" i="6"/>
  <c r="O1018" i="6"/>
  <c r="O1006" i="6"/>
  <c r="O994" i="6"/>
  <c r="O982" i="6"/>
  <c r="O970" i="6"/>
  <c r="O958" i="6"/>
  <c r="O946" i="6"/>
  <c r="O934" i="6"/>
  <c r="O1965" i="6"/>
  <c r="O1893" i="6"/>
  <c r="O1741" i="6"/>
  <c r="O1525" i="6"/>
  <c r="O1309" i="6"/>
  <c r="O1093" i="6"/>
  <c r="O218" i="6"/>
  <c r="O1958" i="6"/>
  <c r="O1598" i="6"/>
  <c r="O398" i="6"/>
  <c r="O1857" i="6"/>
  <c r="O1833" i="6"/>
  <c r="O1821" i="6"/>
  <c r="O1809" i="6"/>
  <c r="O1797" i="6"/>
  <c r="O1785" i="6"/>
  <c r="O1749" i="6"/>
  <c r="O1725" i="6"/>
  <c r="O1713" i="6"/>
  <c r="O1701" i="6"/>
  <c r="O1689" i="6"/>
  <c r="O1677" i="6"/>
  <c r="O1665" i="6"/>
  <c r="O1653" i="6"/>
  <c r="O1641" i="6"/>
  <c r="O1629" i="6"/>
  <c r="O1617" i="6"/>
  <c r="O1605" i="6"/>
  <c r="O1593" i="6"/>
  <c r="O1581" i="6"/>
  <c r="O1557" i="6"/>
  <c r="O1545" i="6"/>
  <c r="O1533" i="6"/>
  <c r="O1521" i="6"/>
  <c r="O1509" i="6"/>
  <c r="O1497" i="6"/>
  <c r="O1485" i="6"/>
  <c r="O1473" i="6"/>
  <c r="O1461" i="6"/>
  <c r="O1449" i="6"/>
  <c r="O1437" i="6"/>
  <c r="O1425" i="6"/>
  <c r="O1413" i="6"/>
  <c r="O1401" i="6"/>
  <c r="O1389" i="6"/>
  <c r="O1377" i="6"/>
  <c r="O1365" i="6"/>
  <c r="O1353" i="6"/>
  <c r="O1341" i="6"/>
  <c r="O1329" i="6"/>
  <c r="O1317" i="6"/>
  <c r="O1305" i="6"/>
  <c r="O1293" i="6"/>
  <c r="O1281" i="6"/>
  <c r="O1269" i="6"/>
  <c r="O1257" i="6"/>
  <c r="O1245" i="6"/>
  <c r="O1233" i="6"/>
  <c r="O1221" i="6"/>
  <c r="O1209" i="6"/>
  <c r="O1197" i="6"/>
  <c r="O1185" i="6"/>
  <c r="O1173" i="6"/>
  <c r="O1161" i="6"/>
  <c r="O1149" i="6"/>
  <c r="O1137" i="6"/>
  <c r="O1125" i="6"/>
  <c r="O1113" i="6"/>
  <c r="O1101" i="6"/>
  <c r="O1089" i="6"/>
  <c r="O1077" i="6"/>
  <c r="O1065" i="6"/>
  <c r="O1053" i="6"/>
  <c r="O1041" i="6"/>
  <c r="O1029" i="6"/>
  <c r="O1017" i="6"/>
  <c r="O1005" i="6"/>
  <c r="O993" i="6"/>
  <c r="O1964" i="6"/>
  <c r="O1892" i="6"/>
  <c r="O1740" i="6"/>
  <c r="O1524" i="6"/>
  <c r="O1308" i="6"/>
  <c r="O1092" i="6"/>
  <c r="O768" i="6"/>
  <c r="O756" i="6"/>
  <c r="O744" i="6"/>
  <c r="O732" i="6"/>
  <c r="O696" i="6"/>
  <c r="O684" i="6"/>
  <c r="O672" i="6"/>
  <c r="O660" i="6"/>
  <c r="O624" i="6"/>
  <c r="O612" i="6"/>
  <c r="O600" i="6"/>
  <c r="O588" i="6"/>
  <c r="O552" i="6"/>
  <c r="O540" i="6"/>
  <c r="O528" i="6"/>
  <c r="O516" i="6"/>
  <c r="O480" i="6"/>
  <c r="O468" i="6"/>
  <c r="O456" i="6"/>
  <c r="O444" i="6"/>
  <c r="O408" i="6"/>
  <c r="O396" i="6"/>
  <c r="O384" i="6"/>
  <c r="O372" i="6"/>
  <c r="O336" i="6"/>
  <c r="O324" i="6"/>
  <c r="O312" i="6"/>
  <c r="O300" i="6"/>
  <c r="O264" i="6"/>
  <c r="O252" i="6"/>
  <c r="O240" i="6"/>
  <c r="O228" i="6"/>
  <c r="O192" i="6"/>
  <c r="O180" i="6"/>
  <c r="O168" i="6"/>
  <c r="O156" i="6"/>
  <c r="O120" i="6"/>
  <c r="O108" i="6"/>
  <c r="O96" i="6"/>
  <c r="O84" i="6"/>
  <c r="O48" i="6"/>
  <c r="O36" i="6"/>
  <c r="O24" i="6"/>
  <c r="O12" i="6"/>
  <c r="O1127" i="6"/>
  <c r="O1091" i="6"/>
  <c r="O1055" i="6"/>
  <c r="O1019" i="6"/>
  <c r="O1007" i="6"/>
  <c r="O995" i="6"/>
  <c r="O983" i="6"/>
  <c r="O971" i="6"/>
  <c r="O959" i="6"/>
  <c r="O947" i="6"/>
  <c r="O935" i="6"/>
  <c r="O923" i="6"/>
  <c r="O911" i="6"/>
  <c r="O899" i="6"/>
  <c r="O887" i="6"/>
  <c r="O875" i="6"/>
  <c r="O863" i="6"/>
  <c r="O851" i="6"/>
  <c r="O827" i="6"/>
  <c r="O815" i="6"/>
  <c r="O803" i="6"/>
  <c r="O791" i="6"/>
  <c r="O779" i="6"/>
  <c r="O767" i="6"/>
  <c r="O755" i="6"/>
  <c r="O743" i="6"/>
  <c r="O731" i="6"/>
  <c r="O719" i="6"/>
  <c r="O707" i="6"/>
  <c r="O695" i="6"/>
  <c r="O683" i="6"/>
  <c r="O671" i="6"/>
  <c r="O659" i="6"/>
  <c r="O647" i="6"/>
  <c r="O635" i="6"/>
  <c r="O623" i="6"/>
  <c r="O611" i="6"/>
  <c r="O599" i="6"/>
  <c r="O587" i="6"/>
  <c r="O575" i="6"/>
  <c r="O563" i="6"/>
  <c r="O551" i="6"/>
  <c r="O539" i="6"/>
  <c r="O527" i="6"/>
  <c r="O503" i="6"/>
  <c r="O491" i="6"/>
  <c r="O479" i="6"/>
  <c r="O467" i="6"/>
  <c r="O455" i="6"/>
  <c r="O443" i="6"/>
  <c r="O431" i="6"/>
  <c r="O419" i="6"/>
  <c r="O407" i="6"/>
  <c r="O395" i="6"/>
  <c r="O383" i="6"/>
  <c r="O359" i="6"/>
  <c r="O347" i="6"/>
  <c r="O335" i="6"/>
  <c r="O323" i="6"/>
  <c r="O311" i="6"/>
  <c r="O299" i="6"/>
  <c r="O275" i="6"/>
  <c r="O263" i="6"/>
  <c r="O251" i="6"/>
  <c r="O239" i="6"/>
  <c r="O227" i="6"/>
  <c r="O215" i="6"/>
  <c r="O203" i="6"/>
  <c r="O191" i="6"/>
  <c r="O179" i="6"/>
  <c r="O167" i="6"/>
  <c r="O155" i="6"/>
  <c r="O143" i="6"/>
  <c r="O131" i="6"/>
  <c r="O119" i="6"/>
  <c r="O107" i="6"/>
  <c r="O95" i="6"/>
  <c r="O83" i="6"/>
  <c r="O71" i="6"/>
  <c r="O59" i="6"/>
  <c r="O47" i="6"/>
  <c r="O35" i="6"/>
  <c r="O23" i="6"/>
  <c r="O11" i="6"/>
  <c r="O636" i="6"/>
  <c r="O420" i="6"/>
  <c r="O204" i="6"/>
  <c r="O910" i="6"/>
  <c r="O898" i="6"/>
  <c r="O886" i="6"/>
  <c r="O874" i="6"/>
  <c r="O862" i="6"/>
  <c r="O850" i="6"/>
  <c r="O838" i="6"/>
  <c r="O826" i="6"/>
  <c r="O814" i="6"/>
  <c r="O802" i="6"/>
  <c r="O790" i="6"/>
  <c r="O778" i="6"/>
  <c r="O766" i="6"/>
  <c r="O742" i="6"/>
  <c r="O730" i="6"/>
  <c r="O706" i="6"/>
  <c r="O694" i="6"/>
  <c r="O682" i="6"/>
  <c r="O670" i="6"/>
  <c r="O658" i="6"/>
  <c r="O646" i="6"/>
  <c r="O634" i="6"/>
  <c r="O622" i="6"/>
  <c r="O610" i="6"/>
  <c r="O598" i="6"/>
  <c r="O574" i="6"/>
  <c r="O562" i="6"/>
  <c r="O550" i="6"/>
  <c r="O538" i="6"/>
  <c r="O526" i="6"/>
  <c r="O514" i="6"/>
  <c r="O502" i="6"/>
  <c r="O490" i="6"/>
  <c r="O478" i="6"/>
  <c r="O466" i="6"/>
  <c r="O454" i="6"/>
  <c r="O442" i="6"/>
  <c r="O430" i="6"/>
  <c r="O418" i="6"/>
  <c r="O406" i="6"/>
  <c r="O394" i="6"/>
  <c r="O382" i="6"/>
  <c r="O370" i="6"/>
  <c r="O358" i="6"/>
  <c r="O346" i="6"/>
  <c r="O334" i="6"/>
  <c r="O322" i="6"/>
  <c r="O310" i="6"/>
  <c r="O298" i="6"/>
  <c r="O286" i="6"/>
  <c r="O274" i="6"/>
  <c r="O262" i="6"/>
  <c r="O250" i="6"/>
  <c r="O226" i="6"/>
  <c r="O202" i="6"/>
  <c r="O178" i="6"/>
  <c r="O166" i="6"/>
  <c r="O154" i="6"/>
  <c r="O142" i="6"/>
  <c r="O130" i="6"/>
  <c r="O118" i="6"/>
  <c r="O94" i="6"/>
  <c r="O82" i="6"/>
  <c r="O58" i="6"/>
  <c r="O46" i="6"/>
  <c r="O34" i="6"/>
  <c r="O22" i="6"/>
  <c r="O10" i="6"/>
  <c r="O981" i="6"/>
  <c r="O969" i="6"/>
  <c r="O957" i="6"/>
  <c r="O945" i="6"/>
  <c r="O933" i="6"/>
  <c r="O921" i="6"/>
  <c r="O909" i="6"/>
  <c r="O897" i="6"/>
  <c r="O885" i="6"/>
  <c r="O873" i="6"/>
  <c r="O861" i="6"/>
  <c r="O849" i="6"/>
  <c r="O837" i="6"/>
  <c r="O825" i="6"/>
  <c r="O813" i="6"/>
  <c r="O801" i="6"/>
  <c r="O789" i="6"/>
  <c r="O777" i="6"/>
  <c r="O765" i="6"/>
  <c r="O753" i="6"/>
  <c r="O741" i="6"/>
  <c r="O729" i="6"/>
  <c r="O717" i="6"/>
  <c r="O705" i="6"/>
  <c r="O693" i="6"/>
  <c r="O681" i="6"/>
  <c r="O669" i="6"/>
  <c r="O657" i="6"/>
  <c r="O645" i="6"/>
  <c r="O633" i="6"/>
  <c r="O621" i="6"/>
  <c r="O609" i="6"/>
  <c r="O597" i="6"/>
  <c r="O585" i="6"/>
  <c r="O573" i="6"/>
  <c r="O561" i="6"/>
  <c r="O549" i="6"/>
  <c r="O537" i="6"/>
  <c r="O525" i="6"/>
  <c r="O513" i="6"/>
  <c r="O501" i="6"/>
  <c r="O477" i="6"/>
  <c r="O465" i="6"/>
  <c r="O453" i="6"/>
  <c r="O441" i="6"/>
  <c r="O429" i="6"/>
  <c r="O417" i="6"/>
  <c r="O405" i="6"/>
  <c r="O393" i="6"/>
  <c r="O381" i="6"/>
  <c r="O369" i="6"/>
  <c r="O357" i="6"/>
  <c r="O345" i="6"/>
  <c r="O333" i="6"/>
  <c r="O321" i="6"/>
  <c r="O309" i="6"/>
  <c r="O297" i="6"/>
  <c r="O285" i="6"/>
  <c r="O273" i="6"/>
  <c r="O261" i="6"/>
  <c r="O249" i="6"/>
  <c r="O237" i="6"/>
  <c r="O225" i="6"/>
  <c r="O213" i="6"/>
  <c r="O201" i="6"/>
  <c r="O189" i="6"/>
  <c r="O177" i="6"/>
  <c r="O165" i="6"/>
  <c r="O153" i="6"/>
  <c r="O141" i="6"/>
  <c r="O129" i="6"/>
  <c r="O117" i="6"/>
  <c r="O105" i="6"/>
  <c r="O93" i="6"/>
  <c r="O81" i="6"/>
  <c r="O69" i="6"/>
  <c r="O57" i="6"/>
  <c r="O45" i="6"/>
  <c r="O33" i="6"/>
  <c r="O21" i="6"/>
  <c r="O9" i="6"/>
  <c r="O792" i="6"/>
  <c r="O576" i="6"/>
  <c r="O360" i="6"/>
  <c r="O144" i="6"/>
  <c r="O704" i="6"/>
  <c r="O692" i="6"/>
  <c r="O680" i="6"/>
  <c r="O668" i="6"/>
  <c r="O656" i="6"/>
  <c r="O644" i="6"/>
  <c r="O632" i="6"/>
  <c r="O620" i="6"/>
  <c r="O608" i="6"/>
  <c r="O596" i="6"/>
  <c r="O584" i="6"/>
  <c r="O572" i="6"/>
  <c r="O560" i="6"/>
  <c r="O548" i="6"/>
  <c r="O536" i="6"/>
  <c r="O524" i="6"/>
  <c r="O512" i="6"/>
  <c r="O500" i="6"/>
  <c r="O488" i="6"/>
  <c r="O476" i="6"/>
  <c r="O464" i="6"/>
  <c r="O452" i="6"/>
  <c r="O440" i="6"/>
  <c r="O428" i="6"/>
  <c r="O416" i="6"/>
  <c r="O404" i="6"/>
  <c r="O392" i="6"/>
  <c r="O380" i="6"/>
  <c r="O368" i="6"/>
  <c r="O356" i="6"/>
  <c r="O344" i="6"/>
  <c r="O332" i="6"/>
  <c r="O320" i="6"/>
  <c r="O308" i="6"/>
  <c r="O296" i="6"/>
  <c r="O284" i="6"/>
  <c r="O272" i="6"/>
  <c r="O260" i="6"/>
  <c r="O248" i="6"/>
  <c r="O236" i="6"/>
  <c r="O224" i="6"/>
  <c r="O212" i="6"/>
  <c r="O200" i="6"/>
  <c r="O188" i="6"/>
  <c r="O176" i="6"/>
  <c r="O164" i="6"/>
  <c r="O152" i="6"/>
  <c r="O140" i="6"/>
  <c r="O128" i="6"/>
  <c r="O116" i="6"/>
  <c r="O104" i="6"/>
  <c r="O92" i="6"/>
  <c r="O80" i="6"/>
  <c r="O68" i="6"/>
  <c r="O56" i="6"/>
  <c r="O44" i="6"/>
  <c r="O32" i="6"/>
  <c r="O20" i="6"/>
  <c r="O8" i="6"/>
  <c r="O1151" i="6"/>
  <c r="O1115" i="6"/>
  <c r="O1043" i="6"/>
  <c r="O1495" i="6"/>
  <c r="O1483" i="6"/>
  <c r="O1471" i="6"/>
  <c r="O1435" i="6"/>
  <c r="O1423" i="6"/>
  <c r="O1411" i="6"/>
  <c r="O1399" i="6"/>
  <c r="O1387" i="6"/>
  <c r="O1375" i="6"/>
  <c r="O1363" i="6"/>
  <c r="O1351" i="6"/>
  <c r="O1339" i="6"/>
  <c r="O1327" i="6"/>
  <c r="O1315" i="6"/>
  <c r="O1303" i="6"/>
  <c r="O1291" i="6"/>
  <c r="O1267" i="6"/>
  <c r="O1243" i="6"/>
  <c r="O1231" i="6"/>
  <c r="O1219" i="6"/>
  <c r="O1207" i="6"/>
  <c r="O1195" i="6"/>
  <c r="O1171" i="6"/>
  <c r="O1159" i="6"/>
  <c r="O1147" i="6"/>
  <c r="O1135" i="6"/>
  <c r="O1123" i="6"/>
  <c r="O1111" i="6"/>
  <c r="O1099" i="6"/>
  <c r="O1087" i="6"/>
  <c r="O1075" i="6"/>
  <c r="O1063" i="6"/>
  <c r="O1051" i="6"/>
  <c r="O1039" i="6"/>
  <c r="O1027" i="6"/>
  <c r="O1015" i="6"/>
  <c r="O1003" i="6"/>
  <c r="O991" i="6"/>
  <c r="O979" i="6"/>
  <c r="O967" i="6"/>
  <c r="O955" i="6"/>
  <c r="O943" i="6"/>
  <c r="O931" i="6"/>
  <c r="O919" i="6"/>
  <c r="O895" i="6"/>
  <c r="O883" i="6"/>
  <c r="O871" i="6"/>
  <c r="O859" i="6"/>
  <c r="O847" i="6"/>
  <c r="O835" i="6"/>
  <c r="O823" i="6"/>
  <c r="O811" i="6"/>
  <c r="O799" i="6"/>
  <c r="O787" i="6"/>
  <c r="O775" i="6"/>
  <c r="O763" i="6"/>
  <c r="O751" i="6"/>
  <c r="O739" i="6"/>
  <c r="O727" i="6"/>
  <c r="O715" i="6"/>
  <c r="O703" i="6"/>
  <c r="O691" i="6"/>
  <c r="O679" i="6"/>
  <c r="O667" i="6"/>
  <c r="O655" i="6"/>
  <c r="O643" i="6"/>
  <c r="O631" i="6"/>
  <c r="O607" i="6"/>
  <c r="O595" i="6"/>
  <c r="O583" i="6"/>
  <c r="O571" i="6"/>
  <c r="O559" i="6"/>
  <c r="O547" i="6"/>
  <c r="O535" i="6"/>
  <c r="O523" i="6"/>
  <c r="O511" i="6"/>
  <c r="O499" i="6"/>
  <c r="O487" i="6"/>
  <c r="O475" i="6"/>
  <c r="O463" i="6"/>
  <c r="O451" i="6"/>
  <c r="O439" i="6"/>
  <c r="O427" i="6"/>
  <c r="O415" i="6"/>
  <c r="O403" i="6"/>
  <c r="O391" i="6"/>
  <c r="O379" i="6"/>
  <c r="O367" i="6"/>
  <c r="O355" i="6"/>
  <c r="O343" i="6"/>
  <c r="O331" i="6"/>
  <c r="O319" i="6"/>
  <c r="O307" i="6"/>
  <c r="O295" i="6"/>
  <c r="O283" i="6"/>
  <c r="O271" i="6"/>
  <c r="O259" i="6"/>
  <c r="O247" i="6"/>
  <c r="O235" i="6"/>
  <c r="O223" i="6"/>
  <c r="O211" i="6"/>
  <c r="O199" i="6"/>
  <c r="O187" i="6"/>
  <c r="O175" i="6"/>
  <c r="O163" i="6"/>
  <c r="O151" i="6"/>
  <c r="O139" i="6"/>
  <c r="O115" i="6"/>
  <c r="O103" i="6"/>
  <c r="O91" i="6"/>
  <c r="O79" i="6"/>
  <c r="O67" i="6"/>
  <c r="O55" i="6"/>
  <c r="O43" i="6"/>
  <c r="O31" i="6"/>
  <c r="O19" i="6"/>
  <c r="O7" i="6"/>
  <c r="O780" i="6"/>
  <c r="O564" i="6"/>
  <c r="O348" i="6"/>
  <c r="O132" i="6"/>
  <c r="O1050" i="6"/>
  <c r="O1038" i="6"/>
  <c r="O1026" i="6"/>
  <c r="O1014" i="6"/>
  <c r="O1002" i="6"/>
  <c r="O990" i="6"/>
  <c r="O978" i="6"/>
  <c r="O966" i="6"/>
  <c r="O954" i="6"/>
  <c r="O942" i="6"/>
  <c r="O930" i="6"/>
  <c r="O918" i="6"/>
  <c r="O906" i="6"/>
  <c r="O894" i="6"/>
  <c r="O882" i="6"/>
  <c r="O870" i="6"/>
  <c r="O858" i="6"/>
  <c r="O846" i="6"/>
  <c r="O834" i="6"/>
  <c r="O822" i="6"/>
  <c r="O798" i="6"/>
  <c r="O786" i="6"/>
  <c r="O774" i="6"/>
  <c r="O762" i="6"/>
  <c r="O750" i="6"/>
  <c r="O738" i="6"/>
  <c r="O726" i="6"/>
  <c r="O714" i="6"/>
  <c r="O702" i="6"/>
  <c r="O690" i="6"/>
  <c r="O678" i="6"/>
  <c r="O666" i="6"/>
  <c r="O654" i="6"/>
  <c r="O642" i="6"/>
  <c r="O630" i="6"/>
  <c r="O606" i="6"/>
  <c r="O594" i="6"/>
  <c r="O582" i="6"/>
  <c r="O570" i="6"/>
  <c r="O558" i="6"/>
  <c r="O546" i="6"/>
  <c r="O534" i="6"/>
  <c r="O522" i="6"/>
  <c r="O510" i="6"/>
  <c r="O498" i="6"/>
  <c r="O486" i="6"/>
  <c r="O474" i="6"/>
  <c r="O462" i="6"/>
  <c r="O450" i="6"/>
  <c r="O438" i="6"/>
  <c r="O426" i="6"/>
  <c r="O414" i="6"/>
  <c r="O402" i="6"/>
  <c r="O390" i="6"/>
  <c r="O378" i="6"/>
  <c r="O366" i="6"/>
  <c r="O354" i="6"/>
  <c r="O342" i="6"/>
  <c r="O330" i="6"/>
  <c r="O318" i="6"/>
  <c r="O306" i="6"/>
  <c r="O294" i="6"/>
  <c r="O282" i="6"/>
  <c r="O270" i="6"/>
  <c r="O258" i="6"/>
  <c r="O246" i="6"/>
  <c r="O234" i="6"/>
  <c r="O222" i="6"/>
  <c r="O198" i="6"/>
  <c r="O186" i="6"/>
  <c r="O174" i="6"/>
  <c r="O162" i="6"/>
  <c r="O150" i="6"/>
  <c r="O138" i="6"/>
  <c r="O126" i="6"/>
  <c r="O114" i="6"/>
  <c r="O102" i="6"/>
  <c r="O90" i="6"/>
  <c r="O78" i="6"/>
  <c r="O66" i="6"/>
  <c r="O54" i="6"/>
  <c r="O42" i="6"/>
  <c r="O30" i="6"/>
  <c r="O18" i="6"/>
  <c r="O6" i="6"/>
  <c r="O1673" i="6"/>
  <c r="O1649" i="6"/>
  <c r="O1637" i="6"/>
  <c r="O1625" i="6"/>
  <c r="O1613" i="6"/>
  <c r="O1601" i="6"/>
  <c r="O1589" i="6"/>
  <c r="O1577" i="6"/>
  <c r="O1565" i="6"/>
  <c r="O1553" i="6"/>
  <c r="O1541" i="6"/>
  <c r="O1505" i="6"/>
  <c r="O1493" i="6"/>
  <c r="O1481" i="6"/>
  <c r="O1469" i="6"/>
  <c r="O1457" i="6"/>
  <c r="O1445" i="6"/>
  <c r="O1433" i="6"/>
  <c r="O1421" i="6"/>
  <c r="O1409" i="6"/>
  <c r="O1397" i="6"/>
  <c r="O1385" i="6"/>
  <c r="O1373" i="6"/>
  <c r="O1361" i="6"/>
  <c r="O1349" i="6"/>
  <c r="O1337" i="6"/>
  <c r="O1325" i="6"/>
  <c r="O1313" i="6"/>
  <c r="O1301" i="6"/>
  <c r="O1289" i="6"/>
  <c r="O1265" i="6"/>
  <c r="O1253" i="6"/>
  <c r="O1241" i="6"/>
  <c r="O1217" i="6"/>
  <c r="O1205" i="6"/>
  <c r="O1193" i="6"/>
  <c r="O1181" i="6"/>
  <c r="O1169" i="6"/>
  <c r="O1145" i="6"/>
  <c r="O1133" i="6"/>
  <c r="O1121" i="6"/>
  <c r="O1109" i="6"/>
  <c r="O1097" i="6"/>
  <c r="O1085" i="6"/>
  <c r="O1073" i="6"/>
  <c r="O1061" i="6"/>
  <c r="O1049" i="6"/>
  <c r="O1037" i="6"/>
  <c r="O1025" i="6"/>
  <c r="O1013" i="6"/>
  <c r="O1001" i="6"/>
  <c r="O989" i="6"/>
  <c r="O977" i="6"/>
  <c r="O965" i="6"/>
  <c r="O953" i="6"/>
  <c r="O941" i="6"/>
  <c r="O929" i="6"/>
  <c r="O917" i="6"/>
  <c r="O905" i="6"/>
  <c r="O893" i="6"/>
  <c r="O881" i="6"/>
  <c r="O869" i="6"/>
  <c r="O857" i="6"/>
  <c r="O845" i="6"/>
  <c r="O833" i="6"/>
  <c r="O821" i="6"/>
  <c r="O809" i="6"/>
  <c r="O797" i="6"/>
  <c r="O785" i="6"/>
  <c r="O773" i="6"/>
  <c r="O761" i="6"/>
  <c r="O749" i="6"/>
  <c r="O737" i="6"/>
  <c r="O725" i="6"/>
  <c r="O713" i="6"/>
  <c r="O701" i="6"/>
  <c r="O689" i="6"/>
  <c r="O677" i="6"/>
  <c r="O665" i="6"/>
  <c r="O641" i="6"/>
  <c r="O629" i="6"/>
  <c r="O617" i="6"/>
  <c r="O605" i="6"/>
  <c r="O593" i="6"/>
  <c r="O581" i="6"/>
  <c r="O569" i="6"/>
  <c r="O557" i="6"/>
  <c r="O545" i="6"/>
  <c r="O533" i="6"/>
  <c r="O521" i="6"/>
  <c r="O509" i="6"/>
  <c r="O497" i="6"/>
  <c r="O485" i="6"/>
  <c r="O473" i="6"/>
  <c r="O461" i="6"/>
  <c r="O449" i="6"/>
  <c r="O437" i="6"/>
  <c r="O425" i="6"/>
  <c r="O413" i="6"/>
  <c r="O401" i="6"/>
  <c r="O389" i="6"/>
  <c r="O377" i="6"/>
  <c r="O365" i="6"/>
  <c r="O353" i="6"/>
  <c r="O341" i="6"/>
  <c r="O329" i="6"/>
  <c r="O317" i="6"/>
  <c r="O305" i="6"/>
  <c r="O293" i="6"/>
  <c r="O281" i="6"/>
  <c r="O269" i="6"/>
  <c r="O257" i="6"/>
  <c r="O245" i="6"/>
  <c r="O233" i="6"/>
  <c r="O221" i="6"/>
  <c r="O209" i="6"/>
  <c r="O197" i="6"/>
  <c r="O185" i="6"/>
  <c r="O173" i="6"/>
  <c r="O161" i="6"/>
  <c r="O149" i="6"/>
  <c r="O137" i="6"/>
  <c r="O125" i="6"/>
  <c r="O113" i="6"/>
  <c r="O101" i="6"/>
  <c r="O89" i="6"/>
  <c r="O77" i="6"/>
  <c r="O65" i="6"/>
  <c r="O53" i="6"/>
  <c r="O41" i="6"/>
  <c r="O29" i="6"/>
  <c r="O17" i="6"/>
  <c r="O5" i="6"/>
  <c r="O720" i="6"/>
  <c r="O504" i="6"/>
  <c r="O288" i="6"/>
  <c r="O72" i="6"/>
  <c r="O1660" i="6"/>
  <c r="O1636" i="6"/>
  <c r="O1624" i="6"/>
  <c r="O1612" i="6"/>
  <c r="O1600" i="6"/>
  <c r="O1588" i="6"/>
  <c r="O1576" i="6"/>
  <c r="O1564" i="6"/>
  <c r="O1552" i="6"/>
  <c r="O1540" i="6"/>
  <c r="O1504" i="6"/>
  <c r="O1480" i="6"/>
  <c r="O1468" i="6"/>
  <c r="O1456" i="6"/>
  <c r="O1444" i="6"/>
  <c r="O1432" i="6"/>
  <c r="O1408" i="6"/>
  <c r="O1384" i="6"/>
  <c r="O1360" i="6"/>
  <c r="O1348" i="6"/>
  <c r="O1336" i="6"/>
  <c r="O1324" i="6"/>
  <c r="O1312" i="6"/>
  <c r="O1300" i="6"/>
  <c r="O1288" i="6"/>
  <c r="O1276" i="6"/>
  <c r="O1264" i="6"/>
  <c r="O1252" i="6"/>
  <c r="O1240" i="6"/>
  <c r="O1228" i="6"/>
  <c r="O1216" i="6"/>
  <c r="O1204" i="6"/>
  <c r="O1192" i="6"/>
  <c r="O1180" i="6"/>
  <c r="O1168" i="6"/>
  <c r="O1156" i="6"/>
  <c r="O1144" i="6"/>
  <c r="O1120" i="6"/>
  <c r="O1108" i="6"/>
  <c r="O1084" i="6"/>
  <c r="O1060" i="6"/>
  <c r="O1048" i="6"/>
  <c r="O1036" i="6"/>
  <c r="O1024" i="6"/>
  <c r="O1012" i="6"/>
  <c r="O1000" i="6"/>
  <c r="O988" i="6"/>
  <c r="O976" i="6"/>
  <c r="O952" i="6"/>
  <c r="O940" i="6"/>
  <c r="O928" i="6"/>
  <c r="O916" i="6"/>
  <c r="O904" i="6"/>
  <c r="O892" i="6"/>
  <c r="O880" i="6"/>
  <c r="O868" i="6"/>
  <c r="O856" i="6"/>
  <c r="O844" i="6"/>
  <c r="O832" i="6"/>
  <c r="O820" i="6"/>
  <c r="O796" i="6"/>
  <c r="O784" i="6"/>
  <c r="O772" i="6"/>
  <c r="O760" i="6"/>
  <c r="O748" i="6"/>
  <c r="O736" i="6"/>
  <c r="O724" i="6"/>
  <c r="O712" i="6"/>
  <c r="O700" i="6"/>
  <c r="O688" i="6"/>
  <c r="O664" i="6"/>
  <c r="O652" i="6"/>
  <c r="O640" i="6"/>
  <c r="O628" i="6"/>
  <c r="O616" i="6"/>
  <c r="O604" i="6"/>
  <c r="O592" i="6"/>
  <c r="O580" i="6"/>
  <c r="O568" i="6"/>
  <c r="O556" i="6"/>
  <c r="O544" i="6"/>
  <c r="O532" i="6"/>
  <c r="O520" i="6"/>
  <c r="O508" i="6"/>
  <c r="O496" i="6"/>
  <c r="O484" i="6"/>
  <c r="O472" i="6"/>
  <c r="O460" i="6"/>
  <c r="O448" i="6"/>
  <c r="O436" i="6"/>
  <c r="O424" i="6"/>
  <c r="O400" i="6"/>
  <c r="O388" i="6"/>
  <c r="O376" i="6"/>
  <c r="O364" i="6"/>
  <c r="O352" i="6"/>
  <c r="O340" i="6"/>
  <c r="O328" i="6"/>
  <c r="O316" i="6"/>
  <c r="O304" i="6"/>
  <c r="O292" i="6"/>
  <c r="O280" i="6"/>
  <c r="O268" i="6"/>
  <c r="O256" i="6"/>
  <c r="O244" i="6"/>
  <c r="O232" i="6"/>
  <c r="O220" i="6"/>
  <c r="O208" i="6"/>
  <c r="O196" i="6"/>
  <c r="O184" i="6"/>
  <c r="O172" i="6"/>
  <c r="O160" i="6"/>
  <c r="O148" i="6"/>
  <c r="O136" i="6"/>
  <c r="O124" i="6"/>
  <c r="O112" i="6"/>
  <c r="O100" i="6"/>
  <c r="O88" i="6"/>
  <c r="O76" i="6"/>
  <c r="O64" i="6"/>
  <c r="O52" i="6"/>
  <c r="O40" i="6"/>
  <c r="O28" i="6"/>
  <c r="O16" i="6"/>
  <c r="O4" i="6"/>
  <c r="O1139" i="6"/>
  <c r="O1103" i="6"/>
  <c r="O1067" i="6"/>
  <c r="O1031" i="6"/>
  <c r="O922" i="6"/>
  <c r="O987" i="6"/>
  <c r="O975" i="6"/>
  <c r="O963" i="6"/>
  <c r="O951" i="6"/>
  <c r="O939" i="6"/>
  <c r="O927" i="6"/>
  <c r="O915" i="6"/>
  <c r="O903" i="6"/>
  <c r="O891" i="6"/>
  <c r="O867" i="6"/>
  <c r="O855" i="6"/>
  <c r="O843" i="6"/>
  <c r="O831" i="6"/>
  <c r="O807" i="6"/>
  <c r="O795" i="6"/>
  <c r="O783" i="6"/>
  <c r="O771" i="6"/>
  <c r="O759" i="6"/>
  <c r="O747" i="6"/>
  <c r="O735" i="6"/>
  <c r="O723" i="6"/>
  <c r="O699" i="6"/>
  <c r="O675" i="6"/>
  <c r="O663" i="6"/>
  <c r="O651" i="6"/>
  <c r="O639" i="6"/>
  <c r="O627" i="6"/>
  <c r="O603" i="6"/>
  <c r="O591" i="6"/>
  <c r="O579" i="6"/>
  <c r="O567" i="6"/>
  <c r="O543" i="6"/>
  <c r="O531" i="6"/>
  <c r="O507" i="6"/>
  <c r="O495" i="6"/>
  <c r="O483" i="6"/>
  <c r="O471" i="6"/>
  <c r="O459" i="6"/>
  <c r="O447" i="6"/>
  <c r="O435" i="6"/>
  <c r="O423" i="6"/>
  <c r="O399" i="6"/>
  <c r="O387" i="6"/>
  <c r="O375" i="6"/>
  <c r="O351" i="6"/>
  <c r="O339" i="6"/>
  <c r="O327" i="6"/>
  <c r="O315" i="6"/>
  <c r="O303" i="6"/>
  <c r="O291" i="6"/>
  <c r="O279" i="6"/>
  <c r="O267" i="6"/>
  <c r="O255" i="6"/>
  <c r="O243" i="6"/>
  <c r="O231" i="6"/>
  <c r="O219" i="6"/>
  <c r="O207" i="6"/>
  <c r="O195" i="6"/>
  <c r="O183" i="6"/>
  <c r="O171" i="6"/>
  <c r="O159" i="6"/>
  <c r="O147" i="6"/>
  <c r="O135" i="6"/>
  <c r="O123" i="6"/>
  <c r="O111" i="6"/>
  <c r="O99" i="6"/>
  <c r="O87" i="6"/>
  <c r="O75" i="6"/>
  <c r="O63" i="6"/>
  <c r="O51" i="6"/>
  <c r="O39" i="6"/>
  <c r="O27" i="6"/>
  <c r="O15" i="6"/>
  <c r="O3" i="6"/>
  <c r="O708" i="6"/>
  <c r="O492" i="6"/>
  <c r="O276" i="6"/>
  <c r="O60" i="6"/>
  <c r="O2" i="6"/>
  <c r="D617" i="6"/>
  <c r="E617" i="6" s="1"/>
  <c r="D1276" i="6"/>
  <c r="E1276" i="6" s="1"/>
  <c r="D1963" i="6"/>
  <c r="E1963" i="6" s="1"/>
  <c r="D1504" i="6"/>
  <c r="E1504" i="6" s="1"/>
  <c r="J1482" i="6"/>
  <c r="D1774" i="6"/>
  <c r="E1774" i="6" s="1"/>
  <c r="N1871" i="6"/>
  <c r="N1831" i="6"/>
  <c r="D850" i="6"/>
  <c r="E850" i="6" s="1"/>
  <c r="N1907" i="6"/>
  <c r="D1131" i="6"/>
  <c r="E1131" i="6" s="1"/>
  <c r="N1131" i="6"/>
  <c r="D615" i="6"/>
  <c r="E615" i="6" s="1"/>
  <c r="N615" i="6"/>
  <c r="N2026" i="6"/>
  <c r="N2014" i="6"/>
  <c r="N1906" i="6"/>
  <c r="N1894" i="6"/>
  <c r="N1830" i="6"/>
  <c r="N1687" i="6"/>
  <c r="N1543" i="6"/>
  <c r="N1255" i="6"/>
  <c r="N1183" i="6"/>
  <c r="D289" i="6"/>
  <c r="E289" i="6" s="1"/>
  <c r="J1860" i="6"/>
  <c r="N1812" i="6"/>
  <c r="N1800" i="6"/>
  <c r="N1788" i="6"/>
  <c r="N1776" i="6"/>
  <c r="N1656" i="6"/>
  <c r="N1632" i="6"/>
  <c r="D1356" i="6"/>
  <c r="E1356" i="6" s="1"/>
  <c r="N1356" i="6"/>
  <c r="D1176" i="6"/>
  <c r="E1176" i="6" s="1"/>
  <c r="N1176" i="6"/>
  <c r="N2013" i="6"/>
  <c r="N1989" i="6"/>
  <c r="N1881" i="6"/>
  <c r="N1869" i="6"/>
  <c r="N1686" i="6"/>
  <c r="N1868" i="6"/>
  <c r="N1459" i="6"/>
  <c r="D1803" i="6"/>
  <c r="E1803" i="6" s="1"/>
  <c r="N1803" i="6"/>
  <c r="D879" i="6"/>
  <c r="E879" i="6" s="1"/>
  <c r="N879" i="6"/>
  <c r="D819" i="6"/>
  <c r="E819" i="6" s="1"/>
  <c r="N819" i="6"/>
  <c r="D1811" i="6"/>
  <c r="E1811" i="6" s="1"/>
  <c r="N1811" i="6"/>
  <c r="D1079" i="6"/>
  <c r="E1079" i="6" s="1"/>
  <c r="N1079" i="6"/>
  <c r="D1762" i="6"/>
  <c r="E1762" i="6" s="1"/>
  <c r="N1762" i="6"/>
  <c r="D1642" i="6"/>
  <c r="E1642" i="6" s="1"/>
  <c r="N1642" i="6"/>
  <c r="D1630" i="6"/>
  <c r="E1630" i="6" s="1"/>
  <c r="N1630" i="6"/>
  <c r="D1582" i="6"/>
  <c r="E1582" i="6" s="1"/>
  <c r="N1582" i="6"/>
  <c r="D1462" i="6"/>
  <c r="E1462" i="6" s="1"/>
  <c r="N1462" i="6"/>
  <c r="D754" i="6"/>
  <c r="E754" i="6" s="1"/>
  <c r="N754" i="6"/>
  <c r="D718" i="6"/>
  <c r="E718" i="6" s="1"/>
  <c r="N718" i="6"/>
  <c r="D586" i="6"/>
  <c r="E586" i="6" s="1"/>
  <c r="N586" i="6"/>
  <c r="D238" i="6"/>
  <c r="E238" i="6" s="1"/>
  <c r="N238" i="6"/>
  <c r="D214" i="6"/>
  <c r="E214" i="6" s="1"/>
  <c r="N214" i="6"/>
  <c r="D190" i="6"/>
  <c r="E190" i="6" s="1"/>
  <c r="N190" i="6"/>
  <c r="D106" i="6"/>
  <c r="E106" i="6" s="1"/>
  <c r="N106" i="6"/>
  <c r="D70" i="6"/>
  <c r="E70" i="6" s="1"/>
  <c r="N70" i="6"/>
  <c r="N1530" i="6"/>
  <c r="D1767" i="6"/>
  <c r="E1767" i="6" s="1"/>
  <c r="N1767" i="6"/>
  <c r="D1635" i="6"/>
  <c r="N1635" i="6"/>
  <c r="D519" i="6"/>
  <c r="E519" i="6" s="1"/>
  <c r="N519" i="6"/>
  <c r="D1727" i="6"/>
  <c r="E1727" i="6" s="1"/>
  <c r="N1727" i="6"/>
  <c r="D1619" i="6"/>
  <c r="E1619" i="6" s="1"/>
  <c r="N1619" i="6"/>
  <c r="D1417" i="6"/>
  <c r="E1417" i="6" s="1"/>
  <c r="D1845" i="6"/>
  <c r="E1845" i="6" s="1"/>
  <c r="N1845" i="6"/>
  <c r="N1773" i="6"/>
  <c r="N1761" i="6"/>
  <c r="N1737" i="6"/>
  <c r="D1569" i="6"/>
  <c r="E1569" i="6" s="1"/>
  <c r="N1569" i="6"/>
  <c r="D489" i="6"/>
  <c r="E489" i="6" s="1"/>
  <c r="N489" i="6"/>
  <c r="N1950" i="6"/>
  <c r="N1447" i="6"/>
  <c r="D1491" i="6"/>
  <c r="E1491" i="6" s="1"/>
  <c r="N1491" i="6"/>
  <c r="D555" i="6"/>
  <c r="E555" i="6" s="1"/>
  <c r="N555" i="6"/>
  <c r="D515" i="6"/>
  <c r="E515" i="6" s="1"/>
  <c r="N515" i="6"/>
  <c r="D371" i="6"/>
  <c r="E371" i="6" s="1"/>
  <c r="N371" i="6"/>
  <c r="D1405" i="6"/>
  <c r="E1405" i="6" s="1"/>
  <c r="N1760" i="6"/>
  <c r="D1568" i="6"/>
  <c r="N1568" i="6"/>
  <c r="N1949" i="6"/>
  <c r="N1937" i="6"/>
  <c r="N1806" i="6"/>
  <c r="N1518" i="6"/>
  <c r="N1446" i="6"/>
  <c r="D1791" i="6"/>
  <c r="E1791" i="6" s="1"/>
  <c r="N1791" i="6"/>
  <c r="D1490" i="6"/>
  <c r="E1490" i="6" s="1"/>
  <c r="N1490" i="6"/>
  <c r="J1903" i="6"/>
  <c r="D907" i="6"/>
  <c r="E907" i="6" s="1"/>
  <c r="N907" i="6"/>
  <c r="D619" i="6"/>
  <c r="E619" i="6" s="1"/>
  <c r="N619" i="6"/>
  <c r="D127" i="6"/>
  <c r="E127" i="6" s="1"/>
  <c r="N127" i="6"/>
  <c r="N2008" i="6"/>
  <c r="N1948" i="6"/>
  <c r="N1936" i="6"/>
  <c r="N1924" i="6"/>
  <c r="N1864" i="6"/>
  <c r="D1203" i="6"/>
  <c r="E1203" i="6" s="1"/>
  <c r="N1203" i="6"/>
  <c r="N1826" i="6"/>
  <c r="J1674" i="6"/>
  <c r="D810" i="6"/>
  <c r="E810" i="6" s="1"/>
  <c r="N810" i="6"/>
  <c r="D618" i="6"/>
  <c r="E618" i="6" s="1"/>
  <c r="N618" i="6"/>
  <c r="D210" i="6"/>
  <c r="E210" i="6" s="1"/>
  <c r="N210" i="6"/>
  <c r="N2031" i="6"/>
  <c r="N1935" i="6"/>
  <c r="N1923" i="6"/>
  <c r="N1650" i="6"/>
  <c r="N1578" i="6"/>
  <c r="D1779" i="6"/>
  <c r="E1779" i="6" s="1"/>
  <c r="N1779" i="6"/>
  <c r="D1647" i="6"/>
  <c r="N1647" i="6"/>
  <c r="D1515" i="6"/>
  <c r="E1515" i="6" s="1"/>
  <c r="N1515" i="6"/>
  <c r="D1275" i="6"/>
  <c r="E1275" i="6" s="1"/>
  <c r="N1275" i="6"/>
  <c r="D711" i="6"/>
  <c r="E711" i="6" s="1"/>
  <c r="N711" i="6"/>
  <c r="N1850" i="6"/>
  <c r="D1829" i="6"/>
  <c r="E1829" i="6" s="1"/>
  <c r="N1829" i="6"/>
  <c r="D1817" i="6"/>
  <c r="E1817" i="6" s="1"/>
  <c r="N1817" i="6"/>
  <c r="D1805" i="6"/>
  <c r="E1805" i="6" s="1"/>
  <c r="N1805" i="6"/>
  <c r="D1793" i="6"/>
  <c r="E1793" i="6" s="1"/>
  <c r="N1793" i="6"/>
  <c r="D1685" i="6"/>
  <c r="E1685" i="6" s="1"/>
  <c r="N1685" i="6"/>
  <c r="D1661" i="6"/>
  <c r="E1661" i="6" s="1"/>
  <c r="N1661" i="6"/>
  <c r="D1529" i="6"/>
  <c r="E1529" i="6" s="1"/>
  <c r="N1529" i="6"/>
  <c r="D1517" i="6"/>
  <c r="E1517" i="6" s="1"/>
  <c r="N1517" i="6"/>
  <c r="D1277" i="6"/>
  <c r="E1277" i="6" s="1"/>
  <c r="N1277" i="6"/>
  <c r="D1229" i="6"/>
  <c r="E1229" i="6" s="1"/>
  <c r="N1229" i="6"/>
  <c r="D1157" i="6"/>
  <c r="E1157" i="6" s="1"/>
  <c r="N1157" i="6"/>
  <c r="D653" i="6"/>
  <c r="E653" i="6" s="1"/>
  <c r="N653" i="6"/>
  <c r="N1946" i="6"/>
  <c r="N1279" i="6"/>
  <c r="D1227" i="6"/>
  <c r="E1227" i="6" s="1"/>
  <c r="N1227" i="6"/>
  <c r="D687" i="6"/>
  <c r="E687" i="6" s="1"/>
  <c r="N687" i="6"/>
  <c r="D411" i="6"/>
  <c r="E411" i="6" s="1"/>
  <c r="N411" i="6"/>
  <c r="D363" i="6"/>
  <c r="E363" i="6" s="1"/>
  <c r="N363" i="6"/>
  <c r="D1274" i="6"/>
  <c r="E1274" i="6" s="1"/>
  <c r="N1274" i="6"/>
  <c r="D839" i="6"/>
  <c r="E839" i="6" s="1"/>
  <c r="N839" i="6"/>
  <c r="D287" i="6"/>
  <c r="E287" i="6" s="1"/>
  <c r="N287" i="6"/>
  <c r="D1369" i="6"/>
  <c r="E1369" i="6" s="1"/>
  <c r="J1999" i="6"/>
  <c r="N1840" i="6"/>
  <c r="D1804" i="6"/>
  <c r="E1804" i="6" s="1"/>
  <c r="N1804" i="6"/>
  <c r="D1792" i="6"/>
  <c r="E1792" i="6" s="1"/>
  <c r="N1792" i="6"/>
  <c r="N1720" i="6"/>
  <c r="N1696" i="6"/>
  <c r="D1648" i="6"/>
  <c r="E1648" i="6" s="1"/>
  <c r="N1648" i="6"/>
  <c r="D1528" i="6"/>
  <c r="E1528" i="6" s="1"/>
  <c r="N1528" i="6"/>
  <c r="D1516" i="6"/>
  <c r="E1516" i="6" s="1"/>
  <c r="N1516" i="6"/>
  <c r="D1492" i="6"/>
  <c r="E1492" i="6" s="1"/>
  <c r="N1492" i="6"/>
  <c r="D1420" i="6"/>
  <c r="E1420" i="6" s="1"/>
  <c r="N1420" i="6"/>
  <c r="N1396" i="6"/>
  <c r="D1372" i="6"/>
  <c r="E1372" i="6" s="1"/>
  <c r="N1372" i="6"/>
  <c r="D1132" i="6"/>
  <c r="E1132" i="6" s="1"/>
  <c r="N1132" i="6"/>
  <c r="D1096" i="6"/>
  <c r="E1096" i="6" s="1"/>
  <c r="N1096" i="6"/>
  <c r="D1072" i="6"/>
  <c r="E1072" i="6" s="1"/>
  <c r="N1072" i="6"/>
  <c r="D964" i="6"/>
  <c r="E964" i="6" s="1"/>
  <c r="N964" i="6"/>
  <c r="D808" i="6"/>
  <c r="E808" i="6" s="1"/>
  <c r="N808" i="6"/>
  <c r="D676" i="6"/>
  <c r="E676" i="6" s="1"/>
  <c r="N676" i="6"/>
  <c r="D412" i="6"/>
  <c r="E412" i="6" s="1"/>
  <c r="N412" i="6"/>
  <c r="N1278" i="6"/>
  <c r="L1546" i="6"/>
  <c r="L2021" i="6"/>
  <c r="L2009" i="6"/>
  <c r="J1283" i="6"/>
  <c r="L1283" i="6"/>
  <c r="L1999" i="6"/>
  <c r="L1674" i="6"/>
  <c r="J971" i="6"/>
  <c r="L971" i="6"/>
  <c r="J815" i="6"/>
  <c r="L815" i="6"/>
  <c r="J539" i="6"/>
  <c r="L539" i="6"/>
  <c r="J155" i="6"/>
  <c r="L155" i="6"/>
  <c r="J1825" i="6"/>
  <c r="L1825" i="6"/>
  <c r="L1882" i="6"/>
  <c r="U1882" i="6" s="1"/>
  <c r="L1786" i="6"/>
  <c r="L1738" i="6"/>
  <c r="U1738" i="6" s="1"/>
  <c r="L1714" i="6"/>
  <c r="U1714" i="6" s="1"/>
  <c r="J970" i="6"/>
  <c r="L970" i="6"/>
  <c r="U970" i="6" s="1"/>
  <c r="L2010" i="6"/>
  <c r="J1801" i="6"/>
  <c r="L1801" i="6"/>
  <c r="J1345" i="6"/>
  <c r="L1345" i="6"/>
  <c r="J1088" i="6"/>
  <c r="L1088" i="6"/>
  <c r="L2020" i="6"/>
  <c r="U2020" i="6" s="1"/>
  <c r="L1904" i="6"/>
  <c r="U1904" i="6" s="1"/>
  <c r="J1195" i="6"/>
  <c r="L1195" i="6"/>
  <c r="J1087" i="6"/>
  <c r="L1087" i="6"/>
  <c r="L1903" i="6"/>
  <c r="L1482" i="6"/>
  <c r="J1813" i="6"/>
  <c r="L1813" i="6"/>
  <c r="J534" i="6"/>
  <c r="L534" i="6"/>
  <c r="L1860" i="6"/>
  <c r="J1545" i="6"/>
  <c r="L1545" i="6"/>
  <c r="L1945" i="6"/>
  <c r="J1633" i="6"/>
  <c r="L1633" i="6"/>
  <c r="L1925" i="6"/>
  <c r="L1913" i="6"/>
  <c r="J1697" i="6"/>
  <c r="L1697" i="6"/>
  <c r="J1673" i="6"/>
  <c r="L1673" i="6"/>
  <c r="J1577" i="6"/>
  <c r="L1577" i="6"/>
  <c r="J1481" i="6"/>
  <c r="L1481" i="6"/>
  <c r="L1957" i="6"/>
  <c r="J1449" i="6"/>
  <c r="L1449" i="6"/>
  <c r="J1609" i="6"/>
  <c r="L1609" i="6"/>
  <c r="J4" i="6"/>
  <c r="L4" i="6"/>
  <c r="L1968" i="6"/>
  <c r="L1956" i="6"/>
  <c r="J1513" i="6"/>
  <c r="L1513" i="6"/>
  <c r="J829" i="6"/>
  <c r="L829" i="6"/>
  <c r="J1395" i="6"/>
  <c r="L1395" i="6"/>
  <c r="J3" i="6"/>
  <c r="L3" i="6"/>
  <c r="U3" i="6" s="1"/>
  <c r="L1967" i="6"/>
  <c r="J1861" i="6"/>
  <c r="L1861" i="6"/>
  <c r="J1610" i="6"/>
  <c r="L1610" i="6"/>
  <c r="U1610" i="6" s="1"/>
  <c r="J1514" i="6"/>
  <c r="L1514" i="6"/>
  <c r="U1514" i="6" s="1"/>
  <c r="J1346" i="6"/>
  <c r="L1346" i="6"/>
  <c r="J1202" i="6"/>
  <c r="L1202" i="6"/>
  <c r="U1202" i="6" s="1"/>
  <c r="L1978" i="6"/>
  <c r="U1978" i="6" s="1"/>
  <c r="L1893" i="6"/>
  <c r="J1849" i="6"/>
  <c r="L1849" i="6"/>
  <c r="L1977" i="6"/>
  <c r="L1914" i="6"/>
  <c r="L1892" i="6"/>
  <c r="U1892" i="6" s="1"/>
  <c r="L1872" i="6"/>
  <c r="J1837" i="6"/>
  <c r="L1837" i="6"/>
  <c r="J1284" i="6"/>
  <c r="L1284" i="6"/>
  <c r="J156" i="6"/>
  <c r="L156" i="6"/>
  <c r="L2000" i="6"/>
  <c r="L1988" i="6"/>
  <c r="L2" i="6"/>
  <c r="U2" i="6" s="1"/>
  <c r="J2010" i="6"/>
  <c r="J1914" i="6"/>
  <c r="J2021" i="6"/>
  <c r="J2009" i="6"/>
  <c r="J1925" i="6"/>
  <c r="J1913" i="6"/>
  <c r="J1957" i="6"/>
  <c r="J1945" i="6"/>
  <c r="J1968" i="6"/>
  <c r="J1956" i="6"/>
  <c r="J1872" i="6"/>
  <c r="J1967" i="6"/>
  <c r="J1978" i="6"/>
  <c r="J1882" i="6"/>
  <c r="J1786" i="6"/>
  <c r="J1977" i="6"/>
  <c r="J1893" i="6"/>
  <c r="J2000" i="6"/>
  <c r="J1988" i="6"/>
  <c r="J1904" i="6"/>
  <c r="J1892" i="6"/>
  <c r="J1546" i="6"/>
  <c r="J1738" i="6"/>
  <c r="J1714" i="6"/>
  <c r="D8" i="14"/>
  <c r="D17" i="14"/>
  <c r="D16" i="14"/>
  <c r="D15" i="14"/>
  <c r="D14" i="14"/>
  <c r="D12" i="14"/>
  <c r="D9" i="14"/>
  <c r="D13" i="14"/>
  <c r="D10" i="14"/>
  <c r="D7" i="14"/>
  <c r="D21" i="14"/>
  <c r="D6" i="14"/>
  <c r="D20" i="14"/>
  <c r="D5" i="14"/>
  <c r="D19" i="14"/>
  <c r="D18" i="14"/>
  <c r="C1917" i="6"/>
  <c r="C1960" i="6"/>
  <c r="C1992" i="6"/>
  <c r="C1968" i="6"/>
  <c r="C1944" i="6"/>
  <c r="C1920" i="6"/>
  <c r="C1896" i="6"/>
  <c r="C1653" i="6"/>
  <c r="C1629" i="6"/>
  <c r="C1617" i="6"/>
  <c r="C1593" i="6"/>
  <c r="C1581" i="6"/>
  <c r="C1557" i="6"/>
  <c r="C1399" i="6"/>
  <c r="C2016" i="6"/>
  <c r="C1701" i="6"/>
  <c r="C1788" i="6"/>
  <c r="C1703" i="6"/>
  <c r="C1667" i="6"/>
  <c r="C1545" i="6"/>
  <c r="C1533" i="6"/>
  <c r="C1521" i="6"/>
  <c r="C1509" i="6"/>
  <c r="C1497" i="6"/>
  <c r="C1485" i="6"/>
  <c r="C1473" i="6"/>
  <c r="C1461" i="6"/>
  <c r="C1449" i="6"/>
  <c r="C1400" i="6"/>
  <c r="C1170" i="6"/>
  <c r="C395" i="6"/>
  <c r="C2027" i="6"/>
  <c r="C2015" i="6"/>
  <c r="C1990" i="6"/>
  <c r="C1966" i="6"/>
  <c r="C1942" i="6"/>
  <c r="C1918" i="6"/>
  <c r="C1894" i="6"/>
  <c r="C1881" i="6"/>
  <c r="C1869" i="6"/>
  <c r="C1857" i="6"/>
  <c r="C1845" i="6"/>
  <c r="C1833" i="6"/>
  <c r="C1821" i="6"/>
  <c r="C1809" i="6"/>
  <c r="C1797" i="6"/>
  <c r="C1772" i="6"/>
  <c r="C1591" i="6"/>
  <c r="C1555" i="6"/>
  <c r="C1373" i="6"/>
  <c r="C1846" i="6"/>
  <c r="C2014" i="6"/>
  <c r="C1989" i="6"/>
  <c r="C1977" i="6"/>
  <c r="C1965" i="6"/>
  <c r="C1953" i="6"/>
  <c r="C1941" i="6"/>
  <c r="C1929" i="6"/>
  <c r="C1905" i="6"/>
  <c r="C1893" i="6"/>
  <c r="C1880" i="6"/>
  <c r="C1771" i="6"/>
  <c r="C1735" i="6"/>
  <c r="C1699" i="6"/>
  <c r="C1663" i="6"/>
  <c r="C1638" i="6"/>
  <c r="C1602" i="6"/>
  <c r="C1590" i="6"/>
  <c r="C1093" i="6"/>
  <c r="C1725" i="6"/>
  <c r="C1289" i="6"/>
  <c r="C1904" i="6"/>
  <c r="C1879" i="6"/>
  <c r="C1855" i="6"/>
  <c r="C1831" i="6"/>
  <c r="C1807" i="6"/>
  <c r="C1770" i="6"/>
  <c r="C1746" i="6"/>
  <c r="C1734" i="6"/>
  <c r="C1710" i="6"/>
  <c r="C1698" i="6"/>
  <c r="C1674" i="6"/>
  <c r="C1649" i="6"/>
  <c r="C1613" i="6"/>
  <c r="C1577" i="6"/>
  <c r="C1431" i="6"/>
  <c r="C1419" i="6"/>
  <c r="C1274" i="6"/>
  <c r="C1213" i="6"/>
  <c r="C1302" i="6"/>
  <c r="C1689" i="6"/>
  <c r="C1927" i="6"/>
  <c r="C1903" i="6"/>
  <c r="C1782" i="6"/>
  <c r="C1769" i="6"/>
  <c r="C1757" i="6"/>
  <c r="C1733" i="6"/>
  <c r="C1721" i="6"/>
  <c r="C1685" i="6"/>
  <c r="C1515" i="6"/>
  <c r="C1503" i="6"/>
  <c r="C1491" i="6"/>
  <c r="C1479" i="6"/>
  <c r="C1467" i="6"/>
  <c r="C1455" i="6"/>
  <c r="C1406" i="6"/>
  <c r="C1370" i="6"/>
  <c r="C1798" i="6"/>
  <c r="C2023" i="6"/>
  <c r="C1999" i="6"/>
  <c r="C1877" i="6"/>
  <c r="C1865" i="6"/>
  <c r="C1853" i="6"/>
  <c r="C1841" i="6"/>
  <c r="C1829" i="6"/>
  <c r="C1817" i="6"/>
  <c r="C1805" i="6"/>
  <c r="C1793" i="6"/>
  <c r="C1647" i="6"/>
  <c r="C1635" i="6"/>
  <c r="C1599" i="6"/>
  <c r="C1563" i="6"/>
  <c r="C1429" i="6"/>
  <c r="C1417" i="6"/>
  <c r="C1308" i="6"/>
  <c r="C1870" i="6"/>
  <c r="C1761" i="6"/>
  <c r="C1350" i="6"/>
  <c r="C1204" i="6"/>
  <c r="C1985" i="6"/>
  <c r="C1973" i="6"/>
  <c r="C1949" i="6"/>
  <c r="C1937" i="6"/>
  <c r="C1925" i="6"/>
  <c r="C1913" i="6"/>
  <c r="C1901" i="6"/>
  <c r="C1889" i="6"/>
  <c r="C1876" i="6"/>
  <c r="C1864" i="6"/>
  <c r="C1852" i="6"/>
  <c r="C1840" i="6"/>
  <c r="C1828" i="6"/>
  <c r="C1816" i="6"/>
  <c r="C1804" i="6"/>
  <c r="C1743" i="6"/>
  <c r="C1719" i="6"/>
  <c r="C1671" i="6"/>
  <c r="C1537" i="6"/>
  <c r="C1525" i="6"/>
  <c r="C1513" i="6"/>
  <c r="C1501" i="6"/>
  <c r="C1489" i="6"/>
  <c r="C1477" i="6"/>
  <c r="C1465" i="6"/>
  <c r="C1453" i="6"/>
  <c r="C1441" i="6"/>
  <c r="C1404" i="6"/>
  <c r="C1392" i="6"/>
  <c r="C1356" i="6"/>
  <c r="C1235" i="6"/>
  <c r="C1035" i="6"/>
  <c r="C1779" i="6"/>
  <c r="C1379" i="6"/>
  <c r="C1234" i="6"/>
  <c r="C1326" i="6"/>
  <c r="C1193" i="6"/>
  <c r="C1822" i="6"/>
  <c r="C1737" i="6"/>
  <c r="C1959" i="6"/>
  <c r="C1644" i="6"/>
  <c r="C1764" i="6"/>
  <c r="C1752" i="6"/>
  <c r="C1728" i="6"/>
  <c r="C1716" i="6"/>
  <c r="C1692" i="6"/>
  <c r="C1680" i="6"/>
  <c r="C1631" i="6"/>
  <c r="C1595" i="6"/>
  <c r="C1559" i="6"/>
  <c r="C1437" i="6"/>
  <c r="C1425" i="6"/>
  <c r="C1413" i="6"/>
  <c r="C1244" i="6"/>
  <c r="C599" i="6"/>
  <c r="C1034" i="6"/>
  <c r="C816" i="6"/>
  <c r="C642" i="6"/>
  <c r="C908" i="6"/>
  <c r="C750" i="6"/>
  <c r="C678" i="6"/>
  <c r="C881" i="6"/>
  <c r="C929" i="6"/>
  <c r="C602" i="6"/>
  <c r="C2012" i="6"/>
  <c r="C1975" i="6"/>
  <c r="C1963" i="6"/>
  <c r="C2021" i="6"/>
  <c r="C2009" i="6"/>
  <c r="C1997" i="6"/>
  <c r="C1984" i="6"/>
  <c r="C1972" i="6"/>
  <c r="C1948" i="6"/>
  <c r="C1936" i="6"/>
  <c r="C1924" i="6"/>
  <c r="C1912" i="6"/>
  <c r="C1900" i="6"/>
  <c r="C1888" i="6"/>
  <c r="C1875" i="6"/>
  <c r="C1863" i="6"/>
  <c r="C1851" i="6"/>
  <c r="C1839" i="6"/>
  <c r="C1827" i="6"/>
  <c r="C1815" i="6"/>
  <c r="C1791" i="6"/>
  <c r="C1706" i="6"/>
  <c r="C1694" i="6"/>
  <c r="C1682" i="6"/>
  <c r="C1670" i="6"/>
  <c r="C1657" i="6"/>
  <c r="C1645" i="6"/>
  <c r="C1633" i="6"/>
  <c r="C1621" i="6"/>
  <c r="C1609" i="6"/>
  <c r="C1597" i="6"/>
  <c r="C1585" i="6"/>
  <c r="C1573" i="6"/>
  <c r="C1561" i="6"/>
  <c r="C1548" i="6"/>
  <c r="C1536" i="6"/>
  <c r="C1524" i="6"/>
  <c r="C1512" i="6"/>
  <c r="C1500" i="6"/>
  <c r="C1488" i="6"/>
  <c r="C1476" i="6"/>
  <c r="C1464" i="6"/>
  <c r="C1452" i="6"/>
  <c r="C1439" i="6"/>
  <c r="C1427" i="6"/>
  <c r="C1415" i="6"/>
  <c r="C1403" i="6"/>
  <c r="C1391" i="6"/>
  <c r="C1367" i="6"/>
  <c r="C1355" i="6"/>
  <c r="C1343" i="6"/>
  <c r="C1331" i="6"/>
  <c r="C1318" i="6"/>
  <c r="C1306" i="6"/>
  <c r="C1294" i="6"/>
  <c r="C1282" i="6"/>
  <c r="C1270" i="6"/>
  <c r="C1258" i="6"/>
  <c r="C1246" i="6"/>
  <c r="C1222" i="6"/>
  <c r="C1209" i="6"/>
  <c r="C1197" i="6"/>
  <c r="C1185" i="6"/>
  <c r="C1173" i="6"/>
  <c r="C1161" i="6"/>
  <c r="C1149" i="6"/>
  <c r="C1137" i="6"/>
  <c r="C1125" i="6"/>
  <c r="C1113" i="6"/>
  <c r="C1100" i="6"/>
  <c r="C1088" i="6"/>
  <c r="C1076" i="6"/>
  <c r="C1064" i="6"/>
  <c r="C1052" i="6"/>
  <c r="C1040" i="6"/>
  <c r="C1028" i="6"/>
  <c r="C1016" i="6"/>
  <c r="C1004" i="6"/>
  <c r="C991" i="6"/>
  <c r="C979" i="6"/>
  <c r="C967" i="6"/>
  <c r="C955" i="6"/>
  <c r="C943" i="6"/>
  <c r="C931" i="6"/>
  <c r="C919" i="6"/>
  <c r="C907" i="6"/>
  <c r="C895" i="6"/>
  <c r="C882" i="6"/>
  <c r="C870" i="6"/>
  <c r="C858" i="6"/>
  <c r="C846" i="6"/>
  <c r="C834" i="6"/>
  <c r="C822" i="6"/>
  <c r="C810" i="6"/>
  <c r="C798" i="6"/>
  <c r="C786" i="6"/>
  <c r="C773" i="6"/>
  <c r="C761" i="6"/>
  <c r="C749" i="6"/>
  <c r="C737" i="6"/>
  <c r="C725" i="6"/>
  <c r="C713" i="6"/>
  <c r="C701" i="6"/>
  <c r="C689" i="6"/>
  <c r="C677" i="6"/>
  <c r="C665" i="6"/>
  <c r="C652" i="6"/>
  <c r="C640" i="6"/>
  <c r="C628" i="6"/>
  <c r="C616" i="6"/>
  <c r="C604" i="6"/>
  <c r="C592" i="6"/>
  <c r="C580" i="6"/>
  <c r="C568" i="6"/>
  <c r="C556" i="6"/>
  <c r="C543" i="6"/>
  <c r="C531" i="6"/>
  <c r="C519" i="6"/>
  <c r="C507" i="6"/>
  <c r="C495" i="6"/>
  <c r="C483" i="6"/>
  <c r="C471" i="6"/>
  <c r="C459" i="6"/>
  <c r="C447" i="6"/>
  <c r="C434" i="6"/>
  <c r="C422" i="6"/>
  <c r="C410" i="6"/>
  <c r="C398" i="6"/>
  <c r="C386" i="6"/>
  <c r="C374" i="6"/>
  <c r="C362" i="6"/>
  <c r="C350" i="6"/>
  <c r="C338" i="6"/>
  <c r="C325" i="6"/>
  <c r="C313" i="6"/>
  <c r="C301" i="6"/>
  <c r="C277" i="6"/>
  <c r="C265" i="6"/>
  <c r="C253" i="6"/>
  <c r="C229" i="6"/>
  <c r="C216" i="6"/>
  <c r="C204" i="6"/>
  <c r="C192" i="6"/>
  <c r="C180" i="6"/>
  <c r="C168" i="6"/>
  <c r="C156" i="6"/>
  <c r="C144" i="6"/>
  <c r="C132" i="6"/>
  <c r="C120" i="6"/>
  <c r="C107" i="6"/>
  <c r="C95" i="6"/>
  <c r="C83" i="6"/>
  <c r="C71" i="6"/>
  <c r="C59" i="6"/>
  <c r="C47" i="6"/>
  <c r="C35" i="6"/>
  <c r="C23" i="6"/>
  <c r="C11" i="6"/>
  <c r="C1951" i="6"/>
  <c r="C2020" i="6"/>
  <c r="C2008" i="6"/>
  <c r="C1996" i="6"/>
  <c r="C1983" i="6"/>
  <c r="C1971" i="6"/>
  <c r="C1947" i="6"/>
  <c r="C1935" i="6"/>
  <c r="C1923" i="6"/>
  <c r="C1911" i="6"/>
  <c r="C1899" i="6"/>
  <c r="C1705" i="6"/>
  <c r="C1693" i="6"/>
  <c r="C1681" i="6"/>
  <c r="C1669" i="6"/>
  <c r="C1656" i="6"/>
  <c r="C1632" i="6"/>
  <c r="C1620" i="6"/>
  <c r="C1608" i="6"/>
  <c r="C1596" i="6"/>
  <c r="C1584" i="6"/>
  <c r="C1572" i="6"/>
  <c r="C1560" i="6"/>
  <c r="C1547" i="6"/>
  <c r="C1535" i="6"/>
  <c r="C1523" i="6"/>
  <c r="C1511" i="6"/>
  <c r="C1499" i="6"/>
  <c r="C1487" i="6"/>
  <c r="C1475" i="6"/>
  <c r="C1463" i="6"/>
  <c r="C1451" i="6"/>
  <c r="C1438" i="6"/>
  <c r="C1426" i="6"/>
  <c r="C1414" i="6"/>
  <c r="C1402" i="6"/>
  <c r="C1390" i="6"/>
  <c r="C1378" i="6"/>
  <c r="C1366" i="6"/>
  <c r="C1354" i="6"/>
  <c r="C1342" i="6"/>
  <c r="C1330" i="6"/>
  <c r="C1317" i="6"/>
  <c r="C1305" i="6"/>
  <c r="C1293" i="6"/>
  <c r="C1281" i="6"/>
  <c r="C1269" i="6"/>
  <c r="C1257" i="6"/>
  <c r="C1245" i="6"/>
  <c r="C1233" i="6"/>
  <c r="C1208" i="6"/>
  <c r="C1196" i="6"/>
  <c r="C1184" i="6"/>
  <c r="C1172" i="6"/>
  <c r="C1160" i="6"/>
  <c r="C1148" i="6"/>
  <c r="C1136" i="6"/>
  <c r="C1124" i="6"/>
  <c r="C1112" i="6"/>
  <c r="C1099" i="6"/>
  <c r="C1087" i="6"/>
  <c r="C1075" i="6"/>
  <c r="C1063" i="6"/>
  <c r="C1051" i="6"/>
  <c r="C1039" i="6"/>
  <c r="C1027" i="6"/>
  <c r="C1015" i="6"/>
  <c r="C1003" i="6"/>
  <c r="C990" i="6"/>
  <c r="C978" i="6"/>
  <c r="C966" i="6"/>
  <c r="C954" i="6"/>
  <c r="C942" i="6"/>
  <c r="C930" i="6"/>
  <c r="C918" i="6"/>
  <c r="C906" i="6"/>
  <c r="C894" i="6"/>
  <c r="C869" i="6"/>
  <c r="C857" i="6"/>
  <c r="C845" i="6"/>
  <c r="C833" i="6"/>
  <c r="C821" i="6"/>
  <c r="C809" i="6"/>
  <c r="C797" i="6"/>
  <c r="C785" i="6"/>
  <c r="C772" i="6"/>
  <c r="C760" i="6"/>
  <c r="C748" i="6"/>
  <c r="C736" i="6"/>
  <c r="C724" i="6"/>
  <c r="C712" i="6"/>
  <c r="C700" i="6"/>
  <c r="C688" i="6"/>
  <c r="C676" i="6"/>
  <c r="C664" i="6"/>
  <c r="C651" i="6"/>
  <c r="C639" i="6"/>
  <c r="C627" i="6"/>
  <c r="C615" i="6"/>
  <c r="C603" i="6"/>
  <c r="C591" i="6"/>
  <c r="C579" i="6"/>
  <c r="C567" i="6"/>
  <c r="C542" i="6"/>
  <c r="C530" i="6"/>
  <c r="C518" i="6"/>
  <c r="C506" i="6"/>
  <c r="C494" i="6"/>
  <c r="C482" i="6"/>
  <c r="C470" i="6"/>
  <c r="C458" i="6"/>
  <c r="C446" i="6"/>
  <c r="C421" i="6"/>
  <c r="C409" i="6"/>
  <c r="C397" i="6"/>
  <c r="C373" i="6"/>
  <c r="C361" i="6"/>
  <c r="C349" i="6"/>
  <c r="C324" i="6"/>
  <c r="C312" i="6"/>
  <c r="C300" i="6"/>
  <c r="C288" i="6"/>
  <c r="C276" i="6"/>
  <c r="C264" i="6"/>
  <c r="C252" i="6"/>
  <c r="C240" i="6"/>
  <c r="C228" i="6"/>
  <c r="C215" i="6"/>
  <c r="C203" i="6"/>
  <c r="C191" i="6"/>
  <c r="C179" i="6"/>
  <c r="C167" i="6"/>
  <c r="C155" i="6"/>
  <c r="C143" i="6"/>
  <c r="C131" i="6"/>
  <c r="C119" i="6"/>
  <c r="C106" i="6"/>
  <c r="C94" i="6"/>
  <c r="C82" i="6"/>
  <c r="C70" i="6"/>
  <c r="C58" i="6"/>
  <c r="C46" i="6"/>
  <c r="C34" i="6"/>
  <c r="C22" i="6"/>
  <c r="C10" i="6"/>
  <c r="C2031" i="6"/>
  <c r="C2019" i="6"/>
  <c r="C2007" i="6"/>
  <c r="C2025" i="6"/>
  <c r="C2013" i="6"/>
  <c r="C2001" i="6"/>
  <c r="C1988" i="6"/>
  <c r="C1976" i="6"/>
  <c r="C1964" i="6"/>
  <c r="C1952" i="6"/>
  <c r="C1940" i="6"/>
  <c r="C1928" i="6"/>
  <c r="C1916" i="6"/>
  <c r="C1792" i="6"/>
  <c r="C1780" i="6"/>
  <c r="C1767" i="6"/>
  <c r="C1695" i="6"/>
  <c r="C1658" i="6"/>
  <c r="C1646" i="6"/>
  <c r="C1634" i="6"/>
  <c r="C1622" i="6"/>
  <c r="C1610" i="6"/>
  <c r="C1598" i="6"/>
  <c r="C1586" i="6"/>
  <c r="C1574" i="6"/>
  <c r="C1562" i="6"/>
  <c r="C1549" i="6"/>
  <c r="C1428" i="6"/>
  <c r="C1416" i="6"/>
  <c r="C1380" i="6"/>
  <c r="C1368" i="6"/>
  <c r="C1344" i="6"/>
  <c r="C1319" i="6"/>
  <c r="C1307" i="6"/>
  <c r="C1295" i="6"/>
  <c r="C1283" i="6"/>
  <c r="C1271" i="6"/>
  <c r="C1259" i="6"/>
  <c r="C1247" i="6"/>
  <c r="C1223" i="6"/>
  <c r="C1210" i="6"/>
  <c r="C1198" i="6"/>
  <c r="C1186" i="6"/>
  <c r="C1174" i="6"/>
  <c r="C1162" i="6"/>
  <c r="C1150" i="6"/>
  <c r="C1138" i="6"/>
  <c r="C1126" i="6"/>
  <c r="C1114" i="6"/>
  <c r="C1101" i="6"/>
  <c r="C1089" i="6"/>
  <c r="C1077" i="6"/>
  <c r="C1065" i="6"/>
  <c r="C1053" i="6"/>
  <c r="C1041" i="6"/>
  <c r="C1029" i="6"/>
  <c r="C1017" i="6"/>
  <c r="C1005" i="6"/>
  <c r="C992" i="6"/>
  <c r="C980" i="6"/>
  <c r="C968" i="6"/>
  <c r="C956" i="6"/>
  <c r="C944" i="6"/>
  <c r="C932" i="6"/>
  <c r="C920" i="6"/>
  <c r="C896" i="6"/>
  <c r="C883" i="6"/>
  <c r="C871" i="6"/>
  <c r="C859" i="6"/>
  <c r="C847" i="6"/>
  <c r="C835" i="6"/>
  <c r="C823" i="6"/>
  <c r="C811" i="6"/>
  <c r="C799" i="6"/>
  <c r="C787" i="6"/>
  <c r="C775" i="6"/>
  <c r="C762" i="6"/>
  <c r="C738" i="6"/>
  <c r="C726" i="6"/>
  <c r="C714" i="6"/>
  <c r="C702" i="6"/>
  <c r="C690" i="6"/>
  <c r="C653" i="6"/>
  <c r="C641" i="6"/>
  <c r="C629" i="6"/>
  <c r="C617" i="6"/>
  <c r="C605" i="6"/>
  <c r="C593" i="6"/>
  <c r="C581" i="6"/>
  <c r="C569" i="6"/>
  <c r="C557" i="6"/>
  <c r="C544" i="6"/>
  <c r="C532" i="6"/>
  <c r="C520" i="6"/>
  <c r="C508" i="6"/>
  <c r="C496" i="6"/>
  <c r="C484" i="6"/>
  <c r="C472" i="6"/>
  <c r="C460" i="6"/>
  <c r="C448" i="6"/>
  <c r="C435" i="6"/>
  <c r="C423" i="6"/>
  <c r="C411" i="6"/>
  <c r="C399" i="6"/>
  <c r="C387" i="6"/>
  <c r="C375" i="6"/>
  <c r="C363" i="6"/>
  <c r="C351" i="6"/>
  <c r="C339" i="6"/>
  <c r="C326" i="6"/>
  <c r="C314" i="6"/>
  <c r="C302" i="6"/>
  <c r="C290" i="6"/>
  <c r="C278" i="6"/>
  <c r="C266" i="6"/>
  <c r="C254" i="6"/>
  <c r="C242" i="6"/>
  <c r="C230" i="6"/>
  <c r="C217" i="6"/>
  <c r="C205" i="6"/>
  <c r="C181" i="6"/>
  <c r="C169" i="6"/>
  <c r="C157" i="6"/>
  <c r="C133" i="6"/>
  <c r="C121" i="6"/>
  <c r="C109" i="6"/>
  <c r="C96" i="6"/>
  <c r="C84" i="6"/>
  <c r="C72" i="6"/>
  <c r="C60" i="6"/>
  <c r="C48" i="6"/>
  <c r="C36" i="6"/>
  <c r="C24" i="6"/>
  <c r="C1740" i="6"/>
  <c r="C1704" i="6"/>
  <c r="C1668" i="6"/>
  <c r="C1655" i="6"/>
  <c r="C1643" i="6"/>
  <c r="C1619" i="6"/>
  <c r="C1607" i="6"/>
  <c r="C1583" i="6"/>
  <c r="C1571" i="6"/>
  <c r="C1546" i="6"/>
  <c r="C1534" i="6"/>
  <c r="C1522" i="6"/>
  <c r="C1510" i="6"/>
  <c r="C1498" i="6"/>
  <c r="C1486" i="6"/>
  <c r="C1474" i="6"/>
  <c r="C1462" i="6"/>
  <c r="C1450" i="6"/>
  <c r="C1401" i="6"/>
  <c r="C1389" i="6"/>
  <c r="C1377" i="6"/>
  <c r="C1365" i="6"/>
  <c r="C1353" i="6"/>
  <c r="C1341" i="6"/>
  <c r="C1328" i="6"/>
  <c r="C1316" i="6"/>
  <c r="C1304" i="6"/>
  <c r="C1292" i="6"/>
  <c r="C1280" i="6"/>
  <c r="C1268" i="6"/>
  <c r="C1256" i="6"/>
  <c r="C1232" i="6"/>
  <c r="C1220" i="6"/>
  <c r="C1207" i="6"/>
  <c r="C1195" i="6"/>
  <c r="C1183" i="6"/>
  <c r="C1171" i="6"/>
  <c r="C1159" i="6"/>
  <c r="C1147" i="6"/>
  <c r="C1135" i="6"/>
  <c r="C1123" i="6"/>
  <c r="C1111" i="6"/>
  <c r="C1098" i="6"/>
  <c r="C1086" i="6"/>
  <c r="C1074" i="6"/>
  <c r="C1062" i="6"/>
  <c r="C1050" i="6"/>
  <c r="C1038" i="6"/>
  <c r="C1026" i="6"/>
  <c r="C1014" i="6"/>
  <c r="C1002" i="6"/>
  <c r="C989" i="6"/>
  <c r="C977" i="6"/>
  <c r="C965" i="6"/>
  <c r="C953" i="6"/>
  <c r="C941" i="6"/>
  <c r="C917" i="6"/>
  <c r="C905" i="6"/>
  <c r="C893" i="6"/>
  <c r="C880" i="6"/>
  <c r="C868" i="6"/>
  <c r="C856" i="6"/>
  <c r="C844" i="6"/>
  <c r="C832" i="6"/>
  <c r="C820" i="6"/>
  <c r="C808" i="6"/>
  <c r="C796" i="6"/>
  <c r="C784" i="6"/>
  <c r="C771" i="6"/>
  <c r="C759" i="6"/>
  <c r="C747" i="6"/>
  <c r="C735" i="6"/>
  <c r="C723" i="6"/>
  <c r="C711" i="6"/>
  <c r="C699" i="6"/>
  <c r="C687" i="6"/>
  <c r="C675" i="6"/>
  <c r="C662" i="6"/>
  <c r="C650" i="6"/>
  <c r="C638" i="6"/>
  <c r="C626" i="6"/>
  <c r="C614" i="6"/>
  <c r="C590" i="6"/>
  <c r="C578" i="6"/>
  <c r="C566" i="6"/>
  <c r="C554" i="6"/>
  <c r="C541" i="6"/>
  <c r="C529" i="6"/>
  <c r="C505" i="6"/>
  <c r="C493" i="6"/>
  <c r="C469" i="6"/>
  <c r="C457" i="6"/>
  <c r="C445" i="6"/>
  <c r="C432" i="6"/>
  <c r="C420" i="6"/>
  <c r="C408" i="6"/>
  <c r="C396" i="6"/>
  <c r="C384" i="6"/>
  <c r="C372" i="6"/>
  <c r="C360" i="6"/>
  <c r="C348" i="6"/>
  <c r="C336" i="6"/>
  <c r="C323" i="6"/>
  <c r="C311" i="6"/>
  <c r="C299" i="6"/>
  <c r="C287" i="6"/>
  <c r="C275" i="6"/>
  <c r="C263" i="6"/>
  <c r="C251" i="6"/>
  <c r="C239" i="6"/>
  <c r="C227" i="6"/>
  <c r="C214" i="6"/>
  <c r="C202" i="6"/>
  <c r="C190" i="6"/>
  <c r="C178" i="6"/>
  <c r="C166" i="6"/>
  <c r="C154" i="6"/>
  <c r="C142" i="6"/>
  <c r="C130" i="6"/>
  <c r="C118" i="6"/>
  <c r="C105" i="6"/>
  <c r="C93" i="6"/>
  <c r="C81" i="6"/>
  <c r="C69" i="6"/>
  <c r="C57" i="6"/>
  <c r="C45" i="6"/>
  <c r="C33" i="6"/>
  <c r="C21" i="6"/>
  <c r="C9" i="6"/>
  <c r="C1872" i="6"/>
  <c r="C1860" i="6"/>
  <c r="C1848" i="6"/>
  <c r="C1836" i="6"/>
  <c r="C1824" i="6"/>
  <c r="C1812" i="6"/>
  <c r="C1800" i="6"/>
  <c r="C1691" i="6"/>
  <c r="C1679" i="6"/>
  <c r="C1654" i="6"/>
  <c r="C1642" i="6"/>
  <c r="C1630" i="6"/>
  <c r="C1618" i="6"/>
  <c r="C1606" i="6"/>
  <c r="C1594" i="6"/>
  <c r="C1582" i="6"/>
  <c r="C1570" i="6"/>
  <c r="C1558" i="6"/>
  <c r="C1436" i="6"/>
  <c r="C1424" i="6"/>
  <c r="C1412" i="6"/>
  <c r="C1388" i="6"/>
  <c r="C1364" i="6"/>
  <c r="C1352" i="6"/>
  <c r="C1340" i="6"/>
  <c r="C1327" i="6"/>
  <c r="C1315" i="6"/>
  <c r="C1303" i="6"/>
  <c r="C1291" i="6"/>
  <c r="C1279" i="6"/>
  <c r="C1267" i="6"/>
  <c r="C1255" i="6"/>
  <c r="C1243" i="6"/>
  <c r="C1231" i="6"/>
  <c r="C1219" i="6"/>
  <c r="C1206" i="6"/>
  <c r="C1194" i="6"/>
  <c r="C1182" i="6"/>
  <c r="C1158" i="6"/>
  <c r="C1146" i="6"/>
  <c r="C1134" i="6"/>
  <c r="C1122" i="6"/>
  <c r="C1097" i="6"/>
  <c r="C1085" i="6"/>
  <c r="C1073" i="6"/>
  <c r="C1061" i="6"/>
  <c r="C1049" i="6"/>
  <c r="C1037" i="6"/>
  <c r="C1025" i="6"/>
  <c r="C1013" i="6"/>
  <c r="C1001" i="6"/>
  <c r="C988" i="6"/>
  <c r="C976" i="6"/>
  <c r="C964" i="6"/>
  <c r="C952" i="6"/>
  <c r="C940" i="6"/>
  <c r="C928" i="6"/>
  <c r="C916" i="6"/>
  <c r="C904" i="6"/>
  <c r="C892" i="6"/>
  <c r="C867" i="6"/>
  <c r="C855" i="6"/>
  <c r="C843" i="6"/>
  <c r="C831" i="6"/>
  <c r="C819" i="6"/>
  <c r="C807" i="6"/>
  <c r="C795" i="6"/>
  <c r="C783" i="6"/>
  <c r="C770" i="6"/>
  <c r="C758" i="6"/>
  <c r="C746" i="6"/>
  <c r="C734" i="6"/>
  <c r="C722" i="6"/>
  <c r="C710" i="6"/>
  <c r="C698" i="6"/>
  <c r="C686" i="6"/>
  <c r="C674" i="6"/>
  <c r="C649" i="6"/>
  <c r="C637" i="6"/>
  <c r="C613" i="6"/>
  <c r="C601" i="6"/>
  <c r="C577" i="6"/>
  <c r="C565" i="6"/>
  <c r="C540" i="6"/>
  <c r="C528" i="6"/>
  <c r="C516" i="6"/>
  <c r="C504" i="6"/>
  <c r="C492" i="6"/>
  <c r="C480" i="6"/>
  <c r="C468" i="6"/>
  <c r="C456" i="6"/>
  <c r="C431" i="6"/>
  <c r="C419" i="6"/>
  <c r="C407" i="6"/>
  <c r="C383" i="6"/>
  <c r="C371" i="6"/>
  <c r="C359" i="6"/>
  <c r="C347" i="6"/>
  <c r="C335" i="6"/>
  <c r="C322" i="6"/>
  <c r="C310" i="6"/>
  <c r="C298" i="6"/>
  <c r="C286" i="6"/>
  <c r="C274" i="6"/>
  <c r="C262" i="6"/>
  <c r="C250" i="6"/>
  <c r="C238" i="6"/>
  <c r="C226" i="6"/>
  <c r="C213" i="6"/>
  <c r="C201" i="6"/>
  <c r="C189" i="6"/>
  <c r="C177" i="6"/>
  <c r="C165" i="6"/>
  <c r="C153" i="6"/>
  <c r="C141" i="6"/>
  <c r="C129" i="6"/>
  <c r="C117" i="6"/>
  <c r="C104" i="6"/>
  <c r="C92" i="6"/>
  <c r="C80" i="6"/>
  <c r="C68" i="6"/>
  <c r="C56" i="6"/>
  <c r="C44" i="6"/>
  <c r="C32" i="6"/>
  <c r="C20" i="6"/>
  <c r="C1980" i="6"/>
  <c r="C1956" i="6"/>
  <c r="C1932" i="6"/>
  <c r="C1908" i="6"/>
  <c r="C1762" i="6"/>
  <c r="C1750" i="6"/>
  <c r="C1738" i="6"/>
  <c r="C1726" i="6"/>
  <c r="C1714" i="6"/>
  <c r="C1702" i="6"/>
  <c r="C1690" i="6"/>
  <c r="C1678" i="6"/>
  <c r="C1666" i="6"/>
  <c r="C1641" i="6"/>
  <c r="C1605" i="6"/>
  <c r="C1569" i="6"/>
  <c r="C1532" i="6"/>
  <c r="C1520" i="6"/>
  <c r="C1508" i="6"/>
  <c r="C1496" i="6"/>
  <c r="C1484" i="6"/>
  <c r="C1472" i="6"/>
  <c r="C1460" i="6"/>
  <c r="C1448" i="6"/>
  <c r="C1435" i="6"/>
  <c r="C1423" i="6"/>
  <c r="C1411" i="6"/>
  <c r="C1387" i="6"/>
  <c r="C1363" i="6"/>
  <c r="C1351" i="6"/>
  <c r="C1339" i="6"/>
  <c r="C1314" i="6"/>
  <c r="C1290" i="6"/>
  <c r="C1278" i="6"/>
  <c r="C1266" i="6"/>
  <c r="C1254" i="6"/>
  <c r="C1242" i="6"/>
  <c r="C1230" i="6"/>
  <c r="C1217" i="6"/>
  <c r="C1205" i="6"/>
  <c r="C1181" i="6"/>
  <c r="C1169" i="6"/>
  <c r="C1157" i="6"/>
  <c r="C1145" i="6"/>
  <c r="C1133" i="6"/>
  <c r="C1121" i="6"/>
  <c r="C1109" i="6"/>
  <c r="C1096" i="6"/>
  <c r="C1084" i="6"/>
  <c r="C1072" i="6"/>
  <c r="C1060" i="6"/>
  <c r="C1048" i="6"/>
  <c r="C1036" i="6"/>
  <c r="C1024" i="6"/>
  <c r="C1012" i="6"/>
  <c r="C1000" i="6"/>
  <c r="C987" i="6"/>
  <c r="C975" i="6"/>
  <c r="C963" i="6"/>
  <c r="C951" i="6"/>
  <c r="C939" i="6"/>
  <c r="C927" i="6"/>
  <c r="C915" i="6"/>
  <c r="C903" i="6"/>
  <c r="C891" i="6"/>
  <c r="C878" i="6"/>
  <c r="C866" i="6"/>
  <c r="C854" i="6"/>
  <c r="C842" i="6"/>
  <c r="C830" i="6"/>
  <c r="C818" i="6"/>
  <c r="C806" i="6"/>
  <c r="C794" i="6"/>
  <c r="C782" i="6"/>
  <c r="C757" i="6"/>
  <c r="C745" i="6"/>
  <c r="C721" i="6"/>
  <c r="C709" i="6"/>
  <c r="C685" i="6"/>
  <c r="C673" i="6"/>
  <c r="C660" i="6"/>
  <c r="C648" i="6"/>
  <c r="C636" i="6"/>
  <c r="C624" i="6"/>
  <c r="C612" i="6"/>
  <c r="C600" i="6"/>
  <c r="C588" i="6"/>
  <c r="C576" i="6"/>
  <c r="C564" i="6"/>
  <c r="C551" i="6"/>
  <c r="C539" i="6"/>
  <c r="C527" i="6"/>
  <c r="C515" i="6"/>
  <c r="C503" i="6"/>
  <c r="C491" i="6"/>
  <c r="C479" i="6"/>
  <c r="C467" i="6"/>
  <c r="C455" i="6"/>
  <c r="C443" i="6"/>
  <c r="C430" i="6"/>
  <c r="C418" i="6"/>
  <c r="C406" i="6"/>
  <c r="C394" i="6"/>
  <c r="C382" i="6"/>
  <c r="C370" i="6"/>
  <c r="C358" i="6"/>
  <c r="C346" i="6"/>
  <c r="C334" i="6"/>
  <c r="C321" i="6"/>
  <c r="C309" i="6"/>
  <c r="C297" i="6"/>
  <c r="C285" i="6"/>
  <c r="C273" i="6"/>
  <c r="C261" i="6"/>
  <c r="C249" i="6"/>
  <c r="C237" i="6"/>
  <c r="C225" i="6"/>
  <c r="C212" i="6"/>
  <c r="C200" i="6"/>
  <c r="C188" i="6"/>
  <c r="C176" i="6"/>
  <c r="C164" i="6"/>
  <c r="C152" i="6"/>
  <c r="C140" i="6"/>
  <c r="C128" i="6"/>
  <c r="C116" i="6"/>
  <c r="C103" i="6"/>
  <c r="C91" i="6"/>
  <c r="C79" i="6"/>
  <c r="C2028" i="6"/>
  <c r="C2004" i="6"/>
  <c r="C1882" i="6"/>
  <c r="C1858" i="6"/>
  <c r="C1834" i="6"/>
  <c r="C1810" i="6"/>
  <c r="C1786" i="6"/>
  <c r="C1774" i="6"/>
  <c r="C1749" i="6"/>
  <c r="C1713" i="6"/>
  <c r="C1677" i="6"/>
  <c r="C1652" i="6"/>
  <c r="C1640" i="6"/>
  <c r="C1628" i="6"/>
  <c r="C1616" i="6"/>
  <c r="C1604" i="6"/>
  <c r="C1592" i="6"/>
  <c r="C1580" i="6"/>
  <c r="C1568" i="6"/>
  <c r="C1556" i="6"/>
  <c r="C1543" i="6"/>
  <c r="C1531" i="6"/>
  <c r="C1519" i="6"/>
  <c r="C1507" i="6"/>
  <c r="C1495" i="6"/>
  <c r="C1483" i="6"/>
  <c r="C1471" i="6"/>
  <c r="C1459" i="6"/>
  <c r="C1447" i="6"/>
  <c r="C1434" i="6"/>
  <c r="C1422" i="6"/>
  <c r="C1410" i="6"/>
  <c r="C1398" i="6"/>
  <c r="C1374" i="6"/>
  <c r="C1362" i="6"/>
  <c r="C1338" i="6"/>
  <c r="C1325" i="6"/>
  <c r="C1313" i="6"/>
  <c r="C1301" i="6"/>
  <c r="C1277" i="6"/>
  <c r="C1265" i="6"/>
  <c r="C1253" i="6"/>
  <c r="C1241" i="6"/>
  <c r="C1229" i="6"/>
  <c r="C1216" i="6"/>
  <c r="C1192" i="6"/>
  <c r="C1180" i="6"/>
  <c r="C1168" i="6"/>
  <c r="C1156" i="6"/>
  <c r="C1144" i="6"/>
  <c r="C1132" i="6"/>
  <c r="C1120" i="6"/>
  <c r="C1108" i="6"/>
  <c r="C1095" i="6"/>
  <c r="C1083" i="6"/>
  <c r="C1071" i="6"/>
  <c r="C1059" i="6"/>
  <c r="C1047" i="6"/>
  <c r="C1023" i="6"/>
  <c r="C1011" i="6"/>
  <c r="C974" i="6"/>
  <c r="C950" i="6"/>
  <c r="C926" i="6"/>
  <c r="C914" i="6"/>
  <c r="C902" i="6"/>
  <c r="C890" i="6"/>
  <c r="C877" i="6"/>
  <c r="C865" i="6"/>
  <c r="C853" i="6"/>
  <c r="C841" i="6"/>
  <c r="C817" i="6"/>
  <c r="C805" i="6"/>
  <c r="C793" i="6"/>
  <c r="C781" i="6"/>
  <c r="C768" i="6"/>
  <c r="C756" i="6"/>
  <c r="C744" i="6"/>
  <c r="C732" i="6"/>
  <c r="C720" i="6"/>
  <c r="C708" i="6"/>
  <c r="C696" i="6"/>
  <c r="C684" i="6"/>
  <c r="C672" i="6"/>
  <c r="C659" i="6"/>
  <c r="C647" i="6"/>
  <c r="C635" i="6"/>
  <c r="C623" i="6"/>
  <c r="C611" i="6"/>
  <c r="C587" i="6"/>
  <c r="C575" i="6"/>
  <c r="C563" i="6"/>
  <c r="C550" i="6"/>
  <c r="C538" i="6"/>
  <c r="C526" i="6"/>
  <c r="C514" i="6"/>
  <c r="C502" i="6"/>
  <c r="C490" i="6"/>
  <c r="C478" i="6"/>
  <c r="C466" i="6"/>
  <c r="C454" i="6"/>
  <c r="C442" i="6"/>
  <c r="C429" i="6"/>
  <c r="C417" i="6"/>
  <c r="C405" i="6"/>
  <c r="C393" i="6"/>
  <c r="C381" i="6"/>
  <c r="C369" i="6"/>
  <c r="C357" i="6"/>
  <c r="C345" i="6"/>
  <c r="C320" i="6"/>
  <c r="C308" i="6"/>
  <c r="C296" i="6"/>
  <c r="C284" i="6"/>
  <c r="C272" i="6"/>
  <c r="C260" i="6"/>
  <c r="C248" i="6"/>
  <c r="C236" i="6"/>
  <c r="C224" i="6"/>
  <c r="C211" i="6"/>
  <c r="C199" i="6"/>
  <c r="C187" i="6"/>
  <c r="C175" i="6"/>
  <c r="C163" i="6"/>
  <c r="C151" i="6"/>
  <c r="C139" i="6"/>
  <c r="C127" i="6"/>
  <c r="C115" i="6"/>
  <c r="C102" i="6"/>
  <c r="C90" i="6"/>
  <c r="C78" i="6"/>
  <c r="C66" i="6"/>
  <c r="C54" i="6"/>
  <c r="C42" i="6"/>
  <c r="C2003" i="6"/>
  <c r="C1978" i="6"/>
  <c r="C1954" i="6"/>
  <c r="C1930" i="6"/>
  <c r="C1906" i="6"/>
  <c r="C1785" i="6"/>
  <c r="C1760" i="6"/>
  <c r="C1748" i="6"/>
  <c r="C1736" i="6"/>
  <c r="C1724" i="6"/>
  <c r="C1712" i="6"/>
  <c r="C1700" i="6"/>
  <c r="C1688" i="6"/>
  <c r="C1676" i="6"/>
  <c r="C1664" i="6"/>
  <c r="C1651" i="6"/>
  <c r="C1639" i="6"/>
  <c r="C1615" i="6"/>
  <c r="C1603" i="6"/>
  <c r="C1579" i="6"/>
  <c r="C1567" i="6"/>
  <c r="C1542" i="6"/>
  <c r="C1530" i="6"/>
  <c r="C1518" i="6"/>
  <c r="C1506" i="6"/>
  <c r="C1494" i="6"/>
  <c r="C1482" i="6"/>
  <c r="C1470" i="6"/>
  <c r="C1458" i="6"/>
  <c r="C1446" i="6"/>
  <c r="C1433" i="6"/>
  <c r="C1421" i="6"/>
  <c r="C1409" i="6"/>
  <c r="C1397" i="6"/>
  <c r="C1385" i="6"/>
  <c r="C1361" i="6"/>
  <c r="C1349" i="6"/>
  <c r="C1337" i="6"/>
  <c r="C1324" i="6"/>
  <c r="C1312" i="6"/>
  <c r="C1300" i="6"/>
  <c r="C1288" i="6"/>
  <c r="C1276" i="6"/>
  <c r="C1264" i="6"/>
  <c r="C1252" i="6"/>
  <c r="C1240" i="6"/>
  <c r="C1228" i="6"/>
  <c r="C1215" i="6"/>
  <c r="C1203" i="6"/>
  <c r="C1191" i="6"/>
  <c r="C1179" i="6"/>
  <c r="C1167" i="6"/>
  <c r="C1155" i="6"/>
  <c r="C1143" i="6"/>
  <c r="C1131" i="6"/>
  <c r="C1119" i="6"/>
  <c r="C1106" i="6"/>
  <c r="C1094" i="6"/>
  <c r="C1082" i="6"/>
  <c r="C1070" i="6"/>
  <c r="C1058" i="6"/>
  <c r="C1046" i="6"/>
  <c r="C1022" i="6"/>
  <c r="C1010" i="6"/>
  <c r="C998" i="6"/>
  <c r="C985" i="6"/>
  <c r="C973" i="6"/>
  <c r="C961" i="6"/>
  <c r="C949" i="6"/>
  <c r="C937" i="6"/>
  <c r="C925" i="6"/>
  <c r="C913" i="6"/>
  <c r="C901" i="6"/>
  <c r="C889" i="6"/>
  <c r="C876" i="6"/>
  <c r="C864" i="6"/>
  <c r="C852" i="6"/>
  <c r="C840" i="6"/>
  <c r="C828" i="6"/>
  <c r="C804" i="6"/>
  <c r="C792" i="6"/>
  <c r="C780" i="6"/>
  <c r="C767" i="6"/>
  <c r="C755" i="6"/>
  <c r="C743" i="6"/>
  <c r="C731" i="6"/>
  <c r="C719" i="6"/>
  <c r="C707" i="6"/>
  <c r="C695" i="6"/>
  <c r="C683" i="6"/>
  <c r="C671" i="6"/>
  <c r="C658" i="6"/>
  <c r="C646" i="6"/>
  <c r="C634" i="6"/>
  <c r="C622" i="6"/>
  <c r="C610" i="6"/>
  <c r="C598" i="6"/>
  <c r="C586" i="6"/>
  <c r="C574" i="6"/>
  <c r="C562" i="6"/>
  <c r="C549" i="6"/>
  <c r="C537" i="6"/>
  <c r="C525" i="6"/>
  <c r="C513" i="6"/>
  <c r="C501" i="6"/>
  <c r="C489" i="6"/>
  <c r="C477" i="6"/>
  <c r="C465" i="6"/>
  <c r="C453" i="6"/>
  <c r="C440" i="6"/>
  <c r="C428" i="6"/>
  <c r="C416" i="6"/>
  <c r="C404" i="6"/>
  <c r="C392" i="6"/>
  <c r="C380" i="6"/>
  <c r="C368" i="6"/>
  <c r="C356" i="6"/>
  <c r="C344" i="6"/>
  <c r="C332" i="6"/>
  <c r="C319" i="6"/>
  <c r="C307" i="6"/>
  <c r="C295" i="6"/>
  <c r="C283" i="6"/>
  <c r="C271" i="6"/>
  <c r="C259" i="6"/>
  <c r="C247" i="6"/>
  <c r="C235" i="6"/>
  <c r="C223" i="6"/>
  <c r="C210" i="6"/>
  <c r="C198" i="6"/>
  <c r="C186" i="6"/>
  <c r="C174" i="6"/>
  <c r="C162" i="6"/>
  <c r="C150" i="6"/>
  <c r="C138" i="6"/>
  <c r="C126" i="6"/>
  <c r="C114" i="6"/>
  <c r="C101" i="6"/>
  <c r="C89" i="6"/>
  <c r="C77" i="6"/>
  <c r="C65" i="6"/>
  <c r="C53" i="6"/>
  <c r="C41" i="6"/>
  <c r="C29" i="6"/>
  <c r="C17" i="6"/>
  <c r="C5" i="6"/>
  <c r="C2026" i="6"/>
  <c r="C2002" i="6"/>
  <c r="C1868" i="6"/>
  <c r="C1856" i="6"/>
  <c r="C1844" i="6"/>
  <c r="C1832" i="6"/>
  <c r="C1820" i="6"/>
  <c r="C1808" i="6"/>
  <c r="C1796" i="6"/>
  <c r="C1784" i="6"/>
  <c r="C1759" i="6"/>
  <c r="C1747" i="6"/>
  <c r="C1723" i="6"/>
  <c r="C1711" i="6"/>
  <c r="C1687" i="6"/>
  <c r="C1675" i="6"/>
  <c r="C1650" i="6"/>
  <c r="C1614" i="6"/>
  <c r="C1578" i="6"/>
  <c r="C1541" i="6"/>
  <c r="C1529" i="6"/>
  <c r="C1517" i="6"/>
  <c r="C1505" i="6"/>
  <c r="C1493" i="6"/>
  <c r="C1481" i="6"/>
  <c r="C1469" i="6"/>
  <c r="C1457" i="6"/>
  <c r="C1445" i="6"/>
  <c r="C1432" i="6"/>
  <c r="C1420" i="6"/>
  <c r="C1408" i="6"/>
  <c r="C1396" i="6"/>
  <c r="C1384" i="6"/>
  <c r="C1372" i="6"/>
  <c r="C1360" i="6"/>
  <c r="C1348" i="6"/>
  <c r="C1336" i="6"/>
  <c r="C1323" i="6"/>
  <c r="C1311" i="6"/>
  <c r="C1299" i="6"/>
  <c r="C1287" i="6"/>
  <c r="C1275" i="6"/>
  <c r="C1263" i="6"/>
  <c r="C1251" i="6"/>
  <c r="C1239" i="6"/>
  <c r="C1227" i="6"/>
  <c r="C1214" i="6"/>
  <c r="C1202" i="6"/>
  <c r="C1190" i="6"/>
  <c r="C1178" i="6"/>
  <c r="C1166" i="6"/>
  <c r="C1154" i="6"/>
  <c r="C1142" i="6"/>
  <c r="C1130" i="6"/>
  <c r="C1118" i="6"/>
  <c r="C1105" i="6"/>
  <c r="C1081" i="6"/>
  <c r="C1069" i="6"/>
  <c r="C1057" i="6"/>
  <c r="C1045" i="6"/>
  <c r="C1033" i="6"/>
  <c r="C1021" i="6"/>
  <c r="C1009" i="6"/>
  <c r="C997" i="6"/>
  <c r="C984" i="6"/>
  <c r="C972" i="6"/>
  <c r="C960" i="6"/>
  <c r="C948" i="6"/>
  <c r="C936" i="6"/>
  <c r="C924" i="6"/>
  <c r="C912" i="6"/>
  <c r="C900" i="6"/>
  <c r="C875" i="6"/>
  <c r="C863" i="6"/>
  <c r="C851" i="6"/>
  <c r="C839" i="6"/>
  <c r="C827" i="6"/>
  <c r="C815" i="6"/>
  <c r="C803" i="6"/>
  <c r="C791" i="6"/>
  <c r="C779" i="6"/>
  <c r="C766" i="6"/>
  <c r="C754" i="6"/>
  <c r="C742" i="6"/>
  <c r="C730" i="6"/>
  <c r="C718" i="6"/>
  <c r="C706" i="6"/>
  <c r="C694" i="6"/>
  <c r="C682" i="6"/>
  <c r="C670" i="6"/>
  <c r="C657" i="6"/>
  <c r="C645" i="6"/>
  <c r="C633" i="6"/>
  <c r="C621" i="6"/>
  <c r="C609" i="6"/>
  <c r="C597" i="6"/>
  <c r="C585" i="6"/>
  <c r="C573" i="6"/>
  <c r="C561" i="6"/>
  <c r="C548" i="6"/>
  <c r="C536" i="6"/>
  <c r="C524" i="6"/>
  <c r="C512" i="6"/>
  <c r="C500" i="6"/>
  <c r="C488" i="6"/>
  <c r="C476" i="6"/>
  <c r="C464" i="6"/>
  <c r="C452" i="6"/>
  <c r="C439" i="6"/>
  <c r="C427" i="6"/>
  <c r="C415" i="6"/>
  <c r="C403" i="6"/>
  <c r="C391" i="6"/>
  <c r="C379" i="6"/>
  <c r="C367" i="6"/>
  <c r="C355" i="6"/>
  <c r="C343" i="6"/>
  <c r="C331" i="6"/>
  <c r="C318" i="6"/>
  <c r="C306" i="6"/>
  <c r="C294" i="6"/>
  <c r="C282" i="6"/>
  <c r="C270" i="6"/>
  <c r="C258" i="6"/>
  <c r="C246" i="6"/>
  <c r="C234" i="6"/>
  <c r="C209" i="6"/>
  <c r="C197" i="6"/>
  <c r="C185" i="6"/>
  <c r="C173" i="6"/>
  <c r="C161" i="6"/>
  <c r="C149" i="6"/>
  <c r="C137" i="6"/>
  <c r="C125" i="6"/>
  <c r="C113" i="6"/>
  <c r="C100" i="6"/>
  <c r="C88" i="6"/>
  <c r="C76" i="6"/>
  <c r="C64" i="6"/>
  <c r="C52" i="6"/>
  <c r="C40" i="6"/>
  <c r="C28" i="6"/>
  <c r="C16" i="6"/>
  <c r="C4" i="6"/>
  <c r="C1892" i="6"/>
  <c r="C1867" i="6"/>
  <c r="C1843" i="6"/>
  <c r="C1819" i="6"/>
  <c r="C1795" i="6"/>
  <c r="C1783" i="6"/>
  <c r="C1758" i="6"/>
  <c r="C1686" i="6"/>
  <c r="C1661" i="6"/>
  <c r="C1637" i="6"/>
  <c r="C1625" i="6"/>
  <c r="C1601" i="6"/>
  <c r="C1589" i="6"/>
  <c r="C1565" i="6"/>
  <c r="C1553" i="6"/>
  <c r="C1540" i="6"/>
  <c r="C1528" i="6"/>
  <c r="C1516" i="6"/>
  <c r="C1504" i="6"/>
  <c r="C1492" i="6"/>
  <c r="C1480" i="6"/>
  <c r="C1468" i="6"/>
  <c r="C1456" i="6"/>
  <c r="C1444" i="6"/>
  <c r="C1407" i="6"/>
  <c r="C1395" i="6"/>
  <c r="C1383" i="6"/>
  <c r="C1371" i="6"/>
  <c r="C1359" i="6"/>
  <c r="C1347" i="6"/>
  <c r="C1335" i="6"/>
  <c r="C1322" i="6"/>
  <c r="C1310" i="6"/>
  <c r="C1298" i="6"/>
  <c r="C1286" i="6"/>
  <c r="C1262" i="6"/>
  <c r="C1250" i="6"/>
  <c r="C1238" i="6"/>
  <c r="C1226" i="6"/>
  <c r="C1201" i="6"/>
  <c r="C1189" i="6"/>
  <c r="C1177" i="6"/>
  <c r="C1165" i="6"/>
  <c r="C1153" i="6"/>
  <c r="C1141" i="6"/>
  <c r="C1129" i="6"/>
  <c r="C1117" i="6"/>
  <c r="C1104" i="6"/>
  <c r="C1092" i="6"/>
  <c r="C1080" i="6"/>
  <c r="C1068" i="6"/>
  <c r="C1056" i="6"/>
  <c r="C1044" i="6"/>
  <c r="C1032" i="6"/>
  <c r="C1020" i="6"/>
  <c r="C1008" i="6"/>
  <c r="C995" i="6"/>
  <c r="C983" i="6"/>
  <c r="C971" i="6"/>
  <c r="C959" i="6"/>
  <c r="C947" i="6"/>
  <c r="C935" i="6"/>
  <c r="C923" i="6"/>
  <c r="C911" i="6"/>
  <c r="C899" i="6"/>
  <c r="C887" i="6"/>
  <c r="C874" i="6"/>
  <c r="C862" i="6"/>
  <c r="C850" i="6"/>
  <c r="C838" i="6"/>
  <c r="C826" i="6"/>
  <c r="C814" i="6"/>
  <c r="C802" i="6"/>
  <c r="C790" i="6"/>
  <c r="C778" i="6"/>
  <c r="C765" i="6"/>
  <c r="C753" i="6"/>
  <c r="C741" i="6"/>
  <c r="C729" i="6"/>
  <c r="C717" i="6"/>
  <c r="C705" i="6"/>
  <c r="C693" i="6"/>
  <c r="C681" i="6"/>
  <c r="C669" i="6"/>
  <c r="C656" i="6"/>
  <c r="C644" i="6"/>
  <c r="C632" i="6"/>
  <c r="C620" i="6"/>
  <c r="C608" i="6"/>
  <c r="C596" i="6"/>
  <c r="C584" i="6"/>
  <c r="C572" i="6"/>
  <c r="C560" i="6"/>
  <c r="C547" i="6"/>
  <c r="C535" i="6"/>
  <c r="C523" i="6"/>
  <c r="C511" i="6"/>
  <c r="C499" i="6"/>
  <c r="C487" i="6"/>
  <c r="C475" i="6"/>
  <c r="C463" i="6"/>
  <c r="C451" i="6"/>
  <c r="C438" i="6"/>
  <c r="C426" i="6"/>
  <c r="C414" i="6"/>
  <c r="C402" i="6"/>
  <c r="C390" i="6"/>
  <c r="C378" i="6"/>
  <c r="C366" i="6"/>
  <c r="C354" i="6"/>
  <c r="C342" i="6"/>
  <c r="C329" i="6"/>
  <c r="C317" i="6"/>
  <c r="C305" i="6"/>
  <c r="C293" i="6"/>
  <c r="C281" i="6"/>
  <c r="C269" i="6"/>
  <c r="C257" i="6"/>
  <c r="C245" i="6"/>
  <c r="C233" i="6"/>
  <c r="C221" i="6"/>
  <c r="C208" i="6"/>
  <c r="C196" i="6"/>
  <c r="C184" i="6"/>
  <c r="C172" i="6"/>
  <c r="C160" i="6"/>
  <c r="C148" i="6"/>
  <c r="C136" i="6"/>
  <c r="C124" i="6"/>
  <c r="C112" i="6"/>
  <c r="C99" i="6"/>
  <c r="C87" i="6"/>
  <c r="C75" i="6"/>
  <c r="C63" i="6"/>
  <c r="C51" i="6"/>
  <c r="C39" i="6"/>
  <c r="C27" i="6"/>
  <c r="C15" i="6"/>
  <c r="C3" i="6"/>
  <c r="C1939" i="6"/>
  <c r="C1915" i="6"/>
  <c r="C1891" i="6"/>
  <c r="C1878" i="6"/>
  <c r="C1866" i="6"/>
  <c r="C1854" i="6"/>
  <c r="C1842" i="6"/>
  <c r="C1830" i="6"/>
  <c r="C1818" i="6"/>
  <c r="C1806" i="6"/>
  <c r="C1794" i="6"/>
  <c r="C1745" i="6"/>
  <c r="C1709" i="6"/>
  <c r="C1697" i="6"/>
  <c r="C1660" i="6"/>
  <c r="C1648" i="6"/>
  <c r="C1636" i="6"/>
  <c r="C1624" i="6"/>
  <c r="C1612" i="6"/>
  <c r="C1600" i="6"/>
  <c r="C1588" i="6"/>
  <c r="C1576" i="6"/>
  <c r="C1564" i="6"/>
  <c r="C1552" i="6"/>
  <c r="C1430" i="6"/>
  <c r="C1418" i="6"/>
  <c r="C1394" i="6"/>
  <c r="C1382" i="6"/>
  <c r="C1358" i="6"/>
  <c r="C1346" i="6"/>
  <c r="C1334" i="6"/>
  <c r="C1321" i="6"/>
  <c r="C1309" i="6"/>
  <c r="C1297" i="6"/>
  <c r="C1285" i="6"/>
  <c r="C1273" i="6"/>
  <c r="C1261" i="6"/>
  <c r="C1237" i="6"/>
  <c r="C1225" i="6"/>
  <c r="C1212" i="6"/>
  <c r="C1200" i="6"/>
  <c r="C1188" i="6"/>
  <c r="C1176" i="6"/>
  <c r="C1164" i="6"/>
  <c r="C1152" i="6"/>
  <c r="C1140" i="6"/>
  <c r="C1128" i="6"/>
  <c r="C1116" i="6"/>
  <c r="C1103" i="6"/>
  <c r="C1091" i="6"/>
  <c r="C1079" i="6"/>
  <c r="C1067" i="6"/>
  <c r="C1055" i="6"/>
  <c r="C1043" i="6"/>
  <c r="C1031" i="6"/>
  <c r="C1019" i="6"/>
  <c r="C1007" i="6"/>
  <c r="C994" i="6"/>
  <c r="C982" i="6"/>
  <c r="C970" i="6"/>
  <c r="C958" i="6"/>
  <c r="C946" i="6"/>
  <c r="C934" i="6"/>
  <c r="C922" i="6"/>
  <c r="C910" i="6"/>
  <c r="C898" i="6"/>
  <c r="C886" i="6"/>
  <c r="C873" i="6"/>
  <c r="C861" i="6"/>
  <c r="C849" i="6"/>
  <c r="C837" i="6"/>
  <c r="C825" i="6"/>
  <c r="C813" i="6"/>
  <c r="C801" i="6"/>
  <c r="C789" i="6"/>
  <c r="C764" i="6"/>
  <c r="C752" i="6"/>
  <c r="C740" i="6"/>
  <c r="C728" i="6"/>
  <c r="C716" i="6"/>
  <c r="C704" i="6"/>
  <c r="C692" i="6"/>
  <c r="C668" i="6"/>
  <c r="C655" i="6"/>
  <c r="C643" i="6"/>
  <c r="C631" i="6"/>
  <c r="C619" i="6"/>
  <c r="C607" i="6"/>
  <c r="C595" i="6"/>
  <c r="C583" i="6"/>
  <c r="C571" i="6"/>
  <c r="C559" i="6"/>
  <c r="C546" i="6"/>
  <c r="C534" i="6"/>
  <c r="C522" i="6"/>
  <c r="C510" i="6"/>
  <c r="C498" i="6"/>
  <c r="C486" i="6"/>
  <c r="C474" i="6"/>
  <c r="C462" i="6"/>
  <c r="C450" i="6"/>
  <c r="C437" i="6"/>
  <c r="C425" i="6"/>
  <c r="C413" i="6"/>
  <c r="C401" i="6"/>
  <c r="C389" i="6"/>
  <c r="C377" i="6"/>
  <c r="C365" i="6"/>
  <c r="C353" i="6"/>
  <c r="C328" i="6"/>
  <c r="C316" i="6"/>
  <c r="C292" i="6"/>
  <c r="C280" i="6"/>
  <c r="C256" i="6"/>
  <c r="C244" i="6"/>
  <c r="C220" i="6"/>
  <c r="C207" i="6"/>
  <c r="C195" i="6"/>
  <c r="C183" i="6"/>
  <c r="C171" i="6"/>
  <c r="C159" i="6"/>
  <c r="C147" i="6"/>
  <c r="C135" i="6"/>
  <c r="C123" i="6"/>
  <c r="C98" i="6"/>
  <c r="C86" i="6"/>
  <c r="C74" i="6"/>
  <c r="C62" i="6"/>
  <c r="C50" i="6"/>
  <c r="C38" i="6"/>
  <c r="C26" i="6"/>
  <c r="C2011" i="6"/>
  <c r="C1986" i="6"/>
  <c r="C1974" i="6"/>
  <c r="C1962" i="6"/>
  <c r="C1950" i="6"/>
  <c r="C1938" i="6"/>
  <c r="C1926" i="6"/>
  <c r="C1914" i="6"/>
  <c r="C1902" i="6"/>
  <c r="C1890" i="6"/>
  <c r="C1781" i="6"/>
  <c r="C1768" i="6"/>
  <c r="C1756" i="6"/>
  <c r="C1744" i="6"/>
  <c r="C1732" i="6"/>
  <c r="C1720" i="6"/>
  <c r="C1708" i="6"/>
  <c r="C1696" i="6"/>
  <c r="C1684" i="6"/>
  <c r="C1672" i="6"/>
  <c r="C1623" i="6"/>
  <c r="C1587" i="6"/>
  <c r="C1550" i="6"/>
  <c r="C1538" i="6"/>
  <c r="C1526" i="6"/>
  <c r="C1514" i="6"/>
  <c r="C1502" i="6"/>
  <c r="C1490" i="6"/>
  <c r="C1478" i="6"/>
  <c r="C1466" i="6"/>
  <c r="C1454" i="6"/>
  <c r="C1442" i="6"/>
  <c r="C1405" i="6"/>
  <c r="C1393" i="6"/>
  <c r="C1381" i="6"/>
  <c r="C1369" i="6"/>
  <c r="C1357" i="6"/>
  <c r="C1345" i="6"/>
  <c r="C1333" i="6"/>
  <c r="C1320" i="6"/>
  <c r="C1296" i="6"/>
  <c r="C1284" i="6"/>
  <c r="C1272" i="6"/>
  <c r="C1260" i="6"/>
  <c r="C1248" i="6"/>
  <c r="C1236" i="6"/>
  <c r="C1224" i="6"/>
  <c r="C1211" i="6"/>
  <c r="C1199" i="6"/>
  <c r="C1187" i="6"/>
  <c r="C1175" i="6"/>
  <c r="C1163" i="6"/>
  <c r="C1151" i="6"/>
  <c r="C1139" i="6"/>
  <c r="C1127" i="6"/>
  <c r="C1115" i="6"/>
  <c r="C1102" i="6"/>
  <c r="C1090" i="6"/>
  <c r="C1078" i="6"/>
  <c r="C1066" i="6"/>
  <c r="C1054" i="6"/>
  <c r="C1042" i="6"/>
  <c r="C1030" i="6"/>
  <c r="C1018" i="6"/>
  <c r="C1006" i="6"/>
  <c r="C993" i="6"/>
  <c r="C981" i="6"/>
  <c r="C969" i="6"/>
  <c r="C957" i="6"/>
  <c r="C945" i="6"/>
  <c r="C933" i="6"/>
  <c r="C921" i="6"/>
  <c r="C909" i="6"/>
  <c r="C897" i="6"/>
  <c r="C884" i="6"/>
  <c r="C872" i="6"/>
  <c r="C860" i="6"/>
  <c r="C848" i="6"/>
  <c r="C836" i="6"/>
  <c r="C824" i="6"/>
  <c r="C812" i="6"/>
  <c r="C800" i="6"/>
  <c r="C788" i="6"/>
  <c r="C776" i="6"/>
  <c r="C763" i="6"/>
  <c r="C751" i="6"/>
  <c r="C739" i="6"/>
  <c r="C727" i="6"/>
  <c r="C715" i="6"/>
  <c r="C703" i="6"/>
  <c r="C691" i="6"/>
  <c r="C679" i="6"/>
  <c r="C667" i="6"/>
  <c r="C654" i="6"/>
  <c r="C630" i="6"/>
  <c r="C618" i="6"/>
  <c r="C606" i="6"/>
  <c r="C594" i="6"/>
  <c r="C582" i="6"/>
  <c r="C570" i="6"/>
  <c r="C558" i="6"/>
  <c r="C545" i="6"/>
  <c r="C533" i="6"/>
  <c r="C521" i="6"/>
  <c r="C509" i="6"/>
  <c r="C497" i="6"/>
  <c r="C485" i="6"/>
  <c r="C473" i="6"/>
  <c r="C461" i="6"/>
  <c r="C449" i="6"/>
  <c r="C436" i="6"/>
  <c r="C424" i="6"/>
  <c r="C412" i="6"/>
  <c r="C400" i="6"/>
  <c r="C388" i="6"/>
  <c r="C376" i="6"/>
  <c r="C364" i="6"/>
  <c r="C352" i="6"/>
  <c r="C340" i="6"/>
  <c r="C327" i="6"/>
  <c r="C315" i="6"/>
  <c r="C303" i="6"/>
  <c r="C291" i="6"/>
  <c r="C279" i="6"/>
  <c r="C267" i="6"/>
  <c r="C255" i="6"/>
  <c r="C243" i="6"/>
  <c r="C231" i="6"/>
  <c r="C218" i="6"/>
  <c r="C206" i="6"/>
  <c r="C194" i="6"/>
  <c r="C182" i="6"/>
  <c r="C170" i="6"/>
  <c r="C158" i="6"/>
  <c r="C146" i="6"/>
  <c r="C67" i="6"/>
  <c r="C55" i="6"/>
  <c r="C43" i="6"/>
  <c r="C31" i="6"/>
  <c r="C19" i="6"/>
  <c r="C7" i="6"/>
  <c r="C30" i="6"/>
  <c r="C18" i="6"/>
  <c r="C6" i="6"/>
  <c r="C134" i="6"/>
  <c r="C122" i="6"/>
  <c r="C110" i="6"/>
  <c r="C85" i="6"/>
  <c r="C73" i="6"/>
  <c r="C61" i="6"/>
  <c r="C37" i="6"/>
  <c r="C25" i="6"/>
  <c r="C13" i="6"/>
  <c r="C8" i="6"/>
  <c r="C14" i="6"/>
  <c r="C12" i="6"/>
  <c r="C879" i="6"/>
  <c r="C1386" i="6"/>
  <c r="C1611" i="6"/>
  <c r="C1575" i="6"/>
  <c r="C1803" i="6"/>
  <c r="C1659" i="6"/>
  <c r="C1991" i="6"/>
  <c r="C1979" i="6"/>
  <c r="C1967" i="6"/>
  <c r="C1955" i="6"/>
  <c r="C1943" i="6"/>
  <c r="C1931" i="6"/>
  <c r="C1919" i="6"/>
  <c r="C1907" i="6"/>
  <c r="C1895" i="6"/>
  <c r="C1249" i="6"/>
  <c r="C1627" i="6"/>
  <c r="C1626" i="6"/>
  <c r="C1566" i="6"/>
  <c r="C1722" i="6"/>
  <c r="C1755" i="6"/>
  <c r="C680" i="6"/>
  <c r="C2024" i="6"/>
  <c r="C2000" i="6"/>
  <c r="C1987" i="6"/>
  <c r="C1673" i="6"/>
  <c r="C1539" i="6"/>
  <c r="C1527" i="6"/>
  <c r="C341" i="6"/>
  <c r="C304" i="6"/>
  <c r="C268" i="6"/>
  <c r="C232" i="6"/>
  <c r="C1731" i="6"/>
  <c r="C2022" i="6"/>
  <c r="C2010" i="6"/>
  <c r="C1961" i="6"/>
  <c r="C1707" i="6"/>
  <c r="C1994" i="6"/>
  <c r="C1982" i="6"/>
  <c r="C1970" i="6"/>
  <c r="C1958" i="6"/>
  <c r="C1946" i="6"/>
  <c r="C1934" i="6"/>
  <c r="C1922" i="6"/>
  <c r="C1910" i="6"/>
  <c r="C1898" i="6"/>
  <c r="C1886" i="6"/>
  <c r="C1873" i="6"/>
  <c r="C1861" i="6"/>
  <c r="C1849" i="6"/>
  <c r="C1837" i="6"/>
  <c r="C1825" i="6"/>
  <c r="C1813" i="6"/>
  <c r="C1801" i="6"/>
  <c r="C1789" i="6"/>
  <c r="C1777" i="6"/>
  <c r="C1683" i="6"/>
  <c r="C2030" i="6"/>
  <c r="C2018" i="6"/>
  <c r="C2006" i="6"/>
  <c r="C1993" i="6"/>
  <c r="C2029" i="6"/>
  <c r="C2017" i="6"/>
  <c r="C2005" i="6"/>
  <c r="C1883" i="6"/>
  <c r="C1871" i="6"/>
  <c r="C1859" i="6"/>
  <c r="C1847" i="6"/>
  <c r="C1835" i="6"/>
  <c r="C1823" i="6"/>
  <c r="C97" i="6"/>
  <c r="C49" i="6"/>
  <c r="C1874" i="6"/>
  <c r="C1862" i="6"/>
  <c r="C1850" i="6"/>
  <c r="C1838" i="6"/>
  <c r="C1826" i="6"/>
  <c r="C1814" i="6"/>
  <c r="C1802" i="6"/>
  <c r="C1790" i="6"/>
  <c r="C1778" i="6"/>
  <c r="C1766" i="6"/>
  <c r="C1754" i="6"/>
  <c r="C1742" i="6"/>
  <c r="C1730" i="6"/>
  <c r="C1718" i="6"/>
  <c r="C193" i="6"/>
  <c r="C145" i="6"/>
  <c r="C1981" i="6"/>
  <c r="C1969" i="6"/>
  <c r="C1957" i="6"/>
  <c r="C1945" i="6"/>
  <c r="C1933" i="6"/>
  <c r="C1921" i="6"/>
  <c r="C1909" i="6"/>
  <c r="C1897" i="6"/>
  <c r="C1885" i="6"/>
  <c r="C1765" i="6"/>
  <c r="C1753" i="6"/>
  <c r="C1741" i="6"/>
  <c r="C1729" i="6"/>
  <c r="C1717" i="6"/>
  <c r="C1544" i="6"/>
  <c r="C289" i="6"/>
  <c r="C241" i="6"/>
  <c r="C517" i="6"/>
  <c r="C433" i="6"/>
  <c r="C385" i="6"/>
  <c r="C337" i="6"/>
  <c r="C1811" i="6"/>
  <c r="C1799" i="6"/>
  <c r="C1787" i="6"/>
  <c r="C1775" i="6"/>
  <c r="C1763" i="6"/>
  <c r="C1751" i="6"/>
  <c r="C1739" i="6"/>
  <c r="C1727" i="6"/>
  <c r="C1715" i="6"/>
  <c r="C661" i="6"/>
  <c r="C481" i="6"/>
  <c r="C625" i="6"/>
  <c r="C589" i="6"/>
  <c r="C1375" i="6"/>
  <c r="C769" i="6"/>
  <c r="C733" i="6"/>
  <c r="C1376" i="6"/>
  <c r="C553" i="6"/>
  <c r="C986" i="6"/>
  <c r="C962" i="6"/>
  <c r="C938" i="6"/>
  <c r="C829" i="6"/>
  <c r="C697" i="6"/>
  <c r="D331" i="1"/>
  <c r="D343" i="1"/>
  <c r="D355" i="1"/>
  <c r="D323" i="1"/>
  <c r="D278" i="1"/>
  <c r="D290" i="1"/>
  <c r="D267" i="1"/>
  <c r="D257" i="1"/>
  <c r="D102" i="1"/>
  <c r="D114" i="1"/>
  <c r="D126" i="1"/>
  <c r="D138" i="1"/>
  <c r="D150" i="1"/>
  <c r="D162" i="1"/>
  <c r="D174" i="1"/>
  <c r="D186" i="1"/>
  <c r="D198" i="1"/>
  <c r="D210" i="1"/>
  <c r="D222" i="1"/>
  <c r="D234" i="1"/>
  <c r="D246" i="1"/>
  <c r="D12" i="1"/>
  <c r="D24" i="1"/>
  <c r="D36" i="1"/>
  <c r="D48" i="1"/>
  <c r="D60" i="1"/>
  <c r="D72" i="1"/>
  <c r="D84" i="1"/>
  <c r="D96" i="1"/>
  <c r="D315" i="1"/>
  <c r="D332" i="1"/>
  <c r="D305" i="1"/>
  <c r="D291" i="1"/>
  <c r="D258" i="1"/>
  <c r="D115" i="1"/>
  <c r="D139" i="1"/>
  <c r="D163" i="1"/>
  <c r="D187" i="1"/>
  <c r="D223" i="1"/>
  <c r="D247" i="1"/>
  <c r="D37" i="1"/>
  <c r="D73" i="1"/>
  <c r="D316" i="1"/>
  <c r="D356" i="1"/>
  <c r="D151" i="1"/>
  <c r="D211" i="1"/>
  <c r="D13" i="1"/>
  <c r="D49" i="1"/>
  <c r="D85" i="1"/>
  <c r="D333" i="1"/>
  <c r="D345" i="1"/>
  <c r="D357" i="1"/>
  <c r="D301" i="1"/>
  <c r="D280" i="1"/>
  <c r="D292" i="1"/>
  <c r="D269" i="1"/>
  <c r="D259" i="1"/>
  <c r="D104" i="1"/>
  <c r="D116" i="1"/>
  <c r="D128" i="1"/>
  <c r="D140" i="1"/>
  <c r="D152" i="1"/>
  <c r="D164" i="1"/>
  <c r="D176" i="1"/>
  <c r="D188" i="1"/>
  <c r="D200" i="1"/>
  <c r="D212" i="1"/>
  <c r="D224" i="1"/>
  <c r="D236" i="1"/>
  <c r="D248" i="1"/>
  <c r="D14" i="1"/>
  <c r="D26" i="1"/>
  <c r="D38" i="1"/>
  <c r="D50" i="1"/>
  <c r="D62" i="1"/>
  <c r="D74" i="1"/>
  <c r="D86" i="1"/>
  <c r="D320" i="1"/>
  <c r="D317" i="1"/>
  <c r="D328" i="1"/>
  <c r="D275" i="1"/>
  <c r="D254" i="1"/>
  <c r="D123" i="1"/>
  <c r="D147" i="1"/>
  <c r="D183" i="1"/>
  <c r="D207" i="1"/>
  <c r="D9" i="1"/>
  <c r="D45" i="1"/>
  <c r="D93" i="1"/>
  <c r="D334" i="1"/>
  <c r="D346" i="1"/>
  <c r="D358" i="1"/>
  <c r="D302" i="1"/>
  <c r="D281" i="1"/>
  <c r="D293" i="1"/>
  <c r="D270" i="1"/>
  <c r="D260" i="1"/>
  <c r="D105" i="1"/>
  <c r="D117" i="1"/>
  <c r="D129" i="1"/>
  <c r="D141" i="1"/>
  <c r="D153" i="1"/>
  <c r="D165" i="1"/>
  <c r="D177" i="1"/>
  <c r="D189" i="1"/>
  <c r="D201" i="1"/>
  <c r="D213" i="1"/>
  <c r="D225" i="1"/>
  <c r="D237" i="1"/>
  <c r="D249" i="1"/>
  <c r="D15" i="1"/>
  <c r="D27" i="1"/>
  <c r="D39" i="1"/>
  <c r="D51" i="1"/>
  <c r="D63" i="1"/>
  <c r="D75" i="1"/>
  <c r="D87" i="1"/>
  <c r="D306" i="1"/>
  <c r="D318" i="1"/>
  <c r="D352" i="1"/>
  <c r="D231" i="1"/>
  <c r="D57" i="1"/>
  <c r="D312" i="1"/>
  <c r="D367" i="1"/>
  <c r="D335" i="1"/>
  <c r="D347" i="1"/>
  <c r="D359" i="1"/>
  <c r="D303" i="1"/>
  <c r="D282" i="1"/>
  <c r="D294" i="1"/>
  <c r="D271" i="1"/>
  <c r="D261" i="1"/>
  <c r="D106" i="1"/>
  <c r="D118" i="1"/>
  <c r="D130" i="1"/>
  <c r="D142" i="1"/>
  <c r="D154" i="1"/>
  <c r="D166" i="1"/>
  <c r="D178" i="1"/>
  <c r="D190" i="1"/>
  <c r="D202" i="1"/>
  <c r="D214" i="1"/>
  <c r="D226" i="1"/>
  <c r="D238" i="1"/>
  <c r="D97" i="1"/>
  <c r="D16" i="1"/>
  <c r="D28" i="1"/>
  <c r="D40" i="1"/>
  <c r="D52" i="1"/>
  <c r="D64" i="1"/>
  <c r="D76" i="1"/>
  <c r="D88" i="1"/>
  <c r="D307" i="1"/>
  <c r="D319" i="1"/>
  <c r="D324" i="1"/>
  <c r="D336" i="1"/>
  <c r="D348" i="1"/>
  <c r="D360" i="1"/>
  <c r="D304" i="1"/>
  <c r="D283" i="1"/>
  <c r="D295" i="1"/>
  <c r="D265" i="1"/>
  <c r="D262" i="1"/>
  <c r="D107" i="1"/>
  <c r="D119" i="1"/>
  <c r="D131" i="1"/>
  <c r="D143" i="1"/>
  <c r="D155" i="1"/>
  <c r="D167" i="1"/>
  <c r="D179" i="1"/>
  <c r="D191" i="1"/>
  <c r="D203" i="1"/>
  <c r="D215" i="1"/>
  <c r="D227" i="1"/>
  <c r="D239" i="1"/>
  <c r="D98" i="1"/>
  <c r="D17" i="1"/>
  <c r="D29" i="1"/>
  <c r="D41" i="1"/>
  <c r="D53" i="1"/>
  <c r="D65" i="1"/>
  <c r="D77" i="1"/>
  <c r="D89" i="1"/>
  <c r="D308" i="1"/>
  <c r="D321" i="1"/>
  <c r="D340" i="1"/>
  <c r="D287" i="1"/>
  <c r="D299" i="1"/>
  <c r="D99" i="1"/>
  <c r="D135" i="1"/>
  <c r="D171" i="1"/>
  <c r="D195" i="1"/>
  <c r="D243" i="1"/>
  <c r="D33" i="1"/>
  <c r="D81" i="1"/>
  <c r="D325" i="1"/>
  <c r="D337" i="1"/>
  <c r="D349" i="1"/>
  <c r="D361" i="1"/>
  <c r="D300" i="1"/>
  <c r="D284" i="1"/>
  <c r="D296" i="1"/>
  <c r="D251" i="1"/>
  <c r="D263" i="1"/>
  <c r="D108" i="1"/>
  <c r="D120" i="1"/>
  <c r="D132" i="1"/>
  <c r="D144" i="1"/>
  <c r="D156" i="1"/>
  <c r="D168" i="1"/>
  <c r="D180" i="1"/>
  <c r="D192" i="1"/>
  <c r="D204" i="1"/>
  <c r="D216" i="1"/>
  <c r="D228" i="1"/>
  <c r="D240" i="1"/>
  <c r="D6" i="1"/>
  <c r="D18" i="1"/>
  <c r="D30" i="1"/>
  <c r="D42" i="1"/>
  <c r="D54" i="1"/>
  <c r="D66" i="1"/>
  <c r="D78" i="1"/>
  <c r="D90" i="1"/>
  <c r="D309" i="1"/>
  <c r="D322" i="1"/>
  <c r="D364" i="1"/>
  <c r="D111" i="1"/>
  <c r="D159" i="1"/>
  <c r="D219" i="1"/>
  <c r="D21" i="1"/>
  <c r="D69" i="1"/>
  <c r="D326" i="1"/>
  <c r="D338" i="1"/>
  <c r="D350" i="1"/>
  <c r="D362" i="1"/>
  <c r="D273" i="1"/>
  <c r="D285" i="1"/>
  <c r="D297" i="1"/>
  <c r="D252" i="1"/>
  <c r="D264" i="1"/>
  <c r="D109" i="1"/>
  <c r="D121" i="1"/>
  <c r="D133" i="1"/>
  <c r="D145" i="1"/>
  <c r="D157" i="1"/>
  <c r="D169" i="1"/>
  <c r="D181" i="1"/>
  <c r="D193" i="1"/>
  <c r="D205" i="1"/>
  <c r="D217" i="1"/>
  <c r="D229" i="1"/>
  <c r="D241" i="1"/>
  <c r="D7" i="1"/>
  <c r="D19" i="1"/>
  <c r="D31" i="1"/>
  <c r="D43" i="1"/>
  <c r="D55" i="1"/>
  <c r="D67" i="1"/>
  <c r="D79" i="1"/>
  <c r="D91" i="1"/>
  <c r="D310" i="1"/>
  <c r="D327" i="1"/>
  <c r="D339" i="1"/>
  <c r="D351" i="1"/>
  <c r="D363" i="1"/>
  <c r="D274" i="1"/>
  <c r="D286" i="1"/>
  <c r="D298" i="1"/>
  <c r="D253" i="1"/>
  <c r="D250" i="1"/>
  <c r="D110" i="1"/>
  <c r="D122" i="1"/>
  <c r="D134" i="1"/>
  <c r="D146" i="1"/>
  <c r="D158" i="1"/>
  <c r="D170" i="1"/>
  <c r="D182" i="1"/>
  <c r="D194" i="1"/>
  <c r="D206" i="1"/>
  <c r="D218" i="1"/>
  <c r="D230" i="1"/>
  <c r="D242" i="1"/>
  <c r="D8" i="1"/>
  <c r="D20" i="1"/>
  <c r="D32" i="1"/>
  <c r="D44" i="1"/>
  <c r="D56" i="1"/>
  <c r="D68" i="1"/>
  <c r="D80" i="1"/>
  <c r="D92" i="1"/>
  <c r="D311" i="1"/>
  <c r="D329" i="1"/>
  <c r="D341" i="1"/>
  <c r="D353" i="1"/>
  <c r="D365" i="1"/>
  <c r="D276" i="1"/>
  <c r="D288" i="1"/>
  <c r="D272" i="1"/>
  <c r="D255" i="1"/>
  <c r="D100" i="1"/>
  <c r="D112" i="1"/>
  <c r="D124" i="1"/>
  <c r="D136" i="1"/>
  <c r="D148" i="1"/>
  <c r="D160" i="1"/>
  <c r="D172" i="1"/>
  <c r="D184" i="1"/>
  <c r="D196" i="1"/>
  <c r="D208" i="1"/>
  <c r="D220" i="1"/>
  <c r="D232" i="1"/>
  <c r="D244" i="1"/>
  <c r="D10" i="1"/>
  <c r="D22" i="1"/>
  <c r="D34" i="1"/>
  <c r="D46" i="1"/>
  <c r="D58" i="1"/>
  <c r="D70" i="1"/>
  <c r="D82" i="1"/>
  <c r="D94" i="1"/>
  <c r="D313" i="1"/>
  <c r="D344" i="1"/>
  <c r="D279" i="1"/>
  <c r="D268" i="1"/>
  <c r="D103" i="1"/>
  <c r="D127" i="1"/>
  <c r="D175" i="1"/>
  <c r="D199" i="1"/>
  <c r="D235" i="1"/>
  <c r="D25" i="1"/>
  <c r="D61" i="1"/>
  <c r="D5" i="1"/>
  <c r="D330" i="1"/>
  <c r="D342" i="1"/>
  <c r="D354" i="1"/>
  <c r="D366" i="1"/>
  <c r="D277" i="1"/>
  <c r="D289" i="1"/>
  <c r="D266" i="1"/>
  <c r="D256" i="1"/>
  <c r="D101" i="1"/>
  <c r="D113" i="1"/>
  <c r="D125" i="1"/>
  <c r="D137" i="1"/>
  <c r="D149" i="1"/>
  <c r="D161" i="1"/>
  <c r="D173" i="1"/>
  <c r="D185" i="1"/>
  <c r="D197" i="1"/>
  <c r="D209" i="1"/>
  <c r="D221" i="1"/>
  <c r="D233" i="1"/>
  <c r="D245" i="1"/>
  <c r="D11" i="1"/>
  <c r="D23" i="1"/>
  <c r="D35" i="1"/>
  <c r="D47" i="1"/>
  <c r="D59" i="1"/>
  <c r="D71" i="1"/>
  <c r="D83" i="1"/>
  <c r="D95" i="1"/>
  <c r="D314" i="1"/>
  <c r="D1395" i="6"/>
  <c r="E1395" i="6" s="1"/>
  <c r="D1850" i="6"/>
  <c r="E1850" i="6" s="1"/>
  <c r="D4" i="6"/>
  <c r="E4" i="6" s="1"/>
  <c r="D1801" i="6"/>
  <c r="E1801" i="6" s="1"/>
  <c r="D829" i="6"/>
  <c r="E829" i="6" s="1"/>
  <c r="D1738" i="6"/>
  <c r="E1738" i="6" s="1"/>
  <c r="D2021" i="6"/>
  <c r="E2021" i="6" s="1"/>
  <c r="D1737" i="6"/>
  <c r="E1737" i="6" s="1"/>
  <c r="D3" i="6"/>
  <c r="E3" i="6" s="1"/>
  <c r="D2020" i="6"/>
  <c r="E2020" i="6" s="1"/>
  <c r="D1650" i="6"/>
  <c r="E1650" i="6" s="1"/>
  <c r="D1978" i="6"/>
  <c r="E1978" i="6" s="1"/>
  <c r="D1546" i="6"/>
  <c r="E1546" i="6" s="1"/>
  <c r="D1893" i="6"/>
  <c r="E1893" i="6" s="1"/>
  <c r="D1545" i="6"/>
  <c r="E1545" i="6" s="1"/>
  <c r="D1892" i="6"/>
  <c r="E1892" i="6" s="1"/>
  <c r="D1396" i="6"/>
  <c r="E1396" i="6" s="1"/>
  <c r="D1768" i="6"/>
  <c r="E1768" i="6" s="1"/>
  <c r="D1752" i="6"/>
  <c r="E1752" i="6" s="1"/>
  <c r="D1728" i="6"/>
  <c r="E1728" i="6" s="1"/>
  <c r="D1704" i="6"/>
  <c r="E1704" i="6" s="1"/>
  <c r="D1664" i="6"/>
  <c r="E1664" i="6" s="1"/>
  <c r="D1480" i="6"/>
  <c r="E1480" i="6" s="1"/>
  <c r="D1424" i="6"/>
  <c r="E1424" i="6" s="1"/>
  <c r="D1360" i="6"/>
  <c r="E1360" i="6" s="1"/>
  <c r="D1264" i="6"/>
  <c r="E1264" i="6" s="1"/>
  <c r="D1056" i="6"/>
  <c r="E1056" i="6" s="1"/>
  <c r="D1008" i="6"/>
  <c r="E1008" i="6" s="1"/>
  <c r="D968" i="6"/>
  <c r="E968" i="6" s="1"/>
  <c r="D928" i="6"/>
  <c r="E928" i="6" s="1"/>
  <c r="D864" i="6"/>
  <c r="E864" i="6" s="1"/>
  <c r="D2007" i="6"/>
  <c r="E2007" i="6" s="1"/>
  <c r="D1975" i="6"/>
  <c r="E1975" i="6" s="1"/>
  <c r="D1951" i="6"/>
  <c r="E1951" i="6" s="1"/>
  <c r="D1927" i="6"/>
  <c r="E1927" i="6" s="1"/>
  <c r="D1911" i="6"/>
  <c r="E1911" i="6" s="1"/>
  <c r="D1895" i="6"/>
  <c r="E1895" i="6" s="1"/>
  <c r="D1855" i="6"/>
  <c r="E1855" i="6" s="1"/>
  <c r="D1839" i="6"/>
  <c r="E1839" i="6" s="1"/>
  <c r="D1655" i="6"/>
  <c r="E1655" i="6" s="1"/>
  <c r="D1599" i="6"/>
  <c r="E1599" i="6" s="1"/>
  <c r="D1495" i="6"/>
  <c r="E1495" i="6" s="1"/>
  <c r="D1239" i="6"/>
  <c r="E1239" i="6" s="1"/>
  <c r="D1223" i="6"/>
  <c r="E1223" i="6" s="1"/>
  <c r="D1199" i="6"/>
  <c r="E1199" i="6" s="1"/>
  <c r="D1175" i="6"/>
  <c r="E1175" i="6" s="1"/>
  <c r="D1151" i="6"/>
  <c r="E1151" i="6" s="1"/>
  <c r="D1127" i="6"/>
  <c r="E1127" i="6" s="1"/>
  <c r="D1103" i="6"/>
  <c r="E1103" i="6" s="1"/>
  <c r="D1071" i="6"/>
  <c r="E1071" i="6" s="1"/>
  <c r="D991" i="6"/>
  <c r="E991" i="6" s="1"/>
  <c r="D911" i="6"/>
  <c r="E911" i="6" s="1"/>
  <c r="D727" i="6"/>
  <c r="E727" i="6" s="1"/>
  <c r="D1087" i="6"/>
  <c r="E1087" i="6" s="1"/>
  <c r="D2030" i="6"/>
  <c r="E2030" i="6" s="1"/>
  <c r="D2022" i="6"/>
  <c r="E2022" i="6" s="1"/>
  <c r="D2006" i="6"/>
  <c r="E2006" i="6" s="1"/>
  <c r="D1998" i="6"/>
  <c r="E1998" i="6" s="1"/>
  <c r="D1990" i="6"/>
  <c r="E1990" i="6" s="1"/>
  <c r="D1982" i="6"/>
  <c r="E1982" i="6" s="1"/>
  <c r="D1974" i="6"/>
  <c r="E1974" i="6" s="1"/>
  <c r="D1966" i="6"/>
  <c r="E1966" i="6" s="1"/>
  <c r="D1958" i="6"/>
  <c r="E1958" i="6" s="1"/>
  <c r="D1942" i="6"/>
  <c r="E1942" i="6" s="1"/>
  <c r="D1934" i="6"/>
  <c r="E1934" i="6" s="1"/>
  <c r="D1926" i="6"/>
  <c r="E1926" i="6" s="1"/>
  <c r="D1918" i="6"/>
  <c r="E1918" i="6" s="1"/>
  <c r="D1910" i="6"/>
  <c r="E1910" i="6" s="1"/>
  <c r="D1902" i="6"/>
  <c r="E1902" i="6" s="1"/>
  <c r="D1886" i="6"/>
  <c r="E1886" i="6" s="1"/>
  <c r="D1878" i="6"/>
  <c r="E1878" i="6" s="1"/>
  <c r="D1870" i="6"/>
  <c r="E1870" i="6" s="1"/>
  <c r="D1862" i="6"/>
  <c r="E1862" i="6" s="1"/>
  <c r="D1854" i="6"/>
  <c r="E1854" i="6" s="1"/>
  <c r="D1846" i="6"/>
  <c r="E1846" i="6" s="1"/>
  <c r="D1838" i="6"/>
  <c r="E1838" i="6" s="1"/>
  <c r="D1822" i="6"/>
  <c r="E1822" i="6" s="1"/>
  <c r="D1814" i="6"/>
  <c r="E1814" i="6" s="1"/>
  <c r="D1798" i="6"/>
  <c r="E1798" i="6" s="1"/>
  <c r="D1790" i="6"/>
  <c r="E1790" i="6" s="1"/>
  <c r="D1782" i="6"/>
  <c r="E1782" i="6" s="1"/>
  <c r="D1766" i="6"/>
  <c r="E1766" i="6" s="1"/>
  <c r="D1758" i="6"/>
  <c r="E1758" i="6" s="1"/>
  <c r="D1750" i="6"/>
  <c r="E1750" i="6" s="1"/>
  <c r="D1742" i="6"/>
  <c r="E1742" i="6" s="1"/>
  <c r="D1734" i="6"/>
  <c r="E1734" i="6" s="1"/>
  <c r="D1726" i="6"/>
  <c r="E1726" i="6" s="1"/>
  <c r="D1718" i="6"/>
  <c r="E1718" i="6" s="1"/>
  <c r="D1710" i="6"/>
  <c r="E1710" i="6" s="1"/>
  <c r="D1702" i="6"/>
  <c r="E1702" i="6" s="1"/>
  <c r="D1694" i="6"/>
  <c r="E1694" i="6" s="1"/>
  <c r="D1678" i="6"/>
  <c r="E1678" i="6" s="1"/>
  <c r="D1670" i="6"/>
  <c r="E1670" i="6" s="1"/>
  <c r="D1662" i="6"/>
  <c r="E1662" i="6" s="1"/>
  <c r="D1654" i="6"/>
  <c r="E1654" i="6" s="1"/>
  <c r="D1646" i="6"/>
  <c r="E1646" i="6" s="1"/>
  <c r="D1638" i="6"/>
  <c r="E1638" i="6" s="1"/>
  <c r="D1622" i="6"/>
  <c r="E1622" i="6" s="1"/>
  <c r="D1614" i="6"/>
  <c r="E1614" i="6" s="1"/>
  <c r="D1606" i="6"/>
  <c r="E1606" i="6" s="1"/>
  <c r="D1598" i="6"/>
  <c r="E1598" i="6" s="1"/>
  <c r="D1590" i="6"/>
  <c r="E1590" i="6" s="1"/>
  <c r="D1574" i="6"/>
  <c r="E1574" i="6" s="1"/>
  <c r="D1566" i="6"/>
  <c r="E1566" i="6" s="1"/>
  <c r="D1558" i="6"/>
  <c r="E1558" i="6" s="1"/>
  <c r="D1550" i="6"/>
  <c r="E1550" i="6" s="1"/>
  <c r="D1542" i="6"/>
  <c r="E1542" i="6" s="1"/>
  <c r="D1534" i="6"/>
  <c r="E1534" i="6" s="1"/>
  <c r="D1526" i="6"/>
  <c r="E1526" i="6" s="1"/>
  <c r="D1510" i="6"/>
  <c r="E1510" i="6" s="1"/>
  <c r="D1502" i="6"/>
  <c r="E1502" i="6" s="1"/>
  <c r="D1494" i="6"/>
  <c r="E1494" i="6" s="1"/>
  <c r="D1486" i="6"/>
  <c r="E1486" i="6" s="1"/>
  <c r="D1478" i="6"/>
  <c r="E1478" i="6" s="1"/>
  <c r="D1470" i="6"/>
  <c r="E1470" i="6" s="1"/>
  <c r="D1454" i="6"/>
  <c r="E1454" i="6" s="1"/>
  <c r="D1438" i="6"/>
  <c r="E1438" i="6" s="1"/>
  <c r="D1430" i="6"/>
  <c r="E1430" i="6" s="1"/>
  <c r="D1422" i="6"/>
  <c r="E1422" i="6" s="1"/>
  <c r="D1414" i="6"/>
  <c r="E1414" i="6" s="1"/>
  <c r="D1406" i="6"/>
  <c r="E1406" i="6" s="1"/>
  <c r="D1398" i="6"/>
  <c r="E1398" i="6" s="1"/>
  <c r="D1390" i="6"/>
  <c r="E1390" i="6" s="1"/>
  <c r="D1382" i="6"/>
  <c r="E1382" i="6" s="1"/>
  <c r="D1374" i="6"/>
  <c r="E1374" i="6" s="1"/>
  <c r="D1366" i="6"/>
  <c r="E1366" i="6" s="1"/>
  <c r="D1358" i="6"/>
  <c r="E1358" i="6" s="1"/>
  <c r="D1350" i="6"/>
  <c r="E1350" i="6" s="1"/>
  <c r="D1342" i="6"/>
  <c r="E1342" i="6" s="1"/>
  <c r="D1334" i="6"/>
  <c r="E1334" i="6" s="1"/>
  <c r="D1326" i="6"/>
  <c r="E1326" i="6" s="1"/>
  <c r="D1318" i="6"/>
  <c r="E1318" i="6" s="1"/>
  <c r="D1310" i="6"/>
  <c r="E1310" i="6" s="1"/>
  <c r="D1302" i="6"/>
  <c r="E1302" i="6" s="1"/>
  <c r="D1294" i="6"/>
  <c r="E1294" i="6" s="1"/>
  <c r="D1286" i="6"/>
  <c r="E1286" i="6" s="1"/>
  <c r="D1270" i="6"/>
  <c r="E1270" i="6" s="1"/>
  <c r="D1262" i="6"/>
  <c r="E1262" i="6" s="1"/>
  <c r="D1254" i="6"/>
  <c r="E1254" i="6" s="1"/>
  <c r="D1246" i="6"/>
  <c r="E1246" i="6" s="1"/>
  <c r="D1238" i="6"/>
  <c r="E1238" i="6" s="1"/>
  <c r="D1230" i="6"/>
  <c r="E1230" i="6" s="1"/>
  <c r="D1222" i="6"/>
  <c r="E1222" i="6" s="1"/>
  <c r="D1214" i="6"/>
  <c r="E1214" i="6" s="1"/>
  <c r="D1206" i="6"/>
  <c r="E1206" i="6" s="1"/>
  <c r="D1198" i="6"/>
  <c r="E1198" i="6" s="1"/>
  <c r="D1190" i="6"/>
  <c r="E1190" i="6" s="1"/>
  <c r="D1182" i="6"/>
  <c r="E1182" i="6" s="1"/>
  <c r="D1174" i="6"/>
  <c r="E1174" i="6" s="1"/>
  <c r="D1166" i="6"/>
  <c r="E1166" i="6" s="1"/>
  <c r="D1158" i="6"/>
  <c r="E1158" i="6" s="1"/>
  <c r="D1150" i="6"/>
  <c r="E1150" i="6" s="1"/>
  <c r="D1142" i="6"/>
  <c r="E1142" i="6" s="1"/>
  <c r="D1134" i="6"/>
  <c r="E1134" i="6" s="1"/>
  <c r="D1126" i="6"/>
  <c r="E1126" i="6" s="1"/>
  <c r="D1118" i="6"/>
  <c r="E1118" i="6" s="1"/>
  <c r="D1110" i="6"/>
  <c r="E1110" i="6" s="1"/>
  <c r="D1102" i="6"/>
  <c r="E1102" i="6" s="1"/>
  <c r="D1094" i="6"/>
  <c r="E1094" i="6" s="1"/>
  <c r="D1086" i="6"/>
  <c r="E1086" i="6" s="1"/>
  <c r="D1078" i="6"/>
  <c r="E1078" i="6" s="1"/>
  <c r="D1070" i="6"/>
  <c r="E1070" i="6" s="1"/>
  <c r="D1062" i="6"/>
  <c r="E1062" i="6" s="1"/>
  <c r="D1054" i="6"/>
  <c r="E1054" i="6" s="1"/>
  <c r="D1046" i="6"/>
  <c r="E1046" i="6" s="1"/>
  <c r="D1038" i="6"/>
  <c r="E1038" i="6" s="1"/>
  <c r="D1030" i="6"/>
  <c r="E1030" i="6" s="1"/>
  <c r="D1022" i="6"/>
  <c r="E1022" i="6" s="1"/>
  <c r="D1014" i="6"/>
  <c r="E1014" i="6" s="1"/>
  <c r="D1006" i="6"/>
  <c r="E1006" i="6" s="1"/>
  <c r="D998" i="6"/>
  <c r="E998" i="6" s="1"/>
  <c r="D990" i="6"/>
  <c r="E990" i="6" s="1"/>
  <c r="D982" i="6"/>
  <c r="E982" i="6" s="1"/>
  <c r="D974" i="6"/>
  <c r="E974" i="6" s="1"/>
  <c r="D958" i="6"/>
  <c r="E958" i="6" s="1"/>
  <c r="D950" i="6"/>
  <c r="E950" i="6" s="1"/>
  <c r="D942" i="6"/>
  <c r="E942" i="6" s="1"/>
  <c r="D934" i="6"/>
  <c r="E934" i="6" s="1"/>
  <c r="D926" i="6"/>
  <c r="E926" i="6" s="1"/>
  <c r="D918" i="6"/>
  <c r="E918" i="6" s="1"/>
  <c r="D910" i="6"/>
  <c r="E910" i="6" s="1"/>
  <c r="D902" i="6"/>
  <c r="E902" i="6" s="1"/>
  <c r="D894" i="6"/>
  <c r="E894" i="6" s="1"/>
  <c r="D886" i="6"/>
  <c r="E886" i="6" s="1"/>
  <c r="D878" i="6"/>
  <c r="E878" i="6" s="1"/>
  <c r="D870" i="6"/>
  <c r="E870" i="6" s="1"/>
  <c r="D862" i="6"/>
  <c r="E862" i="6" s="1"/>
  <c r="D854" i="6"/>
  <c r="E854" i="6" s="1"/>
  <c r="D846" i="6"/>
  <c r="E846" i="6" s="1"/>
  <c r="D838" i="6"/>
  <c r="E838" i="6" s="1"/>
  <c r="D830" i="6"/>
  <c r="E830" i="6" s="1"/>
  <c r="D822" i="6"/>
  <c r="E822" i="6" s="1"/>
  <c r="D814" i="6"/>
  <c r="E814" i="6" s="1"/>
  <c r="D806" i="6"/>
  <c r="E806" i="6" s="1"/>
  <c r="D798" i="6"/>
  <c r="E798" i="6" s="1"/>
  <c r="D790" i="6"/>
  <c r="E790" i="6" s="1"/>
  <c r="D782" i="6"/>
  <c r="E782" i="6" s="1"/>
  <c r="D774" i="6"/>
  <c r="E774" i="6" s="1"/>
  <c r="D766" i="6"/>
  <c r="E766" i="6" s="1"/>
  <c r="D758" i="6"/>
  <c r="E758" i="6" s="1"/>
  <c r="D750" i="6"/>
  <c r="E750" i="6" s="1"/>
  <c r="D742" i="6"/>
  <c r="E742" i="6" s="1"/>
  <c r="D734" i="6"/>
  <c r="E734" i="6" s="1"/>
  <c r="D726" i="6"/>
  <c r="E726" i="6" s="1"/>
  <c r="D710" i="6"/>
  <c r="E710" i="6" s="1"/>
  <c r="D702" i="6"/>
  <c r="E702" i="6" s="1"/>
  <c r="D694" i="6"/>
  <c r="E694" i="6" s="1"/>
  <c r="D686" i="6"/>
  <c r="E686" i="6" s="1"/>
  <c r="D678" i="6"/>
  <c r="E678" i="6" s="1"/>
  <c r="D670" i="6"/>
  <c r="E670" i="6" s="1"/>
  <c r="D662" i="6"/>
  <c r="E662" i="6" s="1"/>
  <c r="D654" i="6"/>
  <c r="E654" i="6" s="1"/>
  <c r="D646" i="6"/>
  <c r="E646" i="6" s="1"/>
  <c r="D638" i="6"/>
  <c r="E638" i="6" s="1"/>
  <c r="D630" i="6"/>
  <c r="E630" i="6" s="1"/>
  <c r="D622" i="6"/>
  <c r="E622" i="6" s="1"/>
  <c r="D614" i="6"/>
  <c r="E614" i="6" s="1"/>
  <c r="D606" i="6"/>
  <c r="E606" i="6" s="1"/>
  <c r="D598" i="6"/>
  <c r="E598" i="6" s="1"/>
  <c r="D590" i="6"/>
  <c r="E590" i="6" s="1"/>
  <c r="D582" i="6"/>
  <c r="E582" i="6" s="1"/>
  <c r="D574" i="6"/>
  <c r="E574" i="6" s="1"/>
  <c r="D566" i="6"/>
  <c r="E566" i="6" s="1"/>
  <c r="D558" i="6"/>
  <c r="E558" i="6" s="1"/>
  <c r="D550" i="6"/>
  <c r="E550" i="6" s="1"/>
  <c r="D542" i="6"/>
  <c r="E542" i="6" s="1"/>
  <c r="D526" i="6"/>
  <c r="E526" i="6" s="1"/>
  <c r="D518" i="6"/>
  <c r="E518" i="6" s="1"/>
  <c r="D510" i="6"/>
  <c r="E510" i="6" s="1"/>
  <c r="D502" i="6"/>
  <c r="E502" i="6" s="1"/>
  <c r="D494" i="6"/>
  <c r="E494" i="6" s="1"/>
  <c r="D486" i="6"/>
  <c r="E486" i="6" s="1"/>
  <c r="D478" i="6"/>
  <c r="E478" i="6" s="1"/>
  <c r="D470" i="6"/>
  <c r="E470" i="6" s="1"/>
  <c r="D462" i="6"/>
  <c r="E462" i="6" s="1"/>
  <c r="D454" i="6"/>
  <c r="E454" i="6" s="1"/>
  <c r="D446" i="6"/>
  <c r="E446" i="6" s="1"/>
  <c r="D438" i="6"/>
  <c r="E438" i="6" s="1"/>
  <c r="D430" i="6"/>
  <c r="E430" i="6" s="1"/>
  <c r="D422" i="6"/>
  <c r="E422" i="6" s="1"/>
  <c r="D414" i="6"/>
  <c r="E414" i="6" s="1"/>
  <c r="D406" i="6"/>
  <c r="E406" i="6" s="1"/>
  <c r="D398" i="6"/>
  <c r="E398" i="6" s="1"/>
  <c r="D390" i="6"/>
  <c r="E390" i="6" s="1"/>
  <c r="D382" i="6"/>
  <c r="E382" i="6" s="1"/>
  <c r="D374" i="6"/>
  <c r="E374" i="6" s="1"/>
  <c r="D366" i="6"/>
  <c r="E366" i="6" s="1"/>
  <c r="D358" i="6"/>
  <c r="E358" i="6" s="1"/>
  <c r="D350" i="6"/>
  <c r="E350" i="6" s="1"/>
  <c r="D2010" i="6"/>
  <c r="E2010" i="6" s="1"/>
  <c r="D1968" i="6"/>
  <c r="E1968" i="6" s="1"/>
  <c r="D1925" i="6"/>
  <c r="E1925" i="6" s="1"/>
  <c r="D1882" i="6"/>
  <c r="E1882" i="6" s="1"/>
  <c r="D1840" i="6"/>
  <c r="E1840" i="6" s="1"/>
  <c r="D1788" i="6"/>
  <c r="E1788" i="6" s="1"/>
  <c r="D1720" i="6"/>
  <c r="E1720" i="6" s="1"/>
  <c r="D1633" i="6"/>
  <c r="E1633" i="6" s="1"/>
  <c r="D1514" i="6"/>
  <c r="E1514" i="6" s="1"/>
  <c r="D1346" i="6"/>
  <c r="E1346" i="6" s="1"/>
  <c r="D971" i="6"/>
  <c r="E971" i="6" s="1"/>
  <c r="D1976" i="6"/>
  <c r="E1976" i="6" s="1"/>
  <c r="D1952" i="6"/>
  <c r="E1952" i="6" s="1"/>
  <c r="D1912" i="6"/>
  <c r="E1912" i="6" s="1"/>
  <c r="D1824" i="6"/>
  <c r="E1824" i="6" s="1"/>
  <c r="D1816" i="6"/>
  <c r="E1816" i="6" s="1"/>
  <c r="D1808" i="6"/>
  <c r="E1808" i="6" s="1"/>
  <c r="D1784" i="6"/>
  <c r="E1784" i="6" s="1"/>
  <c r="D1688" i="6"/>
  <c r="E1688" i="6" s="1"/>
  <c r="D1680" i="6"/>
  <c r="E1680" i="6" s="1"/>
  <c r="D1672" i="6"/>
  <c r="E1672" i="6" s="1"/>
  <c r="D1624" i="6"/>
  <c r="E1624" i="6" s="1"/>
  <c r="D1368" i="6"/>
  <c r="E1368" i="6" s="1"/>
  <c r="D1200" i="6"/>
  <c r="E1200" i="6" s="1"/>
  <c r="D1656" i="6"/>
  <c r="E1656" i="6" s="1"/>
  <c r="D1088" i="6"/>
  <c r="E1088" i="6" s="1"/>
  <c r="D2015" i="6"/>
  <c r="E2015" i="6" s="1"/>
  <c r="D1991" i="6"/>
  <c r="E1991" i="6" s="1"/>
  <c r="D1815" i="6"/>
  <c r="E1815" i="6" s="1"/>
  <c r="D1807" i="6"/>
  <c r="E1807" i="6" s="1"/>
  <c r="D1799" i="6"/>
  <c r="E1799" i="6" s="1"/>
  <c r="D1759" i="6"/>
  <c r="E1759" i="6" s="1"/>
  <c r="D1751" i="6"/>
  <c r="E1751" i="6" s="1"/>
  <c r="D1743" i="6"/>
  <c r="E1743" i="6" s="1"/>
  <c r="D1735" i="6"/>
  <c r="E1735" i="6" s="1"/>
  <c r="D1623" i="6"/>
  <c r="E1623" i="6" s="1"/>
  <c r="D1607" i="6"/>
  <c r="E1607" i="6" s="1"/>
  <c r="D1583" i="6"/>
  <c r="E1583" i="6" s="1"/>
  <c r="D1559" i="6"/>
  <c r="E1559" i="6" s="1"/>
  <c r="D1535" i="6"/>
  <c r="E1535" i="6" s="1"/>
  <c r="D1503" i="6"/>
  <c r="E1503" i="6" s="1"/>
  <c r="D1471" i="6"/>
  <c r="E1471" i="6" s="1"/>
  <c r="D1431" i="6"/>
  <c r="E1431" i="6" s="1"/>
  <c r="D1391" i="6"/>
  <c r="E1391" i="6" s="1"/>
  <c r="D1327" i="6"/>
  <c r="E1327" i="6" s="1"/>
  <c r="D1159" i="6"/>
  <c r="E1159" i="6" s="1"/>
  <c r="D1135" i="6"/>
  <c r="E1135" i="6" s="1"/>
  <c r="D1119" i="6"/>
  <c r="E1119" i="6" s="1"/>
  <c r="D1095" i="6"/>
  <c r="E1095" i="6" s="1"/>
  <c r="D1023" i="6"/>
  <c r="E1023" i="6" s="1"/>
  <c r="D863" i="6"/>
  <c r="E863" i="6" s="1"/>
  <c r="D847" i="6"/>
  <c r="E847" i="6" s="1"/>
  <c r="D807" i="6"/>
  <c r="E807" i="6" s="1"/>
  <c r="D703" i="6"/>
  <c r="E703" i="6" s="1"/>
  <c r="D695" i="6"/>
  <c r="E695" i="6" s="1"/>
  <c r="D679" i="6"/>
  <c r="E679" i="6" s="1"/>
  <c r="D639" i="6"/>
  <c r="E639" i="6" s="1"/>
  <c r="D1800" i="6"/>
  <c r="E1800" i="6" s="1"/>
  <c r="D2029" i="6"/>
  <c r="E2029" i="6" s="1"/>
  <c r="D2005" i="6"/>
  <c r="E2005" i="6" s="1"/>
  <c r="D1997" i="6"/>
  <c r="E1997" i="6" s="1"/>
  <c r="D1981" i="6"/>
  <c r="E1981" i="6" s="1"/>
  <c r="D1973" i="6"/>
  <c r="E1973" i="6" s="1"/>
  <c r="D1965" i="6"/>
  <c r="E1965" i="6" s="1"/>
  <c r="D1941" i="6"/>
  <c r="E1941" i="6" s="1"/>
  <c r="D1933" i="6"/>
  <c r="E1933" i="6" s="1"/>
  <c r="D1917" i="6"/>
  <c r="E1917" i="6" s="1"/>
  <c r="D1909" i="6"/>
  <c r="E1909" i="6" s="1"/>
  <c r="D1901" i="6"/>
  <c r="E1901" i="6" s="1"/>
  <c r="D1885" i="6"/>
  <c r="E1885" i="6" s="1"/>
  <c r="D1877" i="6"/>
  <c r="E1877" i="6" s="1"/>
  <c r="D1853" i="6"/>
  <c r="E1853" i="6" s="1"/>
  <c r="D1821" i="6"/>
  <c r="E1821" i="6" s="1"/>
  <c r="D1797" i="6"/>
  <c r="E1797" i="6" s="1"/>
  <c r="D1789" i="6"/>
  <c r="E1789" i="6" s="1"/>
  <c r="D1781" i="6"/>
  <c r="E1781" i="6" s="1"/>
  <c r="D1765" i="6"/>
  <c r="E1765" i="6" s="1"/>
  <c r="D1757" i="6"/>
  <c r="E1757" i="6" s="1"/>
  <c r="D1749" i="6"/>
  <c r="E1749" i="6" s="1"/>
  <c r="D1741" i="6"/>
  <c r="E1741" i="6" s="1"/>
  <c r="D1733" i="6"/>
  <c r="E1733" i="6" s="1"/>
  <c r="D1725" i="6"/>
  <c r="E1725" i="6" s="1"/>
  <c r="D1717" i="6"/>
  <c r="E1717" i="6" s="1"/>
  <c r="D1709" i="6"/>
  <c r="E1709" i="6" s="1"/>
  <c r="D1701" i="6"/>
  <c r="E1701" i="6" s="1"/>
  <c r="D1693" i="6"/>
  <c r="E1693" i="6" s="1"/>
  <c r="D1677" i="6"/>
  <c r="E1677" i="6" s="1"/>
  <c r="D1669" i="6"/>
  <c r="E1669" i="6" s="1"/>
  <c r="D1653" i="6"/>
  <c r="E1653" i="6" s="1"/>
  <c r="D1645" i="6"/>
  <c r="E1645" i="6" s="1"/>
  <c r="D1637" i="6"/>
  <c r="E1637" i="6" s="1"/>
  <c r="D1629" i="6"/>
  <c r="E1629" i="6" s="1"/>
  <c r="D1621" i="6"/>
  <c r="E1621" i="6" s="1"/>
  <c r="D1613" i="6"/>
  <c r="E1613" i="6" s="1"/>
  <c r="D1605" i="6"/>
  <c r="E1605" i="6" s="1"/>
  <c r="D1597" i="6"/>
  <c r="E1597" i="6" s="1"/>
  <c r="D1589" i="6"/>
  <c r="E1589" i="6" s="1"/>
  <c r="D1581" i="6"/>
  <c r="E1581" i="6" s="1"/>
  <c r="D1573" i="6"/>
  <c r="E1573" i="6" s="1"/>
  <c r="D1565" i="6"/>
  <c r="E1565" i="6" s="1"/>
  <c r="D1557" i="6"/>
  <c r="E1557" i="6" s="1"/>
  <c r="D1549" i="6"/>
  <c r="E1549" i="6" s="1"/>
  <c r="D1541" i="6"/>
  <c r="E1541" i="6" s="1"/>
  <c r="D1533" i="6"/>
  <c r="E1533" i="6" s="1"/>
  <c r="D1525" i="6"/>
  <c r="E1525" i="6" s="1"/>
  <c r="D1509" i="6"/>
  <c r="E1509" i="6" s="1"/>
  <c r="D1501" i="6"/>
  <c r="E1501" i="6" s="1"/>
  <c r="D1493" i="6"/>
  <c r="E1493" i="6" s="1"/>
  <c r="D1485" i="6"/>
  <c r="E1485" i="6" s="1"/>
  <c r="D1477" i="6"/>
  <c r="E1477" i="6" s="1"/>
  <c r="D1469" i="6"/>
  <c r="E1469" i="6" s="1"/>
  <c r="D1461" i="6"/>
  <c r="E1461" i="6" s="1"/>
  <c r="D1453" i="6"/>
  <c r="E1453" i="6" s="1"/>
  <c r="D1445" i="6"/>
  <c r="E1445" i="6" s="1"/>
  <c r="D1437" i="6"/>
  <c r="E1437" i="6" s="1"/>
  <c r="D1429" i="6"/>
  <c r="E1429" i="6" s="1"/>
  <c r="D1421" i="6"/>
  <c r="E1421" i="6" s="1"/>
  <c r="D1413" i="6"/>
  <c r="E1413" i="6" s="1"/>
  <c r="D1397" i="6"/>
  <c r="E1397" i="6" s="1"/>
  <c r="D1389" i="6"/>
  <c r="E1389" i="6" s="1"/>
  <c r="D1381" i="6"/>
  <c r="E1381" i="6" s="1"/>
  <c r="D1373" i="6"/>
  <c r="E1373" i="6" s="1"/>
  <c r="D1365" i="6"/>
  <c r="E1365" i="6" s="1"/>
  <c r="D1357" i="6"/>
  <c r="E1357" i="6" s="1"/>
  <c r="D1349" i="6"/>
  <c r="E1349" i="6" s="1"/>
  <c r="D1341" i="6"/>
  <c r="E1341" i="6" s="1"/>
  <c r="D1333" i="6"/>
  <c r="E1333" i="6" s="1"/>
  <c r="D1325" i="6"/>
  <c r="E1325" i="6" s="1"/>
  <c r="D1317" i="6"/>
  <c r="E1317" i="6" s="1"/>
  <c r="D1309" i="6"/>
  <c r="E1309" i="6" s="1"/>
  <c r="D1301" i="6"/>
  <c r="E1301" i="6" s="1"/>
  <c r="D1293" i="6"/>
  <c r="E1293" i="6" s="1"/>
  <c r="D1285" i="6"/>
  <c r="E1285" i="6" s="1"/>
  <c r="D1269" i="6"/>
  <c r="E1269" i="6" s="1"/>
  <c r="D1261" i="6"/>
  <c r="E1261" i="6" s="1"/>
  <c r="D1253" i="6"/>
  <c r="E1253" i="6" s="1"/>
  <c r="D1245" i="6"/>
  <c r="E1245" i="6" s="1"/>
  <c r="D1237" i="6"/>
  <c r="E1237" i="6" s="1"/>
  <c r="D1221" i="6"/>
  <c r="E1221" i="6" s="1"/>
  <c r="D1213" i="6"/>
  <c r="E1213" i="6" s="1"/>
  <c r="D1205" i="6"/>
  <c r="E1205" i="6" s="1"/>
  <c r="D1197" i="6"/>
  <c r="E1197" i="6" s="1"/>
  <c r="D1189" i="6"/>
  <c r="E1189" i="6" s="1"/>
  <c r="D1181" i="6"/>
  <c r="E1181" i="6" s="1"/>
  <c r="D1173" i="6"/>
  <c r="E1173" i="6" s="1"/>
  <c r="D1165" i="6"/>
  <c r="E1165" i="6" s="1"/>
  <c r="D1149" i="6"/>
  <c r="E1149" i="6" s="1"/>
  <c r="D1141" i="6"/>
  <c r="E1141" i="6" s="1"/>
  <c r="D1133" i="6"/>
  <c r="E1133" i="6" s="1"/>
  <c r="D1125" i="6"/>
  <c r="E1125" i="6" s="1"/>
  <c r="D1117" i="6"/>
  <c r="E1117" i="6" s="1"/>
  <c r="D1109" i="6"/>
  <c r="E1109" i="6" s="1"/>
  <c r="D1101" i="6"/>
  <c r="E1101" i="6" s="1"/>
  <c r="D1093" i="6"/>
  <c r="E1093" i="6" s="1"/>
  <c r="D1085" i="6"/>
  <c r="E1085" i="6" s="1"/>
  <c r="D1077" i="6"/>
  <c r="E1077" i="6" s="1"/>
  <c r="D1069" i="6"/>
  <c r="E1069" i="6" s="1"/>
  <c r="D1061" i="6"/>
  <c r="E1061" i="6" s="1"/>
  <c r="D1053" i="6"/>
  <c r="E1053" i="6" s="1"/>
  <c r="D1045" i="6"/>
  <c r="E1045" i="6" s="1"/>
  <c r="D1037" i="6"/>
  <c r="E1037" i="6" s="1"/>
  <c r="D1029" i="6"/>
  <c r="E1029" i="6" s="1"/>
  <c r="D1021" i="6"/>
  <c r="E1021" i="6" s="1"/>
  <c r="D1013" i="6"/>
  <c r="E1013" i="6" s="1"/>
  <c r="D1005" i="6"/>
  <c r="E1005" i="6" s="1"/>
  <c r="D997" i="6"/>
  <c r="E997" i="6" s="1"/>
  <c r="D989" i="6"/>
  <c r="E989" i="6" s="1"/>
  <c r="D981" i="6"/>
  <c r="E981" i="6" s="1"/>
  <c r="D973" i="6"/>
  <c r="E973" i="6" s="1"/>
  <c r="D965" i="6"/>
  <c r="E965" i="6" s="1"/>
  <c r="D957" i="6"/>
  <c r="E957" i="6" s="1"/>
  <c r="D949" i="6"/>
  <c r="E949" i="6" s="1"/>
  <c r="D941" i="6"/>
  <c r="E941" i="6" s="1"/>
  <c r="D933" i="6"/>
  <c r="E933" i="6" s="1"/>
  <c r="D925" i="6"/>
  <c r="E925" i="6" s="1"/>
  <c r="D917" i="6"/>
  <c r="E917" i="6" s="1"/>
  <c r="D909" i="6"/>
  <c r="E909" i="6" s="1"/>
  <c r="D901" i="6"/>
  <c r="E901" i="6" s="1"/>
  <c r="D893" i="6"/>
  <c r="E893" i="6" s="1"/>
  <c r="D885" i="6"/>
  <c r="E885" i="6" s="1"/>
  <c r="D877" i="6"/>
  <c r="E877" i="6" s="1"/>
  <c r="D869" i="6"/>
  <c r="E869" i="6" s="1"/>
  <c r="D861" i="6"/>
  <c r="E861" i="6" s="1"/>
  <c r="D853" i="6"/>
  <c r="E853" i="6" s="1"/>
  <c r="D845" i="6"/>
  <c r="E845" i="6" s="1"/>
  <c r="D837" i="6"/>
  <c r="E837" i="6" s="1"/>
  <c r="D821" i="6"/>
  <c r="E821" i="6" s="1"/>
  <c r="D813" i="6"/>
  <c r="E813" i="6" s="1"/>
  <c r="D805" i="6"/>
  <c r="E805" i="6" s="1"/>
  <c r="D797" i="6"/>
  <c r="E797" i="6" s="1"/>
  <c r="D789" i="6"/>
  <c r="E789" i="6" s="1"/>
  <c r="D781" i="6"/>
  <c r="E781" i="6" s="1"/>
  <c r="D773" i="6"/>
  <c r="E773" i="6" s="1"/>
  <c r="D765" i="6"/>
  <c r="E765" i="6" s="1"/>
  <c r="D757" i="6"/>
  <c r="E757" i="6" s="1"/>
  <c r="D749" i="6"/>
  <c r="E749" i="6" s="1"/>
  <c r="D741" i="6"/>
  <c r="E741" i="6" s="1"/>
  <c r="D733" i="6"/>
  <c r="E733" i="6" s="1"/>
  <c r="D725" i="6"/>
  <c r="E725" i="6" s="1"/>
  <c r="D717" i="6"/>
  <c r="E717" i="6" s="1"/>
  <c r="D709" i="6"/>
  <c r="E709" i="6" s="1"/>
  <c r="D701" i="6"/>
  <c r="E701" i="6" s="1"/>
  <c r="D693" i="6"/>
  <c r="E693" i="6" s="1"/>
  <c r="D685" i="6"/>
  <c r="E685" i="6" s="1"/>
  <c r="D677" i="6"/>
  <c r="E677" i="6" s="1"/>
  <c r="D669" i="6"/>
  <c r="E669" i="6" s="1"/>
  <c r="D661" i="6"/>
  <c r="E661" i="6" s="1"/>
  <c r="D645" i="6"/>
  <c r="E645" i="6" s="1"/>
  <c r="D637" i="6"/>
  <c r="E637" i="6" s="1"/>
  <c r="D629" i="6"/>
  <c r="E629" i="6" s="1"/>
  <c r="D621" i="6"/>
  <c r="E621" i="6" s="1"/>
  <c r="D613" i="6"/>
  <c r="E613" i="6" s="1"/>
  <c r="D605" i="6"/>
  <c r="E605" i="6" s="1"/>
  <c r="D597" i="6"/>
  <c r="E597" i="6" s="1"/>
  <c r="D589" i="6"/>
  <c r="E589" i="6" s="1"/>
  <c r="D581" i="6"/>
  <c r="E581" i="6" s="1"/>
  <c r="D573" i="6"/>
  <c r="E573" i="6" s="1"/>
  <c r="D565" i="6"/>
  <c r="E565" i="6" s="1"/>
  <c r="D557" i="6"/>
  <c r="E557" i="6" s="1"/>
  <c r="D549" i="6"/>
  <c r="E549" i="6" s="1"/>
  <c r="D541" i="6"/>
  <c r="E541" i="6" s="1"/>
  <c r="D533" i="6"/>
  <c r="E533" i="6" s="1"/>
  <c r="D525" i="6"/>
  <c r="E525" i="6" s="1"/>
  <c r="D517" i="6"/>
  <c r="E517" i="6" s="1"/>
  <c r="D509" i="6"/>
  <c r="E509" i="6" s="1"/>
  <c r="D501" i="6"/>
  <c r="E501" i="6" s="1"/>
  <c r="D493" i="6"/>
  <c r="E493" i="6" s="1"/>
  <c r="D485" i="6"/>
  <c r="E485" i="6" s="1"/>
  <c r="D477" i="6"/>
  <c r="E477" i="6" s="1"/>
  <c r="D469" i="6"/>
  <c r="E469" i="6" s="1"/>
  <c r="D461" i="6"/>
  <c r="E461" i="6" s="1"/>
  <c r="D453" i="6"/>
  <c r="E453" i="6" s="1"/>
  <c r="D445" i="6"/>
  <c r="E445" i="6" s="1"/>
  <c r="D437" i="6"/>
  <c r="E437" i="6" s="1"/>
  <c r="D429" i="6"/>
  <c r="E429" i="6" s="1"/>
  <c r="D421" i="6"/>
  <c r="E421" i="6" s="1"/>
  <c r="D413" i="6"/>
  <c r="E413" i="6" s="1"/>
  <c r="D405" i="6"/>
  <c r="E405" i="6" s="1"/>
  <c r="D397" i="6"/>
  <c r="E397" i="6" s="1"/>
  <c r="D389" i="6"/>
  <c r="E389" i="6" s="1"/>
  <c r="D381" i="6"/>
  <c r="E381" i="6" s="1"/>
  <c r="D373" i="6"/>
  <c r="E373" i="6" s="1"/>
  <c r="D365" i="6"/>
  <c r="E365" i="6" s="1"/>
  <c r="D357" i="6"/>
  <c r="E357" i="6" s="1"/>
  <c r="D349" i="6"/>
  <c r="E349" i="6" s="1"/>
  <c r="D341" i="6"/>
  <c r="E341" i="6" s="1"/>
  <c r="D333" i="6"/>
  <c r="E333" i="6" s="1"/>
  <c r="D325" i="6"/>
  <c r="E325" i="6" s="1"/>
  <c r="D317" i="6"/>
  <c r="E317" i="6" s="1"/>
  <c r="D309" i="6"/>
  <c r="E309" i="6" s="1"/>
  <c r="D301" i="6"/>
  <c r="E301" i="6" s="1"/>
  <c r="D293" i="6"/>
  <c r="E293" i="6" s="1"/>
  <c r="D2009" i="6"/>
  <c r="E2009" i="6" s="1"/>
  <c r="D1967" i="6"/>
  <c r="E1967" i="6" s="1"/>
  <c r="D1837" i="6"/>
  <c r="E1837" i="6" s="1"/>
  <c r="D1786" i="6"/>
  <c r="E1786" i="6" s="1"/>
  <c r="D1714" i="6"/>
  <c r="E1714" i="6" s="1"/>
  <c r="D1632" i="6"/>
  <c r="E1632" i="6" s="1"/>
  <c r="D1513" i="6"/>
  <c r="E1513" i="6" s="1"/>
  <c r="D1345" i="6"/>
  <c r="E1345" i="6" s="1"/>
  <c r="D970" i="6"/>
  <c r="E970" i="6" s="1"/>
  <c r="D2016" i="6"/>
  <c r="E2016" i="6" s="1"/>
  <c r="D1888" i="6"/>
  <c r="E1888" i="6" s="1"/>
  <c r="D1472" i="6"/>
  <c r="E1472" i="6" s="1"/>
  <c r="D1440" i="6"/>
  <c r="E1440" i="6" s="1"/>
  <c r="D1400" i="6"/>
  <c r="E1400" i="6" s="1"/>
  <c r="D1384" i="6"/>
  <c r="E1384" i="6" s="1"/>
  <c r="D1352" i="6"/>
  <c r="E1352" i="6" s="1"/>
  <c r="D1320" i="6"/>
  <c r="E1320" i="6" s="1"/>
  <c r="D1304" i="6"/>
  <c r="E1304" i="6" s="1"/>
  <c r="D1288" i="6"/>
  <c r="E1288" i="6" s="1"/>
  <c r="D1272" i="6"/>
  <c r="E1272" i="6" s="1"/>
  <c r="D1240" i="6"/>
  <c r="E1240" i="6" s="1"/>
  <c r="D1208" i="6"/>
  <c r="E1208" i="6" s="1"/>
  <c r="D1048" i="6"/>
  <c r="E1048" i="6" s="1"/>
  <c r="D1016" i="6"/>
  <c r="E1016" i="6" s="1"/>
  <c r="D992" i="6"/>
  <c r="E992" i="6" s="1"/>
  <c r="D960" i="6"/>
  <c r="E960" i="6" s="1"/>
  <c r="D936" i="6"/>
  <c r="E936" i="6" s="1"/>
  <c r="D904" i="6"/>
  <c r="E904" i="6" s="1"/>
  <c r="D888" i="6"/>
  <c r="E888" i="6" s="1"/>
  <c r="D872" i="6"/>
  <c r="E872" i="6" s="1"/>
  <c r="D856" i="6"/>
  <c r="E856" i="6" s="1"/>
  <c r="D832" i="6"/>
  <c r="E832" i="6" s="1"/>
  <c r="D824" i="6"/>
  <c r="E824" i="6" s="1"/>
  <c r="D800" i="6"/>
  <c r="E800" i="6" s="1"/>
  <c r="D792" i="6"/>
  <c r="E792" i="6" s="1"/>
  <c r="D1943" i="6"/>
  <c r="E1943" i="6" s="1"/>
  <c r="D1887" i="6"/>
  <c r="E1887" i="6" s="1"/>
  <c r="D1823" i="6"/>
  <c r="E1823" i="6" s="1"/>
  <c r="D1519" i="6"/>
  <c r="E1519" i="6" s="1"/>
  <c r="D1479" i="6"/>
  <c r="E1479" i="6" s="1"/>
  <c r="D1415" i="6"/>
  <c r="E1415" i="6" s="1"/>
  <c r="D1399" i="6"/>
  <c r="E1399" i="6" s="1"/>
  <c r="D1375" i="6"/>
  <c r="E1375" i="6" s="1"/>
  <c r="D1359" i="6"/>
  <c r="E1359" i="6" s="1"/>
  <c r="D1343" i="6"/>
  <c r="E1343" i="6" s="1"/>
  <c r="D1319" i="6"/>
  <c r="E1319" i="6" s="1"/>
  <c r="D1287" i="6"/>
  <c r="E1287" i="6" s="1"/>
  <c r="D1055" i="6"/>
  <c r="E1055" i="6" s="1"/>
  <c r="D1031" i="6"/>
  <c r="E1031" i="6" s="1"/>
  <c r="D1007" i="6"/>
  <c r="E1007" i="6" s="1"/>
  <c r="D983" i="6"/>
  <c r="E983" i="6" s="1"/>
  <c r="D967" i="6"/>
  <c r="E967" i="6" s="1"/>
  <c r="D951" i="6"/>
  <c r="E951" i="6" s="1"/>
  <c r="D935" i="6"/>
  <c r="E935" i="6" s="1"/>
  <c r="D919" i="6"/>
  <c r="E919" i="6" s="1"/>
  <c r="D903" i="6"/>
  <c r="E903" i="6" s="1"/>
  <c r="D895" i="6"/>
  <c r="E895" i="6" s="1"/>
  <c r="D887" i="6"/>
  <c r="E887" i="6" s="1"/>
  <c r="D871" i="6"/>
  <c r="E871" i="6" s="1"/>
  <c r="D855" i="6"/>
  <c r="E855" i="6" s="1"/>
  <c r="D823" i="6"/>
  <c r="E823" i="6" s="1"/>
  <c r="D671" i="6"/>
  <c r="E671" i="6" s="1"/>
  <c r="D663" i="6"/>
  <c r="E663" i="6" s="1"/>
  <c r="D655" i="6"/>
  <c r="E655" i="6" s="1"/>
  <c r="D631" i="6"/>
  <c r="E631" i="6" s="1"/>
  <c r="D623" i="6"/>
  <c r="E623" i="6" s="1"/>
  <c r="D599" i="6"/>
  <c r="E599" i="6" s="1"/>
  <c r="D2004" i="6"/>
  <c r="E2004" i="6" s="1"/>
  <c r="D1980" i="6"/>
  <c r="E1980" i="6" s="1"/>
  <c r="D1972" i="6"/>
  <c r="E1972" i="6" s="1"/>
  <c r="D1964" i="6"/>
  <c r="E1964" i="6" s="1"/>
  <c r="D1940" i="6"/>
  <c r="E1940" i="6" s="1"/>
  <c r="D1932" i="6"/>
  <c r="E1932" i="6" s="1"/>
  <c r="D1916" i="6"/>
  <c r="E1916" i="6" s="1"/>
  <c r="D1908" i="6"/>
  <c r="E1908" i="6" s="1"/>
  <c r="D1900" i="6"/>
  <c r="E1900" i="6" s="1"/>
  <c r="D1884" i="6"/>
  <c r="E1884" i="6" s="1"/>
  <c r="D1876" i="6"/>
  <c r="E1876" i="6" s="1"/>
  <c r="D1852" i="6"/>
  <c r="E1852" i="6" s="1"/>
  <c r="D1844" i="6"/>
  <c r="E1844" i="6" s="1"/>
  <c r="D1836" i="6"/>
  <c r="E1836" i="6" s="1"/>
  <c r="D1828" i="6"/>
  <c r="E1828" i="6" s="1"/>
  <c r="D1820" i="6"/>
  <c r="E1820" i="6" s="1"/>
  <c r="D1796" i="6"/>
  <c r="E1796" i="6" s="1"/>
  <c r="D1780" i="6"/>
  <c r="E1780" i="6" s="1"/>
  <c r="D1772" i="6"/>
  <c r="E1772" i="6" s="1"/>
  <c r="D1764" i="6"/>
  <c r="E1764" i="6" s="1"/>
  <c r="D1756" i="6"/>
  <c r="E1756" i="6" s="1"/>
  <c r="D1748" i="6"/>
  <c r="E1748" i="6" s="1"/>
  <c r="D1740" i="6"/>
  <c r="E1740" i="6" s="1"/>
  <c r="D1732" i="6"/>
  <c r="E1732" i="6" s="1"/>
  <c r="D1724" i="6"/>
  <c r="E1724" i="6" s="1"/>
  <c r="D1716" i="6"/>
  <c r="E1716" i="6" s="1"/>
  <c r="D1708" i="6"/>
  <c r="E1708" i="6" s="1"/>
  <c r="D1692" i="6"/>
  <c r="E1692" i="6" s="1"/>
  <c r="D1684" i="6"/>
  <c r="E1684" i="6" s="1"/>
  <c r="D1676" i="6"/>
  <c r="E1676" i="6" s="1"/>
  <c r="D1668" i="6"/>
  <c r="E1668" i="6" s="1"/>
  <c r="D1660" i="6"/>
  <c r="E1660" i="6" s="1"/>
  <c r="D1652" i="6"/>
  <c r="E1652" i="6" s="1"/>
  <c r="D1644" i="6"/>
  <c r="E1644" i="6" s="1"/>
  <c r="D1636" i="6"/>
  <c r="E1636" i="6" s="1"/>
  <c r="D1628" i="6"/>
  <c r="E1628" i="6" s="1"/>
  <c r="D1620" i="6"/>
  <c r="E1620" i="6" s="1"/>
  <c r="D1612" i="6"/>
  <c r="E1612" i="6" s="1"/>
  <c r="D1604" i="6"/>
  <c r="E1604" i="6" s="1"/>
  <c r="D1596" i="6"/>
  <c r="E1596" i="6" s="1"/>
  <c r="D1588" i="6"/>
  <c r="E1588" i="6" s="1"/>
  <c r="D1580" i="6"/>
  <c r="E1580" i="6" s="1"/>
  <c r="D1572" i="6"/>
  <c r="E1572" i="6" s="1"/>
  <c r="D1564" i="6"/>
  <c r="E1564" i="6" s="1"/>
  <c r="D1556" i="6"/>
  <c r="E1556" i="6" s="1"/>
  <c r="D1548" i="6"/>
  <c r="E1548" i="6" s="1"/>
  <c r="D1540" i="6"/>
  <c r="E1540" i="6" s="1"/>
  <c r="D1532" i="6"/>
  <c r="E1532" i="6" s="1"/>
  <c r="D1524" i="6"/>
  <c r="E1524" i="6" s="1"/>
  <c r="D1508" i="6"/>
  <c r="E1508" i="6" s="1"/>
  <c r="D1500" i="6"/>
  <c r="E1500" i="6" s="1"/>
  <c r="D1484" i="6"/>
  <c r="E1484" i="6" s="1"/>
  <c r="D1476" i="6"/>
  <c r="E1476" i="6" s="1"/>
  <c r="D1468" i="6"/>
  <c r="E1468" i="6" s="1"/>
  <c r="D1460" i="6"/>
  <c r="E1460" i="6" s="1"/>
  <c r="D1452" i="6"/>
  <c r="E1452" i="6" s="1"/>
  <c r="D1444" i="6"/>
  <c r="E1444" i="6" s="1"/>
  <c r="D1436" i="6"/>
  <c r="E1436" i="6" s="1"/>
  <c r="D1428" i="6"/>
  <c r="E1428" i="6" s="1"/>
  <c r="D1412" i="6"/>
  <c r="E1412" i="6" s="1"/>
  <c r="D1404" i="6"/>
  <c r="E1404" i="6" s="1"/>
  <c r="D1388" i="6"/>
  <c r="E1388" i="6" s="1"/>
  <c r="D1380" i="6"/>
  <c r="E1380" i="6" s="1"/>
  <c r="D1364" i="6"/>
  <c r="E1364" i="6" s="1"/>
  <c r="D1348" i="6"/>
  <c r="E1348" i="6" s="1"/>
  <c r="D1340" i="6"/>
  <c r="E1340" i="6" s="1"/>
  <c r="D1332" i="6"/>
  <c r="E1332" i="6" s="1"/>
  <c r="D1324" i="6"/>
  <c r="E1324" i="6" s="1"/>
  <c r="D1308" i="6"/>
  <c r="E1308" i="6" s="1"/>
  <c r="D1300" i="6"/>
  <c r="E1300" i="6" s="1"/>
  <c r="D1292" i="6"/>
  <c r="E1292" i="6" s="1"/>
  <c r="D1268" i="6"/>
  <c r="E1268" i="6" s="1"/>
  <c r="D1260" i="6"/>
  <c r="E1260" i="6" s="1"/>
  <c r="D1252" i="6"/>
  <c r="E1252" i="6" s="1"/>
  <c r="D1244" i="6"/>
  <c r="E1244" i="6" s="1"/>
  <c r="D1236" i="6"/>
  <c r="E1236" i="6" s="1"/>
  <c r="D1228" i="6"/>
  <c r="E1228" i="6" s="1"/>
  <c r="D1220" i="6"/>
  <c r="E1220" i="6" s="1"/>
  <c r="D1212" i="6"/>
  <c r="E1212" i="6" s="1"/>
  <c r="D1204" i="6"/>
  <c r="E1204" i="6" s="1"/>
  <c r="D1196" i="6"/>
  <c r="E1196" i="6" s="1"/>
  <c r="D1188" i="6"/>
  <c r="E1188" i="6" s="1"/>
  <c r="D1180" i="6"/>
  <c r="E1180" i="6" s="1"/>
  <c r="D1172" i="6"/>
  <c r="E1172" i="6" s="1"/>
  <c r="D1164" i="6"/>
  <c r="E1164" i="6" s="1"/>
  <c r="D1156" i="6"/>
  <c r="E1156" i="6" s="1"/>
  <c r="D1148" i="6"/>
  <c r="E1148" i="6" s="1"/>
  <c r="D1140" i="6"/>
  <c r="E1140" i="6" s="1"/>
  <c r="D1124" i="6"/>
  <c r="E1124" i="6" s="1"/>
  <c r="D1116" i="6"/>
  <c r="E1116" i="6" s="1"/>
  <c r="D1108" i="6"/>
  <c r="E1108" i="6" s="1"/>
  <c r="D1100" i="6"/>
  <c r="E1100" i="6" s="1"/>
  <c r="D1092" i="6"/>
  <c r="E1092" i="6" s="1"/>
  <c r="D1084" i="6"/>
  <c r="E1084" i="6" s="1"/>
  <c r="D1076" i="6"/>
  <c r="E1076" i="6" s="1"/>
  <c r="D1068" i="6"/>
  <c r="E1068" i="6" s="1"/>
  <c r="D1060" i="6"/>
  <c r="E1060" i="6" s="1"/>
  <c r="D1052" i="6"/>
  <c r="E1052" i="6" s="1"/>
  <c r="D1044" i="6"/>
  <c r="E1044" i="6" s="1"/>
  <c r="D1036" i="6"/>
  <c r="E1036" i="6" s="1"/>
  <c r="D1028" i="6"/>
  <c r="E1028" i="6" s="1"/>
  <c r="D1020" i="6"/>
  <c r="E1020" i="6" s="1"/>
  <c r="D1012" i="6"/>
  <c r="E1012" i="6" s="1"/>
  <c r="D1004" i="6"/>
  <c r="E1004" i="6" s="1"/>
  <c r="D996" i="6"/>
  <c r="E996" i="6" s="1"/>
  <c r="D988" i="6"/>
  <c r="E988" i="6" s="1"/>
  <c r="D980" i="6"/>
  <c r="E980" i="6" s="1"/>
  <c r="D972" i="6"/>
  <c r="E972" i="6" s="1"/>
  <c r="D956" i="6"/>
  <c r="E956" i="6" s="1"/>
  <c r="D948" i="6"/>
  <c r="E948" i="6" s="1"/>
  <c r="D940" i="6"/>
  <c r="E940" i="6" s="1"/>
  <c r="D932" i="6"/>
  <c r="E932" i="6" s="1"/>
  <c r="D924" i="6"/>
  <c r="E924" i="6" s="1"/>
  <c r="D916" i="6"/>
  <c r="E916" i="6" s="1"/>
  <c r="D908" i="6"/>
  <c r="E908" i="6" s="1"/>
  <c r="D900" i="6"/>
  <c r="E900" i="6" s="1"/>
  <c r="D892" i="6"/>
  <c r="E892" i="6" s="1"/>
  <c r="D884" i="6"/>
  <c r="E884" i="6" s="1"/>
  <c r="D876" i="6"/>
  <c r="E876" i="6" s="1"/>
  <c r="D868" i="6"/>
  <c r="E868" i="6" s="1"/>
  <c r="D860" i="6"/>
  <c r="E860" i="6" s="1"/>
  <c r="D852" i="6"/>
  <c r="E852" i="6" s="1"/>
  <c r="D844" i="6"/>
  <c r="E844" i="6" s="1"/>
  <c r="D836" i="6"/>
  <c r="E836" i="6" s="1"/>
  <c r="D828" i="6"/>
  <c r="E828" i="6" s="1"/>
  <c r="D820" i="6"/>
  <c r="E820" i="6" s="1"/>
  <c r="D812" i="6"/>
  <c r="E812" i="6" s="1"/>
  <c r="D804" i="6"/>
  <c r="E804" i="6" s="1"/>
  <c r="D796" i="6"/>
  <c r="E796" i="6" s="1"/>
  <c r="D788" i="6"/>
  <c r="E788" i="6" s="1"/>
  <c r="D780" i="6"/>
  <c r="E780" i="6" s="1"/>
  <c r="D772" i="6"/>
  <c r="E772" i="6" s="1"/>
  <c r="D764" i="6"/>
  <c r="E764" i="6" s="1"/>
  <c r="D756" i="6"/>
  <c r="E756" i="6" s="1"/>
  <c r="D748" i="6"/>
  <c r="E748" i="6" s="1"/>
  <c r="D740" i="6"/>
  <c r="E740" i="6" s="1"/>
  <c r="D732" i="6"/>
  <c r="E732" i="6" s="1"/>
  <c r="D724" i="6"/>
  <c r="E724" i="6" s="1"/>
  <c r="D716" i="6"/>
  <c r="E716" i="6" s="1"/>
  <c r="D708" i="6"/>
  <c r="E708" i="6" s="1"/>
  <c r="D700" i="6"/>
  <c r="E700" i="6" s="1"/>
  <c r="D692" i="6"/>
  <c r="E692" i="6" s="1"/>
  <c r="D684" i="6"/>
  <c r="E684" i="6" s="1"/>
  <c r="D668" i="6"/>
  <c r="E668" i="6" s="1"/>
  <c r="D660" i="6"/>
  <c r="E660" i="6" s="1"/>
  <c r="D652" i="6"/>
  <c r="E652" i="6" s="1"/>
  <c r="D644" i="6"/>
  <c r="E644" i="6" s="1"/>
  <c r="D636" i="6"/>
  <c r="E636" i="6" s="1"/>
  <c r="D628" i="6"/>
  <c r="E628" i="6" s="1"/>
  <c r="D620" i="6"/>
  <c r="E620" i="6" s="1"/>
  <c r="D612" i="6"/>
  <c r="E612" i="6" s="1"/>
  <c r="D604" i="6"/>
  <c r="E604" i="6" s="1"/>
  <c r="D596" i="6"/>
  <c r="E596" i="6" s="1"/>
  <c r="D588" i="6"/>
  <c r="E588" i="6" s="1"/>
  <c r="D580" i="6"/>
  <c r="E580" i="6" s="1"/>
  <c r="D572" i="6"/>
  <c r="E572" i="6" s="1"/>
  <c r="D564" i="6"/>
  <c r="E564" i="6" s="1"/>
  <c r="D556" i="6"/>
  <c r="E556" i="6" s="1"/>
  <c r="D548" i="6"/>
  <c r="E548" i="6" s="1"/>
  <c r="D540" i="6"/>
  <c r="E540" i="6" s="1"/>
  <c r="D532" i="6"/>
  <c r="E532" i="6" s="1"/>
  <c r="D524" i="6"/>
  <c r="E524" i="6" s="1"/>
  <c r="D516" i="6"/>
  <c r="E516" i="6" s="1"/>
  <c r="D508" i="6"/>
  <c r="E508" i="6" s="1"/>
  <c r="D500" i="6"/>
  <c r="E500" i="6" s="1"/>
  <c r="D492" i="6"/>
  <c r="E492" i="6" s="1"/>
  <c r="D484" i="6"/>
  <c r="E484" i="6" s="1"/>
  <c r="D476" i="6"/>
  <c r="E476" i="6" s="1"/>
  <c r="D468" i="6"/>
  <c r="E468" i="6" s="1"/>
  <c r="D460" i="6"/>
  <c r="E460" i="6" s="1"/>
  <c r="D452" i="6"/>
  <c r="E452" i="6" s="1"/>
  <c r="D444" i="6"/>
  <c r="E444" i="6" s="1"/>
  <c r="D436" i="6"/>
  <c r="E436" i="6" s="1"/>
  <c r="D428" i="6"/>
  <c r="E428" i="6" s="1"/>
  <c r="D420" i="6"/>
  <c r="E420" i="6" s="1"/>
  <c r="D404" i="6"/>
  <c r="E404" i="6" s="1"/>
  <c r="D396" i="6"/>
  <c r="E396" i="6" s="1"/>
  <c r="D388" i="6"/>
  <c r="E388" i="6" s="1"/>
  <c r="D380" i="6"/>
  <c r="E380" i="6" s="1"/>
  <c r="D372" i="6"/>
  <c r="E372" i="6" s="1"/>
  <c r="D364" i="6"/>
  <c r="E364" i="6" s="1"/>
  <c r="D356" i="6"/>
  <c r="E356" i="6" s="1"/>
  <c r="D348" i="6"/>
  <c r="E348" i="6" s="1"/>
  <c r="D340" i="6"/>
  <c r="E340" i="6" s="1"/>
  <c r="D332" i="6"/>
  <c r="E332" i="6" s="1"/>
  <c r="D324" i="6"/>
  <c r="E324" i="6" s="1"/>
  <c r="D316" i="6"/>
  <c r="E316" i="6" s="1"/>
  <c r="D308" i="6"/>
  <c r="E308" i="6" s="1"/>
  <c r="D300" i="6"/>
  <c r="E300" i="6" s="1"/>
  <c r="D292" i="6"/>
  <c r="E292" i="6" s="1"/>
  <c r="D284" i="6"/>
  <c r="E284" i="6" s="1"/>
  <c r="D276" i="6"/>
  <c r="E276" i="6" s="1"/>
  <c r="D268" i="6"/>
  <c r="E268" i="6" s="1"/>
  <c r="D260" i="6"/>
  <c r="E260" i="6" s="1"/>
  <c r="D252" i="6"/>
  <c r="E252" i="6" s="1"/>
  <c r="D244" i="6"/>
  <c r="E244" i="6" s="1"/>
  <c r="D236" i="6"/>
  <c r="E236" i="6" s="1"/>
  <c r="D228" i="6"/>
  <c r="E228" i="6" s="1"/>
  <c r="D220" i="6"/>
  <c r="E220" i="6" s="1"/>
  <c r="D212" i="6"/>
  <c r="E212" i="6" s="1"/>
  <c r="D204" i="6"/>
  <c r="E204" i="6" s="1"/>
  <c r="D196" i="6"/>
  <c r="E196" i="6" s="1"/>
  <c r="D188" i="6"/>
  <c r="E188" i="6" s="1"/>
  <c r="D180" i="6"/>
  <c r="E180" i="6" s="1"/>
  <c r="D172" i="6"/>
  <c r="E172" i="6" s="1"/>
  <c r="D164" i="6"/>
  <c r="E164" i="6" s="1"/>
  <c r="D2000" i="6"/>
  <c r="E2000" i="6" s="1"/>
  <c r="D1957" i="6"/>
  <c r="E1957" i="6" s="1"/>
  <c r="D1914" i="6"/>
  <c r="E1914" i="6" s="1"/>
  <c r="D1872" i="6"/>
  <c r="E1872" i="6" s="1"/>
  <c r="D1826" i="6"/>
  <c r="E1826" i="6" s="1"/>
  <c r="D1776" i="6"/>
  <c r="E1776" i="6" s="1"/>
  <c r="D1697" i="6"/>
  <c r="E1697" i="6" s="1"/>
  <c r="D1610" i="6"/>
  <c r="E1610" i="6" s="1"/>
  <c r="D1482" i="6"/>
  <c r="E1482" i="6" s="1"/>
  <c r="D1284" i="6"/>
  <c r="E1284" i="6" s="1"/>
  <c r="D2024" i="6"/>
  <c r="E2024" i="6" s="1"/>
  <c r="D1992" i="6"/>
  <c r="E1992" i="6" s="1"/>
  <c r="D1856" i="6"/>
  <c r="E1856" i="6" s="1"/>
  <c r="D1848" i="6"/>
  <c r="E1848" i="6" s="1"/>
  <c r="D1736" i="6"/>
  <c r="E1736" i="6" s="1"/>
  <c r="D1712" i="6"/>
  <c r="E1712" i="6" s="1"/>
  <c r="D1608" i="6"/>
  <c r="E1608" i="6" s="1"/>
  <c r="D1592" i="6"/>
  <c r="E1592" i="6" s="1"/>
  <c r="D1576" i="6"/>
  <c r="E1576" i="6" s="1"/>
  <c r="D1552" i="6"/>
  <c r="E1552" i="6" s="1"/>
  <c r="D1512" i="6"/>
  <c r="E1512" i="6" s="1"/>
  <c r="D1464" i="6"/>
  <c r="E1464" i="6" s="1"/>
  <c r="D1408" i="6"/>
  <c r="E1408" i="6" s="1"/>
  <c r="D1344" i="6"/>
  <c r="E1344" i="6" s="1"/>
  <c r="D1248" i="6"/>
  <c r="E1248" i="6" s="1"/>
  <c r="D1032" i="6"/>
  <c r="E1032" i="6" s="1"/>
  <c r="D976" i="6"/>
  <c r="E976" i="6" s="1"/>
  <c r="D912" i="6"/>
  <c r="E912" i="6" s="1"/>
  <c r="D848" i="6"/>
  <c r="E848" i="6" s="1"/>
  <c r="D2023" i="6"/>
  <c r="E2023" i="6" s="1"/>
  <c r="D1879" i="6"/>
  <c r="E1879" i="6" s="1"/>
  <c r="D1863" i="6"/>
  <c r="E1863" i="6" s="1"/>
  <c r="D1847" i="6"/>
  <c r="E1847" i="6" s="1"/>
  <c r="D1719" i="6"/>
  <c r="E1719" i="6" s="1"/>
  <c r="D1711" i="6"/>
  <c r="E1711" i="6" s="1"/>
  <c r="D1703" i="6"/>
  <c r="E1703" i="6" s="1"/>
  <c r="D1695" i="6"/>
  <c r="E1695" i="6" s="1"/>
  <c r="D1679" i="6"/>
  <c r="E1679" i="6" s="1"/>
  <c r="D1639" i="6"/>
  <c r="E1639" i="6" s="1"/>
  <c r="D1575" i="6"/>
  <c r="E1575" i="6" s="1"/>
  <c r="D1463" i="6"/>
  <c r="E1463" i="6" s="1"/>
  <c r="D1263" i="6"/>
  <c r="E1263" i="6" s="1"/>
  <c r="D1247" i="6"/>
  <c r="E1247" i="6" s="1"/>
  <c r="D1231" i="6"/>
  <c r="E1231" i="6" s="1"/>
  <c r="D1215" i="6"/>
  <c r="E1215" i="6" s="1"/>
  <c r="D1191" i="6"/>
  <c r="E1191" i="6" s="1"/>
  <c r="D1167" i="6"/>
  <c r="E1167" i="6" s="1"/>
  <c r="D1143" i="6"/>
  <c r="E1143" i="6" s="1"/>
  <c r="D1111" i="6"/>
  <c r="E1111" i="6" s="1"/>
  <c r="D1047" i="6"/>
  <c r="E1047" i="6" s="1"/>
  <c r="D831" i="6"/>
  <c r="E831" i="6" s="1"/>
  <c r="D799" i="6"/>
  <c r="E799" i="6" s="1"/>
  <c r="D783" i="6"/>
  <c r="E783" i="6" s="1"/>
  <c r="D775" i="6"/>
  <c r="E775" i="6" s="1"/>
  <c r="D767" i="6"/>
  <c r="E767" i="6" s="1"/>
  <c r="D759" i="6"/>
  <c r="E759" i="6" s="1"/>
  <c r="D743" i="6"/>
  <c r="E743" i="6" s="1"/>
  <c r="D735" i="6"/>
  <c r="E735" i="6" s="1"/>
  <c r="D719" i="6"/>
  <c r="E719" i="6" s="1"/>
  <c r="D647" i="6"/>
  <c r="E647" i="6" s="1"/>
  <c r="D1977" i="6"/>
  <c r="E1977" i="6" s="1"/>
  <c r="D1849" i="6"/>
  <c r="E1849" i="6" s="1"/>
  <c r="D2028" i="6"/>
  <c r="E2028" i="6" s="1"/>
  <c r="D2012" i="6"/>
  <c r="E2012" i="6" s="1"/>
  <c r="D1996" i="6"/>
  <c r="E1996" i="6" s="1"/>
  <c r="D2027" i="6"/>
  <c r="E2027" i="6" s="1"/>
  <c r="D2019" i="6"/>
  <c r="E2019" i="6" s="1"/>
  <c r="D2011" i="6"/>
  <c r="E2011" i="6" s="1"/>
  <c r="D2003" i="6"/>
  <c r="E2003" i="6" s="1"/>
  <c r="D1995" i="6"/>
  <c r="E1995" i="6" s="1"/>
  <c r="D1987" i="6"/>
  <c r="E1987" i="6" s="1"/>
  <c r="D1979" i="6"/>
  <c r="E1979" i="6" s="1"/>
  <c r="D1971" i="6"/>
  <c r="E1971" i="6" s="1"/>
  <c r="D1955" i="6"/>
  <c r="E1955" i="6" s="1"/>
  <c r="D1947" i="6"/>
  <c r="E1947" i="6" s="1"/>
  <c r="D1939" i="6"/>
  <c r="E1939" i="6" s="1"/>
  <c r="D1931" i="6"/>
  <c r="E1931" i="6" s="1"/>
  <c r="D1915" i="6"/>
  <c r="E1915" i="6" s="1"/>
  <c r="D1899" i="6"/>
  <c r="E1899" i="6" s="1"/>
  <c r="D1891" i="6"/>
  <c r="E1891" i="6" s="1"/>
  <c r="D1883" i="6"/>
  <c r="E1883" i="6" s="1"/>
  <c r="D1875" i="6"/>
  <c r="E1875" i="6" s="1"/>
  <c r="D1867" i="6"/>
  <c r="E1867" i="6" s="1"/>
  <c r="D1859" i="6"/>
  <c r="E1859" i="6" s="1"/>
  <c r="D1851" i="6"/>
  <c r="E1851" i="6" s="1"/>
  <c r="D1843" i="6"/>
  <c r="E1843" i="6" s="1"/>
  <c r="D1835" i="6"/>
  <c r="E1835" i="6" s="1"/>
  <c r="D1827" i="6"/>
  <c r="E1827" i="6" s="1"/>
  <c r="D1819" i="6"/>
  <c r="E1819" i="6" s="1"/>
  <c r="D1795" i="6"/>
  <c r="E1795" i="6" s="1"/>
  <c r="D1787" i="6"/>
  <c r="E1787" i="6" s="1"/>
  <c r="D1771" i="6"/>
  <c r="E1771" i="6" s="1"/>
  <c r="D1763" i="6"/>
  <c r="E1763" i="6" s="1"/>
  <c r="D1755" i="6"/>
  <c r="E1755" i="6" s="1"/>
  <c r="D1747" i="6"/>
  <c r="E1747" i="6" s="1"/>
  <c r="D1739" i="6"/>
  <c r="E1739" i="6" s="1"/>
  <c r="D1731" i="6"/>
  <c r="E1731" i="6" s="1"/>
  <c r="D1723" i="6"/>
  <c r="E1723" i="6" s="1"/>
  <c r="D1715" i="6"/>
  <c r="E1715" i="6" s="1"/>
  <c r="D1707" i="6"/>
  <c r="E1707" i="6" s="1"/>
  <c r="D1699" i="6"/>
  <c r="E1699" i="6" s="1"/>
  <c r="D1691" i="6"/>
  <c r="E1691" i="6" s="1"/>
  <c r="D1683" i="6"/>
  <c r="E1683" i="6" s="1"/>
  <c r="D1675" i="6"/>
  <c r="E1675" i="6" s="1"/>
  <c r="D1667" i="6"/>
  <c r="E1667" i="6" s="1"/>
  <c r="D1659" i="6"/>
  <c r="E1659" i="6" s="1"/>
  <c r="D1651" i="6"/>
  <c r="E1651" i="6" s="1"/>
  <c r="D1643" i="6"/>
  <c r="E1643" i="6" s="1"/>
  <c r="D1627" i="6"/>
  <c r="E1627" i="6" s="1"/>
  <c r="D1611" i="6"/>
  <c r="E1611" i="6" s="1"/>
  <c r="D1603" i="6"/>
  <c r="E1603" i="6" s="1"/>
  <c r="D1595" i="6"/>
  <c r="E1595" i="6" s="1"/>
  <c r="D1587" i="6"/>
  <c r="E1587" i="6" s="1"/>
  <c r="D1579" i="6"/>
  <c r="E1579" i="6" s="1"/>
  <c r="D1571" i="6"/>
  <c r="E1571" i="6" s="1"/>
  <c r="D1563" i="6"/>
  <c r="E1563" i="6" s="1"/>
  <c r="D1555" i="6"/>
  <c r="E1555" i="6" s="1"/>
  <c r="D1547" i="6"/>
  <c r="E1547" i="6" s="1"/>
  <c r="D1539" i="6"/>
  <c r="E1539" i="6" s="1"/>
  <c r="D1531" i="6"/>
  <c r="E1531" i="6" s="1"/>
  <c r="D1523" i="6"/>
  <c r="E1523" i="6" s="1"/>
  <c r="D1507" i="6"/>
  <c r="E1507" i="6" s="1"/>
  <c r="D1499" i="6"/>
  <c r="E1499" i="6" s="1"/>
  <c r="D1483" i="6"/>
  <c r="E1483" i="6" s="1"/>
  <c r="D1475" i="6"/>
  <c r="E1475" i="6" s="1"/>
  <c r="D1467" i="6"/>
  <c r="E1467" i="6" s="1"/>
  <c r="D1451" i="6"/>
  <c r="E1451" i="6" s="1"/>
  <c r="D1443" i="6"/>
  <c r="E1443" i="6" s="1"/>
  <c r="D1435" i="6"/>
  <c r="E1435" i="6" s="1"/>
  <c r="D1427" i="6"/>
  <c r="E1427" i="6" s="1"/>
  <c r="D1419" i="6"/>
  <c r="E1419" i="6" s="1"/>
  <c r="D1411" i="6"/>
  <c r="E1411" i="6" s="1"/>
  <c r="D1403" i="6"/>
  <c r="E1403" i="6" s="1"/>
  <c r="D1387" i="6"/>
  <c r="E1387" i="6" s="1"/>
  <c r="D1379" i="6"/>
  <c r="E1379" i="6" s="1"/>
  <c r="D1371" i="6"/>
  <c r="E1371" i="6" s="1"/>
  <c r="D1363" i="6"/>
  <c r="E1363" i="6" s="1"/>
  <c r="D1355" i="6"/>
  <c r="E1355" i="6" s="1"/>
  <c r="D1347" i="6"/>
  <c r="E1347" i="6" s="1"/>
  <c r="D1339" i="6"/>
  <c r="E1339" i="6" s="1"/>
  <c r="D1331" i="6"/>
  <c r="E1331" i="6" s="1"/>
  <c r="D1323" i="6"/>
  <c r="E1323" i="6" s="1"/>
  <c r="D1315" i="6"/>
  <c r="E1315" i="6" s="1"/>
  <c r="D1307" i="6"/>
  <c r="E1307" i="6" s="1"/>
  <c r="D1299" i="6"/>
  <c r="E1299" i="6" s="1"/>
  <c r="D1291" i="6"/>
  <c r="E1291" i="6" s="1"/>
  <c r="D1267" i="6"/>
  <c r="E1267" i="6" s="1"/>
  <c r="D1259" i="6"/>
  <c r="E1259" i="6" s="1"/>
  <c r="D1251" i="6"/>
  <c r="E1251" i="6" s="1"/>
  <c r="D1243" i="6"/>
  <c r="E1243" i="6" s="1"/>
  <c r="D1235" i="6"/>
  <c r="E1235" i="6" s="1"/>
  <c r="D1219" i="6"/>
  <c r="E1219" i="6" s="1"/>
  <c r="D1211" i="6"/>
  <c r="E1211" i="6" s="1"/>
  <c r="D1187" i="6"/>
  <c r="E1187" i="6" s="1"/>
  <c r="D1179" i="6"/>
  <c r="E1179" i="6" s="1"/>
  <c r="D1171" i="6"/>
  <c r="E1171" i="6" s="1"/>
  <c r="D1163" i="6"/>
  <c r="E1163" i="6" s="1"/>
  <c r="D1155" i="6"/>
  <c r="E1155" i="6" s="1"/>
  <c r="D1147" i="6"/>
  <c r="E1147" i="6" s="1"/>
  <c r="D1139" i="6"/>
  <c r="E1139" i="6" s="1"/>
  <c r="D1123" i="6"/>
  <c r="E1123" i="6" s="1"/>
  <c r="D1115" i="6"/>
  <c r="E1115" i="6" s="1"/>
  <c r="D1107" i="6"/>
  <c r="E1107" i="6" s="1"/>
  <c r="D1099" i="6"/>
  <c r="E1099" i="6" s="1"/>
  <c r="D1091" i="6"/>
  <c r="E1091" i="6" s="1"/>
  <c r="D1083" i="6"/>
  <c r="E1083" i="6" s="1"/>
  <c r="D1075" i="6"/>
  <c r="E1075" i="6" s="1"/>
  <c r="D1067" i="6"/>
  <c r="E1067" i="6" s="1"/>
  <c r="D1059" i="6"/>
  <c r="E1059" i="6" s="1"/>
  <c r="D1051" i="6"/>
  <c r="E1051" i="6" s="1"/>
  <c r="D1043" i="6"/>
  <c r="E1043" i="6" s="1"/>
  <c r="D1035" i="6"/>
  <c r="E1035" i="6" s="1"/>
  <c r="D1027" i="6"/>
  <c r="E1027" i="6" s="1"/>
  <c r="D1019" i="6"/>
  <c r="E1019" i="6" s="1"/>
  <c r="D1011" i="6"/>
  <c r="E1011" i="6" s="1"/>
  <c r="D1003" i="6"/>
  <c r="E1003" i="6" s="1"/>
  <c r="D995" i="6"/>
  <c r="E995" i="6" s="1"/>
  <c r="D987" i="6"/>
  <c r="E987" i="6" s="1"/>
  <c r="D979" i="6"/>
  <c r="E979" i="6" s="1"/>
  <c r="D963" i="6"/>
  <c r="E963" i="6" s="1"/>
  <c r="D955" i="6"/>
  <c r="E955" i="6" s="1"/>
  <c r="D947" i="6"/>
  <c r="E947" i="6" s="1"/>
  <c r="D939" i="6"/>
  <c r="E939" i="6" s="1"/>
  <c r="D931" i="6"/>
  <c r="E931" i="6" s="1"/>
  <c r="D923" i="6"/>
  <c r="E923" i="6" s="1"/>
  <c r="D915" i="6"/>
  <c r="E915" i="6" s="1"/>
  <c r="D899" i="6"/>
  <c r="E899" i="6" s="1"/>
  <c r="D891" i="6"/>
  <c r="E891" i="6" s="1"/>
  <c r="D883" i="6"/>
  <c r="E883" i="6" s="1"/>
  <c r="D875" i="6"/>
  <c r="E875" i="6" s="1"/>
  <c r="D867" i="6"/>
  <c r="E867" i="6" s="1"/>
  <c r="D859" i="6"/>
  <c r="E859" i="6" s="1"/>
  <c r="D851" i="6"/>
  <c r="E851" i="6" s="1"/>
  <c r="D843" i="6"/>
  <c r="E843" i="6" s="1"/>
  <c r="D835" i="6"/>
  <c r="E835" i="6" s="1"/>
  <c r="D827" i="6"/>
  <c r="E827" i="6" s="1"/>
  <c r="D811" i="6"/>
  <c r="E811" i="6" s="1"/>
  <c r="D803" i="6"/>
  <c r="E803" i="6" s="1"/>
  <c r="D795" i="6"/>
  <c r="E795" i="6" s="1"/>
  <c r="D787" i="6"/>
  <c r="E787" i="6" s="1"/>
  <c r="D779" i="6"/>
  <c r="E779" i="6" s="1"/>
  <c r="D771" i="6"/>
  <c r="E771" i="6" s="1"/>
  <c r="D763" i="6"/>
  <c r="E763" i="6" s="1"/>
  <c r="D755" i="6"/>
  <c r="E755" i="6" s="1"/>
  <c r="D747" i="6"/>
  <c r="E747" i="6" s="1"/>
  <c r="D739" i="6"/>
  <c r="E739" i="6" s="1"/>
  <c r="D731" i="6"/>
  <c r="E731" i="6" s="1"/>
  <c r="D723" i="6"/>
  <c r="E723" i="6" s="1"/>
  <c r="D715" i="6"/>
  <c r="E715" i="6" s="1"/>
  <c r="D707" i="6"/>
  <c r="E707" i="6" s="1"/>
  <c r="D699" i="6"/>
  <c r="E699" i="6" s="1"/>
  <c r="D691" i="6"/>
  <c r="E691" i="6" s="1"/>
  <c r="D683" i="6"/>
  <c r="E683" i="6" s="1"/>
  <c r="D675" i="6"/>
  <c r="E675" i="6" s="1"/>
  <c r="D667" i="6"/>
  <c r="E667" i="6" s="1"/>
  <c r="D659" i="6"/>
  <c r="E659" i="6" s="1"/>
  <c r="D651" i="6"/>
  <c r="E651" i="6" s="1"/>
  <c r="D643" i="6"/>
  <c r="E643" i="6" s="1"/>
  <c r="D635" i="6"/>
  <c r="E635" i="6" s="1"/>
  <c r="D627" i="6"/>
  <c r="E627" i="6" s="1"/>
  <c r="D611" i="6"/>
  <c r="E611" i="6" s="1"/>
  <c r="D603" i="6"/>
  <c r="E603" i="6" s="1"/>
  <c r="D595" i="6"/>
  <c r="E595" i="6" s="1"/>
  <c r="D587" i="6"/>
  <c r="E587" i="6" s="1"/>
  <c r="D579" i="6"/>
  <c r="E579" i="6" s="1"/>
  <c r="D571" i="6"/>
  <c r="E571" i="6" s="1"/>
  <c r="D563" i="6"/>
  <c r="E563" i="6" s="1"/>
  <c r="D547" i="6"/>
  <c r="E547" i="6" s="1"/>
  <c r="D531" i="6"/>
  <c r="E531" i="6" s="1"/>
  <c r="D523" i="6"/>
  <c r="E523" i="6" s="1"/>
  <c r="D1999" i="6"/>
  <c r="E1999" i="6" s="1"/>
  <c r="D1956" i="6"/>
  <c r="E1956" i="6" s="1"/>
  <c r="D1913" i="6"/>
  <c r="E1913" i="6" s="1"/>
  <c r="D1825" i="6"/>
  <c r="E1825" i="6" s="1"/>
  <c r="D1773" i="6"/>
  <c r="E1773" i="6" s="1"/>
  <c r="D1696" i="6"/>
  <c r="E1696" i="6" s="1"/>
  <c r="D1609" i="6"/>
  <c r="E1609" i="6" s="1"/>
  <c r="D1481" i="6"/>
  <c r="E1481" i="6" s="1"/>
  <c r="D1283" i="6"/>
  <c r="E1283" i="6" s="1"/>
  <c r="D815" i="6"/>
  <c r="E815" i="6" s="1"/>
  <c r="D1984" i="6"/>
  <c r="E1984" i="6" s="1"/>
  <c r="D1944" i="6"/>
  <c r="E1944" i="6" s="1"/>
  <c r="D1544" i="6"/>
  <c r="E1544" i="6" s="1"/>
  <c r="D1520" i="6"/>
  <c r="E1520" i="6" s="1"/>
  <c r="D1496" i="6"/>
  <c r="E1496" i="6" s="1"/>
  <c r="D1456" i="6"/>
  <c r="E1456" i="6" s="1"/>
  <c r="D1432" i="6"/>
  <c r="E1432" i="6" s="1"/>
  <c r="D1392" i="6"/>
  <c r="E1392" i="6" s="1"/>
  <c r="D1376" i="6"/>
  <c r="E1376" i="6" s="1"/>
  <c r="D1336" i="6"/>
  <c r="E1336" i="6" s="1"/>
  <c r="D1312" i="6"/>
  <c r="E1312" i="6" s="1"/>
  <c r="D1296" i="6"/>
  <c r="E1296" i="6" s="1"/>
  <c r="D1280" i="6"/>
  <c r="E1280" i="6" s="1"/>
  <c r="D1256" i="6"/>
  <c r="E1256" i="6" s="1"/>
  <c r="D1232" i="6"/>
  <c r="E1232" i="6" s="1"/>
  <c r="D1224" i="6"/>
  <c r="E1224" i="6" s="1"/>
  <c r="D1216" i="6"/>
  <c r="E1216" i="6" s="1"/>
  <c r="D1192" i="6"/>
  <c r="E1192" i="6" s="1"/>
  <c r="D1184" i="6"/>
  <c r="E1184" i="6" s="1"/>
  <c r="D1168" i="6"/>
  <c r="E1168" i="6" s="1"/>
  <c r="D1152" i="6"/>
  <c r="E1152" i="6" s="1"/>
  <c r="D1136" i="6"/>
  <c r="E1136" i="6" s="1"/>
  <c r="D1120" i="6"/>
  <c r="E1120" i="6" s="1"/>
  <c r="D1104" i="6"/>
  <c r="E1104" i="6" s="1"/>
  <c r="D1064" i="6"/>
  <c r="E1064" i="6" s="1"/>
  <c r="D1024" i="6"/>
  <c r="E1024" i="6" s="1"/>
  <c r="D984" i="6"/>
  <c r="E984" i="6" s="1"/>
  <c r="D952" i="6"/>
  <c r="E952" i="6" s="1"/>
  <c r="D920" i="6"/>
  <c r="E920" i="6" s="1"/>
  <c r="D896" i="6"/>
  <c r="E896" i="6" s="1"/>
  <c r="D840" i="6"/>
  <c r="E840" i="6" s="1"/>
  <c r="D1983" i="6"/>
  <c r="E1983" i="6" s="1"/>
  <c r="D1959" i="6"/>
  <c r="E1959" i="6" s="1"/>
  <c r="D1919" i="6"/>
  <c r="E1919" i="6" s="1"/>
  <c r="D1783" i="6"/>
  <c r="E1783" i="6" s="1"/>
  <c r="D1775" i="6"/>
  <c r="E1775" i="6" s="1"/>
  <c r="D1671" i="6"/>
  <c r="E1671" i="6" s="1"/>
  <c r="D1663" i="6"/>
  <c r="E1663" i="6" s="1"/>
  <c r="D1631" i="6"/>
  <c r="E1631" i="6" s="1"/>
  <c r="D1615" i="6"/>
  <c r="E1615" i="6" s="1"/>
  <c r="D1591" i="6"/>
  <c r="E1591" i="6" s="1"/>
  <c r="D1567" i="6"/>
  <c r="E1567" i="6" s="1"/>
  <c r="D1551" i="6"/>
  <c r="E1551" i="6" s="1"/>
  <c r="D1527" i="6"/>
  <c r="E1527" i="6" s="1"/>
  <c r="D1511" i="6"/>
  <c r="E1511" i="6" s="1"/>
  <c r="D1487" i="6"/>
  <c r="E1487" i="6" s="1"/>
  <c r="D1455" i="6"/>
  <c r="E1455" i="6" s="1"/>
  <c r="D1439" i="6"/>
  <c r="E1439" i="6" s="1"/>
  <c r="D1423" i="6"/>
  <c r="E1423" i="6" s="1"/>
  <c r="D1407" i="6"/>
  <c r="E1407" i="6" s="1"/>
  <c r="D1383" i="6"/>
  <c r="E1383" i="6" s="1"/>
  <c r="D1367" i="6"/>
  <c r="E1367" i="6" s="1"/>
  <c r="D1351" i="6"/>
  <c r="E1351" i="6" s="1"/>
  <c r="D1335" i="6"/>
  <c r="E1335" i="6" s="1"/>
  <c r="D1311" i="6"/>
  <c r="E1311" i="6" s="1"/>
  <c r="D1303" i="6"/>
  <c r="E1303" i="6" s="1"/>
  <c r="D1295" i="6"/>
  <c r="E1295" i="6" s="1"/>
  <c r="D1271" i="6"/>
  <c r="E1271" i="6" s="1"/>
  <c r="D1207" i="6"/>
  <c r="E1207" i="6" s="1"/>
  <c r="D1063" i="6"/>
  <c r="E1063" i="6" s="1"/>
  <c r="D1039" i="6"/>
  <c r="E1039" i="6" s="1"/>
  <c r="D1015" i="6"/>
  <c r="E1015" i="6" s="1"/>
  <c r="D999" i="6"/>
  <c r="E999" i="6" s="1"/>
  <c r="D975" i="6"/>
  <c r="E975" i="6" s="1"/>
  <c r="D959" i="6"/>
  <c r="E959" i="6" s="1"/>
  <c r="D943" i="6"/>
  <c r="E943" i="6" s="1"/>
  <c r="D927" i="6"/>
  <c r="E927" i="6" s="1"/>
  <c r="D791" i="6"/>
  <c r="E791" i="6" s="1"/>
  <c r="D751" i="6"/>
  <c r="E751" i="6" s="1"/>
  <c r="D607" i="6"/>
  <c r="E607" i="6" s="1"/>
  <c r="D2018" i="6"/>
  <c r="E2018" i="6" s="1"/>
  <c r="D2002" i="6"/>
  <c r="E2002" i="6" s="1"/>
  <c r="D1994" i="6"/>
  <c r="E1994" i="6" s="1"/>
  <c r="D1986" i="6"/>
  <c r="E1986" i="6" s="1"/>
  <c r="D1970" i="6"/>
  <c r="E1970" i="6" s="1"/>
  <c r="D1962" i="6"/>
  <c r="E1962" i="6" s="1"/>
  <c r="D1954" i="6"/>
  <c r="E1954" i="6" s="1"/>
  <c r="D1938" i="6"/>
  <c r="E1938" i="6" s="1"/>
  <c r="D1930" i="6"/>
  <c r="E1930" i="6" s="1"/>
  <c r="D1922" i="6"/>
  <c r="E1922" i="6" s="1"/>
  <c r="D1898" i="6"/>
  <c r="E1898" i="6" s="1"/>
  <c r="D1890" i="6"/>
  <c r="E1890" i="6" s="1"/>
  <c r="D1874" i="6"/>
  <c r="E1874" i="6" s="1"/>
  <c r="D1866" i="6"/>
  <c r="E1866" i="6" s="1"/>
  <c r="D1858" i="6"/>
  <c r="E1858" i="6" s="1"/>
  <c r="D1842" i="6"/>
  <c r="E1842" i="6" s="1"/>
  <c r="D1834" i="6"/>
  <c r="E1834" i="6" s="1"/>
  <c r="D1818" i="6"/>
  <c r="E1818" i="6" s="1"/>
  <c r="D1810" i="6"/>
  <c r="E1810" i="6" s="1"/>
  <c r="D1802" i="6"/>
  <c r="E1802" i="6" s="1"/>
  <c r="D1794" i="6"/>
  <c r="E1794" i="6" s="1"/>
  <c r="D1778" i="6"/>
  <c r="E1778" i="6" s="1"/>
  <c r="D1770" i="6"/>
  <c r="E1770" i="6" s="1"/>
  <c r="D1754" i="6"/>
  <c r="E1754" i="6" s="1"/>
  <c r="D1746" i="6"/>
  <c r="E1746" i="6" s="1"/>
  <c r="D1730" i="6"/>
  <c r="E1730" i="6" s="1"/>
  <c r="D1722" i="6"/>
  <c r="E1722" i="6" s="1"/>
  <c r="D1706" i="6"/>
  <c r="E1706" i="6" s="1"/>
  <c r="D1698" i="6"/>
  <c r="E1698" i="6" s="1"/>
  <c r="D1690" i="6"/>
  <c r="E1690" i="6" s="1"/>
  <c r="D1682" i="6"/>
  <c r="E1682" i="6" s="1"/>
  <c r="D1666" i="6"/>
  <c r="E1666" i="6" s="1"/>
  <c r="D1658" i="6"/>
  <c r="E1658" i="6" s="1"/>
  <c r="D1634" i="6"/>
  <c r="E1634" i="6" s="1"/>
  <c r="D1626" i="6"/>
  <c r="E1626" i="6" s="1"/>
  <c r="D1618" i="6"/>
  <c r="E1618" i="6" s="1"/>
  <c r="D1602" i="6"/>
  <c r="E1602" i="6" s="1"/>
  <c r="D1594" i="6"/>
  <c r="E1594" i="6" s="1"/>
  <c r="D1586" i="6"/>
  <c r="E1586" i="6" s="1"/>
  <c r="D1570" i="6"/>
  <c r="E1570" i="6" s="1"/>
  <c r="D1562" i="6"/>
  <c r="E1562" i="6" s="1"/>
  <c r="D1554" i="6"/>
  <c r="E1554" i="6" s="1"/>
  <c r="D1538" i="6"/>
  <c r="E1538" i="6" s="1"/>
  <c r="D1522" i="6"/>
  <c r="E1522" i="6" s="1"/>
  <c r="D1506" i="6"/>
  <c r="E1506" i="6" s="1"/>
  <c r="D1498" i="6"/>
  <c r="E1498" i="6" s="1"/>
  <c r="D1474" i="6"/>
  <c r="E1474" i="6" s="1"/>
  <c r="D1466" i="6"/>
  <c r="E1466" i="6" s="1"/>
  <c r="D1458" i="6"/>
  <c r="E1458" i="6" s="1"/>
  <c r="D1450" i="6"/>
  <c r="E1450" i="6" s="1"/>
  <c r="D1442" i="6"/>
  <c r="E1442" i="6" s="1"/>
  <c r="D1434" i="6"/>
  <c r="E1434" i="6" s="1"/>
  <c r="D1426" i="6"/>
  <c r="E1426" i="6" s="1"/>
  <c r="D1418" i="6"/>
  <c r="E1418" i="6" s="1"/>
  <c r="D1410" i="6"/>
  <c r="E1410" i="6" s="1"/>
  <c r="D1402" i="6"/>
  <c r="E1402" i="6" s="1"/>
  <c r="D1394" i="6"/>
  <c r="E1394" i="6" s="1"/>
  <c r="D1386" i="6"/>
  <c r="E1386" i="6" s="1"/>
  <c r="D1378" i="6"/>
  <c r="E1378" i="6" s="1"/>
  <c r="D1370" i="6"/>
  <c r="E1370" i="6" s="1"/>
  <c r="D1362" i="6"/>
  <c r="E1362" i="6" s="1"/>
  <c r="D1354" i="6"/>
  <c r="E1354" i="6" s="1"/>
  <c r="D1338" i="6"/>
  <c r="E1338" i="6" s="1"/>
  <c r="D1330" i="6"/>
  <c r="E1330" i="6" s="1"/>
  <c r="D1322" i="6"/>
  <c r="E1322" i="6" s="1"/>
  <c r="D1314" i="6"/>
  <c r="E1314" i="6" s="1"/>
  <c r="D1306" i="6"/>
  <c r="E1306" i="6" s="1"/>
  <c r="D1298" i="6"/>
  <c r="E1298" i="6" s="1"/>
  <c r="D1290" i="6"/>
  <c r="E1290" i="6" s="1"/>
  <c r="D1282" i="6"/>
  <c r="E1282" i="6" s="1"/>
  <c r="D1266" i="6"/>
  <c r="E1266" i="6" s="1"/>
  <c r="D1258" i="6"/>
  <c r="E1258" i="6" s="1"/>
  <c r="D1250" i="6"/>
  <c r="E1250" i="6" s="1"/>
  <c r="D1242" i="6"/>
  <c r="E1242" i="6" s="1"/>
  <c r="D1234" i="6"/>
  <c r="E1234" i="6" s="1"/>
  <c r="D1226" i="6"/>
  <c r="E1226" i="6" s="1"/>
  <c r="D1218" i="6"/>
  <c r="E1218" i="6" s="1"/>
  <c r="D1210" i="6"/>
  <c r="E1210" i="6" s="1"/>
  <c r="D1194" i="6"/>
  <c r="E1194" i="6" s="1"/>
  <c r="D1186" i="6"/>
  <c r="E1186" i="6" s="1"/>
  <c r="D1178" i="6"/>
  <c r="E1178" i="6" s="1"/>
  <c r="D1170" i="6"/>
  <c r="E1170" i="6" s="1"/>
  <c r="D1162" i="6"/>
  <c r="E1162" i="6" s="1"/>
  <c r="D1154" i="6"/>
  <c r="E1154" i="6" s="1"/>
  <c r="D1146" i="6"/>
  <c r="E1146" i="6" s="1"/>
  <c r="D1138" i="6"/>
  <c r="E1138" i="6" s="1"/>
  <c r="D1130" i="6"/>
  <c r="E1130" i="6" s="1"/>
  <c r="D1122" i="6"/>
  <c r="E1122" i="6" s="1"/>
  <c r="D1114" i="6"/>
  <c r="E1114" i="6" s="1"/>
  <c r="D1106" i="6"/>
  <c r="E1106" i="6" s="1"/>
  <c r="D1098" i="6"/>
  <c r="E1098" i="6" s="1"/>
  <c r="D1090" i="6"/>
  <c r="E1090" i="6" s="1"/>
  <c r="D1082" i="6"/>
  <c r="E1082" i="6" s="1"/>
  <c r="D1074" i="6"/>
  <c r="E1074" i="6" s="1"/>
  <c r="D1066" i="6"/>
  <c r="E1066" i="6" s="1"/>
  <c r="D1058" i="6"/>
  <c r="E1058" i="6" s="1"/>
  <c r="D1050" i="6"/>
  <c r="E1050" i="6" s="1"/>
  <c r="D1042" i="6"/>
  <c r="E1042" i="6" s="1"/>
  <c r="D1034" i="6"/>
  <c r="E1034" i="6" s="1"/>
  <c r="D1026" i="6"/>
  <c r="E1026" i="6" s="1"/>
  <c r="D1018" i="6"/>
  <c r="E1018" i="6" s="1"/>
  <c r="D1010" i="6"/>
  <c r="E1010" i="6" s="1"/>
  <c r="D1002" i="6"/>
  <c r="E1002" i="6" s="1"/>
  <c r="D994" i="6"/>
  <c r="E994" i="6" s="1"/>
  <c r="D986" i="6"/>
  <c r="E986" i="6" s="1"/>
  <c r="D978" i="6"/>
  <c r="E978" i="6" s="1"/>
  <c r="D962" i="6"/>
  <c r="E962" i="6" s="1"/>
  <c r="D954" i="6"/>
  <c r="E954" i="6" s="1"/>
  <c r="D946" i="6"/>
  <c r="E946" i="6" s="1"/>
  <c r="D938" i="6"/>
  <c r="E938" i="6" s="1"/>
  <c r="D930" i="6"/>
  <c r="E930" i="6" s="1"/>
  <c r="D922" i="6"/>
  <c r="E922" i="6" s="1"/>
  <c r="D914" i="6"/>
  <c r="E914" i="6" s="1"/>
  <c r="D906" i="6"/>
  <c r="E906" i="6" s="1"/>
  <c r="D898" i="6"/>
  <c r="E898" i="6" s="1"/>
  <c r="D890" i="6"/>
  <c r="E890" i="6" s="1"/>
  <c r="D882" i="6"/>
  <c r="E882" i="6" s="1"/>
  <c r="D874" i="6"/>
  <c r="E874" i="6" s="1"/>
  <c r="D866" i="6"/>
  <c r="E866" i="6" s="1"/>
  <c r="D858" i="6"/>
  <c r="E858" i="6" s="1"/>
  <c r="D842" i="6"/>
  <c r="E842" i="6" s="1"/>
  <c r="D834" i="6"/>
  <c r="E834" i="6" s="1"/>
  <c r="D826" i="6"/>
  <c r="E826" i="6" s="1"/>
  <c r="D818" i="6"/>
  <c r="E818" i="6" s="1"/>
  <c r="D802" i="6"/>
  <c r="E802" i="6" s="1"/>
  <c r="D794" i="6"/>
  <c r="E794" i="6" s="1"/>
  <c r="D786" i="6"/>
  <c r="E786" i="6" s="1"/>
  <c r="D778" i="6"/>
  <c r="E778" i="6" s="1"/>
  <c r="D770" i="6"/>
  <c r="E770" i="6" s="1"/>
  <c r="D762" i="6"/>
  <c r="E762" i="6" s="1"/>
  <c r="D746" i="6"/>
  <c r="E746" i="6" s="1"/>
  <c r="D738" i="6"/>
  <c r="E738" i="6" s="1"/>
  <c r="D730" i="6"/>
  <c r="E730" i="6" s="1"/>
  <c r="D722" i="6"/>
  <c r="E722" i="6" s="1"/>
  <c r="D714" i="6"/>
  <c r="E714" i="6" s="1"/>
  <c r="D706" i="6"/>
  <c r="E706" i="6" s="1"/>
  <c r="D698" i="6"/>
  <c r="E698" i="6" s="1"/>
  <c r="D690" i="6"/>
  <c r="E690" i="6" s="1"/>
  <c r="D682" i="6"/>
  <c r="E682" i="6" s="1"/>
  <c r="D674" i="6"/>
  <c r="E674" i="6" s="1"/>
  <c r="D666" i="6"/>
  <c r="E666" i="6" s="1"/>
  <c r="D658" i="6"/>
  <c r="E658" i="6" s="1"/>
  <c r="D650" i="6"/>
  <c r="E650" i="6" s="1"/>
  <c r="D642" i="6"/>
  <c r="E642" i="6" s="1"/>
  <c r="D634" i="6"/>
  <c r="E634" i="6" s="1"/>
  <c r="D626" i="6"/>
  <c r="E626" i="6" s="1"/>
  <c r="D610" i="6"/>
  <c r="E610" i="6" s="1"/>
  <c r="D602" i="6"/>
  <c r="E602" i="6" s="1"/>
  <c r="D594" i="6"/>
  <c r="E594" i="6" s="1"/>
  <c r="D578" i="6"/>
  <c r="E578" i="6" s="1"/>
  <c r="D570" i="6"/>
  <c r="E570" i="6" s="1"/>
  <c r="D562" i="6"/>
  <c r="E562" i="6" s="1"/>
  <c r="D554" i="6"/>
  <c r="E554" i="6" s="1"/>
  <c r="D546" i="6"/>
  <c r="E546" i="6" s="1"/>
  <c r="D538" i="6"/>
  <c r="E538" i="6" s="1"/>
  <c r="D530" i="6"/>
  <c r="E530" i="6" s="1"/>
  <c r="D522" i="6"/>
  <c r="E522" i="6" s="1"/>
  <c r="D514" i="6"/>
  <c r="E514" i="6" s="1"/>
  <c r="D506" i="6"/>
  <c r="E506" i="6" s="1"/>
  <c r="D498" i="6"/>
  <c r="E498" i="6" s="1"/>
  <c r="D490" i="6"/>
  <c r="E490" i="6" s="1"/>
  <c r="D482" i="6"/>
  <c r="E482" i="6" s="1"/>
  <c r="D474" i="6"/>
  <c r="E474" i="6" s="1"/>
  <c r="D466" i="6"/>
  <c r="E466" i="6" s="1"/>
  <c r="D458" i="6"/>
  <c r="E458" i="6" s="1"/>
  <c r="D450" i="6"/>
  <c r="E450" i="6" s="1"/>
  <c r="D442" i="6"/>
  <c r="E442" i="6" s="1"/>
  <c r="D434" i="6"/>
  <c r="E434" i="6" s="1"/>
  <c r="D426" i="6"/>
  <c r="E426" i="6" s="1"/>
  <c r="D418" i="6"/>
  <c r="E418" i="6" s="1"/>
  <c r="D410" i="6"/>
  <c r="E410" i="6" s="1"/>
  <c r="D402" i="6"/>
  <c r="E402" i="6" s="1"/>
  <c r="D394" i="6"/>
  <c r="E394" i="6" s="1"/>
  <c r="D386" i="6"/>
  <c r="E386" i="6" s="1"/>
  <c r="D378" i="6"/>
  <c r="E378" i="6" s="1"/>
  <c r="D370" i="6"/>
  <c r="E370" i="6" s="1"/>
  <c r="D362" i="6"/>
  <c r="E362" i="6" s="1"/>
  <c r="D354" i="6"/>
  <c r="E354" i="6" s="1"/>
  <c r="D346" i="6"/>
  <c r="E346" i="6" s="1"/>
  <c r="D338" i="6"/>
  <c r="E338" i="6" s="1"/>
  <c r="D330" i="6"/>
  <c r="E330" i="6" s="1"/>
  <c r="D322" i="6"/>
  <c r="E322" i="6" s="1"/>
  <c r="D314" i="6"/>
  <c r="E314" i="6" s="1"/>
  <c r="D306" i="6"/>
  <c r="E306" i="6" s="1"/>
  <c r="D298" i="6"/>
  <c r="E298" i="6" s="1"/>
  <c r="D290" i="6"/>
  <c r="E290" i="6" s="1"/>
  <c r="D282" i="6"/>
  <c r="E282" i="6" s="1"/>
  <c r="D274" i="6"/>
  <c r="E274" i="6" s="1"/>
  <c r="D266" i="6"/>
  <c r="E266" i="6" s="1"/>
  <c r="D258" i="6"/>
  <c r="E258" i="6" s="1"/>
  <c r="D250" i="6"/>
  <c r="E250" i="6" s="1"/>
  <c r="D242" i="6"/>
  <c r="E242" i="6" s="1"/>
  <c r="D234" i="6"/>
  <c r="E234" i="6" s="1"/>
  <c r="D226" i="6"/>
  <c r="E226" i="6" s="1"/>
  <c r="D218" i="6"/>
  <c r="E218" i="6" s="1"/>
  <c r="D202" i="6"/>
  <c r="E202" i="6" s="1"/>
  <c r="D194" i="6"/>
  <c r="E194" i="6" s="1"/>
  <c r="D186" i="6"/>
  <c r="E186" i="6" s="1"/>
  <c r="D178" i="6"/>
  <c r="E178" i="6" s="1"/>
  <c r="D170" i="6"/>
  <c r="E170" i="6" s="1"/>
  <c r="D162" i="6"/>
  <c r="E162" i="6" s="1"/>
  <c r="D154" i="6"/>
  <c r="E154" i="6" s="1"/>
  <c r="D146" i="6"/>
  <c r="E146" i="6" s="1"/>
  <c r="D138" i="6"/>
  <c r="E138" i="6" s="1"/>
  <c r="D130" i="6"/>
  <c r="E130" i="6" s="1"/>
  <c r="D122" i="6"/>
  <c r="E122" i="6" s="1"/>
  <c r="D114" i="6"/>
  <c r="E114" i="6" s="1"/>
  <c r="D98" i="6"/>
  <c r="E98" i="6" s="1"/>
  <c r="D90" i="6"/>
  <c r="E90" i="6" s="1"/>
  <c r="D82" i="6"/>
  <c r="E82" i="6" s="1"/>
  <c r="D74" i="6"/>
  <c r="E74" i="6" s="1"/>
  <c r="D66" i="6"/>
  <c r="E66" i="6" s="1"/>
  <c r="D58" i="6"/>
  <c r="E58" i="6" s="1"/>
  <c r="D50" i="6"/>
  <c r="E50" i="6" s="1"/>
  <c r="D42" i="6"/>
  <c r="E42" i="6" s="1"/>
  <c r="D34" i="6"/>
  <c r="E34" i="6" s="1"/>
  <c r="D26" i="6"/>
  <c r="E26" i="6" s="1"/>
  <c r="D18" i="6"/>
  <c r="E18" i="6" s="1"/>
  <c r="D10" i="6"/>
  <c r="E10" i="6" s="1"/>
  <c r="D2" i="6"/>
  <c r="E2" i="6" s="1"/>
  <c r="D1946" i="6"/>
  <c r="E1946" i="6" s="1"/>
  <c r="D1904" i="6"/>
  <c r="E1904" i="6" s="1"/>
  <c r="D1861" i="6"/>
  <c r="E1861" i="6" s="1"/>
  <c r="D1813" i="6"/>
  <c r="E1813" i="6" s="1"/>
  <c r="D1761" i="6"/>
  <c r="E1761" i="6" s="1"/>
  <c r="D1674" i="6"/>
  <c r="E1674" i="6" s="1"/>
  <c r="D1578" i="6"/>
  <c r="E1578" i="6" s="1"/>
  <c r="D1449" i="6"/>
  <c r="E1449" i="6" s="1"/>
  <c r="D1202" i="6"/>
  <c r="E1202" i="6" s="1"/>
  <c r="D539" i="6"/>
  <c r="E539" i="6" s="1"/>
  <c r="D1960" i="6"/>
  <c r="E1960" i="6" s="1"/>
  <c r="D1928" i="6"/>
  <c r="E1928" i="6" s="1"/>
  <c r="D1920" i="6"/>
  <c r="E1920" i="6" s="1"/>
  <c r="D1896" i="6"/>
  <c r="E1896" i="6" s="1"/>
  <c r="D1880" i="6"/>
  <c r="E1880" i="6" s="1"/>
  <c r="D1744" i="6"/>
  <c r="E1744" i="6" s="1"/>
  <c r="D1640" i="6"/>
  <c r="E1640" i="6" s="1"/>
  <c r="D1616" i="6"/>
  <c r="E1616" i="6" s="1"/>
  <c r="D1600" i="6"/>
  <c r="E1600" i="6" s="1"/>
  <c r="D1584" i="6"/>
  <c r="E1584" i="6" s="1"/>
  <c r="D1560" i="6"/>
  <c r="E1560" i="6" s="1"/>
  <c r="D1536" i="6"/>
  <c r="E1536" i="6" s="1"/>
  <c r="D1488" i="6"/>
  <c r="E1488" i="6" s="1"/>
  <c r="D1416" i="6"/>
  <c r="E1416" i="6" s="1"/>
  <c r="D1328" i="6"/>
  <c r="E1328" i="6" s="1"/>
  <c r="D1160" i="6"/>
  <c r="E1160" i="6" s="1"/>
  <c r="D1144" i="6"/>
  <c r="E1144" i="6" s="1"/>
  <c r="D1128" i="6"/>
  <c r="E1128" i="6" s="1"/>
  <c r="D1112" i="6"/>
  <c r="E1112" i="6" s="1"/>
  <c r="D1080" i="6"/>
  <c r="E1080" i="6" s="1"/>
  <c r="D1040" i="6"/>
  <c r="E1040" i="6" s="1"/>
  <c r="D1000" i="6"/>
  <c r="E1000" i="6" s="1"/>
  <c r="D944" i="6"/>
  <c r="E944" i="6" s="1"/>
  <c r="D880" i="6"/>
  <c r="E880" i="6" s="1"/>
  <c r="D816" i="6"/>
  <c r="E816" i="6" s="1"/>
  <c r="D2025" i="6"/>
  <c r="E2025" i="6" s="1"/>
  <c r="D2017" i="6"/>
  <c r="E2017" i="6" s="1"/>
  <c r="D2001" i="6"/>
  <c r="E2001" i="6" s="1"/>
  <c r="D1993" i="6"/>
  <c r="E1993" i="6" s="1"/>
  <c r="D1985" i="6"/>
  <c r="E1985" i="6" s="1"/>
  <c r="D1969" i="6"/>
  <c r="E1969" i="6" s="1"/>
  <c r="D1961" i="6"/>
  <c r="E1961" i="6" s="1"/>
  <c r="D1953" i="6"/>
  <c r="E1953" i="6" s="1"/>
  <c r="D1929" i="6"/>
  <c r="E1929" i="6" s="1"/>
  <c r="D1921" i="6"/>
  <c r="E1921" i="6" s="1"/>
  <c r="D1905" i="6"/>
  <c r="E1905" i="6" s="1"/>
  <c r="D1897" i="6"/>
  <c r="E1897" i="6" s="1"/>
  <c r="D1889" i="6"/>
  <c r="E1889" i="6" s="1"/>
  <c r="D1873" i="6"/>
  <c r="E1873" i="6" s="1"/>
  <c r="D1865" i="6"/>
  <c r="E1865" i="6" s="1"/>
  <c r="D1857" i="6"/>
  <c r="E1857" i="6" s="1"/>
  <c r="D1841" i="6"/>
  <c r="E1841" i="6" s="1"/>
  <c r="D1833" i="6"/>
  <c r="E1833" i="6" s="1"/>
  <c r="D1809" i="6"/>
  <c r="E1809" i="6" s="1"/>
  <c r="D1785" i="6"/>
  <c r="E1785" i="6" s="1"/>
  <c r="D1777" i="6"/>
  <c r="E1777" i="6" s="1"/>
  <c r="D1769" i="6"/>
  <c r="E1769" i="6" s="1"/>
  <c r="D1753" i="6"/>
  <c r="E1753" i="6" s="1"/>
  <c r="D1745" i="6"/>
  <c r="E1745" i="6" s="1"/>
  <c r="D1729" i="6"/>
  <c r="E1729" i="6" s="1"/>
  <c r="D1721" i="6"/>
  <c r="E1721" i="6" s="1"/>
  <c r="D1713" i="6"/>
  <c r="E1713" i="6" s="1"/>
  <c r="D1705" i="6"/>
  <c r="E1705" i="6" s="1"/>
  <c r="D1689" i="6"/>
  <c r="E1689" i="6" s="1"/>
  <c r="D1681" i="6"/>
  <c r="E1681" i="6" s="1"/>
  <c r="D1665" i="6"/>
  <c r="E1665" i="6" s="1"/>
  <c r="D1657" i="6"/>
  <c r="E1657" i="6" s="1"/>
  <c r="D1649" i="6"/>
  <c r="E1649" i="6" s="1"/>
  <c r="D1641" i="6"/>
  <c r="E1641" i="6" s="1"/>
  <c r="D1625" i="6"/>
  <c r="E1625" i="6" s="1"/>
  <c r="D1617" i="6"/>
  <c r="E1617" i="6" s="1"/>
  <c r="D1601" i="6"/>
  <c r="E1601" i="6" s="1"/>
  <c r="D1593" i="6"/>
  <c r="E1593" i="6" s="1"/>
  <c r="D1585" i="6"/>
  <c r="E1585" i="6" s="1"/>
  <c r="D1561" i="6"/>
  <c r="E1561" i="6" s="1"/>
  <c r="D1553" i="6"/>
  <c r="E1553" i="6" s="1"/>
  <c r="D1537" i="6"/>
  <c r="E1537" i="6" s="1"/>
  <c r="D1521" i="6"/>
  <c r="E1521" i="6" s="1"/>
  <c r="D1505" i="6"/>
  <c r="E1505" i="6" s="1"/>
  <c r="D1497" i="6"/>
  <c r="E1497" i="6" s="1"/>
  <c r="D1489" i="6"/>
  <c r="E1489" i="6" s="1"/>
  <c r="D1473" i="6"/>
  <c r="E1473" i="6" s="1"/>
  <c r="D1465" i="6"/>
  <c r="E1465" i="6" s="1"/>
  <c r="D1457" i="6"/>
  <c r="E1457" i="6" s="1"/>
  <c r="D1441" i="6"/>
  <c r="E1441" i="6" s="1"/>
  <c r="D1433" i="6"/>
  <c r="E1433" i="6" s="1"/>
  <c r="D1425" i="6"/>
  <c r="E1425" i="6" s="1"/>
  <c r="D1409" i="6"/>
  <c r="E1409" i="6" s="1"/>
  <c r="D1401" i="6"/>
  <c r="E1401" i="6" s="1"/>
  <c r="D1393" i="6"/>
  <c r="E1393" i="6" s="1"/>
  <c r="D1385" i="6"/>
  <c r="E1385" i="6" s="1"/>
  <c r="D1377" i="6"/>
  <c r="E1377" i="6" s="1"/>
  <c r="D1361" i="6"/>
  <c r="E1361" i="6" s="1"/>
  <c r="D1353" i="6"/>
  <c r="E1353" i="6" s="1"/>
  <c r="D1337" i="6"/>
  <c r="E1337" i="6" s="1"/>
  <c r="D1329" i="6"/>
  <c r="E1329" i="6" s="1"/>
  <c r="D1321" i="6"/>
  <c r="E1321" i="6" s="1"/>
  <c r="D1313" i="6"/>
  <c r="E1313" i="6" s="1"/>
  <c r="D1305" i="6"/>
  <c r="E1305" i="6" s="1"/>
  <c r="D1297" i="6"/>
  <c r="E1297" i="6" s="1"/>
  <c r="D1289" i="6"/>
  <c r="E1289" i="6" s="1"/>
  <c r="D1281" i="6"/>
  <c r="E1281" i="6" s="1"/>
  <c r="D1273" i="6"/>
  <c r="E1273" i="6" s="1"/>
  <c r="D1265" i="6"/>
  <c r="E1265" i="6" s="1"/>
  <c r="D1257" i="6"/>
  <c r="E1257" i="6" s="1"/>
  <c r="D1249" i="6"/>
  <c r="E1249" i="6" s="1"/>
  <c r="D1241" i="6"/>
  <c r="E1241" i="6" s="1"/>
  <c r="D1233" i="6"/>
  <c r="E1233" i="6" s="1"/>
  <c r="D1225" i="6"/>
  <c r="E1225" i="6" s="1"/>
  <c r="D1217" i="6"/>
  <c r="E1217" i="6" s="1"/>
  <c r="D1209" i="6"/>
  <c r="E1209" i="6" s="1"/>
  <c r="D1201" i="6"/>
  <c r="E1201" i="6" s="1"/>
  <c r="D1193" i="6"/>
  <c r="E1193" i="6" s="1"/>
  <c r="D1185" i="6"/>
  <c r="E1185" i="6" s="1"/>
  <c r="D1177" i="6"/>
  <c r="E1177" i="6" s="1"/>
  <c r="D1169" i="6"/>
  <c r="E1169" i="6" s="1"/>
  <c r="D1161" i="6"/>
  <c r="E1161" i="6" s="1"/>
  <c r="D1153" i="6"/>
  <c r="E1153" i="6" s="1"/>
  <c r="D1145" i="6"/>
  <c r="E1145" i="6" s="1"/>
  <c r="D1137" i="6"/>
  <c r="E1137" i="6" s="1"/>
  <c r="D1129" i="6"/>
  <c r="E1129" i="6" s="1"/>
  <c r="D1121" i="6"/>
  <c r="E1121" i="6" s="1"/>
  <c r="D1113" i="6"/>
  <c r="E1113" i="6" s="1"/>
  <c r="D1105" i="6"/>
  <c r="E1105" i="6" s="1"/>
  <c r="D1097" i="6"/>
  <c r="E1097" i="6" s="1"/>
  <c r="D1089" i="6"/>
  <c r="E1089" i="6" s="1"/>
  <c r="D1081" i="6"/>
  <c r="E1081" i="6" s="1"/>
  <c r="D1073" i="6"/>
  <c r="E1073" i="6" s="1"/>
  <c r="D1065" i="6"/>
  <c r="E1065" i="6" s="1"/>
  <c r="D1057" i="6"/>
  <c r="E1057" i="6" s="1"/>
  <c r="D1049" i="6"/>
  <c r="E1049" i="6" s="1"/>
  <c r="D1041" i="6"/>
  <c r="E1041" i="6" s="1"/>
  <c r="D1033" i="6"/>
  <c r="E1033" i="6" s="1"/>
  <c r="D1025" i="6"/>
  <c r="E1025" i="6" s="1"/>
  <c r="D1017" i="6"/>
  <c r="E1017" i="6" s="1"/>
  <c r="D1009" i="6"/>
  <c r="E1009" i="6" s="1"/>
  <c r="D1001" i="6"/>
  <c r="E1001" i="6" s="1"/>
  <c r="D993" i="6"/>
  <c r="E993" i="6" s="1"/>
  <c r="D985" i="6"/>
  <c r="E985" i="6" s="1"/>
  <c r="D977" i="6"/>
  <c r="E977" i="6" s="1"/>
  <c r="D969" i="6"/>
  <c r="E969" i="6" s="1"/>
  <c r="D961" i="6"/>
  <c r="E961" i="6" s="1"/>
  <c r="D953" i="6"/>
  <c r="E953" i="6" s="1"/>
  <c r="D945" i="6"/>
  <c r="E945" i="6" s="1"/>
  <c r="D937" i="6"/>
  <c r="E937" i="6" s="1"/>
  <c r="D929" i="6"/>
  <c r="E929" i="6" s="1"/>
  <c r="D921" i="6"/>
  <c r="E921" i="6" s="1"/>
  <c r="D913" i="6"/>
  <c r="E913" i="6" s="1"/>
  <c r="D905" i="6"/>
  <c r="E905" i="6" s="1"/>
  <c r="D897" i="6"/>
  <c r="E897" i="6" s="1"/>
  <c r="D889" i="6"/>
  <c r="E889" i="6" s="1"/>
  <c r="D881" i="6"/>
  <c r="E881" i="6" s="1"/>
  <c r="D873" i="6"/>
  <c r="E873" i="6" s="1"/>
  <c r="D865" i="6"/>
  <c r="E865" i="6" s="1"/>
  <c r="D857" i="6"/>
  <c r="E857" i="6" s="1"/>
  <c r="D849" i="6"/>
  <c r="E849" i="6" s="1"/>
  <c r="D841" i="6"/>
  <c r="E841" i="6" s="1"/>
  <c r="D833" i="6"/>
  <c r="E833" i="6" s="1"/>
  <c r="D825" i="6"/>
  <c r="E825" i="6" s="1"/>
  <c r="D817" i="6"/>
  <c r="E817" i="6" s="1"/>
  <c r="D809" i="6"/>
  <c r="E809" i="6" s="1"/>
  <c r="D801" i="6"/>
  <c r="E801" i="6" s="1"/>
  <c r="D793" i="6"/>
  <c r="E793" i="6" s="1"/>
  <c r="D785" i="6"/>
  <c r="E785" i="6" s="1"/>
  <c r="D777" i="6"/>
  <c r="E777" i="6" s="1"/>
  <c r="D769" i="6"/>
  <c r="E769" i="6" s="1"/>
  <c r="D761" i="6"/>
  <c r="E761" i="6" s="1"/>
  <c r="D753" i="6"/>
  <c r="E753" i="6" s="1"/>
  <c r="D737" i="6"/>
  <c r="E737" i="6" s="1"/>
  <c r="D729" i="6"/>
  <c r="E729" i="6" s="1"/>
  <c r="D721" i="6"/>
  <c r="E721" i="6" s="1"/>
  <c r="D713" i="6"/>
  <c r="E713" i="6" s="1"/>
  <c r="D705" i="6"/>
  <c r="E705" i="6" s="1"/>
  <c r="D697" i="6"/>
  <c r="E697" i="6" s="1"/>
  <c r="D689" i="6"/>
  <c r="E689" i="6" s="1"/>
  <c r="D681" i="6"/>
  <c r="E681" i="6" s="1"/>
  <c r="D673" i="6"/>
  <c r="E673" i="6" s="1"/>
  <c r="D665" i="6"/>
  <c r="E665" i="6" s="1"/>
  <c r="D657" i="6"/>
  <c r="E657" i="6" s="1"/>
  <c r="D649" i="6"/>
  <c r="E649" i="6" s="1"/>
  <c r="D641" i="6"/>
  <c r="E641" i="6" s="1"/>
  <c r="D633" i="6"/>
  <c r="E633" i="6" s="1"/>
  <c r="D625" i="6"/>
  <c r="E625" i="6" s="1"/>
  <c r="D609" i="6"/>
  <c r="E609" i="6" s="1"/>
  <c r="D601" i="6"/>
  <c r="E601" i="6" s="1"/>
  <c r="D593" i="6"/>
  <c r="E593" i="6" s="1"/>
  <c r="D585" i="6"/>
  <c r="E585" i="6" s="1"/>
  <c r="D577" i="6"/>
  <c r="E577" i="6" s="1"/>
  <c r="D569" i="6"/>
  <c r="E569" i="6" s="1"/>
  <c r="D561" i="6"/>
  <c r="E561" i="6" s="1"/>
  <c r="D553" i="6"/>
  <c r="E553" i="6" s="1"/>
  <c r="D545" i="6"/>
  <c r="E545" i="6" s="1"/>
  <c r="D537" i="6"/>
  <c r="E537" i="6" s="1"/>
  <c r="D529" i="6"/>
  <c r="E529" i="6" s="1"/>
  <c r="D521" i="6"/>
  <c r="E521" i="6" s="1"/>
  <c r="D513" i="6"/>
  <c r="E513" i="6" s="1"/>
  <c r="D505" i="6"/>
  <c r="E505" i="6" s="1"/>
  <c r="D497" i="6"/>
  <c r="E497" i="6" s="1"/>
  <c r="D481" i="6"/>
  <c r="E481" i="6" s="1"/>
  <c r="D473" i="6"/>
  <c r="E473" i="6" s="1"/>
  <c r="D465" i="6"/>
  <c r="E465" i="6" s="1"/>
  <c r="D457" i="6"/>
  <c r="E457" i="6" s="1"/>
  <c r="D449" i="6"/>
  <c r="E449" i="6" s="1"/>
  <c r="D441" i="6"/>
  <c r="E441" i="6" s="1"/>
  <c r="D433" i="6"/>
  <c r="E433" i="6" s="1"/>
  <c r="D425" i="6"/>
  <c r="E425" i="6" s="1"/>
  <c r="D417" i="6"/>
  <c r="E417" i="6" s="1"/>
  <c r="D409" i="6"/>
  <c r="E409" i="6" s="1"/>
  <c r="D401" i="6"/>
  <c r="E401" i="6" s="1"/>
  <c r="D393" i="6"/>
  <c r="E393" i="6" s="1"/>
  <c r="D385" i="6"/>
  <c r="E385" i="6" s="1"/>
  <c r="D377" i="6"/>
  <c r="E377" i="6" s="1"/>
  <c r="D369" i="6"/>
  <c r="E369" i="6" s="1"/>
  <c r="D361" i="6"/>
  <c r="E361" i="6" s="1"/>
  <c r="D353" i="6"/>
  <c r="E353" i="6" s="1"/>
  <c r="D345" i="6"/>
  <c r="E345" i="6" s="1"/>
  <c r="D337" i="6"/>
  <c r="E337" i="6" s="1"/>
  <c r="D329" i="6"/>
  <c r="E329" i="6" s="1"/>
  <c r="D321" i="6"/>
  <c r="E321" i="6" s="1"/>
  <c r="D313" i="6"/>
  <c r="E313" i="6" s="1"/>
  <c r="D305" i="6"/>
  <c r="E305" i="6" s="1"/>
  <c r="D297" i="6"/>
  <c r="E297" i="6" s="1"/>
  <c r="D281" i="6"/>
  <c r="E281" i="6" s="1"/>
  <c r="D273" i="6"/>
  <c r="E273" i="6" s="1"/>
  <c r="D265" i="6"/>
  <c r="E265" i="6" s="1"/>
  <c r="D257" i="6"/>
  <c r="E257" i="6" s="1"/>
  <c r="D249" i="6"/>
  <c r="E249" i="6" s="1"/>
  <c r="D241" i="6"/>
  <c r="E241" i="6" s="1"/>
  <c r="D233" i="6"/>
  <c r="E233" i="6" s="1"/>
  <c r="D225" i="6"/>
  <c r="E225" i="6" s="1"/>
  <c r="D217" i="6"/>
  <c r="E217" i="6" s="1"/>
  <c r="D209" i="6"/>
  <c r="E209" i="6" s="1"/>
  <c r="D201" i="6"/>
  <c r="E201" i="6" s="1"/>
  <c r="D193" i="6"/>
  <c r="E193" i="6" s="1"/>
  <c r="D185" i="6"/>
  <c r="E185" i="6" s="1"/>
  <c r="D177" i="6"/>
  <c r="E177" i="6" s="1"/>
  <c r="D169" i="6"/>
  <c r="E169" i="6" s="1"/>
  <c r="D161" i="6"/>
  <c r="E161" i="6" s="1"/>
  <c r="D153" i="6"/>
  <c r="E153" i="6" s="1"/>
  <c r="D145" i="6"/>
  <c r="E145" i="6" s="1"/>
  <c r="D137" i="6"/>
  <c r="E137" i="6" s="1"/>
  <c r="D129" i="6"/>
  <c r="E129" i="6" s="1"/>
  <c r="D121" i="6"/>
  <c r="E121" i="6" s="1"/>
  <c r="D113" i="6"/>
  <c r="E113" i="6" s="1"/>
  <c r="D105" i="6"/>
  <c r="E105" i="6" s="1"/>
  <c r="D97" i="6"/>
  <c r="E97" i="6" s="1"/>
  <c r="D89" i="6"/>
  <c r="E89" i="6" s="1"/>
  <c r="D81" i="6"/>
  <c r="E81" i="6" s="1"/>
  <c r="D73" i="6"/>
  <c r="E73" i="6" s="1"/>
  <c r="D65" i="6"/>
  <c r="E65" i="6" s="1"/>
  <c r="D57" i="6"/>
  <c r="E57" i="6" s="1"/>
  <c r="D49" i="6"/>
  <c r="E49" i="6" s="1"/>
  <c r="D41" i="6"/>
  <c r="E41" i="6" s="1"/>
  <c r="D33" i="6"/>
  <c r="E33" i="6" s="1"/>
  <c r="D25" i="6"/>
  <c r="E25" i="6" s="1"/>
  <c r="D17" i="6"/>
  <c r="E17" i="6" s="1"/>
  <c r="D9" i="6"/>
  <c r="E9" i="6" s="1"/>
  <c r="D2031" i="6"/>
  <c r="E2031" i="6" s="1"/>
  <c r="D1988" i="6"/>
  <c r="E1988" i="6" s="1"/>
  <c r="D1945" i="6"/>
  <c r="E1945" i="6" s="1"/>
  <c r="D1903" i="6"/>
  <c r="E1903" i="6" s="1"/>
  <c r="D1860" i="6"/>
  <c r="E1860" i="6" s="1"/>
  <c r="D1812" i="6"/>
  <c r="E1812" i="6" s="1"/>
  <c r="D1760" i="6"/>
  <c r="E1760" i="6" s="1"/>
  <c r="D1673" i="6"/>
  <c r="E1673" i="6" s="1"/>
  <c r="D1577" i="6"/>
  <c r="E1577" i="6" s="1"/>
  <c r="D1195" i="6"/>
  <c r="E1195" i="6" s="1"/>
  <c r="D534" i="6"/>
  <c r="E534" i="6" s="1"/>
  <c r="D784" i="6"/>
  <c r="E784" i="6" s="1"/>
  <c r="D776" i="6"/>
  <c r="E776" i="6" s="1"/>
  <c r="D768" i="6"/>
  <c r="E768" i="6" s="1"/>
  <c r="D760" i="6"/>
  <c r="E760" i="6" s="1"/>
  <c r="D752" i="6"/>
  <c r="E752" i="6" s="1"/>
  <c r="D744" i="6"/>
  <c r="E744" i="6" s="1"/>
  <c r="D736" i="6"/>
  <c r="E736" i="6" s="1"/>
  <c r="D728" i="6"/>
  <c r="E728" i="6" s="1"/>
  <c r="D720" i="6"/>
  <c r="E720" i="6" s="1"/>
  <c r="D712" i="6"/>
  <c r="E712" i="6" s="1"/>
  <c r="D704" i="6"/>
  <c r="E704" i="6" s="1"/>
  <c r="D696" i="6"/>
  <c r="E696" i="6" s="1"/>
  <c r="D688" i="6"/>
  <c r="E688" i="6" s="1"/>
  <c r="D680" i="6"/>
  <c r="E680" i="6" s="1"/>
  <c r="D672" i="6"/>
  <c r="E672" i="6" s="1"/>
  <c r="D664" i="6"/>
  <c r="E664" i="6" s="1"/>
  <c r="D656" i="6"/>
  <c r="E656" i="6" s="1"/>
  <c r="D648" i="6"/>
  <c r="E648" i="6" s="1"/>
  <c r="D640" i="6"/>
  <c r="E640" i="6" s="1"/>
  <c r="D632" i="6"/>
  <c r="E632" i="6" s="1"/>
  <c r="D624" i="6"/>
  <c r="E624" i="6" s="1"/>
  <c r="D616" i="6"/>
  <c r="E616" i="6" s="1"/>
  <c r="D608" i="6"/>
  <c r="E608" i="6" s="1"/>
  <c r="D600" i="6"/>
  <c r="E600" i="6" s="1"/>
  <c r="D592" i="6"/>
  <c r="E592" i="6" s="1"/>
  <c r="D584" i="6"/>
  <c r="E584" i="6" s="1"/>
  <c r="D576" i="6"/>
  <c r="E576" i="6" s="1"/>
  <c r="D568" i="6"/>
  <c r="E568" i="6" s="1"/>
  <c r="D560" i="6"/>
  <c r="E560" i="6" s="1"/>
  <c r="D552" i="6"/>
  <c r="E552" i="6" s="1"/>
  <c r="D544" i="6"/>
  <c r="E544" i="6" s="1"/>
  <c r="D536" i="6"/>
  <c r="E536" i="6" s="1"/>
  <c r="D528" i="6"/>
  <c r="E528" i="6" s="1"/>
  <c r="D520" i="6"/>
  <c r="E520" i="6" s="1"/>
  <c r="D512" i="6"/>
  <c r="E512" i="6" s="1"/>
  <c r="D504" i="6"/>
  <c r="E504" i="6" s="1"/>
  <c r="D496" i="6"/>
  <c r="E496" i="6" s="1"/>
  <c r="D488" i="6"/>
  <c r="E488" i="6" s="1"/>
  <c r="D480" i="6"/>
  <c r="E480" i="6" s="1"/>
  <c r="D472" i="6"/>
  <c r="E472" i="6" s="1"/>
  <c r="D464" i="6"/>
  <c r="E464" i="6" s="1"/>
  <c r="D456" i="6"/>
  <c r="E456" i="6" s="1"/>
  <c r="D448" i="6"/>
  <c r="E448" i="6" s="1"/>
  <c r="D440" i="6"/>
  <c r="E440" i="6" s="1"/>
  <c r="D432" i="6"/>
  <c r="E432" i="6" s="1"/>
  <c r="D424" i="6"/>
  <c r="E424" i="6" s="1"/>
  <c r="D416" i="6"/>
  <c r="E416" i="6" s="1"/>
  <c r="D408" i="6"/>
  <c r="E408" i="6" s="1"/>
  <c r="D400" i="6"/>
  <c r="E400" i="6" s="1"/>
  <c r="D392" i="6"/>
  <c r="E392" i="6" s="1"/>
  <c r="D384" i="6"/>
  <c r="E384" i="6" s="1"/>
  <c r="D376" i="6"/>
  <c r="E376" i="6" s="1"/>
  <c r="D368" i="6"/>
  <c r="E368" i="6" s="1"/>
  <c r="D360" i="6"/>
  <c r="E360" i="6" s="1"/>
  <c r="D352" i="6"/>
  <c r="E352" i="6" s="1"/>
  <c r="D344" i="6"/>
  <c r="E344" i="6" s="1"/>
  <c r="D336" i="6"/>
  <c r="E336" i="6" s="1"/>
  <c r="D328" i="6"/>
  <c r="E328" i="6" s="1"/>
  <c r="D320" i="6"/>
  <c r="E320" i="6" s="1"/>
  <c r="D312" i="6"/>
  <c r="E312" i="6" s="1"/>
  <c r="D304" i="6"/>
  <c r="E304" i="6" s="1"/>
  <c r="D296" i="6"/>
  <c r="E296" i="6" s="1"/>
  <c r="D288" i="6"/>
  <c r="E288" i="6" s="1"/>
  <c r="D280" i="6"/>
  <c r="E280" i="6" s="1"/>
  <c r="D272" i="6"/>
  <c r="E272" i="6" s="1"/>
  <c r="D264" i="6"/>
  <c r="E264" i="6" s="1"/>
  <c r="D256" i="6"/>
  <c r="E256" i="6" s="1"/>
  <c r="D248" i="6"/>
  <c r="E248" i="6" s="1"/>
  <c r="D240" i="6"/>
  <c r="E240" i="6" s="1"/>
  <c r="D232" i="6"/>
  <c r="E232" i="6" s="1"/>
  <c r="D224" i="6"/>
  <c r="E224" i="6" s="1"/>
  <c r="D216" i="6"/>
  <c r="E216" i="6" s="1"/>
  <c r="D208" i="6"/>
  <c r="E208" i="6" s="1"/>
  <c r="D200" i="6"/>
  <c r="E200" i="6" s="1"/>
  <c r="D192" i="6"/>
  <c r="E192" i="6" s="1"/>
  <c r="D184" i="6"/>
  <c r="E184" i="6" s="1"/>
  <c r="D176" i="6"/>
  <c r="E176" i="6" s="1"/>
  <c r="D168" i="6"/>
  <c r="E168" i="6" s="1"/>
  <c r="D160" i="6"/>
  <c r="E160" i="6" s="1"/>
  <c r="D152" i="6"/>
  <c r="E152" i="6" s="1"/>
  <c r="D144" i="6"/>
  <c r="E144" i="6" s="1"/>
  <c r="D136" i="6"/>
  <c r="E136" i="6" s="1"/>
  <c r="D128" i="6"/>
  <c r="E128" i="6" s="1"/>
  <c r="D120" i="6"/>
  <c r="E120" i="6" s="1"/>
  <c r="D112" i="6"/>
  <c r="E112" i="6" s="1"/>
  <c r="D104" i="6"/>
  <c r="E104" i="6" s="1"/>
  <c r="D96" i="6"/>
  <c r="E96" i="6" s="1"/>
  <c r="D88" i="6"/>
  <c r="E88" i="6" s="1"/>
  <c r="D80" i="6"/>
  <c r="E80" i="6" s="1"/>
  <c r="D72" i="6"/>
  <c r="E72" i="6" s="1"/>
  <c r="D64" i="6"/>
  <c r="E64" i="6" s="1"/>
  <c r="D56" i="6"/>
  <c r="E56" i="6" s="1"/>
  <c r="D48" i="6"/>
  <c r="E48" i="6" s="1"/>
  <c r="D40" i="6"/>
  <c r="E40" i="6" s="1"/>
  <c r="D32" i="6"/>
  <c r="E32" i="6" s="1"/>
  <c r="D24" i="6"/>
  <c r="E24" i="6" s="1"/>
  <c r="D16" i="6"/>
  <c r="E16" i="6" s="1"/>
  <c r="D8" i="6"/>
  <c r="E8" i="6" s="1"/>
  <c r="D591" i="6"/>
  <c r="E591" i="6" s="1"/>
  <c r="D583" i="6"/>
  <c r="E583" i="6" s="1"/>
  <c r="D575" i="6"/>
  <c r="E575" i="6" s="1"/>
  <c r="D567" i="6"/>
  <c r="E567" i="6" s="1"/>
  <c r="D559" i="6"/>
  <c r="E559" i="6" s="1"/>
  <c r="D551" i="6"/>
  <c r="E551" i="6" s="1"/>
  <c r="D543" i="6"/>
  <c r="E543" i="6" s="1"/>
  <c r="D535" i="6"/>
  <c r="E535" i="6" s="1"/>
  <c r="D527" i="6"/>
  <c r="E527" i="6" s="1"/>
  <c r="D511" i="6"/>
  <c r="E511" i="6" s="1"/>
  <c r="D503" i="6"/>
  <c r="E503" i="6" s="1"/>
  <c r="D495" i="6"/>
  <c r="E495" i="6" s="1"/>
  <c r="D487" i="6"/>
  <c r="E487" i="6" s="1"/>
  <c r="D479" i="6"/>
  <c r="E479" i="6" s="1"/>
  <c r="D471" i="6"/>
  <c r="E471" i="6" s="1"/>
  <c r="D463" i="6"/>
  <c r="E463" i="6" s="1"/>
  <c r="D455" i="6"/>
  <c r="E455" i="6" s="1"/>
  <c r="D447" i="6"/>
  <c r="E447" i="6" s="1"/>
  <c r="D439" i="6"/>
  <c r="E439" i="6" s="1"/>
  <c r="D431" i="6"/>
  <c r="E431" i="6" s="1"/>
  <c r="D423" i="6"/>
  <c r="E423" i="6" s="1"/>
  <c r="D415" i="6"/>
  <c r="E415" i="6" s="1"/>
  <c r="D407" i="6"/>
  <c r="E407" i="6" s="1"/>
  <c r="D399" i="6"/>
  <c r="E399" i="6" s="1"/>
  <c r="D391" i="6"/>
  <c r="E391" i="6" s="1"/>
  <c r="D383" i="6"/>
  <c r="E383" i="6" s="1"/>
  <c r="D375" i="6"/>
  <c r="E375" i="6" s="1"/>
  <c r="D367" i="6"/>
  <c r="E367" i="6" s="1"/>
  <c r="D359" i="6"/>
  <c r="E359" i="6" s="1"/>
  <c r="D351" i="6"/>
  <c r="E351" i="6" s="1"/>
  <c r="D343" i="6"/>
  <c r="E343" i="6" s="1"/>
  <c r="D335" i="6"/>
  <c r="E335" i="6" s="1"/>
  <c r="D327" i="6"/>
  <c r="E327" i="6" s="1"/>
  <c r="D319" i="6"/>
  <c r="E319" i="6" s="1"/>
  <c r="D311" i="6"/>
  <c r="E311" i="6" s="1"/>
  <c r="D303" i="6"/>
  <c r="E303" i="6" s="1"/>
  <c r="D295" i="6"/>
  <c r="E295" i="6" s="1"/>
  <c r="D279" i="6"/>
  <c r="E279" i="6" s="1"/>
  <c r="D271" i="6"/>
  <c r="E271" i="6" s="1"/>
  <c r="D263" i="6"/>
  <c r="E263" i="6" s="1"/>
  <c r="D255" i="6"/>
  <c r="E255" i="6" s="1"/>
  <c r="D247" i="6"/>
  <c r="E247" i="6" s="1"/>
  <c r="D239" i="6"/>
  <c r="E239" i="6" s="1"/>
  <c r="D231" i="6"/>
  <c r="E231" i="6" s="1"/>
  <c r="D223" i="6"/>
  <c r="E223" i="6" s="1"/>
  <c r="D215" i="6"/>
  <c r="E215" i="6" s="1"/>
  <c r="D207" i="6"/>
  <c r="E207" i="6" s="1"/>
  <c r="D199" i="6"/>
  <c r="E199" i="6" s="1"/>
  <c r="D191" i="6"/>
  <c r="E191" i="6" s="1"/>
  <c r="D183" i="6"/>
  <c r="E183" i="6" s="1"/>
  <c r="D175" i="6"/>
  <c r="E175" i="6" s="1"/>
  <c r="D167" i="6"/>
  <c r="E167" i="6" s="1"/>
  <c r="D159" i="6"/>
  <c r="E159" i="6" s="1"/>
  <c r="D151" i="6"/>
  <c r="E151" i="6" s="1"/>
  <c r="D143" i="6"/>
  <c r="E143" i="6" s="1"/>
  <c r="D135" i="6"/>
  <c r="E135" i="6" s="1"/>
  <c r="D119" i="6"/>
  <c r="E119" i="6" s="1"/>
  <c r="D111" i="6"/>
  <c r="E111" i="6" s="1"/>
  <c r="D103" i="6"/>
  <c r="E103" i="6" s="1"/>
  <c r="D95" i="6"/>
  <c r="E95" i="6" s="1"/>
  <c r="D87" i="6"/>
  <c r="E87" i="6" s="1"/>
  <c r="D79" i="6"/>
  <c r="E79" i="6" s="1"/>
  <c r="D71" i="6"/>
  <c r="E71" i="6" s="1"/>
  <c r="D63" i="6"/>
  <c r="E63" i="6" s="1"/>
  <c r="D55" i="6"/>
  <c r="E55" i="6" s="1"/>
  <c r="D47" i="6"/>
  <c r="E47" i="6" s="1"/>
  <c r="D39" i="6"/>
  <c r="E39" i="6" s="1"/>
  <c r="D31" i="6"/>
  <c r="E31" i="6" s="1"/>
  <c r="D23" i="6"/>
  <c r="E23" i="6" s="1"/>
  <c r="D15" i="6"/>
  <c r="E15" i="6" s="1"/>
  <c r="D7" i="6"/>
  <c r="E7" i="6" s="1"/>
  <c r="D342" i="6"/>
  <c r="E342" i="6" s="1"/>
  <c r="D334" i="6"/>
  <c r="E334" i="6" s="1"/>
  <c r="D326" i="6"/>
  <c r="E326" i="6" s="1"/>
  <c r="D318" i="6"/>
  <c r="E318" i="6" s="1"/>
  <c r="D310" i="6"/>
  <c r="E310" i="6" s="1"/>
  <c r="D302" i="6"/>
  <c r="E302" i="6" s="1"/>
  <c r="D294" i="6"/>
  <c r="E294" i="6" s="1"/>
  <c r="D286" i="6"/>
  <c r="E286" i="6" s="1"/>
  <c r="D278" i="6"/>
  <c r="E278" i="6" s="1"/>
  <c r="D270" i="6"/>
  <c r="E270" i="6" s="1"/>
  <c r="D262" i="6"/>
  <c r="E262" i="6" s="1"/>
  <c r="D254" i="6"/>
  <c r="E254" i="6" s="1"/>
  <c r="D246" i="6"/>
  <c r="E246" i="6" s="1"/>
  <c r="D230" i="6"/>
  <c r="E230" i="6" s="1"/>
  <c r="D222" i="6"/>
  <c r="E222" i="6" s="1"/>
  <c r="D206" i="6"/>
  <c r="E206" i="6" s="1"/>
  <c r="D198" i="6"/>
  <c r="E198" i="6" s="1"/>
  <c r="D182" i="6"/>
  <c r="E182" i="6" s="1"/>
  <c r="D174" i="6"/>
  <c r="E174" i="6" s="1"/>
  <c r="D166" i="6"/>
  <c r="E166" i="6" s="1"/>
  <c r="D158" i="6"/>
  <c r="E158" i="6" s="1"/>
  <c r="D150" i="6"/>
  <c r="E150" i="6" s="1"/>
  <c r="D142" i="6"/>
  <c r="E142" i="6" s="1"/>
  <c r="D134" i="6"/>
  <c r="E134" i="6" s="1"/>
  <c r="D126" i="6"/>
  <c r="E126" i="6" s="1"/>
  <c r="D118" i="6"/>
  <c r="E118" i="6" s="1"/>
  <c r="D110" i="6"/>
  <c r="E110" i="6" s="1"/>
  <c r="D102" i="6"/>
  <c r="E102" i="6" s="1"/>
  <c r="D94" i="6"/>
  <c r="E94" i="6" s="1"/>
  <c r="D86" i="6"/>
  <c r="E86" i="6" s="1"/>
  <c r="D78" i="6"/>
  <c r="E78" i="6" s="1"/>
  <c r="D62" i="6"/>
  <c r="E62" i="6" s="1"/>
  <c r="D54" i="6"/>
  <c r="E54" i="6" s="1"/>
  <c r="D46" i="6"/>
  <c r="E46" i="6" s="1"/>
  <c r="D38" i="6"/>
  <c r="E38" i="6" s="1"/>
  <c r="D30" i="6"/>
  <c r="E30" i="6" s="1"/>
  <c r="D22" i="6"/>
  <c r="E22" i="6" s="1"/>
  <c r="D14" i="6"/>
  <c r="E14" i="6" s="1"/>
  <c r="D285" i="6"/>
  <c r="E285" i="6" s="1"/>
  <c r="D277" i="6"/>
  <c r="E277" i="6" s="1"/>
  <c r="D269" i="6"/>
  <c r="E269" i="6" s="1"/>
  <c r="D261" i="6"/>
  <c r="E261" i="6" s="1"/>
  <c r="D253" i="6"/>
  <c r="E253" i="6" s="1"/>
  <c r="D245" i="6"/>
  <c r="E245" i="6" s="1"/>
  <c r="D237" i="6"/>
  <c r="E237" i="6" s="1"/>
  <c r="D229" i="6"/>
  <c r="E229" i="6" s="1"/>
  <c r="D221" i="6"/>
  <c r="E221" i="6" s="1"/>
  <c r="D213" i="6"/>
  <c r="E213" i="6" s="1"/>
  <c r="D205" i="6"/>
  <c r="E205" i="6" s="1"/>
  <c r="D197" i="6"/>
  <c r="E197" i="6" s="1"/>
  <c r="D189" i="6"/>
  <c r="E189" i="6" s="1"/>
  <c r="D181" i="6"/>
  <c r="E181" i="6" s="1"/>
  <c r="D173" i="6"/>
  <c r="E173" i="6" s="1"/>
  <c r="D165" i="6"/>
  <c r="E165" i="6" s="1"/>
  <c r="D157" i="6"/>
  <c r="E157" i="6" s="1"/>
  <c r="D149" i="6"/>
  <c r="E149" i="6" s="1"/>
  <c r="D141" i="6"/>
  <c r="E141" i="6" s="1"/>
  <c r="D133" i="6"/>
  <c r="E133" i="6" s="1"/>
  <c r="D125" i="6"/>
  <c r="E125" i="6" s="1"/>
  <c r="D117" i="6"/>
  <c r="E117" i="6" s="1"/>
  <c r="D109" i="6"/>
  <c r="E109" i="6" s="1"/>
  <c r="D101" i="6"/>
  <c r="E101" i="6" s="1"/>
  <c r="D93" i="6"/>
  <c r="E93" i="6" s="1"/>
  <c r="D85" i="6"/>
  <c r="E85" i="6" s="1"/>
  <c r="D77" i="6"/>
  <c r="E77" i="6" s="1"/>
  <c r="D69" i="6"/>
  <c r="E69" i="6" s="1"/>
  <c r="D61" i="6"/>
  <c r="E61" i="6" s="1"/>
  <c r="D53" i="6"/>
  <c r="E53" i="6" s="1"/>
  <c r="D45" i="6"/>
  <c r="E45" i="6" s="1"/>
  <c r="D37" i="6"/>
  <c r="E37" i="6" s="1"/>
  <c r="D29" i="6"/>
  <c r="E29" i="6" s="1"/>
  <c r="D21" i="6"/>
  <c r="E21" i="6" s="1"/>
  <c r="D13" i="6"/>
  <c r="E13" i="6" s="1"/>
  <c r="D5" i="6"/>
  <c r="E5" i="6" s="1"/>
  <c r="D148" i="6"/>
  <c r="E148" i="6" s="1"/>
  <c r="D140" i="6"/>
  <c r="E140" i="6" s="1"/>
  <c r="D132" i="6"/>
  <c r="E132" i="6" s="1"/>
  <c r="D124" i="6"/>
  <c r="E124" i="6" s="1"/>
  <c r="D116" i="6"/>
  <c r="E116" i="6" s="1"/>
  <c r="D108" i="6"/>
  <c r="E108" i="6" s="1"/>
  <c r="D100" i="6"/>
  <c r="E100" i="6" s="1"/>
  <c r="D92" i="6"/>
  <c r="E92" i="6" s="1"/>
  <c r="D84" i="6"/>
  <c r="E84" i="6" s="1"/>
  <c r="D76" i="6"/>
  <c r="E76" i="6" s="1"/>
  <c r="D68" i="6"/>
  <c r="E68" i="6" s="1"/>
  <c r="D60" i="6"/>
  <c r="E60" i="6" s="1"/>
  <c r="D52" i="6"/>
  <c r="E52" i="6" s="1"/>
  <c r="D44" i="6"/>
  <c r="E44" i="6" s="1"/>
  <c r="D36" i="6"/>
  <c r="E36" i="6" s="1"/>
  <c r="D28" i="6"/>
  <c r="E28" i="6" s="1"/>
  <c r="D20" i="6"/>
  <c r="E20" i="6" s="1"/>
  <c r="D12" i="6"/>
  <c r="E12" i="6" s="1"/>
  <c r="D156" i="6"/>
  <c r="E156" i="6" s="1"/>
  <c r="D507" i="6"/>
  <c r="E507" i="6" s="1"/>
  <c r="D499" i="6"/>
  <c r="E499" i="6" s="1"/>
  <c r="D491" i="6"/>
  <c r="E491" i="6" s="1"/>
  <c r="D483" i="6"/>
  <c r="E483" i="6" s="1"/>
  <c r="D475" i="6"/>
  <c r="E475" i="6" s="1"/>
  <c r="D467" i="6"/>
  <c r="E467" i="6" s="1"/>
  <c r="D459" i="6"/>
  <c r="E459" i="6" s="1"/>
  <c r="D451" i="6"/>
  <c r="E451" i="6" s="1"/>
  <c r="D443" i="6"/>
  <c r="E443" i="6" s="1"/>
  <c r="D435" i="6"/>
  <c r="E435" i="6" s="1"/>
  <c r="D427" i="6"/>
  <c r="E427" i="6" s="1"/>
  <c r="D419" i="6"/>
  <c r="E419" i="6" s="1"/>
  <c r="D403" i="6"/>
  <c r="E403" i="6" s="1"/>
  <c r="D395" i="6"/>
  <c r="E395" i="6" s="1"/>
  <c r="D387" i="6"/>
  <c r="E387" i="6" s="1"/>
  <c r="D379" i="6"/>
  <c r="E379" i="6" s="1"/>
  <c r="D355" i="6"/>
  <c r="E355" i="6" s="1"/>
  <c r="D347" i="6"/>
  <c r="E347" i="6" s="1"/>
  <c r="D339" i="6"/>
  <c r="E339" i="6" s="1"/>
  <c r="D331" i="6"/>
  <c r="E331" i="6" s="1"/>
  <c r="D323" i="6"/>
  <c r="E323" i="6" s="1"/>
  <c r="D315" i="6"/>
  <c r="E315" i="6" s="1"/>
  <c r="D307" i="6"/>
  <c r="E307" i="6" s="1"/>
  <c r="D299" i="6"/>
  <c r="E299" i="6" s="1"/>
  <c r="D291" i="6"/>
  <c r="E291" i="6" s="1"/>
  <c r="D283" i="6"/>
  <c r="E283" i="6" s="1"/>
  <c r="D275" i="6"/>
  <c r="E275" i="6" s="1"/>
  <c r="D267" i="6"/>
  <c r="E267" i="6" s="1"/>
  <c r="D259" i="6"/>
  <c r="E259" i="6" s="1"/>
  <c r="D251" i="6"/>
  <c r="E251" i="6" s="1"/>
  <c r="D243" i="6"/>
  <c r="E243" i="6" s="1"/>
  <c r="D235" i="6"/>
  <c r="E235" i="6" s="1"/>
  <c r="D227" i="6"/>
  <c r="E227" i="6" s="1"/>
  <c r="D219" i="6"/>
  <c r="E219" i="6" s="1"/>
  <c r="D211" i="6"/>
  <c r="E211" i="6" s="1"/>
  <c r="D203" i="6"/>
  <c r="E203" i="6" s="1"/>
  <c r="D195" i="6"/>
  <c r="E195" i="6" s="1"/>
  <c r="D187" i="6"/>
  <c r="E187" i="6" s="1"/>
  <c r="D179" i="6"/>
  <c r="E179" i="6" s="1"/>
  <c r="D171" i="6"/>
  <c r="E171" i="6" s="1"/>
  <c r="D163" i="6"/>
  <c r="E163" i="6" s="1"/>
  <c r="D147" i="6"/>
  <c r="E147" i="6" s="1"/>
  <c r="D139" i="6"/>
  <c r="E139" i="6" s="1"/>
  <c r="D131" i="6"/>
  <c r="E131" i="6" s="1"/>
  <c r="D123" i="6"/>
  <c r="E123" i="6" s="1"/>
  <c r="D115" i="6"/>
  <c r="E115" i="6" s="1"/>
  <c r="D107" i="6"/>
  <c r="E107" i="6" s="1"/>
  <c r="D99" i="6"/>
  <c r="E99" i="6" s="1"/>
  <c r="D91" i="6"/>
  <c r="E91" i="6" s="1"/>
  <c r="D83" i="6"/>
  <c r="E83" i="6" s="1"/>
  <c r="D75" i="6"/>
  <c r="E75" i="6" s="1"/>
  <c r="D67" i="6"/>
  <c r="E67" i="6" s="1"/>
  <c r="D59" i="6"/>
  <c r="E59" i="6" s="1"/>
  <c r="D51" i="6"/>
  <c r="E51" i="6" s="1"/>
  <c r="D43" i="6"/>
  <c r="E43" i="6" s="1"/>
  <c r="D35" i="6"/>
  <c r="E35" i="6" s="1"/>
  <c r="D27" i="6"/>
  <c r="E27" i="6" s="1"/>
  <c r="D19" i="6"/>
  <c r="E19" i="6" s="1"/>
  <c r="D11" i="6"/>
  <c r="E11" i="6" s="1"/>
  <c r="D155" i="6"/>
  <c r="E155" i="6" s="1"/>
  <c r="D6" i="6"/>
  <c r="E6" i="6" s="1"/>
  <c r="K1860" i="6"/>
  <c r="P1860" i="6" s="1"/>
  <c r="K1978" i="6"/>
  <c r="P1978" i="6" s="1"/>
  <c r="K1999" i="6"/>
  <c r="P1999" i="6" s="1"/>
  <c r="K1925" i="6"/>
  <c r="P1925" i="6" s="1"/>
  <c r="K815" i="6"/>
  <c r="P815" i="6" s="1"/>
  <c r="K1957" i="6"/>
  <c r="P1957" i="6" s="1"/>
  <c r="K1825" i="6"/>
  <c r="P1825" i="6" s="1"/>
  <c r="K1513" i="6"/>
  <c r="P1513" i="6" s="1"/>
  <c r="K2000" i="6"/>
  <c r="P2000" i="6" s="1"/>
  <c r="K1988" i="6"/>
  <c r="P1988" i="6" s="1"/>
  <c r="K1904" i="6"/>
  <c r="P1904" i="6" s="1"/>
  <c r="K1892" i="6"/>
  <c r="P1892" i="6" s="1"/>
  <c r="K1088" i="6"/>
  <c r="P1088" i="6" s="1"/>
  <c r="K1903" i="6"/>
  <c r="P1903" i="6" s="1"/>
  <c r="K2010" i="6"/>
  <c r="P2010" i="6" s="1"/>
  <c r="K1482" i="6"/>
  <c r="P1482" i="6" s="1"/>
  <c r="K1697" i="6"/>
  <c r="P1697" i="6" s="1"/>
  <c r="K2020" i="6"/>
  <c r="P2020" i="6" s="1"/>
  <c r="K1913" i="6"/>
  <c r="P1913" i="6" s="1"/>
  <c r="K1395" i="6"/>
  <c r="P1395" i="6" s="1"/>
  <c r="K2021" i="6"/>
  <c r="P2021" i="6" s="1"/>
  <c r="K1514" i="6"/>
  <c r="P1514" i="6" s="1"/>
  <c r="K1345" i="6"/>
  <c r="P1345" i="6" s="1"/>
  <c r="K1673" i="6"/>
  <c r="P1673" i="6" s="1"/>
  <c r="K1837" i="6"/>
  <c r="P1837" i="6" s="1"/>
  <c r="K1801" i="6"/>
  <c r="P1801" i="6" s="1"/>
  <c r="K1872" i="6"/>
  <c r="P1872" i="6" s="1"/>
  <c r="K1967" i="6"/>
  <c r="P1967" i="6" s="1"/>
  <c r="K1283" i="6"/>
  <c r="P1283" i="6" s="1"/>
  <c r="K2009" i="6"/>
  <c r="P2009" i="6" s="1"/>
  <c r="K1481" i="6"/>
  <c r="P1481" i="6" s="1"/>
  <c r="K1861" i="6"/>
  <c r="P1861" i="6" s="1"/>
  <c r="K1813" i="6"/>
  <c r="P1813" i="6" s="1"/>
  <c r="K1633" i="6"/>
  <c r="P1633" i="6" s="1"/>
  <c r="K1968" i="6"/>
  <c r="P1968" i="6" s="1"/>
  <c r="K970" i="6"/>
  <c r="P970" i="6" s="1"/>
  <c r="K1849" i="6"/>
  <c r="P1849" i="6" s="1"/>
  <c r="K1609" i="6"/>
  <c r="P1609" i="6" s="1"/>
  <c r="K1956" i="6"/>
  <c r="P1956" i="6" s="1"/>
  <c r="K1284" i="6"/>
  <c r="P1284" i="6" s="1"/>
  <c r="K1546" i="6"/>
  <c r="P1546" i="6" s="1"/>
  <c r="K1977" i="6"/>
  <c r="P1977" i="6" s="1"/>
  <c r="K1893" i="6"/>
  <c r="P1893" i="6" s="1"/>
  <c r="K1545" i="6"/>
  <c r="P1545" i="6" s="1"/>
  <c r="K1449" i="6"/>
  <c r="P1449" i="6" s="1"/>
  <c r="K4" i="6"/>
  <c r="K3" i="6"/>
  <c r="K829" i="6"/>
  <c r="P829" i="6" s="1"/>
  <c r="K156" i="6"/>
  <c r="P156" i="6" s="1"/>
  <c r="K1346" i="6"/>
  <c r="P1346" i="6" s="1"/>
  <c r="K971" i="6"/>
  <c r="P971" i="6" s="1"/>
  <c r="K539" i="6"/>
  <c r="P539" i="6" s="1"/>
  <c r="K155" i="6"/>
  <c r="P155" i="6" s="1"/>
  <c r="K1195" i="6"/>
  <c r="P1195" i="6" s="1"/>
  <c r="K1087" i="6"/>
  <c r="P1087" i="6" s="1"/>
  <c r="K534" i="6"/>
  <c r="P534" i="6" s="1"/>
  <c r="K1202" i="6"/>
  <c r="P1202" i="6" s="1"/>
  <c r="K1882" i="6"/>
  <c r="P1882" i="6" s="1"/>
  <c r="K1914" i="6"/>
  <c r="P1914" i="6" s="1"/>
  <c r="K1674" i="6"/>
  <c r="P1674" i="6" s="1"/>
  <c r="K1577" i="6"/>
  <c r="P1577" i="6" s="1"/>
  <c r="K1738" i="6"/>
  <c r="P1738" i="6" s="1"/>
  <c r="K1610" i="6"/>
  <c r="P1610" i="6" s="1"/>
  <c r="K1945" i="6"/>
  <c r="P1945" i="6" s="1"/>
  <c r="K1786" i="6"/>
  <c r="P1786" i="6" s="1"/>
  <c r="K1714" i="6"/>
  <c r="P1714" i="6" s="1"/>
  <c r="E15" i="1"/>
  <c r="E16" i="1"/>
  <c r="H1446" i="6"/>
  <c r="H1936" i="6"/>
  <c r="H1906" i="6"/>
  <c r="E14" i="1"/>
  <c r="E26" i="1"/>
  <c r="E38" i="1"/>
  <c r="H1278" i="6"/>
  <c r="H1686" i="6"/>
  <c r="H1687" i="6"/>
  <c r="H1864" i="6"/>
  <c r="H2008" i="6"/>
  <c r="H2014" i="6"/>
  <c r="H1447" i="6"/>
  <c r="H1949" i="6"/>
  <c r="H1923" i="6"/>
  <c r="H1543" i="6"/>
  <c r="H1869" i="6"/>
  <c r="H1881" i="6"/>
  <c r="H1830" i="6"/>
  <c r="M1515" i="6" l="1"/>
  <c r="M1948" i="6"/>
  <c r="M1737" i="6"/>
  <c r="M1176" i="6"/>
  <c r="M1096" i="6"/>
  <c r="M687" i="6"/>
  <c r="M1277" i="6"/>
  <c r="M1805" i="6"/>
  <c r="M618" i="6"/>
  <c r="M2008" i="6"/>
  <c r="M1446" i="6"/>
  <c r="M1761" i="6"/>
  <c r="M238" i="6"/>
  <c r="M1630" i="6"/>
  <c r="M879" i="6"/>
  <c r="M1255" i="6"/>
  <c r="M1907" i="6"/>
  <c r="M1492" i="6"/>
  <c r="M1278" i="6"/>
  <c r="M1528" i="6"/>
  <c r="M1647" i="6"/>
  <c r="M127" i="6"/>
  <c r="M1518" i="6"/>
  <c r="M555" i="6"/>
  <c r="M1773" i="6"/>
  <c r="M1767" i="6"/>
  <c r="M1356" i="6"/>
  <c r="M1543" i="6"/>
  <c r="M1516" i="6"/>
  <c r="M412" i="6"/>
  <c r="M1132" i="6"/>
  <c r="M287" i="6"/>
  <c r="M1227" i="6"/>
  <c r="M1517" i="6"/>
  <c r="M1817" i="6"/>
  <c r="M810" i="6"/>
  <c r="M1806" i="6"/>
  <c r="M1845" i="6"/>
  <c r="M586" i="6"/>
  <c r="M1642" i="6"/>
  <c r="M1803" i="6"/>
  <c r="M1687" i="6"/>
  <c r="M1831" i="6"/>
  <c r="M1648" i="6"/>
  <c r="M1779" i="6"/>
  <c r="M619" i="6"/>
  <c r="M1937" i="6"/>
  <c r="M1491" i="6"/>
  <c r="M1530" i="6"/>
  <c r="M1632" i="6"/>
  <c r="M1830" i="6"/>
  <c r="M1871" i="6"/>
  <c r="M676" i="6"/>
  <c r="M1372" i="6"/>
  <c r="M839" i="6"/>
  <c r="M1279" i="6"/>
  <c r="M1529" i="6"/>
  <c r="M1829" i="6"/>
  <c r="M1949" i="6"/>
  <c r="M70" i="6"/>
  <c r="M718" i="6"/>
  <c r="M1762" i="6"/>
  <c r="M1459" i="6"/>
  <c r="M1656" i="6"/>
  <c r="M1894" i="6"/>
  <c r="M371" i="6"/>
  <c r="M1840" i="6"/>
  <c r="M1696" i="6"/>
  <c r="M1946" i="6"/>
  <c r="M1578" i="6"/>
  <c r="M1826" i="6"/>
  <c r="M907" i="6"/>
  <c r="M1568" i="6"/>
  <c r="M1447" i="6"/>
  <c r="M1619" i="6"/>
  <c r="M1868" i="6"/>
  <c r="M1776" i="6"/>
  <c r="M1906" i="6"/>
  <c r="M1804" i="6"/>
  <c r="M1275" i="6"/>
  <c r="M519" i="6"/>
  <c r="M1635" i="6"/>
  <c r="M808" i="6"/>
  <c r="M1396" i="6"/>
  <c r="M1720" i="6"/>
  <c r="M1274" i="6"/>
  <c r="M653" i="6"/>
  <c r="M1661" i="6"/>
  <c r="M1850" i="6"/>
  <c r="M1650" i="6"/>
  <c r="M1203" i="6"/>
  <c r="M1950" i="6"/>
  <c r="M106" i="6"/>
  <c r="M754" i="6"/>
  <c r="M1079" i="6"/>
  <c r="M1686" i="6"/>
  <c r="M1788" i="6"/>
  <c r="M2014" i="6"/>
  <c r="M2031" i="6"/>
  <c r="M1924" i="6"/>
  <c r="M1420" i="6"/>
  <c r="M1792" i="6"/>
  <c r="M711" i="6"/>
  <c r="M1923" i="6"/>
  <c r="M1760" i="6"/>
  <c r="M489" i="6"/>
  <c r="M1727" i="6"/>
  <c r="M1869" i="6"/>
  <c r="M1800" i="6"/>
  <c r="M2026" i="6"/>
  <c r="M1989" i="6"/>
  <c r="M515" i="6"/>
  <c r="M1183" i="6"/>
  <c r="M964" i="6"/>
  <c r="M363" i="6"/>
  <c r="M1157" i="6"/>
  <c r="M1685" i="6"/>
  <c r="M1935" i="6"/>
  <c r="M1864" i="6"/>
  <c r="M1490" i="6"/>
  <c r="M190" i="6"/>
  <c r="M1462" i="6"/>
  <c r="M1811" i="6"/>
  <c r="M1881" i="6"/>
  <c r="M1812" i="6"/>
  <c r="M615" i="6"/>
  <c r="M1569" i="6"/>
  <c r="M1072" i="6"/>
  <c r="M411" i="6"/>
  <c r="M1229" i="6"/>
  <c r="M1793" i="6"/>
  <c r="M210" i="6"/>
  <c r="M1936" i="6"/>
  <c r="M1791" i="6"/>
  <c r="M214" i="6"/>
  <c r="M1582" i="6"/>
  <c r="M819" i="6"/>
  <c r="M2013" i="6"/>
  <c r="M1131" i="6"/>
  <c r="H1568" i="6"/>
  <c r="E1568" i="6"/>
  <c r="H1448" i="6"/>
  <c r="E1448" i="6"/>
  <c r="H1635" i="6"/>
  <c r="E1635" i="6"/>
  <c r="H1647" i="6"/>
  <c r="E1647" i="6"/>
  <c r="U1284" i="6"/>
  <c r="U1837" i="6"/>
  <c r="U4" i="6"/>
  <c r="U1968" i="6"/>
  <c r="U534" i="6"/>
  <c r="U1346" i="6"/>
  <c r="U815" i="6"/>
  <c r="U1914" i="6"/>
  <c r="U1956" i="6"/>
  <c r="U2000" i="6"/>
  <c r="U1546" i="6"/>
  <c r="U1633" i="6"/>
  <c r="U1860" i="6"/>
  <c r="U1786" i="6"/>
  <c r="U1088" i="6"/>
  <c r="U1988" i="6"/>
  <c r="U1813" i="6"/>
  <c r="U1674" i="6"/>
  <c r="U156" i="6"/>
  <c r="U1482" i="6"/>
  <c r="U2010" i="6"/>
  <c r="U1872" i="6"/>
  <c r="H1490" i="6"/>
  <c r="T1096" i="6"/>
  <c r="T687" i="6"/>
  <c r="T1277" i="6"/>
  <c r="T1805" i="6"/>
  <c r="T618" i="6"/>
  <c r="T2008" i="6"/>
  <c r="T1446" i="6"/>
  <c r="K1761" i="6"/>
  <c r="P1761" i="6" s="1"/>
  <c r="T238" i="6"/>
  <c r="T1630" i="6"/>
  <c r="T879" i="6"/>
  <c r="T1255" i="6"/>
  <c r="T1907" i="6"/>
  <c r="T1791" i="6"/>
  <c r="T1176" i="6"/>
  <c r="T1278" i="6"/>
  <c r="T1528" i="6"/>
  <c r="T1647" i="6"/>
  <c r="T127" i="6"/>
  <c r="T1518" i="6"/>
  <c r="T1767" i="6"/>
  <c r="T1356" i="6"/>
  <c r="T1543" i="6"/>
  <c r="T210" i="6"/>
  <c r="T412" i="6"/>
  <c r="T1132" i="6"/>
  <c r="T287" i="6"/>
  <c r="T1227" i="6"/>
  <c r="T1517" i="6"/>
  <c r="T1817" i="6"/>
  <c r="T810" i="6"/>
  <c r="T1806" i="6"/>
  <c r="T1845" i="6"/>
  <c r="T586" i="6"/>
  <c r="T1642" i="6"/>
  <c r="T1803" i="6"/>
  <c r="T1687" i="6"/>
  <c r="T1831" i="6"/>
  <c r="T1635" i="6"/>
  <c r="T1648" i="6"/>
  <c r="T1779" i="6"/>
  <c r="T619" i="6"/>
  <c r="T1937" i="6"/>
  <c r="T1491" i="6"/>
  <c r="T1530" i="6"/>
  <c r="K1632" i="6"/>
  <c r="P1632" i="6" s="1"/>
  <c r="T1830" i="6"/>
  <c r="T1871" i="6"/>
  <c r="T2013" i="6"/>
  <c r="T1516" i="6"/>
  <c r="T1948" i="6"/>
  <c r="T676" i="6"/>
  <c r="T1372" i="6"/>
  <c r="T839" i="6"/>
  <c r="T1279" i="6"/>
  <c r="T1529" i="6"/>
  <c r="T1829" i="6"/>
  <c r="T1949" i="6"/>
  <c r="T70" i="6"/>
  <c r="T718" i="6"/>
  <c r="T1762" i="6"/>
  <c r="T1459" i="6"/>
  <c r="O1656" i="6"/>
  <c r="T1894" i="6"/>
  <c r="T411" i="6"/>
  <c r="T1936" i="6"/>
  <c r="T214" i="6"/>
  <c r="T1131" i="6"/>
  <c r="K1696" i="6"/>
  <c r="P1696" i="6" s="1"/>
  <c r="T1578" i="6"/>
  <c r="T1826" i="6"/>
  <c r="T907" i="6"/>
  <c r="T1568" i="6"/>
  <c r="T1447" i="6"/>
  <c r="T1619" i="6"/>
  <c r="T1868" i="6"/>
  <c r="T1906" i="6"/>
  <c r="T1229" i="6"/>
  <c r="T808" i="6"/>
  <c r="T1720" i="6"/>
  <c r="T1274" i="6"/>
  <c r="T653" i="6"/>
  <c r="T1661" i="6"/>
  <c r="T1850" i="6"/>
  <c r="T1650" i="6"/>
  <c r="T1203" i="6"/>
  <c r="T1950" i="6"/>
  <c r="T106" i="6"/>
  <c r="T754" i="6"/>
  <c r="T1079" i="6"/>
  <c r="T1686" i="6"/>
  <c r="T1788" i="6"/>
  <c r="T2014" i="6"/>
  <c r="T1072" i="6"/>
  <c r="T1793" i="6"/>
  <c r="T819" i="6"/>
  <c r="T1420" i="6"/>
  <c r="T1792" i="6"/>
  <c r="T711" i="6"/>
  <c r="T1923" i="6"/>
  <c r="L1760" i="6"/>
  <c r="T489" i="6"/>
  <c r="T1727" i="6"/>
  <c r="T1869" i="6"/>
  <c r="T1800" i="6"/>
  <c r="T2026" i="6"/>
  <c r="T1582" i="6"/>
  <c r="T1515" i="6"/>
  <c r="T1737" i="6"/>
  <c r="T964" i="6"/>
  <c r="T363" i="6"/>
  <c r="T1157" i="6"/>
  <c r="T1685" i="6"/>
  <c r="T1935" i="6"/>
  <c r="T1864" i="6"/>
  <c r="T1490" i="6"/>
  <c r="T190" i="6"/>
  <c r="T1462" i="6"/>
  <c r="T1811" i="6"/>
  <c r="T1881" i="6"/>
  <c r="T1812" i="6"/>
  <c r="T615" i="6"/>
  <c r="T515" i="6"/>
  <c r="T1183" i="6"/>
  <c r="T1492" i="6"/>
  <c r="T1804" i="6"/>
  <c r="T1275" i="6"/>
  <c r="T2031" i="6"/>
  <c r="T1924" i="6"/>
  <c r="T371" i="6"/>
  <c r="T1569" i="6"/>
  <c r="T519" i="6"/>
  <c r="T1989" i="6"/>
  <c r="K2031" i="6"/>
  <c r="P2031" i="6" s="1"/>
  <c r="K1760" i="6"/>
  <c r="P1760" i="6" s="1"/>
  <c r="T1946" i="6"/>
  <c r="T1396" i="6"/>
  <c r="T1632" i="6"/>
  <c r="T1840" i="6"/>
  <c r="T1761" i="6"/>
  <c r="T1656" i="6"/>
  <c r="T1696" i="6"/>
  <c r="T1760" i="6"/>
  <c r="H1277" i="6"/>
  <c r="H1356" i="6"/>
  <c r="H1817" i="6"/>
  <c r="H586" i="6"/>
  <c r="H1845" i="6"/>
  <c r="H1642" i="6"/>
  <c r="H1767" i="6"/>
  <c r="H1369" i="6"/>
  <c r="H238" i="6"/>
  <c r="K1840" i="6"/>
  <c r="P1840" i="6" s="1"/>
  <c r="H1791" i="6"/>
  <c r="H1229" i="6"/>
  <c r="H1275" i="6"/>
  <c r="H1516" i="6"/>
  <c r="K1650" i="6"/>
  <c r="P1650" i="6" s="1"/>
  <c r="H1762" i="6"/>
  <c r="K1946" i="6"/>
  <c r="P1946" i="6" s="1"/>
  <c r="H1829" i="6"/>
  <c r="K1850" i="6"/>
  <c r="P1850" i="6" s="1"/>
  <c r="O964" i="6"/>
  <c r="O363" i="6"/>
  <c r="O1157" i="6"/>
  <c r="O1685" i="6"/>
  <c r="O1850" i="6"/>
  <c r="O1650" i="6"/>
  <c r="O1949" i="6"/>
  <c r="O1491" i="6"/>
  <c r="O1530" i="6"/>
  <c r="O1803" i="6"/>
  <c r="O1183" i="6"/>
  <c r="O1492" i="6"/>
  <c r="O1804" i="6"/>
  <c r="O711" i="6"/>
  <c r="O1923" i="6"/>
  <c r="O1826" i="6"/>
  <c r="O907" i="6"/>
  <c r="O1568" i="6"/>
  <c r="O70" i="6"/>
  <c r="O718" i="6"/>
  <c r="O1762" i="6"/>
  <c r="O1632" i="6"/>
  <c r="O1255" i="6"/>
  <c r="O1907" i="6"/>
  <c r="O1543" i="6"/>
  <c r="L1850" i="6"/>
  <c r="O1516" i="6"/>
  <c r="O1840" i="6"/>
  <c r="O1275" i="6"/>
  <c r="O2031" i="6"/>
  <c r="O1760" i="6"/>
  <c r="O1950" i="6"/>
  <c r="O106" i="6"/>
  <c r="O754" i="6"/>
  <c r="O1079" i="6"/>
  <c r="O1868" i="6"/>
  <c r="O1776" i="6"/>
  <c r="O1687" i="6"/>
  <c r="O1831" i="6"/>
  <c r="O1096" i="6"/>
  <c r="O687" i="6"/>
  <c r="O1277" i="6"/>
  <c r="O1805" i="6"/>
  <c r="O210" i="6"/>
  <c r="O1864" i="6"/>
  <c r="O1490" i="6"/>
  <c r="O489" i="6"/>
  <c r="O1727" i="6"/>
  <c r="O1686" i="6"/>
  <c r="O1788" i="6"/>
  <c r="O1830" i="6"/>
  <c r="O1871" i="6"/>
  <c r="O1229" i="6"/>
  <c r="O1619" i="6"/>
  <c r="O1278" i="6"/>
  <c r="O1528" i="6"/>
  <c r="O1515" i="6"/>
  <c r="O1924" i="6"/>
  <c r="O190" i="6"/>
  <c r="O1462" i="6"/>
  <c r="O1811" i="6"/>
  <c r="O1869" i="6"/>
  <c r="O1800" i="6"/>
  <c r="O1894" i="6"/>
  <c r="O412" i="6"/>
  <c r="O1132" i="6"/>
  <c r="O287" i="6"/>
  <c r="O1227" i="6"/>
  <c r="O1517" i="6"/>
  <c r="O1817" i="6"/>
  <c r="O618" i="6"/>
  <c r="O1936" i="6"/>
  <c r="O1791" i="6"/>
  <c r="O371" i="6"/>
  <c r="O1569" i="6"/>
  <c r="O519" i="6"/>
  <c r="O1881" i="6"/>
  <c r="O1812" i="6"/>
  <c r="O1906" i="6"/>
  <c r="O1648" i="6"/>
  <c r="O1647" i="6"/>
  <c r="O1948" i="6"/>
  <c r="O214" i="6"/>
  <c r="O1582" i="6"/>
  <c r="O1989" i="6"/>
  <c r="O2014" i="6"/>
  <c r="O411" i="6"/>
  <c r="O1793" i="6"/>
  <c r="O1203" i="6"/>
  <c r="O676" i="6"/>
  <c r="O1372" i="6"/>
  <c r="O839" i="6"/>
  <c r="O1279" i="6"/>
  <c r="O1529" i="6"/>
  <c r="O1829" i="6"/>
  <c r="O810" i="6"/>
  <c r="O2008" i="6"/>
  <c r="O1446" i="6"/>
  <c r="O515" i="6"/>
  <c r="O1737" i="6"/>
  <c r="O1635" i="6"/>
  <c r="O819" i="6"/>
  <c r="O2013" i="6"/>
  <c r="O2026" i="6"/>
  <c r="O1935" i="6"/>
  <c r="O1447" i="6"/>
  <c r="O1459" i="6"/>
  <c r="K1656" i="6"/>
  <c r="P1656" i="6" s="1"/>
  <c r="O1696" i="6"/>
  <c r="O1946" i="6"/>
  <c r="O1779" i="6"/>
  <c r="O127" i="6"/>
  <c r="O1518" i="6"/>
  <c r="O1761" i="6"/>
  <c r="O238" i="6"/>
  <c r="O1630" i="6"/>
  <c r="O1176" i="6"/>
  <c r="O615" i="6"/>
  <c r="O808" i="6"/>
  <c r="O1396" i="6"/>
  <c r="O1720" i="6"/>
  <c r="O1274" i="6"/>
  <c r="O653" i="6"/>
  <c r="O1661" i="6"/>
  <c r="O1806" i="6"/>
  <c r="O555" i="6"/>
  <c r="O1773" i="6"/>
  <c r="O1767" i="6"/>
  <c r="O879" i="6"/>
  <c r="O1072" i="6"/>
  <c r="H1963" i="6"/>
  <c r="O1420" i="6"/>
  <c r="O1792" i="6"/>
  <c r="O1578" i="6"/>
  <c r="O619" i="6"/>
  <c r="O1937" i="6"/>
  <c r="O1845" i="6"/>
  <c r="O586" i="6"/>
  <c r="O1642" i="6"/>
  <c r="O1356" i="6"/>
  <c r="O1131" i="6"/>
  <c r="L2031" i="6"/>
  <c r="J2031" i="6"/>
  <c r="L1840" i="6"/>
  <c r="J1840" i="6"/>
  <c r="L1812" i="6"/>
  <c r="H1462" i="6"/>
  <c r="K1812" i="6"/>
  <c r="P1812" i="6" s="1"/>
  <c r="J1773" i="6"/>
  <c r="K1396" i="6"/>
  <c r="P1396" i="6" s="1"/>
  <c r="K1800" i="6"/>
  <c r="P1800" i="6" s="1"/>
  <c r="H1648" i="6"/>
  <c r="K1720" i="6"/>
  <c r="P1720" i="6" s="1"/>
  <c r="L1761" i="6"/>
  <c r="K1737" i="6"/>
  <c r="P1737" i="6" s="1"/>
  <c r="L1737" i="6"/>
  <c r="H1774" i="6"/>
  <c r="K1773" i="6"/>
  <c r="R1773" i="6" s="1"/>
  <c r="T1773" i="6" s="1"/>
  <c r="L1946" i="6"/>
  <c r="L1773" i="6"/>
  <c r="L1800" i="6"/>
  <c r="J1946" i="6"/>
  <c r="L1656" i="6"/>
  <c r="U1656" i="6" s="1"/>
  <c r="K1776" i="6"/>
  <c r="J1632" i="6"/>
  <c r="J1656" i="6"/>
  <c r="J1776" i="6"/>
  <c r="J1737" i="6"/>
  <c r="J1800" i="6"/>
  <c r="J1696" i="6"/>
  <c r="J1761" i="6"/>
  <c r="J1812" i="6"/>
  <c r="L1396" i="6"/>
  <c r="J1578" i="6"/>
  <c r="L1632" i="6"/>
  <c r="J1650" i="6"/>
  <c r="L1776" i="6"/>
  <c r="J1850" i="6"/>
  <c r="L1578" i="6"/>
  <c r="L1650" i="6"/>
  <c r="K1578" i="6"/>
  <c r="P1578" i="6" s="1"/>
  <c r="K1826" i="6"/>
  <c r="P1826" i="6" s="1"/>
  <c r="L1826" i="6"/>
  <c r="J1826" i="6"/>
  <c r="J1396" i="6"/>
  <c r="L1696" i="6"/>
  <c r="L1720" i="6"/>
  <c r="J1760" i="6"/>
  <c r="K1788" i="6"/>
  <c r="P1788" i="6" s="1"/>
  <c r="J1720" i="6"/>
  <c r="J1788" i="6"/>
  <c r="L1788" i="6"/>
  <c r="J60" i="6"/>
  <c r="L60" i="6"/>
  <c r="U60" i="6" s="1"/>
  <c r="J158" i="6"/>
  <c r="L158" i="6"/>
  <c r="U158" i="6" s="1"/>
  <c r="J136" i="6"/>
  <c r="L136" i="6"/>
  <c r="U136" i="6" s="1"/>
  <c r="J266" i="6"/>
  <c r="L266" i="6"/>
  <c r="U266" i="6" s="1"/>
  <c r="J714" i="6"/>
  <c r="L714" i="6"/>
  <c r="U714" i="6" s="1"/>
  <c r="J1234" i="6"/>
  <c r="L1234" i="6"/>
  <c r="U1234" i="6" s="1"/>
  <c r="J1658" i="6"/>
  <c r="L1658" i="6"/>
  <c r="U1658" i="6" s="1"/>
  <c r="J1311" i="6"/>
  <c r="L1311" i="6"/>
  <c r="J840" i="6"/>
  <c r="L840" i="6"/>
  <c r="U840" i="6" s="1"/>
  <c r="J1984" i="6"/>
  <c r="L1984" i="6"/>
  <c r="U1984" i="6" s="1"/>
  <c r="J188" i="6"/>
  <c r="L188" i="6"/>
  <c r="U188" i="6" s="1"/>
  <c r="J732" i="6"/>
  <c r="L732" i="6"/>
  <c r="U732" i="6" s="1"/>
  <c r="J1292" i="6"/>
  <c r="L1292" i="6"/>
  <c r="U1292" i="6" s="1"/>
  <c r="J1876" i="6"/>
  <c r="L1876" i="6"/>
  <c r="U1876" i="6" s="1"/>
  <c r="J1399" i="6"/>
  <c r="L1399" i="6"/>
  <c r="J1990" i="6"/>
  <c r="L1990" i="6"/>
  <c r="U1990" i="6" s="1"/>
  <c r="J1480" i="6"/>
  <c r="L1480" i="6"/>
  <c r="U1480" i="6" s="1"/>
  <c r="J287" i="6"/>
  <c r="L287" i="6"/>
  <c r="U287" i="6" s="1"/>
  <c r="J1183" i="6"/>
  <c r="L1183" i="6"/>
  <c r="J1700" i="6"/>
  <c r="L1700" i="6"/>
  <c r="U1700" i="6" s="1"/>
  <c r="J363" i="6"/>
  <c r="L363" i="6"/>
  <c r="J1275" i="6"/>
  <c r="L1275" i="6"/>
  <c r="U1275" i="6" s="1"/>
  <c r="J1829" i="6"/>
  <c r="L1829" i="6"/>
  <c r="J1950" i="6"/>
  <c r="L1950" i="6"/>
  <c r="J1831" i="6"/>
  <c r="L1831" i="6"/>
  <c r="J1448" i="6"/>
  <c r="L1448" i="6"/>
  <c r="U1448" i="6" s="1"/>
  <c r="J850" i="6"/>
  <c r="L850" i="6"/>
  <c r="U850" i="6" s="1"/>
  <c r="J11" i="6"/>
  <c r="L11" i="6"/>
  <c r="U11" i="6" s="1"/>
  <c r="J59" i="6"/>
  <c r="L59" i="6"/>
  <c r="J107" i="6"/>
  <c r="L107" i="6"/>
  <c r="J163" i="6"/>
  <c r="L163" i="6"/>
  <c r="J211" i="6"/>
  <c r="L211" i="6"/>
  <c r="J259" i="6"/>
  <c r="L259" i="6"/>
  <c r="J307" i="6"/>
  <c r="L307" i="6"/>
  <c r="J355" i="6"/>
  <c r="L355" i="6"/>
  <c r="J427" i="6"/>
  <c r="L427" i="6"/>
  <c r="J475" i="6"/>
  <c r="L475" i="6"/>
  <c r="J5" i="6"/>
  <c r="L5" i="6"/>
  <c r="U5" i="6" s="1"/>
  <c r="J53" i="6"/>
  <c r="L53" i="6"/>
  <c r="J101" i="6"/>
  <c r="L101" i="6"/>
  <c r="J149" i="6"/>
  <c r="L149" i="6"/>
  <c r="J197" i="6"/>
  <c r="L197" i="6"/>
  <c r="J245" i="6"/>
  <c r="L245" i="6"/>
  <c r="J25" i="6"/>
  <c r="L25" i="6"/>
  <c r="U25" i="6" s="1"/>
  <c r="J73" i="6"/>
  <c r="L73" i="6"/>
  <c r="J121" i="6"/>
  <c r="L121" i="6"/>
  <c r="J169" i="6"/>
  <c r="L169" i="6"/>
  <c r="J217" i="6"/>
  <c r="L217" i="6"/>
  <c r="J265" i="6"/>
  <c r="L265" i="6"/>
  <c r="J321" i="6"/>
  <c r="L321" i="6"/>
  <c r="J369" i="6"/>
  <c r="L369" i="6"/>
  <c r="J417" i="6"/>
  <c r="L417" i="6"/>
  <c r="J465" i="6"/>
  <c r="L465" i="6"/>
  <c r="J521" i="6"/>
  <c r="L521" i="6"/>
  <c r="J569" i="6"/>
  <c r="L569" i="6"/>
  <c r="U569" i="6" s="1"/>
  <c r="J625" i="6"/>
  <c r="L625" i="6"/>
  <c r="J673" i="6"/>
  <c r="L673" i="6"/>
  <c r="J721" i="6"/>
  <c r="L721" i="6"/>
  <c r="J777" i="6"/>
  <c r="L777" i="6"/>
  <c r="J825" i="6"/>
  <c r="L825" i="6"/>
  <c r="J873" i="6"/>
  <c r="L873" i="6"/>
  <c r="J921" i="6"/>
  <c r="L921" i="6"/>
  <c r="J969" i="6"/>
  <c r="L969" i="6"/>
  <c r="J1017" i="6"/>
  <c r="L1017" i="6"/>
  <c r="U1017" i="6" s="1"/>
  <c r="J1065" i="6"/>
  <c r="L1065" i="6"/>
  <c r="J1113" i="6"/>
  <c r="L1113" i="6"/>
  <c r="J1161" i="6"/>
  <c r="L1161" i="6"/>
  <c r="J1209" i="6"/>
  <c r="L1209" i="6"/>
  <c r="J1257" i="6"/>
  <c r="L1257" i="6"/>
  <c r="U1257" i="6" s="1"/>
  <c r="J1305" i="6"/>
  <c r="L1305" i="6"/>
  <c r="J1361" i="6"/>
  <c r="L1361" i="6"/>
  <c r="J1425" i="6"/>
  <c r="L1425" i="6"/>
  <c r="J1489" i="6"/>
  <c r="L1489" i="6"/>
  <c r="J1561" i="6"/>
  <c r="L1561" i="6"/>
  <c r="J1641" i="6"/>
  <c r="L1641" i="6"/>
  <c r="J1705" i="6"/>
  <c r="L1705" i="6"/>
  <c r="J1769" i="6"/>
  <c r="L1769" i="6"/>
  <c r="J1857" i="6"/>
  <c r="L1857" i="6"/>
  <c r="J1921" i="6"/>
  <c r="L1921" i="6"/>
  <c r="J1993" i="6"/>
  <c r="L1993" i="6"/>
  <c r="U1993" i="6" s="1"/>
  <c r="J944" i="6"/>
  <c r="L944" i="6"/>
  <c r="U944" i="6" s="1"/>
  <c r="J1144" i="6"/>
  <c r="L1144" i="6"/>
  <c r="U1144" i="6" s="1"/>
  <c r="J1560" i="6"/>
  <c r="L1560" i="6"/>
  <c r="U1560" i="6" s="1"/>
  <c r="J1880" i="6"/>
  <c r="L1880" i="6"/>
  <c r="U1880" i="6" s="1"/>
  <c r="J2002" i="6"/>
  <c r="L2002" i="6"/>
  <c r="U2002" i="6" s="1"/>
  <c r="J1567" i="6"/>
  <c r="L1567" i="6"/>
  <c r="J523" i="6"/>
  <c r="L523" i="6"/>
  <c r="U523" i="6" s="1"/>
  <c r="J587" i="6"/>
  <c r="L587" i="6"/>
  <c r="U587" i="6" s="1"/>
  <c r="J643" i="6"/>
  <c r="L643" i="6"/>
  <c r="J691" i="6"/>
  <c r="L691" i="6"/>
  <c r="J739" i="6"/>
  <c r="L739" i="6"/>
  <c r="J787" i="6"/>
  <c r="L787" i="6"/>
  <c r="J843" i="6"/>
  <c r="L843" i="6"/>
  <c r="J891" i="6"/>
  <c r="L891" i="6"/>
  <c r="J947" i="6"/>
  <c r="L947" i="6"/>
  <c r="J1003" i="6"/>
  <c r="L1003" i="6"/>
  <c r="J1051" i="6"/>
  <c r="L1051" i="6"/>
  <c r="J1099" i="6"/>
  <c r="L1099" i="6"/>
  <c r="U1099" i="6" s="1"/>
  <c r="J1155" i="6"/>
  <c r="L1155" i="6"/>
  <c r="J1219" i="6"/>
  <c r="L1219" i="6"/>
  <c r="J1291" i="6"/>
  <c r="L1291" i="6"/>
  <c r="J1339" i="6"/>
  <c r="L1339" i="6"/>
  <c r="J1387" i="6"/>
  <c r="L1387" i="6"/>
  <c r="J1443" i="6"/>
  <c r="L1443" i="6"/>
  <c r="J1507" i="6"/>
  <c r="L1507" i="6"/>
  <c r="J1563" i="6"/>
  <c r="L1563" i="6"/>
  <c r="J1611" i="6"/>
  <c r="L1611" i="6"/>
  <c r="U1611" i="6" s="1"/>
  <c r="J1675" i="6"/>
  <c r="L1675" i="6"/>
  <c r="J1723" i="6"/>
  <c r="L1723" i="6"/>
  <c r="J1771" i="6"/>
  <c r="L1771" i="6"/>
  <c r="J1843" i="6"/>
  <c r="L1843" i="6"/>
  <c r="J1891" i="6"/>
  <c r="L1891" i="6"/>
  <c r="J1955" i="6"/>
  <c r="L1955" i="6"/>
  <c r="J2011" i="6"/>
  <c r="L2011" i="6"/>
  <c r="J767" i="6"/>
  <c r="L767" i="6"/>
  <c r="J1111" i="6"/>
  <c r="L1111" i="6"/>
  <c r="J1247" i="6"/>
  <c r="L1247" i="6"/>
  <c r="J1695" i="6"/>
  <c r="L1695" i="6"/>
  <c r="U1695" i="6" s="1"/>
  <c r="J1879" i="6"/>
  <c r="L1879" i="6"/>
  <c r="J1248" i="6"/>
  <c r="L1248" i="6"/>
  <c r="U1248" i="6" s="1"/>
  <c r="J1576" i="6"/>
  <c r="L1576" i="6"/>
  <c r="U1576" i="6" s="1"/>
  <c r="J1856" i="6"/>
  <c r="L1856" i="6"/>
  <c r="U1856" i="6" s="1"/>
  <c r="J325" i="6"/>
  <c r="L325" i="6"/>
  <c r="J373" i="6"/>
  <c r="L373" i="6"/>
  <c r="J421" i="6"/>
  <c r="L421" i="6"/>
  <c r="J469" i="6"/>
  <c r="L469" i="6"/>
  <c r="J517" i="6"/>
  <c r="L517" i="6"/>
  <c r="J565" i="6"/>
  <c r="L565" i="6"/>
  <c r="J613" i="6"/>
  <c r="L613" i="6"/>
  <c r="J669" i="6"/>
  <c r="L669" i="6"/>
  <c r="J717" i="6"/>
  <c r="L717" i="6"/>
  <c r="J765" i="6"/>
  <c r="L765" i="6"/>
  <c r="J813" i="6"/>
  <c r="L813" i="6"/>
  <c r="J869" i="6"/>
  <c r="L869" i="6"/>
  <c r="J917" i="6"/>
  <c r="L917" i="6"/>
  <c r="J965" i="6"/>
  <c r="L965" i="6"/>
  <c r="J1013" i="6"/>
  <c r="L1013" i="6"/>
  <c r="U1013" i="6" s="1"/>
  <c r="J1061" i="6"/>
  <c r="L1061" i="6"/>
  <c r="J1109" i="6"/>
  <c r="L1109" i="6"/>
  <c r="J1165" i="6"/>
  <c r="L1165" i="6"/>
  <c r="J1213" i="6"/>
  <c r="L1213" i="6"/>
  <c r="J1269" i="6"/>
  <c r="L1269" i="6"/>
  <c r="J1325" i="6"/>
  <c r="L1325" i="6"/>
  <c r="J1373" i="6"/>
  <c r="L1373" i="6"/>
  <c r="J1429" i="6"/>
  <c r="L1429" i="6"/>
  <c r="J1477" i="6"/>
  <c r="L1477" i="6"/>
  <c r="J1533" i="6"/>
  <c r="L1533" i="6"/>
  <c r="J1581" i="6"/>
  <c r="L1581" i="6"/>
  <c r="J1629" i="6"/>
  <c r="L1629" i="6"/>
  <c r="J1693" i="6"/>
  <c r="L1693" i="6"/>
  <c r="J1741" i="6"/>
  <c r="L1741" i="6"/>
  <c r="J1797" i="6"/>
  <c r="L1797" i="6"/>
  <c r="J1909" i="6"/>
  <c r="L1909" i="6"/>
  <c r="J1981" i="6"/>
  <c r="L1981" i="6"/>
  <c r="J382" i="6"/>
  <c r="L382" i="6"/>
  <c r="U382" i="6" s="1"/>
  <c r="J430" i="6"/>
  <c r="L430" i="6"/>
  <c r="U430" i="6" s="1"/>
  <c r="J478" i="6"/>
  <c r="L478" i="6"/>
  <c r="U478" i="6" s="1"/>
  <c r="J526" i="6"/>
  <c r="L526" i="6"/>
  <c r="U526" i="6" s="1"/>
  <c r="J582" i="6"/>
  <c r="L582" i="6"/>
  <c r="U582" i="6" s="1"/>
  <c r="J630" i="6"/>
  <c r="L630" i="6"/>
  <c r="U630" i="6" s="1"/>
  <c r="J678" i="6"/>
  <c r="L678" i="6"/>
  <c r="U678" i="6" s="1"/>
  <c r="J734" i="6"/>
  <c r="L734" i="6"/>
  <c r="U734" i="6" s="1"/>
  <c r="J782" i="6"/>
  <c r="L782" i="6"/>
  <c r="U782" i="6" s="1"/>
  <c r="J830" i="6"/>
  <c r="L830" i="6"/>
  <c r="U830" i="6" s="1"/>
  <c r="J878" i="6"/>
  <c r="L878" i="6"/>
  <c r="U878" i="6" s="1"/>
  <c r="J926" i="6"/>
  <c r="L926" i="6"/>
  <c r="U926" i="6" s="1"/>
  <c r="J982" i="6"/>
  <c r="L982" i="6"/>
  <c r="U982" i="6" s="1"/>
  <c r="J1030" i="6"/>
  <c r="L1030" i="6"/>
  <c r="U1030" i="6" s="1"/>
  <c r="J1078" i="6"/>
  <c r="L1078" i="6"/>
  <c r="U1078" i="6" s="1"/>
  <c r="J1126" i="6"/>
  <c r="L1126" i="6"/>
  <c r="U1126" i="6" s="1"/>
  <c r="J1174" i="6"/>
  <c r="L1174" i="6"/>
  <c r="U1174" i="6" s="1"/>
  <c r="J1222" i="6"/>
  <c r="L1222" i="6"/>
  <c r="U1222" i="6" s="1"/>
  <c r="J1270" i="6"/>
  <c r="L1270" i="6"/>
  <c r="U1270" i="6" s="1"/>
  <c r="J1326" i="6"/>
  <c r="L1326" i="6"/>
  <c r="U1326" i="6" s="1"/>
  <c r="J1374" i="6"/>
  <c r="L1374" i="6"/>
  <c r="U1374" i="6" s="1"/>
  <c r="J1422" i="6"/>
  <c r="L1422" i="6"/>
  <c r="U1422" i="6" s="1"/>
  <c r="J1486" i="6"/>
  <c r="L1486" i="6"/>
  <c r="U1486" i="6" s="1"/>
  <c r="J1542" i="6"/>
  <c r="L1542" i="6"/>
  <c r="U1542" i="6" s="1"/>
  <c r="J1598" i="6"/>
  <c r="L1598" i="6"/>
  <c r="U1598" i="6" s="1"/>
  <c r="J1654" i="6"/>
  <c r="L1654" i="6"/>
  <c r="U1654" i="6" s="1"/>
  <c r="J1710" i="6"/>
  <c r="L1710" i="6"/>
  <c r="U1710" i="6" s="1"/>
  <c r="J1758" i="6"/>
  <c r="L1758" i="6"/>
  <c r="U1758" i="6" s="1"/>
  <c r="J1878" i="6"/>
  <c r="L1878" i="6"/>
  <c r="U1878" i="6" s="1"/>
  <c r="J1934" i="6"/>
  <c r="L1934" i="6"/>
  <c r="U1934" i="6" s="1"/>
  <c r="J1279" i="6"/>
  <c r="L1279" i="6"/>
  <c r="U1279" i="6" s="1"/>
  <c r="J1687" i="6"/>
  <c r="L1687" i="6"/>
  <c r="J79" i="6"/>
  <c r="L79" i="6"/>
  <c r="J431" i="6"/>
  <c r="L431" i="6"/>
  <c r="J424" i="6"/>
  <c r="L424" i="6"/>
  <c r="U424" i="6" s="1"/>
  <c r="J712" i="6"/>
  <c r="L712" i="6"/>
  <c r="U712" i="6" s="1"/>
  <c r="J58" i="6"/>
  <c r="L58" i="6"/>
  <c r="U58" i="6" s="1"/>
  <c r="J1184" i="6"/>
  <c r="L1184" i="6"/>
  <c r="U1184" i="6" s="1"/>
  <c r="J684" i="6"/>
  <c r="L684" i="6"/>
  <c r="U684" i="6" s="1"/>
  <c r="J1476" i="6"/>
  <c r="L1476" i="6"/>
  <c r="U1476" i="6" s="1"/>
  <c r="J1599" i="6"/>
  <c r="L1599" i="6"/>
  <c r="J839" i="6"/>
  <c r="L839" i="6"/>
  <c r="J289" i="6"/>
  <c r="L289" i="6"/>
  <c r="J907" i="6"/>
  <c r="L907" i="6"/>
  <c r="J411" i="6"/>
  <c r="L411" i="6"/>
  <c r="J1937" i="6"/>
  <c r="L1937" i="6"/>
  <c r="J617" i="6"/>
  <c r="L617" i="6"/>
  <c r="U617" i="6" s="1"/>
  <c r="J1963" i="6"/>
  <c r="L1963" i="6"/>
  <c r="U1963" i="6" s="1"/>
  <c r="J1132" i="6"/>
  <c r="L1132" i="6"/>
  <c r="J1462" i="6"/>
  <c r="L1462" i="6"/>
  <c r="J20" i="6"/>
  <c r="L20" i="6"/>
  <c r="U20" i="6" s="1"/>
  <c r="J68" i="6"/>
  <c r="L68" i="6"/>
  <c r="U68" i="6" s="1"/>
  <c r="J116" i="6"/>
  <c r="L116" i="6"/>
  <c r="U116" i="6" s="1"/>
  <c r="J14" i="6"/>
  <c r="L14" i="6"/>
  <c r="U14" i="6" s="1"/>
  <c r="J62" i="6"/>
  <c r="L62" i="6"/>
  <c r="U62" i="6" s="1"/>
  <c r="J118" i="6"/>
  <c r="L118" i="6"/>
  <c r="U118" i="6" s="1"/>
  <c r="J166" i="6"/>
  <c r="L166" i="6"/>
  <c r="U166" i="6" s="1"/>
  <c r="J230" i="6"/>
  <c r="L230" i="6"/>
  <c r="U230" i="6" s="1"/>
  <c r="J286" i="6"/>
  <c r="L286" i="6"/>
  <c r="U286" i="6" s="1"/>
  <c r="J334" i="6"/>
  <c r="L334" i="6"/>
  <c r="U334" i="6" s="1"/>
  <c r="J39" i="6"/>
  <c r="L39" i="6"/>
  <c r="U39" i="6" s="1"/>
  <c r="J87" i="6"/>
  <c r="L87" i="6"/>
  <c r="J143" i="6"/>
  <c r="L143" i="6"/>
  <c r="J191" i="6"/>
  <c r="L191" i="6"/>
  <c r="J239" i="6"/>
  <c r="L239" i="6"/>
  <c r="J295" i="6"/>
  <c r="L295" i="6"/>
  <c r="J343" i="6"/>
  <c r="L343" i="6"/>
  <c r="J391" i="6"/>
  <c r="L391" i="6"/>
  <c r="J439" i="6"/>
  <c r="L439" i="6"/>
  <c r="J487" i="6"/>
  <c r="L487" i="6"/>
  <c r="J543" i="6"/>
  <c r="L543" i="6"/>
  <c r="J591" i="6"/>
  <c r="L591" i="6"/>
  <c r="J48" i="6"/>
  <c r="L48" i="6"/>
  <c r="U48" i="6" s="1"/>
  <c r="J96" i="6"/>
  <c r="L96" i="6"/>
  <c r="U96" i="6" s="1"/>
  <c r="J144" i="6"/>
  <c r="L144" i="6"/>
  <c r="U144" i="6" s="1"/>
  <c r="J192" i="6"/>
  <c r="L192" i="6"/>
  <c r="U192" i="6" s="1"/>
  <c r="J240" i="6"/>
  <c r="L240" i="6"/>
  <c r="U240" i="6" s="1"/>
  <c r="J288" i="6"/>
  <c r="L288" i="6"/>
  <c r="U288" i="6" s="1"/>
  <c r="J336" i="6"/>
  <c r="L336" i="6"/>
  <c r="U336" i="6" s="1"/>
  <c r="J384" i="6"/>
  <c r="L384" i="6"/>
  <c r="U384" i="6" s="1"/>
  <c r="J432" i="6"/>
  <c r="L432" i="6"/>
  <c r="U432" i="6" s="1"/>
  <c r="J480" i="6"/>
  <c r="L480" i="6"/>
  <c r="U480" i="6" s="1"/>
  <c r="J528" i="6"/>
  <c r="L528" i="6"/>
  <c r="U528" i="6" s="1"/>
  <c r="J576" i="6"/>
  <c r="L576" i="6"/>
  <c r="U576" i="6" s="1"/>
  <c r="J624" i="6"/>
  <c r="L624" i="6"/>
  <c r="U624" i="6" s="1"/>
  <c r="J672" i="6"/>
  <c r="L672" i="6"/>
  <c r="U672" i="6" s="1"/>
  <c r="J720" i="6"/>
  <c r="L720" i="6"/>
  <c r="U720" i="6" s="1"/>
  <c r="J768" i="6"/>
  <c r="L768" i="6"/>
  <c r="U768" i="6" s="1"/>
  <c r="J18" i="6"/>
  <c r="L18" i="6"/>
  <c r="U18" i="6" s="1"/>
  <c r="J66" i="6"/>
  <c r="L66" i="6"/>
  <c r="U66" i="6" s="1"/>
  <c r="J122" i="6"/>
  <c r="L122" i="6"/>
  <c r="U122" i="6" s="1"/>
  <c r="J170" i="6"/>
  <c r="L170" i="6"/>
  <c r="U170" i="6" s="1"/>
  <c r="J226" i="6"/>
  <c r="L226" i="6"/>
  <c r="U226" i="6" s="1"/>
  <c r="J274" i="6"/>
  <c r="L274" i="6"/>
  <c r="U274" i="6" s="1"/>
  <c r="J322" i="6"/>
  <c r="L322" i="6"/>
  <c r="U322" i="6" s="1"/>
  <c r="J370" i="6"/>
  <c r="L370" i="6"/>
  <c r="U370" i="6" s="1"/>
  <c r="J418" i="6"/>
  <c r="L418" i="6"/>
  <c r="U418" i="6" s="1"/>
  <c r="J466" i="6"/>
  <c r="L466" i="6"/>
  <c r="U466" i="6" s="1"/>
  <c r="J514" i="6"/>
  <c r="L514" i="6"/>
  <c r="U514" i="6" s="1"/>
  <c r="J562" i="6"/>
  <c r="L562" i="6"/>
  <c r="U562" i="6" s="1"/>
  <c r="J626" i="6"/>
  <c r="L626" i="6"/>
  <c r="U626" i="6" s="1"/>
  <c r="J674" i="6"/>
  <c r="L674" i="6"/>
  <c r="U674" i="6" s="1"/>
  <c r="J722" i="6"/>
  <c r="L722" i="6"/>
  <c r="U722" i="6" s="1"/>
  <c r="J778" i="6"/>
  <c r="L778" i="6"/>
  <c r="U778" i="6" s="1"/>
  <c r="J834" i="6"/>
  <c r="L834" i="6"/>
  <c r="U834" i="6" s="1"/>
  <c r="J890" i="6"/>
  <c r="L890" i="6"/>
  <c r="U890" i="6" s="1"/>
  <c r="J938" i="6"/>
  <c r="L938" i="6"/>
  <c r="U938" i="6" s="1"/>
  <c r="J994" i="6"/>
  <c r="L994" i="6"/>
  <c r="U994" i="6" s="1"/>
  <c r="J1042" i="6"/>
  <c r="L1042" i="6"/>
  <c r="U1042" i="6" s="1"/>
  <c r="J1090" i="6"/>
  <c r="L1090" i="6"/>
  <c r="U1090" i="6" s="1"/>
  <c r="J1138" i="6"/>
  <c r="L1138" i="6"/>
  <c r="U1138" i="6" s="1"/>
  <c r="J1186" i="6"/>
  <c r="L1186" i="6"/>
  <c r="U1186" i="6" s="1"/>
  <c r="J1242" i="6"/>
  <c r="L1242" i="6"/>
  <c r="U1242" i="6" s="1"/>
  <c r="J1298" i="6"/>
  <c r="L1298" i="6"/>
  <c r="U1298" i="6" s="1"/>
  <c r="J1354" i="6"/>
  <c r="L1354" i="6"/>
  <c r="U1354" i="6" s="1"/>
  <c r="J1402" i="6"/>
  <c r="L1402" i="6"/>
  <c r="U1402" i="6" s="1"/>
  <c r="J1450" i="6"/>
  <c r="L1450" i="6"/>
  <c r="U1450" i="6" s="1"/>
  <c r="J1522" i="6"/>
  <c r="L1522" i="6"/>
  <c r="U1522" i="6" s="1"/>
  <c r="J1594" i="6"/>
  <c r="L1594" i="6"/>
  <c r="U1594" i="6" s="1"/>
  <c r="J1666" i="6"/>
  <c r="L1666" i="6"/>
  <c r="U1666" i="6" s="1"/>
  <c r="J1730" i="6"/>
  <c r="L1730" i="6"/>
  <c r="U1730" i="6" s="1"/>
  <c r="J1802" i="6"/>
  <c r="L1802" i="6"/>
  <c r="U1802" i="6" s="1"/>
  <c r="J1866" i="6"/>
  <c r="L1866" i="6"/>
  <c r="U1866" i="6" s="1"/>
  <c r="J1938" i="6"/>
  <c r="L1938" i="6"/>
  <c r="U1938" i="6" s="1"/>
  <c r="J943" i="6"/>
  <c r="L943" i="6"/>
  <c r="J1063" i="6"/>
  <c r="L1063" i="6"/>
  <c r="J1335" i="6"/>
  <c r="L1335" i="6"/>
  <c r="J1439" i="6"/>
  <c r="L1439" i="6"/>
  <c r="U1439" i="6" s="1"/>
  <c r="J1775" i="6"/>
  <c r="L1775" i="6"/>
  <c r="J896" i="6"/>
  <c r="L896" i="6"/>
  <c r="U896" i="6" s="1"/>
  <c r="J1104" i="6"/>
  <c r="L1104" i="6"/>
  <c r="U1104" i="6" s="1"/>
  <c r="J1192" i="6"/>
  <c r="L1192" i="6"/>
  <c r="U1192" i="6" s="1"/>
  <c r="J1296" i="6"/>
  <c r="L1296" i="6"/>
  <c r="U1296" i="6" s="1"/>
  <c r="J1456" i="6"/>
  <c r="L1456" i="6"/>
  <c r="U1456" i="6" s="1"/>
  <c r="J196" i="6"/>
  <c r="L196" i="6"/>
  <c r="U196" i="6" s="1"/>
  <c r="J244" i="6"/>
  <c r="L244" i="6"/>
  <c r="U244" i="6" s="1"/>
  <c r="J292" i="6"/>
  <c r="L292" i="6"/>
  <c r="U292" i="6" s="1"/>
  <c r="J340" i="6"/>
  <c r="L340" i="6"/>
  <c r="U340" i="6" s="1"/>
  <c r="J388" i="6"/>
  <c r="L388" i="6"/>
  <c r="U388" i="6" s="1"/>
  <c r="J444" i="6"/>
  <c r="L444" i="6"/>
  <c r="U444" i="6" s="1"/>
  <c r="J492" i="6"/>
  <c r="L492" i="6"/>
  <c r="U492" i="6" s="1"/>
  <c r="J540" i="6"/>
  <c r="L540" i="6"/>
  <c r="U540" i="6" s="1"/>
  <c r="J588" i="6"/>
  <c r="L588" i="6"/>
  <c r="U588" i="6" s="1"/>
  <c r="J636" i="6"/>
  <c r="L636" i="6"/>
  <c r="U636" i="6" s="1"/>
  <c r="J692" i="6"/>
  <c r="L692" i="6"/>
  <c r="U692" i="6" s="1"/>
  <c r="J740" i="6"/>
  <c r="L740" i="6"/>
  <c r="U740" i="6" s="1"/>
  <c r="J788" i="6"/>
  <c r="L788" i="6"/>
  <c r="U788" i="6" s="1"/>
  <c r="J836" i="6"/>
  <c r="L836" i="6"/>
  <c r="U836" i="6" s="1"/>
  <c r="J884" i="6"/>
  <c r="L884" i="6"/>
  <c r="U884" i="6" s="1"/>
  <c r="J932" i="6"/>
  <c r="L932" i="6"/>
  <c r="U932" i="6" s="1"/>
  <c r="J988" i="6"/>
  <c r="L988" i="6"/>
  <c r="U988" i="6" s="1"/>
  <c r="J1036" i="6"/>
  <c r="L1036" i="6"/>
  <c r="U1036" i="6" s="1"/>
  <c r="J1084" i="6"/>
  <c r="L1084" i="6"/>
  <c r="U1084" i="6" s="1"/>
  <c r="J1140" i="6"/>
  <c r="L1140" i="6"/>
  <c r="U1140" i="6" s="1"/>
  <c r="J1188" i="6"/>
  <c r="L1188" i="6"/>
  <c r="U1188" i="6" s="1"/>
  <c r="J1236" i="6"/>
  <c r="L1236" i="6"/>
  <c r="U1236" i="6" s="1"/>
  <c r="J1300" i="6"/>
  <c r="L1300" i="6"/>
  <c r="U1300" i="6" s="1"/>
  <c r="J1364" i="6"/>
  <c r="L1364" i="6"/>
  <c r="U1364" i="6" s="1"/>
  <c r="J1436" i="6"/>
  <c r="L1436" i="6"/>
  <c r="U1436" i="6" s="1"/>
  <c r="J1484" i="6"/>
  <c r="L1484" i="6"/>
  <c r="U1484" i="6" s="1"/>
  <c r="J1548" i="6"/>
  <c r="L1548" i="6"/>
  <c r="U1548" i="6" s="1"/>
  <c r="J1596" i="6"/>
  <c r="L1596" i="6"/>
  <c r="U1596" i="6" s="1"/>
  <c r="J1644" i="6"/>
  <c r="L1644" i="6"/>
  <c r="U1644" i="6" s="1"/>
  <c r="J1692" i="6"/>
  <c r="L1692" i="6"/>
  <c r="U1692" i="6" s="1"/>
  <c r="J1748" i="6"/>
  <c r="L1748" i="6"/>
  <c r="U1748" i="6" s="1"/>
  <c r="J1820" i="6"/>
  <c r="L1820" i="6"/>
  <c r="U1820" i="6" s="1"/>
  <c r="J1884" i="6"/>
  <c r="L1884" i="6"/>
  <c r="U1884" i="6" s="1"/>
  <c r="J1964" i="6"/>
  <c r="L1964" i="6"/>
  <c r="U1964" i="6" s="1"/>
  <c r="J631" i="6"/>
  <c r="L631" i="6"/>
  <c r="J871" i="6"/>
  <c r="L871" i="6"/>
  <c r="J951" i="6"/>
  <c r="L951" i="6"/>
  <c r="U951" i="6" s="1"/>
  <c r="J1287" i="6"/>
  <c r="L1287" i="6"/>
  <c r="J1415" i="6"/>
  <c r="L1415" i="6"/>
  <c r="J792" i="6"/>
  <c r="L792" i="6"/>
  <c r="U792" i="6" s="1"/>
  <c r="J888" i="6"/>
  <c r="L888" i="6"/>
  <c r="U888" i="6" s="1"/>
  <c r="J1048" i="6"/>
  <c r="L1048" i="6"/>
  <c r="U1048" i="6" s="1"/>
  <c r="J1320" i="6"/>
  <c r="L1320" i="6"/>
  <c r="U1320" i="6" s="1"/>
  <c r="J1888" i="6"/>
  <c r="L1888" i="6"/>
  <c r="U1888" i="6" s="1"/>
  <c r="J718" i="6"/>
  <c r="L718" i="6"/>
  <c r="J695" i="6"/>
  <c r="L695" i="6"/>
  <c r="J1095" i="6"/>
  <c r="L1095" i="6"/>
  <c r="J1431" i="6"/>
  <c r="L1431" i="6"/>
  <c r="J1607" i="6"/>
  <c r="L1607" i="6"/>
  <c r="J1799" i="6"/>
  <c r="L1799" i="6"/>
  <c r="J1200" i="6"/>
  <c r="L1200" i="6"/>
  <c r="U1200" i="6" s="1"/>
  <c r="J1784" i="6"/>
  <c r="L1784" i="6"/>
  <c r="U1784" i="6" s="1"/>
  <c r="J1976" i="6"/>
  <c r="L1976" i="6"/>
  <c r="U1976" i="6" s="1"/>
  <c r="J745" i="6"/>
  <c r="L745" i="6"/>
  <c r="J542" i="6"/>
  <c r="L542" i="6"/>
  <c r="U542" i="6" s="1"/>
  <c r="J1382" i="6"/>
  <c r="L1382" i="6"/>
  <c r="U1382" i="6" s="1"/>
  <c r="J1606" i="6"/>
  <c r="L1606" i="6"/>
  <c r="U1606" i="6" s="1"/>
  <c r="J911" i="6"/>
  <c r="L911" i="6"/>
  <c r="J1175" i="6"/>
  <c r="L1175" i="6"/>
  <c r="J1655" i="6"/>
  <c r="L1655" i="6"/>
  <c r="J1951" i="6"/>
  <c r="L1951" i="6"/>
  <c r="J1008" i="6"/>
  <c r="L1008" i="6"/>
  <c r="U1008" i="6" s="1"/>
  <c r="J1664" i="6"/>
  <c r="L1664" i="6"/>
  <c r="U1664" i="6" s="1"/>
  <c r="J135" i="6"/>
  <c r="L135" i="6"/>
  <c r="J88" i="6"/>
  <c r="L88" i="6"/>
  <c r="U88" i="6" s="1"/>
  <c r="J506" i="6"/>
  <c r="L506" i="6"/>
  <c r="U506" i="6" s="1"/>
  <c r="J1034" i="6"/>
  <c r="L1034" i="6"/>
  <c r="U1034" i="6" s="1"/>
  <c r="J1442" i="6"/>
  <c r="L1442" i="6"/>
  <c r="U1442" i="6" s="1"/>
  <c r="J1994" i="6"/>
  <c r="L1994" i="6"/>
  <c r="U1994" i="6" s="1"/>
  <c r="J1671" i="6"/>
  <c r="L1671" i="6"/>
  <c r="U1671" i="6" s="1"/>
  <c r="J1432" i="6"/>
  <c r="L1432" i="6"/>
  <c r="U1432" i="6" s="1"/>
  <c r="J484" i="6"/>
  <c r="L484" i="6"/>
  <c r="U484" i="6" s="1"/>
  <c r="J1028" i="6"/>
  <c r="L1028" i="6"/>
  <c r="U1028" i="6" s="1"/>
  <c r="J1740" i="6"/>
  <c r="L1740" i="6"/>
  <c r="U1740" i="6" s="1"/>
  <c r="J1943" i="6"/>
  <c r="L1943" i="6"/>
  <c r="J1391" i="6"/>
  <c r="L1391" i="6"/>
  <c r="J1688" i="6"/>
  <c r="L1688" i="6"/>
  <c r="U1688" i="6" s="1"/>
  <c r="J968" i="6"/>
  <c r="L968" i="6"/>
  <c r="U968" i="6" s="1"/>
  <c r="J519" i="6"/>
  <c r="L519" i="6"/>
  <c r="J1072" i="6"/>
  <c r="L1072" i="6"/>
  <c r="J171" i="6"/>
  <c r="L171" i="6"/>
  <c r="J267" i="6"/>
  <c r="L267" i="6"/>
  <c r="J379" i="6"/>
  <c r="L379" i="6"/>
  <c r="J483" i="6"/>
  <c r="L483" i="6"/>
  <c r="J61" i="6"/>
  <c r="L61" i="6"/>
  <c r="U61" i="6" s="1"/>
  <c r="J253" i="6"/>
  <c r="L253" i="6"/>
  <c r="J33" i="6"/>
  <c r="L33" i="6"/>
  <c r="U33" i="6" s="1"/>
  <c r="J81" i="6"/>
  <c r="L81" i="6"/>
  <c r="J129" i="6"/>
  <c r="L129" i="6"/>
  <c r="J177" i="6"/>
  <c r="L177" i="6"/>
  <c r="J225" i="6"/>
  <c r="L225" i="6"/>
  <c r="J273" i="6"/>
  <c r="L273" i="6"/>
  <c r="J329" i="6"/>
  <c r="L329" i="6"/>
  <c r="U329" i="6" s="1"/>
  <c r="J377" i="6"/>
  <c r="L377" i="6"/>
  <c r="J425" i="6"/>
  <c r="L425" i="6"/>
  <c r="J473" i="6"/>
  <c r="L473" i="6"/>
  <c r="J529" i="6"/>
  <c r="L529" i="6"/>
  <c r="J577" i="6"/>
  <c r="L577" i="6"/>
  <c r="J633" i="6"/>
  <c r="L633" i="6"/>
  <c r="J681" i="6"/>
  <c r="L681" i="6"/>
  <c r="J729" i="6"/>
  <c r="L729" i="6"/>
  <c r="J785" i="6"/>
  <c r="L785" i="6"/>
  <c r="J833" i="6"/>
  <c r="L833" i="6"/>
  <c r="U833" i="6" s="1"/>
  <c r="J881" i="6"/>
  <c r="L881" i="6"/>
  <c r="J929" i="6"/>
  <c r="L929" i="6"/>
  <c r="J977" i="6"/>
  <c r="L977" i="6"/>
  <c r="J1025" i="6"/>
  <c r="L1025" i="6"/>
  <c r="J1073" i="6"/>
  <c r="L1073" i="6"/>
  <c r="U1073" i="6" s="1"/>
  <c r="J1121" i="6"/>
  <c r="L1121" i="6"/>
  <c r="J1169" i="6"/>
  <c r="L1169" i="6"/>
  <c r="J1217" i="6"/>
  <c r="L1217" i="6"/>
  <c r="J1265" i="6"/>
  <c r="L1265" i="6"/>
  <c r="U1265" i="6" s="1"/>
  <c r="J1313" i="6"/>
  <c r="L1313" i="6"/>
  <c r="J1377" i="6"/>
  <c r="L1377" i="6"/>
  <c r="J1433" i="6"/>
  <c r="L1433" i="6"/>
  <c r="J1497" i="6"/>
  <c r="L1497" i="6"/>
  <c r="J1585" i="6"/>
  <c r="L1585" i="6"/>
  <c r="J1649" i="6"/>
  <c r="L1649" i="6"/>
  <c r="J1713" i="6"/>
  <c r="L1713" i="6"/>
  <c r="J1777" i="6"/>
  <c r="L1777" i="6"/>
  <c r="J1865" i="6"/>
  <c r="L1865" i="6"/>
  <c r="J1929" i="6"/>
  <c r="L1929" i="6"/>
  <c r="J2001" i="6"/>
  <c r="L2001" i="6"/>
  <c r="J1000" i="6"/>
  <c r="L1000" i="6"/>
  <c r="U1000" i="6" s="1"/>
  <c r="J1160" i="6"/>
  <c r="L1160" i="6"/>
  <c r="U1160" i="6" s="1"/>
  <c r="J1584" i="6"/>
  <c r="L1584" i="6"/>
  <c r="U1584" i="6" s="1"/>
  <c r="J1896" i="6"/>
  <c r="L1896" i="6"/>
  <c r="U1896" i="6" s="1"/>
  <c r="J178" i="6"/>
  <c r="L178" i="6"/>
  <c r="U178" i="6" s="1"/>
  <c r="J1351" i="6"/>
  <c r="L1351" i="6"/>
  <c r="J531" i="6"/>
  <c r="L531" i="6"/>
  <c r="J595" i="6"/>
  <c r="L595" i="6"/>
  <c r="J651" i="6"/>
  <c r="L651" i="6"/>
  <c r="J699" i="6"/>
  <c r="L699" i="6"/>
  <c r="J747" i="6"/>
  <c r="L747" i="6"/>
  <c r="J795" i="6"/>
  <c r="L795" i="6"/>
  <c r="J851" i="6"/>
  <c r="L851" i="6"/>
  <c r="J899" i="6"/>
  <c r="L899" i="6"/>
  <c r="J955" i="6"/>
  <c r="L955" i="6"/>
  <c r="J1011" i="6"/>
  <c r="L1011" i="6"/>
  <c r="J1059" i="6"/>
  <c r="L1059" i="6"/>
  <c r="J1107" i="6"/>
  <c r="L1107" i="6"/>
  <c r="J1163" i="6"/>
  <c r="L1163" i="6"/>
  <c r="U1163" i="6" s="1"/>
  <c r="J1235" i="6"/>
  <c r="L1235" i="6"/>
  <c r="J1299" i="6"/>
  <c r="L1299" i="6"/>
  <c r="J1347" i="6"/>
  <c r="L1347" i="6"/>
  <c r="J1403" i="6"/>
  <c r="L1403" i="6"/>
  <c r="J1451" i="6"/>
  <c r="L1451" i="6"/>
  <c r="J1523" i="6"/>
  <c r="L1523" i="6"/>
  <c r="U1523" i="6" s="1"/>
  <c r="J1571" i="6"/>
  <c r="L1571" i="6"/>
  <c r="J1627" i="6"/>
  <c r="L1627" i="6"/>
  <c r="J1683" i="6"/>
  <c r="L1683" i="6"/>
  <c r="J1731" i="6"/>
  <c r="L1731" i="6"/>
  <c r="J1787" i="6"/>
  <c r="L1787" i="6"/>
  <c r="J1851" i="6"/>
  <c r="L1851" i="6"/>
  <c r="J1899" i="6"/>
  <c r="L1899" i="6"/>
  <c r="J1971" i="6"/>
  <c r="L1971" i="6"/>
  <c r="J2019" i="6"/>
  <c r="L2019" i="6"/>
  <c r="J647" i="6"/>
  <c r="L647" i="6"/>
  <c r="J775" i="6"/>
  <c r="L775" i="6"/>
  <c r="J1143" i="6"/>
  <c r="L1143" i="6"/>
  <c r="J1263" i="6"/>
  <c r="L1263" i="6"/>
  <c r="J1703" i="6"/>
  <c r="L1703" i="6"/>
  <c r="U1703" i="6" s="1"/>
  <c r="J2023" i="6"/>
  <c r="L2023" i="6"/>
  <c r="J1344" i="6"/>
  <c r="L1344" i="6"/>
  <c r="U1344" i="6" s="1"/>
  <c r="J1592" i="6"/>
  <c r="L1592" i="6"/>
  <c r="U1592" i="6" s="1"/>
  <c r="J1992" i="6"/>
  <c r="L1992" i="6"/>
  <c r="U1992" i="6" s="1"/>
  <c r="J1762" i="6"/>
  <c r="L1762" i="6"/>
  <c r="U1762" i="6" s="1"/>
  <c r="J333" i="6"/>
  <c r="L333" i="6"/>
  <c r="J381" i="6"/>
  <c r="L381" i="6"/>
  <c r="J429" i="6"/>
  <c r="L429" i="6"/>
  <c r="J477" i="6"/>
  <c r="L477" i="6"/>
  <c r="J525" i="6"/>
  <c r="L525" i="6"/>
  <c r="J573" i="6"/>
  <c r="L573" i="6"/>
  <c r="J621" i="6"/>
  <c r="L621" i="6"/>
  <c r="J677" i="6"/>
  <c r="L677" i="6"/>
  <c r="J725" i="6"/>
  <c r="L725" i="6"/>
  <c r="J773" i="6"/>
  <c r="L773" i="6"/>
  <c r="U773" i="6" s="1"/>
  <c r="J821" i="6"/>
  <c r="L821" i="6"/>
  <c r="J877" i="6"/>
  <c r="L877" i="6"/>
  <c r="J925" i="6"/>
  <c r="L925" i="6"/>
  <c r="J973" i="6"/>
  <c r="L973" i="6"/>
  <c r="J1021" i="6"/>
  <c r="L1021" i="6"/>
  <c r="J1069" i="6"/>
  <c r="L1069" i="6"/>
  <c r="J1117" i="6"/>
  <c r="L1117" i="6"/>
  <c r="J1173" i="6"/>
  <c r="L1173" i="6"/>
  <c r="J1221" i="6"/>
  <c r="L1221" i="6"/>
  <c r="U1221" i="6" s="1"/>
  <c r="J1285" i="6"/>
  <c r="L1285" i="6"/>
  <c r="J1333" i="6"/>
  <c r="L1333" i="6"/>
  <c r="J1381" i="6"/>
  <c r="L1381" i="6"/>
  <c r="U1381" i="6" s="1"/>
  <c r="J1437" i="6"/>
  <c r="L1437" i="6"/>
  <c r="J1485" i="6"/>
  <c r="L1485" i="6"/>
  <c r="J1541" i="6"/>
  <c r="L1541" i="6"/>
  <c r="J1589" i="6"/>
  <c r="L1589" i="6"/>
  <c r="J1637" i="6"/>
  <c r="L1637" i="6"/>
  <c r="J1701" i="6"/>
  <c r="L1701" i="6"/>
  <c r="J1749" i="6"/>
  <c r="L1749" i="6"/>
  <c r="J1821" i="6"/>
  <c r="L1821" i="6"/>
  <c r="J1917" i="6"/>
  <c r="L1917" i="6"/>
  <c r="J1997" i="6"/>
  <c r="L1997" i="6"/>
  <c r="J1774" i="6"/>
  <c r="L1774" i="6"/>
  <c r="U1774" i="6" s="1"/>
  <c r="J390" i="6"/>
  <c r="L390" i="6"/>
  <c r="U390" i="6" s="1"/>
  <c r="J438" i="6"/>
  <c r="L438" i="6"/>
  <c r="U438" i="6" s="1"/>
  <c r="J486" i="6"/>
  <c r="L486" i="6"/>
  <c r="U486" i="6" s="1"/>
  <c r="J590" i="6"/>
  <c r="L590" i="6"/>
  <c r="U590" i="6" s="1"/>
  <c r="J638" i="6"/>
  <c r="L638" i="6"/>
  <c r="U638" i="6" s="1"/>
  <c r="J686" i="6"/>
  <c r="L686" i="6"/>
  <c r="U686" i="6" s="1"/>
  <c r="J742" i="6"/>
  <c r="L742" i="6"/>
  <c r="U742" i="6" s="1"/>
  <c r="J790" i="6"/>
  <c r="L790" i="6"/>
  <c r="U790" i="6" s="1"/>
  <c r="J838" i="6"/>
  <c r="L838" i="6"/>
  <c r="U838" i="6" s="1"/>
  <c r="J886" i="6"/>
  <c r="L886" i="6"/>
  <c r="U886" i="6" s="1"/>
  <c r="J934" i="6"/>
  <c r="L934" i="6"/>
  <c r="U934" i="6" s="1"/>
  <c r="J990" i="6"/>
  <c r="L990" i="6"/>
  <c r="U990" i="6" s="1"/>
  <c r="J1038" i="6"/>
  <c r="L1038" i="6"/>
  <c r="U1038" i="6" s="1"/>
  <c r="J1086" i="6"/>
  <c r="L1086" i="6"/>
  <c r="U1086" i="6" s="1"/>
  <c r="J1134" i="6"/>
  <c r="L1134" i="6"/>
  <c r="U1134" i="6" s="1"/>
  <c r="J1182" i="6"/>
  <c r="L1182" i="6"/>
  <c r="U1182" i="6" s="1"/>
  <c r="J1230" i="6"/>
  <c r="L1230" i="6"/>
  <c r="U1230" i="6" s="1"/>
  <c r="J1286" i="6"/>
  <c r="L1286" i="6"/>
  <c r="U1286" i="6" s="1"/>
  <c r="J1334" i="6"/>
  <c r="L1334" i="6"/>
  <c r="U1334" i="6" s="1"/>
  <c r="J1430" i="6"/>
  <c r="L1430" i="6"/>
  <c r="U1430" i="6" s="1"/>
  <c r="J1494" i="6"/>
  <c r="L1494" i="6"/>
  <c r="U1494" i="6" s="1"/>
  <c r="J1550" i="6"/>
  <c r="L1550" i="6"/>
  <c r="U1550" i="6" s="1"/>
  <c r="J1662" i="6"/>
  <c r="L1662" i="6"/>
  <c r="U1662" i="6" s="1"/>
  <c r="J1718" i="6"/>
  <c r="L1718" i="6"/>
  <c r="U1718" i="6" s="1"/>
  <c r="J1766" i="6"/>
  <c r="L1766" i="6"/>
  <c r="U1766" i="6" s="1"/>
  <c r="J1838" i="6"/>
  <c r="L1838" i="6"/>
  <c r="U1838" i="6" s="1"/>
  <c r="J1886" i="6"/>
  <c r="L1886" i="6"/>
  <c r="U1886" i="6" s="1"/>
  <c r="J1942" i="6"/>
  <c r="L1942" i="6"/>
  <c r="U1942" i="6" s="1"/>
  <c r="J1998" i="6"/>
  <c r="L1998" i="6"/>
  <c r="U1998" i="6" s="1"/>
  <c r="J619" i="6"/>
  <c r="L619" i="6"/>
  <c r="J371" i="6"/>
  <c r="L371" i="6"/>
  <c r="J231" i="6"/>
  <c r="L231" i="6"/>
  <c r="J280" i="6"/>
  <c r="L280" i="6"/>
  <c r="U280" i="6" s="1"/>
  <c r="J10" i="6"/>
  <c r="L10" i="6"/>
  <c r="U10" i="6" s="1"/>
  <c r="J770" i="6"/>
  <c r="L770" i="6"/>
  <c r="U770" i="6" s="1"/>
  <c r="J236" i="6"/>
  <c r="L236" i="6"/>
  <c r="U236" i="6" s="1"/>
  <c r="J828" i="6"/>
  <c r="L828" i="6"/>
  <c r="U828" i="6" s="1"/>
  <c r="J1588" i="6"/>
  <c r="L1588" i="6"/>
  <c r="U1588" i="6" s="1"/>
  <c r="J1079" i="6"/>
  <c r="L1079" i="6"/>
  <c r="J210" i="6"/>
  <c r="L210" i="6"/>
  <c r="J67" i="6"/>
  <c r="L67" i="6"/>
  <c r="J205" i="6"/>
  <c r="L205" i="6"/>
  <c r="J106" i="6"/>
  <c r="L106" i="6"/>
  <c r="U106" i="6" s="1"/>
  <c r="J1157" i="6"/>
  <c r="L1157" i="6"/>
  <c r="J1420" i="6"/>
  <c r="L1420" i="6"/>
  <c r="J1356" i="6"/>
  <c r="L1356" i="6"/>
  <c r="J28" i="6"/>
  <c r="L28" i="6"/>
  <c r="U28" i="6" s="1"/>
  <c r="J76" i="6"/>
  <c r="L76" i="6"/>
  <c r="U76" i="6" s="1"/>
  <c r="J124" i="6"/>
  <c r="L124" i="6"/>
  <c r="U124" i="6" s="1"/>
  <c r="J22" i="6"/>
  <c r="L22" i="6"/>
  <c r="U22" i="6" s="1"/>
  <c r="J78" i="6"/>
  <c r="L78" i="6"/>
  <c r="U78" i="6" s="1"/>
  <c r="J126" i="6"/>
  <c r="L126" i="6"/>
  <c r="U126" i="6" s="1"/>
  <c r="J174" i="6"/>
  <c r="L174" i="6"/>
  <c r="U174" i="6" s="1"/>
  <c r="J246" i="6"/>
  <c r="L246" i="6"/>
  <c r="U246" i="6" s="1"/>
  <c r="J294" i="6"/>
  <c r="L294" i="6"/>
  <c r="U294" i="6" s="1"/>
  <c r="J342" i="6"/>
  <c r="L342" i="6"/>
  <c r="U342" i="6" s="1"/>
  <c r="J47" i="6"/>
  <c r="L47" i="6"/>
  <c r="U47" i="6" s="1"/>
  <c r="J95" i="6"/>
  <c r="L95" i="6"/>
  <c r="J151" i="6"/>
  <c r="L151" i="6"/>
  <c r="J199" i="6"/>
  <c r="L199" i="6"/>
  <c r="J247" i="6"/>
  <c r="L247" i="6"/>
  <c r="J303" i="6"/>
  <c r="L303" i="6"/>
  <c r="J351" i="6"/>
  <c r="L351" i="6"/>
  <c r="J399" i="6"/>
  <c r="L399" i="6"/>
  <c r="J447" i="6"/>
  <c r="L447" i="6"/>
  <c r="J495" i="6"/>
  <c r="L495" i="6"/>
  <c r="J551" i="6"/>
  <c r="L551" i="6"/>
  <c r="J8" i="6"/>
  <c r="L8" i="6"/>
  <c r="U8" i="6" s="1"/>
  <c r="J56" i="6"/>
  <c r="L56" i="6"/>
  <c r="U56" i="6" s="1"/>
  <c r="J104" i="6"/>
  <c r="L104" i="6"/>
  <c r="U104" i="6" s="1"/>
  <c r="J152" i="6"/>
  <c r="L152" i="6"/>
  <c r="U152" i="6" s="1"/>
  <c r="J200" i="6"/>
  <c r="L200" i="6"/>
  <c r="U200" i="6" s="1"/>
  <c r="J248" i="6"/>
  <c r="L248" i="6"/>
  <c r="U248" i="6" s="1"/>
  <c r="J296" i="6"/>
  <c r="L296" i="6"/>
  <c r="U296" i="6" s="1"/>
  <c r="J344" i="6"/>
  <c r="L344" i="6"/>
  <c r="U344" i="6" s="1"/>
  <c r="J392" i="6"/>
  <c r="L392" i="6"/>
  <c r="U392" i="6" s="1"/>
  <c r="J440" i="6"/>
  <c r="L440" i="6"/>
  <c r="U440" i="6" s="1"/>
  <c r="J488" i="6"/>
  <c r="L488" i="6"/>
  <c r="U488" i="6" s="1"/>
  <c r="J536" i="6"/>
  <c r="L536" i="6"/>
  <c r="U536" i="6" s="1"/>
  <c r="J584" i="6"/>
  <c r="L584" i="6"/>
  <c r="U584" i="6" s="1"/>
  <c r="J632" i="6"/>
  <c r="L632" i="6"/>
  <c r="U632" i="6" s="1"/>
  <c r="J680" i="6"/>
  <c r="L680" i="6"/>
  <c r="U680" i="6" s="1"/>
  <c r="J728" i="6"/>
  <c r="L728" i="6"/>
  <c r="U728" i="6" s="1"/>
  <c r="J776" i="6"/>
  <c r="L776" i="6"/>
  <c r="U776" i="6" s="1"/>
  <c r="J26" i="6"/>
  <c r="L26" i="6"/>
  <c r="U26" i="6" s="1"/>
  <c r="J74" i="6"/>
  <c r="L74" i="6"/>
  <c r="U74" i="6" s="1"/>
  <c r="J130" i="6"/>
  <c r="L130" i="6"/>
  <c r="U130" i="6" s="1"/>
  <c r="J234" i="6"/>
  <c r="L234" i="6"/>
  <c r="U234" i="6" s="1"/>
  <c r="J282" i="6"/>
  <c r="L282" i="6"/>
  <c r="U282" i="6" s="1"/>
  <c r="J330" i="6"/>
  <c r="L330" i="6"/>
  <c r="U330" i="6" s="1"/>
  <c r="J378" i="6"/>
  <c r="L378" i="6"/>
  <c r="U378" i="6" s="1"/>
  <c r="J426" i="6"/>
  <c r="L426" i="6"/>
  <c r="U426" i="6" s="1"/>
  <c r="J474" i="6"/>
  <c r="L474" i="6"/>
  <c r="U474" i="6" s="1"/>
  <c r="J522" i="6"/>
  <c r="L522" i="6"/>
  <c r="U522" i="6" s="1"/>
  <c r="J570" i="6"/>
  <c r="L570" i="6"/>
  <c r="U570" i="6" s="1"/>
  <c r="J634" i="6"/>
  <c r="L634" i="6"/>
  <c r="U634" i="6" s="1"/>
  <c r="J682" i="6"/>
  <c r="L682" i="6"/>
  <c r="U682" i="6" s="1"/>
  <c r="J730" i="6"/>
  <c r="L730" i="6"/>
  <c r="U730" i="6" s="1"/>
  <c r="J786" i="6"/>
  <c r="L786" i="6"/>
  <c r="U786" i="6" s="1"/>
  <c r="J842" i="6"/>
  <c r="L842" i="6"/>
  <c r="U842" i="6" s="1"/>
  <c r="J898" i="6"/>
  <c r="L898" i="6"/>
  <c r="U898" i="6" s="1"/>
  <c r="J946" i="6"/>
  <c r="L946" i="6"/>
  <c r="U946" i="6" s="1"/>
  <c r="J1002" i="6"/>
  <c r="L1002" i="6"/>
  <c r="U1002" i="6" s="1"/>
  <c r="J1050" i="6"/>
  <c r="L1050" i="6"/>
  <c r="U1050" i="6" s="1"/>
  <c r="J1098" i="6"/>
  <c r="L1098" i="6"/>
  <c r="U1098" i="6" s="1"/>
  <c r="J1146" i="6"/>
  <c r="L1146" i="6"/>
  <c r="U1146" i="6" s="1"/>
  <c r="J1194" i="6"/>
  <c r="L1194" i="6"/>
  <c r="U1194" i="6" s="1"/>
  <c r="J1250" i="6"/>
  <c r="L1250" i="6"/>
  <c r="U1250" i="6" s="1"/>
  <c r="J1306" i="6"/>
  <c r="L1306" i="6"/>
  <c r="U1306" i="6" s="1"/>
  <c r="J1362" i="6"/>
  <c r="L1362" i="6"/>
  <c r="U1362" i="6" s="1"/>
  <c r="J1410" i="6"/>
  <c r="L1410" i="6"/>
  <c r="U1410" i="6" s="1"/>
  <c r="J1458" i="6"/>
  <c r="L1458" i="6"/>
  <c r="U1458" i="6" s="1"/>
  <c r="J1538" i="6"/>
  <c r="L1538" i="6"/>
  <c r="U1538" i="6" s="1"/>
  <c r="J1602" i="6"/>
  <c r="L1602" i="6"/>
  <c r="U1602" i="6" s="1"/>
  <c r="J1682" i="6"/>
  <c r="L1682" i="6"/>
  <c r="U1682" i="6" s="1"/>
  <c r="J1746" i="6"/>
  <c r="L1746" i="6"/>
  <c r="U1746" i="6" s="1"/>
  <c r="J1810" i="6"/>
  <c r="L1810" i="6"/>
  <c r="U1810" i="6" s="1"/>
  <c r="J1874" i="6"/>
  <c r="L1874" i="6"/>
  <c r="U1874" i="6" s="1"/>
  <c r="J1954" i="6"/>
  <c r="L1954" i="6"/>
  <c r="U1954" i="6" s="1"/>
  <c r="J2018" i="6"/>
  <c r="L2018" i="6"/>
  <c r="U2018" i="6" s="1"/>
  <c r="J959" i="6"/>
  <c r="L959" i="6"/>
  <c r="U959" i="6" s="1"/>
  <c r="J1207" i="6"/>
  <c r="L1207" i="6"/>
  <c r="J1455" i="6"/>
  <c r="L1455" i="6"/>
  <c r="J1591" i="6"/>
  <c r="L1591" i="6"/>
  <c r="J1783" i="6"/>
  <c r="L1783" i="6"/>
  <c r="U1783" i="6" s="1"/>
  <c r="J920" i="6"/>
  <c r="L920" i="6"/>
  <c r="U920" i="6" s="1"/>
  <c r="J1120" i="6"/>
  <c r="L1120" i="6"/>
  <c r="U1120" i="6" s="1"/>
  <c r="J1216" i="6"/>
  <c r="L1216" i="6"/>
  <c r="U1216" i="6" s="1"/>
  <c r="J1312" i="6"/>
  <c r="L1312" i="6"/>
  <c r="U1312" i="6" s="1"/>
  <c r="J1496" i="6"/>
  <c r="L1496" i="6"/>
  <c r="U1496" i="6" s="1"/>
  <c r="J1531" i="6"/>
  <c r="L1531" i="6"/>
  <c r="J1642" i="6"/>
  <c r="L1642" i="6"/>
  <c r="J204" i="6"/>
  <c r="L204" i="6"/>
  <c r="U204" i="6" s="1"/>
  <c r="J252" i="6"/>
  <c r="L252" i="6"/>
  <c r="U252" i="6" s="1"/>
  <c r="J300" i="6"/>
  <c r="L300" i="6"/>
  <c r="U300" i="6" s="1"/>
  <c r="J348" i="6"/>
  <c r="L348" i="6"/>
  <c r="U348" i="6" s="1"/>
  <c r="J396" i="6"/>
  <c r="L396" i="6"/>
  <c r="U396" i="6" s="1"/>
  <c r="J452" i="6"/>
  <c r="L452" i="6"/>
  <c r="U452" i="6" s="1"/>
  <c r="J500" i="6"/>
  <c r="L500" i="6"/>
  <c r="U500" i="6" s="1"/>
  <c r="J548" i="6"/>
  <c r="L548" i="6"/>
  <c r="U548" i="6" s="1"/>
  <c r="J596" i="6"/>
  <c r="L596" i="6"/>
  <c r="U596" i="6" s="1"/>
  <c r="J644" i="6"/>
  <c r="L644" i="6"/>
  <c r="U644" i="6" s="1"/>
  <c r="J700" i="6"/>
  <c r="L700" i="6"/>
  <c r="U700" i="6" s="1"/>
  <c r="J748" i="6"/>
  <c r="L748" i="6"/>
  <c r="U748" i="6" s="1"/>
  <c r="J796" i="6"/>
  <c r="L796" i="6"/>
  <c r="U796" i="6" s="1"/>
  <c r="J844" i="6"/>
  <c r="L844" i="6"/>
  <c r="U844" i="6" s="1"/>
  <c r="J892" i="6"/>
  <c r="L892" i="6"/>
  <c r="U892" i="6" s="1"/>
  <c r="J940" i="6"/>
  <c r="L940" i="6"/>
  <c r="U940" i="6" s="1"/>
  <c r="J996" i="6"/>
  <c r="L996" i="6"/>
  <c r="U996" i="6" s="1"/>
  <c r="J1044" i="6"/>
  <c r="L1044" i="6"/>
  <c r="U1044" i="6" s="1"/>
  <c r="J1092" i="6"/>
  <c r="L1092" i="6"/>
  <c r="U1092" i="6" s="1"/>
  <c r="J1148" i="6"/>
  <c r="L1148" i="6"/>
  <c r="U1148" i="6" s="1"/>
  <c r="J1196" i="6"/>
  <c r="L1196" i="6"/>
  <c r="U1196" i="6" s="1"/>
  <c r="J1244" i="6"/>
  <c r="L1244" i="6"/>
  <c r="U1244" i="6" s="1"/>
  <c r="J1308" i="6"/>
  <c r="L1308" i="6"/>
  <c r="U1308" i="6" s="1"/>
  <c r="J1380" i="6"/>
  <c r="L1380" i="6"/>
  <c r="U1380" i="6" s="1"/>
  <c r="J1444" i="6"/>
  <c r="L1444" i="6"/>
  <c r="U1444" i="6" s="1"/>
  <c r="J1500" i="6"/>
  <c r="L1500" i="6"/>
  <c r="U1500" i="6" s="1"/>
  <c r="J1556" i="6"/>
  <c r="L1556" i="6"/>
  <c r="U1556" i="6" s="1"/>
  <c r="J1604" i="6"/>
  <c r="L1604" i="6"/>
  <c r="U1604" i="6" s="1"/>
  <c r="J1652" i="6"/>
  <c r="L1652" i="6"/>
  <c r="U1652" i="6" s="1"/>
  <c r="J1708" i="6"/>
  <c r="L1708" i="6"/>
  <c r="U1708" i="6" s="1"/>
  <c r="J1756" i="6"/>
  <c r="L1756" i="6"/>
  <c r="U1756" i="6" s="1"/>
  <c r="J1828" i="6"/>
  <c r="L1828" i="6"/>
  <c r="U1828" i="6" s="1"/>
  <c r="J1900" i="6"/>
  <c r="L1900" i="6"/>
  <c r="U1900" i="6" s="1"/>
  <c r="J1972" i="6"/>
  <c r="L1972" i="6"/>
  <c r="U1972" i="6" s="1"/>
  <c r="J655" i="6"/>
  <c r="L655" i="6"/>
  <c r="J887" i="6"/>
  <c r="L887" i="6"/>
  <c r="J967" i="6"/>
  <c r="L967" i="6"/>
  <c r="J1319" i="6"/>
  <c r="L1319" i="6"/>
  <c r="J1479" i="6"/>
  <c r="L1479" i="6"/>
  <c r="U1479" i="6" s="1"/>
  <c r="J800" i="6"/>
  <c r="L800" i="6"/>
  <c r="U800" i="6" s="1"/>
  <c r="J904" i="6"/>
  <c r="L904" i="6"/>
  <c r="U904" i="6" s="1"/>
  <c r="J1208" i="6"/>
  <c r="L1208" i="6"/>
  <c r="U1208" i="6" s="1"/>
  <c r="J1352" i="6"/>
  <c r="L1352" i="6"/>
  <c r="U1352" i="6" s="1"/>
  <c r="J2016" i="6"/>
  <c r="L2016" i="6"/>
  <c r="U2016" i="6" s="1"/>
  <c r="J703" i="6"/>
  <c r="L703" i="6"/>
  <c r="U703" i="6" s="1"/>
  <c r="J1119" i="6"/>
  <c r="L1119" i="6"/>
  <c r="J1471" i="6"/>
  <c r="L1471" i="6"/>
  <c r="J1623" i="6"/>
  <c r="L1623" i="6"/>
  <c r="J1807" i="6"/>
  <c r="L1807" i="6"/>
  <c r="J1368" i="6"/>
  <c r="L1368" i="6"/>
  <c r="U1368" i="6" s="1"/>
  <c r="J1808" i="6"/>
  <c r="L1808" i="6"/>
  <c r="U1808" i="6" s="1"/>
  <c r="J398" i="6"/>
  <c r="L398" i="6"/>
  <c r="U398" i="6" s="1"/>
  <c r="J894" i="6"/>
  <c r="L894" i="6"/>
  <c r="U894" i="6" s="1"/>
  <c r="J1142" i="6"/>
  <c r="L1142" i="6"/>
  <c r="U1142" i="6" s="1"/>
  <c r="J1726" i="6"/>
  <c r="L1726" i="6"/>
  <c r="U1726" i="6" s="1"/>
  <c r="J991" i="6"/>
  <c r="L991" i="6"/>
  <c r="J1199" i="6"/>
  <c r="L1199" i="6"/>
  <c r="J1839" i="6"/>
  <c r="L1839" i="6"/>
  <c r="J1975" i="6"/>
  <c r="L1975" i="6"/>
  <c r="J1056" i="6"/>
  <c r="L1056" i="6"/>
  <c r="U1056" i="6" s="1"/>
  <c r="J1704" i="6"/>
  <c r="L1704" i="6"/>
  <c r="U1704" i="6" s="1"/>
  <c r="J1894" i="6"/>
  <c r="L1894" i="6"/>
  <c r="U1894" i="6" s="1"/>
  <c r="J1274" i="6"/>
  <c r="L1274" i="6"/>
  <c r="J326" i="6"/>
  <c r="L326" i="6"/>
  <c r="U326" i="6" s="1"/>
  <c r="J535" i="6"/>
  <c r="L535" i="6"/>
  <c r="J458" i="6"/>
  <c r="L458" i="6"/>
  <c r="U458" i="6" s="1"/>
  <c r="J986" i="6"/>
  <c r="L986" i="6"/>
  <c r="U986" i="6" s="1"/>
  <c r="J1506" i="6"/>
  <c r="L1506" i="6"/>
  <c r="U1506" i="6" s="1"/>
  <c r="J927" i="6"/>
  <c r="L927" i="6"/>
  <c r="J1064" i="6"/>
  <c r="L1064" i="6"/>
  <c r="U1064" i="6" s="1"/>
  <c r="J580" i="6"/>
  <c r="L580" i="6"/>
  <c r="U580" i="6" s="1"/>
  <c r="J1180" i="6"/>
  <c r="L1180" i="6"/>
  <c r="U1180" i="6" s="1"/>
  <c r="J623" i="6"/>
  <c r="L623" i="6"/>
  <c r="U623" i="6" s="1"/>
  <c r="J1491" i="6"/>
  <c r="L1491" i="6"/>
  <c r="J109" i="6"/>
  <c r="L109" i="6"/>
  <c r="J1515" i="6"/>
  <c r="L1515" i="6"/>
  <c r="J1176" i="6"/>
  <c r="L1176" i="6"/>
  <c r="U1176" i="6" s="1"/>
  <c r="J1647" i="6"/>
  <c r="L1647" i="6"/>
  <c r="J1648" i="6"/>
  <c r="L1648" i="6"/>
  <c r="J615" i="6"/>
  <c r="L615" i="6"/>
  <c r="J1868" i="6"/>
  <c r="L1868" i="6"/>
  <c r="U1868" i="6" s="1"/>
  <c r="J676" i="6"/>
  <c r="L676" i="6"/>
  <c r="J1229" i="6"/>
  <c r="L1229" i="6"/>
  <c r="U1229" i="6" s="1"/>
  <c r="J810" i="6"/>
  <c r="L810" i="6"/>
  <c r="J1492" i="6"/>
  <c r="L1492" i="6"/>
  <c r="U1492" i="6" s="1"/>
  <c r="J1727" i="6"/>
  <c r="L1727" i="6"/>
  <c r="J489" i="6"/>
  <c r="L489" i="6"/>
  <c r="J27" i="6"/>
  <c r="L27" i="6"/>
  <c r="U27" i="6" s="1"/>
  <c r="J75" i="6"/>
  <c r="L75" i="6"/>
  <c r="J123" i="6"/>
  <c r="L123" i="6"/>
  <c r="J179" i="6"/>
  <c r="L179" i="6"/>
  <c r="J227" i="6"/>
  <c r="L227" i="6"/>
  <c r="J275" i="6"/>
  <c r="L275" i="6"/>
  <c r="U275" i="6" s="1"/>
  <c r="J323" i="6"/>
  <c r="L323" i="6"/>
  <c r="J387" i="6"/>
  <c r="L387" i="6"/>
  <c r="J443" i="6"/>
  <c r="L443" i="6"/>
  <c r="J491" i="6"/>
  <c r="L491" i="6"/>
  <c r="J21" i="6"/>
  <c r="L21" i="6"/>
  <c r="U21" i="6" s="1"/>
  <c r="J69" i="6"/>
  <c r="L69" i="6"/>
  <c r="J117" i="6"/>
  <c r="L117" i="6"/>
  <c r="J165" i="6"/>
  <c r="L165" i="6"/>
  <c r="J213" i="6"/>
  <c r="L213" i="6"/>
  <c r="J261" i="6"/>
  <c r="L261" i="6"/>
  <c r="J41" i="6"/>
  <c r="L41" i="6"/>
  <c r="U41" i="6" s="1"/>
  <c r="J89" i="6"/>
  <c r="L89" i="6"/>
  <c r="J137" i="6"/>
  <c r="L137" i="6"/>
  <c r="J185" i="6"/>
  <c r="L185" i="6"/>
  <c r="J233" i="6"/>
  <c r="L233" i="6"/>
  <c r="J281" i="6"/>
  <c r="L281" i="6"/>
  <c r="U281" i="6" s="1"/>
  <c r="J337" i="6"/>
  <c r="L337" i="6"/>
  <c r="J385" i="6"/>
  <c r="L385" i="6"/>
  <c r="J433" i="6"/>
  <c r="L433" i="6"/>
  <c r="J481" i="6"/>
  <c r="L481" i="6"/>
  <c r="J537" i="6"/>
  <c r="L537" i="6"/>
  <c r="J585" i="6"/>
  <c r="L585" i="6"/>
  <c r="U585" i="6" s="1"/>
  <c r="J641" i="6"/>
  <c r="L641" i="6"/>
  <c r="J689" i="6"/>
  <c r="L689" i="6"/>
  <c r="J737" i="6"/>
  <c r="L737" i="6"/>
  <c r="U737" i="6" s="1"/>
  <c r="J793" i="6"/>
  <c r="L793" i="6"/>
  <c r="J841" i="6"/>
  <c r="L841" i="6"/>
  <c r="J889" i="6"/>
  <c r="L889" i="6"/>
  <c r="J937" i="6"/>
  <c r="L937" i="6"/>
  <c r="J985" i="6"/>
  <c r="L985" i="6"/>
  <c r="J1033" i="6"/>
  <c r="L1033" i="6"/>
  <c r="J1081" i="6"/>
  <c r="L1081" i="6"/>
  <c r="J1129" i="6"/>
  <c r="L1129" i="6"/>
  <c r="U1129" i="6" s="1"/>
  <c r="J1177" i="6"/>
  <c r="L1177" i="6"/>
  <c r="J1225" i="6"/>
  <c r="L1225" i="6"/>
  <c r="J1273" i="6"/>
  <c r="L1273" i="6"/>
  <c r="J1321" i="6"/>
  <c r="L1321" i="6"/>
  <c r="U1321" i="6" s="1"/>
  <c r="J1385" i="6"/>
  <c r="L1385" i="6"/>
  <c r="J1441" i="6"/>
  <c r="L1441" i="6"/>
  <c r="J1505" i="6"/>
  <c r="L1505" i="6"/>
  <c r="J1593" i="6"/>
  <c r="L1593" i="6"/>
  <c r="J1657" i="6"/>
  <c r="L1657" i="6"/>
  <c r="J1721" i="6"/>
  <c r="L1721" i="6"/>
  <c r="J1785" i="6"/>
  <c r="L1785" i="6"/>
  <c r="U1785" i="6" s="1"/>
  <c r="J1873" i="6"/>
  <c r="L1873" i="6"/>
  <c r="J1953" i="6"/>
  <c r="L1953" i="6"/>
  <c r="U1953" i="6" s="1"/>
  <c r="J2017" i="6"/>
  <c r="L2017" i="6"/>
  <c r="J1040" i="6"/>
  <c r="L1040" i="6"/>
  <c r="U1040" i="6" s="1"/>
  <c r="J1328" i="6"/>
  <c r="L1328" i="6"/>
  <c r="U1328" i="6" s="1"/>
  <c r="J1600" i="6"/>
  <c r="L1600" i="6"/>
  <c r="U1600" i="6" s="1"/>
  <c r="J1920" i="6"/>
  <c r="L1920" i="6"/>
  <c r="U1920" i="6" s="1"/>
  <c r="J1058" i="6"/>
  <c r="L1058" i="6"/>
  <c r="U1058" i="6" s="1"/>
  <c r="J1418" i="6"/>
  <c r="L1418" i="6"/>
  <c r="U1418" i="6" s="1"/>
  <c r="J1618" i="6"/>
  <c r="L1618" i="6"/>
  <c r="U1618" i="6" s="1"/>
  <c r="J547" i="6"/>
  <c r="L547" i="6"/>
  <c r="J603" i="6"/>
  <c r="L603" i="6"/>
  <c r="J659" i="6"/>
  <c r="L659" i="6"/>
  <c r="J707" i="6"/>
  <c r="L707" i="6"/>
  <c r="J755" i="6"/>
  <c r="L755" i="6"/>
  <c r="J803" i="6"/>
  <c r="L803" i="6"/>
  <c r="J859" i="6"/>
  <c r="L859" i="6"/>
  <c r="J915" i="6"/>
  <c r="L915" i="6"/>
  <c r="J963" i="6"/>
  <c r="L963" i="6"/>
  <c r="J1019" i="6"/>
  <c r="L1019" i="6"/>
  <c r="J1067" i="6"/>
  <c r="L1067" i="6"/>
  <c r="J1115" i="6"/>
  <c r="L1115" i="6"/>
  <c r="U1115" i="6" s="1"/>
  <c r="J1171" i="6"/>
  <c r="L1171" i="6"/>
  <c r="J1243" i="6"/>
  <c r="L1243" i="6"/>
  <c r="J1307" i="6"/>
  <c r="L1307" i="6"/>
  <c r="J1355" i="6"/>
  <c r="L1355" i="6"/>
  <c r="J1411" i="6"/>
  <c r="L1411" i="6"/>
  <c r="J1467" i="6"/>
  <c r="L1467" i="6"/>
  <c r="J1579" i="6"/>
  <c r="L1579" i="6"/>
  <c r="J1643" i="6"/>
  <c r="L1643" i="6"/>
  <c r="J1691" i="6"/>
  <c r="L1691" i="6"/>
  <c r="J1739" i="6"/>
  <c r="L1739" i="6"/>
  <c r="J1795" i="6"/>
  <c r="L1795" i="6"/>
  <c r="J1859" i="6"/>
  <c r="L1859" i="6"/>
  <c r="J1915" i="6"/>
  <c r="L1915" i="6"/>
  <c r="J1979" i="6"/>
  <c r="L1979" i="6"/>
  <c r="J2027" i="6"/>
  <c r="L2027" i="6"/>
  <c r="J719" i="6"/>
  <c r="L719" i="6"/>
  <c r="U719" i="6" s="1"/>
  <c r="J783" i="6"/>
  <c r="L783" i="6"/>
  <c r="U783" i="6" s="1"/>
  <c r="J1167" i="6"/>
  <c r="L1167" i="6"/>
  <c r="J1463" i="6"/>
  <c r="L1463" i="6"/>
  <c r="J1711" i="6"/>
  <c r="L1711" i="6"/>
  <c r="U1711" i="6" s="1"/>
  <c r="J848" i="6"/>
  <c r="L848" i="6"/>
  <c r="U848" i="6" s="1"/>
  <c r="J1408" i="6"/>
  <c r="L1408" i="6"/>
  <c r="U1408" i="6" s="1"/>
  <c r="J1608" i="6"/>
  <c r="L1608" i="6"/>
  <c r="U1608" i="6" s="1"/>
  <c r="J2024" i="6"/>
  <c r="L2024" i="6"/>
  <c r="U2024" i="6" s="1"/>
  <c r="J293" i="6"/>
  <c r="L293" i="6"/>
  <c r="J341" i="6"/>
  <c r="L341" i="6"/>
  <c r="J389" i="6"/>
  <c r="L389" i="6"/>
  <c r="J437" i="6"/>
  <c r="L437" i="6"/>
  <c r="J485" i="6"/>
  <c r="L485" i="6"/>
  <c r="J533" i="6"/>
  <c r="L533" i="6"/>
  <c r="J581" i="6"/>
  <c r="L581" i="6"/>
  <c r="J629" i="6"/>
  <c r="L629" i="6"/>
  <c r="J685" i="6"/>
  <c r="L685" i="6"/>
  <c r="J733" i="6"/>
  <c r="L733" i="6"/>
  <c r="U733" i="6" s="1"/>
  <c r="J781" i="6"/>
  <c r="L781" i="6"/>
  <c r="J837" i="6"/>
  <c r="L837" i="6"/>
  <c r="J885" i="6"/>
  <c r="L885" i="6"/>
  <c r="J933" i="6"/>
  <c r="L933" i="6"/>
  <c r="J981" i="6"/>
  <c r="L981" i="6"/>
  <c r="J1029" i="6"/>
  <c r="L1029" i="6"/>
  <c r="J1077" i="6"/>
  <c r="L1077" i="6"/>
  <c r="J1125" i="6"/>
  <c r="L1125" i="6"/>
  <c r="J1181" i="6"/>
  <c r="L1181" i="6"/>
  <c r="J1237" i="6"/>
  <c r="L1237" i="6"/>
  <c r="J1293" i="6"/>
  <c r="L1293" i="6"/>
  <c r="J1341" i="6"/>
  <c r="L1341" i="6"/>
  <c r="J1389" i="6"/>
  <c r="L1389" i="6"/>
  <c r="J1445" i="6"/>
  <c r="L1445" i="6"/>
  <c r="J1493" i="6"/>
  <c r="L1493" i="6"/>
  <c r="J1549" i="6"/>
  <c r="L1549" i="6"/>
  <c r="J1597" i="6"/>
  <c r="L1597" i="6"/>
  <c r="J1645" i="6"/>
  <c r="L1645" i="6"/>
  <c r="J1709" i="6"/>
  <c r="L1709" i="6"/>
  <c r="J1757" i="6"/>
  <c r="L1757" i="6"/>
  <c r="J1853" i="6"/>
  <c r="L1853" i="6"/>
  <c r="J1933" i="6"/>
  <c r="L1933" i="6"/>
  <c r="U1933" i="6" s="1"/>
  <c r="J2005" i="6"/>
  <c r="L2005" i="6"/>
  <c r="J350" i="6"/>
  <c r="L350" i="6"/>
  <c r="U350" i="6" s="1"/>
  <c r="J446" i="6"/>
  <c r="L446" i="6"/>
  <c r="U446" i="6" s="1"/>
  <c r="J494" i="6"/>
  <c r="L494" i="6"/>
  <c r="U494" i="6" s="1"/>
  <c r="J550" i="6"/>
  <c r="L550" i="6"/>
  <c r="U550" i="6" s="1"/>
  <c r="J598" i="6"/>
  <c r="L598" i="6"/>
  <c r="U598" i="6" s="1"/>
  <c r="J646" i="6"/>
  <c r="L646" i="6"/>
  <c r="U646" i="6" s="1"/>
  <c r="J694" i="6"/>
  <c r="L694" i="6"/>
  <c r="U694" i="6" s="1"/>
  <c r="J750" i="6"/>
  <c r="L750" i="6"/>
  <c r="U750" i="6" s="1"/>
  <c r="J798" i="6"/>
  <c r="L798" i="6"/>
  <c r="U798" i="6" s="1"/>
  <c r="J846" i="6"/>
  <c r="L846" i="6"/>
  <c r="U846" i="6" s="1"/>
  <c r="J942" i="6"/>
  <c r="L942" i="6"/>
  <c r="U942" i="6" s="1"/>
  <c r="J998" i="6"/>
  <c r="L998" i="6"/>
  <c r="U998" i="6" s="1"/>
  <c r="J1046" i="6"/>
  <c r="L1046" i="6"/>
  <c r="U1046" i="6" s="1"/>
  <c r="J1094" i="6"/>
  <c r="L1094" i="6"/>
  <c r="U1094" i="6" s="1"/>
  <c r="J1190" i="6"/>
  <c r="L1190" i="6"/>
  <c r="U1190" i="6" s="1"/>
  <c r="J1238" i="6"/>
  <c r="L1238" i="6"/>
  <c r="U1238" i="6" s="1"/>
  <c r="J1294" i="6"/>
  <c r="L1294" i="6"/>
  <c r="U1294" i="6" s="1"/>
  <c r="J1342" i="6"/>
  <c r="L1342" i="6"/>
  <c r="U1342" i="6" s="1"/>
  <c r="J1390" i="6"/>
  <c r="L1390" i="6"/>
  <c r="U1390" i="6" s="1"/>
  <c r="J1438" i="6"/>
  <c r="L1438" i="6"/>
  <c r="U1438" i="6" s="1"/>
  <c r="J1502" i="6"/>
  <c r="L1502" i="6"/>
  <c r="U1502" i="6" s="1"/>
  <c r="J1558" i="6"/>
  <c r="L1558" i="6"/>
  <c r="U1558" i="6" s="1"/>
  <c r="J1614" i="6"/>
  <c r="L1614" i="6"/>
  <c r="U1614" i="6" s="1"/>
  <c r="J1670" i="6"/>
  <c r="L1670" i="6"/>
  <c r="U1670" i="6" s="1"/>
  <c r="J1782" i="6"/>
  <c r="L1782" i="6"/>
  <c r="U1782" i="6" s="1"/>
  <c r="J1846" i="6"/>
  <c r="L1846" i="6"/>
  <c r="U1846" i="6" s="1"/>
  <c r="J1902" i="6"/>
  <c r="L1902" i="6"/>
  <c r="U1902" i="6" s="1"/>
  <c r="J1958" i="6"/>
  <c r="L1958" i="6"/>
  <c r="U1958" i="6" s="1"/>
  <c r="J2006" i="6"/>
  <c r="L2006" i="6"/>
  <c r="U2006" i="6" s="1"/>
  <c r="J108" i="6"/>
  <c r="L108" i="6"/>
  <c r="U108" i="6" s="1"/>
  <c r="J54" i="6"/>
  <c r="L54" i="6"/>
  <c r="U54" i="6" s="1"/>
  <c r="J279" i="6"/>
  <c r="L279" i="6"/>
  <c r="J40" i="6"/>
  <c r="L40" i="6"/>
  <c r="U40" i="6" s="1"/>
  <c r="J376" i="6"/>
  <c r="L376" i="6"/>
  <c r="U376" i="6" s="1"/>
  <c r="J568" i="6"/>
  <c r="L568" i="6"/>
  <c r="U568" i="6" s="1"/>
  <c r="J114" i="6"/>
  <c r="L114" i="6"/>
  <c r="U114" i="6" s="1"/>
  <c r="J410" i="6"/>
  <c r="L410" i="6"/>
  <c r="U410" i="6" s="1"/>
  <c r="J882" i="6"/>
  <c r="L882" i="6"/>
  <c r="U882" i="6" s="1"/>
  <c r="J1586" i="6"/>
  <c r="L1586" i="6"/>
  <c r="U1586" i="6" s="1"/>
  <c r="J380" i="6"/>
  <c r="L380" i="6"/>
  <c r="U380" i="6" s="1"/>
  <c r="J924" i="6"/>
  <c r="L924" i="6"/>
  <c r="U924" i="6" s="1"/>
  <c r="J1540" i="6"/>
  <c r="L1540" i="6"/>
  <c r="U1540" i="6" s="1"/>
  <c r="J727" i="6"/>
  <c r="L727" i="6"/>
  <c r="J1569" i="6"/>
  <c r="L1569" i="6"/>
  <c r="J19" i="6"/>
  <c r="L19" i="6"/>
  <c r="U19" i="6" s="1"/>
  <c r="J157" i="6"/>
  <c r="L157" i="6"/>
  <c r="J1504" i="6"/>
  <c r="L1504" i="6"/>
  <c r="U1504" i="6" s="1"/>
  <c r="J555" i="6"/>
  <c r="L555" i="6"/>
  <c r="J412" i="6"/>
  <c r="L412" i="6"/>
  <c r="U412" i="6" s="1"/>
  <c r="J618" i="6"/>
  <c r="L618" i="6"/>
  <c r="J1619" i="6"/>
  <c r="L1619" i="6"/>
  <c r="J70" i="6"/>
  <c r="L70" i="6"/>
  <c r="J1767" i="6"/>
  <c r="L1767" i="6"/>
  <c r="J1792" i="6"/>
  <c r="L1792" i="6"/>
  <c r="J687" i="6"/>
  <c r="L687" i="6"/>
  <c r="J1372" i="6"/>
  <c r="L1372" i="6"/>
  <c r="U1372" i="6" s="1"/>
  <c r="J808" i="6"/>
  <c r="L808" i="6"/>
  <c r="J1277" i="6"/>
  <c r="L1277" i="6"/>
  <c r="U1277" i="6" s="1"/>
  <c r="J966" i="6"/>
  <c r="L966" i="6"/>
  <c r="U966" i="6" s="1"/>
  <c r="J1528" i="6"/>
  <c r="L1528" i="6"/>
  <c r="U1528" i="6" s="1"/>
  <c r="J1811" i="6"/>
  <c r="L1811" i="6"/>
  <c r="J36" i="6"/>
  <c r="L36" i="6"/>
  <c r="U36" i="6" s="1"/>
  <c r="J84" i="6"/>
  <c r="L84" i="6"/>
  <c r="U84" i="6" s="1"/>
  <c r="J132" i="6"/>
  <c r="L132" i="6"/>
  <c r="U132" i="6" s="1"/>
  <c r="J30" i="6"/>
  <c r="L30" i="6"/>
  <c r="U30" i="6" s="1"/>
  <c r="J86" i="6"/>
  <c r="L86" i="6"/>
  <c r="U86" i="6" s="1"/>
  <c r="J134" i="6"/>
  <c r="L134" i="6"/>
  <c r="U134" i="6" s="1"/>
  <c r="J182" i="6"/>
  <c r="L182" i="6"/>
  <c r="U182" i="6" s="1"/>
  <c r="J254" i="6"/>
  <c r="L254" i="6"/>
  <c r="U254" i="6" s="1"/>
  <c r="J302" i="6"/>
  <c r="L302" i="6"/>
  <c r="U302" i="6" s="1"/>
  <c r="J7" i="6"/>
  <c r="L7" i="6"/>
  <c r="U7" i="6" s="1"/>
  <c r="J55" i="6"/>
  <c r="L55" i="6"/>
  <c r="J103" i="6"/>
  <c r="L103" i="6"/>
  <c r="J159" i="6"/>
  <c r="L159" i="6"/>
  <c r="U159" i="6" s="1"/>
  <c r="J207" i="6"/>
  <c r="L207" i="6"/>
  <c r="J255" i="6"/>
  <c r="L255" i="6"/>
  <c r="J311" i="6"/>
  <c r="L311" i="6"/>
  <c r="J359" i="6"/>
  <c r="L359" i="6"/>
  <c r="U359" i="6" s="1"/>
  <c r="J407" i="6"/>
  <c r="L407" i="6"/>
  <c r="U407" i="6" s="1"/>
  <c r="J455" i="6"/>
  <c r="L455" i="6"/>
  <c r="J503" i="6"/>
  <c r="L503" i="6"/>
  <c r="J559" i="6"/>
  <c r="L559" i="6"/>
  <c r="J16" i="6"/>
  <c r="L16" i="6"/>
  <c r="U16" i="6" s="1"/>
  <c r="J64" i="6"/>
  <c r="L64" i="6"/>
  <c r="U64" i="6" s="1"/>
  <c r="J112" i="6"/>
  <c r="L112" i="6"/>
  <c r="U112" i="6" s="1"/>
  <c r="J160" i="6"/>
  <c r="L160" i="6"/>
  <c r="U160" i="6" s="1"/>
  <c r="J208" i="6"/>
  <c r="L208" i="6"/>
  <c r="U208" i="6" s="1"/>
  <c r="J256" i="6"/>
  <c r="L256" i="6"/>
  <c r="U256" i="6" s="1"/>
  <c r="J304" i="6"/>
  <c r="L304" i="6"/>
  <c r="U304" i="6" s="1"/>
  <c r="J352" i="6"/>
  <c r="L352" i="6"/>
  <c r="U352" i="6" s="1"/>
  <c r="J400" i="6"/>
  <c r="L400" i="6"/>
  <c r="U400" i="6" s="1"/>
  <c r="J448" i="6"/>
  <c r="L448" i="6"/>
  <c r="U448" i="6" s="1"/>
  <c r="J496" i="6"/>
  <c r="L496" i="6"/>
  <c r="U496" i="6" s="1"/>
  <c r="J544" i="6"/>
  <c r="L544" i="6"/>
  <c r="U544" i="6" s="1"/>
  <c r="J592" i="6"/>
  <c r="L592" i="6"/>
  <c r="U592" i="6" s="1"/>
  <c r="J640" i="6"/>
  <c r="L640" i="6"/>
  <c r="U640" i="6" s="1"/>
  <c r="J688" i="6"/>
  <c r="L688" i="6"/>
  <c r="U688" i="6" s="1"/>
  <c r="J736" i="6"/>
  <c r="L736" i="6"/>
  <c r="U736" i="6" s="1"/>
  <c r="J784" i="6"/>
  <c r="L784" i="6"/>
  <c r="U784" i="6" s="1"/>
  <c r="J1459" i="6"/>
  <c r="L1459" i="6"/>
  <c r="J34" i="6"/>
  <c r="L34" i="6"/>
  <c r="U34" i="6" s="1"/>
  <c r="J82" i="6"/>
  <c r="L82" i="6"/>
  <c r="U82" i="6" s="1"/>
  <c r="J138" i="6"/>
  <c r="L138" i="6"/>
  <c r="U138" i="6" s="1"/>
  <c r="J186" i="6"/>
  <c r="L186" i="6"/>
  <c r="U186" i="6" s="1"/>
  <c r="J242" i="6"/>
  <c r="L242" i="6"/>
  <c r="U242" i="6" s="1"/>
  <c r="J290" i="6"/>
  <c r="L290" i="6"/>
  <c r="U290" i="6" s="1"/>
  <c r="J338" i="6"/>
  <c r="L338" i="6"/>
  <c r="U338" i="6" s="1"/>
  <c r="J386" i="6"/>
  <c r="L386" i="6"/>
  <c r="U386" i="6" s="1"/>
  <c r="J434" i="6"/>
  <c r="L434" i="6"/>
  <c r="U434" i="6" s="1"/>
  <c r="J482" i="6"/>
  <c r="L482" i="6"/>
  <c r="U482" i="6" s="1"/>
  <c r="J530" i="6"/>
  <c r="L530" i="6"/>
  <c r="U530" i="6" s="1"/>
  <c r="J578" i="6"/>
  <c r="L578" i="6"/>
  <c r="U578" i="6" s="1"/>
  <c r="J642" i="6"/>
  <c r="L642" i="6"/>
  <c r="U642" i="6" s="1"/>
  <c r="J690" i="6"/>
  <c r="L690" i="6"/>
  <c r="U690" i="6" s="1"/>
  <c r="J738" i="6"/>
  <c r="L738" i="6"/>
  <c r="U738" i="6" s="1"/>
  <c r="J794" i="6"/>
  <c r="L794" i="6"/>
  <c r="U794" i="6" s="1"/>
  <c r="J858" i="6"/>
  <c r="L858" i="6"/>
  <c r="U858" i="6" s="1"/>
  <c r="J906" i="6"/>
  <c r="L906" i="6"/>
  <c r="U906" i="6" s="1"/>
  <c r="J954" i="6"/>
  <c r="L954" i="6"/>
  <c r="U954" i="6" s="1"/>
  <c r="J1010" i="6"/>
  <c r="L1010" i="6"/>
  <c r="U1010" i="6" s="1"/>
  <c r="J1106" i="6"/>
  <c r="L1106" i="6"/>
  <c r="U1106" i="6" s="1"/>
  <c r="J1154" i="6"/>
  <c r="L1154" i="6"/>
  <c r="U1154" i="6" s="1"/>
  <c r="J1210" i="6"/>
  <c r="L1210" i="6"/>
  <c r="U1210" i="6" s="1"/>
  <c r="J1258" i="6"/>
  <c r="L1258" i="6"/>
  <c r="U1258" i="6" s="1"/>
  <c r="J1314" i="6"/>
  <c r="L1314" i="6"/>
  <c r="U1314" i="6" s="1"/>
  <c r="J1370" i="6"/>
  <c r="L1370" i="6"/>
  <c r="U1370" i="6" s="1"/>
  <c r="J1466" i="6"/>
  <c r="L1466" i="6"/>
  <c r="U1466" i="6" s="1"/>
  <c r="J1554" i="6"/>
  <c r="L1554" i="6"/>
  <c r="U1554" i="6" s="1"/>
  <c r="J1690" i="6"/>
  <c r="L1690" i="6"/>
  <c r="U1690" i="6" s="1"/>
  <c r="J1754" i="6"/>
  <c r="L1754" i="6"/>
  <c r="U1754" i="6" s="1"/>
  <c r="J1818" i="6"/>
  <c r="L1818" i="6"/>
  <c r="U1818" i="6" s="1"/>
  <c r="J1890" i="6"/>
  <c r="L1890" i="6"/>
  <c r="U1890" i="6" s="1"/>
  <c r="J1962" i="6"/>
  <c r="L1962" i="6"/>
  <c r="U1962" i="6" s="1"/>
  <c r="J607" i="6"/>
  <c r="L607" i="6"/>
  <c r="J975" i="6"/>
  <c r="L975" i="6"/>
  <c r="J1271" i="6"/>
  <c r="L1271" i="6"/>
  <c r="J1367" i="6"/>
  <c r="L1367" i="6"/>
  <c r="U1367" i="6" s="1"/>
  <c r="J1487" i="6"/>
  <c r="L1487" i="6"/>
  <c r="J1615" i="6"/>
  <c r="L1615" i="6"/>
  <c r="U1615" i="6" s="1"/>
  <c r="J1919" i="6"/>
  <c r="L1919" i="6"/>
  <c r="J952" i="6"/>
  <c r="L952" i="6"/>
  <c r="U952" i="6" s="1"/>
  <c r="J1136" i="6"/>
  <c r="L1136" i="6"/>
  <c r="U1136" i="6" s="1"/>
  <c r="J1224" i="6"/>
  <c r="L1224" i="6"/>
  <c r="U1224" i="6" s="1"/>
  <c r="J1336" i="6"/>
  <c r="L1336" i="6"/>
  <c r="U1336" i="6" s="1"/>
  <c r="J1520" i="6"/>
  <c r="L1520" i="6"/>
  <c r="U1520" i="6" s="1"/>
  <c r="J164" i="6"/>
  <c r="L164" i="6"/>
  <c r="U164" i="6" s="1"/>
  <c r="J212" i="6"/>
  <c r="L212" i="6"/>
  <c r="U212" i="6" s="1"/>
  <c r="J260" i="6"/>
  <c r="L260" i="6"/>
  <c r="U260" i="6" s="1"/>
  <c r="J308" i="6"/>
  <c r="L308" i="6"/>
  <c r="U308" i="6" s="1"/>
  <c r="J356" i="6"/>
  <c r="L356" i="6"/>
  <c r="U356" i="6" s="1"/>
  <c r="J404" i="6"/>
  <c r="L404" i="6"/>
  <c r="U404" i="6" s="1"/>
  <c r="J460" i="6"/>
  <c r="L460" i="6"/>
  <c r="U460" i="6" s="1"/>
  <c r="J508" i="6"/>
  <c r="L508" i="6"/>
  <c r="U508" i="6" s="1"/>
  <c r="J556" i="6"/>
  <c r="L556" i="6"/>
  <c r="U556" i="6" s="1"/>
  <c r="J604" i="6"/>
  <c r="L604" i="6"/>
  <c r="U604" i="6" s="1"/>
  <c r="J652" i="6"/>
  <c r="L652" i="6"/>
  <c r="U652" i="6" s="1"/>
  <c r="J708" i="6"/>
  <c r="L708" i="6"/>
  <c r="U708" i="6" s="1"/>
  <c r="J756" i="6"/>
  <c r="L756" i="6"/>
  <c r="U756" i="6" s="1"/>
  <c r="J804" i="6"/>
  <c r="L804" i="6"/>
  <c r="U804" i="6" s="1"/>
  <c r="J852" i="6"/>
  <c r="L852" i="6"/>
  <c r="U852" i="6" s="1"/>
  <c r="J900" i="6"/>
  <c r="L900" i="6"/>
  <c r="U900" i="6" s="1"/>
  <c r="J948" i="6"/>
  <c r="L948" i="6"/>
  <c r="U948" i="6" s="1"/>
  <c r="J1004" i="6"/>
  <c r="L1004" i="6"/>
  <c r="U1004" i="6" s="1"/>
  <c r="J1052" i="6"/>
  <c r="L1052" i="6"/>
  <c r="U1052" i="6" s="1"/>
  <c r="J1100" i="6"/>
  <c r="L1100" i="6"/>
  <c r="U1100" i="6" s="1"/>
  <c r="J1156" i="6"/>
  <c r="L1156" i="6"/>
  <c r="U1156" i="6" s="1"/>
  <c r="J1204" i="6"/>
  <c r="L1204" i="6"/>
  <c r="U1204" i="6" s="1"/>
  <c r="J1252" i="6"/>
  <c r="L1252" i="6"/>
  <c r="U1252" i="6" s="1"/>
  <c r="J1324" i="6"/>
  <c r="L1324" i="6"/>
  <c r="U1324" i="6" s="1"/>
  <c r="J1388" i="6"/>
  <c r="L1388" i="6"/>
  <c r="U1388" i="6" s="1"/>
  <c r="J1452" i="6"/>
  <c r="L1452" i="6"/>
  <c r="U1452" i="6" s="1"/>
  <c r="J1508" i="6"/>
  <c r="L1508" i="6"/>
  <c r="U1508" i="6" s="1"/>
  <c r="J1564" i="6"/>
  <c r="L1564" i="6"/>
  <c r="U1564" i="6" s="1"/>
  <c r="J1612" i="6"/>
  <c r="L1612" i="6"/>
  <c r="U1612" i="6" s="1"/>
  <c r="J1660" i="6"/>
  <c r="L1660" i="6"/>
  <c r="U1660" i="6" s="1"/>
  <c r="J1716" i="6"/>
  <c r="L1716" i="6"/>
  <c r="U1716" i="6" s="1"/>
  <c r="J1764" i="6"/>
  <c r="L1764" i="6"/>
  <c r="U1764" i="6" s="1"/>
  <c r="J1836" i="6"/>
  <c r="L1836" i="6"/>
  <c r="U1836" i="6" s="1"/>
  <c r="J1908" i="6"/>
  <c r="L1908" i="6"/>
  <c r="U1908" i="6" s="1"/>
  <c r="J1980" i="6"/>
  <c r="L1980" i="6"/>
  <c r="U1980" i="6" s="1"/>
  <c r="J663" i="6"/>
  <c r="L663" i="6"/>
  <c r="J895" i="6"/>
  <c r="L895" i="6"/>
  <c r="J983" i="6"/>
  <c r="L983" i="6"/>
  <c r="J1343" i="6"/>
  <c r="L1343" i="6"/>
  <c r="J1519" i="6"/>
  <c r="L1519" i="6"/>
  <c r="J824" i="6"/>
  <c r="L824" i="6"/>
  <c r="U824" i="6" s="1"/>
  <c r="J936" i="6"/>
  <c r="L936" i="6"/>
  <c r="U936" i="6" s="1"/>
  <c r="J1240" i="6"/>
  <c r="L1240" i="6"/>
  <c r="U1240" i="6" s="1"/>
  <c r="J1384" i="6"/>
  <c r="L1384" i="6"/>
  <c r="U1384" i="6" s="1"/>
  <c r="J807" i="6"/>
  <c r="L807" i="6"/>
  <c r="J1135" i="6"/>
  <c r="L1135" i="6"/>
  <c r="J1503" i="6"/>
  <c r="L1503" i="6"/>
  <c r="U1503" i="6" s="1"/>
  <c r="J1735" i="6"/>
  <c r="L1735" i="6"/>
  <c r="J1815" i="6"/>
  <c r="L1815" i="6"/>
  <c r="J1624" i="6"/>
  <c r="L1624" i="6"/>
  <c r="U1624" i="6" s="1"/>
  <c r="J1816" i="6"/>
  <c r="L1816" i="6"/>
  <c r="U1816" i="6" s="1"/>
  <c r="J1454" i="6"/>
  <c r="L1454" i="6"/>
  <c r="U1454" i="6" s="1"/>
  <c r="J1678" i="6"/>
  <c r="L1678" i="6"/>
  <c r="U1678" i="6" s="1"/>
  <c r="J1966" i="6"/>
  <c r="L1966" i="6"/>
  <c r="U1966" i="6" s="1"/>
  <c r="J1071" i="6"/>
  <c r="L1071" i="6"/>
  <c r="J1223" i="6"/>
  <c r="L1223" i="6"/>
  <c r="J1855" i="6"/>
  <c r="L1855" i="6"/>
  <c r="J2007" i="6"/>
  <c r="L2007" i="6"/>
  <c r="J1264" i="6"/>
  <c r="L1264" i="6"/>
  <c r="U1264" i="6" s="1"/>
  <c r="J1728" i="6"/>
  <c r="L1728" i="6"/>
  <c r="U1728" i="6" s="1"/>
  <c r="J2008" i="6"/>
  <c r="L2008" i="6"/>
  <c r="U2008" i="6" s="1"/>
  <c r="J12" i="6"/>
  <c r="L12" i="6"/>
  <c r="U12" i="6" s="1"/>
  <c r="J110" i="6"/>
  <c r="L110" i="6"/>
  <c r="U110" i="6" s="1"/>
  <c r="J479" i="6"/>
  <c r="L479" i="6"/>
  <c r="J362" i="6"/>
  <c r="L362" i="6"/>
  <c r="U362" i="6" s="1"/>
  <c r="J826" i="6"/>
  <c r="L826" i="6"/>
  <c r="U826" i="6" s="1"/>
  <c r="J1338" i="6"/>
  <c r="L1338" i="6"/>
  <c r="U1338" i="6" s="1"/>
  <c r="J1858" i="6"/>
  <c r="L1858" i="6"/>
  <c r="U1858" i="6" s="1"/>
  <c r="J1551" i="6"/>
  <c r="L1551" i="6"/>
  <c r="J1280" i="6"/>
  <c r="L1280" i="6"/>
  <c r="U1280" i="6" s="1"/>
  <c r="J532" i="6"/>
  <c r="L532" i="6"/>
  <c r="U532" i="6" s="1"/>
  <c r="J1076" i="6"/>
  <c r="L1076" i="6"/>
  <c r="U1076" i="6" s="1"/>
  <c r="J1796" i="6"/>
  <c r="L1796" i="6"/>
  <c r="U1796" i="6" s="1"/>
  <c r="J872" i="6"/>
  <c r="L872" i="6"/>
  <c r="U872" i="6" s="1"/>
  <c r="J1096" i="6"/>
  <c r="L1096" i="6"/>
  <c r="J653" i="6"/>
  <c r="L653" i="6"/>
  <c r="J115" i="6"/>
  <c r="L115" i="6"/>
  <c r="J219" i="6"/>
  <c r="L219" i="6"/>
  <c r="J315" i="6"/>
  <c r="L315" i="6"/>
  <c r="J435" i="6"/>
  <c r="L435" i="6"/>
  <c r="J13" i="6"/>
  <c r="L13" i="6"/>
  <c r="U13" i="6" s="1"/>
  <c r="J1635" i="6"/>
  <c r="L1635" i="6"/>
  <c r="J1543" i="6"/>
  <c r="L1543" i="6"/>
  <c r="J1779" i="6"/>
  <c r="L1779" i="6"/>
  <c r="J1804" i="6"/>
  <c r="L1804" i="6"/>
  <c r="J711" i="6"/>
  <c r="L711" i="6"/>
  <c r="J1516" i="6"/>
  <c r="L1516" i="6"/>
  <c r="J1255" i="6"/>
  <c r="L1255" i="6"/>
  <c r="J1278" i="6"/>
  <c r="L1278" i="6"/>
  <c r="U1278" i="6" s="1"/>
  <c r="J1845" i="6"/>
  <c r="L1845" i="6"/>
  <c r="J1871" i="6"/>
  <c r="L1871" i="6"/>
  <c r="U1871" i="6" s="1"/>
  <c r="J35" i="6"/>
  <c r="L35" i="6"/>
  <c r="U35" i="6" s="1"/>
  <c r="J83" i="6"/>
  <c r="L83" i="6"/>
  <c r="J131" i="6"/>
  <c r="L131" i="6"/>
  <c r="J187" i="6"/>
  <c r="L187" i="6"/>
  <c r="J235" i="6"/>
  <c r="L235" i="6"/>
  <c r="J283" i="6"/>
  <c r="L283" i="6"/>
  <c r="U283" i="6" s="1"/>
  <c r="J331" i="6"/>
  <c r="L331" i="6"/>
  <c r="U331" i="6" s="1"/>
  <c r="J395" i="6"/>
  <c r="L395" i="6"/>
  <c r="J451" i="6"/>
  <c r="L451" i="6"/>
  <c r="J499" i="6"/>
  <c r="L499" i="6"/>
  <c r="J29" i="6"/>
  <c r="L29" i="6"/>
  <c r="U29" i="6" s="1"/>
  <c r="J77" i="6"/>
  <c r="L77" i="6"/>
  <c r="U77" i="6" s="1"/>
  <c r="J125" i="6"/>
  <c r="L125" i="6"/>
  <c r="U125" i="6" s="1"/>
  <c r="J173" i="6"/>
  <c r="L173" i="6"/>
  <c r="U173" i="6" s="1"/>
  <c r="J221" i="6"/>
  <c r="L221" i="6"/>
  <c r="J269" i="6"/>
  <c r="L269" i="6"/>
  <c r="J2014" i="6"/>
  <c r="L2014" i="6"/>
  <c r="J49" i="6"/>
  <c r="L49" i="6"/>
  <c r="J97" i="6"/>
  <c r="L97" i="6"/>
  <c r="J145" i="6"/>
  <c r="L145" i="6"/>
  <c r="J193" i="6"/>
  <c r="L193" i="6"/>
  <c r="J241" i="6"/>
  <c r="L241" i="6"/>
  <c r="J297" i="6"/>
  <c r="L297" i="6"/>
  <c r="U297" i="6" s="1"/>
  <c r="J345" i="6"/>
  <c r="L345" i="6"/>
  <c r="J393" i="6"/>
  <c r="L393" i="6"/>
  <c r="J441" i="6"/>
  <c r="L441" i="6"/>
  <c r="J497" i="6"/>
  <c r="L497" i="6"/>
  <c r="J545" i="6"/>
  <c r="L545" i="6"/>
  <c r="U545" i="6" s="1"/>
  <c r="J593" i="6"/>
  <c r="L593" i="6"/>
  <c r="J649" i="6"/>
  <c r="L649" i="6"/>
  <c r="U649" i="6" s="1"/>
  <c r="J697" i="6"/>
  <c r="L697" i="6"/>
  <c r="J753" i="6"/>
  <c r="L753" i="6"/>
  <c r="J801" i="6"/>
  <c r="L801" i="6"/>
  <c r="J849" i="6"/>
  <c r="L849" i="6"/>
  <c r="J897" i="6"/>
  <c r="L897" i="6"/>
  <c r="J945" i="6"/>
  <c r="L945" i="6"/>
  <c r="J993" i="6"/>
  <c r="L993" i="6"/>
  <c r="J1041" i="6"/>
  <c r="L1041" i="6"/>
  <c r="J1089" i="6"/>
  <c r="L1089" i="6"/>
  <c r="J1137" i="6"/>
  <c r="L1137" i="6"/>
  <c r="J1185" i="6"/>
  <c r="L1185" i="6"/>
  <c r="J1233" i="6"/>
  <c r="L1233" i="6"/>
  <c r="U1233" i="6" s="1"/>
  <c r="J1281" i="6"/>
  <c r="L1281" i="6"/>
  <c r="J1329" i="6"/>
  <c r="L1329" i="6"/>
  <c r="J1393" i="6"/>
  <c r="L1393" i="6"/>
  <c r="J1457" i="6"/>
  <c r="L1457" i="6"/>
  <c r="J1521" i="6"/>
  <c r="L1521" i="6"/>
  <c r="J1601" i="6"/>
  <c r="L1601" i="6"/>
  <c r="J1665" i="6"/>
  <c r="L1665" i="6"/>
  <c r="U1665" i="6" s="1"/>
  <c r="J1729" i="6"/>
  <c r="L1729" i="6"/>
  <c r="J1809" i="6"/>
  <c r="L1809" i="6"/>
  <c r="J1889" i="6"/>
  <c r="L1889" i="6"/>
  <c r="U1889" i="6" s="1"/>
  <c r="J1961" i="6"/>
  <c r="L1961" i="6"/>
  <c r="U1961" i="6" s="1"/>
  <c r="J2025" i="6"/>
  <c r="L2025" i="6"/>
  <c r="U2025" i="6" s="1"/>
  <c r="J1080" i="6"/>
  <c r="L1080" i="6"/>
  <c r="U1080" i="6" s="1"/>
  <c r="J1416" i="6"/>
  <c r="L1416" i="6"/>
  <c r="U1416" i="6" s="1"/>
  <c r="J1616" i="6"/>
  <c r="L1616" i="6"/>
  <c r="U1616" i="6" s="1"/>
  <c r="J1928" i="6"/>
  <c r="L1928" i="6"/>
  <c r="U1928" i="6" s="1"/>
  <c r="J563" i="6"/>
  <c r="L563" i="6"/>
  <c r="J611" i="6"/>
  <c r="L611" i="6"/>
  <c r="U611" i="6" s="1"/>
  <c r="J667" i="6"/>
  <c r="L667" i="6"/>
  <c r="J715" i="6"/>
  <c r="L715" i="6"/>
  <c r="J763" i="6"/>
  <c r="L763" i="6"/>
  <c r="J811" i="6"/>
  <c r="L811" i="6"/>
  <c r="U811" i="6" s="1"/>
  <c r="J867" i="6"/>
  <c r="L867" i="6"/>
  <c r="J923" i="6"/>
  <c r="L923" i="6"/>
  <c r="J979" i="6"/>
  <c r="L979" i="6"/>
  <c r="J1027" i="6"/>
  <c r="L1027" i="6"/>
  <c r="J1075" i="6"/>
  <c r="L1075" i="6"/>
  <c r="J1123" i="6"/>
  <c r="L1123" i="6"/>
  <c r="U1123" i="6" s="1"/>
  <c r="J1179" i="6"/>
  <c r="L1179" i="6"/>
  <c r="J1251" i="6"/>
  <c r="L1251" i="6"/>
  <c r="J1315" i="6"/>
  <c r="L1315" i="6"/>
  <c r="J1363" i="6"/>
  <c r="L1363" i="6"/>
  <c r="J1419" i="6"/>
  <c r="L1419" i="6"/>
  <c r="J1475" i="6"/>
  <c r="L1475" i="6"/>
  <c r="J1539" i="6"/>
  <c r="L1539" i="6"/>
  <c r="J1587" i="6"/>
  <c r="L1587" i="6"/>
  <c r="U1587" i="6" s="1"/>
  <c r="J1651" i="6"/>
  <c r="L1651" i="6"/>
  <c r="U1651" i="6" s="1"/>
  <c r="J1699" i="6"/>
  <c r="L1699" i="6"/>
  <c r="U1699" i="6" s="1"/>
  <c r="J1747" i="6"/>
  <c r="L1747" i="6"/>
  <c r="U1747" i="6" s="1"/>
  <c r="J1819" i="6"/>
  <c r="L1819" i="6"/>
  <c r="J1867" i="6"/>
  <c r="L1867" i="6"/>
  <c r="J1931" i="6"/>
  <c r="L1931" i="6"/>
  <c r="J1987" i="6"/>
  <c r="L1987" i="6"/>
  <c r="U1987" i="6" s="1"/>
  <c r="J1996" i="6"/>
  <c r="L1996" i="6"/>
  <c r="U1996" i="6" s="1"/>
  <c r="J735" i="6"/>
  <c r="L735" i="6"/>
  <c r="J799" i="6"/>
  <c r="L799" i="6"/>
  <c r="J1191" i="6"/>
  <c r="L1191" i="6"/>
  <c r="J1575" i="6"/>
  <c r="L1575" i="6"/>
  <c r="J1719" i="6"/>
  <c r="L1719" i="6"/>
  <c r="J912" i="6"/>
  <c r="L912" i="6"/>
  <c r="U912" i="6" s="1"/>
  <c r="J1464" i="6"/>
  <c r="L1464" i="6"/>
  <c r="U1464" i="6" s="1"/>
  <c r="J1712" i="6"/>
  <c r="L1712" i="6"/>
  <c r="U1712" i="6" s="1"/>
  <c r="J301" i="6"/>
  <c r="L301" i="6"/>
  <c r="J349" i="6"/>
  <c r="L349" i="6"/>
  <c r="J397" i="6"/>
  <c r="L397" i="6"/>
  <c r="J445" i="6"/>
  <c r="L445" i="6"/>
  <c r="J493" i="6"/>
  <c r="L493" i="6"/>
  <c r="J541" i="6"/>
  <c r="L541" i="6"/>
  <c r="J589" i="6"/>
  <c r="L589" i="6"/>
  <c r="J637" i="6"/>
  <c r="L637" i="6"/>
  <c r="J693" i="6"/>
  <c r="L693" i="6"/>
  <c r="J741" i="6"/>
  <c r="L741" i="6"/>
  <c r="J789" i="6"/>
  <c r="L789" i="6"/>
  <c r="J845" i="6"/>
  <c r="L845" i="6"/>
  <c r="J893" i="6"/>
  <c r="L893" i="6"/>
  <c r="J941" i="6"/>
  <c r="L941" i="6"/>
  <c r="U941" i="6" s="1"/>
  <c r="J989" i="6"/>
  <c r="L989" i="6"/>
  <c r="J1037" i="6"/>
  <c r="L1037" i="6"/>
  <c r="J1085" i="6"/>
  <c r="L1085" i="6"/>
  <c r="J1133" i="6"/>
  <c r="L1133" i="6"/>
  <c r="J1189" i="6"/>
  <c r="L1189" i="6"/>
  <c r="J1245" i="6"/>
  <c r="L1245" i="6"/>
  <c r="J1301" i="6"/>
  <c r="L1301" i="6"/>
  <c r="J1349" i="6"/>
  <c r="L1349" i="6"/>
  <c r="J1397" i="6"/>
  <c r="L1397" i="6"/>
  <c r="U1397" i="6" s="1"/>
  <c r="J1453" i="6"/>
  <c r="L1453" i="6"/>
  <c r="J1501" i="6"/>
  <c r="L1501" i="6"/>
  <c r="J1557" i="6"/>
  <c r="L1557" i="6"/>
  <c r="J1605" i="6"/>
  <c r="L1605" i="6"/>
  <c r="J1653" i="6"/>
  <c r="L1653" i="6"/>
  <c r="J1717" i="6"/>
  <c r="L1717" i="6"/>
  <c r="J1765" i="6"/>
  <c r="L1765" i="6"/>
  <c r="J1877" i="6"/>
  <c r="L1877" i="6"/>
  <c r="J1941" i="6"/>
  <c r="L1941" i="6"/>
  <c r="J2029" i="6"/>
  <c r="L2029" i="6"/>
  <c r="J358" i="6"/>
  <c r="L358" i="6"/>
  <c r="U358" i="6" s="1"/>
  <c r="J406" i="6"/>
  <c r="L406" i="6"/>
  <c r="U406" i="6" s="1"/>
  <c r="J454" i="6"/>
  <c r="L454" i="6"/>
  <c r="U454" i="6" s="1"/>
  <c r="J502" i="6"/>
  <c r="L502" i="6"/>
  <c r="U502" i="6" s="1"/>
  <c r="J558" i="6"/>
  <c r="L558" i="6"/>
  <c r="U558" i="6" s="1"/>
  <c r="J606" i="6"/>
  <c r="L606" i="6"/>
  <c r="U606" i="6" s="1"/>
  <c r="J654" i="6"/>
  <c r="L654" i="6"/>
  <c r="U654" i="6" s="1"/>
  <c r="J702" i="6"/>
  <c r="L702" i="6"/>
  <c r="U702" i="6" s="1"/>
  <c r="J758" i="6"/>
  <c r="L758" i="6"/>
  <c r="U758" i="6" s="1"/>
  <c r="J806" i="6"/>
  <c r="L806" i="6"/>
  <c r="U806" i="6" s="1"/>
  <c r="J854" i="6"/>
  <c r="L854" i="6"/>
  <c r="U854" i="6" s="1"/>
  <c r="J902" i="6"/>
  <c r="L902" i="6"/>
  <c r="U902" i="6" s="1"/>
  <c r="J950" i="6"/>
  <c r="L950" i="6"/>
  <c r="U950" i="6" s="1"/>
  <c r="J1006" i="6"/>
  <c r="L1006" i="6"/>
  <c r="U1006" i="6" s="1"/>
  <c r="J1054" i="6"/>
  <c r="L1054" i="6"/>
  <c r="U1054" i="6" s="1"/>
  <c r="J1102" i="6"/>
  <c r="L1102" i="6"/>
  <c r="U1102" i="6" s="1"/>
  <c r="J1150" i="6"/>
  <c r="L1150" i="6"/>
  <c r="U1150" i="6" s="1"/>
  <c r="J1198" i="6"/>
  <c r="L1198" i="6"/>
  <c r="U1198" i="6" s="1"/>
  <c r="J1246" i="6"/>
  <c r="L1246" i="6"/>
  <c r="U1246" i="6" s="1"/>
  <c r="J1302" i="6"/>
  <c r="L1302" i="6"/>
  <c r="U1302" i="6" s="1"/>
  <c r="J1350" i="6"/>
  <c r="L1350" i="6"/>
  <c r="U1350" i="6" s="1"/>
  <c r="J1398" i="6"/>
  <c r="L1398" i="6"/>
  <c r="U1398" i="6" s="1"/>
  <c r="J1510" i="6"/>
  <c r="L1510" i="6"/>
  <c r="U1510" i="6" s="1"/>
  <c r="J1566" i="6"/>
  <c r="L1566" i="6"/>
  <c r="U1566" i="6" s="1"/>
  <c r="J1622" i="6"/>
  <c r="L1622" i="6"/>
  <c r="U1622" i="6" s="1"/>
  <c r="J1734" i="6"/>
  <c r="L1734" i="6"/>
  <c r="U1734" i="6" s="1"/>
  <c r="J1790" i="6"/>
  <c r="L1790" i="6"/>
  <c r="U1790" i="6" s="1"/>
  <c r="J1854" i="6"/>
  <c r="L1854" i="6"/>
  <c r="U1854" i="6" s="1"/>
  <c r="J1910" i="6"/>
  <c r="L1910" i="6"/>
  <c r="U1910" i="6" s="1"/>
  <c r="J2022" i="6"/>
  <c r="L2022" i="6"/>
  <c r="U2022" i="6" s="1"/>
  <c r="J1906" i="6"/>
  <c r="L1906" i="6"/>
  <c r="J31" i="6"/>
  <c r="L31" i="6"/>
  <c r="U31" i="6" s="1"/>
  <c r="J383" i="6"/>
  <c r="L383" i="6"/>
  <c r="J184" i="6"/>
  <c r="L184" i="6"/>
  <c r="U184" i="6" s="1"/>
  <c r="J472" i="6"/>
  <c r="L472" i="6"/>
  <c r="U472" i="6" s="1"/>
  <c r="J520" i="6"/>
  <c r="L520" i="6"/>
  <c r="U520" i="6" s="1"/>
  <c r="J664" i="6"/>
  <c r="L664" i="6"/>
  <c r="U664" i="6" s="1"/>
  <c r="J760" i="6"/>
  <c r="L760" i="6"/>
  <c r="U760" i="6" s="1"/>
  <c r="J218" i="6"/>
  <c r="L218" i="6"/>
  <c r="U218" i="6" s="1"/>
  <c r="J610" i="6"/>
  <c r="L610" i="6"/>
  <c r="U610" i="6" s="1"/>
  <c r="J1082" i="6"/>
  <c r="L1082" i="6"/>
  <c r="U1082" i="6" s="1"/>
  <c r="J1290" i="6"/>
  <c r="L1290" i="6"/>
  <c r="U1290" i="6" s="1"/>
  <c r="J1794" i="6"/>
  <c r="L1794" i="6"/>
  <c r="U1794" i="6" s="1"/>
  <c r="J284" i="6"/>
  <c r="L284" i="6"/>
  <c r="U284" i="6" s="1"/>
  <c r="J780" i="6"/>
  <c r="L780" i="6"/>
  <c r="U780" i="6" s="1"/>
  <c r="J1124" i="6"/>
  <c r="L1124" i="6"/>
  <c r="U1124" i="6" s="1"/>
  <c r="J1636" i="6"/>
  <c r="L1636" i="6"/>
  <c r="U1636" i="6" s="1"/>
  <c r="J855" i="6"/>
  <c r="L855" i="6"/>
  <c r="J1304" i="6"/>
  <c r="L1304" i="6"/>
  <c r="U1304" i="6" s="1"/>
  <c r="J679" i="6"/>
  <c r="L679" i="6"/>
  <c r="J1822" i="6"/>
  <c r="L1822" i="6"/>
  <c r="U1822" i="6" s="1"/>
  <c r="J1927" i="6"/>
  <c r="L1927" i="6"/>
  <c r="J1949" i="6"/>
  <c r="L1949" i="6"/>
  <c r="J1276" i="6"/>
  <c r="L1276" i="6"/>
  <c r="U1276" i="6" s="1"/>
  <c r="J1582" i="6"/>
  <c r="L1582" i="6"/>
  <c r="J1369" i="6"/>
  <c r="L1369" i="6"/>
  <c r="U1369" i="6" s="1"/>
  <c r="J1791" i="6"/>
  <c r="L1791" i="6"/>
  <c r="J1864" i="6"/>
  <c r="L1864" i="6"/>
  <c r="J819" i="6"/>
  <c r="L819" i="6"/>
  <c r="J1661" i="6"/>
  <c r="L1661" i="6"/>
  <c r="J515" i="6"/>
  <c r="L515" i="6"/>
  <c r="J1517" i="6"/>
  <c r="L1517" i="6"/>
  <c r="J1446" i="6"/>
  <c r="L1446" i="6"/>
  <c r="J1869" i="6"/>
  <c r="L1869" i="6"/>
  <c r="J1907" i="6"/>
  <c r="L1907" i="6"/>
  <c r="J44" i="6"/>
  <c r="L44" i="6"/>
  <c r="U44" i="6" s="1"/>
  <c r="J92" i="6"/>
  <c r="L92" i="6"/>
  <c r="U92" i="6" s="1"/>
  <c r="J140" i="6"/>
  <c r="L140" i="6"/>
  <c r="U140" i="6" s="1"/>
  <c r="J38" i="6"/>
  <c r="L38" i="6"/>
  <c r="U38" i="6" s="1"/>
  <c r="J94" i="6"/>
  <c r="L94" i="6"/>
  <c r="U94" i="6" s="1"/>
  <c r="J142" i="6"/>
  <c r="L142" i="6"/>
  <c r="U142" i="6" s="1"/>
  <c r="J198" i="6"/>
  <c r="L198" i="6"/>
  <c r="U198" i="6" s="1"/>
  <c r="J262" i="6"/>
  <c r="L262" i="6"/>
  <c r="U262" i="6" s="1"/>
  <c r="J310" i="6"/>
  <c r="L310" i="6"/>
  <c r="U310" i="6" s="1"/>
  <c r="J15" i="6"/>
  <c r="L15" i="6"/>
  <c r="U15" i="6" s="1"/>
  <c r="J63" i="6"/>
  <c r="L63" i="6"/>
  <c r="J111" i="6"/>
  <c r="L111" i="6"/>
  <c r="J167" i="6"/>
  <c r="L167" i="6"/>
  <c r="J215" i="6"/>
  <c r="L215" i="6"/>
  <c r="J263" i="6"/>
  <c r="L263" i="6"/>
  <c r="J319" i="6"/>
  <c r="L319" i="6"/>
  <c r="J367" i="6"/>
  <c r="L367" i="6"/>
  <c r="J415" i="6"/>
  <c r="L415" i="6"/>
  <c r="J463" i="6"/>
  <c r="L463" i="6"/>
  <c r="J511" i="6"/>
  <c r="L511" i="6"/>
  <c r="J567" i="6"/>
  <c r="L567" i="6"/>
  <c r="J24" i="6"/>
  <c r="L24" i="6"/>
  <c r="U24" i="6" s="1"/>
  <c r="J72" i="6"/>
  <c r="L72" i="6"/>
  <c r="U72" i="6" s="1"/>
  <c r="J120" i="6"/>
  <c r="L120" i="6"/>
  <c r="U120" i="6" s="1"/>
  <c r="J168" i="6"/>
  <c r="L168" i="6"/>
  <c r="U168" i="6" s="1"/>
  <c r="J216" i="6"/>
  <c r="L216" i="6"/>
  <c r="U216" i="6" s="1"/>
  <c r="J264" i="6"/>
  <c r="L264" i="6"/>
  <c r="U264" i="6" s="1"/>
  <c r="J312" i="6"/>
  <c r="L312" i="6"/>
  <c r="U312" i="6" s="1"/>
  <c r="J360" i="6"/>
  <c r="L360" i="6"/>
  <c r="U360" i="6" s="1"/>
  <c r="J408" i="6"/>
  <c r="L408" i="6"/>
  <c r="U408" i="6" s="1"/>
  <c r="J456" i="6"/>
  <c r="L456" i="6"/>
  <c r="U456" i="6" s="1"/>
  <c r="J504" i="6"/>
  <c r="L504" i="6"/>
  <c r="U504" i="6" s="1"/>
  <c r="J552" i="6"/>
  <c r="L552" i="6"/>
  <c r="U552" i="6" s="1"/>
  <c r="J600" i="6"/>
  <c r="L600" i="6"/>
  <c r="U600" i="6" s="1"/>
  <c r="J648" i="6"/>
  <c r="L648" i="6"/>
  <c r="U648" i="6" s="1"/>
  <c r="J696" i="6"/>
  <c r="L696" i="6"/>
  <c r="U696" i="6" s="1"/>
  <c r="J744" i="6"/>
  <c r="L744" i="6"/>
  <c r="U744" i="6" s="1"/>
  <c r="J42" i="6"/>
  <c r="L42" i="6"/>
  <c r="U42" i="6" s="1"/>
  <c r="J90" i="6"/>
  <c r="L90" i="6"/>
  <c r="U90" i="6" s="1"/>
  <c r="J146" i="6"/>
  <c r="L146" i="6"/>
  <c r="U146" i="6" s="1"/>
  <c r="J194" i="6"/>
  <c r="L194" i="6"/>
  <c r="U194" i="6" s="1"/>
  <c r="J250" i="6"/>
  <c r="L250" i="6"/>
  <c r="U250" i="6" s="1"/>
  <c r="J298" i="6"/>
  <c r="L298" i="6"/>
  <c r="U298" i="6" s="1"/>
  <c r="J346" i="6"/>
  <c r="L346" i="6"/>
  <c r="U346" i="6" s="1"/>
  <c r="J394" i="6"/>
  <c r="L394" i="6"/>
  <c r="U394" i="6" s="1"/>
  <c r="J442" i="6"/>
  <c r="L442" i="6"/>
  <c r="U442" i="6" s="1"/>
  <c r="J490" i="6"/>
  <c r="L490" i="6"/>
  <c r="U490" i="6" s="1"/>
  <c r="J538" i="6"/>
  <c r="L538" i="6"/>
  <c r="U538" i="6" s="1"/>
  <c r="J594" i="6"/>
  <c r="L594" i="6"/>
  <c r="U594" i="6" s="1"/>
  <c r="J650" i="6"/>
  <c r="L650" i="6"/>
  <c r="U650" i="6" s="1"/>
  <c r="J698" i="6"/>
  <c r="L698" i="6"/>
  <c r="U698" i="6" s="1"/>
  <c r="J746" i="6"/>
  <c r="L746" i="6"/>
  <c r="U746" i="6" s="1"/>
  <c r="J802" i="6"/>
  <c r="L802" i="6"/>
  <c r="U802" i="6" s="1"/>
  <c r="J866" i="6"/>
  <c r="L866" i="6"/>
  <c r="U866" i="6" s="1"/>
  <c r="J914" i="6"/>
  <c r="L914" i="6"/>
  <c r="U914" i="6" s="1"/>
  <c r="J962" i="6"/>
  <c r="L962" i="6"/>
  <c r="U962" i="6" s="1"/>
  <c r="J1018" i="6"/>
  <c r="L1018" i="6"/>
  <c r="U1018" i="6" s="1"/>
  <c r="J1066" i="6"/>
  <c r="L1066" i="6"/>
  <c r="U1066" i="6" s="1"/>
  <c r="J1114" i="6"/>
  <c r="L1114" i="6"/>
  <c r="U1114" i="6" s="1"/>
  <c r="J1162" i="6"/>
  <c r="L1162" i="6"/>
  <c r="U1162" i="6" s="1"/>
  <c r="J1218" i="6"/>
  <c r="L1218" i="6"/>
  <c r="U1218" i="6" s="1"/>
  <c r="J1266" i="6"/>
  <c r="L1266" i="6"/>
  <c r="U1266" i="6" s="1"/>
  <c r="J1322" i="6"/>
  <c r="L1322" i="6"/>
  <c r="U1322" i="6" s="1"/>
  <c r="J1378" i="6"/>
  <c r="L1378" i="6"/>
  <c r="U1378" i="6" s="1"/>
  <c r="J1426" i="6"/>
  <c r="L1426" i="6"/>
  <c r="U1426" i="6" s="1"/>
  <c r="J1474" i="6"/>
  <c r="L1474" i="6"/>
  <c r="U1474" i="6" s="1"/>
  <c r="J1562" i="6"/>
  <c r="L1562" i="6"/>
  <c r="U1562" i="6" s="1"/>
  <c r="J1626" i="6"/>
  <c r="L1626" i="6"/>
  <c r="U1626" i="6" s="1"/>
  <c r="J1698" i="6"/>
  <c r="L1698" i="6"/>
  <c r="U1698" i="6" s="1"/>
  <c r="J1770" i="6"/>
  <c r="L1770" i="6"/>
  <c r="U1770" i="6" s="1"/>
  <c r="J1834" i="6"/>
  <c r="L1834" i="6"/>
  <c r="U1834" i="6" s="1"/>
  <c r="J1898" i="6"/>
  <c r="L1898" i="6"/>
  <c r="U1898" i="6" s="1"/>
  <c r="J1970" i="6"/>
  <c r="L1970" i="6"/>
  <c r="U1970" i="6" s="1"/>
  <c r="J751" i="6"/>
  <c r="L751" i="6"/>
  <c r="J999" i="6"/>
  <c r="L999" i="6"/>
  <c r="J1295" i="6"/>
  <c r="L1295" i="6"/>
  <c r="J1383" i="6"/>
  <c r="L1383" i="6"/>
  <c r="U1383" i="6" s="1"/>
  <c r="J1511" i="6"/>
  <c r="L1511" i="6"/>
  <c r="J1631" i="6"/>
  <c r="L1631" i="6"/>
  <c r="J1959" i="6"/>
  <c r="L1959" i="6"/>
  <c r="J984" i="6"/>
  <c r="L984" i="6"/>
  <c r="U984" i="6" s="1"/>
  <c r="J1152" i="6"/>
  <c r="L1152" i="6"/>
  <c r="U1152" i="6" s="1"/>
  <c r="J1232" i="6"/>
  <c r="L1232" i="6"/>
  <c r="U1232" i="6" s="1"/>
  <c r="J1376" i="6"/>
  <c r="L1376" i="6"/>
  <c r="U1376" i="6" s="1"/>
  <c r="J1544" i="6"/>
  <c r="L1544" i="6"/>
  <c r="U1544" i="6" s="1"/>
  <c r="J172" i="6"/>
  <c r="L172" i="6"/>
  <c r="U172" i="6" s="1"/>
  <c r="J220" i="6"/>
  <c r="L220" i="6"/>
  <c r="U220" i="6" s="1"/>
  <c r="J268" i="6"/>
  <c r="L268" i="6"/>
  <c r="U268" i="6" s="1"/>
  <c r="J316" i="6"/>
  <c r="L316" i="6"/>
  <c r="U316" i="6" s="1"/>
  <c r="J364" i="6"/>
  <c r="L364" i="6"/>
  <c r="U364" i="6" s="1"/>
  <c r="J420" i="6"/>
  <c r="L420" i="6"/>
  <c r="U420" i="6" s="1"/>
  <c r="J468" i="6"/>
  <c r="L468" i="6"/>
  <c r="U468" i="6" s="1"/>
  <c r="J516" i="6"/>
  <c r="L516" i="6"/>
  <c r="U516" i="6" s="1"/>
  <c r="J564" i="6"/>
  <c r="L564" i="6"/>
  <c r="U564" i="6" s="1"/>
  <c r="J612" i="6"/>
  <c r="L612" i="6"/>
  <c r="U612" i="6" s="1"/>
  <c r="J660" i="6"/>
  <c r="L660" i="6"/>
  <c r="U660" i="6" s="1"/>
  <c r="J716" i="6"/>
  <c r="L716" i="6"/>
  <c r="U716" i="6" s="1"/>
  <c r="J764" i="6"/>
  <c r="L764" i="6"/>
  <c r="U764" i="6" s="1"/>
  <c r="J812" i="6"/>
  <c r="L812" i="6"/>
  <c r="U812" i="6" s="1"/>
  <c r="J860" i="6"/>
  <c r="L860" i="6"/>
  <c r="U860" i="6" s="1"/>
  <c r="J908" i="6"/>
  <c r="L908" i="6"/>
  <c r="U908" i="6" s="1"/>
  <c r="J956" i="6"/>
  <c r="L956" i="6"/>
  <c r="U956" i="6" s="1"/>
  <c r="J1012" i="6"/>
  <c r="L1012" i="6"/>
  <c r="U1012" i="6" s="1"/>
  <c r="J1060" i="6"/>
  <c r="L1060" i="6"/>
  <c r="U1060" i="6" s="1"/>
  <c r="J1108" i="6"/>
  <c r="L1108" i="6"/>
  <c r="U1108" i="6" s="1"/>
  <c r="J1164" i="6"/>
  <c r="L1164" i="6"/>
  <c r="U1164" i="6" s="1"/>
  <c r="J1212" i="6"/>
  <c r="L1212" i="6"/>
  <c r="U1212" i="6" s="1"/>
  <c r="J1260" i="6"/>
  <c r="L1260" i="6"/>
  <c r="U1260" i="6" s="1"/>
  <c r="J1332" i="6"/>
  <c r="L1332" i="6"/>
  <c r="U1332" i="6" s="1"/>
  <c r="J1404" i="6"/>
  <c r="L1404" i="6"/>
  <c r="U1404" i="6" s="1"/>
  <c r="J1460" i="6"/>
  <c r="L1460" i="6"/>
  <c r="U1460" i="6" s="1"/>
  <c r="J1524" i="6"/>
  <c r="L1524" i="6"/>
  <c r="U1524" i="6" s="1"/>
  <c r="J1572" i="6"/>
  <c r="L1572" i="6"/>
  <c r="U1572" i="6" s="1"/>
  <c r="J1620" i="6"/>
  <c r="L1620" i="6"/>
  <c r="U1620" i="6" s="1"/>
  <c r="J1668" i="6"/>
  <c r="L1668" i="6"/>
  <c r="U1668" i="6" s="1"/>
  <c r="J1724" i="6"/>
  <c r="L1724" i="6"/>
  <c r="U1724" i="6" s="1"/>
  <c r="J1772" i="6"/>
  <c r="L1772" i="6"/>
  <c r="U1772" i="6" s="1"/>
  <c r="J1844" i="6"/>
  <c r="L1844" i="6"/>
  <c r="U1844" i="6" s="1"/>
  <c r="J1916" i="6"/>
  <c r="L1916" i="6"/>
  <c r="U1916" i="6" s="1"/>
  <c r="J2004" i="6"/>
  <c r="L2004" i="6"/>
  <c r="U2004" i="6" s="1"/>
  <c r="J671" i="6"/>
  <c r="L671" i="6"/>
  <c r="U671" i="6" s="1"/>
  <c r="J903" i="6"/>
  <c r="L903" i="6"/>
  <c r="J1007" i="6"/>
  <c r="L1007" i="6"/>
  <c r="J1359" i="6"/>
  <c r="L1359" i="6"/>
  <c r="J1823" i="6"/>
  <c r="L1823" i="6"/>
  <c r="J832" i="6"/>
  <c r="L832" i="6"/>
  <c r="U832" i="6" s="1"/>
  <c r="J960" i="6"/>
  <c r="L960" i="6"/>
  <c r="U960" i="6" s="1"/>
  <c r="J1272" i="6"/>
  <c r="L1272" i="6"/>
  <c r="U1272" i="6" s="1"/>
  <c r="J1400" i="6"/>
  <c r="L1400" i="6"/>
  <c r="U1400" i="6" s="1"/>
  <c r="J847" i="6"/>
  <c r="L847" i="6"/>
  <c r="J1159" i="6"/>
  <c r="L1159" i="6"/>
  <c r="U1159" i="6" s="1"/>
  <c r="J1535" i="6"/>
  <c r="L1535" i="6"/>
  <c r="J1743" i="6"/>
  <c r="L1743" i="6"/>
  <c r="J1991" i="6"/>
  <c r="L1991" i="6"/>
  <c r="J1672" i="6"/>
  <c r="L1672" i="6"/>
  <c r="U1672" i="6" s="1"/>
  <c r="J1824" i="6"/>
  <c r="L1824" i="6"/>
  <c r="U1824" i="6" s="1"/>
  <c r="J1310" i="6"/>
  <c r="L1310" i="6"/>
  <c r="U1310" i="6" s="1"/>
  <c r="J1526" i="6"/>
  <c r="L1526" i="6"/>
  <c r="U1526" i="6" s="1"/>
  <c r="J1798" i="6"/>
  <c r="L1798" i="6"/>
  <c r="U1798" i="6" s="1"/>
  <c r="J1918" i="6"/>
  <c r="L1918" i="6"/>
  <c r="U1918" i="6" s="1"/>
  <c r="J1103" i="6"/>
  <c r="L1103" i="6"/>
  <c r="J1239" i="6"/>
  <c r="L1239" i="6"/>
  <c r="J1895" i="6"/>
  <c r="L1895" i="6"/>
  <c r="J864" i="6"/>
  <c r="L864" i="6"/>
  <c r="U864" i="6" s="1"/>
  <c r="J1360" i="6"/>
  <c r="L1360" i="6"/>
  <c r="U1360" i="6" s="1"/>
  <c r="J1752" i="6"/>
  <c r="L1752" i="6"/>
  <c r="U1752" i="6" s="1"/>
  <c r="J1817" i="6"/>
  <c r="L1817" i="6"/>
  <c r="J1316" i="6"/>
  <c r="L1316" i="6"/>
  <c r="U1316" i="6" s="1"/>
  <c r="J278" i="6"/>
  <c r="L278" i="6"/>
  <c r="U278" i="6" s="1"/>
  <c r="J335" i="6"/>
  <c r="L335" i="6"/>
  <c r="J583" i="6"/>
  <c r="L583" i="6"/>
  <c r="J328" i="6"/>
  <c r="L328" i="6"/>
  <c r="U328" i="6" s="1"/>
  <c r="J616" i="6"/>
  <c r="L616" i="6"/>
  <c r="U616" i="6" s="1"/>
  <c r="J162" i="6"/>
  <c r="L162" i="6"/>
  <c r="U162" i="6" s="1"/>
  <c r="J554" i="6"/>
  <c r="L554" i="6"/>
  <c r="U554" i="6" s="1"/>
  <c r="J930" i="6"/>
  <c r="L930" i="6"/>
  <c r="U930" i="6" s="1"/>
  <c r="J1722" i="6"/>
  <c r="L1722" i="6"/>
  <c r="U1722" i="6" s="1"/>
  <c r="J436" i="6"/>
  <c r="L436" i="6"/>
  <c r="U436" i="6" s="1"/>
  <c r="J980" i="6"/>
  <c r="L980" i="6"/>
  <c r="U980" i="6" s="1"/>
  <c r="J1428" i="6"/>
  <c r="L1428" i="6"/>
  <c r="U1428" i="6" s="1"/>
  <c r="J1940" i="6"/>
  <c r="L1940" i="6"/>
  <c r="U1940" i="6" s="1"/>
  <c r="J1016" i="6"/>
  <c r="L1016" i="6"/>
  <c r="U1016" i="6" s="1"/>
  <c r="J1583" i="6"/>
  <c r="L1583" i="6"/>
  <c r="J1405" i="6"/>
  <c r="L1405" i="6"/>
  <c r="J879" i="6"/>
  <c r="L879" i="6"/>
  <c r="J1685" i="6"/>
  <c r="L1685" i="6"/>
  <c r="J1529" i="6"/>
  <c r="L1529" i="6"/>
  <c r="J1881" i="6"/>
  <c r="L1881" i="6"/>
  <c r="J43" i="6"/>
  <c r="L43" i="6"/>
  <c r="U43" i="6" s="1"/>
  <c r="J195" i="6"/>
  <c r="L195" i="6"/>
  <c r="J291" i="6"/>
  <c r="L291" i="6"/>
  <c r="J459" i="6"/>
  <c r="L459" i="6"/>
  <c r="J37" i="6"/>
  <c r="L37" i="6"/>
  <c r="U37" i="6" s="1"/>
  <c r="J181" i="6"/>
  <c r="L181" i="6"/>
  <c r="J105" i="6"/>
  <c r="L105" i="6"/>
  <c r="J201" i="6"/>
  <c r="L201" i="6"/>
  <c r="J305" i="6"/>
  <c r="L305" i="6"/>
  <c r="J401" i="6"/>
  <c r="L401" i="6"/>
  <c r="U401" i="6" s="1"/>
  <c r="J505" i="6"/>
  <c r="L505" i="6"/>
  <c r="U505" i="6" s="1"/>
  <c r="J601" i="6"/>
  <c r="L601" i="6"/>
  <c r="J705" i="6"/>
  <c r="L705" i="6"/>
  <c r="J809" i="6"/>
  <c r="L809" i="6"/>
  <c r="J905" i="6"/>
  <c r="L905" i="6"/>
  <c r="J1001" i="6"/>
  <c r="L1001" i="6"/>
  <c r="J1097" i="6"/>
  <c r="L1097" i="6"/>
  <c r="J1193" i="6"/>
  <c r="L1193" i="6"/>
  <c r="J1289" i="6"/>
  <c r="L1289" i="6"/>
  <c r="J1401" i="6"/>
  <c r="L1401" i="6"/>
  <c r="J1537" i="6"/>
  <c r="L1537" i="6"/>
  <c r="U1537" i="6" s="1"/>
  <c r="J1745" i="6"/>
  <c r="L1745" i="6"/>
  <c r="U1745" i="6" s="1"/>
  <c r="J1897" i="6"/>
  <c r="L1897" i="6"/>
  <c r="J816" i="6"/>
  <c r="L816" i="6"/>
  <c r="U816" i="6" s="1"/>
  <c r="J874" i="6"/>
  <c r="L874" i="6"/>
  <c r="U874" i="6" s="1"/>
  <c r="J978" i="6"/>
  <c r="L978" i="6"/>
  <c r="U978" i="6" s="1"/>
  <c r="J571" i="6"/>
  <c r="L571" i="6"/>
  <c r="J627" i="6"/>
  <c r="L627" i="6"/>
  <c r="U627" i="6" s="1"/>
  <c r="J675" i="6"/>
  <c r="L675" i="6"/>
  <c r="J723" i="6"/>
  <c r="L723" i="6"/>
  <c r="U723" i="6" s="1"/>
  <c r="J771" i="6"/>
  <c r="L771" i="6"/>
  <c r="J827" i="6"/>
  <c r="L827" i="6"/>
  <c r="J875" i="6"/>
  <c r="L875" i="6"/>
  <c r="J931" i="6"/>
  <c r="L931" i="6"/>
  <c r="J987" i="6"/>
  <c r="L987" i="6"/>
  <c r="U987" i="6" s="1"/>
  <c r="J1035" i="6"/>
  <c r="L1035" i="6"/>
  <c r="J1083" i="6"/>
  <c r="L1083" i="6"/>
  <c r="J1139" i="6"/>
  <c r="L1139" i="6"/>
  <c r="U1139" i="6" s="1"/>
  <c r="J1187" i="6"/>
  <c r="L1187" i="6"/>
  <c r="J1259" i="6"/>
  <c r="L1259" i="6"/>
  <c r="J1323" i="6"/>
  <c r="L1323" i="6"/>
  <c r="J1371" i="6"/>
  <c r="L1371" i="6"/>
  <c r="J1427" i="6"/>
  <c r="L1427" i="6"/>
  <c r="J1483" i="6"/>
  <c r="L1483" i="6"/>
  <c r="J1547" i="6"/>
  <c r="L1547" i="6"/>
  <c r="U1547" i="6" s="1"/>
  <c r="J1595" i="6"/>
  <c r="L1595" i="6"/>
  <c r="U1595" i="6" s="1"/>
  <c r="J1659" i="6"/>
  <c r="L1659" i="6"/>
  <c r="J1707" i="6"/>
  <c r="L1707" i="6"/>
  <c r="J1755" i="6"/>
  <c r="L1755" i="6"/>
  <c r="U1755" i="6" s="1"/>
  <c r="J1827" i="6"/>
  <c r="L1827" i="6"/>
  <c r="U1827" i="6" s="1"/>
  <c r="J1875" i="6"/>
  <c r="L1875" i="6"/>
  <c r="J1939" i="6"/>
  <c r="L1939" i="6"/>
  <c r="U1939" i="6" s="1"/>
  <c r="J1995" i="6"/>
  <c r="L1995" i="6"/>
  <c r="J2012" i="6"/>
  <c r="L2012" i="6"/>
  <c r="U2012" i="6" s="1"/>
  <c r="J743" i="6"/>
  <c r="L743" i="6"/>
  <c r="J831" i="6"/>
  <c r="L831" i="6"/>
  <c r="U831" i="6" s="1"/>
  <c r="J1215" i="6"/>
  <c r="L1215" i="6"/>
  <c r="J1639" i="6"/>
  <c r="L1639" i="6"/>
  <c r="J1847" i="6"/>
  <c r="L1847" i="6"/>
  <c r="U1847" i="6" s="1"/>
  <c r="J976" i="6"/>
  <c r="L976" i="6"/>
  <c r="U976" i="6" s="1"/>
  <c r="J1512" i="6"/>
  <c r="L1512" i="6"/>
  <c r="U1512" i="6" s="1"/>
  <c r="J1736" i="6"/>
  <c r="L1736" i="6"/>
  <c r="U1736" i="6" s="1"/>
  <c r="J309" i="6"/>
  <c r="L309" i="6"/>
  <c r="J357" i="6"/>
  <c r="L357" i="6"/>
  <c r="J405" i="6"/>
  <c r="L405" i="6"/>
  <c r="J453" i="6"/>
  <c r="L453" i="6"/>
  <c r="J501" i="6"/>
  <c r="L501" i="6"/>
  <c r="U501" i="6" s="1"/>
  <c r="J549" i="6"/>
  <c r="L549" i="6"/>
  <c r="J597" i="6"/>
  <c r="L597" i="6"/>
  <c r="J645" i="6"/>
  <c r="L645" i="6"/>
  <c r="J701" i="6"/>
  <c r="L701" i="6"/>
  <c r="J749" i="6"/>
  <c r="L749" i="6"/>
  <c r="U749" i="6" s="1"/>
  <c r="J797" i="6"/>
  <c r="L797" i="6"/>
  <c r="J853" i="6"/>
  <c r="L853" i="6"/>
  <c r="J901" i="6"/>
  <c r="L901" i="6"/>
  <c r="U901" i="6" s="1"/>
  <c r="J949" i="6"/>
  <c r="L949" i="6"/>
  <c r="J997" i="6"/>
  <c r="L997" i="6"/>
  <c r="J1045" i="6"/>
  <c r="L1045" i="6"/>
  <c r="J1093" i="6"/>
  <c r="L1093" i="6"/>
  <c r="J1141" i="6"/>
  <c r="L1141" i="6"/>
  <c r="J1197" i="6"/>
  <c r="L1197" i="6"/>
  <c r="J1253" i="6"/>
  <c r="L1253" i="6"/>
  <c r="J1309" i="6"/>
  <c r="L1309" i="6"/>
  <c r="U1309" i="6" s="1"/>
  <c r="J1357" i="6"/>
  <c r="L1357" i="6"/>
  <c r="J1413" i="6"/>
  <c r="L1413" i="6"/>
  <c r="U1413" i="6" s="1"/>
  <c r="J1461" i="6"/>
  <c r="L1461" i="6"/>
  <c r="J1509" i="6"/>
  <c r="L1509" i="6"/>
  <c r="J1565" i="6"/>
  <c r="L1565" i="6"/>
  <c r="J1613" i="6"/>
  <c r="L1613" i="6"/>
  <c r="J1669" i="6"/>
  <c r="L1669" i="6"/>
  <c r="U1669" i="6" s="1"/>
  <c r="J1725" i="6"/>
  <c r="L1725" i="6"/>
  <c r="J1781" i="6"/>
  <c r="L1781" i="6"/>
  <c r="J1885" i="6"/>
  <c r="L1885" i="6"/>
  <c r="U1885" i="6" s="1"/>
  <c r="J1965" i="6"/>
  <c r="L1965" i="6"/>
  <c r="J366" i="6"/>
  <c r="L366" i="6"/>
  <c r="U366" i="6" s="1"/>
  <c r="J414" i="6"/>
  <c r="L414" i="6"/>
  <c r="U414" i="6" s="1"/>
  <c r="J462" i="6"/>
  <c r="L462" i="6"/>
  <c r="U462" i="6" s="1"/>
  <c r="J510" i="6"/>
  <c r="L510" i="6"/>
  <c r="U510" i="6" s="1"/>
  <c r="J566" i="6"/>
  <c r="L566" i="6"/>
  <c r="U566" i="6" s="1"/>
  <c r="J614" i="6"/>
  <c r="L614" i="6"/>
  <c r="U614" i="6" s="1"/>
  <c r="J662" i="6"/>
  <c r="L662" i="6"/>
  <c r="U662" i="6" s="1"/>
  <c r="J710" i="6"/>
  <c r="L710" i="6"/>
  <c r="U710" i="6" s="1"/>
  <c r="J766" i="6"/>
  <c r="L766" i="6"/>
  <c r="U766" i="6" s="1"/>
  <c r="J814" i="6"/>
  <c r="L814" i="6"/>
  <c r="U814" i="6" s="1"/>
  <c r="J862" i="6"/>
  <c r="L862" i="6"/>
  <c r="U862" i="6" s="1"/>
  <c r="J910" i="6"/>
  <c r="L910" i="6"/>
  <c r="U910" i="6" s="1"/>
  <c r="J958" i="6"/>
  <c r="L958" i="6"/>
  <c r="U958" i="6" s="1"/>
  <c r="J1014" i="6"/>
  <c r="L1014" i="6"/>
  <c r="U1014" i="6" s="1"/>
  <c r="J1062" i="6"/>
  <c r="L1062" i="6"/>
  <c r="U1062" i="6" s="1"/>
  <c r="J1110" i="6"/>
  <c r="L1110" i="6"/>
  <c r="U1110" i="6" s="1"/>
  <c r="J1158" i="6"/>
  <c r="L1158" i="6"/>
  <c r="U1158" i="6" s="1"/>
  <c r="J1206" i="6"/>
  <c r="L1206" i="6"/>
  <c r="U1206" i="6" s="1"/>
  <c r="J1254" i="6"/>
  <c r="L1254" i="6"/>
  <c r="U1254" i="6" s="1"/>
  <c r="J1358" i="6"/>
  <c r="L1358" i="6"/>
  <c r="U1358" i="6" s="1"/>
  <c r="J1406" i="6"/>
  <c r="L1406" i="6"/>
  <c r="U1406" i="6" s="1"/>
  <c r="J1470" i="6"/>
  <c r="L1470" i="6"/>
  <c r="U1470" i="6" s="1"/>
  <c r="J1574" i="6"/>
  <c r="L1574" i="6"/>
  <c r="U1574" i="6" s="1"/>
  <c r="J1638" i="6"/>
  <c r="L1638" i="6"/>
  <c r="U1638" i="6" s="1"/>
  <c r="J1694" i="6"/>
  <c r="L1694" i="6"/>
  <c r="U1694" i="6" s="1"/>
  <c r="J1742" i="6"/>
  <c r="L1742" i="6"/>
  <c r="U1742" i="6" s="1"/>
  <c r="J1862" i="6"/>
  <c r="L1862" i="6"/>
  <c r="U1862" i="6" s="1"/>
  <c r="J1974" i="6"/>
  <c r="L1974" i="6"/>
  <c r="U1974" i="6" s="1"/>
  <c r="J2030" i="6"/>
  <c r="L2030" i="6"/>
  <c r="U2030" i="6" s="1"/>
  <c r="J1495" i="6"/>
  <c r="L1495" i="6"/>
  <c r="J183" i="6"/>
  <c r="L183" i="6"/>
  <c r="J314" i="6"/>
  <c r="L314" i="6"/>
  <c r="U314" i="6" s="1"/>
  <c r="J666" i="6"/>
  <c r="L666" i="6"/>
  <c r="U666" i="6" s="1"/>
  <c r="J1178" i="6"/>
  <c r="L1178" i="6"/>
  <c r="U1178" i="6" s="1"/>
  <c r="J1394" i="6"/>
  <c r="L1394" i="6"/>
  <c r="U1394" i="6" s="1"/>
  <c r="J1039" i="6"/>
  <c r="L1039" i="6"/>
  <c r="J332" i="6"/>
  <c r="L332" i="6"/>
  <c r="U332" i="6" s="1"/>
  <c r="J876" i="6"/>
  <c r="L876" i="6"/>
  <c r="U876" i="6" s="1"/>
  <c r="J1228" i="6"/>
  <c r="L1228" i="6"/>
  <c r="U1228" i="6" s="1"/>
  <c r="J1684" i="6"/>
  <c r="L1684" i="6"/>
  <c r="U1684" i="6" s="1"/>
  <c r="J935" i="6"/>
  <c r="L935" i="6"/>
  <c r="J1472" i="6"/>
  <c r="L1472" i="6"/>
  <c r="U1472" i="6" s="1"/>
  <c r="J1023" i="6"/>
  <c r="L1023" i="6"/>
  <c r="J1759" i="6"/>
  <c r="L1759" i="6"/>
  <c r="J1952" i="6"/>
  <c r="L1952" i="6"/>
  <c r="U1952" i="6" s="1"/>
  <c r="J1151" i="6"/>
  <c r="L1151" i="6"/>
  <c r="J1803" i="6"/>
  <c r="L1803" i="6"/>
  <c r="J190" i="6"/>
  <c r="L190" i="6"/>
  <c r="U190" i="6" s="1"/>
  <c r="J91" i="6"/>
  <c r="L91" i="6"/>
  <c r="U91" i="6" s="1"/>
  <c r="J243" i="6"/>
  <c r="L243" i="6"/>
  <c r="U243" i="6" s="1"/>
  <c r="J339" i="6"/>
  <c r="L339" i="6"/>
  <c r="J507" i="6"/>
  <c r="L507" i="6"/>
  <c r="J85" i="6"/>
  <c r="L85" i="6"/>
  <c r="J229" i="6"/>
  <c r="L229" i="6"/>
  <c r="J9" i="6"/>
  <c r="L9" i="6"/>
  <c r="U9" i="6" s="1"/>
  <c r="J57" i="6"/>
  <c r="L57" i="6"/>
  <c r="U57" i="6" s="1"/>
  <c r="J153" i="6"/>
  <c r="L153" i="6"/>
  <c r="J249" i="6"/>
  <c r="L249" i="6"/>
  <c r="J353" i="6"/>
  <c r="L353" i="6"/>
  <c r="U353" i="6" s="1"/>
  <c r="J449" i="6"/>
  <c r="L449" i="6"/>
  <c r="J553" i="6"/>
  <c r="L553" i="6"/>
  <c r="J657" i="6"/>
  <c r="L657" i="6"/>
  <c r="J761" i="6"/>
  <c r="L761" i="6"/>
  <c r="J857" i="6"/>
  <c r="L857" i="6"/>
  <c r="J953" i="6"/>
  <c r="L953" i="6"/>
  <c r="U953" i="6" s="1"/>
  <c r="J1049" i="6"/>
  <c r="L1049" i="6"/>
  <c r="U1049" i="6" s="1"/>
  <c r="J1145" i="6"/>
  <c r="L1145" i="6"/>
  <c r="J1241" i="6"/>
  <c r="L1241" i="6"/>
  <c r="J1337" i="6"/>
  <c r="L1337" i="6"/>
  <c r="U1337" i="6" s="1"/>
  <c r="J1465" i="6"/>
  <c r="L1465" i="6"/>
  <c r="J1617" i="6"/>
  <c r="L1617" i="6"/>
  <c r="U1617" i="6" s="1"/>
  <c r="J1681" i="6"/>
  <c r="L1681" i="6"/>
  <c r="J1833" i="6"/>
  <c r="L1833" i="6"/>
  <c r="U1833" i="6" s="1"/>
  <c r="J1969" i="6"/>
  <c r="L1969" i="6"/>
  <c r="J1112" i="6"/>
  <c r="L1112" i="6"/>
  <c r="U1112" i="6" s="1"/>
  <c r="J1488" i="6"/>
  <c r="L1488" i="6"/>
  <c r="U1488" i="6" s="1"/>
  <c r="J1640" i="6"/>
  <c r="L1640" i="6"/>
  <c r="U1640" i="6" s="1"/>
  <c r="J1960" i="6"/>
  <c r="L1960" i="6"/>
  <c r="U1960" i="6" s="1"/>
  <c r="J1490" i="6"/>
  <c r="L1490" i="6"/>
  <c r="U1490" i="6" s="1"/>
  <c r="J1417" i="6"/>
  <c r="L1417" i="6"/>
  <c r="J1923" i="6"/>
  <c r="L1923" i="6"/>
  <c r="U1923" i="6" s="1"/>
  <c r="J1936" i="6"/>
  <c r="L1936" i="6"/>
  <c r="U1936" i="6" s="1"/>
  <c r="J1131" i="6"/>
  <c r="L1131" i="6"/>
  <c r="J1793" i="6"/>
  <c r="L1793" i="6"/>
  <c r="J1686" i="6"/>
  <c r="L1686" i="6"/>
  <c r="U1686" i="6" s="1"/>
  <c r="J1832" i="6"/>
  <c r="L1832" i="6"/>
  <c r="U1832" i="6" s="1"/>
  <c r="J1518" i="6"/>
  <c r="L1518" i="6"/>
  <c r="J1989" i="6"/>
  <c r="L1989" i="6"/>
  <c r="J238" i="6"/>
  <c r="L238" i="6"/>
  <c r="U238" i="6" s="1"/>
  <c r="J6" i="6"/>
  <c r="L6" i="6"/>
  <c r="U6" i="6" s="1"/>
  <c r="J52" i="6"/>
  <c r="L52" i="6"/>
  <c r="U52" i="6" s="1"/>
  <c r="J100" i="6"/>
  <c r="L100" i="6"/>
  <c r="U100" i="6" s="1"/>
  <c r="J148" i="6"/>
  <c r="L148" i="6"/>
  <c r="U148" i="6" s="1"/>
  <c r="J46" i="6"/>
  <c r="L46" i="6"/>
  <c r="U46" i="6" s="1"/>
  <c r="J102" i="6"/>
  <c r="L102" i="6"/>
  <c r="U102" i="6" s="1"/>
  <c r="J150" i="6"/>
  <c r="L150" i="6"/>
  <c r="U150" i="6" s="1"/>
  <c r="J206" i="6"/>
  <c r="L206" i="6"/>
  <c r="U206" i="6" s="1"/>
  <c r="J270" i="6"/>
  <c r="L270" i="6"/>
  <c r="U270" i="6" s="1"/>
  <c r="J318" i="6"/>
  <c r="L318" i="6"/>
  <c r="U318" i="6" s="1"/>
  <c r="J23" i="6"/>
  <c r="L23" i="6"/>
  <c r="U23" i="6" s="1"/>
  <c r="J71" i="6"/>
  <c r="L71" i="6"/>
  <c r="J119" i="6"/>
  <c r="L119" i="6"/>
  <c r="J175" i="6"/>
  <c r="L175" i="6"/>
  <c r="J223" i="6"/>
  <c r="L223" i="6"/>
  <c r="J271" i="6"/>
  <c r="L271" i="6"/>
  <c r="J327" i="6"/>
  <c r="L327" i="6"/>
  <c r="U327" i="6" s="1"/>
  <c r="J375" i="6"/>
  <c r="L375" i="6"/>
  <c r="J423" i="6"/>
  <c r="L423" i="6"/>
  <c r="J471" i="6"/>
  <c r="L471" i="6"/>
  <c r="J527" i="6"/>
  <c r="L527" i="6"/>
  <c r="J575" i="6"/>
  <c r="L575" i="6"/>
  <c r="U575" i="6" s="1"/>
  <c r="J32" i="6"/>
  <c r="L32" i="6"/>
  <c r="U32" i="6" s="1"/>
  <c r="J80" i="6"/>
  <c r="L80" i="6"/>
  <c r="U80" i="6" s="1"/>
  <c r="J128" i="6"/>
  <c r="L128" i="6"/>
  <c r="U128" i="6" s="1"/>
  <c r="J176" i="6"/>
  <c r="L176" i="6"/>
  <c r="U176" i="6" s="1"/>
  <c r="J224" i="6"/>
  <c r="L224" i="6"/>
  <c r="U224" i="6" s="1"/>
  <c r="J272" i="6"/>
  <c r="L272" i="6"/>
  <c r="U272" i="6" s="1"/>
  <c r="J320" i="6"/>
  <c r="L320" i="6"/>
  <c r="U320" i="6" s="1"/>
  <c r="J368" i="6"/>
  <c r="L368" i="6"/>
  <c r="U368" i="6" s="1"/>
  <c r="J416" i="6"/>
  <c r="L416" i="6"/>
  <c r="U416" i="6" s="1"/>
  <c r="J464" i="6"/>
  <c r="L464" i="6"/>
  <c r="U464" i="6" s="1"/>
  <c r="J512" i="6"/>
  <c r="L512" i="6"/>
  <c r="U512" i="6" s="1"/>
  <c r="J560" i="6"/>
  <c r="L560" i="6"/>
  <c r="U560" i="6" s="1"/>
  <c r="J608" i="6"/>
  <c r="L608" i="6"/>
  <c r="U608" i="6" s="1"/>
  <c r="J656" i="6"/>
  <c r="L656" i="6"/>
  <c r="U656" i="6" s="1"/>
  <c r="J704" i="6"/>
  <c r="L704" i="6"/>
  <c r="U704" i="6" s="1"/>
  <c r="J752" i="6"/>
  <c r="L752" i="6"/>
  <c r="U752" i="6" s="1"/>
  <c r="J2026" i="6"/>
  <c r="L2026" i="6"/>
  <c r="J50" i="6"/>
  <c r="L50" i="6"/>
  <c r="U50" i="6" s="1"/>
  <c r="J98" i="6"/>
  <c r="L98" i="6"/>
  <c r="U98" i="6" s="1"/>
  <c r="J154" i="6"/>
  <c r="L154" i="6"/>
  <c r="U154" i="6" s="1"/>
  <c r="J202" i="6"/>
  <c r="L202" i="6"/>
  <c r="U202" i="6" s="1"/>
  <c r="J258" i="6"/>
  <c r="L258" i="6"/>
  <c r="U258" i="6" s="1"/>
  <c r="J306" i="6"/>
  <c r="L306" i="6"/>
  <c r="U306" i="6" s="1"/>
  <c r="J354" i="6"/>
  <c r="L354" i="6"/>
  <c r="U354" i="6" s="1"/>
  <c r="J402" i="6"/>
  <c r="L402" i="6"/>
  <c r="U402" i="6" s="1"/>
  <c r="J450" i="6"/>
  <c r="L450" i="6"/>
  <c r="U450" i="6" s="1"/>
  <c r="J498" i="6"/>
  <c r="L498" i="6"/>
  <c r="U498" i="6" s="1"/>
  <c r="J546" i="6"/>
  <c r="L546" i="6"/>
  <c r="U546" i="6" s="1"/>
  <c r="J602" i="6"/>
  <c r="L602" i="6"/>
  <c r="U602" i="6" s="1"/>
  <c r="J658" i="6"/>
  <c r="L658" i="6"/>
  <c r="U658" i="6" s="1"/>
  <c r="J706" i="6"/>
  <c r="L706" i="6"/>
  <c r="U706" i="6" s="1"/>
  <c r="J762" i="6"/>
  <c r="L762" i="6"/>
  <c r="U762" i="6" s="1"/>
  <c r="J818" i="6"/>
  <c r="L818" i="6"/>
  <c r="U818" i="6" s="1"/>
  <c r="J922" i="6"/>
  <c r="L922" i="6"/>
  <c r="U922" i="6" s="1"/>
  <c r="J1026" i="6"/>
  <c r="L1026" i="6"/>
  <c r="U1026" i="6" s="1"/>
  <c r="J1074" i="6"/>
  <c r="L1074" i="6"/>
  <c r="U1074" i="6" s="1"/>
  <c r="J1122" i="6"/>
  <c r="L1122" i="6"/>
  <c r="U1122" i="6" s="1"/>
  <c r="J1170" i="6"/>
  <c r="L1170" i="6"/>
  <c r="U1170" i="6" s="1"/>
  <c r="J1226" i="6"/>
  <c r="L1226" i="6"/>
  <c r="U1226" i="6" s="1"/>
  <c r="J1282" i="6"/>
  <c r="L1282" i="6"/>
  <c r="U1282" i="6" s="1"/>
  <c r="J1330" i="6"/>
  <c r="L1330" i="6"/>
  <c r="U1330" i="6" s="1"/>
  <c r="J1386" i="6"/>
  <c r="L1386" i="6"/>
  <c r="U1386" i="6" s="1"/>
  <c r="J1434" i="6"/>
  <c r="L1434" i="6"/>
  <c r="U1434" i="6" s="1"/>
  <c r="J1498" i="6"/>
  <c r="L1498" i="6"/>
  <c r="U1498" i="6" s="1"/>
  <c r="J1570" i="6"/>
  <c r="L1570" i="6"/>
  <c r="U1570" i="6" s="1"/>
  <c r="J1634" i="6"/>
  <c r="L1634" i="6"/>
  <c r="U1634" i="6" s="1"/>
  <c r="J1706" i="6"/>
  <c r="L1706" i="6"/>
  <c r="U1706" i="6" s="1"/>
  <c r="J1778" i="6"/>
  <c r="L1778" i="6"/>
  <c r="U1778" i="6" s="1"/>
  <c r="J1842" i="6"/>
  <c r="L1842" i="6"/>
  <c r="U1842" i="6" s="1"/>
  <c r="J1922" i="6"/>
  <c r="L1922" i="6"/>
  <c r="U1922" i="6" s="1"/>
  <c r="J1986" i="6"/>
  <c r="L1986" i="6"/>
  <c r="U1986" i="6" s="1"/>
  <c r="J791" i="6"/>
  <c r="L791" i="6"/>
  <c r="J1015" i="6"/>
  <c r="L1015" i="6"/>
  <c r="U1015" i="6" s="1"/>
  <c r="J1303" i="6"/>
  <c r="L1303" i="6"/>
  <c r="J1407" i="6"/>
  <c r="L1407" i="6"/>
  <c r="U1407" i="6" s="1"/>
  <c r="J1527" i="6"/>
  <c r="L1527" i="6"/>
  <c r="J1663" i="6"/>
  <c r="L1663" i="6"/>
  <c r="J1983" i="6"/>
  <c r="L1983" i="6"/>
  <c r="J1024" i="6"/>
  <c r="L1024" i="6"/>
  <c r="U1024" i="6" s="1"/>
  <c r="J1168" i="6"/>
  <c r="L1168" i="6"/>
  <c r="U1168" i="6" s="1"/>
  <c r="J1256" i="6"/>
  <c r="L1256" i="6"/>
  <c r="U1256" i="6" s="1"/>
  <c r="J1392" i="6"/>
  <c r="L1392" i="6"/>
  <c r="U1392" i="6" s="1"/>
  <c r="J1944" i="6"/>
  <c r="L1944" i="6"/>
  <c r="U1944" i="6" s="1"/>
  <c r="J180" i="6"/>
  <c r="L180" i="6"/>
  <c r="U180" i="6" s="1"/>
  <c r="J228" i="6"/>
  <c r="L228" i="6"/>
  <c r="U228" i="6" s="1"/>
  <c r="J276" i="6"/>
  <c r="L276" i="6"/>
  <c r="U276" i="6" s="1"/>
  <c r="J324" i="6"/>
  <c r="L324" i="6"/>
  <c r="U324" i="6" s="1"/>
  <c r="J372" i="6"/>
  <c r="L372" i="6"/>
  <c r="U372" i="6" s="1"/>
  <c r="J428" i="6"/>
  <c r="L428" i="6"/>
  <c r="U428" i="6" s="1"/>
  <c r="J476" i="6"/>
  <c r="L476" i="6"/>
  <c r="U476" i="6" s="1"/>
  <c r="J524" i="6"/>
  <c r="L524" i="6"/>
  <c r="U524" i="6" s="1"/>
  <c r="J572" i="6"/>
  <c r="L572" i="6"/>
  <c r="U572" i="6" s="1"/>
  <c r="J620" i="6"/>
  <c r="L620" i="6"/>
  <c r="U620" i="6" s="1"/>
  <c r="J668" i="6"/>
  <c r="L668" i="6"/>
  <c r="U668" i="6" s="1"/>
  <c r="J724" i="6"/>
  <c r="L724" i="6"/>
  <c r="U724" i="6" s="1"/>
  <c r="J772" i="6"/>
  <c r="L772" i="6"/>
  <c r="U772" i="6" s="1"/>
  <c r="J820" i="6"/>
  <c r="L820" i="6"/>
  <c r="U820" i="6" s="1"/>
  <c r="J868" i="6"/>
  <c r="L868" i="6"/>
  <c r="U868" i="6" s="1"/>
  <c r="J916" i="6"/>
  <c r="L916" i="6"/>
  <c r="U916" i="6" s="1"/>
  <c r="J972" i="6"/>
  <c r="L972" i="6"/>
  <c r="U972" i="6" s="1"/>
  <c r="J1020" i="6"/>
  <c r="L1020" i="6"/>
  <c r="U1020" i="6" s="1"/>
  <c r="J1068" i="6"/>
  <c r="L1068" i="6"/>
  <c r="U1068" i="6" s="1"/>
  <c r="J1116" i="6"/>
  <c r="L1116" i="6"/>
  <c r="U1116" i="6" s="1"/>
  <c r="J1172" i="6"/>
  <c r="L1172" i="6"/>
  <c r="U1172" i="6" s="1"/>
  <c r="J1220" i="6"/>
  <c r="L1220" i="6"/>
  <c r="U1220" i="6" s="1"/>
  <c r="J1268" i="6"/>
  <c r="L1268" i="6"/>
  <c r="U1268" i="6" s="1"/>
  <c r="J1340" i="6"/>
  <c r="L1340" i="6"/>
  <c r="U1340" i="6" s="1"/>
  <c r="J1412" i="6"/>
  <c r="L1412" i="6"/>
  <c r="U1412" i="6" s="1"/>
  <c r="J1468" i="6"/>
  <c r="L1468" i="6"/>
  <c r="U1468" i="6" s="1"/>
  <c r="J1532" i="6"/>
  <c r="L1532" i="6"/>
  <c r="U1532" i="6" s="1"/>
  <c r="J1580" i="6"/>
  <c r="L1580" i="6"/>
  <c r="U1580" i="6" s="1"/>
  <c r="J1628" i="6"/>
  <c r="L1628" i="6"/>
  <c r="U1628" i="6" s="1"/>
  <c r="J1676" i="6"/>
  <c r="L1676" i="6"/>
  <c r="U1676" i="6" s="1"/>
  <c r="J1732" i="6"/>
  <c r="L1732" i="6"/>
  <c r="U1732" i="6" s="1"/>
  <c r="J1780" i="6"/>
  <c r="L1780" i="6"/>
  <c r="U1780" i="6" s="1"/>
  <c r="J1852" i="6"/>
  <c r="L1852" i="6"/>
  <c r="U1852" i="6" s="1"/>
  <c r="J1932" i="6"/>
  <c r="L1932" i="6"/>
  <c r="U1932" i="6" s="1"/>
  <c r="J599" i="6"/>
  <c r="L599" i="6"/>
  <c r="J823" i="6"/>
  <c r="L823" i="6"/>
  <c r="J919" i="6"/>
  <c r="L919" i="6"/>
  <c r="U919" i="6" s="1"/>
  <c r="J1031" i="6"/>
  <c r="L1031" i="6"/>
  <c r="J1375" i="6"/>
  <c r="L1375" i="6"/>
  <c r="J1887" i="6"/>
  <c r="L1887" i="6"/>
  <c r="J856" i="6"/>
  <c r="L856" i="6"/>
  <c r="U856" i="6" s="1"/>
  <c r="J992" i="6"/>
  <c r="L992" i="6"/>
  <c r="U992" i="6" s="1"/>
  <c r="J1288" i="6"/>
  <c r="L1288" i="6"/>
  <c r="U1288" i="6" s="1"/>
  <c r="J1440" i="6"/>
  <c r="L1440" i="6"/>
  <c r="U1440" i="6" s="1"/>
  <c r="J639" i="6"/>
  <c r="L639" i="6"/>
  <c r="J863" i="6"/>
  <c r="L863" i="6"/>
  <c r="J1327" i="6"/>
  <c r="L1327" i="6"/>
  <c r="J1559" i="6"/>
  <c r="L1559" i="6"/>
  <c r="J1751" i="6"/>
  <c r="L1751" i="6"/>
  <c r="U1751" i="6" s="1"/>
  <c r="J2015" i="6"/>
  <c r="L2015" i="6"/>
  <c r="J1680" i="6"/>
  <c r="L1680" i="6"/>
  <c r="U1680" i="6" s="1"/>
  <c r="J1912" i="6"/>
  <c r="L1912" i="6"/>
  <c r="U1912" i="6" s="1"/>
  <c r="J574" i="6"/>
  <c r="L574" i="6"/>
  <c r="U574" i="6" s="1"/>
  <c r="J1070" i="6"/>
  <c r="L1070" i="6"/>
  <c r="U1070" i="6" s="1"/>
  <c r="J1214" i="6"/>
  <c r="L1214" i="6"/>
  <c r="U1214" i="6" s="1"/>
  <c r="J1702" i="6"/>
  <c r="L1702" i="6"/>
  <c r="U1702" i="6" s="1"/>
  <c r="J1870" i="6"/>
  <c r="L1870" i="6"/>
  <c r="U1870" i="6" s="1"/>
  <c r="J1127" i="6"/>
  <c r="L1127" i="6"/>
  <c r="U1127" i="6" s="1"/>
  <c r="J1911" i="6"/>
  <c r="L1911" i="6"/>
  <c r="J928" i="6"/>
  <c r="L928" i="6"/>
  <c r="U928" i="6" s="1"/>
  <c r="J1424" i="6"/>
  <c r="L1424" i="6"/>
  <c r="U1424" i="6" s="1"/>
  <c r="J1768" i="6"/>
  <c r="L1768" i="6"/>
  <c r="U1768" i="6" s="1"/>
  <c r="J1227" i="6"/>
  <c r="L1227" i="6"/>
  <c r="J1830" i="6"/>
  <c r="L1830" i="6"/>
  <c r="J1568" i="6"/>
  <c r="L1568" i="6"/>
  <c r="J754" i="6"/>
  <c r="L754" i="6"/>
  <c r="U754" i="6" s="1"/>
  <c r="J222" i="6"/>
  <c r="L222" i="6"/>
  <c r="U222" i="6" s="1"/>
  <c r="J232" i="6"/>
  <c r="L232" i="6"/>
  <c r="U232" i="6" s="1"/>
  <c r="J1930" i="6"/>
  <c r="L1930" i="6"/>
  <c r="U1930" i="6" s="1"/>
  <c r="J628" i="6"/>
  <c r="L628" i="6"/>
  <c r="U628" i="6" s="1"/>
  <c r="J1348" i="6"/>
  <c r="L1348" i="6"/>
  <c r="U1348" i="6" s="1"/>
  <c r="J1055" i="6"/>
  <c r="L1055" i="6"/>
  <c r="J1924" i="6"/>
  <c r="L1924" i="6"/>
  <c r="U1924" i="6" s="1"/>
  <c r="J1447" i="6"/>
  <c r="L1447" i="6"/>
  <c r="U1447" i="6" s="1"/>
  <c r="J139" i="6"/>
  <c r="L139" i="6"/>
  <c r="J403" i="6"/>
  <c r="L403" i="6"/>
  <c r="J133" i="6"/>
  <c r="L133" i="6"/>
  <c r="J277" i="6"/>
  <c r="L277" i="6"/>
  <c r="J127" i="6"/>
  <c r="L127" i="6"/>
  <c r="U127" i="6" s="1"/>
  <c r="J1935" i="6"/>
  <c r="L1935" i="6"/>
  <c r="U1935" i="6" s="1"/>
  <c r="J1948" i="6"/>
  <c r="L1948" i="6"/>
  <c r="U1948" i="6" s="1"/>
  <c r="J1203" i="6"/>
  <c r="L1203" i="6"/>
  <c r="J1805" i="6"/>
  <c r="L1805" i="6"/>
  <c r="U1805" i="6" s="1"/>
  <c r="J1806" i="6"/>
  <c r="L1806" i="6"/>
  <c r="J964" i="6"/>
  <c r="L964" i="6"/>
  <c r="U964" i="6" s="1"/>
  <c r="J1530" i="6"/>
  <c r="L1530" i="6"/>
  <c r="J2013" i="6"/>
  <c r="L2013" i="6"/>
  <c r="J586" i="6"/>
  <c r="L586" i="6"/>
  <c r="J51" i="6"/>
  <c r="L51" i="6"/>
  <c r="U51" i="6" s="1"/>
  <c r="J99" i="6"/>
  <c r="L99" i="6"/>
  <c r="J147" i="6"/>
  <c r="L147" i="6"/>
  <c r="J203" i="6"/>
  <c r="L203" i="6"/>
  <c r="J251" i="6"/>
  <c r="L251" i="6"/>
  <c r="J299" i="6"/>
  <c r="L299" i="6"/>
  <c r="J347" i="6"/>
  <c r="L347" i="6"/>
  <c r="J419" i="6"/>
  <c r="L419" i="6"/>
  <c r="J467" i="6"/>
  <c r="L467" i="6"/>
  <c r="J214" i="6"/>
  <c r="L214" i="6"/>
  <c r="U214" i="6" s="1"/>
  <c r="J45" i="6"/>
  <c r="L45" i="6"/>
  <c r="U45" i="6" s="1"/>
  <c r="J93" i="6"/>
  <c r="L93" i="6"/>
  <c r="J141" i="6"/>
  <c r="L141" i="6"/>
  <c r="J189" i="6"/>
  <c r="L189" i="6"/>
  <c r="J237" i="6"/>
  <c r="L237" i="6"/>
  <c r="J285" i="6"/>
  <c r="L285" i="6"/>
  <c r="J17" i="6"/>
  <c r="L17" i="6"/>
  <c r="U17" i="6" s="1"/>
  <c r="J65" i="6"/>
  <c r="L65" i="6"/>
  <c r="J113" i="6"/>
  <c r="L113" i="6"/>
  <c r="J161" i="6"/>
  <c r="L161" i="6"/>
  <c r="J209" i="6"/>
  <c r="L209" i="6"/>
  <c r="J257" i="6"/>
  <c r="L257" i="6"/>
  <c r="J313" i="6"/>
  <c r="L313" i="6"/>
  <c r="J361" i="6"/>
  <c r="L361" i="6"/>
  <c r="J409" i="6"/>
  <c r="L409" i="6"/>
  <c r="U409" i="6" s="1"/>
  <c r="J457" i="6"/>
  <c r="L457" i="6"/>
  <c r="J513" i="6"/>
  <c r="L513" i="6"/>
  <c r="U513" i="6" s="1"/>
  <c r="J561" i="6"/>
  <c r="L561" i="6"/>
  <c r="U561" i="6" s="1"/>
  <c r="J609" i="6"/>
  <c r="L609" i="6"/>
  <c r="U609" i="6" s="1"/>
  <c r="J665" i="6"/>
  <c r="L665" i="6"/>
  <c r="J713" i="6"/>
  <c r="L713" i="6"/>
  <c r="J769" i="6"/>
  <c r="L769" i="6"/>
  <c r="J817" i="6"/>
  <c r="L817" i="6"/>
  <c r="J865" i="6"/>
  <c r="L865" i="6"/>
  <c r="U865" i="6" s="1"/>
  <c r="J913" i="6"/>
  <c r="L913" i="6"/>
  <c r="J961" i="6"/>
  <c r="L961" i="6"/>
  <c r="J1009" i="6"/>
  <c r="L1009" i="6"/>
  <c r="U1009" i="6" s="1"/>
  <c r="J1057" i="6"/>
  <c r="L1057" i="6"/>
  <c r="J1105" i="6"/>
  <c r="L1105" i="6"/>
  <c r="U1105" i="6" s="1"/>
  <c r="J1153" i="6"/>
  <c r="L1153" i="6"/>
  <c r="J1201" i="6"/>
  <c r="L1201" i="6"/>
  <c r="J1249" i="6"/>
  <c r="L1249" i="6"/>
  <c r="U1249" i="6" s="1"/>
  <c r="J1297" i="6"/>
  <c r="L1297" i="6"/>
  <c r="J1353" i="6"/>
  <c r="L1353" i="6"/>
  <c r="U1353" i="6" s="1"/>
  <c r="J1409" i="6"/>
  <c r="L1409" i="6"/>
  <c r="J1473" i="6"/>
  <c r="L1473" i="6"/>
  <c r="U1473" i="6" s="1"/>
  <c r="J1553" i="6"/>
  <c r="L1553" i="6"/>
  <c r="J1625" i="6"/>
  <c r="L1625" i="6"/>
  <c r="U1625" i="6" s="1"/>
  <c r="J1689" i="6"/>
  <c r="L1689" i="6"/>
  <c r="J1753" i="6"/>
  <c r="L1753" i="6"/>
  <c r="J1841" i="6"/>
  <c r="L1841" i="6"/>
  <c r="U1841" i="6" s="1"/>
  <c r="J1905" i="6"/>
  <c r="L1905" i="6"/>
  <c r="J1985" i="6"/>
  <c r="L1985" i="6"/>
  <c r="J880" i="6"/>
  <c r="L880" i="6"/>
  <c r="U880" i="6" s="1"/>
  <c r="J1128" i="6"/>
  <c r="L1128" i="6"/>
  <c r="U1128" i="6" s="1"/>
  <c r="J1536" i="6"/>
  <c r="L1536" i="6"/>
  <c r="U1536" i="6" s="1"/>
  <c r="J1744" i="6"/>
  <c r="L1744" i="6"/>
  <c r="U1744" i="6" s="1"/>
  <c r="J1130" i="6"/>
  <c r="L1130" i="6"/>
  <c r="U1130" i="6" s="1"/>
  <c r="J1423" i="6"/>
  <c r="L1423" i="6"/>
  <c r="U1423" i="6" s="1"/>
  <c r="J1630" i="6"/>
  <c r="L1630" i="6"/>
  <c r="U1630" i="6" s="1"/>
  <c r="J579" i="6"/>
  <c r="L579" i="6"/>
  <c r="J635" i="6"/>
  <c r="L635" i="6"/>
  <c r="J683" i="6"/>
  <c r="L683" i="6"/>
  <c r="J731" i="6"/>
  <c r="L731" i="6"/>
  <c r="U731" i="6" s="1"/>
  <c r="J779" i="6"/>
  <c r="L779" i="6"/>
  <c r="U779" i="6" s="1"/>
  <c r="J835" i="6"/>
  <c r="L835" i="6"/>
  <c r="J883" i="6"/>
  <c r="L883" i="6"/>
  <c r="J939" i="6"/>
  <c r="L939" i="6"/>
  <c r="J995" i="6"/>
  <c r="L995" i="6"/>
  <c r="J1043" i="6"/>
  <c r="L1043" i="6"/>
  <c r="J1091" i="6"/>
  <c r="L1091" i="6"/>
  <c r="J1147" i="6"/>
  <c r="L1147" i="6"/>
  <c r="J1211" i="6"/>
  <c r="L1211" i="6"/>
  <c r="J1267" i="6"/>
  <c r="L1267" i="6"/>
  <c r="U1267" i="6" s="1"/>
  <c r="J1331" i="6"/>
  <c r="L1331" i="6"/>
  <c r="J1379" i="6"/>
  <c r="L1379" i="6"/>
  <c r="J1435" i="6"/>
  <c r="L1435" i="6"/>
  <c r="J1499" i="6"/>
  <c r="L1499" i="6"/>
  <c r="U1499" i="6" s="1"/>
  <c r="J1555" i="6"/>
  <c r="L1555" i="6"/>
  <c r="J1603" i="6"/>
  <c r="L1603" i="6"/>
  <c r="U1603" i="6" s="1"/>
  <c r="J1667" i="6"/>
  <c r="L1667" i="6"/>
  <c r="J1715" i="6"/>
  <c r="L1715" i="6"/>
  <c r="J1763" i="6"/>
  <c r="L1763" i="6"/>
  <c r="U1763" i="6" s="1"/>
  <c r="J1835" i="6"/>
  <c r="L1835" i="6"/>
  <c r="J1883" i="6"/>
  <c r="L1883" i="6"/>
  <c r="J1947" i="6"/>
  <c r="L1947" i="6"/>
  <c r="U1947" i="6" s="1"/>
  <c r="J2003" i="6"/>
  <c r="L2003" i="6"/>
  <c r="U2003" i="6" s="1"/>
  <c r="J2028" i="6"/>
  <c r="L2028" i="6"/>
  <c r="U2028" i="6" s="1"/>
  <c r="J759" i="6"/>
  <c r="L759" i="6"/>
  <c r="J1047" i="6"/>
  <c r="L1047" i="6"/>
  <c r="J1231" i="6"/>
  <c r="L1231" i="6"/>
  <c r="J1679" i="6"/>
  <c r="L1679" i="6"/>
  <c r="J1863" i="6"/>
  <c r="L1863" i="6"/>
  <c r="U1863" i="6" s="1"/>
  <c r="J1032" i="6"/>
  <c r="L1032" i="6"/>
  <c r="U1032" i="6" s="1"/>
  <c r="J1552" i="6"/>
  <c r="L1552" i="6"/>
  <c r="U1552" i="6" s="1"/>
  <c r="J1848" i="6"/>
  <c r="L1848" i="6"/>
  <c r="U1848" i="6" s="1"/>
  <c r="J317" i="6"/>
  <c r="L317" i="6"/>
  <c r="J365" i="6"/>
  <c r="L365" i="6"/>
  <c r="J413" i="6"/>
  <c r="L413" i="6"/>
  <c r="J461" i="6"/>
  <c r="L461" i="6"/>
  <c r="J509" i="6"/>
  <c r="L509" i="6"/>
  <c r="U509" i="6" s="1"/>
  <c r="J557" i="6"/>
  <c r="L557" i="6"/>
  <c r="J605" i="6"/>
  <c r="L605" i="6"/>
  <c r="U605" i="6" s="1"/>
  <c r="J661" i="6"/>
  <c r="L661" i="6"/>
  <c r="J709" i="6"/>
  <c r="L709" i="6"/>
  <c r="U709" i="6" s="1"/>
  <c r="J757" i="6"/>
  <c r="L757" i="6"/>
  <c r="U757" i="6" s="1"/>
  <c r="J805" i="6"/>
  <c r="L805" i="6"/>
  <c r="J861" i="6"/>
  <c r="L861" i="6"/>
  <c r="J909" i="6"/>
  <c r="L909" i="6"/>
  <c r="J957" i="6"/>
  <c r="L957" i="6"/>
  <c r="J1005" i="6"/>
  <c r="L1005" i="6"/>
  <c r="J1053" i="6"/>
  <c r="L1053" i="6"/>
  <c r="J1101" i="6"/>
  <c r="L1101" i="6"/>
  <c r="J1149" i="6"/>
  <c r="L1149" i="6"/>
  <c r="U1149" i="6" s="1"/>
  <c r="J1205" i="6"/>
  <c r="L1205" i="6"/>
  <c r="J1261" i="6"/>
  <c r="L1261" i="6"/>
  <c r="J1317" i="6"/>
  <c r="L1317" i="6"/>
  <c r="J1365" i="6"/>
  <c r="L1365" i="6"/>
  <c r="U1365" i="6" s="1"/>
  <c r="J1421" i="6"/>
  <c r="L1421" i="6"/>
  <c r="U1421" i="6" s="1"/>
  <c r="J1469" i="6"/>
  <c r="L1469" i="6"/>
  <c r="J1525" i="6"/>
  <c r="L1525" i="6"/>
  <c r="U1525" i="6" s="1"/>
  <c r="J1573" i="6"/>
  <c r="L1573" i="6"/>
  <c r="J1621" i="6"/>
  <c r="L1621" i="6"/>
  <c r="J1677" i="6"/>
  <c r="L1677" i="6"/>
  <c r="J1733" i="6"/>
  <c r="L1733" i="6"/>
  <c r="J1789" i="6"/>
  <c r="L1789" i="6"/>
  <c r="J1901" i="6"/>
  <c r="L1901" i="6"/>
  <c r="J1973" i="6"/>
  <c r="L1973" i="6"/>
  <c r="J374" i="6"/>
  <c r="L374" i="6"/>
  <c r="U374" i="6" s="1"/>
  <c r="J422" i="6"/>
  <c r="L422" i="6"/>
  <c r="U422" i="6" s="1"/>
  <c r="J470" i="6"/>
  <c r="L470" i="6"/>
  <c r="U470" i="6" s="1"/>
  <c r="J518" i="6"/>
  <c r="L518" i="6"/>
  <c r="U518" i="6" s="1"/>
  <c r="J622" i="6"/>
  <c r="L622" i="6"/>
  <c r="U622" i="6" s="1"/>
  <c r="J670" i="6"/>
  <c r="L670" i="6"/>
  <c r="U670" i="6" s="1"/>
  <c r="J726" i="6"/>
  <c r="L726" i="6"/>
  <c r="U726" i="6" s="1"/>
  <c r="J774" i="6"/>
  <c r="L774" i="6"/>
  <c r="U774" i="6" s="1"/>
  <c r="J822" i="6"/>
  <c r="L822" i="6"/>
  <c r="U822" i="6" s="1"/>
  <c r="J870" i="6"/>
  <c r="L870" i="6"/>
  <c r="U870" i="6" s="1"/>
  <c r="J918" i="6"/>
  <c r="L918" i="6"/>
  <c r="U918" i="6" s="1"/>
  <c r="J974" i="6"/>
  <c r="L974" i="6"/>
  <c r="U974" i="6" s="1"/>
  <c r="J1022" i="6"/>
  <c r="L1022" i="6"/>
  <c r="U1022" i="6" s="1"/>
  <c r="J1118" i="6"/>
  <c r="L1118" i="6"/>
  <c r="U1118" i="6" s="1"/>
  <c r="J1166" i="6"/>
  <c r="L1166" i="6"/>
  <c r="U1166" i="6" s="1"/>
  <c r="J1262" i="6"/>
  <c r="L1262" i="6"/>
  <c r="U1262" i="6" s="1"/>
  <c r="J1318" i="6"/>
  <c r="L1318" i="6"/>
  <c r="U1318" i="6" s="1"/>
  <c r="J1366" i="6"/>
  <c r="L1366" i="6"/>
  <c r="U1366" i="6" s="1"/>
  <c r="J1414" i="6"/>
  <c r="L1414" i="6"/>
  <c r="U1414" i="6" s="1"/>
  <c r="J1478" i="6"/>
  <c r="L1478" i="6"/>
  <c r="U1478" i="6" s="1"/>
  <c r="J1534" i="6"/>
  <c r="L1534" i="6"/>
  <c r="U1534" i="6" s="1"/>
  <c r="J1590" i="6"/>
  <c r="L1590" i="6"/>
  <c r="U1590" i="6" s="1"/>
  <c r="J1646" i="6"/>
  <c r="L1646" i="6"/>
  <c r="U1646" i="6" s="1"/>
  <c r="J1750" i="6"/>
  <c r="L1750" i="6"/>
  <c r="U1750" i="6" s="1"/>
  <c r="J1814" i="6"/>
  <c r="L1814" i="6"/>
  <c r="U1814" i="6" s="1"/>
  <c r="J1926" i="6"/>
  <c r="L1926" i="6"/>
  <c r="U1926" i="6" s="1"/>
  <c r="J1982" i="6"/>
  <c r="L1982" i="6"/>
  <c r="U1982" i="6" s="1"/>
  <c r="H195" i="6"/>
  <c r="H1241" i="6"/>
  <c r="H1337" i="6"/>
  <c r="H1401" i="6"/>
  <c r="H1537" i="6"/>
  <c r="H1617" i="6"/>
  <c r="H1833" i="6"/>
  <c r="H1259" i="6"/>
  <c r="H1547" i="6"/>
  <c r="H1659" i="6"/>
  <c r="H1755" i="6"/>
  <c r="H1995" i="6"/>
  <c r="H1847" i="6"/>
  <c r="H1253" i="6"/>
  <c r="H1309" i="6"/>
  <c r="H1357" i="6"/>
  <c r="H1413" i="6"/>
  <c r="H1461" i="6"/>
  <c r="H1509" i="6"/>
  <c r="H1613" i="6"/>
  <c r="H1669" i="6"/>
  <c r="H1725" i="6"/>
  <c r="H1885" i="6"/>
  <c r="H1800" i="6"/>
  <c r="H958" i="6"/>
  <c r="H1254" i="6"/>
  <c r="H1358" i="6"/>
  <c r="H1226" i="6"/>
  <c r="H1407" i="6"/>
  <c r="H1340" i="6"/>
  <c r="H1580" i="6"/>
  <c r="H1559" i="6"/>
  <c r="H1310" i="6"/>
  <c r="H1526" i="6"/>
  <c r="H1339" i="6"/>
  <c r="H1695" i="6"/>
  <c r="H1797" i="6"/>
  <c r="H1981" i="6"/>
  <c r="H1598" i="6"/>
  <c r="H1710" i="6"/>
  <c r="H1758" i="6"/>
  <c r="H1860" i="6"/>
  <c r="H562" i="6"/>
  <c r="H1594" i="6"/>
  <c r="H1666" i="6"/>
  <c r="H1802" i="6"/>
  <c r="H1866" i="6"/>
  <c r="H1439" i="6"/>
  <c r="H1364" i="6"/>
  <c r="H1436" i="6"/>
  <c r="H1548" i="6"/>
  <c r="H1884" i="6"/>
  <c r="H1964" i="6"/>
  <c r="H1287" i="6"/>
  <c r="H1320" i="6"/>
  <c r="H1431" i="6"/>
  <c r="H1607" i="6"/>
  <c r="H1799" i="6"/>
  <c r="H1976" i="6"/>
  <c r="H1990" i="6"/>
  <c r="H1664" i="6"/>
  <c r="H1738" i="6"/>
  <c r="H1217" i="6"/>
  <c r="H1265" i="6"/>
  <c r="H1433" i="6"/>
  <c r="H1497" i="6"/>
  <c r="H1585" i="6"/>
  <c r="H1649" i="6"/>
  <c r="H1713" i="6"/>
  <c r="H1777" i="6"/>
  <c r="H1929" i="6"/>
  <c r="H1896" i="6"/>
  <c r="H1674" i="6"/>
  <c r="H2002" i="6"/>
  <c r="H1567" i="6"/>
  <c r="H1235" i="6"/>
  <c r="H1299" i="6"/>
  <c r="H1451" i="6"/>
  <c r="H1731" i="6"/>
  <c r="H1851" i="6"/>
  <c r="H1899" i="6"/>
  <c r="H2019" i="6"/>
  <c r="H775" i="6"/>
  <c r="H1263" i="6"/>
  <c r="H1703" i="6"/>
  <c r="H1592" i="6"/>
  <c r="H1957" i="6"/>
  <c r="U1957" i="6" s="1"/>
  <c r="H1285" i="6"/>
  <c r="H1333" i="6"/>
  <c r="H1437" i="6"/>
  <c r="H1485" i="6"/>
  <c r="H1541" i="6"/>
  <c r="H1701" i="6"/>
  <c r="H1821" i="6"/>
  <c r="H1997" i="6"/>
  <c r="H1550" i="6"/>
  <c r="H1662" i="6"/>
  <c r="H1942" i="6"/>
  <c r="H114" i="6"/>
  <c r="H1338" i="6"/>
  <c r="H1722" i="6"/>
  <c r="H1311" i="6"/>
  <c r="H1671" i="6"/>
  <c r="H1984" i="6"/>
  <c r="H1540" i="6"/>
  <c r="H1740" i="6"/>
  <c r="H1876" i="6"/>
  <c r="H1583" i="6"/>
  <c r="H1870" i="6"/>
  <c r="H1480" i="6"/>
  <c r="H1737" i="6"/>
  <c r="H1812" i="6"/>
  <c r="H1361" i="6"/>
  <c r="H1561" i="6"/>
  <c r="H1705" i="6"/>
  <c r="H1921" i="6"/>
  <c r="H1880" i="6"/>
  <c r="H1675" i="6"/>
  <c r="H1247" i="6"/>
  <c r="H1576" i="6"/>
  <c r="H1872" i="6"/>
  <c r="H1967" i="6"/>
  <c r="U1967" i="6" s="1"/>
  <c r="H1269" i="6"/>
  <c r="H1373" i="6"/>
  <c r="H1486" i="6"/>
  <c r="H1654" i="6"/>
  <c r="H1761" i="6"/>
  <c r="H26" i="6"/>
  <c r="H234" i="6"/>
  <c r="H1250" i="6"/>
  <c r="H1410" i="6"/>
  <c r="H1538" i="6"/>
  <c r="H1746" i="6"/>
  <c r="H1954" i="6"/>
  <c r="H1455" i="6"/>
  <c r="H1783" i="6"/>
  <c r="H1312" i="6"/>
  <c r="H1481" i="6"/>
  <c r="U1481" i="6" s="1"/>
  <c r="H892" i="6"/>
  <c r="H1244" i="6"/>
  <c r="H1308" i="6"/>
  <c r="H1604" i="6"/>
  <c r="H1652" i="6"/>
  <c r="H1828" i="6"/>
  <c r="H1900" i="6"/>
  <c r="H1972" i="6"/>
  <c r="H1479" i="6"/>
  <c r="H1208" i="6"/>
  <c r="H1352" i="6"/>
  <c r="H1623" i="6"/>
  <c r="H1807" i="6"/>
  <c r="H1808" i="6"/>
  <c r="H1382" i="6"/>
  <c r="H1606" i="6"/>
  <c r="H1975" i="6"/>
  <c r="H1893" i="6"/>
  <c r="U1893" i="6" s="1"/>
  <c r="H1745" i="6"/>
  <c r="H1969" i="6"/>
  <c r="H1488" i="6"/>
  <c r="H1640" i="6"/>
  <c r="H1960" i="6"/>
  <c r="H1323" i="6"/>
  <c r="H1595" i="6"/>
  <c r="H1707" i="6"/>
  <c r="H1939" i="6"/>
  <c r="H2012" i="6"/>
  <c r="H1215" i="6"/>
  <c r="H1512" i="6"/>
  <c r="H1736" i="6"/>
  <c r="H656" i="6"/>
  <c r="H1577" i="6"/>
  <c r="U1577" i="6" s="1"/>
  <c r="H1256" i="6"/>
  <c r="H1628" i="6"/>
  <c r="H1327" i="6"/>
  <c r="H1751" i="6"/>
  <c r="H1680" i="6"/>
  <c r="H1918" i="6"/>
  <c r="H275" i="6"/>
  <c r="H1273" i="6"/>
  <c r="H1385" i="6"/>
  <c r="H1441" i="6"/>
  <c r="H1505" i="6"/>
  <c r="H1785" i="6"/>
  <c r="H1873" i="6"/>
  <c r="H1813" i="6"/>
  <c r="H1307" i="6"/>
  <c r="H1355" i="6"/>
  <c r="H1579" i="6"/>
  <c r="H1643" i="6"/>
  <c r="H1795" i="6"/>
  <c r="H1859" i="6"/>
  <c r="H1915" i="6"/>
  <c r="H1979" i="6"/>
  <c r="H1711" i="6"/>
  <c r="H733" i="6"/>
  <c r="H1293" i="6"/>
  <c r="H1445" i="6"/>
  <c r="H1549" i="6"/>
  <c r="H1597" i="6"/>
  <c r="H1853" i="6"/>
  <c r="H1933" i="6"/>
  <c r="H2005" i="6"/>
  <c r="H1346" i="6"/>
  <c r="H1294" i="6"/>
  <c r="H1502" i="6"/>
  <c r="H1558" i="6"/>
  <c r="H1846" i="6"/>
  <c r="H1902" i="6"/>
  <c r="H134" i="6"/>
  <c r="H688" i="6"/>
  <c r="H784" i="6"/>
  <c r="H2031" i="6"/>
  <c r="H1314" i="6"/>
  <c r="H1370" i="6"/>
  <c r="H1890" i="6"/>
  <c r="H1271" i="6"/>
  <c r="H1367" i="6"/>
  <c r="H1487" i="6"/>
  <c r="H1615" i="6"/>
  <c r="H1224" i="6"/>
  <c r="H1336" i="6"/>
  <c r="H1520" i="6"/>
  <c r="H1531" i="6"/>
  <c r="H1388" i="6"/>
  <c r="H1564" i="6"/>
  <c r="H1764" i="6"/>
  <c r="H1836" i="6"/>
  <c r="H1343" i="6"/>
  <c r="H1503" i="6"/>
  <c r="H1816" i="6"/>
  <c r="H1514" i="6"/>
  <c r="H1726" i="6"/>
  <c r="H1223" i="6"/>
  <c r="H1855" i="6"/>
  <c r="H1264" i="6"/>
  <c r="H1728" i="6"/>
  <c r="H1546" i="6"/>
  <c r="H4" i="6"/>
  <c r="H1082" i="6"/>
  <c r="H1394" i="6"/>
  <c r="H1658" i="6"/>
  <c r="H1794" i="6"/>
  <c r="H1858" i="6"/>
  <c r="H1994" i="6"/>
  <c r="H1432" i="6"/>
  <c r="H1348" i="6"/>
  <c r="H1476" i="6"/>
  <c r="H1684" i="6"/>
  <c r="H1796" i="6"/>
  <c r="H1759" i="6"/>
  <c r="H1214" i="6"/>
  <c r="H1396" i="6"/>
  <c r="H1305" i="6"/>
  <c r="H1425" i="6"/>
  <c r="H1857" i="6"/>
  <c r="H1993" i="6"/>
  <c r="H1291" i="6"/>
  <c r="H1443" i="6"/>
  <c r="H1723" i="6"/>
  <c r="H2011" i="6"/>
  <c r="H1111" i="6"/>
  <c r="H1281" i="6"/>
  <c r="H1329" i="6"/>
  <c r="H1457" i="6"/>
  <c r="H1521" i="6"/>
  <c r="H1601" i="6"/>
  <c r="H1665" i="6"/>
  <c r="H1809" i="6"/>
  <c r="H1889" i="6"/>
  <c r="H1961" i="6"/>
  <c r="H2025" i="6"/>
  <c r="H1616" i="6"/>
  <c r="H1928" i="6"/>
  <c r="H867" i="6"/>
  <c r="H1363" i="6"/>
  <c r="H1419" i="6"/>
  <c r="H1475" i="6"/>
  <c r="H1587" i="6"/>
  <c r="H1651" i="6"/>
  <c r="H1699" i="6"/>
  <c r="H1819" i="6"/>
  <c r="H1931" i="6"/>
  <c r="H1987" i="6"/>
  <c r="H1996" i="6"/>
  <c r="H1719" i="6"/>
  <c r="H1464" i="6"/>
  <c r="H1712" i="6"/>
  <c r="H1345" i="6"/>
  <c r="U1345" i="6" s="1"/>
  <c r="H1349" i="6"/>
  <c r="H1397" i="6"/>
  <c r="H1453" i="6"/>
  <c r="H1302" i="6"/>
  <c r="H1350" i="6"/>
  <c r="H1398" i="6"/>
  <c r="H1510" i="6"/>
  <c r="H1734" i="6"/>
  <c r="H1854" i="6"/>
  <c r="H2022" i="6"/>
  <c r="H1978" i="6"/>
  <c r="H42" i="6"/>
  <c r="H1266" i="6"/>
  <c r="H1378" i="6"/>
  <c r="H1426" i="6"/>
  <c r="H1562" i="6"/>
  <c r="H1698" i="6"/>
  <c r="H1970" i="6"/>
  <c r="H1383" i="6"/>
  <c r="H1232" i="6"/>
  <c r="H1376" i="6"/>
  <c r="H1260" i="6"/>
  <c r="H1332" i="6"/>
  <c r="H1668" i="6"/>
  <c r="H1916" i="6"/>
  <c r="H1400" i="6"/>
  <c r="H1159" i="6"/>
  <c r="H1743" i="6"/>
  <c r="H1991" i="6"/>
  <c r="H1824" i="6"/>
  <c r="H1720" i="6"/>
  <c r="H1678" i="6"/>
  <c r="H1966" i="6"/>
  <c r="H1239" i="6"/>
  <c r="H1895" i="6"/>
  <c r="H1752" i="6"/>
  <c r="H50" i="6"/>
  <c r="H1570" i="6"/>
  <c r="H1778" i="6"/>
  <c r="H1922" i="6"/>
  <c r="H1697" i="6"/>
  <c r="U1697" i="6" s="1"/>
  <c r="H1220" i="6"/>
  <c r="H1412" i="6"/>
  <c r="H1912" i="6"/>
  <c r="H1911" i="6"/>
  <c r="H1424" i="6"/>
  <c r="H1249" i="6"/>
  <c r="H1297" i="6"/>
  <c r="H1473" i="6"/>
  <c r="H1689" i="6"/>
  <c r="H1841" i="6"/>
  <c r="H1905" i="6"/>
  <c r="H1999" i="6"/>
  <c r="U1999" i="6" s="1"/>
  <c r="H1211" i="6"/>
  <c r="H1267" i="6"/>
  <c r="H1379" i="6"/>
  <c r="H1499" i="6"/>
  <c r="H1555" i="6"/>
  <c r="H1603" i="6"/>
  <c r="H1835" i="6"/>
  <c r="H2003" i="6"/>
  <c r="H2028" i="6"/>
  <c r="H1863" i="6"/>
  <c r="H1552" i="6"/>
  <c r="H1848" i="6"/>
  <c r="H1786" i="6"/>
  <c r="H1421" i="6"/>
  <c r="H1573" i="6"/>
  <c r="H1677" i="6"/>
  <c r="H1318" i="6"/>
  <c r="H1366" i="6"/>
  <c r="H1414" i="6"/>
  <c r="H1534" i="6"/>
  <c r="H1646" i="6"/>
  <c r="H1814" i="6"/>
  <c r="H1926" i="6"/>
  <c r="H1982" i="6"/>
  <c r="H1495" i="6"/>
  <c r="H3" i="6"/>
  <c r="K36" i="6"/>
  <c r="P36" i="6" s="1"/>
  <c r="K1457" i="6"/>
  <c r="P1457" i="6" s="1"/>
  <c r="K541" i="6"/>
  <c r="P541" i="6" s="1"/>
  <c r="K1133" i="6"/>
  <c r="P1133" i="6" s="1"/>
  <c r="K854" i="6"/>
  <c r="P854" i="6" s="1"/>
  <c r="K950" i="6"/>
  <c r="P950" i="6" s="1"/>
  <c r="K1790" i="6"/>
  <c r="P1790" i="6" s="1"/>
  <c r="K46" i="6"/>
  <c r="P46" i="6" s="1"/>
  <c r="K119" i="6"/>
  <c r="P119" i="6" s="1"/>
  <c r="K324" i="6"/>
  <c r="P324" i="6" s="1"/>
  <c r="K428" i="6"/>
  <c r="P428" i="6" s="1"/>
  <c r="K1676" i="6"/>
  <c r="P1676" i="6" s="1"/>
  <c r="K1327" i="6"/>
  <c r="P1327" i="6" s="1"/>
  <c r="K665" i="6"/>
  <c r="P665" i="6" s="1"/>
  <c r="K1744" i="6"/>
  <c r="P1744" i="6" s="1"/>
  <c r="K709" i="6"/>
  <c r="P709" i="6" s="1"/>
  <c r="K1005" i="6"/>
  <c r="P1005" i="6" s="1"/>
  <c r="K1317" i="6"/>
  <c r="P1317" i="6" s="1"/>
  <c r="K1469" i="6"/>
  <c r="P1469" i="6" s="1"/>
  <c r="K1155" i="6"/>
  <c r="P1155" i="6" s="1"/>
  <c r="K1270" i="6"/>
  <c r="P1270" i="6" s="1"/>
  <c r="K230" i="6"/>
  <c r="P230" i="6" s="1"/>
  <c r="K87" i="6"/>
  <c r="P87" i="6" s="1"/>
  <c r="K239" i="6"/>
  <c r="P239" i="6" s="1"/>
  <c r="K1186" i="6"/>
  <c r="P1186" i="6" s="1"/>
  <c r="K1402" i="6"/>
  <c r="P1402" i="6" s="1"/>
  <c r="K292" i="6"/>
  <c r="P292" i="6" s="1"/>
  <c r="K388" i="6"/>
  <c r="P388" i="6" s="1"/>
  <c r="K1655" i="6"/>
  <c r="P1655" i="6" s="1"/>
  <c r="K273" i="6"/>
  <c r="P273" i="6" s="1"/>
  <c r="K1821" i="6"/>
  <c r="P1821" i="6" s="1"/>
  <c r="K1997" i="6"/>
  <c r="P1997" i="6" s="1"/>
  <c r="K486" i="6"/>
  <c r="P486" i="6" s="1"/>
  <c r="K1839" i="6"/>
  <c r="P1839" i="6" s="1"/>
  <c r="K182" i="6"/>
  <c r="P182" i="6" s="1"/>
  <c r="K254" i="6"/>
  <c r="P254" i="6" s="1"/>
  <c r="K407" i="6"/>
  <c r="P407" i="6" s="1"/>
  <c r="K954" i="6"/>
  <c r="P954" i="6" s="1"/>
  <c r="K1258" i="6"/>
  <c r="P1258" i="6" s="1"/>
  <c r="K1466" i="6"/>
  <c r="P1466" i="6" s="1"/>
  <c r="K308" i="6"/>
  <c r="P308" i="6" s="1"/>
  <c r="K356" i="6"/>
  <c r="P356" i="6" s="1"/>
  <c r="K852" i="6"/>
  <c r="P852" i="6" s="1"/>
  <c r="H2" i="6"/>
  <c r="H1008" i="6"/>
  <c r="H622" i="6"/>
  <c r="K1557" i="6"/>
  <c r="P1557" i="6" s="1"/>
  <c r="H851" i="6"/>
  <c r="K1454" i="6"/>
  <c r="P1454" i="6" s="1"/>
  <c r="K1911" i="6"/>
  <c r="P1911" i="6" s="1"/>
  <c r="H956" i="6"/>
  <c r="K1941" i="6"/>
  <c r="P1941" i="6" s="1"/>
  <c r="H121" i="6"/>
  <c r="K1034" i="6"/>
  <c r="P1034" i="6" s="1"/>
  <c r="K1234" i="6"/>
  <c r="P1234" i="6" s="1"/>
  <c r="K1442" i="6"/>
  <c r="P1442" i="6" s="1"/>
  <c r="K1626" i="6"/>
  <c r="P1626" i="6" s="1"/>
  <c r="K1858" i="6"/>
  <c r="P1858" i="6" s="1"/>
  <c r="K1671" i="6"/>
  <c r="P1671" i="6" s="1"/>
  <c r="K332" i="6"/>
  <c r="P332" i="6" s="1"/>
  <c r="K500" i="6"/>
  <c r="P500" i="6" s="1"/>
  <c r="K660" i="6"/>
  <c r="P660" i="6" s="1"/>
  <c r="K860" i="6"/>
  <c r="P860" i="6" s="1"/>
  <c r="K1092" i="6"/>
  <c r="P1092" i="6" s="1"/>
  <c r="K1308" i="6"/>
  <c r="P1308" i="6" s="1"/>
  <c r="K1524" i="6"/>
  <c r="P1524" i="6" s="1"/>
  <c r="K1652" i="6"/>
  <c r="P1652" i="6" s="1"/>
  <c r="K1900" i="6"/>
  <c r="P1900" i="6" s="1"/>
  <c r="K903" i="6"/>
  <c r="P903" i="6" s="1"/>
  <c r="K832" i="6"/>
  <c r="P832" i="6" s="1"/>
  <c r="K1272" i="6"/>
  <c r="P1272" i="6" s="1"/>
  <c r="K1391" i="6"/>
  <c r="P1391" i="6" s="1"/>
  <c r="K1990" i="6"/>
  <c r="P1990" i="6" s="1"/>
  <c r="K1894" i="6"/>
  <c r="P1894" i="6" s="1"/>
  <c r="K1002" i="6"/>
  <c r="P1002" i="6" s="1"/>
  <c r="K1266" i="6"/>
  <c r="P1266" i="6" s="1"/>
  <c r="K1682" i="6"/>
  <c r="P1682" i="6" s="1"/>
  <c r="K1954" i="6"/>
  <c r="P1954" i="6" s="1"/>
  <c r="K1039" i="6"/>
  <c r="P1039" i="6" s="1"/>
  <c r="K1959" i="6"/>
  <c r="P1959" i="6" s="1"/>
  <c r="K1280" i="6"/>
  <c r="P1280" i="6" s="1"/>
  <c r="K1984" i="6"/>
  <c r="P1984" i="6" s="1"/>
  <c r="K300" i="6"/>
  <c r="P300" i="6" s="1"/>
  <c r="K396" i="6"/>
  <c r="P396" i="6" s="1"/>
  <c r="K628" i="6"/>
  <c r="P628" i="6" s="1"/>
  <c r="K924" i="6"/>
  <c r="P924" i="6" s="1"/>
  <c r="K1196" i="6"/>
  <c r="P1196" i="6" s="1"/>
  <c r="K1556" i="6"/>
  <c r="P1556" i="6" s="1"/>
  <c r="K1756" i="6"/>
  <c r="P1756" i="6" s="1"/>
  <c r="K855" i="6"/>
  <c r="P855" i="6" s="1"/>
  <c r="K679" i="6"/>
  <c r="P679" i="6" s="1"/>
  <c r="K1623" i="6"/>
  <c r="P1623" i="6" s="1"/>
  <c r="K1688" i="6"/>
  <c r="P1688" i="6" s="1"/>
  <c r="K398" i="6"/>
  <c r="P398" i="6" s="1"/>
  <c r="K1726" i="6"/>
  <c r="P1726" i="6" s="1"/>
  <c r="K447" i="6"/>
  <c r="P447" i="6" s="1"/>
  <c r="K378" i="6"/>
  <c r="P378" i="6" s="1"/>
  <c r="K1410" i="6"/>
  <c r="P1410" i="6" s="1"/>
  <c r="K1722" i="6"/>
  <c r="P1722" i="6" s="1"/>
  <c r="K1994" i="6"/>
  <c r="P1994" i="6" s="1"/>
  <c r="K1511" i="6"/>
  <c r="P1511" i="6" s="1"/>
  <c r="K1152" i="6"/>
  <c r="P1152" i="6" s="1"/>
  <c r="K268" i="6"/>
  <c r="P268" i="6" s="1"/>
  <c r="K468" i="6"/>
  <c r="P468" i="6" s="1"/>
  <c r="K732" i="6"/>
  <c r="P732" i="6" s="1"/>
  <c r="K956" i="6"/>
  <c r="P956" i="6" s="1"/>
  <c r="K1164" i="6"/>
  <c r="P1164" i="6" s="1"/>
  <c r="K1404" i="6"/>
  <c r="P1404" i="6" s="1"/>
  <c r="K1684" i="6"/>
  <c r="P1684" i="6" s="1"/>
  <c r="K2004" i="6"/>
  <c r="P2004" i="6" s="1"/>
  <c r="K1479" i="6"/>
  <c r="P1479" i="6" s="1"/>
  <c r="K1151" i="6"/>
  <c r="P1151" i="6" s="1"/>
  <c r="K1480" i="6"/>
  <c r="P1480" i="6" s="1"/>
  <c r="K151" i="6"/>
  <c r="P151" i="6" s="1"/>
  <c r="K506" i="6"/>
  <c r="P506" i="6" s="1"/>
  <c r="K1162" i="6"/>
  <c r="P1162" i="6" s="1"/>
  <c r="K1378" i="6"/>
  <c r="P1378" i="6" s="1"/>
  <c r="K1538" i="6"/>
  <c r="P1538" i="6" s="1"/>
  <c r="K1810" i="6"/>
  <c r="P1810" i="6" s="1"/>
  <c r="K959" i="6"/>
  <c r="P959" i="6" s="1"/>
  <c r="K1591" i="6"/>
  <c r="P1591" i="6" s="1"/>
  <c r="K1216" i="6"/>
  <c r="P1216" i="6" s="1"/>
  <c r="K1496" i="6"/>
  <c r="P1496" i="6" s="1"/>
  <c r="K1531" i="6"/>
  <c r="P1531" i="6" s="1"/>
  <c r="K364" i="6"/>
  <c r="P364" i="6" s="1"/>
  <c r="K596" i="6"/>
  <c r="P596" i="6" s="1"/>
  <c r="K828" i="6"/>
  <c r="P828" i="6" s="1"/>
  <c r="K1060" i="6"/>
  <c r="P1060" i="6" s="1"/>
  <c r="K1348" i="6"/>
  <c r="P1348" i="6" s="1"/>
  <c r="K1620" i="6"/>
  <c r="P1620" i="6" s="1"/>
  <c r="K1940" i="6"/>
  <c r="P1940" i="6" s="1"/>
  <c r="K1359" i="6"/>
  <c r="P1359" i="6" s="1"/>
  <c r="K1016" i="6"/>
  <c r="P1016" i="6" s="1"/>
  <c r="K1472" i="6"/>
  <c r="P1472" i="6" s="1"/>
  <c r="K1535" i="6"/>
  <c r="P1535" i="6" s="1"/>
  <c r="K1368" i="6"/>
  <c r="P1368" i="6" s="1"/>
  <c r="K894" i="6"/>
  <c r="P894" i="6" s="1"/>
  <c r="K1918" i="6"/>
  <c r="P1918" i="6" s="1"/>
  <c r="K1239" i="6"/>
  <c r="P1239" i="6" s="1"/>
  <c r="K1056" i="6"/>
  <c r="P1056" i="6" s="1"/>
  <c r="K120" i="6"/>
  <c r="P120" i="6" s="1"/>
  <c r="K1066" i="6"/>
  <c r="P1066" i="6" s="1"/>
  <c r="K1338" i="6"/>
  <c r="P1338" i="6" s="1"/>
  <c r="K1586" i="6"/>
  <c r="P1586" i="6" s="1"/>
  <c r="K204" i="6"/>
  <c r="P204" i="6" s="1"/>
  <c r="K436" i="6"/>
  <c r="P436" i="6" s="1"/>
  <c r="K764" i="6"/>
  <c r="P764" i="6" s="1"/>
  <c r="K996" i="6"/>
  <c r="K1228" i="6"/>
  <c r="P1228" i="6" s="1"/>
  <c r="K1588" i="6"/>
  <c r="P1588" i="6" s="1"/>
  <c r="K1844" i="6"/>
  <c r="P1844" i="6" s="1"/>
  <c r="K967" i="6"/>
  <c r="P967" i="6" s="1"/>
  <c r="K904" i="6"/>
  <c r="P904" i="6" s="1"/>
  <c r="K1352" i="6"/>
  <c r="P1352" i="6" s="1"/>
  <c r="K864" i="6"/>
  <c r="P864" i="6" s="1"/>
  <c r="K962" i="6"/>
  <c r="P962" i="6" s="1"/>
  <c r="K1194" i="6"/>
  <c r="P1194" i="6" s="1"/>
  <c r="K1474" i="6"/>
  <c r="P1474" i="6" s="1"/>
  <c r="K1898" i="6"/>
  <c r="P1898" i="6" s="1"/>
  <c r="K1295" i="6"/>
  <c r="P1295" i="6" s="1"/>
  <c r="K1064" i="6"/>
  <c r="P1064" i="6" s="1"/>
  <c r="K236" i="6"/>
  <c r="P236" i="6" s="1"/>
  <c r="K532" i="6"/>
  <c r="P532" i="6" s="1"/>
  <c r="K700" i="6"/>
  <c r="P700" i="6" s="1"/>
  <c r="K892" i="6"/>
  <c r="P892" i="6" s="1"/>
  <c r="K1124" i="6"/>
  <c r="P1124" i="6" s="1"/>
  <c r="K1444" i="6"/>
  <c r="P1444" i="6" s="1"/>
  <c r="K1796" i="6"/>
  <c r="P1796" i="6" s="1"/>
  <c r="K1055" i="6"/>
  <c r="P1055" i="6" s="1"/>
  <c r="K847" i="6"/>
  <c r="P847" i="6" s="1"/>
  <c r="K1991" i="6"/>
  <c r="P1991" i="6" s="1"/>
  <c r="K991" i="6"/>
  <c r="P991" i="6" s="1"/>
  <c r="K1752" i="6"/>
  <c r="P1752" i="6" s="1"/>
  <c r="K751" i="6"/>
  <c r="P751" i="6" s="1"/>
  <c r="K28" i="6"/>
  <c r="P28" i="6" s="1"/>
  <c r="K1098" i="6"/>
  <c r="P1098" i="6" s="1"/>
  <c r="K1306" i="6"/>
  <c r="P1306" i="6" s="1"/>
  <c r="K1770" i="6"/>
  <c r="P1770" i="6" s="1"/>
  <c r="K920" i="6"/>
  <c r="P920" i="6" s="1"/>
  <c r="K1376" i="6"/>
  <c r="P1376" i="6" s="1"/>
  <c r="K172" i="6"/>
  <c r="P172" i="6" s="1"/>
  <c r="K564" i="6"/>
  <c r="P564" i="6" s="1"/>
  <c r="K796" i="6"/>
  <c r="P796" i="6" s="1"/>
  <c r="K1260" i="6"/>
  <c r="P1260" i="6" s="1"/>
  <c r="K1476" i="6"/>
  <c r="P1476" i="6" s="1"/>
  <c r="K1724" i="6"/>
  <c r="P1724" i="6" s="1"/>
  <c r="K655" i="6"/>
  <c r="P655" i="6" s="1"/>
  <c r="K1943" i="6"/>
  <c r="P1943" i="6" s="1"/>
  <c r="K1119" i="6"/>
  <c r="P1119" i="6" s="1"/>
  <c r="K1759" i="6"/>
  <c r="P1759" i="6" s="1"/>
  <c r="K1824" i="6"/>
  <c r="P1824" i="6" s="1"/>
  <c r="K1798" i="6"/>
  <c r="P1798" i="6" s="1"/>
  <c r="K1927" i="6"/>
  <c r="P1927" i="6" s="1"/>
  <c r="K1028" i="6"/>
  <c r="P1028" i="6" s="1"/>
  <c r="K409" i="6"/>
  <c r="P409" i="6" s="1"/>
  <c r="K1553" i="6"/>
  <c r="P1553" i="6" s="1"/>
  <c r="K1435" i="6"/>
  <c r="P1435" i="6" s="1"/>
  <c r="K1699" i="6"/>
  <c r="P1699" i="6" s="1"/>
  <c r="K125" i="6"/>
  <c r="P125" i="6" s="1"/>
  <c r="K683" i="6"/>
  <c r="P683" i="6" s="1"/>
  <c r="K377" i="6"/>
  <c r="P377" i="6" s="1"/>
  <c r="K115" i="6"/>
  <c r="P115" i="6" s="1"/>
  <c r="K609" i="6"/>
  <c r="P609" i="6" s="1"/>
  <c r="K753" i="6"/>
  <c r="P753" i="6" s="1"/>
  <c r="K1351" i="6"/>
  <c r="P1351" i="6" s="1"/>
  <c r="K651" i="6"/>
  <c r="P651" i="6" s="1"/>
  <c r="H479" i="6"/>
  <c r="K1929" i="6"/>
  <c r="P1929" i="6" s="1"/>
  <c r="K1883" i="6"/>
  <c r="P1883" i="6" s="1"/>
  <c r="K214" i="6"/>
  <c r="P214" i="6" s="1"/>
  <c r="K1497" i="6"/>
  <c r="P1497" i="6" s="1"/>
  <c r="K1689" i="6"/>
  <c r="P1689" i="6" s="1"/>
  <c r="K1985" i="6"/>
  <c r="P1985" i="6" s="1"/>
  <c r="K1377" i="6"/>
  <c r="P1377" i="6" s="1"/>
  <c r="K347" i="6"/>
  <c r="P347" i="6" s="1"/>
  <c r="K51" i="6"/>
  <c r="P51" i="6" s="1"/>
  <c r="K1299" i="6"/>
  <c r="P1299" i="6" s="1"/>
  <c r="K1627" i="6"/>
  <c r="P1627" i="6" s="1"/>
  <c r="K1731" i="6"/>
  <c r="P1731" i="6" s="1"/>
  <c r="K1819" i="6"/>
  <c r="P1819" i="6" s="1"/>
  <c r="K1231" i="6"/>
  <c r="P1231" i="6" s="1"/>
  <c r="K1863" i="6"/>
  <c r="P1863" i="6" s="1"/>
  <c r="K990" i="6"/>
  <c r="P990" i="6" s="1"/>
  <c r="K445" i="6"/>
  <c r="P445" i="6" s="1"/>
  <c r="K1054" i="6"/>
  <c r="P1054" i="6" s="1"/>
  <c r="K1381" i="6"/>
  <c r="P1381" i="6" s="1"/>
  <c r="K1910" i="6"/>
  <c r="P1910" i="6" s="1"/>
  <c r="K909" i="6"/>
  <c r="P909" i="6" s="1"/>
  <c r="K1750" i="6"/>
  <c r="P1750" i="6" s="1"/>
  <c r="K1701" i="6"/>
  <c r="P1701" i="6" s="1"/>
  <c r="K1286" i="6"/>
  <c r="P1286" i="6" s="1"/>
  <c r="K877" i="6"/>
  <c r="P877" i="6" s="1"/>
  <c r="K973" i="6"/>
  <c r="P973" i="6" s="1"/>
  <c r="K1901" i="6"/>
  <c r="P1901" i="6" s="1"/>
  <c r="K317" i="6"/>
  <c r="P317" i="6" s="1"/>
  <c r="K1101" i="6"/>
  <c r="P1101" i="6" s="1"/>
  <c r="K1525" i="6"/>
  <c r="P1525" i="6" s="1"/>
  <c r="K1086" i="6"/>
  <c r="P1086" i="6" s="1"/>
  <c r="K1118" i="6"/>
  <c r="P1118" i="6" s="1"/>
  <c r="K358" i="6"/>
  <c r="P358" i="6" s="1"/>
  <c r="K758" i="6"/>
  <c r="P758" i="6" s="1"/>
  <c r="K1485" i="6"/>
  <c r="P1485" i="6" s="1"/>
  <c r="K1246" i="6"/>
  <c r="P1246" i="6" s="1"/>
  <c r="K941" i="6"/>
  <c r="P941" i="6" s="1"/>
  <c r="K1285" i="6"/>
  <c r="P1285" i="6" s="1"/>
  <c r="K1074" i="6"/>
  <c r="P1074" i="6" s="1"/>
  <c r="K938" i="6"/>
  <c r="P938" i="6" s="1"/>
  <c r="K1242" i="6"/>
  <c r="P1242" i="6" s="1"/>
  <c r="K150" i="6"/>
  <c r="P150" i="6" s="1"/>
  <c r="K191" i="6"/>
  <c r="P191" i="6" s="1"/>
  <c r="K224" i="6"/>
  <c r="P224" i="6" s="1"/>
  <c r="K608" i="6"/>
  <c r="P608" i="6" s="1"/>
  <c r="K154" i="6"/>
  <c r="P154" i="6" s="1"/>
  <c r="K386" i="6"/>
  <c r="P386" i="6" s="1"/>
  <c r="K1170" i="6"/>
  <c r="P1170" i="6" s="1"/>
  <c r="K1354" i="6"/>
  <c r="P1354" i="6" s="1"/>
  <c r="K1866" i="6"/>
  <c r="P1866" i="6" s="1"/>
  <c r="K1063" i="6"/>
  <c r="P1063" i="6" s="1"/>
  <c r="K1527" i="6"/>
  <c r="P1527" i="6" s="1"/>
  <c r="K1168" i="6"/>
  <c r="P1168" i="6" s="1"/>
  <c r="K244" i="6"/>
  <c r="P244" i="6" s="1"/>
  <c r="K444" i="6"/>
  <c r="K636" i="6"/>
  <c r="P636" i="6" s="1"/>
  <c r="K836" i="6"/>
  <c r="P836" i="6" s="1"/>
  <c r="K1036" i="6"/>
  <c r="P1036" i="6" s="1"/>
  <c r="K1204" i="6"/>
  <c r="P1204" i="6" s="1"/>
  <c r="K1412" i="6"/>
  <c r="P1412" i="6" s="1"/>
  <c r="K663" i="6"/>
  <c r="K792" i="6"/>
  <c r="P792" i="6" s="1"/>
  <c r="K1048" i="6"/>
  <c r="P1048" i="6" s="1"/>
  <c r="K863" i="6"/>
  <c r="P863" i="6" s="1"/>
  <c r="K1768" i="6"/>
  <c r="P1768" i="6" s="1"/>
  <c r="K1906" i="6"/>
  <c r="P1906" i="6" s="1"/>
  <c r="K270" i="6"/>
  <c r="P270" i="6" s="1"/>
  <c r="K23" i="6"/>
  <c r="P23" i="6" s="1"/>
  <c r="K82" i="6"/>
  <c r="P82" i="6" s="1"/>
  <c r="K290" i="6"/>
  <c r="P290" i="6" s="1"/>
  <c r="K482" i="6"/>
  <c r="P482" i="6" s="1"/>
  <c r="K658" i="6"/>
  <c r="P658" i="6" s="1"/>
  <c r="K794" i="6"/>
  <c r="P794" i="6" s="1"/>
  <c r="K1042" i="6"/>
  <c r="P1042" i="6" s="1"/>
  <c r="K1690" i="6"/>
  <c r="P1690" i="6" s="1"/>
  <c r="K1962" i="6"/>
  <c r="P1962" i="6" s="1"/>
  <c r="K1303" i="6"/>
  <c r="P1303" i="6" s="1"/>
  <c r="K1775" i="6"/>
  <c r="P1775" i="6" s="1"/>
  <c r="K340" i="6"/>
  <c r="P340" i="6" s="1"/>
  <c r="K540" i="6"/>
  <c r="P540" i="6" s="1"/>
  <c r="K740" i="6"/>
  <c r="P740" i="6" s="1"/>
  <c r="K932" i="6"/>
  <c r="P932" i="6" s="1"/>
  <c r="K1140" i="6"/>
  <c r="P1140" i="6" s="1"/>
  <c r="K1364" i="6"/>
  <c r="P1364" i="6" s="1"/>
  <c r="K1596" i="6"/>
  <c r="P1596" i="6" s="1"/>
  <c r="K1852" i="6"/>
  <c r="P1852" i="6" s="1"/>
  <c r="K983" i="6"/>
  <c r="P983" i="6" s="1"/>
  <c r="K1735" i="6"/>
  <c r="P1735" i="6" s="1"/>
  <c r="K1784" i="6"/>
  <c r="P1784" i="6" s="1"/>
  <c r="K1070" i="6"/>
  <c r="P1070" i="6" s="1"/>
  <c r="K1071" i="6"/>
  <c r="P1071" i="6" s="1"/>
  <c r="K1634" i="6"/>
  <c r="P1634" i="6" s="1"/>
  <c r="K512" i="6"/>
  <c r="P512" i="6" s="1"/>
  <c r="K186" i="6"/>
  <c r="P186" i="6" s="1"/>
  <c r="K354" i="6"/>
  <c r="P354" i="6" s="1"/>
  <c r="K546" i="6"/>
  <c r="P546" i="6" s="1"/>
  <c r="K722" i="6"/>
  <c r="P722" i="6" s="1"/>
  <c r="K906" i="6"/>
  <c r="P906" i="6" s="1"/>
  <c r="K1106" i="6"/>
  <c r="P1106" i="6" s="1"/>
  <c r="K1282" i="6"/>
  <c r="P1282" i="6" s="1"/>
  <c r="K1498" i="6"/>
  <c r="P1498" i="6" s="1"/>
  <c r="K1730" i="6"/>
  <c r="P1730" i="6" s="1"/>
  <c r="K1922" i="6"/>
  <c r="P1922" i="6" s="1"/>
  <c r="K1367" i="6"/>
  <c r="P1367" i="6" s="1"/>
  <c r="K952" i="6"/>
  <c r="P952" i="6" s="1"/>
  <c r="K212" i="6"/>
  <c r="P212" i="6" s="1"/>
  <c r="K372" i="6"/>
  <c r="P372" i="6" s="1"/>
  <c r="K604" i="6"/>
  <c r="P604" i="6" s="1"/>
  <c r="K804" i="6"/>
  <c r="P804" i="6" s="1"/>
  <c r="K1004" i="6"/>
  <c r="P1004" i="6" s="1"/>
  <c r="K1236" i="6"/>
  <c r="P1236" i="6" s="1"/>
  <c r="K1484" i="6"/>
  <c r="P1484" i="6" s="1"/>
  <c r="K1692" i="6"/>
  <c r="P1692" i="6" s="1"/>
  <c r="K1964" i="6"/>
  <c r="P1964" i="6" s="1"/>
  <c r="K1287" i="6"/>
  <c r="P1287" i="6" s="1"/>
  <c r="K1431" i="6"/>
  <c r="P1431" i="6" s="1"/>
  <c r="K2015" i="6"/>
  <c r="P2015" i="6" s="1"/>
  <c r="K745" i="6"/>
  <c r="P745" i="6" s="1"/>
  <c r="K928" i="6"/>
  <c r="P928" i="6" s="1"/>
  <c r="K1296" i="6"/>
  <c r="P1296" i="6" s="1"/>
  <c r="K1628" i="6"/>
  <c r="P1628" i="6" s="1"/>
  <c r="K55" i="6"/>
  <c r="P55" i="6" s="1"/>
  <c r="K391" i="6"/>
  <c r="P391" i="6" s="1"/>
  <c r="K160" i="6"/>
  <c r="P160" i="6" s="1"/>
  <c r="K416" i="6"/>
  <c r="P416" i="6" s="1"/>
  <c r="K122" i="6"/>
  <c r="P122" i="6" s="1"/>
  <c r="K322" i="6"/>
  <c r="P322" i="6" s="1"/>
  <c r="K514" i="6"/>
  <c r="P514" i="6" s="1"/>
  <c r="K690" i="6"/>
  <c r="P690" i="6" s="1"/>
  <c r="K834" i="6"/>
  <c r="P834" i="6" s="1"/>
  <c r="K1010" i="6"/>
  <c r="P1010" i="6" s="1"/>
  <c r="K1386" i="6"/>
  <c r="P1386" i="6" s="1"/>
  <c r="K1594" i="6"/>
  <c r="P1594" i="6" s="1"/>
  <c r="K1439" i="6"/>
  <c r="P1439" i="6" s="1"/>
  <c r="K1983" i="6"/>
  <c r="P1983" i="6" s="1"/>
  <c r="K1224" i="6"/>
  <c r="P1224" i="6" s="1"/>
  <c r="K1520" i="6"/>
  <c r="P1520" i="6" s="1"/>
  <c r="K276" i="6"/>
  <c r="P276" i="6" s="1"/>
  <c r="K476" i="6"/>
  <c r="P476" i="6" s="1"/>
  <c r="K708" i="6"/>
  <c r="P708" i="6" s="1"/>
  <c r="K868" i="6"/>
  <c r="P868" i="6" s="1"/>
  <c r="K1068" i="6"/>
  <c r="P1068" i="6" s="1"/>
  <c r="K1532" i="6"/>
  <c r="P1532" i="6" s="1"/>
  <c r="K599" i="6"/>
  <c r="P599" i="6" s="1"/>
  <c r="K1375" i="6"/>
  <c r="P1375" i="6" s="1"/>
  <c r="K936" i="6"/>
  <c r="P936" i="6" s="1"/>
  <c r="K1888" i="6"/>
  <c r="P1888" i="6" s="1"/>
  <c r="K1559" i="6"/>
  <c r="P1559" i="6" s="1"/>
  <c r="K1624" i="6"/>
  <c r="P1624" i="6" s="1"/>
  <c r="K542" i="6"/>
  <c r="P542" i="6" s="1"/>
  <c r="K1855" i="6"/>
  <c r="P1855" i="6" s="1"/>
  <c r="K1264" i="6"/>
  <c r="P1264" i="6" s="1"/>
  <c r="K1664" i="6"/>
  <c r="P1664" i="6" s="1"/>
  <c r="H589" i="6"/>
  <c r="K327" i="6"/>
  <c r="P327" i="6" s="1"/>
  <c r="K50" i="6"/>
  <c r="P50" i="6" s="1"/>
  <c r="K258" i="6"/>
  <c r="P258" i="6" s="1"/>
  <c r="K450" i="6"/>
  <c r="P450" i="6" s="1"/>
  <c r="K626" i="6"/>
  <c r="P626" i="6" s="1"/>
  <c r="K762" i="6"/>
  <c r="P762" i="6" s="1"/>
  <c r="K1138" i="6"/>
  <c r="P1138" i="6" s="1"/>
  <c r="K1314" i="6"/>
  <c r="P1314" i="6" s="1"/>
  <c r="K1554" i="6"/>
  <c r="K1778" i="6"/>
  <c r="P1778" i="6" s="1"/>
  <c r="K975" i="6"/>
  <c r="P975" i="6" s="1"/>
  <c r="K508" i="6"/>
  <c r="P508" i="6" s="1"/>
  <c r="K668" i="6"/>
  <c r="P668" i="6" s="1"/>
  <c r="K900" i="6"/>
  <c r="P900" i="6" s="1"/>
  <c r="K1100" i="6"/>
  <c r="P1100" i="6" s="1"/>
  <c r="K1324" i="6"/>
  <c r="P1324" i="6" s="1"/>
  <c r="K1564" i="6"/>
  <c r="P1564" i="6" s="1"/>
  <c r="K1764" i="6"/>
  <c r="P1764" i="6" s="1"/>
  <c r="K871" i="6"/>
  <c r="P871" i="6" s="1"/>
  <c r="K1519" i="6"/>
  <c r="P1519" i="6" s="1"/>
  <c r="K1288" i="6"/>
  <c r="P1288" i="6" s="1"/>
  <c r="K695" i="6"/>
  <c r="P695" i="6" s="1"/>
  <c r="K574" i="6"/>
  <c r="P574" i="6" s="1"/>
  <c r="K1175" i="6"/>
  <c r="P1175" i="6" s="1"/>
  <c r="K1951" i="6"/>
  <c r="P1951" i="6" s="1"/>
  <c r="K1732" i="6"/>
  <c r="P1732" i="6" s="1"/>
  <c r="K1268" i="6"/>
  <c r="P1268" i="6" s="1"/>
  <c r="K18" i="6"/>
  <c r="P18" i="6" s="1"/>
  <c r="K226" i="6"/>
  <c r="P226" i="6" s="1"/>
  <c r="K418" i="6"/>
  <c r="P418" i="6" s="1"/>
  <c r="K578" i="6"/>
  <c r="P578" i="6" s="1"/>
  <c r="K1450" i="6"/>
  <c r="P1450" i="6" s="1"/>
  <c r="K1818" i="6"/>
  <c r="P1818" i="6" s="1"/>
  <c r="K791" i="6"/>
  <c r="P791" i="6" s="1"/>
  <c r="K1615" i="6"/>
  <c r="P1615" i="6" s="1"/>
  <c r="K1104" i="6"/>
  <c r="P1104" i="6" s="1"/>
  <c r="K1392" i="6"/>
  <c r="P1392" i="6" s="1"/>
  <c r="K404" i="6"/>
  <c r="P404" i="6" s="1"/>
  <c r="K572" i="6"/>
  <c r="P572" i="6" s="1"/>
  <c r="K772" i="6"/>
  <c r="P772" i="6" s="1"/>
  <c r="K972" i="6"/>
  <c r="P972" i="6" s="1"/>
  <c r="K1172" i="6"/>
  <c r="P1172" i="6" s="1"/>
  <c r="K1452" i="6"/>
  <c r="P1452" i="6" s="1"/>
  <c r="K1660" i="6"/>
  <c r="P1660" i="6" s="1"/>
  <c r="K1908" i="6"/>
  <c r="P1908" i="6" s="1"/>
  <c r="K919" i="6"/>
  <c r="P919" i="6" s="1"/>
  <c r="K856" i="6"/>
  <c r="P856" i="6" s="1"/>
  <c r="K1135" i="6"/>
  <c r="P1135" i="6" s="1"/>
  <c r="K1799" i="6"/>
  <c r="P1799" i="6" s="1"/>
  <c r="K1912" i="6"/>
  <c r="P1912" i="6" s="1"/>
  <c r="K1702" i="6"/>
  <c r="P1702" i="6" s="1"/>
  <c r="K1966" i="6"/>
  <c r="P1966" i="6" s="1"/>
  <c r="H1185" i="6"/>
  <c r="K1384" i="6"/>
  <c r="P1384" i="6" s="1"/>
  <c r="K1820" i="6"/>
  <c r="P1820" i="6" s="1"/>
  <c r="K180" i="6"/>
  <c r="P180" i="6" s="1"/>
  <c r="K255" i="6"/>
  <c r="P255" i="6" s="1"/>
  <c r="K1210" i="6"/>
  <c r="P1210" i="6" s="1"/>
  <c r="H448" i="6"/>
  <c r="H1010" i="6"/>
  <c r="H972" i="6"/>
  <c r="K455" i="6"/>
  <c r="P455" i="6" s="1"/>
  <c r="K256" i="6"/>
  <c r="P256" i="6" s="1"/>
  <c r="K27" i="6"/>
  <c r="P27" i="6" s="1"/>
  <c r="K91" i="6"/>
  <c r="P91" i="6" s="1"/>
  <c r="K227" i="6"/>
  <c r="P227" i="6" s="1"/>
  <c r="K259" i="6"/>
  <c r="P259" i="6" s="1"/>
  <c r="K507" i="6"/>
  <c r="P507" i="6" s="1"/>
  <c r="K197" i="6"/>
  <c r="P197" i="6" s="1"/>
  <c r="K229" i="6"/>
  <c r="P229" i="6" s="1"/>
  <c r="K261" i="6"/>
  <c r="P261" i="6" s="1"/>
  <c r="K25" i="6"/>
  <c r="P25" i="6" s="1"/>
  <c r="K89" i="6"/>
  <c r="P89" i="6" s="1"/>
  <c r="K121" i="6"/>
  <c r="P121" i="6" s="1"/>
  <c r="K185" i="6"/>
  <c r="P185" i="6" s="1"/>
  <c r="K217" i="6"/>
  <c r="P217" i="6" s="1"/>
  <c r="K249" i="6"/>
  <c r="P249" i="6" s="1"/>
  <c r="K321" i="6"/>
  <c r="P321" i="6" s="1"/>
  <c r="K385" i="6"/>
  <c r="P385" i="6" s="1"/>
  <c r="K449" i="6"/>
  <c r="P449" i="6" s="1"/>
  <c r="K553" i="6"/>
  <c r="P553" i="6" s="1"/>
  <c r="K585" i="6"/>
  <c r="P585" i="6" s="1"/>
  <c r="K657" i="6"/>
  <c r="P657" i="6" s="1"/>
  <c r="K689" i="6"/>
  <c r="P689" i="6" s="1"/>
  <c r="K721" i="6"/>
  <c r="P721" i="6" s="1"/>
  <c r="K761" i="6"/>
  <c r="P761" i="6" s="1"/>
  <c r="K793" i="6"/>
  <c r="P793" i="6" s="1"/>
  <c r="K889" i="6"/>
  <c r="P889" i="6" s="1"/>
  <c r="K985" i="6"/>
  <c r="P985" i="6" s="1"/>
  <c r="K1017" i="6"/>
  <c r="P1017" i="6" s="1"/>
  <c r="K1113" i="6"/>
  <c r="P1113" i="6" s="1"/>
  <c r="K1145" i="6"/>
  <c r="P1145" i="6" s="1"/>
  <c r="K1177" i="6"/>
  <c r="P1177" i="6" s="1"/>
  <c r="K1209" i="6"/>
  <c r="P1209" i="6" s="1"/>
  <c r="K1241" i="6"/>
  <c r="P1241" i="6" s="1"/>
  <c r="K1337" i="6"/>
  <c r="P1337" i="6" s="1"/>
  <c r="K1425" i="6"/>
  <c r="P1425" i="6" s="1"/>
  <c r="K1465" i="6"/>
  <c r="P1465" i="6" s="1"/>
  <c r="K1505" i="6"/>
  <c r="P1505" i="6" s="1"/>
  <c r="K1561" i="6"/>
  <c r="P1561" i="6" s="1"/>
  <c r="K1617" i="6"/>
  <c r="P1617" i="6" s="1"/>
  <c r="K1657" i="6"/>
  <c r="P1657" i="6" s="1"/>
  <c r="K1705" i="6"/>
  <c r="P1705" i="6" s="1"/>
  <c r="K1745" i="6"/>
  <c r="P1745" i="6" s="1"/>
  <c r="K1953" i="6"/>
  <c r="P1953" i="6" s="1"/>
  <c r="K1993" i="6"/>
  <c r="P1993" i="6" s="1"/>
  <c r="K816" i="6"/>
  <c r="P816" i="6" s="1"/>
  <c r="K1040" i="6"/>
  <c r="P1040" i="6" s="1"/>
  <c r="K1144" i="6"/>
  <c r="P1144" i="6" s="1"/>
  <c r="K1488" i="6"/>
  <c r="P1488" i="6" s="1"/>
  <c r="K1880" i="6"/>
  <c r="P1880" i="6" s="1"/>
  <c r="K1960" i="6"/>
  <c r="P1960" i="6" s="1"/>
  <c r="K874" i="6"/>
  <c r="P874" i="6" s="1"/>
  <c r="K978" i="6"/>
  <c r="P978" i="6" s="1"/>
  <c r="K1418" i="6"/>
  <c r="P1418" i="6" s="1"/>
  <c r="K547" i="6"/>
  <c r="P547" i="6" s="1"/>
  <c r="K587" i="6"/>
  <c r="P587" i="6" s="1"/>
  <c r="K627" i="6"/>
  <c r="P627" i="6" s="1"/>
  <c r="K659" i="6"/>
  <c r="P659" i="6" s="1"/>
  <c r="K691" i="6"/>
  <c r="P691" i="6" s="1"/>
  <c r="K723" i="6"/>
  <c r="P723" i="6" s="1"/>
  <c r="K787" i="6"/>
  <c r="P787" i="6" s="1"/>
  <c r="K827" i="6"/>
  <c r="P827" i="6" s="1"/>
  <c r="K859" i="6"/>
  <c r="P859" i="6" s="1"/>
  <c r="K931" i="6"/>
  <c r="P931" i="6" s="1"/>
  <c r="K963" i="6"/>
  <c r="P963" i="6" s="1"/>
  <c r="K1003" i="6"/>
  <c r="P1003" i="6" s="1"/>
  <c r="K1067" i="6"/>
  <c r="P1067" i="6" s="1"/>
  <c r="K1099" i="6"/>
  <c r="P1099" i="6" s="1"/>
  <c r="K1139" i="6"/>
  <c r="P1139" i="6" s="1"/>
  <c r="K1171" i="6"/>
  <c r="P1171" i="6" s="1"/>
  <c r="K1219" i="6"/>
  <c r="P1219" i="6" s="1"/>
  <c r="K1259" i="6"/>
  <c r="P1259" i="6" s="1"/>
  <c r="K1307" i="6"/>
  <c r="P1307" i="6" s="1"/>
  <c r="K1339" i="6"/>
  <c r="P1339" i="6" s="1"/>
  <c r="K1371" i="6"/>
  <c r="P1371" i="6" s="1"/>
  <c r="K1443" i="6"/>
  <c r="K1563" i="6"/>
  <c r="P1563" i="6" s="1"/>
  <c r="K1595" i="6"/>
  <c r="P1595" i="6" s="1"/>
  <c r="K1643" i="6"/>
  <c r="P1643" i="6" s="1"/>
  <c r="K1675" i="6"/>
  <c r="P1675" i="6" s="1"/>
  <c r="K1707" i="6"/>
  <c r="P1707" i="6" s="1"/>
  <c r="K1739" i="6"/>
  <c r="P1739" i="6" s="1"/>
  <c r="K1771" i="6"/>
  <c r="P1771" i="6" s="1"/>
  <c r="K1827" i="6"/>
  <c r="P1827" i="6" s="1"/>
  <c r="K1859" i="6"/>
  <c r="P1859" i="6" s="1"/>
  <c r="K1891" i="6"/>
  <c r="P1891" i="6" s="1"/>
  <c r="K1939" i="6"/>
  <c r="P1939" i="6" s="1"/>
  <c r="K1979" i="6"/>
  <c r="P1979" i="6" s="1"/>
  <c r="K2011" i="6"/>
  <c r="P2011" i="6" s="1"/>
  <c r="K2012" i="6"/>
  <c r="P2012" i="6" s="1"/>
  <c r="K719" i="6"/>
  <c r="P719" i="6" s="1"/>
  <c r="K767" i="6"/>
  <c r="P767" i="6" s="1"/>
  <c r="K831" i="6"/>
  <c r="P831" i="6" s="1"/>
  <c r="K1167" i="6"/>
  <c r="P1167" i="6" s="1"/>
  <c r="K1247" i="6"/>
  <c r="P1247" i="6" s="1"/>
  <c r="K1639" i="6"/>
  <c r="P1639" i="6" s="1"/>
  <c r="K1711" i="6"/>
  <c r="P1711" i="6" s="1"/>
  <c r="K1879" i="6"/>
  <c r="P1879" i="6" s="1"/>
  <c r="K976" i="6"/>
  <c r="P976" i="6" s="1"/>
  <c r="K1408" i="6"/>
  <c r="P1408" i="6" s="1"/>
  <c r="K1576" i="6"/>
  <c r="P1576" i="6" s="1"/>
  <c r="K1736" i="6"/>
  <c r="P1736" i="6" s="1"/>
  <c r="K2024" i="6"/>
  <c r="P2024" i="6" s="1"/>
  <c r="K293" i="6"/>
  <c r="P293" i="6" s="1"/>
  <c r="K325" i="6"/>
  <c r="P325" i="6" s="1"/>
  <c r="K357" i="6"/>
  <c r="P357" i="6" s="1"/>
  <c r="K389" i="6"/>
  <c r="P389" i="6" s="1"/>
  <c r="K421" i="6"/>
  <c r="P421" i="6" s="1"/>
  <c r="K453" i="6"/>
  <c r="P453" i="6" s="1"/>
  <c r="K485" i="6"/>
  <c r="P485" i="6" s="1"/>
  <c r="K517" i="6"/>
  <c r="P517" i="6" s="1"/>
  <c r="K549" i="6"/>
  <c r="P549" i="6" s="1"/>
  <c r="K581" i="6"/>
  <c r="P581" i="6" s="1"/>
  <c r="K613" i="6"/>
  <c r="P613" i="6" s="1"/>
  <c r="K645" i="6"/>
  <c r="P645" i="6" s="1"/>
  <c r="K685" i="6"/>
  <c r="P685" i="6" s="1"/>
  <c r="K717" i="6"/>
  <c r="P717" i="6" s="1"/>
  <c r="K749" i="6"/>
  <c r="P749" i="6" s="1"/>
  <c r="K781" i="6"/>
  <c r="P781" i="6" s="1"/>
  <c r="K813" i="6"/>
  <c r="P813" i="6" s="1"/>
  <c r="K853" i="6"/>
  <c r="P853" i="6" s="1"/>
  <c r="K917" i="6"/>
  <c r="P917" i="6" s="1"/>
  <c r="K949" i="6"/>
  <c r="P949" i="6" s="1"/>
  <c r="K981" i="6"/>
  <c r="P981" i="6" s="1"/>
  <c r="K1013" i="6"/>
  <c r="P1013" i="6" s="1"/>
  <c r="K1045" i="6"/>
  <c r="P1045" i="6" s="1"/>
  <c r="K1077" i="6"/>
  <c r="P1077" i="6" s="1"/>
  <c r="K1109" i="6"/>
  <c r="P1109" i="6" s="1"/>
  <c r="K1141" i="6"/>
  <c r="P1141" i="6" s="1"/>
  <c r="K1181" i="6"/>
  <c r="P1181" i="6" s="1"/>
  <c r="K1213" i="6"/>
  <c r="P1213" i="6" s="1"/>
  <c r="K1253" i="6"/>
  <c r="P1253" i="6" s="1"/>
  <c r="K1293" i="6"/>
  <c r="P1293" i="6" s="1"/>
  <c r="K1325" i="6"/>
  <c r="P1325" i="6" s="1"/>
  <c r="K1357" i="6"/>
  <c r="P1357" i="6" s="1"/>
  <c r="K1429" i="6"/>
  <c r="P1429" i="6" s="1"/>
  <c r="K1461" i="6"/>
  <c r="P1461" i="6" s="1"/>
  <c r="K1493" i="6"/>
  <c r="P1493" i="6" s="1"/>
  <c r="K1533" i="6"/>
  <c r="P1533" i="6" s="1"/>
  <c r="K1565" i="6"/>
  <c r="P1565" i="6" s="1"/>
  <c r="K1597" i="6"/>
  <c r="P1597" i="6" s="1"/>
  <c r="K1629" i="6"/>
  <c r="P1629" i="6" s="1"/>
  <c r="K1709" i="6"/>
  <c r="P1709" i="6" s="1"/>
  <c r="K1741" i="6"/>
  <c r="P1741" i="6" s="1"/>
  <c r="K1781" i="6"/>
  <c r="P1781" i="6" s="1"/>
  <c r="K1853" i="6"/>
  <c r="P1853" i="6" s="1"/>
  <c r="K1909" i="6"/>
  <c r="P1909" i="6" s="1"/>
  <c r="K1965" i="6"/>
  <c r="P1965" i="6" s="1"/>
  <c r="K2005" i="6"/>
  <c r="P2005" i="6" s="1"/>
  <c r="K366" i="6"/>
  <c r="P366" i="6" s="1"/>
  <c r="K430" i="6"/>
  <c r="P430" i="6" s="1"/>
  <c r="K462" i="6"/>
  <c r="P462" i="6" s="1"/>
  <c r="K494" i="6"/>
  <c r="P494" i="6" s="1"/>
  <c r="K526" i="6"/>
  <c r="P526" i="6" s="1"/>
  <c r="K566" i="6"/>
  <c r="P566" i="6" s="1"/>
  <c r="K598" i="6"/>
  <c r="P598" i="6" s="1"/>
  <c r="K630" i="6"/>
  <c r="P630" i="6" s="1"/>
  <c r="K662" i="6"/>
  <c r="P662" i="6" s="1"/>
  <c r="K694" i="6"/>
  <c r="P694" i="6" s="1"/>
  <c r="K734" i="6"/>
  <c r="P734" i="6" s="1"/>
  <c r="K766" i="6"/>
  <c r="P766" i="6" s="1"/>
  <c r="K798" i="6"/>
  <c r="P798" i="6" s="1"/>
  <c r="K830" i="6"/>
  <c r="P830" i="6" s="1"/>
  <c r="K862" i="6"/>
  <c r="P862" i="6" s="1"/>
  <c r="K926" i="6"/>
  <c r="P926" i="6" s="1"/>
  <c r="K958" i="6"/>
  <c r="P958" i="6" s="1"/>
  <c r="K998" i="6"/>
  <c r="P998" i="6" s="1"/>
  <c r="K1030" i="6"/>
  <c r="P1030" i="6" s="1"/>
  <c r="K1094" i="6"/>
  <c r="P1094" i="6" s="1"/>
  <c r="K1126" i="6"/>
  <c r="P1126" i="6" s="1"/>
  <c r="K1190" i="6"/>
  <c r="P1190" i="6" s="1"/>
  <c r="K1222" i="6"/>
  <c r="P1222" i="6" s="1"/>
  <c r="K1254" i="6"/>
  <c r="P1254" i="6" s="1"/>
  <c r="K1294" i="6"/>
  <c r="P1294" i="6" s="1"/>
  <c r="K1326" i="6"/>
  <c r="P1326" i="6" s="1"/>
  <c r="K1358" i="6"/>
  <c r="P1358" i="6" s="1"/>
  <c r="K1390" i="6"/>
  <c r="P1390" i="6" s="1"/>
  <c r="K1422" i="6"/>
  <c r="P1422" i="6" s="1"/>
  <c r="K1470" i="6"/>
  <c r="P1470" i="6" s="1"/>
  <c r="K1502" i="6"/>
  <c r="P1502" i="6" s="1"/>
  <c r="K1542" i="6"/>
  <c r="P1542" i="6" s="1"/>
  <c r="K1574" i="6"/>
  <c r="P1574" i="6" s="1"/>
  <c r="K1614" i="6"/>
  <c r="P1614" i="6" s="1"/>
  <c r="K1654" i="6"/>
  <c r="P1654" i="6" s="1"/>
  <c r="K1694" i="6"/>
  <c r="P1694" i="6" s="1"/>
  <c r="K1758" i="6"/>
  <c r="P1758" i="6" s="1"/>
  <c r="K1846" i="6"/>
  <c r="P1846" i="6" s="1"/>
  <c r="K2030" i="6"/>
  <c r="P2030" i="6" s="1"/>
  <c r="K1495" i="6"/>
  <c r="P1495" i="6" s="1"/>
  <c r="K1274" i="6"/>
  <c r="P1274" i="6" s="1"/>
  <c r="K1483" i="6"/>
  <c r="P1483" i="6" s="1"/>
  <c r="K1062" i="6"/>
  <c r="P1062" i="6" s="1"/>
  <c r="K1878" i="6"/>
  <c r="P1878" i="6" s="1"/>
  <c r="K885" i="6"/>
  <c r="K133" i="6"/>
  <c r="P133" i="6" s="1"/>
  <c r="K1389" i="6"/>
  <c r="P1389" i="6" s="1"/>
  <c r="K1958" i="6"/>
  <c r="P1958" i="6" s="1"/>
  <c r="K1158" i="6"/>
  <c r="P1158" i="6" s="1"/>
  <c r="K891" i="6"/>
  <c r="P891" i="6" s="1"/>
  <c r="K1273" i="6"/>
  <c r="P1273" i="6" s="1"/>
  <c r="K1669" i="6"/>
  <c r="P1669" i="6" s="1"/>
  <c r="K69" i="6"/>
  <c r="P69" i="6" s="1"/>
  <c r="K59" i="6"/>
  <c r="P59" i="6" s="1"/>
  <c r="K475" i="6"/>
  <c r="P475" i="6" s="1"/>
  <c r="K417" i="6"/>
  <c r="P417" i="6" s="1"/>
  <c r="K123" i="6"/>
  <c r="P123" i="6" s="1"/>
  <c r="K921" i="6"/>
  <c r="P921" i="6" s="1"/>
  <c r="K1305" i="6"/>
  <c r="P1305" i="6" s="1"/>
  <c r="K353" i="6"/>
  <c r="P353" i="6" s="1"/>
  <c r="K521" i="6"/>
  <c r="P521" i="6" s="1"/>
  <c r="K355" i="6"/>
  <c r="P355" i="6" s="1"/>
  <c r="K153" i="6"/>
  <c r="P153" i="6" s="1"/>
  <c r="K443" i="6"/>
  <c r="P443" i="6" s="1"/>
  <c r="K755" i="6"/>
  <c r="P755" i="6" s="1"/>
  <c r="K625" i="6"/>
  <c r="P625" i="6" s="1"/>
  <c r="K195" i="6"/>
  <c r="P195" i="6" s="1"/>
  <c r="K1049" i="6"/>
  <c r="P1049" i="6" s="1"/>
  <c r="K857" i="6"/>
  <c r="P857" i="6" s="1"/>
  <c r="K1035" i="6"/>
  <c r="P1035" i="6" s="1"/>
  <c r="K1385" i="6"/>
  <c r="P1385" i="6" s="1"/>
  <c r="K165" i="6"/>
  <c r="P165" i="6" s="1"/>
  <c r="K37" i="6"/>
  <c r="P37" i="6" s="1"/>
  <c r="K403" i="6"/>
  <c r="P403" i="6" s="1"/>
  <c r="K291" i="6"/>
  <c r="P291" i="6" s="1"/>
  <c r="K281" i="6"/>
  <c r="P281" i="6" s="1"/>
  <c r="K101" i="6"/>
  <c r="P101" i="6" s="1"/>
  <c r="K1785" i="6"/>
  <c r="P1785" i="6" s="1"/>
  <c r="K5" i="6"/>
  <c r="K1600" i="6"/>
  <c r="P1600" i="6" s="1"/>
  <c r="K953" i="6"/>
  <c r="P953" i="6" s="1"/>
  <c r="K2002" i="6"/>
  <c r="P2002" i="6" s="1"/>
  <c r="K481" i="6"/>
  <c r="P481" i="6" s="1"/>
  <c r="K163" i="6"/>
  <c r="P163" i="6" s="1"/>
  <c r="K57" i="6"/>
  <c r="P57" i="6" s="1"/>
  <c r="K825" i="6"/>
  <c r="P825" i="6" s="1"/>
  <c r="K323" i="6"/>
  <c r="P323" i="6" s="1"/>
  <c r="K1857" i="6"/>
  <c r="P1857" i="6" s="1"/>
  <c r="K1897" i="6"/>
  <c r="P1897" i="6" s="1"/>
  <c r="K1081" i="6"/>
  <c r="P1081" i="6" s="1"/>
  <c r="K1411" i="6"/>
  <c r="P1411" i="6" s="1"/>
  <c r="K948" i="6"/>
  <c r="P948" i="6" s="1"/>
  <c r="K345" i="6"/>
  <c r="P345" i="6" s="1"/>
  <c r="K1644" i="6"/>
  <c r="P1644" i="6" s="1"/>
  <c r="K1223" i="6"/>
  <c r="P1223" i="6" s="1"/>
  <c r="K81" i="6"/>
  <c r="P81" i="6" s="1"/>
  <c r="K1680" i="6"/>
  <c r="P1680" i="6" s="1"/>
  <c r="K692" i="6"/>
  <c r="P692" i="6" s="1"/>
  <c r="K138" i="6"/>
  <c r="P138" i="6" s="1"/>
  <c r="K1548" i="6"/>
  <c r="P1548" i="6" s="1"/>
  <c r="K1780" i="6"/>
  <c r="P1780" i="6" s="1"/>
  <c r="K84" i="6"/>
  <c r="P84" i="6" s="1"/>
  <c r="K143" i="6"/>
  <c r="P143" i="6" s="1"/>
  <c r="K375" i="6"/>
  <c r="P375" i="6" s="1"/>
  <c r="K439" i="6"/>
  <c r="P439" i="6" s="1"/>
  <c r="K503" i="6"/>
  <c r="P503" i="6" s="1"/>
  <c r="K528" i="6"/>
  <c r="P528" i="6" s="1"/>
  <c r="K784" i="6"/>
  <c r="P784" i="6" s="1"/>
  <c r="K2026" i="6"/>
  <c r="P2026" i="6" s="1"/>
  <c r="K34" i="6"/>
  <c r="P34" i="6" s="1"/>
  <c r="K66" i="6"/>
  <c r="P66" i="6" s="1"/>
  <c r="K242" i="6"/>
  <c r="P242" i="6" s="1"/>
  <c r="K306" i="6"/>
  <c r="P306" i="6" s="1"/>
  <c r="K402" i="6"/>
  <c r="P402" i="6" s="1"/>
  <c r="K466" i="6"/>
  <c r="P466" i="6" s="1"/>
  <c r="K562" i="6"/>
  <c r="P562" i="6" s="1"/>
  <c r="K642" i="6"/>
  <c r="P642" i="6" s="1"/>
  <c r="K706" i="6"/>
  <c r="P706" i="6" s="1"/>
  <c r="K738" i="6"/>
  <c r="P738" i="6" s="1"/>
  <c r="K778" i="6"/>
  <c r="P778" i="6" s="1"/>
  <c r="K1026" i="6"/>
  <c r="P1026" i="6" s="1"/>
  <c r="K1154" i="6"/>
  <c r="P1154" i="6" s="1"/>
  <c r="K1298" i="6"/>
  <c r="P1298" i="6" s="1"/>
  <c r="K1522" i="6"/>
  <c r="P1522" i="6" s="1"/>
  <c r="K1666" i="6"/>
  <c r="P1666" i="6" s="1"/>
  <c r="K1706" i="6"/>
  <c r="P1706" i="6" s="1"/>
  <c r="K1842" i="6"/>
  <c r="P1842" i="6" s="1"/>
  <c r="K1938" i="6"/>
  <c r="P1938" i="6" s="1"/>
  <c r="K943" i="6"/>
  <c r="P943" i="6" s="1"/>
  <c r="K1015" i="6"/>
  <c r="P1015" i="6" s="1"/>
  <c r="K1919" i="6"/>
  <c r="P1919" i="6" s="1"/>
  <c r="K896" i="6"/>
  <c r="P896" i="6" s="1"/>
  <c r="K1192" i="6"/>
  <c r="P1192" i="6" s="1"/>
  <c r="K164" i="6"/>
  <c r="P164" i="6" s="1"/>
  <c r="K196" i="6"/>
  <c r="P196" i="6" s="1"/>
  <c r="K460" i="6"/>
  <c r="P460" i="6" s="1"/>
  <c r="K524" i="6"/>
  <c r="P524" i="6" s="1"/>
  <c r="K556" i="6"/>
  <c r="P556" i="6" s="1"/>
  <c r="K620" i="6"/>
  <c r="P620" i="6" s="1"/>
  <c r="K724" i="6"/>
  <c r="P724" i="6" s="1"/>
  <c r="K788" i="6"/>
  <c r="P788" i="6" s="1"/>
  <c r="K820" i="6"/>
  <c r="P820" i="6" s="1"/>
  <c r="K884" i="6"/>
  <c r="P884" i="6" s="1"/>
  <c r="K916" i="6"/>
  <c r="P916" i="6" s="1"/>
  <c r="K1020" i="6"/>
  <c r="P1020" i="6" s="1"/>
  <c r="K1156" i="6"/>
  <c r="P1156" i="6" s="1"/>
  <c r="K1188" i="6"/>
  <c r="P1188" i="6" s="1"/>
  <c r="K1300" i="6"/>
  <c r="P1300" i="6" s="1"/>
  <c r="K1340" i="6"/>
  <c r="P1340" i="6" s="1"/>
  <c r="K1388" i="6"/>
  <c r="P1388" i="6" s="1"/>
  <c r="K1508" i="6"/>
  <c r="P1508" i="6" s="1"/>
  <c r="K1836" i="6"/>
  <c r="P1836" i="6" s="1"/>
  <c r="K1884" i="6"/>
  <c r="K1932" i="6"/>
  <c r="P1932" i="6" s="1"/>
  <c r="K895" i="6"/>
  <c r="P895" i="6" s="1"/>
  <c r="K1031" i="6"/>
  <c r="P1031" i="6" s="1"/>
  <c r="K1343" i="6"/>
  <c r="P1343" i="6" s="1"/>
  <c r="K1887" i="6"/>
  <c r="K824" i="6"/>
  <c r="P824" i="6" s="1"/>
  <c r="K888" i="6"/>
  <c r="K992" i="6"/>
  <c r="P992" i="6" s="1"/>
  <c r="K1320" i="6"/>
  <c r="P1320" i="6" s="1"/>
  <c r="K1440" i="6"/>
  <c r="K718" i="6"/>
  <c r="P718" i="6" s="1"/>
  <c r="K807" i="6"/>
  <c r="P807" i="6" s="1"/>
  <c r="K1095" i="6"/>
  <c r="P1095" i="6" s="1"/>
  <c r="K1503" i="6"/>
  <c r="P1503" i="6" s="1"/>
  <c r="K1815" i="6"/>
  <c r="P1815" i="6" s="1"/>
  <c r="K1976" i="6"/>
  <c r="P1976" i="6" s="1"/>
  <c r="K1214" i="6"/>
  <c r="P1214" i="6" s="1"/>
  <c r="K1382" i="6"/>
  <c r="P1382" i="6" s="1"/>
  <c r="K1606" i="6"/>
  <c r="P1606" i="6" s="1"/>
  <c r="K1678" i="6"/>
  <c r="P1678" i="6" s="1"/>
  <c r="K1870" i="6"/>
  <c r="P1870" i="6" s="1"/>
  <c r="K911" i="6"/>
  <c r="P911" i="6" s="1"/>
  <c r="K1127" i="6"/>
  <c r="P1127" i="6" s="1"/>
  <c r="K2007" i="6"/>
  <c r="P2007" i="6" s="1"/>
  <c r="K1008" i="6"/>
  <c r="P1008" i="6" s="1"/>
  <c r="K588" i="6"/>
  <c r="P588" i="6" s="1"/>
  <c r="K1754" i="6"/>
  <c r="P1754" i="6" s="1"/>
  <c r="K116" i="6"/>
  <c r="P116" i="6" s="1"/>
  <c r="K202" i="6"/>
  <c r="P202" i="6" s="1"/>
  <c r="K639" i="6"/>
  <c r="P639" i="6" s="1"/>
  <c r="K951" i="6"/>
  <c r="P951" i="6" s="1"/>
  <c r="K988" i="6"/>
  <c r="P988" i="6" s="1"/>
  <c r="K1716" i="6"/>
  <c r="P1716" i="6" s="1"/>
  <c r="K1252" i="6"/>
  <c r="P1252" i="6" s="1"/>
  <c r="K1816" i="6"/>
  <c r="P1816" i="6" s="1"/>
  <c r="K1434" i="6"/>
  <c r="P1434" i="6" s="1"/>
  <c r="K1607" i="6"/>
  <c r="P1607" i="6" s="1"/>
  <c r="K1802" i="6"/>
  <c r="P1802" i="6" s="1"/>
  <c r="K823" i="6"/>
  <c r="P823" i="6" s="1"/>
  <c r="K652" i="6"/>
  <c r="P652" i="6" s="1"/>
  <c r="K1024" i="6"/>
  <c r="P1024" i="6" s="1"/>
  <c r="K1200" i="6"/>
  <c r="P1200" i="6" s="1"/>
  <c r="K1415" i="6"/>
  <c r="P1415" i="6" s="1"/>
  <c r="K1748" i="6"/>
  <c r="P1748" i="6" s="1"/>
  <c r="K1980" i="6"/>
  <c r="P1980" i="6" s="1"/>
  <c r="K498" i="6"/>
  <c r="P498" i="6" s="1"/>
  <c r="K607" i="6"/>
  <c r="P607" i="6" s="1"/>
  <c r="K1751" i="6"/>
  <c r="P1751" i="6" s="1"/>
  <c r="K1084" i="6"/>
  <c r="P1084" i="6" s="1"/>
  <c r="K1580" i="6"/>
  <c r="P1580" i="6" s="1"/>
  <c r="K434" i="6"/>
  <c r="P434" i="6" s="1"/>
  <c r="K631" i="6"/>
  <c r="P631" i="6" s="1"/>
  <c r="K818" i="6"/>
  <c r="P818" i="6" s="1"/>
  <c r="K858" i="6"/>
  <c r="P858" i="6" s="1"/>
  <c r="K228" i="6"/>
  <c r="P228" i="6" s="1"/>
  <c r="K756" i="6"/>
  <c r="P756" i="6" s="1"/>
  <c r="K1424" i="6"/>
  <c r="P1424" i="6" s="1"/>
  <c r="K768" i="6"/>
  <c r="P768" i="6" s="1"/>
  <c r="K118" i="6"/>
  <c r="P118" i="6" s="1"/>
  <c r="K384" i="6"/>
  <c r="P384" i="6" s="1"/>
  <c r="K591" i="6"/>
  <c r="P591" i="6" s="1"/>
  <c r="K32" i="6"/>
  <c r="P32" i="6" s="1"/>
  <c r="K192" i="6"/>
  <c r="P192" i="6" s="1"/>
  <c r="K14" i="6"/>
  <c r="K704" i="6"/>
  <c r="P704" i="6" s="1"/>
  <c r="K480" i="6"/>
  <c r="P480" i="6" s="1"/>
  <c r="K159" i="6"/>
  <c r="P159" i="6" s="1"/>
  <c r="K736" i="6"/>
  <c r="P736" i="6" s="1"/>
  <c r="H652" i="6"/>
  <c r="K286" i="6"/>
  <c r="P286" i="6" s="1"/>
  <c r="K624" i="6"/>
  <c r="P624" i="6" s="1"/>
  <c r="H407" i="6"/>
  <c r="K343" i="6"/>
  <c r="P343" i="6" s="1"/>
  <c r="K20" i="6"/>
  <c r="P20" i="6" s="1"/>
  <c r="K501" i="6"/>
  <c r="P501" i="6" s="1"/>
  <c r="K878" i="6"/>
  <c r="P878" i="6" s="1"/>
  <c r="K368" i="6"/>
  <c r="P368" i="6" s="1"/>
  <c r="K1051" i="6"/>
  <c r="P1051" i="6" s="1"/>
  <c r="K846" i="6"/>
  <c r="P846" i="6" s="1"/>
  <c r="K6" i="6"/>
  <c r="K223" i="6"/>
  <c r="P223" i="6" s="1"/>
  <c r="K68" i="6"/>
  <c r="P68" i="6" s="1"/>
  <c r="K576" i="6"/>
  <c r="P576" i="6" s="1"/>
  <c r="K64" i="6"/>
  <c r="P64" i="6" s="1"/>
  <c r="K544" i="6"/>
  <c r="P544" i="6" s="1"/>
  <c r="K320" i="6"/>
  <c r="P320" i="6" s="1"/>
  <c r="K302" i="6"/>
  <c r="P302" i="6" s="1"/>
  <c r="K487" i="6"/>
  <c r="P487" i="6" s="1"/>
  <c r="K96" i="6"/>
  <c r="P96" i="6" s="1"/>
  <c r="K288" i="6"/>
  <c r="P288" i="6" s="1"/>
  <c r="K86" i="6"/>
  <c r="P86" i="6" s="1"/>
  <c r="K100" i="6"/>
  <c r="P100" i="6" s="1"/>
  <c r="K295" i="6"/>
  <c r="P295" i="6" s="1"/>
  <c r="K128" i="6"/>
  <c r="P128" i="6" s="1"/>
  <c r="K132" i="6"/>
  <c r="P132" i="6" s="1"/>
  <c r="K352" i="6"/>
  <c r="P352" i="6" s="1"/>
  <c r="K448" i="6"/>
  <c r="P448" i="6" s="1"/>
  <c r="K559" i="6"/>
  <c r="P559" i="6" s="1"/>
  <c r="K334" i="6"/>
  <c r="P334" i="6" s="1"/>
  <c r="K423" i="6"/>
  <c r="P423" i="6" s="1"/>
  <c r="K640" i="6"/>
  <c r="P640" i="6" s="1"/>
  <c r="K1459" i="6"/>
  <c r="P1459" i="6" s="1"/>
  <c r="K672" i="6"/>
  <c r="P672" i="6" s="1"/>
  <c r="K359" i="6"/>
  <c r="P359" i="6" s="1"/>
  <c r="K527" i="6"/>
  <c r="P527" i="6" s="1"/>
  <c r="K19" i="6"/>
  <c r="P19" i="6" s="1"/>
  <c r="K83" i="6"/>
  <c r="P83" i="6" s="1"/>
  <c r="K147" i="6"/>
  <c r="P147" i="6" s="1"/>
  <c r="K187" i="6"/>
  <c r="P187" i="6" s="1"/>
  <c r="K219" i="6"/>
  <c r="K251" i="6"/>
  <c r="P251" i="6" s="1"/>
  <c r="K283" i="6"/>
  <c r="P283" i="6" s="1"/>
  <c r="K315" i="6"/>
  <c r="P315" i="6" s="1"/>
  <c r="K395" i="6"/>
  <c r="P395" i="6" s="1"/>
  <c r="K467" i="6"/>
  <c r="P467" i="6" s="1"/>
  <c r="K499" i="6"/>
  <c r="P499" i="6" s="1"/>
  <c r="K29" i="6"/>
  <c r="P29" i="6" s="1"/>
  <c r="K61" i="6"/>
  <c r="P61" i="6" s="1"/>
  <c r="K93" i="6"/>
  <c r="P93" i="6" s="1"/>
  <c r="K189" i="6"/>
  <c r="P189" i="6" s="1"/>
  <c r="K221" i="6"/>
  <c r="P221" i="6" s="1"/>
  <c r="K253" i="6"/>
  <c r="P253" i="6" s="1"/>
  <c r="K285" i="6"/>
  <c r="P285" i="6" s="1"/>
  <c r="K17" i="6"/>
  <c r="P17" i="6" s="1"/>
  <c r="K49" i="6"/>
  <c r="P49" i="6" s="1"/>
  <c r="K113" i="6"/>
  <c r="P113" i="6" s="1"/>
  <c r="K145" i="6"/>
  <c r="P145" i="6" s="1"/>
  <c r="K177" i="6"/>
  <c r="P177" i="6" s="1"/>
  <c r="K209" i="6"/>
  <c r="P209" i="6" s="1"/>
  <c r="K241" i="6"/>
  <c r="P241" i="6" s="1"/>
  <c r="K313" i="6"/>
  <c r="P313" i="6" s="1"/>
  <c r="K441" i="6"/>
  <c r="K473" i="6"/>
  <c r="P473" i="6" s="1"/>
  <c r="K513" i="6"/>
  <c r="P513" i="6" s="1"/>
  <c r="K545" i="6"/>
  <c r="P545" i="6" s="1"/>
  <c r="K577" i="6"/>
  <c r="P577" i="6" s="1"/>
  <c r="K785" i="6"/>
  <c r="P785" i="6" s="1"/>
  <c r="K817" i="6"/>
  <c r="P817" i="6" s="1"/>
  <c r="K849" i="6"/>
  <c r="P849" i="6" s="1"/>
  <c r="K881" i="6"/>
  <c r="P881" i="6" s="1"/>
  <c r="K913" i="6"/>
  <c r="P913" i="6" s="1"/>
  <c r="K945" i="6"/>
  <c r="P945" i="6" s="1"/>
  <c r="K977" i="6"/>
  <c r="P977" i="6" s="1"/>
  <c r="K1009" i="6"/>
  <c r="P1009" i="6" s="1"/>
  <c r="K1041" i="6"/>
  <c r="P1041" i="6" s="1"/>
  <c r="K1073" i="6"/>
  <c r="P1073" i="6" s="1"/>
  <c r="K1105" i="6"/>
  <c r="P1105" i="6" s="1"/>
  <c r="K1137" i="6"/>
  <c r="P1137" i="6" s="1"/>
  <c r="K1233" i="6"/>
  <c r="P1233" i="6" s="1"/>
  <c r="K1265" i="6"/>
  <c r="P1265" i="6" s="1"/>
  <c r="K1297" i="6"/>
  <c r="P1297" i="6" s="1"/>
  <c r="K1329" i="6"/>
  <c r="K1409" i="6"/>
  <c r="P1409" i="6" s="1"/>
  <c r="K1601" i="6"/>
  <c r="P1601" i="6" s="1"/>
  <c r="K1649" i="6"/>
  <c r="P1649" i="6" s="1"/>
  <c r="K1729" i="6"/>
  <c r="P1729" i="6" s="1"/>
  <c r="K1889" i="6"/>
  <c r="P1889" i="6" s="1"/>
  <c r="K2025" i="6"/>
  <c r="P2025" i="6" s="1"/>
  <c r="K1000" i="6"/>
  <c r="P1000" i="6" s="1"/>
  <c r="K1128" i="6"/>
  <c r="P1128" i="6" s="1"/>
  <c r="K1584" i="6"/>
  <c r="P1584" i="6" s="1"/>
  <c r="K178" i="6"/>
  <c r="P178" i="6" s="1"/>
  <c r="K1423" i="6"/>
  <c r="P1423" i="6" s="1"/>
  <c r="K531" i="6"/>
  <c r="P531" i="6" s="1"/>
  <c r="K611" i="6"/>
  <c r="P611" i="6" s="1"/>
  <c r="K715" i="6"/>
  <c r="P715" i="6" s="1"/>
  <c r="K747" i="6"/>
  <c r="P747" i="6" s="1"/>
  <c r="K779" i="6"/>
  <c r="P779" i="6" s="1"/>
  <c r="K811" i="6"/>
  <c r="P811" i="6" s="1"/>
  <c r="K851" i="6"/>
  <c r="P851" i="6" s="1"/>
  <c r="K883" i="6"/>
  <c r="P883" i="6" s="1"/>
  <c r="K995" i="6"/>
  <c r="P995" i="6" s="1"/>
  <c r="K1027" i="6"/>
  <c r="P1027" i="6" s="1"/>
  <c r="K1059" i="6"/>
  <c r="P1059" i="6" s="1"/>
  <c r="K1091" i="6"/>
  <c r="P1091" i="6" s="1"/>
  <c r="K1123" i="6"/>
  <c r="P1123" i="6" s="1"/>
  <c r="K1163" i="6"/>
  <c r="P1163" i="6" s="1"/>
  <c r="K1211" i="6"/>
  <c r="P1211" i="6" s="1"/>
  <c r="K1331" i="6"/>
  <c r="P1331" i="6" s="1"/>
  <c r="K1363" i="6"/>
  <c r="P1363" i="6" s="1"/>
  <c r="K1403" i="6"/>
  <c r="P1403" i="6" s="1"/>
  <c r="K1523" i="6"/>
  <c r="P1523" i="6" s="1"/>
  <c r="K1555" i="6"/>
  <c r="P1555" i="6" s="1"/>
  <c r="K1931" i="6"/>
  <c r="P1931" i="6" s="1"/>
  <c r="K1971" i="6"/>
  <c r="P1971" i="6" s="1"/>
  <c r="K2003" i="6"/>
  <c r="P2003" i="6" s="1"/>
  <c r="K1996" i="6"/>
  <c r="P1996" i="6" s="1"/>
  <c r="K647" i="6"/>
  <c r="P647" i="6" s="1"/>
  <c r="K1143" i="6"/>
  <c r="P1143" i="6" s="1"/>
  <c r="K1575" i="6"/>
  <c r="P1575" i="6" s="1"/>
  <c r="K1703" i="6"/>
  <c r="P1703" i="6" s="1"/>
  <c r="K912" i="6"/>
  <c r="P912" i="6" s="1"/>
  <c r="K1552" i="6"/>
  <c r="P1552" i="6" s="1"/>
  <c r="K1712" i="6"/>
  <c r="P1712" i="6" s="1"/>
  <c r="K1992" i="6"/>
  <c r="P1992" i="6" s="1"/>
  <c r="K1762" i="6"/>
  <c r="P1762" i="6" s="1"/>
  <c r="K349" i="6"/>
  <c r="P349" i="6" s="1"/>
  <c r="K381" i="6"/>
  <c r="P381" i="6" s="1"/>
  <c r="K413" i="6"/>
  <c r="P413" i="6" s="1"/>
  <c r="K573" i="6"/>
  <c r="P573" i="6" s="1"/>
  <c r="K605" i="6"/>
  <c r="P605" i="6" s="1"/>
  <c r="K637" i="6"/>
  <c r="P637" i="6" s="1"/>
  <c r="K677" i="6"/>
  <c r="P677" i="6" s="1"/>
  <c r="K741" i="6"/>
  <c r="P741" i="6" s="1"/>
  <c r="K773" i="6"/>
  <c r="P773" i="6" s="1"/>
  <c r="K805" i="6"/>
  <c r="P805" i="6" s="1"/>
  <c r="K1069" i="6"/>
  <c r="P1069" i="6" s="1"/>
  <c r="K1173" i="6"/>
  <c r="P1173" i="6" s="1"/>
  <c r="K1205" i="6"/>
  <c r="P1205" i="6" s="1"/>
  <c r="K1245" i="6"/>
  <c r="P1245" i="6" s="1"/>
  <c r="K1349" i="6"/>
  <c r="P1349" i="6" s="1"/>
  <c r="K1421" i="6"/>
  <c r="P1421" i="6" s="1"/>
  <c r="K1453" i="6"/>
  <c r="P1453" i="6" s="1"/>
  <c r="K1589" i="6"/>
  <c r="P1589" i="6" s="1"/>
  <c r="K1621" i="6"/>
  <c r="P1621" i="6" s="1"/>
  <c r="K1653" i="6"/>
  <c r="P1653" i="6" s="1"/>
  <c r="K1733" i="6"/>
  <c r="P1733" i="6" s="1"/>
  <c r="K1765" i="6"/>
  <c r="P1765" i="6" s="1"/>
  <c r="K390" i="6"/>
  <c r="P390" i="6" s="1"/>
  <c r="K422" i="6"/>
  <c r="P422" i="6" s="1"/>
  <c r="K454" i="6"/>
  <c r="P454" i="6" s="1"/>
  <c r="K518" i="6"/>
  <c r="P518" i="6" s="1"/>
  <c r="K558" i="6"/>
  <c r="P558" i="6" s="1"/>
  <c r="K590" i="6"/>
  <c r="P590" i="6" s="1"/>
  <c r="K622" i="6"/>
  <c r="P622" i="6" s="1"/>
  <c r="K654" i="6"/>
  <c r="P654" i="6" s="1"/>
  <c r="K686" i="6"/>
  <c r="P686" i="6" s="1"/>
  <c r="K726" i="6"/>
  <c r="P726" i="6" s="1"/>
  <c r="K790" i="6"/>
  <c r="P790" i="6" s="1"/>
  <c r="K822" i="6"/>
  <c r="P822" i="6" s="1"/>
  <c r="K886" i="6"/>
  <c r="P886" i="6" s="1"/>
  <c r="K918" i="6"/>
  <c r="P918" i="6" s="1"/>
  <c r="K1022" i="6"/>
  <c r="P1022" i="6" s="1"/>
  <c r="K1150" i="6"/>
  <c r="P1150" i="6" s="1"/>
  <c r="K1182" i="6"/>
  <c r="P1182" i="6" s="1"/>
  <c r="K1318" i="6"/>
  <c r="P1318" i="6" s="1"/>
  <c r="K1350" i="6"/>
  <c r="P1350" i="6" s="1"/>
  <c r="K1414" i="6"/>
  <c r="P1414" i="6" s="1"/>
  <c r="K1494" i="6"/>
  <c r="P1494" i="6" s="1"/>
  <c r="K1534" i="6"/>
  <c r="P1534" i="6" s="1"/>
  <c r="K1566" i="6"/>
  <c r="P1566" i="6" s="1"/>
  <c r="K1646" i="6"/>
  <c r="P1646" i="6" s="1"/>
  <c r="K1718" i="6"/>
  <c r="P1718" i="6" s="1"/>
  <c r="K1838" i="6"/>
  <c r="P1838" i="6" s="1"/>
  <c r="K1942" i="6"/>
  <c r="P1942" i="6" s="1"/>
  <c r="K1982" i="6"/>
  <c r="P1982" i="6" s="1"/>
  <c r="K2022" i="6"/>
  <c r="P2022" i="6" s="1"/>
  <c r="K681" i="6"/>
  <c r="P681" i="6" s="1"/>
  <c r="K435" i="6"/>
  <c r="P435" i="6" s="1"/>
  <c r="K1841" i="6"/>
  <c r="P1841" i="6" s="1"/>
  <c r="K1667" i="6"/>
  <c r="P1667" i="6" s="1"/>
  <c r="K1251" i="6"/>
  <c r="P1251" i="6" s="1"/>
  <c r="K799" i="6"/>
  <c r="P799" i="6" s="1"/>
  <c r="K759" i="6"/>
  <c r="P759" i="6" s="1"/>
  <c r="K1475" i="6"/>
  <c r="P1475" i="6" s="1"/>
  <c r="K713" i="6"/>
  <c r="P713" i="6" s="1"/>
  <c r="K845" i="6"/>
  <c r="P845" i="6" s="1"/>
  <c r="K157" i="6"/>
  <c r="P157" i="6" s="1"/>
  <c r="K955" i="6"/>
  <c r="P955" i="6" s="1"/>
  <c r="K477" i="6"/>
  <c r="P477" i="6" s="1"/>
  <c r="K579" i="6"/>
  <c r="P579" i="6" s="1"/>
  <c r="K1416" i="6"/>
  <c r="P1416" i="6" s="1"/>
  <c r="K1037" i="6"/>
  <c r="P1037" i="6" s="1"/>
  <c r="K509" i="6"/>
  <c r="P509" i="6" s="1"/>
  <c r="K649" i="6"/>
  <c r="P649" i="6" s="1"/>
  <c r="K1130" i="6"/>
  <c r="P1130" i="6" s="1"/>
  <c r="K1777" i="6"/>
  <c r="P1777" i="6" s="1"/>
  <c r="K923" i="6"/>
  <c r="P923" i="6" s="1"/>
  <c r="K1344" i="6"/>
  <c r="P1344" i="6" s="1"/>
  <c r="K1763" i="6"/>
  <c r="P1763" i="6" s="1"/>
  <c r="K1169" i="6"/>
  <c r="P1169" i="6" s="1"/>
  <c r="K1587" i="6"/>
  <c r="P1587" i="6" s="1"/>
  <c r="K1851" i="6"/>
  <c r="P1851" i="6" s="1"/>
  <c r="K1928" i="6"/>
  <c r="P1928" i="6" s="1"/>
  <c r="K1201" i="6"/>
  <c r="P1201" i="6" s="1"/>
  <c r="K12" i="6"/>
  <c r="K108" i="6"/>
  <c r="K54" i="6"/>
  <c r="P54" i="6" s="1"/>
  <c r="K246" i="6"/>
  <c r="P246" i="6" s="1"/>
  <c r="K31" i="6"/>
  <c r="P31" i="6" s="1"/>
  <c r="K199" i="6"/>
  <c r="P199" i="6" s="1"/>
  <c r="K335" i="6"/>
  <c r="P335" i="6" s="1"/>
  <c r="K463" i="6"/>
  <c r="P463" i="6" s="1"/>
  <c r="K40" i="6"/>
  <c r="P40" i="6" s="1"/>
  <c r="K168" i="6"/>
  <c r="P168" i="6" s="1"/>
  <c r="K296" i="6"/>
  <c r="P296" i="6" s="1"/>
  <c r="K456" i="6"/>
  <c r="P456" i="6" s="1"/>
  <c r="K584" i="6"/>
  <c r="P584" i="6" s="1"/>
  <c r="K680" i="6"/>
  <c r="P680" i="6" s="1"/>
  <c r="K58" i="6"/>
  <c r="P58" i="6" s="1"/>
  <c r="K234" i="6"/>
  <c r="P234" i="6" s="1"/>
  <c r="K362" i="6"/>
  <c r="P362" i="6" s="1"/>
  <c r="K554" i="6"/>
  <c r="P554" i="6" s="1"/>
  <c r="K698" i="6"/>
  <c r="P698" i="6" s="1"/>
  <c r="K842" i="6"/>
  <c r="P842" i="6" s="1"/>
  <c r="K986" i="6"/>
  <c r="P986" i="6" s="1"/>
  <c r="K1146" i="6"/>
  <c r="P1146" i="6" s="1"/>
  <c r="K1290" i="6"/>
  <c r="P1290" i="6" s="1"/>
  <c r="K1426" i="6"/>
  <c r="P1426" i="6" s="1"/>
  <c r="K1658" i="6"/>
  <c r="P1658" i="6" s="1"/>
  <c r="K1834" i="6"/>
  <c r="P1834" i="6" s="1"/>
  <c r="K927" i="6"/>
  <c r="P927" i="6" s="1"/>
  <c r="K1551" i="6"/>
  <c r="K984" i="6"/>
  <c r="P984" i="6" s="1"/>
  <c r="K1312" i="6"/>
  <c r="P1312" i="6" s="1"/>
  <c r="K220" i="6"/>
  <c r="P220" i="6" s="1"/>
  <c r="K316" i="6"/>
  <c r="P316" i="6" s="1"/>
  <c r="K420" i="6"/>
  <c r="P420" i="6" s="1"/>
  <c r="K484" i="6"/>
  <c r="P484" i="6" s="1"/>
  <c r="K548" i="6"/>
  <c r="P548" i="6" s="1"/>
  <c r="K612" i="6"/>
  <c r="P612" i="6" s="1"/>
  <c r="K684" i="6"/>
  <c r="P684" i="6" s="1"/>
  <c r="K748" i="6"/>
  <c r="P748" i="6" s="1"/>
  <c r="K812" i="6"/>
  <c r="P812" i="6" s="1"/>
  <c r="K876" i="6"/>
  <c r="P876" i="6" s="1"/>
  <c r="K940" i="6"/>
  <c r="P940" i="6" s="1"/>
  <c r="K1012" i="6"/>
  <c r="P1012" i="6" s="1"/>
  <c r="K1076" i="6"/>
  <c r="P1076" i="6" s="1"/>
  <c r="K1148" i="6"/>
  <c r="P1148" i="6" s="1"/>
  <c r="K1244" i="6"/>
  <c r="P1244" i="6" s="1"/>
  <c r="K1332" i="6"/>
  <c r="K1428" i="6"/>
  <c r="P1428" i="6" s="1"/>
  <c r="K1500" i="6"/>
  <c r="P1500" i="6" s="1"/>
  <c r="K1572" i="6"/>
  <c r="P1572" i="6" s="1"/>
  <c r="K1668" i="6"/>
  <c r="P1668" i="6" s="1"/>
  <c r="K1740" i="6"/>
  <c r="P1740" i="6" s="1"/>
  <c r="K1828" i="6"/>
  <c r="P1828" i="6" s="1"/>
  <c r="K1916" i="6"/>
  <c r="P1916" i="6" s="1"/>
  <c r="K671" i="6"/>
  <c r="P671" i="6" s="1"/>
  <c r="K935" i="6"/>
  <c r="P935" i="6" s="1"/>
  <c r="K1319" i="6"/>
  <c r="P1319" i="6" s="1"/>
  <c r="K800" i="6"/>
  <c r="P800" i="6" s="1"/>
  <c r="K960" i="6"/>
  <c r="P960" i="6" s="1"/>
  <c r="K1304" i="6"/>
  <c r="P1304" i="6" s="1"/>
  <c r="K2016" i="6"/>
  <c r="P2016" i="6" s="1"/>
  <c r="K1159" i="6"/>
  <c r="P1159" i="6" s="1"/>
  <c r="K1471" i="6"/>
  <c r="P1471" i="6" s="1"/>
  <c r="K1743" i="6"/>
  <c r="P1743" i="6" s="1"/>
  <c r="K1807" i="6"/>
  <c r="P1807" i="6" s="1"/>
  <c r="K1822" i="6"/>
  <c r="P1822" i="6" s="1"/>
  <c r="K727" i="6"/>
  <c r="P727" i="6" s="1"/>
  <c r="K1103" i="6"/>
  <c r="P1103" i="6" s="1"/>
  <c r="K1199" i="6"/>
  <c r="P1199" i="6" s="1"/>
  <c r="K1599" i="6"/>
  <c r="P1599" i="6" s="1"/>
  <c r="K1895" i="6"/>
  <c r="P1895" i="6" s="1"/>
  <c r="K1975" i="6"/>
  <c r="P1975" i="6" s="1"/>
  <c r="K968" i="6"/>
  <c r="P968" i="6" s="1"/>
  <c r="K1360" i="6"/>
  <c r="P1360" i="6" s="1"/>
  <c r="K1704" i="6"/>
  <c r="P1704" i="6" s="1"/>
  <c r="K11" i="6"/>
  <c r="K43" i="6"/>
  <c r="P43" i="6" s="1"/>
  <c r="K75" i="6"/>
  <c r="P75" i="6" s="1"/>
  <c r="K44" i="6"/>
  <c r="P44" i="6" s="1"/>
  <c r="K22" i="6"/>
  <c r="P22" i="6" s="1"/>
  <c r="K198" i="6"/>
  <c r="P198" i="6" s="1"/>
  <c r="K342" i="6"/>
  <c r="P342" i="6" s="1"/>
  <c r="K135" i="6"/>
  <c r="P135" i="6" s="1"/>
  <c r="K303" i="6"/>
  <c r="P303" i="6" s="1"/>
  <c r="K431" i="6"/>
  <c r="P431" i="6" s="1"/>
  <c r="K8" i="6"/>
  <c r="K136" i="6"/>
  <c r="P136" i="6" s="1"/>
  <c r="K264" i="6"/>
  <c r="P264" i="6" s="1"/>
  <c r="K424" i="6"/>
  <c r="P424" i="6" s="1"/>
  <c r="K552" i="6"/>
  <c r="K648" i="6"/>
  <c r="P648" i="6" s="1"/>
  <c r="K744" i="6"/>
  <c r="P744" i="6" s="1"/>
  <c r="K26" i="6"/>
  <c r="P26" i="6" s="1"/>
  <c r="K162" i="6"/>
  <c r="P162" i="6" s="1"/>
  <c r="K330" i="6"/>
  <c r="K458" i="6"/>
  <c r="P458" i="6" s="1"/>
  <c r="K594" i="6"/>
  <c r="P594" i="6" s="1"/>
  <c r="K770" i="6"/>
  <c r="P770" i="6" s="1"/>
  <c r="K914" i="6"/>
  <c r="P914" i="6" s="1"/>
  <c r="K1082" i="6"/>
  <c r="P1082" i="6" s="1"/>
  <c r="K1218" i="6"/>
  <c r="K1362" i="6"/>
  <c r="P1362" i="6" s="1"/>
  <c r="K1562" i="6"/>
  <c r="P1562" i="6" s="1"/>
  <c r="K1746" i="6"/>
  <c r="P1746" i="6" s="1"/>
  <c r="K1970" i="6"/>
  <c r="P1970" i="6" s="1"/>
  <c r="K1207" i="6"/>
  <c r="P1207" i="6" s="1"/>
  <c r="K1383" i="6"/>
  <c r="P1383" i="6" s="1"/>
  <c r="K1783" i="6"/>
  <c r="P1783" i="6" s="1"/>
  <c r="K1232" i="6"/>
  <c r="P1232" i="6" s="1"/>
  <c r="K1642" i="6"/>
  <c r="P1642" i="6" s="1"/>
  <c r="K252" i="6"/>
  <c r="P252" i="6" s="1"/>
  <c r="K348" i="6"/>
  <c r="P348" i="6" s="1"/>
  <c r="K380" i="6"/>
  <c r="P380" i="6" s="1"/>
  <c r="K452" i="6"/>
  <c r="P452" i="6" s="1"/>
  <c r="K516" i="6"/>
  <c r="P516" i="6" s="1"/>
  <c r="K580" i="6"/>
  <c r="P580" i="6" s="1"/>
  <c r="K644" i="6"/>
  <c r="P644" i="6" s="1"/>
  <c r="K716" i="6"/>
  <c r="P716" i="6" s="1"/>
  <c r="K780" i="6"/>
  <c r="P780" i="6" s="1"/>
  <c r="K844" i="6"/>
  <c r="P844" i="6" s="1"/>
  <c r="K908" i="6"/>
  <c r="P908" i="6" s="1"/>
  <c r="K980" i="6"/>
  <c r="P980" i="6" s="1"/>
  <c r="K1044" i="6"/>
  <c r="P1044" i="6" s="1"/>
  <c r="K1108" i="6"/>
  <c r="P1108" i="6" s="1"/>
  <c r="K1180" i="6"/>
  <c r="P1180" i="6" s="1"/>
  <c r="K1212" i="6"/>
  <c r="P1212" i="6" s="1"/>
  <c r="K1292" i="6"/>
  <c r="P1292" i="6" s="1"/>
  <c r="K1380" i="6"/>
  <c r="P1380" i="6" s="1"/>
  <c r="K1460" i="6"/>
  <c r="P1460" i="6" s="1"/>
  <c r="K1540" i="6"/>
  <c r="P1540" i="6" s="1"/>
  <c r="K1604" i="6"/>
  <c r="P1604" i="6" s="1"/>
  <c r="K1636" i="6"/>
  <c r="P1636" i="6" s="1"/>
  <c r="K1708" i="6"/>
  <c r="P1708" i="6" s="1"/>
  <c r="K1772" i="6"/>
  <c r="P1772" i="6" s="1"/>
  <c r="K1876" i="6"/>
  <c r="P1876" i="6" s="1"/>
  <c r="K1972" i="6"/>
  <c r="P1972" i="6" s="1"/>
  <c r="K623" i="6"/>
  <c r="P623" i="6" s="1"/>
  <c r="K887" i="6"/>
  <c r="P887" i="6" s="1"/>
  <c r="K1007" i="6"/>
  <c r="P1007" i="6" s="1"/>
  <c r="K1399" i="6"/>
  <c r="P1399" i="6" s="1"/>
  <c r="K1823" i="6"/>
  <c r="P1823" i="6" s="1"/>
  <c r="K872" i="6"/>
  <c r="P872" i="6" s="1"/>
  <c r="K1208" i="6"/>
  <c r="P1208" i="6" s="1"/>
  <c r="K1400" i="6"/>
  <c r="P1400" i="6" s="1"/>
  <c r="K703" i="6"/>
  <c r="P703" i="6" s="1"/>
  <c r="K1023" i="6"/>
  <c r="P1023" i="6" s="1"/>
  <c r="K1583" i="6"/>
  <c r="P1583" i="6" s="1"/>
  <c r="K1672" i="6"/>
  <c r="P1672" i="6" s="1"/>
  <c r="K1808" i="6"/>
  <c r="P1808" i="6" s="1"/>
  <c r="K1952" i="6"/>
  <c r="P1952" i="6" s="1"/>
  <c r="K1142" i="6"/>
  <c r="P1142" i="6" s="1"/>
  <c r="K1310" i="6"/>
  <c r="P1310" i="6" s="1"/>
  <c r="K1526" i="6"/>
  <c r="P1526" i="6" s="1"/>
  <c r="K126" i="6"/>
  <c r="P126" i="6" s="1"/>
  <c r="K278" i="6"/>
  <c r="P278" i="6" s="1"/>
  <c r="K63" i="6"/>
  <c r="P63" i="6" s="1"/>
  <c r="K231" i="6"/>
  <c r="P231" i="6" s="1"/>
  <c r="K367" i="6"/>
  <c r="P367" i="6" s="1"/>
  <c r="K535" i="6"/>
  <c r="P535" i="6" s="1"/>
  <c r="K72" i="6"/>
  <c r="P72" i="6" s="1"/>
  <c r="K232" i="6"/>
  <c r="P232" i="6" s="1"/>
  <c r="K360" i="6"/>
  <c r="P360" i="6" s="1"/>
  <c r="K488" i="6"/>
  <c r="P488" i="6" s="1"/>
  <c r="K616" i="6"/>
  <c r="P616" i="6" s="1"/>
  <c r="K712" i="6"/>
  <c r="P712" i="6" s="1"/>
  <c r="K776" i="6"/>
  <c r="P776" i="6" s="1"/>
  <c r="K130" i="6"/>
  <c r="P130" i="6" s="1"/>
  <c r="K266" i="6"/>
  <c r="P266" i="6" s="1"/>
  <c r="K394" i="6"/>
  <c r="P394" i="6" s="1"/>
  <c r="K522" i="6"/>
  <c r="P522" i="6" s="1"/>
  <c r="K666" i="6"/>
  <c r="K882" i="6"/>
  <c r="P882" i="6" s="1"/>
  <c r="K1018" i="6"/>
  <c r="P1018" i="6" s="1"/>
  <c r="K1178" i="6"/>
  <c r="P1178" i="6" s="1"/>
  <c r="K1322" i="6"/>
  <c r="P1322" i="6" s="1"/>
  <c r="K1506" i="6"/>
  <c r="P1506" i="6" s="1"/>
  <c r="K1698" i="6"/>
  <c r="P1698" i="6" s="1"/>
  <c r="K1874" i="6"/>
  <c r="P1874" i="6" s="1"/>
  <c r="K999" i="6"/>
  <c r="K1455" i="6"/>
  <c r="P1455" i="6" s="1"/>
  <c r="K1120" i="6"/>
  <c r="P1120" i="6" s="1"/>
  <c r="K188" i="6"/>
  <c r="P188" i="6" s="1"/>
  <c r="K76" i="6"/>
  <c r="P76" i="6" s="1"/>
  <c r="K140" i="6"/>
  <c r="P140" i="6" s="1"/>
  <c r="K94" i="6"/>
  <c r="P94" i="6" s="1"/>
  <c r="K158" i="6"/>
  <c r="P158" i="6" s="1"/>
  <c r="K310" i="6"/>
  <c r="P310" i="6" s="1"/>
  <c r="K95" i="6"/>
  <c r="P95" i="6" s="1"/>
  <c r="K167" i="6"/>
  <c r="P167" i="6" s="1"/>
  <c r="K263" i="6"/>
  <c r="P263" i="6" s="1"/>
  <c r="K399" i="6"/>
  <c r="P399" i="6" s="1"/>
  <c r="K495" i="6"/>
  <c r="P495" i="6" s="1"/>
  <c r="K567" i="6"/>
  <c r="P567" i="6" s="1"/>
  <c r="K104" i="6"/>
  <c r="P104" i="6" s="1"/>
  <c r="K200" i="6"/>
  <c r="P200" i="6" s="1"/>
  <c r="K328" i="6"/>
  <c r="P328" i="6" s="1"/>
  <c r="K392" i="6"/>
  <c r="P392" i="6" s="1"/>
  <c r="K520" i="6"/>
  <c r="P520" i="6" s="1"/>
  <c r="K90" i="6"/>
  <c r="P90" i="6" s="1"/>
  <c r="K194" i="6"/>
  <c r="P194" i="6" s="1"/>
  <c r="K298" i="6"/>
  <c r="P298" i="6" s="1"/>
  <c r="K426" i="6"/>
  <c r="P426" i="6" s="1"/>
  <c r="K490" i="6"/>
  <c r="P490" i="6" s="1"/>
  <c r="K634" i="6"/>
  <c r="P634" i="6" s="1"/>
  <c r="K730" i="6"/>
  <c r="P730" i="6" s="1"/>
  <c r="K802" i="6"/>
  <c r="P802" i="6" s="1"/>
  <c r="K946" i="6"/>
  <c r="P946" i="6" s="1"/>
  <c r="K1050" i="6"/>
  <c r="P1050" i="6" s="1"/>
  <c r="K1114" i="6"/>
  <c r="P1114" i="6" s="1"/>
  <c r="K1250" i="6"/>
  <c r="P1250" i="6" s="1"/>
  <c r="K1394" i="6"/>
  <c r="P1394" i="6" s="1"/>
  <c r="K1458" i="6"/>
  <c r="P1458" i="6" s="1"/>
  <c r="K1602" i="6"/>
  <c r="P1602" i="6" s="1"/>
  <c r="K1794" i="6"/>
  <c r="P1794" i="6" s="1"/>
  <c r="K1930" i="6"/>
  <c r="P1930" i="6" s="1"/>
  <c r="K2018" i="6"/>
  <c r="P2018" i="6" s="1"/>
  <c r="K1311" i="6"/>
  <c r="P1311" i="6" s="1"/>
  <c r="K1631" i="6"/>
  <c r="P1631" i="6" s="1"/>
  <c r="K840" i="6"/>
  <c r="P840" i="6" s="1"/>
  <c r="K1184" i="6"/>
  <c r="P1184" i="6" s="1"/>
  <c r="K1432" i="6"/>
  <c r="P1432" i="6" s="1"/>
  <c r="K1544" i="6"/>
  <c r="P1544" i="6" s="1"/>
  <c r="K284" i="6"/>
  <c r="P284" i="6" s="1"/>
  <c r="K107" i="6"/>
  <c r="P107" i="6" s="1"/>
  <c r="K139" i="6"/>
  <c r="P139" i="6" s="1"/>
  <c r="K179" i="6"/>
  <c r="P179" i="6" s="1"/>
  <c r="K211" i="6"/>
  <c r="P211" i="6" s="1"/>
  <c r="K243" i="6"/>
  <c r="P243" i="6" s="1"/>
  <c r="K275" i="6"/>
  <c r="P275" i="6" s="1"/>
  <c r="K307" i="6"/>
  <c r="P307" i="6" s="1"/>
  <c r="K339" i="6"/>
  <c r="P339" i="6" s="1"/>
  <c r="K387" i="6"/>
  <c r="P387" i="6" s="1"/>
  <c r="K427" i="6"/>
  <c r="P427" i="6" s="1"/>
  <c r="K459" i="6"/>
  <c r="P459" i="6" s="1"/>
  <c r="K491" i="6"/>
  <c r="P491" i="6" s="1"/>
  <c r="K21" i="6"/>
  <c r="P21" i="6" s="1"/>
  <c r="K53" i="6"/>
  <c r="P53" i="6" s="1"/>
  <c r="K85" i="6"/>
  <c r="P85" i="6" s="1"/>
  <c r="K117" i="6"/>
  <c r="P117" i="6" s="1"/>
  <c r="K149" i="6"/>
  <c r="P149" i="6" s="1"/>
  <c r="K181" i="6"/>
  <c r="P181" i="6" s="1"/>
  <c r="K213" i="6"/>
  <c r="P213" i="6" s="1"/>
  <c r="K245" i="6"/>
  <c r="P245" i="6" s="1"/>
  <c r="K277" i="6"/>
  <c r="P277" i="6" s="1"/>
  <c r="K9" i="6"/>
  <c r="K41" i="6"/>
  <c r="P41" i="6" s="1"/>
  <c r="K73" i="6"/>
  <c r="P73" i="6" s="1"/>
  <c r="K105" i="6"/>
  <c r="P105" i="6" s="1"/>
  <c r="K137" i="6"/>
  <c r="P137" i="6" s="1"/>
  <c r="K169" i="6"/>
  <c r="P169" i="6" s="1"/>
  <c r="K233" i="6"/>
  <c r="P233" i="6" s="1"/>
  <c r="K265" i="6"/>
  <c r="P265" i="6" s="1"/>
  <c r="K369" i="6"/>
  <c r="P369" i="6" s="1"/>
  <c r="K433" i="6"/>
  <c r="P433" i="6" s="1"/>
  <c r="K465" i="6"/>
  <c r="P465" i="6" s="1"/>
  <c r="K505" i="6"/>
  <c r="P505" i="6" s="1"/>
  <c r="K537" i="6"/>
  <c r="P537" i="6" s="1"/>
  <c r="K569" i="6"/>
  <c r="P569" i="6" s="1"/>
  <c r="K601" i="6"/>
  <c r="P601" i="6" s="1"/>
  <c r="K641" i="6"/>
  <c r="P641" i="6" s="1"/>
  <c r="K673" i="6"/>
  <c r="P673" i="6" s="1"/>
  <c r="K705" i="6"/>
  <c r="P705" i="6" s="1"/>
  <c r="K737" i="6"/>
  <c r="P737" i="6" s="1"/>
  <c r="K777" i="6"/>
  <c r="K809" i="6"/>
  <c r="P809" i="6" s="1"/>
  <c r="K841" i="6"/>
  <c r="P841" i="6" s="1"/>
  <c r="K873" i="6"/>
  <c r="P873" i="6" s="1"/>
  <c r="K905" i="6"/>
  <c r="P905" i="6" s="1"/>
  <c r="K937" i="6"/>
  <c r="P937" i="6" s="1"/>
  <c r="K1001" i="6"/>
  <c r="P1001" i="6" s="1"/>
  <c r="K1033" i="6"/>
  <c r="P1033" i="6" s="1"/>
  <c r="K1065" i="6"/>
  <c r="P1065" i="6" s="1"/>
  <c r="K1097" i="6"/>
  <c r="P1097" i="6" s="1"/>
  <c r="K1129" i="6"/>
  <c r="P1129" i="6" s="1"/>
  <c r="K1161" i="6"/>
  <c r="P1161" i="6" s="1"/>
  <c r="K1193" i="6"/>
  <c r="P1193" i="6" s="1"/>
  <c r="K1225" i="6"/>
  <c r="P1225" i="6" s="1"/>
  <c r="K1257" i="6"/>
  <c r="P1257" i="6" s="1"/>
  <c r="K1289" i="6"/>
  <c r="P1289" i="6" s="1"/>
  <c r="K1321" i="6"/>
  <c r="P1321" i="6" s="1"/>
  <c r="K1361" i="6"/>
  <c r="P1361" i="6" s="1"/>
  <c r="K1401" i="6"/>
  <c r="P1401" i="6" s="1"/>
  <c r="K1441" i="6"/>
  <c r="P1441" i="6" s="1"/>
  <c r="K1489" i="6"/>
  <c r="P1489" i="6" s="1"/>
  <c r="K1537" i="6"/>
  <c r="P1537" i="6" s="1"/>
  <c r="K1593" i="6"/>
  <c r="P1593" i="6" s="1"/>
  <c r="K1641" i="6"/>
  <c r="P1641" i="6" s="1"/>
  <c r="K1681" i="6"/>
  <c r="P1681" i="6" s="1"/>
  <c r="K1721" i="6"/>
  <c r="P1721" i="6" s="1"/>
  <c r="K1769" i="6"/>
  <c r="P1769" i="6" s="1"/>
  <c r="K1833" i="6"/>
  <c r="P1833" i="6" s="1"/>
  <c r="K1873" i="6"/>
  <c r="P1873" i="6" s="1"/>
  <c r="K1921" i="6"/>
  <c r="P1921" i="6" s="1"/>
  <c r="K1969" i="6"/>
  <c r="P1969" i="6" s="1"/>
  <c r="K944" i="6"/>
  <c r="P944" i="6" s="1"/>
  <c r="K1112" i="6"/>
  <c r="P1112" i="6" s="1"/>
  <c r="K1328" i="6"/>
  <c r="P1328" i="6" s="1"/>
  <c r="K1560" i="6"/>
  <c r="P1560" i="6" s="1"/>
  <c r="K1640" i="6"/>
  <c r="P1640" i="6" s="1"/>
  <c r="K1920" i="6"/>
  <c r="P1920" i="6" s="1"/>
  <c r="K1490" i="6"/>
  <c r="P1490" i="6" s="1"/>
  <c r="K1058" i="6"/>
  <c r="P1058" i="6" s="1"/>
  <c r="K1618" i="6"/>
  <c r="P1618" i="6" s="1"/>
  <c r="K1567" i="6"/>
  <c r="P1567" i="6" s="1"/>
  <c r="K571" i="6"/>
  <c r="P571" i="6" s="1"/>
  <c r="K603" i="6"/>
  <c r="P603" i="6" s="1"/>
  <c r="K643" i="6"/>
  <c r="P643" i="6" s="1"/>
  <c r="K675" i="6"/>
  <c r="P675" i="6" s="1"/>
  <c r="K707" i="6"/>
  <c r="P707" i="6" s="1"/>
  <c r="K739" i="6"/>
  <c r="P739" i="6" s="1"/>
  <c r="K771" i="6"/>
  <c r="P771" i="6" s="1"/>
  <c r="K803" i="6"/>
  <c r="P803" i="6" s="1"/>
  <c r="K843" i="6"/>
  <c r="P843" i="6" s="1"/>
  <c r="K875" i="6"/>
  <c r="P875" i="6" s="1"/>
  <c r="K915" i="6"/>
  <c r="P915" i="6" s="1"/>
  <c r="K947" i="6"/>
  <c r="P947" i="6" s="1"/>
  <c r="K987" i="6"/>
  <c r="P987" i="6" s="1"/>
  <c r="K1019" i="6"/>
  <c r="P1019" i="6" s="1"/>
  <c r="K1083" i="6"/>
  <c r="P1083" i="6" s="1"/>
  <c r="K1115" i="6"/>
  <c r="P1115" i="6" s="1"/>
  <c r="K1187" i="6"/>
  <c r="P1187" i="6" s="1"/>
  <c r="K1243" i="6"/>
  <c r="P1243" i="6" s="1"/>
  <c r="K1323" i="6"/>
  <c r="P1323" i="6" s="1"/>
  <c r="K1387" i="6"/>
  <c r="P1387" i="6" s="1"/>
  <c r="K1427" i="6"/>
  <c r="P1427" i="6" s="1"/>
  <c r="K1467" i="6"/>
  <c r="P1467" i="6" s="1"/>
  <c r="K1507" i="6"/>
  <c r="P1507" i="6" s="1"/>
  <c r="K1547" i="6"/>
  <c r="P1547" i="6" s="1"/>
  <c r="K1579" i="6"/>
  <c r="P1579" i="6" s="1"/>
  <c r="K1611" i="6"/>
  <c r="P1611" i="6" s="1"/>
  <c r="K1659" i="6"/>
  <c r="P1659" i="6" s="1"/>
  <c r="K1691" i="6"/>
  <c r="P1691" i="6" s="1"/>
  <c r="K1723" i="6"/>
  <c r="P1723" i="6" s="1"/>
  <c r="K1755" i="6"/>
  <c r="P1755" i="6" s="1"/>
  <c r="K1795" i="6"/>
  <c r="P1795" i="6" s="1"/>
  <c r="K1843" i="6"/>
  <c r="P1843" i="6" s="1"/>
  <c r="K1875" i="6"/>
  <c r="P1875" i="6" s="1"/>
  <c r="K1915" i="6"/>
  <c r="P1915" i="6" s="1"/>
  <c r="K1955" i="6"/>
  <c r="P1955" i="6" s="1"/>
  <c r="K743" i="6"/>
  <c r="P743" i="6" s="1"/>
  <c r="K783" i="6"/>
  <c r="P783" i="6" s="1"/>
  <c r="K1111" i="6"/>
  <c r="P1111" i="6" s="1"/>
  <c r="K1215" i="6"/>
  <c r="P1215" i="6" s="1"/>
  <c r="K1463" i="6"/>
  <c r="P1463" i="6" s="1"/>
  <c r="K1847" i="6"/>
  <c r="P1847" i="6" s="1"/>
  <c r="K1248" i="6"/>
  <c r="P1248" i="6" s="1"/>
  <c r="K1512" i="6"/>
  <c r="P1512" i="6" s="1"/>
  <c r="K1608" i="6"/>
  <c r="P1608" i="6" s="1"/>
  <c r="K1856" i="6"/>
  <c r="P1856" i="6" s="1"/>
  <c r="K309" i="6"/>
  <c r="P309" i="6" s="1"/>
  <c r="K341" i="6"/>
  <c r="P341" i="6" s="1"/>
  <c r="K373" i="6"/>
  <c r="P373" i="6" s="1"/>
  <c r="K405" i="6"/>
  <c r="P405" i="6" s="1"/>
  <c r="K437" i="6"/>
  <c r="P437" i="6" s="1"/>
  <c r="K469" i="6"/>
  <c r="P469" i="6" s="1"/>
  <c r="K533" i="6"/>
  <c r="P533" i="6" s="1"/>
  <c r="K597" i="6"/>
  <c r="P597" i="6" s="1"/>
  <c r="K629" i="6"/>
  <c r="P629" i="6" s="1"/>
  <c r="K669" i="6"/>
  <c r="P669" i="6" s="1"/>
  <c r="K701" i="6"/>
  <c r="P701" i="6" s="1"/>
  <c r="K733" i="6"/>
  <c r="P733" i="6" s="1"/>
  <c r="K765" i="6"/>
  <c r="P765" i="6" s="1"/>
  <c r="K797" i="6"/>
  <c r="P797" i="6" s="1"/>
  <c r="K869" i="6"/>
  <c r="P869" i="6" s="1"/>
  <c r="K901" i="6"/>
  <c r="P901" i="6" s="1"/>
  <c r="K933" i="6"/>
  <c r="P933" i="6" s="1"/>
  <c r="K965" i="6"/>
  <c r="P965" i="6" s="1"/>
  <c r="K997" i="6"/>
  <c r="P997" i="6" s="1"/>
  <c r="K1029" i="6"/>
  <c r="P1029" i="6" s="1"/>
  <c r="K1061" i="6"/>
  <c r="P1061" i="6" s="1"/>
  <c r="K1093" i="6"/>
  <c r="P1093" i="6" s="1"/>
  <c r="K1125" i="6"/>
  <c r="P1125" i="6" s="1"/>
  <c r="K1165" i="6"/>
  <c r="P1165" i="6" s="1"/>
  <c r="K1197" i="6"/>
  <c r="P1197" i="6" s="1"/>
  <c r="K1237" i="6"/>
  <c r="P1237" i="6" s="1"/>
  <c r="K1269" i="6"/>
  <c r="P1269" i="6" s="1"/>
  <c r="K1309" i="6"/>
  <c r="P1309" i="6" s="1"/>
  <c r="K1341" i="6"/>
  <c r="P1341" i="6" s="1"/>
  <c r="K1373" i="6"/>
  <c r="P1373" i="6" s="1"/>
  <c r="K1413" i="6"/>
  <c r="P1413" i="6" s="1"/>
  <c r="K1445" i="6"/>
  <c r="P1445" i="6" s="1"/>
  <c r="K1477" i="6"/>
  <c r="P1477" i="6" s="1"/>
  <c r="K1509" i="6"/>
  <c r="P1509" i="6" s="1"/>
  <c r="K1549" i="6"/>
  <c r="P1549" i="6" s="1"/>
  <c r="K1581" i="6"/>
  <c r="P1581" i="6" s="1"/>
  <c r="K1613" i="6"/>
  <c r="P1613" i="6" s="1"/>
  <c r="K1645" i="6"/>
  <c r="P1645" i="6" s="1"/>
  <c r="K1693" i="6"/>
  <c r="P1693" i="6" s="1"/>
  <c r="K1725" i="6"/>
  <c r="P1725" i="6" s="1"/>
  <c r="K1757" i="6"/>
  <c r="P1757" i="6" s="1"/>
  <c r="K1797" i="6"/>
  <c r="P1797" i="6" s="1"/>
  <c r="K1885" i="6"/>
  <c r="P1885" i="6" s="1"/>
  <c r="K1933" i="6"/>
  <c r="P1933" i="6" s="1"/>
  <c r="K1981" i="6"/>
  <c r="P1981" i="6" s="1"/>
  <c r="K350" i="6"/>
  <c r="P350" i="6" s="1"/>
  <c r="K382" i="6"/>
  <c r="P382" i="6" s="1"/>
  <c r="K414" i="6"/>
  <c r="P414" i="6" s="1"/>
  <c r="K446" i="6"/>
  <c r="P446" i="6" s="1"/>
  <c r="K478" i="6"/>
  <c r="P478" i="6" s="1"/>
  <c r="K510" i="6"/>
  <c r="P510" i="6" s="1"/>
  <c r="K550" i="6"/>
  <c r="P550" i="6" s="1"/>
  <c r="K582" i="6"/>
  <c r="P582" i="6" s="1"/>
  <c r="K614" i="6"/>
  <c r="P614" i="6" s="1"/>
  <c r="K710" i="6"/>
  <c r="P710" i="6" s="1"/>
  <c r="K750" i="6"/>
  <c r="P750" i="6" s="1"/>
  <c r="K782" i="6"/>
  <c r="P782" i="6" s="1"/>
  <c r="K814" i="6"/>
  <c r="P814" i="6" s="1"/>
  <c r="K910" i="6"/>
  <c r="P910" i="6" s="1"/>
  <c r="K942" i="6"/>
  <c r="P942" i="6" s="1"/>
  <c r="K982" i="6"/>
  <c r="P982" i="6" s="1"/>
  <c r="K1046" i="6"/>
  <c r="P1046" i="6" s="1"/>
  <c r="K1078" i="6"/>
  <c r="P1078" i="6" s="1"/>
  <c r="K1110" i="6"/>
  <c r="K1174" i="6"/>
  <c r="P1174" i="6" s="1"/>
  <c r="K1206" i="6"/>
  <c r="P1206" i="6" s="1"/>
  <c r="K1238" i="6"/>
  <c r="P1238" i="6" s="1"/>
  <c r="K1342" i="6"/>
  <c r="P1342" i="6" s="1"/>
  <c r="K1374" i="6"/>
  <c r="P1374" i="6" s="1"/>
  <c r="K1406" i="6"/>
  <c r="P1406" i="6" s="1"/>
  <c r="K1438" i="6"/>
  <c r="P1438" i="6" s="1"/>
  <c r="K1486" i="6"/>
  <c r="P1486" i="6" s="1"/>
  <c r="K1558" i="6"/>
  <c r="P1558" i="6" s="1"/>
  <c r="K1598" i="6"/>
  <c r="P1598" i="6" s="1"/>
  <c r="K1638" i="6"/>
  <c r="P1638" i="6" s="1"/>
  <c r="K1670" i="6"/>
  <c r="P1670" i="6" s="1"/>
  <c r="K1710" i="6"/>
  <c r="P1710" i="6" s="1"/>
  <c r="K1742" i="6"/>
  <c r="P1742" i="6" s="1"/>
  <c r="K1782" i="6"/>
  <c r="P1782" i="6" s="1"/>
  <c r="K1862" i="6"/>
  <c r="P1862" i="6" s="1"/>
  <c r="K1902" i="6"/>
  <c r="P1902" i="6" s="1"/>
  <c r="K1934" i="6"/>
  <c r="P1934" i="6" s="1"/>
  <c r="K1974" i="6"/>
  <c r="P1974" i="6" s="1"/>
  <c r="K1279" i="6"/>
  <c r="P1279" i="6" s="1"/>
  <c r="K969" i="6"/>
  <c r="P969" i="6" s="1"/>
  <c r="K2017" i="6"/>
  <c r="P2017" i="6" s="1"/>
  <c r="K1995" i="6"/>
  <c r="K678" i="6"/>
  <c r="P678" i="6" s="1"/>
  <c r="K646" i="6"/>
  <c r="P646" i="6" s="1"/>
  <c r="K2006" i="6"/>
  <c r="P2006" i="6" s="1"/>
  <c r="K201" i="6"/>
  <c r="P201" i="6" s="1"/>
  <c r="K837" i="6"/>
  <c r="P837" i="6" s="1"/>
  <c r="K2027" i="6"/>
  <c r="P2027" i="6" s="1"/>
  <c r="K523" i="6"/>
  <c r="P523" i="6" s="1"/>
  <c r="K1695" i="6"/>
  <c r="P1695" i="6" s="1"/>
  <c r="K565" i="6"/>
  <c r="P565" i="6" s="1"/>
  <c r="K1355" i="6"/>
  <c r="P1355" i="6" s="1"/>
  <c r="K401" i="6"/>
  <c r="P401" i="6" s="1"/>
  <c r="K337" i="6"/>
  <c r="P337" i="6" s="1"/>
  <c r="K1014" i="6"/>
  <c r="P1014" i="6" s="1"/>
  <c r="K848" i="6"/>
  <c r="P848" i="6" s="1"/>
  <c r="K305" i="6"/>
  <c r="P305" i="6" s="1"/>
  <c r="K1291" i="6"/>
  <c r="P1291" i="6" s="1"/>
  <c r="K60" i="6"/>
  <c r="P60" i="6" s="1"/>
  <c r="K92" i="6"/>
  <c r="P92" i="6" s="1"/>
  <c r="K124" i="6"/>
  <c r="P124" i="6" s="1"/>
  <c r="K371" i="6"/>
  <c r="P371" i="6" s="1"/>
  <c r="K38" i="6"/>
  <c r="P38" i="6" s="1"/>
  <c r="K78" i="6"/>
  <c r="P78" i="6" s="1"/>
  <c r="K110" i="6"/>
  <c r="P110" i="6" s="1"/>
  <c r="K142" i="6"/>
  <c r="P142" i="6" s="1"/>
  <c r="K174" i="6"/>
  <c r="P174" i="6" s="1"/>
  <c r="K222" i="6"/>
  <c r="K262" i="6"/>
  <c r="P262" i="6" s="1"/>
  <c r="K294" i="6"/>
  <c r="P294" i="6" s="1"/>
  <c r="K326" i="6"/>
  <c r="P326" i="6" s="1"/>
  <c r="K15" i="6"/>
  <c r="K47" i="6"/>
  <c r="P47" i="6" s="1"/>
  <c r="K79" i="6"/>
  <c r="P79" i="6" s="1"/>
  <c r="K111" i="6"/>
  <c r="K183" i="6"/>
  <c r="P183" i="6" s="1"/>
  <c r="K215" i="6"/>
  <c r="P215" i="6" s="1"/>
  <c r="K247" i="6"/>
  <c r="P247" i="6" s="1"/>
  <c r="K279" i="6"/>
  <c r="P279" i="6" s="1"/>
  <c r="K319" i="6"/>
  <c r="P319" i="6" s="1"/>
  <c r="K351" i="6"/>
  <c r="P351" i="6" s="1"/>
  <c r="K383" i="6"/>
  <c r="P383" i="6" s="1"/>
  <c r="K415" i="6"/>
  <c r="P415" i="6" s="1"/>
  <c r="K479" i="6"/>
  <c r="P479" i="6" s="1"/>
  <c r="K551" i="6"/>
  <c r="P551" i="6" s="1"/>
  <c r="K583" i="6"/>
  <c r="P583" i="6" s="1"/>
  <c r="K24" i="6"/>
  <c r="P24" i="6" s="1"/>
  <c r="K56" i="6"/>
  <c r="P56" i="6" s="1"/>
  <c r="K88" i="6"/>
  <c r="P88" i="6" s="1"/>
  <c r="K152" i="6"/>
  <c r="P152" i="6" s="1"/>
  <c r="K184" i="6"/>
  <c r="P184" i="6" s="1"/>
  <c r="K216" i="6"/>
  <c r="P216" i="6" s="1"/>
  <c r="K248" i="6"/>
  <c r="P248" i="6" s="1"/>
  <c r="K280" i="6"/>
  <c r="P280" i="6" s="1"/>
  <c r="K312" i="6"/>
  <c r="P312" i="6" s="1"/>
  <c r="K344" i="6"/>
  <c r="P344" i="6" s="1"/>
  <c r="K408" i="6"/>
  <c r="P408" i="6" s="1"/>
  <c r="K440" i="6"/>
  <c r="P440" i="6" s="1"/>
  <c r="K472" i="6"/>
  <c r="P472" i="6" s="1"/>
  <c r="K504" i="6"/>
  <c r="P504" i="6" s="1"/>
  <c r="K536" i="6"/>
  <c r="P536" i="6" s="1"/>
  <c r="K600" i="6"/>
  <c r="P600" i="6" s="1"/>
  <c r="K632" i="6"/>
  <c r="P632" i="6" s="1"/>
  <c r="K664" i="6"/>
  <c r="P664" i="6" s="1"/>
  <c r="K696" i="6"/>
  <c r="P696" i="6" s="1"/>
  <c r="K760" i="6"/>
  <c r="P760" i="6" s="1"/>
  <c r="K10" i="6"/>
  <c r="K42" i="6"/>
  <c r="P42" i="6" s="1"/>
  <c r="K74" i="6"/>
  <c r="P74" i="6" s="1"/>
  <c r="K114" i="6"/>
  <c r="P114" i="6" s="1"/>
  <c r="K146" i="6"/>
  <c r="P146" i="6" s="1"/>
  <c r="K218" i="6"/>
  <c r="P218" i="6" s="1"/>
  <c r="K250" i="6"/>
  <c r="P250" i="6" s="1"/>
  <c r="K282" i="6"/>
  <c r="P282" i="6" s="1"/>
  <c r="K314" i="6"/>
  <c r="P314" i="6" s="1"/>
  <c r="K346" i="6"/>
  <c r="P346" i="6" s="1"/>
  <c r="K410" i="6"/>
  <c r="P410" i="6" s="1"/>
  <c r="K442" i="6"/>
  <c r="P442" i="6" s="1"/>
  <c r="K474" i="6"/>
  <c r="P474" i="6" s="1"/>
  <c r="K538" i="6"/>
  <c r="P538" i="6" s="1"/>
  <c r="K570" i="6"/>
  <c r="P570" i="6" s="1"/>
  <c r="K610" i="6"/>
  <c r="P610" i="6" s="1"/>
  <c r="K650" i="6"/>
  <c r="P650" i="6" s="1"/>
  <c r="K682" i="6"/>
  <c r="P682" i="6" s="1"/>
  <c r="K714" i="6"/>
  <c r="P714" i="6" s="1"/>
  <c r="K746" i="6"/>
  <c r="P746" i="6" s="1"/>
  <c r="K786" i="6"/>
  <c r="P786" i="6" s="1"/>
  <c r="K826" i="6"/>
  <c r="P826" i="6" s="1"/>
  <c r="K866" i="6"/>
  <c r="P866" i="6" s="1"/>
  <c r="K898" i="6"/>
  <c r="P898" i="6" s="1"/>
  <c r="K930" i="6"/>
  <c r="P930" i="6" s="1"/>
  <c r="K511" i="6"/>
  <c r="P511" i="6" s="1"/>
  <c r="K728" i="6"/>
  <c r="P728" i="6" s="1"/>
  <c r="K376" i="6"/>
  <c r="P376" i="6" s="1"/>
  <c r="K568" i="6"/>
  <c r="P568" i="6" s="1"/>
  <c r="K1366" i="6"/>
  <c r="P1366" i="6" s="1"/>
  <c r="K77" i="6"/>
  <c r="P77" i="6" s="1"/>
  <c r="K269" i="6"/>
  <c r="P269" i="6" s="1"/>
  <c r="K2014" i="6"/>
  <c r="P2014" i="6" s="1"/>
  <c r="K225" i="6"/>
  <c r="P225" i="6" s="1"/>
  <c r="K497" i="6"/>
  <c r="P497" i="6" s="1"/>
  <c r="K729" i="6"/>
  <c r="P729" i="6" s="1"/>
  <c r="K993" i="6"/>
  <c r="P993" i="6" s="1"/>
  <c r="K1217" i="6"/>
  <c r="P1217" i="6" s="1"/>
  <c r="K1393" i="6"/>
  <c r="P1393" i="6" s="1"/>
  <c r="K1753" i="6"/>
  <c r="P1753" i="6" s="1"/>
  <c r="K880" i="6"/>
  <c r="P880" i="6" s="1"/>
  <c r="K1896" i="6"/>
  <c r="P1896" i="6" s="1"/>
  <c r="K667" i="6"/>
  <c r="P667" i="6" s="1"/>
  <c r="K899" i="6"/>
  <c r="P899" i="6" s="1"/>
  <c r="K1147" i="6"/>
  <c r="P1147" i="6" s="1"/>
  <c r="K1451" i="6"/>
  <c r="P1451" i="6" s="1"/>
  <c r="K1683" i="6"/>
  <c r="P1683" i="6" s="1"/>
  <c r="K1947" i="6"/>
  <c r="P1947" i="6" s="1"/>
  <c r="K1191" i="6"/>
  <c r="P1191" i="6" s="1"/>
  <c r="K2023" i="6"/>
  <c r="P2023" i="6" s="1"/>
  <c r="K1848" i="6"/>
  <c r="P1848" i="6" s="1"/>
  <c r="K429" i="6"/>
  <c r="P429" i="6" s="1"/>
  <c r="K589" i="6"/>
  <c r="P589" i="6" s="1"/>
  <c r="K789" i="6"/>
  <c r="P789" i="6" s="1"/>
  <c r="K957" i="6"/>
  <c r="P957" i="6" s="1"/>
  <c r="K1117" i="6"/>
  <c r="P1117" i="6" s="1"/>
  <c r="K1333" i="6"/>
  <c r="P1333" i="6" s="1"/>
  <c r="K1501" i="6"/>
  <c r="P1501" i="6" s="1"/>
  <c r="K1677" i="6"/>
  <c r="P1677" i="6" s="1"/>
  <c r="K1917" i="6"/>
  <c r="P1917" i="6" s="1"/>
  <c r="K374" i="6"/>
  <c r="P374" i="6" s="1"/>
  <c r="K502" i="6"/>
  <c r="P502" i="6" s="1"/>
  <c r="K702" i="6"/>
  <c r="P702" i="6" s="1"/>
  <c r="K870" i="6"/>
  <c r="P870" i="6" s="1"/>
  <c r="K1006" i="6"/>
  <c r="P1006" i="6" s="1"/>
  <c r="K1302" i="6"/>
  <c r="P1302" i="6" s="1"/>
  <c r="K35" i="6"/>
  <c r="P35" i="6" s="1"/>
  <c r="K203" i="6"/>
  <c r="P203" i="6" s="1"/>
  <c r="K379" i="6"/>
  <c r="P379" i="6" s="1"/>
  <c r="K109" i="6"/>
  <c r="P109" i="6" s="1"/>
  <c r="K33" i="6"/>
  <c r="P33" i="6" s="1"/>
  <c r="K257" i="6"/>
  <c r="P257" i="6" s="1"/>
  <c r="K593" i="6"/>
  <c r="P593" i="6" s="1"/>
  <c r="K801" i="6"/>
  <c r="P801" i="6" s="1"/>
  <c r="K961" i="6"/>
  <c r="P961" i="6" s="1"/>
  <c r="K1089" i="6"/>
  <c r="P1089" i="6" s="1"/>
  <c r="K1313" i="6"/>
  <c r="P1313" i="6" s="1"/>
  <c r="K1585" i="6"/>
  <c r="P1585" i="6" s="1"/>
  <c r="K1713" i="6"/>
  <c r="P1713" i="6" s="1"/>
  <c r="K1961" i="6"/>
  <c r="P1961" i="6" s="1"/>
  <c r="K1536" i="6"/>
  <c r="P1536" i="6" s="1"/>
  <c r="K1630" i="6"/>
  <c r="P1630" i="6" s="1"/>
  <c r="K731" i="6"/>
  <c r="P731" i="6" s="1"/>
  <c r="K867" i="6"/>
  <c r="P867" i="6" s="1"/>
  <c r="K1075" i="6"/>
  <c r="P1075" i="6" s="1"/>
  <c r="K1235" i="6"/>
  <c r="P1235" i="6" s="1"/>
  <c r="K1379" i="6"/>
  <c r="P1379" i="6" s="1"/>
  <c r="K1571" i="6"/>
  <c r="P1571" i="6" s="1"/>
  <c r="K1747" i="6"/>
  <c r="P1747" i="6" s="1"/>
  <c r="K1835" i="6"/>
  <c r="P1835" i="6" s="1"/>
  <c r="K1679" i="6"/>
  <c r="P1679" i="6" s="1"/>
  <c r="K1032" i="6"/>
  <c r="P1032" i="6" s="1"/>
  <c r="K365" i="6"/>
  <c r="P365" i="6" s="1"/>
  <c r="K493" i="6"/>
  <c r="P493" i="6" s="1"/>
  <c r="K621" i="6"/>
  <c r="P621" i="6" s="1"/>
  <c r="K757" i="6"/>
  <c r="P757" i="6" s="1"/>
  <c r="K925" i="6"/>
  <c r="P925" i="6" s="1"/>
  <c r="K1021" i="6"/>
  <c r="P1021" i="6" s="1"/>
  <c r="K1149" i="6"/>
  <c r="P1149" i="6" s="1"/>
  <c r="K1301" i="6"/>
  <c r="P1301" i="6" s="1"/>
  <c r="K1437" i="6"/>
  <c r="P1437" i="6" s="1"/>
  <c r="K1541" i="6"/>
  <c r="P1541" i="6" s="1"/>
  <c r="K1717" i="6"/>
  <c r="P1717" i="6" s="1"/>
  <c r="K1789" i="6"/>
  <c r="P1789" i="6" s="1"/>
  <c r="K1973" i="6"/>
  <c r="P1973" i="6" s="1"/>
  <c r="K2029" i="6"/>
  <c r="P2029" i="6" s="1"/>
  <c r="K406" i="6"/>
  <c r="P406" i="6" s="1"/>
  <c r="K670" i="6"/>
  <c r="P670" i="6" s="1"/>
  <c r="K774" i="6"/>
  <c r="K902" i="6"/>
  <c r="P902" i="6" s="1"/>
  <c r="K1038" i="6"/>
  <c r="P1038" i="6" s="1"/>
  <c r="K1102" i="6"/>
  <c r="P1102" i="6" s="1"/>
  <c r="K1262" i="6"/>
  <c r="P1262" i="6" s="1"/>
  <c r="K1430" i="6"/>
  <c r="P1430" i="6" s="1"/>
  <c r="K1734" i="6"/>
  <c r="P1734" i="6" s="1"/>
  <c r="K1766" i="6"/>
  <c r="P1766" i="6" s="1"/>
  <c r="K1814" i="6"/>
  <c r="P1814" i="6" s="1"/>
  <c r="K1854" i="6"/>
  <c r="P1854" i="6" s="1"/>
  <c r="K1886" i="6"/>
  <c r="P1886" i="6" s="1"/>
  <c r="K1926" i="6"/>
  <c r="P1926" i="6" s="1"/>
  <c r="K1998" i="6"/>
  <c r="K99" i="6"/>
  <c r="P99" i="6" s="1"/>
  <c r="K299" i="6"/>
  <c r="P299" i="6" s="1"/>
  <c r="K45" i="6"/>
  <c r="P45" i="6" s="1"/>
  <c r="K205" i="6"/>
  <c r="P205" i="6" s="1"/>
  <c r="K193" i="6"/>
  <c r="P193" i="6" s="1"/>
  <c r="K457" i="6"/>
  <c r="P457" i="6" s="1"/>
  <c r="K697" i="6"/>
  <c r="P697" i="6" s="1"/>
  <c r="K897" i="6"/>
  <c r="P897" i="6" s="1"/>
  <c r="K1121" i="6"/>
  <c r="P1121" i="6" s="1"/>
  <c r="K1353" i="6"/>
  <c r="P1353" i="6" s="1"/>
  <c r="K1665" i="6"/>
  <c r="K2001" i="6"/>
  <c r="P2001" i="6" s="1"/>
  <c r="K1616" i="6"/>
  <c r="P1616" i="6" s="1"/>
  <c r="K699" i="6"/>
  <c r="P699" i="6" s="1"/>
  <c r="K939" i="6"/>
  <c r="P939" i="6" s="1"/>
  <c r="K1179" i="6"/>
  <c r="P1179" i="6" s="1"/>
  <c r="K1419" i="6"/>
  <c r="P1419" i="6" s="1"/>
  <c r="K1651" i="6"/>
  <c r="P1651" i="6" s="1"/>
  <c r="K1899" i="6"/>
  <c r="P1899" i="6" s="1"/>
  <c r="K1047" i="6"/>
  <c r="P1047" i="6" s="1"/>
  <c r="K1592" i="6"/>
  <c r="P1592" i="6" s="1"/>
  <c r="K333" i="6"/>
  <c r="K693" i="6"/>
  <c r="P693" i="6" s="1"/>
  <c r="K861" i="6"/>
  <c r="P861" i="6" s="1"/>
  <c r="K1053" i="6"/>
  <c r="P1053" i="6" s="1"/>
  <c r="K1221" i="6"/>
  <c r="K1397" i="6"/>
  <c r="P1397" i="6" s="1"/>
  <c r="K1573" i="6"/>
  <c r="P1573" i="6" s="1"/>
  <c r="K1749" i="6"/>
  <c r="P1749" i="6" s="1"/>
  <c r="K742" i="6"/>
  <c r="P742" i="6" s="1"/>
  <c r="K1198" i="6"/>
  <c r="P1198" i="6" s="1"/>
  <c r="K1398" i="6"/>
  <c r="P1398" i="6" s="1"/>
  <c r="K1478" i="6"/>
  <c r="P1478" i="6" s="1"/>
  <c r="K1590" i="6"/>
  <c r="P1590" i="6" s="1"/>
  <c r="K735" i="6"/>
  <c r="P735" i="6" s="1"/>
  <c r="K67" i="6"/>
  <c r="P67" i="6" s="1"/>
  <c r="K451" i="6"/>
  <c r="P451" i="6" s="1"/>
  <c r="K97" i="6"/>
  <c r="P97" i="6" s="1"/>
  <c r="K329" i="6"/>
  <c r="P329" i="6" s="1"/>
  <c r="K561" i="6"/>
  <c r="P561" i="6" s="1"/>
  <c r="K833" i="6"/>
  <c r="P833" i="6" s="1"/>
  <c r="K1281" i="6"/>
  <c r="P1281" i="6" s="1"/>
  <c r="K1625" i="6"/>
  <c r="P1625" i="6" s="1"/>
  <c r="K563" i="6"/>
  <c r="P563" i="6" s="1"/>
  <c r="K795" i="6"/>
  <c r="P795" i="6" s="1"/>
  <c r="K1043" i="6"/>
  <c r="P1043" i="6" s="1"/>
  <c r="K1315" i="6"/>
  <c r="P1315" i="6" s="1"/>
  <c r="K1499" i="6"/>
  <c r="P1499" i="6" s="1"/>
  <c r="K1715" i="6"/>
  <c r="P1715" i="6" s="1"/>
  <c r="K1867" i="6"/>
  <c r="P1867" i="6" s="1"/>
  <c r="K775" i="6"/>
  <c r="P775" i="6" s="1"/>
  <c r="K1719" i="6"/>
  <c r="P1719" i="6" s="1"/>
  <c r="K397" i="6"/>
  <c r="P397" i="6" s="1"/>
  <c r="K557" i="6"/>
  <c r="P557" i="6" s="1"/>
  <c r="K725" i="6"/>
  <c r="P725" i="6" s="1"/>
  <c r="K893" i="6"/>
  <c r="P893" i="6" s="1"/>
  <c r="K1085" i="6"/>
  <c r="P1085" i="6" s="1"/>
  <c r="K1261" i="6"/>
  <c r="P1261" i="6" s="1"/>
  <c r="K1637" i="6"/>
  <c r="P1637" i="6" s="1"/>
  <c r="K1877" i="6"/>
  <c r="P1877" i="6" s="1"/>
  <c r="K1774" i="6"/>
  <c r="P1774" i="6" s="1"/>
  <c r="K470" i="6"/>
  <c r="P470" i="6" s="1"/>
  <c r="K638" i="6"/>
  <c r="P638" i="6" s="1"/>
  <c r="K838" i="6"/>
  <c r="P838" i="6" s="1"/>
  <c r="K974" i="6"/>
  <c r="P974" i="6" s="1"/>
  <c r="K1166" i="6"/>
  <c r="P1166" i="6" s="1"/>
  <c r="K1510" i="6"/>
  <c r="P1510" i="6" s="1"/>
  <c r="K1622" i="6"/>
  <c r="P1622" i="6" s="1"/>
  <c r="K235" i="6"/>
  <c r="P235" i="6" s="1"/>
  <c r="K13" i="6"/>
  <c r="K237" i="6"/>
  <c r="P237" i="6" s="1"/>
  <c r="K297" i="6"/>
  <c r="P297" i="6" s="1"/>
  <c r="K529" i="6"/>
  <c r="P529" i="6" s="1"/>
  <c r="K769" i="6"/>
  <c r="P769" i="6" s="1"/>
  <c r="K1025" i="6"/>
  <c r="P1025" i="6" s="1"/>
  <c r="K1249" i="6"/>
  <c r="P1249" i="6" s="1"/>
  <c r="K1521" i="6"/>
  <c r="P1521" i="6" s="1"/>
  <c r="K1809" i="6"/>
  <c r="P1809" i="6" s="1"/>
  <c r="K1080" i="6"/>
  <c r="P1080" i="6" s="1"/>
  <c r="K763" i="6"/>
  <c r="P763" i="6" s="1"/>
  <c r="K1011" i="6"/>
  <c r="P1011" i="6" s="1"/>
  <c r="K1267" i="6"/>
  <c r="P1267" i="6" s="1"/>
  <c r="K1539" i="6"/>
  <c r="P1539" i="6" s="1"/>
  <c r="K1787" i="6"/>
  <c r="P1787" i="6" s="1"/>
  <c r="K1987" i="6"/>
  <c r="P1987" i="6" s="1"/>
  <c r="K1263" i="6"/>
  <c r="P1263" i="6" s="1"/>
  <c r="K1464" i="6"/>
  <c r="P1464" i="6" s="1"/>
  <c r="K301" i="6"/>
  <c r="P301" i="6" s="1"/>
  <c r="K461" i="6"/>
  <c r="P461" i="6" s="1"/>
  <c r="K661" i="6"/>
  <c r="P661" i="6" s="1"/>
  <c r="K989" i="6"/>
  <c r="P989" i="6" s="1"/>
  <c r="K1189" i="6"/>
  <c r="P1189" i="6" s="1"/>
  <c r="K1365" i="6"/>
  <c r="P1365" i="6" s="1"/>
  <c r="K438" i="6"/>
  <c r="P438" i="6" s="1"/>
  <c r="K606" i="6"/>
  <c r="P606" i="6" s="1"/>
  <c r="K806" i="6"/>
  <c r="P806" i="6" s="1"/>
  <c r="K934" i="6"/>
  <c r="P934" i="6" s="1"/>
  <c r="K1134" i="6"/>
  <c r="P1134" i="6" s="1"/>
  <c r="K1334" i="6"/>
  <c r="P1334" i="6" s="1"/>
  <c r="K1550" i="6"/>
  <c r="P1550" i="6" s="1"/>
  <c r="K1662" i="6"/>
  <c r="K525" i="6"/>
  <c r="P525" i="6" s="1"/>
  <c r="K483" i="6"/>
  <c r="P483" i="6" s="1"/>
  <c r="K1605" i="6"/>
  <c r="P1605" i="6" s="1"/>
  <c r="K821" i="6"/>
  <c r="P821" i="6" s="1"/>
  <c r="K1057" i="6"/>
  <c r="P1057" i="6" s="1"/>
  <c r="K171" i="6"/>
  <c r="P171" i="6" s="1"/>
  <c r="K419" i="6"/>
  <c r="P419" i="6" s="1"/>
  <c r="K173" i="6"/>
  <c r="P173" i="6" s="1"/>
  <c r="K129" i="6"/>
  <c r="P129" i="6" s="1"/>
  <c r="K361" i="6"/>
  <c r="P361" i="6" s="1"/>
  <c r="K633" i="6"/>
  <c r="P633" i="6" s="1"/>
  <c r="K865" i="6"/>
  <c r="P865" i="6" s="1"/>
  <c r="K1153" i="6"/>
  <c r="P1153" i="6" s="1"/>
  <c r="K1473" i="6"/>
  <c r="P1473" i="6" s="1"/>
  <c r="K1905" i="6"/>
  <c r="P1905" i="6" s="1"/>
  <c r="K635" i="6"/>
  <c r="P635" i="6" s="1"/>
  <c r="K1107" i="6"/>
  <c r="K1347" i="6"/>
  <c r="P1347" i="6" s="1"/>
  <c r="K1603" i="6"/>
  <c r="P1603" i="6" s="1"/>
  <c r="K2019" i="6"/>
  <c r="P2019" i="6" s="1"/>
  <c r="K835" i="6"/>
  <c r="P835" i="6" s="1"/>
  <c r="K267" i="6"/>
  <c r="P267" i="6" s="1"/>
  <c r="K131" i="6"/>
  <c r="P131" i="6" s="1"/>
  <c r="K331" i="6"/>
  <c r="P331" i="6" s="1"/>
  <c r="K141" i="6"/>
  <c r="P141" i="6" s="1"/>
  <c r="K161" i="6"/>
  <c r="P161" i="6" s="1"/>
  <c r="K929" i="6"/>
  <c r="P929" i="6" s="1"/>
  <c r="K1185" i="6"/>
  <c r="P1185" i="6" s="1"/>
  <c r="K1433" i="6"/>
  <c r="P1433" i="6" s="1"/>
  <c r="K1865" i="6"/>
  <c r="P1865" i="6" s="1"/>
  <c r="K1160" i="6"/>
  <c r="P1160" i="6" s="1"/>
  <c r="K595" i="6"/>
  <c r="P595" i="6" s="1"/>
  <c r="K979" i="6"/>
  <c r="P979" i="6" s="1"/>
  <c r="K2028" i="6"/>
  <c r="P2028" i="6" s="1"/>
  <c r="K1230" i="6"/>
  <c r="P1230" i="6" s="1"/>
  <c r="K393" i="6"/>
  <c r="P393" i="6" s="1"/>
  <c r="K65" i="6"/>
  <c r="P65" i="6" s="1"/>
  <c r="K425" i="6"/>
  <c r="P425" i="6" s="1"/>
  <c r="K175" i="6"/>
  <c r="P175" i="6" s="1"/>
  <c r="K271" i="6"/>
  <c r="P271" i="6" s="1"/>
  <c r="K166" i="6"/>
  <c r="P166" i="6" s="1"/>
  <c r="K71" i="6"/>
  <c r="P71" i="6" s="1"/>
  <c r="K134" i="6"/>
  <c r="P134" i="6" s="1"/>
  <c r="K530" i="6"/>
  <c r="P530" i="6" s="1"/>
  <c r="K52" i="6"/>
  <c r="P52" i="6" s="1"/>
  <c r="K148" i="6"/>
  <c r="P148" i="6" s="1"/>
  <c r="K1122" i="6"/>
  <c r="P1122" i="6" s="1"/>
  <c r="K206" i="6"/>
  <c r="P206" i="6" s="1"/>
  <c r="K207" i="6"/>
  <c r="P207" i="6" s="1"/>
  <c r="K464" i="6"/>
  <c r="P464" i="6" s="1"/>
  <c r="K496" i="6"/>
  <c r="P496" i="6" s="1"/>
  <c r="K338" i="6"/>
  <c r="P338" i="6" s="1"/>
  <c r="K1226" i="6"/>
  <c r="P1226" i="6" s="1"/>
  <c r="K1271" i="6"/>
  <c r="P1271" i="6" s="1"/>
  <c r="K260" i="6"/>
  <c r="P260" i="6" s="1"/>
  <c r="K1116" i="6"/>
  <c r="P1116" i="6" s="1"/>
  <c r="K1220" i="6"/>
  <c r="P1220" i="6" s="1"/>
  <c r="K1436" i="6"/>
  <c r="P1436" i="6" s="1"/>
  <c r="K1468" i="6"/>
  <c r="P1468" i="6" s="1"/>
  <c r="K1612" i="6"/>
  <c r="P1612" i="6" s="1"/>
  <c r="K1240" i="6"/>
  <c r="P1240" i="6" s="1"/>
  <c r="K1728" i="6"/>
  <c r="P1728" i="6" s="1"/>
  <c r="K318" i="6"/>
  <c r="P318" i="6" s="1"/>
  <c r="K656" i="6"/>
  <c r="P656" i="6" s="1"/>
  <c r="K752" i="6"/>
  <c r="P752" i="6" s="1"/>
  <c r="K432" i="6"/>
  <c r="P432" i="6" s="1"/>
  <c r="K62" i="6"/>
  <c r="P62" i="6" s="1"/>
  <c r="K674" i="6"/>
  <c r="P674" i="6" s="1"/>
  <c r="K543" i="6"/>
  <c r="P543" i="6" s="1"/>
  <c r="K1570" i="6"/>
  <c r="P1570" i="6" s="1"/>
  <c r="K1370" i="6"/>
  <c r="P1370" i="6" s="1"/>
  <c r="K1407" i="6"/>
  <c r="P1407" i="6" s="1"/>
  <c r="K1986" i="6"/>
  <c r="P1986" i="6" s="1"/>
  <c r="K1136" i="6"/>
  <c r="P1136" i="6" s="1"/>
  <c r="K688" i="6"/>
  <c r="P688" i="6" s="1"/>
  <c r="K1052" i="6"/>
  <c r="P1052" i="6" s="1"/>
  <c r="K922" i="6"/>
  <c r="P922" i="6" s="1"/>
  <c r="K102" i="6"/>
  <c r="P102" i="6" s="1"/>
  <c r="K7" i="6"/>
  <c r="K103" i="6"/>
  <c r="P103" i="6" s="1"/>
  <c r="K272" i="6"/>
  <c r="P272" i="6" s="1"/>
  <c r="K575" i="6"/>
  <c r="P575" i="6" s="1"/>
  <c r="K48" i="6"/>
  <c r="P48" i="6" s="1"/>
  <c r="K144" i="6"/>
  <c r="P144" i="6" s="1"/>
  <c r="K240" i="6"/>
  <c r="P240" i="6" s="1"/>
  <c r="K336" i="6"/>
  <c r="P336" i="6" s="1"/>
  <c r="K720" i="6"/>
  <c r="P720" i="6" s="1"/>
  <c r="K170" i="6"/>
  <c r="P170" i="6" s="1"/>
  <c r="K1090" i="6"/>
  <c r="P1090" i="6" s="1"/>
  <c r="K1330" i="6"/>
  <c r="P1330" i="6" s="1"/>
  <c r="K1487" i="6"/>
  <c r="P1487" i="6" s="1"/>
  <c r="K1336" i="6"/>
  <c r="P1336" i="6" s="1"/>
  <c r="K1456" i="6"/>
  <c r="P1456" i="6" s="1"/>
  <c r="K1256" i="6"/>
  <c r="P1256" i="6" s="1"/>
  <c r="K492" i="6"/>
  <c r="P492" i="6" s="1"/>
  <c r="K311" i="6"/>
  <c r="P311" i="6" s="1"/>
  <c r="K80" i="6"/>
  <c r="P80" i="6" s="1"/>
  <c r="K176" i="6"/>
  <c r="P176" i="6" s="1"/>
  <c r="K560" i="6"/>
  <c r="P560" i="6" s="1"/>
  <c r="K890" i="6"/>
  <c r="P890" i="6" s="1"/>
  <c r="K39" i="6"/>
  <c r="P39" i="6" s="1"/>
  <c r="K994" i="6"/>
  <c r="P994" i="6" s="1"/>
  <c r="K30" i="6"/>
  <c r="P30" i="6" s="1"/>
  <c r="K274" i="6"/>
  <c r="P274" i="6" s="1"/>
  <c r="K370" i="6"/>
  <c r="P370" i="6" s="1"/>
  <c r="K98" i="6"/>
  <c r="P98" i="6" s="1"/>
  <c r="K602" i="6"/>
  <c r="P602" i="6" s="1"/>
  <c r="K471" i="6"/>
  <c r="P471" i="6" s="1"/>
  <c r="K16" i="6"/>
  <c r="P16" i="6" s="1"/>
  <c r="K112" i="6"/>
  <c r="P112" i="6" s="1"/>
  <c r="K208" i="6"/>
  <c r="P208" i="6" s="1"/>
  <c r="K304" i="6"/>
  <c r="P304" i="6" s="1"/>
  <c r="K400" i="6"/>
  <c r="P400" i="6" s="1"/>
  <c r="K592" i="6"/>
  <c r="P592" i="6" s="1"/>
  <c r="K1944" i="6"/>
  <c r="P1944" i="6" s="1"/>
  <c r="K1335" i="6"/>
  <c r="P1335" i="6" s="1"/>
  <c r="K1890" i="6"/>
  <c r="P1890" i="6" s="1"/>
  <c r="K1663" i="6"/>
  <c r="P1663" i="6" s="1"/>
  <c r="K287" i="6"/>
  <c r="P287" i="6" s="1"/>
  <c r="K1543" i="6"/>
  <c r="P1543" i="6" s="1"/>
  <c r="K1803" i="6"/>
  <c r="P1803" i="6" s="1"/>
  <c r="K907" i="6"/>
  <c r="P907" i="6" s="1"/>
  <c r="K2008" i="6"/>
  <c r="P2008" i="6" s="1"/>
  <c r="K615" i="6"/>
  <c r="P615" i="6" s="1"/>
  <c r="K1805" i="6"/>
  <c r="P1805" i="6" s="1"/>
  <c r="K1832" i="6"/>
  <c r="P1832" i="6" s="1"/>
  <c r="K618" i="6"/>
  <c r="P618" i="6" s="1"/>
  <c r="K850" i="6"/>
  <c r="P850" i="6" s="1"/>
  <c r="K1462" i="6"/>
  <c r="P1462" i="6" s="1"/>
  <c r="K1079" i="6"/>
  <c r="P1079" i="6" s="1"/>
  <c r="K1935" i="6"/>
  <c r="P1935" i="6" s="1"/>
  <c r="K1569" i="6"/>
  <c r="P1569" i="6" s="1"/>
  <c r="K1829" i="6"/>
  <c r="P1829" i="6" s="1"/>
  <c r="K808" i="6"/>
  <c r="P808" i="6" s="1"/>
  <c r="K617" i="6"/>
  <c r="P617" i="6" s="1"/>
  <c r="K1582" i="6"/>
  <c r="P1582" i="6" s="1"/>
  <c r="K839" i="6"/>
  <c r="P839" i="6" s="1"/>
  <c r="K676" i="6"/>
  <c r="P676" i="6" s="1"/>
  <c r="K711" i="6"/>
  <c r="P711" i="6" s="1"/>
  <c r="K1937" i="6"/>
  <c r="P1937" i="6" s="1"/>
  <c r="K1255" i="6"/>
  <c r="P1255" i="6" s="1"/>
  <c r="K966" i="6"/>
  <c r="P966" i="6" s="1"/>
  <c r="K1420" i="6"/>
  <c r="P1420" i="6" s="1"/>
  <c r="K619" i="6"/>
  <c r="P619" i="6" s="1"/>
  <c r="K687" i="6"/>
  <c r="P687" i="6" s="1"/>
  <c r="K810" i="6"/>
  <c r="P810" i="6" s="1"/>
  <c r="K1504" i="6"/>
  <c r="P1504" i="6" s="1"/>
  <c r="K653" i="6"/>
  <c r="P653" i="6" s="1"/>
  <c r="K1963" i="6"/>
  <c r="P1963" i="6" s="1"/>
  <c r="K1278" i="6"/>
  <c r="P1278" i="6" s="1"/>
  <c r="K1492" i="6"/>
  <c r="P1492" i="6" s="1"/>
  <c r="K1648" i="6"/>
  <c r="P1648" i="6" s="1"/>
  <c r="K819" i="6"/>
  <c r="P819" i="6" s="1"/>
  <c r="K1515" i="6"/>
  <c r="P1515" i="6" s="1"/>
  <c r="K515" i="6"/>
  <c r="P515" i="6" s="1"/>
  <c r="K1157" i="6"/>
  <c r="P1157" i="6" s="1"/>
  <c r="K1448" i="6"/>
  <c r="P1448" i="6" s="1"/>
  <c r="K489" i="6"/>
  <c r="P489" i="6" s="1"/>
  <c r="K1923" i="6"/>
  <c r="P1923" i="6" s="1"/>
  <c r="K1792" i="6"/>
  <c r="P1792" i="6" s="1"/>
  <c r="K363" i="6"/>
  <c r="P363" i="6" s="1"/>
  <c r="K1868" i="6"/>
  <c r="P1868" i="6" s="1"/>
  <c r="K1229" i="6"/>
  <c r="P1229" i="6" s="1"/>
  <c r="K1845" i="6"/>
  <c r="P1845" i="6" s="1"/>
  <c r="K1275" i="6"/>
  <c r="P1275" i="6" s="1"/>
  <c r="K1132" i="6"/>
  <c r="P1132" i="6" s="1"/>
  <c r="K1635" i="6"/>
  <c r="P1635" i="6" s="1"/>
  <c r="K1804" i="6"/>
  <c r="P1804" i="6" s="1"/>
  <c r="K879" i="6"/>
  <c r="P879" i="6" s="1"/>
  <c r="K1372" i="6"/>
  <c r="P1372" i="6" s="1"/>
  <c r="K1686" i="6"/>
  <c r="P1686" i="6" s="1"/>
  <c r="K1277" i="6"/>
  <c r="P1277" i="6" s="1"/>
  <c r="K1518" i="6"/>
  <c r="P1518" i="6" s="1"/>
  <c r="K1072" i="6"/>
  <c r="P1072" i="6" s="1"/>
  <c r="K964" i="6"/>
  <c r="P964" i="6" s="1"/>
  <c r="K1405" i="6"/>
  <c r="P1405" i="6" s="1"/>
  <c r="K1647" i="6"/>
  <c r="P1647" i="6" s="1"/>
  <c r="K1864" i="6"/>
  <c r="P1864" i="6" s="1"/>
  <c r="K411" i="6"/>
  <c r="P411" i="6" s="1"/>
  <c r="K1131" i="6"/>
  <c r="P1131" i="6" s="1"/>
  <c r="K1516" i="6"/>
  <c r="P1516" i="6" s="1"/>
  <c r="K1806" i="6"/>
  <c r="P1806" i="6" s="1"/>
  <c r="K1530" i="6"/>
  <c r="P1530" i="6" s="1"/>
  <c r="K1881" i="6"/>
  <c r="P1881" i="6" s="1"/>
  <c r="K1619" i="6"/>
  <c r="P1619" i="6" s="1"/>
  <c r="K1176" i="6"/>
  <c r="P1176" i="6" s="1"/>
  <c r="K1417" i="6"/>
  <c r="P1417" i="6" s="1"/>
  <c r="K1767" i="6"/>
  <c r="P1767" i="6" s="1"/>
  <c r="K1700" i="6"/>
  <c r="P1700" i="6" s="1"/>
  <c r="K1924" i="6"/>
  <c r="P1924" i="6" s="1"/>
  <c r="K1203" i="6"/>
  <c r="P1203" i="6" s="1"/>
  <c r="K1661" i="6"/>
  <c r="P1661" i="6" s="1"/>
  <c r="K1830" i="6"/>
  <c r="P1830" i="6" s="1"/>
  <c r="K1517" i="6"/>
  <c r="P1517" i="6" s="1"/>
  <c r="K1989" i="6"/>
  <c r="P1989" i="6" s="1"/>
  <c r="K1727" i="6"/>
  <c r="P1727" i="6" s="1"/>
  <c r="K586" i="6"/>
  <c r="P586" i="6" s="1"/>
  <c r="K1817" i="6"/>
  <c r="P1817" i="6" s="1"/>
  <c r="K1779" i="6"/>
  <c r="P1779" i="6" s="1"/>
  <c r="K1936" i="6"/>
  <c r="P1936" i="6" s="1"/>
  <c r="K519" i="6"/>
  <c r="P519" i="6" s="1"/>
  <c r="K1685" i="6"/>
  <c r="P1685" i="6" s="1"/>
  <c r="K1950" i="6"/>
  <c r="P1950" i="6" s="1"/>
  <c r="K1529" i="6"/>
  <c r="P1529" i="6" s="1"/>
  <c r="K2013" i="6"/>
  <c r="P2013" i="6" s="1"/>
  <c r="K1811" i="6"/>
  <c r="P1811" i="6" s="1"/>
  <c r="K754" i="6"/>
  <c r="P754" i="6" s="1"/>
  <c r="K70" i="6"/>
  <c r="P70" i="6" s="1"/>
  <c r="K127" i="6"/>
  <c r="P127" i="6" s="1"/>
  <c r="K1791" i="6"/>
  <c r="P1791" i="6" s="1"/>
  <c r="K1948" i="6"/>
  <c r="P1948" i="6" s="1"/>
  <c r="K555" i="6"/>
  <c r="P555" i="6" s="1"/>
  <c r="K1227" i="6"/>
  <c r="P1227" i="6" s="1"/>
  <c r="K1793" i="6"/>
  <c r="P1793" i="6" s="1"/>
  <c r="K412" i="6"/>
  <c r="P412" i="6" s="1"/>
  <c r="K210" i="6"/>
  <c r="P210" i="6" s="1"/>
  <c r="K1568" i="6"/>
  <c r="P1568" i="6" s="1"/>
  <c r="K1871" i="6"/>
  <c r="P1871" i="6" s="1"/>
  <c r="K1907" i="6"/>
  <c r="P1907" i="6" s="1"/>
  <c r="K1687" i="6"/>
  <c r="P1687" i="6" s="1"/>
  <c r="K1276" i="6"/>
  <c r="P1276" i="6" s="1"/>
  <c r="K1183" i="6"/>
  <c r="P1183" i="6" s="1"/>
  <c r="K1491" i="6"/>
  <c r="P1491" i="6" s="1"/>
  <c r="K1831" i="6"/>
  <c r="P1831" i="6" s="1"/>
  <c r="K1316" i="6"/>
  <c r="P1316" i="6" s="1"/>
  <c r="K106" i="6"/>
  <c r="P106" i="6" s="1"/>
  <c r="K1949" i="6"/>
  <c r="P1949" i="6" s="1"/>
  <c r="K1356" i="6"/>
  <c r="P1356" i="6" s="1"/>
  <c r="K289" i="6"/>
  <c r="P289" i="6" s="1"/>
  <c r="K1446" i="6"/>
  <c r="P1446" i="6" s="1"/>
  <c r="K1528" i="6"/>
  <c r="P1528" i="6" s="1"/>
  <c r="K1096" i="6"/>
  <c r="P1096" i="6" s="1"/>
  <c r="K1447" i="6"/>
  <c r="P1447" i="6" s="1"/>
  <c r="K190" i="6"/>
  <c r="P190" i="6" s="1"/>
  <c r="K1369" i="6"/>
  <c r="P1369" i="6" s="1"/>
  <c r="K1869" i="6"/>
  <c r="P1869" i="6" s="1"/>
  <c r="K238" i="6"/>
  <c r="P238" i="6" s="1"/>
  <c r="H771" i="6"/>
  <c r="H200" i="6"/>
  <c r="H1179" i="6"/>
  <c r="H1204" i="6"/>
  <c r="H902" i="6"/>
  <c r="H623" i="6"/>
  <c r="H356" i="6"/>
  <c r="H913" i="6"/>
  <c r="H214" i="6"/>
  <c r="H613" i="6"/>
  <c r="H327" i="6"/>
  <c r="H1155" i="6"/>
  <c r="H270" i="6"/>
  <c r="H616" i="6"/>
  <c r="H568" i="6"/>
  <c r="H1135" i="6"/>
  <c r="H415" i="6"/>
  <c r="H414" i="6"/>
  <c r="H890" i="6"/>
  <c r="H342" i="6"/>
  <c r="H1057" i="6"/>
  <c r="H255" i="6"/>
  <c r="H895" i="6"/>
  <c r="H291" i="6"/>
  <c r="H977" i="6"/>
  <c r="H322" i="6"/>
  <c r="H673" i="6"/>
  <c r="H926" i="6"/>
  <c r="H659" i="6"/>
  <c r="H534" i="6"/>
  <c r="H176" i="6"/>
  <c r="H1182" i="6"/>
  <c r="H825" i="6"/>
  <c r="H982" i="6"/>
  <c r="H180" i="6"/>
  <c r="H8" i="6"/>
  <c r="H500" i="6"/>
  <c r="H462" i="6"/>
  <c r="H853" i="6"/>
  <c r="H1469" i="6"/>
  <c r="H1482" i="6"/>
  <c r="H47" i="6"/>
  <c r="H758" i="6"/>
  <c r="H1523" i="6"/>
  <c r="H749" i="6"/>
  <c r="H899" i="6"/>
  <c r="H1047" i="6"/>
  <c r="H145" i="6"/>
  <c r="H1472" i="6"/>
  <c r="H1195" i="6"/>
  <c r="U1195" i="6" s="1"/>
  <c r="H138" i="6"/>
  <c r="H1368" i="6"/>
  <c r="H1221" i="6"/>
  <c r="H1257" i="6"/>
  <c r="H548" i="6"/>
  <c r="H1428" i="6"/>
  <c r="H609" i="6"/>
  <c r="H1187" i="6"/>
  <c r="H889" i="6"/>
  <c r="H467" i="6"/>
  <c r="H65" i="6"/>
  <c r="H1102" i="6"/>
  <c r="H100" i="6"/>
  <c r="H979" i="6"/>
  <c r="H564" i="6"/>
  <c r="H352" i="6"/>
  <c r="H1173" i="6"/>
  <c r="H703" i="6"/>
  <c r="H1894" i="6"/>
  <c r="H1158" i="6"/>
  <c r="H755" i="6"/>
  <c r="H514" i="6"/>
  <c r="H304" i="6"/>
  <c r="H536" i="6"/>
  <c r="H280" i="6"/>
  <c r="H877" i="6"/>
  <c r="H1034" i="6"/>
  <c r="H1156" i="6"/>
  <c r="H307" i="6"/>
  <c r="H932" i="6"/>
  <c r="H803" i="6"/>
  <c r="H735" i="6"/>
  <c r="H1012" i="6"/>
  <c r="H396" i="6"/>
  <c r="H30" i="6"/>
  <c r="H68" i="6"/>
  <c r="H199" i="6"/>
  <c r="H1321" i="6"/>
  <c r="H719" i="6"/>
  <c r="H1052" i="6"/>
  <c r="H664" i="6"/>
  <c r="H639" i="6"/>
  <c r="H22" i="6"/>
  <c r="H472" i="6"/>
  <c r="H876" i="6"/>
  <c r="H1005" i="6"/>
  <c r="H56" i="6"/>
  <c r="H599" i="6"/>
  <c r="H1149" i="6"/>
  <c r="H706" i="6"/>
  <c r="H10" i="6"/>
  <c r="H1101" i="6"/>
  <c r="H820" i="6"/>
  <c r="H508" i="6"/>
  <c r="H1114" i="6"/>
  <c r="H732" i="6"/>
  <c r="H1236" i="6"/>
  <c r="H1344" i="6"/>
  <c r="H642" i="6"/>
  <c r="H1192" i="6"/>
  <c r="H85" i="6"/>
  <c r="H115" i="6"/>
  <c r="H153" i="6"/>
  <c r="H300" i="6"/>
  <c r="H1138" i="6"/>
  <c r="H73" i="6"/>
  <c r="H334" i="6"/>
  <c r="H82" i="6"/>
  <c r="H98" i="6"/>
  <c r="H1962" i="6"/>
  <c r="H1704" i="6"/>
  <c r="H1776" i="6"/>
  <c r="H497" i="6"/>
  <c r="H1077" i="6"/>
  <c r="H690" i="6"/>
  <c r="H1131" i="6"/>
  <c r="H903" i="6"/>
  <c r="H247" i="6"/>
  <c r="H240" i="6"/>
  <c r="H474" i="6"/>
  <c r="H840" i="6"/>
  <c r="H335" i="6"/>
  <c r="H873" i="6"/>
  <c r="H1392" i="6"/>
  <c r="H1240" i="6"/>
  <c r="H293" i="6"/>
  <c r="H746" i="6"/>
  <c r="H654" i="6"/>
  <c r="H444" i="6"/>
  <c r="H459" i="6"/>
  <c r="H1834" i="6"/>
  <c r="H329" i="6"/>
  <c r="H431" i="6"/>
  <c r="H531" i="6"/>
  <c r="H1168" i="6"/>
  <c r="H1360" i="6"/>
  <c r="H1136" i="6"/>
  <c r="H453" i="6"/>
  <c r="H1621" i="6"/>
  <c r="H1569" i="6"/>
  <c r="H1450" i="6"/>
  <c r="H37" i="6"/>
  <c r="H152" i="6"/>
  <c r="H629" i="6"/>
  <c r="H1773" i="6"/>
  <c r="H940" i="6"/>
  <c r="H1304" i="6"/>
  <c r="H570" i="6"/>
  <c r="H164" i="6"/>
  <c r="H756" i="6"/>
  <c r="H658" i="6"/>
  <c r="H298" i="6"/>
  <c r="H748" i="6"/>
  <c r="H759" i="6"/>
  <c r="H1458" i="6"/>
  <c r="H1386" i="6"/>
  <c r="H394" i="6"/>
  <c r="H1530" i="6"/>
  <c r="H1770" i="6"/>
  <c r="H483" i="6"/>
  <c r="H707" i="6"/>
  <c r="H769" i="6"/>
  <c r="H1127" i="6"/>
  <c r="H565" i="6"/>
  <c r="H1242" i="6"/>
  <c r="H915" i="6"/>
  <c r="H721" i="6"/>
  <c r="H59" i="6"/>
  <c r="H1163" i="6"/>
  <c r="H157" i="6"/>
  <c r="H443" i="6"/>
  <c r="H1517" i="6"/>
  <c r="H324" i="6"/>
  <c r="H1203" i="6"/>
  <c r="H997" i="6"/>
  <c r="H1175" i="6"/>
  <c r="H1046" i="6"/>
  <c r="H855" i="6"/>
  <c r="H133" i="6"/>
  <c r="H832" i="6"/>
  <c r="H588" i="6"/>
  <c r="H1901" i="6"/>
  <c r="H916" i="6"/>
  <c r="H1083" i="6"/>
  <c r="H1073" i="6"/>
  <c r="H202" i="6"/>
  <c r="H909" i="6"/>
  <c r="H942" i="6"/>
  <c r="H268" i="6"/>
  <c r="H1977" i="6"/>
  <c r="U1977" i="6" s="1"/>
  <c r="H1422" i="6"/>
  <c r="H9" i="6"/>
  <c r="H1589" i="6"/>
  <c r="H1494" i="6"/>
  <c r="H607" i="6"/>
  <c r="H1011" i="6"/>
  <c r="H1126" i="6"/>
  <c r="H850" i="6"/>
  <c r="H1553" i="6"/>
  <c r="H1197" i="6"/>
  <c r="H764" i="6"/>
  <c r="H1086" i="6"/>
  <c r="H370" i="6"/>
  <c r="H1670" i="6"/>
  <c r="H992" i="6"/>
  <c r="H908" i="6"/>
  <c r="H366" i="6"/>
  <c r="H781" i="6"/>
  <c r="H1566" i="6"/>
  <c r="H1806" i="6"/>
  <c r="H1474" i="6"/>
  <c r="H1690" i="6"/>
  <c r="H16" i="6"/>
  <c r="H1037" i="6"/>
  <c r="H441" i="6"/>
  <c r="H1183" i="6"/>
  <c r="H585" i="6"/>
  <c r="H1409" i="6"/>
  <c r="H1213" i="6"/>
  <c r="H496" i="6"/>
  <c r="H864" i="6"/>
  <c r="H1171" i="6"/>
  <c r="H173" i="6"/>
  <c r="H675" i="6"/>
  <c r="H1009" i="6"/>
  <c r="H1021" i="6"/>
  <c r="H46" i="6"/>
  <c r="H714" i="6"/>
  <c r="H287" i="6"/>
  <c r="H86" i="6"/>
  <c r="H124" i="6"/>
  <c r="H959" i="6"/>
  <c r="H285" i="6"/>
  <c r="H604" i="6"/>
  <c r="H256" i="6"/>
  <c r="H1246" i="6"/>
  <c r="H919" i="6"/>
  <c r="H174" i="6"/>
  <c r="H374" i="6"/>
  <c r="H272" i="6"/>
  <c r="H799" i="6"/>
  <c r="H103" i="6"/>
  <c r="H7" i="6"/>
  <c r="H408" i="6"/>
  <c r="H801" i="6"/>
  <c r="H464" i="6"/>
  <c r="H579" i="6"/>
  <c r="H481" i="6"/>
  <c r="H196" i="6"/>
  <c r="H1139" i="6"/>
  <c r="H1313" i="6"/>
  <c r="H866" i="6"/>
  <c r="H860" i="6"/>
  <c r="H1328" i="6"/>
  <c r="H863" i="6"/>
  <c r="H456" i="6"/>
  <c r="H1198" i="6"/>
  <c r="H373" i="6"/>
  <c r="H1209" i="6"/>
  <c r="H262" i="6"/>
  <c r="H761" i="6"/>
  <c r="H288" i="6"/>
  <c r="H912" i="6"/>
  <c r="H78" i="6"/>
  <c r="H689" i="6"/>
  <c r="H376" i="6"/>
  <c r="H54" i="6"/>
  <c r="H1056" i="6"/>
  <c r="H87" i="6"/>
  <c r="H934" i="6"/>
  <c r="H430" i="6"/>
  <c r="H946" i="6"/>
  <c r="H879" i="6"/>
  <c r="H2004" i="6"/>
  <c r="H55" i="6"/>
  <c r="H650" i="6"/>
  <c r="H84" i="6"/>
  <c r="H729" i="6"/>
  <c r="H777" i="6"/>
  <c r="H1279" i="6"/>
  <c r="H1296" i="6"/>
  <c r="H711" i="6"/>
  <c r="H666" i="6"/>
  <c r="H1066" i="6"/>
  <c r="H798" i="6"/>
  <c r="H1798" i="6"/>
  <c r="H1626" i="6"/>
  <c r="H1493" i="6"/>
  <c r="H1470" i="6"/>
  <c r="H1341" i="6"/>
  <c r="H530" i="6"/>
  <c r="H1028" i="6"/>
  <c r="H57" i="6"/>
  <c r="H544" i="6"/>
  <c r="H439" i="6"/>
  <c r="H1826" i="6"/>
  <c r="H1301" i="6"/>
  <c r="H1483" i="6"/>
  <c r="H800" i="6"/>
  <c r="H386" i="6"/>
  <c r="H708" i="6"/>
  <c r="H757" i="6"/>
  <c r="H547" i="6"/>
  <c r="H1887" i="6"/>
  <c r="H1955" i="6"/>
  <c r="H1142" i="6"/>
  <c r="H40" i="6"/>
  <c r="H824" i="6"/>
  <c r="H297" i="6"/>
  <c r="H929" i="6"/>
  <c r="H631" i="6"/>
  <c r="H1769" i="6"/>
  <c r="H1529" i="6"/>
  <c r="H1051" i="6"/>
  <c r="H1584" i="6"/>
  <c r="H772" i="6"/>
  <c r="H128" i="6"/>
  <c r="H635" i="6"/>
  <c r="H1085" i="6"/>
  <c r="H1087" i="6"/>
  <c r="U1087" i="6" s="1"/>
  <c r="H210" i="6"/>
  <c r="H403" i="6"/>
  <c r="H159" i="6"/>
  <c r="H1017" i="6"/>
  <c r="H1489" i="6"/>
  <c r="H1810" i="6"/>
  <c r="H1444" i="6"/>
  <c r="H1565" i="6"/>
  <c r="H1618" i="6"/>
  <c r="H140" i="6"/>
  <c r="H1036" i="6"/>
  <c r="H106" i="6"/>
  <c r="H1709" i="6"/>
  <c r="H1031" i="6"/>
  <c r="H724" i="6"/>
  <c r="H1882" i="6"/>
  <c r="H466" i="6"/>
  <c r="H1272" i="6"/>
  <c r="H670" i="6"/>
  <c r="H1775" i="6"/>
  <c r="H1324" i="6"/>
  <c r="H89" i="6"/>
  <c r="H398" i="6"/>
  <c r="H258" i="6"/>
  <c r="H1729" i="6"/>
  <c r="H1781" i="6"/>
  <c r="H1288" i="6"/>
  <c r="H578" i="6"/>
  <c r="H146" i="6"/>
  <c r="H521" i="6"/>
  <c r="H944" i="6"/>
  <c r="H295" i="6"/>
  <c r="H914" i="6"/>
  <c r="H233" i="6"/>
  <c r="H315" i="6"/>
  <c r="H990" i="6"/>
  <c r="H1454" i="6"/>
  <c r="H1638" i="6"/>
  <c r="H1682" i="6"/>
  <c r="H74" i="6"/>
  <c r="H434" i="6"/>
  <c r="H563" i="6"/>
  <c r="H1096" i="6"/>
  <c r="H1023" i="6"/>
  <c r="H151" i="6"/>
  <c r="H286" i="6"/>
  <c r="H70" i="6"/>
  <c r="H583" i="6"/>
  <c r="H1245" i="6"/>
  <c r="H601" i="6"/>
  <c r="H1998" i="6"/>
  <c r="H780" i="6"/>
  <c r="H1238" i="6"/>
  <c r="H377" i="6"/>
  <c r="H665" i="6"/>
  <c r="H507" i="6"/>
  <c r="H1600" i="6"/>
  <c r="H1013" i="6"/>
  <c r="H722" i="6"/>
  <c r="H12" i="6"/>
  <c r="H886" i="6"/>
  <c r="H365" i="6"/>
  <c r="H2027" i="6"/>
  <c r="H1317" i="6"/>
  <c r="H1225" i="6"/>
  <c r="H2015" i="6"/>
  <c r="H1411" i="6"/>
  <c r="H81" i="6"/>
  <c r="H1113" i="6"/>
  <c r="H1423" i="6"/>
  <c r="H737" i="6"/>
  <c r="H618" i="6"/>
  <c r="H353" i="6"/>
  <c r="H1108" i="6"/>
  <c r="H1632" i="6"/>
  <c r="H122" i="6"/>
  <c r="H981" i="6"/>
  <c r="H1536" i="6"/>
  <c r="H699" i="6"/>
  <c r="H1151" i="6"/>
  <c r="H1706" i="6"/>
  <c r="H2013" i="6"/>
  <c r="H1415" i="6"/>
  <c r="H96" i="6"/>
  <c r="H1768" i="6"/>
  <c r="H1164" i="6"/>
  <c r="H18" i="6"/>
  <c r="H1782" i="6"/>
  <c r="H1282" i="6"/>
  <c r="H1420" i="6"/>
  <c r="H404" i="6"/>
  <c r="H702" i="6"/>
  <c r="H495" i="6"/>
  <c r="H1006" i="6"/>
  <c r="H1825" i="6"/>
  <c r="U1825" i="6" s="1"/>
  <c r="H1753" i="6"/>
  <c r="H1119" i="6"/>
  <c r="H551" i="6"/>
  <c r="H252" i="6"/>
  <c r="H1147" i="6"/>
  <c r="H802" i="6"/>
  <c r="H1715" i="6"/>
  <c r="H995" i="6"/>
  <c r="H808" i="6"/>
  <c r="H217" i="6"/>
  <c r="H838" i="6"/>
  <c r="H1377" i="6"/>
  <c r="H878" i="6"/>
  <c r="H1300" i="6"/>
  <c r="H807" i="6"/>
  <c r="H484" i="6"/>
  <c r="H229" i="6"/>
  <c r="H1557" i="6"/>
  <c r="H1645" i="6"/>
  <c r="H23" i="6"/>
  <c r="H671" i="6"/>
  <c r="H1049" i="6"/>
  <c r="H700" i="6"/>
  <c r="H1449" i="6"/>
  <c r="U1449" i="6" s="1"/>
  <c r="H1681" i="6"/>
  <c r="H577" i="6"/>
  <c r="H874" i="6"/>
  <c r="H492" i="6"/>
  <c r="H787" i="6"/>
  <c r="H634" i="6"/>
  <c r="H228" i="6"/>
  <c r="H163" i="6"/>
  <c r="H1818" i="6"/>
  <c r="H1898" i="6"/>
  <c r="H1959" i="6"/>
  <c r="H1943" i="6"/>
  <c r="H2001" i="6"/>
  <c r="H1078" i="6"/>
  <c r="H1094" i="6"/>
  <c r="H303" i="6"/>
  <c r="H1506" i="6"/>
  <c r="H1914" i="6"/>
  <c r="H1261" i="6"/>
  <c r="H1542" i="6"/>
  <c r="H782" i="6"/>
  <c r="H123" i="6"/>
  <c r="H1504" i="6"/>
  <c r="H1742" i="6"/>
  <c r="H290" i="6"/>
  <c r="H201" i="6"/>
  <c r="H594" i="6"/>
  <c r="H694" i="6"/>
  <c r="H211" i="6"/>
  <c r="H697" i="6"/>
  <c r="H964" i="6"/>
  <c r="H846" i="6"/>
  <c r="H1625" i="6"/>
  <c r="H1434" i="6"/>
  <c r="H945" i="6"/>
  <c r="H1161" i="6"/>
  <c r="H99" i="6"/>
  <c r="H606" i="6"/>
  <c r="H685" i="6"/>
  <c r="H80" i="6"/>
  <c r="H239" i="6"/>
  <c r="H1132" i="6"/>
  <c r="H887" i="6"/>
  <c r="H1216" i="6"/>
  <c r="H938" i="6"/>
  <c r="H738" i="6"/>
  <c r="H557" i="6"/>
  <c r="H550" i="6"/>
  <c r="H986" i="6"/>
  <c r="H790" i="6"/>
  <c r="H246" i="6"/>
  <c r="H636" i="6"/>
  <c r="H1123" i="6"/>
  <c r="H516" i="6"/>
  <c r="H301" i="6"/>
  <c r="H499" i="6"/>
  <c r="H827" i="6"/>
  <c r="H716" i="6"/>
  <c r="H143" i="6"/>
  <c r="H812" i="6"/>
  <c r="H31" i="6"/>
  <c r="H1134" i="6"/>
  <c r="H691" i="6"/>
  <c r="H1335" i="6"/>
  <c r="H1186" i="6"/>
  <c r="H1072" i="6"/>
  <c r="H1227" i="6"/>
  <c r="H506" i="6"/>
  <c r="H360" i="6"/>
  <c r="H1295" i="6"/>
  <c r="H2006" i="6"/>
  <c r="H841" i="6"/>
  <c r="H1524" i="6"/>
  <c r="H1612" i="6"/>
  <c r="H1286" i="6"/>
  <c r="H1371" i="6"/>
  <c r="H593" i="6"/>
  <c r="H828" i="6"/>
  <c r="H426" i="6"/>
  <c r="H969" i="6"/>
  <c r="H385" i="6"/>
  <c r="H215" i="6"/>
  <c r="H1656" i="6"/>
  <c r="H842" i="6"/>
  <c r="H745" i="6"/>
  <c r="H183" i="6"/>
  <c r="H971" i="6"/>
  <c r="U971" i="6" s="1"/>
  <c r="H1416" i="6"/>
  <c r="H1167" i="6"/>
  <c r="H25" i="6"/>
  <c r="H129" i="6"/>
  <c r="H136" i="6"/>
  <c r="H269" i="6"/>
  <c r="H450" i="6"/>
  <c r="H1030" i="6"/>
  <c r="H64" i="6"/>
  <c r="H223" i="6"/>
  <c r="H488" i="6"/>
  <c r="H1243" i="6"/>
  <c r="H1331" i="6"/>
  <c r="H1634" i="6"/>
  <c r="H1692" i="6"/>
  <c r="H1095" i="6"/>
  <c r="H325" i="6"/>
  <c r="H553" i="6"/>
  <c r="H17" i="6"/>
  <c r="H248" i="6"/>
  <c r="H361" i="6"/>
  <c r="H723" i="6"/>
  <c r="H1315" i="6"/>
  <c r="H1452" i="6"/>
  <c r="H776" i="6"/>
  <c r="H498" i="6"/>
  <c r="H918" i="6"/>
  <c r="H478" i="6"/>
  <c r="H1380" i="6"/>
  <c r="H591" i="6"/>
  <c r="H1174" i="6"/>
  <c r="H108" i="6"/>
  <c r="H561" i="6"/>
  <c r="H535" i="6"/>
  <c r="H292" i="6"/>
  <c r="H1560" i="6"/>
  <c r="H132" i="6"/>
  <c r="H306" i="6"/>
  <c r="H953" i="6"/>
  <c r="H482" i="6"/>
  <c r="H6" i="6"/>
  <c r="H236" i="6"/>
  <c r="H998" i="6"/>
  <c r="H837" i="6"/>
  <c r="H318" i="6"/>
  <c r="H826" i="6"/>
  <c r="H661" i="6"/>
  <c r="H907" i="6"/>
  <c r="H1237" i="6"/>
  <c r="H615" i="6"/>
  <c r="H505" i="6"/>
  <c r="H983" i="6"/>
  <c r="H1637" i="6"/>
  <c r="H1181" i="6"/>
  <c r="H205" i="6"/>
  <c r="H1614" i="6"/>
  <c r="H149" i="6"/>
  <c r="H406" i="6"/>
  <c r="H1518" i="6"/>
  <c r="H1365" i="6"/>
  <c r="H454" i="6"/>
  <c r="H996" i="6"/>
  <c r="H701" i="6"/>
  <c r="H1038" i="6"/>
  <c r="H76" i="6"/>
  <c r="H923" i="6"/>
  <c r="H989" i="6"/>
  <c r="H752" i="6"/>
  <c r="H894" i="6"/>
  <c r="H728" i="6"/>
  <c r="H1602" i="6"/>
  <c r="H1019" i="6"/>
  <c r="H734" i="6"/>
  <c r="H891" i="6"/>
  <c r="H379" i="6"/>
  <c r="H423" i="6"/>
  <c r="H112" i="6"/>
  <c r="H961" i="6"/>
  <c r="H967" i="6"/>
  <c r="H1667" i="6"/>
  <c r="H1883" i="6"/>
  <c r="H24" i="6"/>
  <c r="H425" i="6"/>
  <c r="H1270" i="6"/>
  <c r="H1784" i="6"/>
  <c r="H416" i="6"/>
  <c r="H60" i="6"/>
  <c r="H486" i="6"/>
  <c r="H253" i="6"/>
  <c r="H766" i="6"/>
  <c r="H1121" i="6"/>
  <c r="H1820" i="6"/>
  <c r="H1574" i="6"/>
  <c r="H1714" i="6"/>
  <c r="H1032" i="6"/>
  <c r="H555" i="6"/>
  <c r="H1071" i="6"/>
  <c r="H244" i="6"/>
  <c r="H856" i="6"/>
  <c r="H663" i="6"/>
  <c r="H1290" i="6"/>
  <c r="H1908" i="6"/>
  <c r="H232" i="6"/>
  <c r="H424" i="6"/>
  <c r="H988" i="6"/>
  <c r="H515" i="6"/>
  <c r="H1508" i="6"/>
  <c r="H1653" i="6"/>
  <c r="H1730" i="6"/>
  <c r="H1610" i="6"/>
  <c r="H1683" i="6"/>
  <c r="H1925" i="6"/>
  <c r="U1925" i="6" s="1"/>
  <c r="H741" i="6"/>
  <c r="H1004" i="6"/>
  <c r="H1050" i="6"/>
  <c r="H519" i="6"/>
  <c r="H608" i="6"/>
  <c r="H1276" i="6"/>
  <c r="H261" i="6"/>
  <c r="H494" i="6"/>
  <c r="H1141" i="6"/>
  <c r="H1063" i="6"/>
  <c r="H1789" i="6"/>
  <c r="H581" i="6"/>
  <c r="H399" i="6"/>
  <c r="H264" i="6"/>
  <c r="H1098" i="6"/>
  <c r="H823" i="6"/>
  <c r="H713" i="6"/>
  <c r="H596" i="6"/>
  <c r="H1772" i="6"/>
  <c r="H1599" i="6"/>
  <c r="H1429" i="6"/>
  <c r="H41" i="6"/>
  <c r="H809" i="6"/>
  <c r="H674" i="6"/>
  <c r="H148" i="6"/>
  <c r="H346" i="6"/>
  <c r="H185" i="6"/>
  <c r="H21" i="6"/>
  <c r="H463" i="6"/>
  <c r="H193" i="6"/>
  <c r="H672" i="6"/>
  <c r="H617" i="6"/>
  <c r="H575" i="6"/>
  <c r="H839" i="6"/>
  <c r="H212" i="6"/>
  <c r="H473" i="6"/>
  <c r="H556" i="6"/>
  <c r="H1578" i="6"/>
  <c r="H227" i="6"/>
  <c r="H1080" i="6"/>
  <c r="H558" i="6"/>
  <c r="H226" i="6"/>
  <c r="H796" i="6"/>
  <c r="H251" i="6"/>
  <c r="H1190" i="6"/>
  <c r="H1148" i="6"/>
  <c r="H485" i="6"/>
  <c r="H242" i="6"/>
  <c r="H936" i="6"/>
  <c r="H436" i="6"/>
  <c r="H862" i="6"/>
  <c r="H1980" i="6"/>
  <c r="H1842" i="6"/>
  <c r="H2007" i="6"/>
  <c r="H632" i="6"/>
  <c r="H935" i="6"/>
  <c r="H1756" i="6"/>
  <c r="H1062" i="6"/>
  <c r="H186" i="6"/>
  <c r="H1044" i="6"/>
  <c r="H218" i="6"/>
  <c r="H411" i="6"/>
  <c r="H207" i="6"/>
  <c r="H1092" i="6"/>
  <c r="H778" i="6"/>
  <c r="H905" i="6"/>
  <c r="H219" i="6"/>
  <c r="H792" i="6"/>
  <c r="H412" i="6"/>
  <c r="H161" i="6"/>
  <c r="H1673" i="6"/>
  <c r="U1673" i="6" s="1"/>
  <c r="H1417" i="6"/>
  <c r="H1172" i="6"/>
  <c r="H362" i="6"/>
  <c r="H305" i="6"/>
  <c r="H1099" i="6"/>
  <c r="H166" i="6"/>
  <c r="H400" i="6"/>
  <c r="H785" i="6"/>
  <c r="H668" i="6"/>
  <c r="H1944" i="6"/>
  <c r="H1790" i="6"/>
  <c r="H1145" i="6"/>
  <c r="H20" i="6"/>
  <c r="H27" i="6"/>
  <c r="H603" i="6"/>
  <c r="H397" i="6"/>
  <c r="H880" i="6"/>
  <c r="H859" i="6"/>
  <c r="H1733" i="6"/>
  <c r="H449" i="6"/>
  <c r="H962" i="6"/>
  <c r="H774" i="6"/>
  <c r="H457" i="6"/>
  <c r="H1940" i="6"/>
  <c r="H1408" i="6"/>
  <c r="H554" i="6"/>
  <c r="H33" i="6"/>
  <c r="H1804" i="6"/>
  <c r="H1660" i="6"/>
  <c r="H1878" i="6"/>
  <c r="H209" i="6"/>
  <c r="H1519" i="6"/>
  <c r="H410" i="6"/>
  <c r="H321" i="6"/>
  <c r="H1201" i="6"/>
  <c r="H91" i="6"/>
  <c r="H1218" i="6"/>
  <c r="H1747" i="6"/>
  <c r="H1306" i="6"/>
  <c r="H1362" i="6"/>
  <c r="H120" i="6"/>
  <c r="H904" i="6"/>
  <c r="H224" i="6"/>
  <c r="H1619" i="6"/>
  <c r="H1611" i="6"/>
  <c r="H79" i="6"/>
  <c r="H125" i="6"/>
  <c r="H511" i="6"/>
  <c r="H1326" i="6"/>
  <c r="H794" i="6"/>
  <c r="H868" i="6"/>
  <c r="H510" i="6"/>
  <c r="H38" i="6"/>
  <c r="H1065" i="6"/>
  <c r="H1679" i="6"/>
  <c r="H1202" i="6"/>
  <c r="H1206" i="6"/>
  <c r="H169" i="6"/>
  <c r="H736" i="6"/>
  <c r="H1384" i="6"/>
  <c r="H442" i="6"/>
  <c r="H1938" i="6"/>
  <c r="H1322" i="6"/>
  <c r="H433" i="6"/>
  <c r="H332" i="6"/>
  <c r="H420" i="6"/>
  <c r="H768" i="6"/>
  <c r="H490" i="6"/>
  <c r="H1007" i="6"/>
  <c r="H182" i="6"/>
  <c r="H614" i="6"/>
  <c r="H543" i="6"/>
  <c r="H1551" i="6"/>
  <c r="H1992" i="6"/>
  <c r="H1026" i="6"/>
  <c r="H898" i="6"/>
  <c r="H965" i="6"/>
  <c r="H921" i="6"/>
  <c r="H1234" i="6"/>
  <c r="H1947" i="6"/>
  <c r="H1055" i="6"/>
  <c r="H452" i="6"/>
  <c r="H237" i="6"/>
  <c r="H93" i="6"/>
  <c r="H1089" i="6"/>
  <c r="H925" i="6"/>
  <c r="H1128" i="6"/>
  <c r="H340" i="6"/>
  <c r="H817" i="6"/>
  <c r="H243" i="6"/>
  <c r="H1430" i="6"/>
  <c r="H1146" i="6"/>
  <c r="H316" i="6"/>
  <c r="H525" i="6"/>
  <c r="H1061" i="6"/>
  <c r="H171" i="6"/>
  <c r="H682" i="6"/>
  <c r="H875" i="6"/>
  <c r="H541" i="6"/>
  <c r="H974" i="6"/>
  <c r="H882" i="6"/>
  <c r="H381" i="6"/>
  <c r="H960" i="6"/>
  <c r="H747" i="6"/>
  <c r="H67" i="6"/>
  <c r="H1793" i="6"/>
  <c r="H1844" i="6"/>
  <c r="H1891" i="6"/>
  <c r="H351" i="6"/>
  <c r="H1466" i="6"/>
  <c r="H1748" i="6"/>
  <c r="H1971" i="6"/>
  <c r="H1965" i="6"/>
  <c r="H1596" i="6"/>
  <c r="H177" i="6"/>
  <c r="H1953" i="6"/>
  <c r="H1948" i="6"/>
  <c r="H1805" i="6"/>
  <c r="H1696" i="6"/>
  <c r="H1862" i="6"/>
  <c r="H966" i="6"/>
  <c r="H465" i="6"/>
  <c r="H283" i="6"/>
  <c r="H1124" i="6"/>
  <c r="H698" i="6"/>
  <c r="H475" i="6"/>
  <c r="H2020" i="6"/>
  <c r="H1143" i="6"/>
  <c r="H524" i="6"/>
  <c r="H612" i="6"/>
  <c r="H681" i="6"/>
  <c r="H804" i="6"/>
  <c r="H625" i="6"/>
  <c r="H532" i="6"/>
  <c r="H1650" i="6"/>
  <c r="H1374" i="6"/>
  <c r="H308" i="6"/>
  <c r="H393" i="6"/>
  <c r="H102" i="6"/>
  <c r="H640" i="6"/>
  <c r="H274" i="6"/>
  <c r="H1402" i="6"/>
  <c r="H1289" i="6"/>
  <c r="H1196" i="6"/>
  <c r="H338" i="6"/>
  <c r="H1033" i="6"/>
  <c r="H323" i="6"/>
  <c r="H435" i="6"/>
  <c r="H105" i="6"/>
  <c r="H928" i="6"/>
  <c r="H1554" i="6"/>
  <c r="H1112" i="6"/>
  <c r="H793" i="6"/>
  <c r="H869" i="6"/>
  <c r="H2023" i="6"/>
  <c r="H978" i="6"/>
  <c r="H1582" i="6"/>
  <c r="H566" i="6"/>
  <c r="H1027" i="6"/>
  <c r="H676" i="6"/>
  <c r="H1176" i="6"/>
  <c r="H941" i="6"/>
  <c r="H1875" i="6"/>
  <c r="H1985" i="6"/>
  <c r="H1685" i="6"/>
  <c r="H1724" i="6"/>
  <c r="H1467" i="6"/>
  <c r="H1498" i="6"/>
  <c r="H683" i="6"/>
  <c r="H727" i="6"/>
  <c r="H107" i="6"/>
  <c r="H1815" i="6"/>
  <c r="H188" i="6"/>
  <c r="H950" i="6"/>
  <c r="H422" i="6"/>
  <c r="H1274" i="6"/>
  <c r="H1222" i="6"/>
  <c r="H1823" i="6"/>
  <c r="H189" i="6"/>
  <c r="H1779" i="6"/>
  <c r="H1879" i="6"/>
  <c r="H503" i="6"/>
  <c r="H957" i="6"/>
  <c r="H770" i="6"/>
  <c r="H861" i="6"/>
  <c r="H815" i="6"/>
  <c r="H312" i="6"/>
  <c r="H834" i="6"/>
  <c r="H1041" i="6"/>
  <c r="H337" i="6"/>
  <c r="H580" i="6"/>
  <c r="H994" i="6"/>
  <c r="H333" i="6"/>
  <c r="H1575" i="6"/>
  <c r="H1988" i="6"/>
  <c r="H1663" i="6"/>
  <c r="H344" i="6"/>
  <c r="H1064" i="6"/>
  <c r="H653" i="6"/>
  <c r="H221" i="6"/>
  <c r="H927" i="6"/>
  <c r="H190" i="6"/>
  <c r="H1627" i="6"/>
  <c r="H1920" i="6"/>
  <c r="H611" i="6"/>
  <c r="H45" i="6"/>
  <c r="H294" i="6"/>
  <c r="H709" i="6"/>
  <c r="H1084" i="6"/>
  <c r="H299" i="6"/>
  <c r="H1843" i="6"/>
  <c r="H1330" i="6"/>
  <c r="H77" i="6"/>
  <c r="H884" i="6"/>
  <c r="H1189" i="6"/>
  <c r="H517" i="6"/>
  <c r="H1757" i="6"/>
  <c r="H1735" i="6"/>
  <c r="H1946" i="6"/>
  <c r="H1395" i="6"/>
  <c r="U1395" i="6" s="1"/>
  <c r="H1258" i="6"/>
  <c r="H1951" i="6"/>
  <c r="H402" i="6"/>
  <c r="H1525" i="6"/>
  <c r="H191" i="6"/>
  <c r="H788" i="6"/>
  <c r="H447" i="6"/>
  <c r="H391" i="6"/>
  <c r="H751" i="6"/>
  <c r="H943" i="6"/>
  <c r="H1115" i="6"/>
  <c r="H1024" i="6"/>
  <c r="H991" i="6"/>
  <c r="H1107" i="6"/>
  <c r="H600" i="6"/>
  <c r="H692" i="6"/>
  <c r="H854" i="6"/>
  <c r="H178" i="6"/>
  <c r="H66" i="6"/>
  <c r="H49" i="6"/>
  <c r="H61" i="6"/>
  <c r="H1342" i="6"/>
  <c r="H1927" i="6"/>
  <c r="H816" i="6"/>
  <c r="H1973" i="6"/>
  <c r="H1405" i="6"/>
  <c r="H1515" i="6"/>
  <c r="H669" i="6"/>
  <c r="H1839" i="6"/>
  <c r="H1688" i="6"/>
  <c r="H1252" i="6"/>
  <c r="H963" i="6"/>
  <c r="H172" i="6"/>
  <c r="H388" i="6"/>
  <c r="H520" i="6"/>
  <c r="H637" i="6"/>
  <c r="H330" i="6"/>
  <c r="H1054" i="6"/>
  <c r="H1097" i="6"/>
  <c r="H598" i="6"/>
  <c r="H311" i="6"/>
  <c r="H704" i="6"/>
  <c r="H705" i="6"/>
  <c r="H667" i="6"/>
  <c r="H970" i="6"/>
  <c r="H897" i="6"/>
  <c r="H1717" i="6"/>
  <c r="H273" i="6"/>
  <c r="H993" i="6"/>
  <c r="H1100" i="6"/>
  <c r="H489" i="6"/>
  <c r="H51" i="6"/>
  <c r="H179" i="6"/>
  <c r="H2026" i="6"/>
  <c r="H1630" i="6"/>
  <c r="H569" i="6"/>
  <c r="H537" i="6"/>
  <c r="H1129" i="6"/>
  <c r="H249" i="6"/>
  <c r="H571" i="6"/>
  <c r="H1116" i="6"/>
  <c r="H885" i="6"/>
  <c r="H1822" i="6"/>
  <c r="H1048" i="6"/>
  <c r="H750" i="6"/>
  <c r="H1608" i="6"/>
  <c r="H1750" i="6"/>
  <c r="H1868" i="6"/>
  <c r="H493" i="6"/>
  <c r="H1042" i="6"/>
  <c r="H626" i="6"/>
  <c r="H281" i="6"/>
  <c r="H644" i="6"/>
  <c r="H187" i="6"/>
  <c r="H1169" i="6"/>
  <c r="H194" i="6"/>
  <c r="H284" i="6"/>
  <c r="H94" i="6"/>
  <c r="H2010" i="6"/>
  <c r="H1930" i="6"/>
  <c r="H1986" i="6"/>
  <c r="H313" i="6"/>
  <c r="H58" i="6"/>
  <c r="H1754" i="6"/>
  <c r="H845" i="6"/>
  <c r="H743" i="6"/>
  <c r="H1079" i="6"/>
  <c r="H471" i="6"/>
  <c r="H417" i="6"/>
  <c r="H1105" i="6"/>
  <c r="H1150" i="6"/>
  <c r="H1941" i="6"/>
  <c r="H1511" i="6"/>
  <c r="H1919" i="6"/>
  <c r="H429" i="6"/>
  <c r="H1162" i="6"/>
  <c r="H835" i="6"/>
  <c r="H1438" i="6"/>
  <c r="H1351" i="6"/>
  <c r="H1459" i="6"/>
  <c r="H1620" i="6"/>
  <c r="H1792" i="6"/>
  <c r="H1154" i="6"/>
  <c r="H619" i="6"/>
  <c r="H1334" i="6"/>
  <c r="H1403" i="6"/>
  <c r="H1741" i="6"/>
  <c r="H1867" i="6"/>
  <c r="H1465" i="6"/>
  <c r="H455" i="6"/>
  <c r="H641" i="6"/>
  <c r="H1090" i="6"/>
  <c r="H266" i="6"/>
  <c r="H725" i="6"/>
  <c r="H380" i="6"/>
  <c r="H216" i="6"/>
  <c r="H526" i="6"/>
  <c r="H1188" i="6"/>
  <c r="H789" i="6"/>
  <c r="H1732" i="6"/>
  <c r="H1840" i="6"/>
  <c r="H428" i="6"/>
  <c r="H822" i="6"/>
  <c r="H1020" i="6"/>
  <c r="H1144" i="6"/>
  <c r="H742" i="6"/>
  <c r="H883" i="6"/>
  <c r="H1500" i="6"/>
  <c r="H1974" i="6"/>
  <c r="H2016" i="6"/>
  <c r="H1572" i="6"/>
  <c r="H740" i="6"/>
  <c r="H947" i="6"/>
  <c r="H111" i="6"/>
  <c r="H421" i="6"/>
  <c r="H88" i="6"/>
  <c r="H540" i="6"/>
  <c r="H1624" i="6"/>
  <c r="H1907" i="6"/>
  <c r="H1468" i="6"/>
  <c r="H1212" i="6"/>
  <c r="H113" i="6"/>
  <c r="H657" i="6"/>
  <c r="H1744" i="6"/>
  <c r="H1391" i="6"/>
  <c r="H1477" i="6"/>
  <c r="H1191" i="6"/>
  <c r="H1039" i="6"/>
  <c r="H1593" i="6"/>
  <c r="H460" i="6"/>
  <c r="H1924" i="6"/>
  <c r="H170" i="6"/>
  <c r="H438" i="6"/>
  <c r="H559" i="6"/>
  <c r="H1068" i="6"/>
  <c r="H1404" i="6"/>
  <c r="H1721" i="6"/>
  <c r="H647" i="6"/>
  <c r="H1672" i="6"/>
  <c r="H779" i="6"/>
  <c r="H662" i="6"/>
  <c r="H605" i="6"/>
  <c r="H592" i="6"/>
  <c r="H1298" i="6"/>
  <c r="H372" i="6"/>
  <c r="H1230" i="6"/>
  <c r="H2030" i="6"/>
  <c r="H1586" i="6"/>
  <c r="H881" i="6"/>
  <c r="H320" i="6"/>
  <c r="H1478" i="6"/>
  <c r="H29" i="6"/>
  <c r="H317" i="6"/>
  <c r="H573" i="6"/>
  <c r="H271" i="6"/>
  <c r="H1125" i="6"/>
  <c r="H1527" i="6"/>
  <c r="H141" i="6"/>
  <c r="H144" i="6"/>
  <c r="H1074" i="6"/>
  <c r="H1803" i="6"/>
  <c r="H1563" i="6"/>
  <c r="H1406" i="6"/>
  <c r="H1110" i="6"/>
  <c r="H461" i="6"/>
  <c r="H1180" i="6"/>
  <c r="H574" i="6"/>
  <c r="H922" i="6"/>
  <c r="H1903" i="6"/>
  <c r="U1903" i="6" s="1"/>
  <c r="H648" i="6"/>
  <c r="H649" i="6"/>
  <c r="H162" i="6"/>
  <c r="H765" i="6"/>
  <c r="H127" i="6"/>
  <c r="H427" i="6"/>
  <c r="H63" i="6"/>
  <c r="H1874" i="6"/>
  <c r="H1354" i="6"/>
  <c r="H1456" i="6"/>
  <c r="H1262" i="6"/>
  <c r="H440" i="6"/>
  <c r="H343" i="6"/>
  <c r="H1691" i="6"/>
  <c r="H1160" i="6"/>
  <c r="H104" i="6"/>
  <c r="H518" i="6"/>
  <c r="H1043" i="6"/>
  <c r="H147" i="6"/>
  <c r="H852" i="6"/>
  <c r="H939" i="6"/>
  <c r="H235" i="6"/>
  <c r="H833" i="6"/>
  <c r="H383" i="6"/>
  <c r="H512" i="6"/>
  <c r="H480" i="6"/>
  <c r="H717" i="6"/>
  <c r="H930" i="6"/>
  <c r="H786" i="6"/>
  <c r="H364" i="6"/>
  <c r="H1932" i="6"/>
  <c r="H1442" i="6"/>
  <c r="H1831" i="6"/>
  <c r="H1904" i="6"/>
  <c r="H368" i="6"/>
  <c r="H811" i="6"/>
  <c r="H250" i="6"/>
  <c r="H1935" i="6"/>
  <c r="H1210" i="6"/>
  <c r="H43" i="6"/>
  <c r="H795" i="6"/>
  <c r="H684" i="6"/>
  <c r="H1133" i="6"/>
  <c r="H980" i="6"/>
  <c r="H230" i="6"/>
  <c r="H1069" i="6"/>
  <c r="H282" i="6"/>
  <c r="H1003" i="6"/>
  <c r="H231" i="6"/>
  <c r="H35" i="6"/>
  <c r="H1491" i="6"/>
  <c r="H2018" i="6"/>
  <c r="H1591" i="6"/>
  <c r="H610" i="6"/>
  <c r="H1913" i="6"/>
  <c r="U1913" i="6" s="1"/>
  <c r="H1093" i="6"/>
  <c r="H680" i="6"/>
  <c r="H371" i="6"/>
  <c r="H509" i="6"/>
  <c r="H522" i="6"/>
  <c r="H477" i="6"/>
  <c r="H620" i="6"/>
  <c r="H1763" i="6"/>
  <c r="H1418" i="6"/>
  <c r="H198" i="6"/>
  <c r="H621" i="6"/>
  <c r="H90" i="6"/>
  <c r="H154" i="6"/>
  <c r="H409" i="6"/>
  <c r="H491" i="6"/>
  <c r="H1539" i="6"/>
  <c r="H1106" i="6"/>
  <c r="H278" i="6"/>
  <c r="H627" i="6"/>
  <c r="H951" i="6"/>
  <c r="H1120" i="6"/>
  <c r="H710" i="6"/>
  <c r="H587" i="6"/>
  <c r="H1292" i="6"/>
  <c r="H1233" i="6"/>
  <c r="H1780" i="6"/>
  <c r="H1771" i="6"/>
  <c r="H1871" i="6"/>
  <c r="H1528" i="6"/>
  <c r="H1544" i="6"/>
  <c r="H1507" i="6"/>
  <c r="H418" i="6"/>
  <c r="H150" i="6"/>
  <c r="H302" i="6"/>
  <c r="H528" i="6"/>
  <c r="H660" i="6"/>
  <c r="H97" i="6"/>
  <c r="H1571" i="6"/>
  <c r="H1788" i="6"/>
  <c r="H968" i="6"/>
  <c r="H222" i="6"/>
  <c r="H1950" i="6"/>
  <c r="H208" i="6"/>
  <c r="H390" i="6"/>
  <c r="H1381" i="6"/>
  <c r="H1463" i="6"/>
  <c r="H1170" i="6"/>
  <c r="H628" i="6"/>
  <c r="H582" i="6"/>
  <c r="H36" i="6"/>
  <c r="H369" i="6"/>
  <c r="H1075" i="6"/>
  <c r="H871" i="6"/>
  <c r="H241" i="6"/>
  <c r="H175" i="6"/>
  <c r="H1766" i="6"/>
  <c r="H1886" i="6"/>
  <c r="H1359" i="6"/>
  <c r="H1852" i="6"/>
  <c r="H458" i="6"/>
  <c r="H1471" i="6"/>
  <c r="H1140" i="6"/>
  <c r="H1177" i="6"/>
  <c r="H1427" i="6"/>
  <c r="H13" i="6"/>
  <c r="H1103" i="6"/>
  <c r="H529" i="6"/>
  <c r="H602" i="6"/>
  <c r="H1251" i="6"/>
  <c r="H1661" i="6"/>
  <c r="H131" i="6"/>
  <c r="H401" i="6"/>
  <c r="H539" i="6"/>
  <c r="U539" i="6" s="1"/>
  <c r="H911" i="6"/>
  <c r="H870" i="6"/>
  <c r="H1435" i="6"/>
  <c r="H135" i="6"/>
  <c r="H513" i="6"/>
  <c r="H1231" i="6"/>
  <c r="H1375" i="6"/>
  <c r="H71" i="6"/>
  <c r="H384" i="6"/>
  <c r="H1118" i="6"/>
  <c r="H830" i="6"/>
  <c r="H319" i="6"/>
  <c r="H987" i="6"/>
  <c r="H349" i="6"/>
  <c r="H718" i="6"/>
  <c r="H1888" i="6"/>
  <c r="H155" i="6"/>
  <c r="U155" i="6" s="1"/>
  <c r="H314" i="6"/>
  <c r="H1040" i="6"/>
  <c r="H1153" i="6"/>
  <c r="H355" i="6"/>
  <c r="H451" i="6"/>
  <c r="H358" i="6"/>
  <c r="H844" i="6"/>
  <c r="H257" i="6"/>
  <c r="H1440" i="6"/>
  <c r="H1934" i="6"/>
  <c r="H1989" i="6"/>
  <c r="H1319" i="6"/>
  <c r="H1588" i="6"/>
  <c r="H760" i="6"/>
  <c r="H1716" i="6"/>
  <c r="H126" i="6"/>
  <c r="H1059" i="6"/>
  <c r="H1387" i="6"/>
  <c r="H552" i="6"/>
  <c r="H1535" i="6"/>
  <c r="H1091" i="6"/>
  <c r="H726" i="6"/>
  <c r="H1045" i="6"/>
  <c r="H168" i="6"/>
  <c r="H783" i="6"/>
  <c r="H567" i="6"/>
  <c r="H1636" i="6"/>
  <c r="H347" i="6"/>
  <c r="H806" i="6"/>
  <c r="H1001" i="6"/>
  <c r="H545" i="6"/>
  <c r="H419" i="6"/>
  <c r="H731" i="6"/>
  <c r="H813" i="6"/>
  <c r="H225" i="6"/>
  <c r="H888" i="6"/>
  <c r="H1014" i="6"/>
  <c r="H937" i="6"/>
  <c r="H142" i="6"/>
  <c r="H917" i="6"/>
  <c r="H1303" i="6"/>
  <c r="H1644" i="6"/>
  <c r="H1708" i="6"/>
  <c r="H1283" i="6"/>
  <c r="U1283" i="6" s="1"/>
  <c r="H1193" i="6"/>
  <c r="H44" i="6"/>
  <c r="H754" i="6"/>
  <c r="H893" i="6"/>
  <c r="H1718" i="6"/>
  <c r="H260" i="6"/>
  <c r="H679" i="6"/>
  <c r="H34" i="6"/>
  <c r="H469" i="6"/>
  <c r="H167" i="6"/>
  <c r="H1194" i="6"/>
  <c r="H95" i="6"/>
  <c r="H933" i="6"/>
  <c r="H160" i="6"/>
  <c r="H985" i="6"/>
  <c r="H1070" i="6"/>
  <c r="H678" i="6"/>
  <c r="H901" i="6"/>
  <c r="H1137" i="6"/>
  <c r="H572" i="6"/>
  <c r="H181" i="6"/>
  <c r="H1000" i="6"/>
  <c r="H1205" i="6"/>
  <c r="H1088" i="6"/>
  <c r="H695" i="6"/>
  <c r="H712" i="6"/>
  <c r="H687" i="6"/>
  <c r="H595" i="6"/>
  <c r="H277" i="6"/>
  <c r="H367" i="6"/>
  <c r="H1284" i="6"/>
  <c r="H1228" i="6"/>
  <c r="H14" i="6"/>
  <c r="H213" i="6"/>
  <c r="H999" i="6"/>
  <c r="H432" i="6"/>
  <c r="H1018" i="6"/>
  <c r="H502" i="6"/>
  <c r="H2024" i="6"/>
  <c r="H263" i="6"/>
  <c r="H1248" i="6"/>
  <c r="H245" i="6"/>
  <c r="H584" i="6"/>
  <c r="H955" i="6"/>
  <c r="H19" i="6"/>
  <c r="H28" i="6"/>
  <c r="H389" i="6"/>
  <c r="H446" i="6"/>
  <c r="H858" i="6"/>
  <c r="H624" i="6"/>
  <c r="H1280" i="6"/>
  <c r="H1739" i="6"/>
  <c r="H1956" i="6"/>
  <c r="H1702" i="6"/>
  <c r="H1353" i="6"/>
  <c r="H1122" i="6"/>
  <c r="H797" i="6"/>
  <c r="H818" i="6"/>
  <c r="H137" i="6"/>
  <c r="H975" i="6"/>
  <c r="H378" i="6"/>
  <c r="H1605" i="6"/>
  <c r="H1325" i="6"/>
  <c r="H1372" i="6"/>
  <c r="H504" i="6"/>
  <c r="H204" i="6"/>
  <c r="H1958" i="6"/>
  <c r="H392" i="6"/>
  <c r="H354" i="6"/>
  <c r="H276" i="6"/>
  <c r="H633" i="6"/>
  <c r="H836" i="6"/>
  <c r="H1022" i="6"/>
  <c r="H382" i="6"/>
  <c r="H1166" i="6"/>
  <c r="H1016" i="6"/>
  <c r="H279" i="6"/>
  <c r="H865" i="6"/>
  <c r="H949" i="6"/>
  <c r="H696" i="6"/>
  <c r="H1513" i="6"/>
  <c r="U1513" i="6" s="1"/>
  <c r="H75" i="6"/>
  <c r="H309" i="6"/>
  <c r="H1492" i="6"/>
  <c r="H1631" i="6"/>
  <c r="H1268" i="6"/>
  <c r="H1533" i="6"/>
  <c r="H1968" i="6"/>
  <c r="H1787" i="6"/>
  <c r="H1945" i="6"/>
  <c r="U1945" i="6" s="1"/>
  <c r="H630" i="6"/>
  <c r="H739" i="6"/>
  <c r="H655" i="6"/>
  <c r="H2000" i="6"/>
  <c r="H1556" i="6"/>
  <c r="H345" i="6"/>
  <c r="H259" i="6"/>
  <c r="H1917" i="6"/>
  <c r="H773" i="6"/>
  <c r="H1058" i="6"/>
  <c r="H924" i="6"/>
  <c r="H931" i="6"/>
  <c r="H767" i="6"/>
  <c r="H1749" i="6"/>
  <c r="H1827" i="6"/>
  <c r="H470" i="6"/>
  <c r="H576" i="6"/>
  <c r="H336" i="6"/>
  <c r="H363" i="6"/>
  <c r="H523" i="6"/>
  <c r="H1849" i="6"/>
  <c r="U1849" i="6" s="1"/>
  <c r="H1700" i="6"/>
  <c r="H326" i="6"/>
  <c r="H158" i="6"/>
  <c r="H413" i="6"/>
  <c r="H843" i="6"/>
  <c r="H69" i="6"/>
  <c r="H831" i="6"/>
  <c r="H487" i="6"/>
  <c r="H139" i="6"/>
  <c r="H643" i="6"/>
  <c r="H101" i="6"/>
  <c r="H15" i="6"/>
  <c r="H1545" i="6"/>
  <c r="U1545" i="6" s="1"/>
  <c r="H1892" i="6"/>
  <c r="H2029" i="6"/>
  <c r="H1581" i="6"/>
  <c r="H1393" i="6"/>
  <c r="H1496" i="6"/>
  <c r="H1639" i="6"/>
  <c r="H677" i="6"/>
  <c r="H645" i="6"/>
  <c r="H1002" i="6"/>
  <c r="H331" i="6"/>
  <c r="H1937" i="6"/>
  <c r="H11" i="6"/>
  <c r="H83" i="6"/>
  <c r="H296" i="6"/>
  <c r="H791" i="6"/>
  <c r="H437" i="6"/>
  <c r="H395" i="6"/>
  <c r="H1832" i="6"/>
  <c r="H2009" i="6"/>
  <c r="U2009" i="6" s="1"/>
  <c r="H32" i="6"/>
  <c r="H590" i="6"/>
  <c r="H848" i="6"/>
  <c r="H920" i="6"/>
  <c r="H405" i="6"/>
  <c r="H546" i="6"/>
  <c r="H1029" i="6"/>
  <c r="H900" i="6"/>
  <c r="H1035" i="6"/>
  <c r="H48" i="6"/>
  <c r="H501" i="6"/>
  <c r="H220" i="6"/>
  <c r="H1015" i="6"/>
  <c r="H744" i="6"/>
  <c r="H1641" i="6"/>
  <c r="H1760" i="6"/>
  <c r="H1390" i="6"/>
  <c r="H1811" i="6"/>
  <c r="H1178" i="6"/>
  <c r="H116" i="6"/>
  <c r="H52" i="6"/>
  <c r="H872" i="6"/>
  <c r="H1081" i="6"/>
  <c r="H638" i="6"/>
  <c r="H549" i="6"/>
  <c r="H72" i="6"/>
  <c r="H906" i="6"/>
  <c r="H1165" i="6"/>
  <c r="H375" i="6"/>
  <c r="H952" i="6"/>
  <c r="H1152" i="6"/>
  <c r="H2021" i="6"/>
  <c r="U2021" i="6" s="1"/>
  <c r="H1590" i="6"/>
  <c r="H1633" i="6"/>
  <c r="H357" i="6"/>
  <c r="H1850" i="6"/>
  <c r="H849" i="6"/>
  <c r="H1157" i="6"/>
  <c r="H350" i="6"/>
  <c r="H762" i="6"/>
  <c r="H1676" i="6"/>
  <c r="H1861" i="6"/>
  <c r="U1861" i="6" s="1"/>
  <c r="H1838" i="6"/>
  <c r="H265" i="6"/>
  <c r="H203" i="6"/>
  <c r="H693" i="6"/>
  <c r="H948" i="6"/>
  <c r="H805" i="6"/>
  <c r="H5" i="6"/>
  <c r="H1983" i="6"/>
  <c r="H1609" i="6"/>
  <c r="U1609" i="6" s="1"/>
  <c r="H1694" i="6"/>
  <c r="H117" i="6"/>
  <c r="H1184" i="6"/>
  <c r="H533" i="6"/>
  <c r="H206" i="6"/>
  <c r="H527" i="6"/>
  <c r="H821" i="6"/>
  <c r="H720" i="6"/>
  <c r="H1460" i="6"/>
  <c r="H1655" i="6"/>
  <c r="H1877" i="6"/>
  <c r="H468" i="6"/>
  <c r="H184" i="6"/>
  <c r="H829" i="6"/>
  <c r="U829" i="6" s="1"/>
  <c r="H857" i="6"/>
  <c r="H1316" i="6"/>
  <c r="H1532" i="6"/>
  <c r="H1522" i="6"/>
  <c r="H1856" i="6"/>
  <c r="H476" i="6"/>
  <c r="H62" i="6"/>
  <c r="H92" i="6"/>
  <c r="H1117" i="6"/>
  <c r="H39" i="6"/>
  <c r="H1104" i="6"/>
  <c r="H1897" i="6"/>
  <c r="H753" i="6"/>
  <c r="H954" i="6"/>
  <c r="H973" i="6"/>
  <c r="H109" i="6"/>
  <c r="H445" i="6"/>
  <c r="H538" i="6"/>
  <c r="H197" i="6"/>
  <c r="H119" i="6"/>
  <c r="H1399" i="6"/>
  <c r="H1484" i="6"/>
  <c r="H1801" i="6"/>
  <c r="U1801" i="6" s="1"/>
  <c r="H1199" i="6"/>
  <c r="H896" i="6"/>
  <c r="H646" i="6"/>
  <c r="H1347" i="6"/>
  <c r="H1389" i="6"/>
  <c r="H1952" i="6"/>
  <c r="H165" i="6"/>
  <c r="H156" i="6"/>
  <c r="H118" i="6"/>
  <c r="H1025" i="6"/>
  <c r="H910" i="6"/>
  <c r="H976" i="6"/>
  <c r="H130" i="6"/>
  <c r="H1501" i="6"/>
  <c r="H1865" i="6"/>
  <c r="H1727" i="6"/>
  <c r="H1629" i="6"/>
  <c r="H339" i="6"/>
  <c r="H289" i="6"/>
  <c r="H1130" i="6"/>
  <c r="H1053" i="6"/>
  <c r="H715" i="6"/>
  <c r="H110" i="6"/>
  <c r="H341" i="6"/>
  <c r="H1076" i="6"/>
  <c r="H192" i="6"/>
  <c r="H387" i="6"/>
  <c r="H819" i="6"/>
  <c r="H348" i="6"/>
  <c r="H328" i="6"/>
  <c r="H310" i="6"/>
  <c r="H267" i="6"/>
  <c r="H1109" i="6"/>
  <c r="H560" i="6"/>
  <c r="H1255" i="6"/>
  <c r="H1622" i="6"/>
  <c r="H542" i="6"/>
  <c r="H1067" i="6"/>
  <c r="H810" i="6"/>
  <c r="H1060" i="6"/>
  <c r="H1207" i="6"/>
  <c r="H847" i="6"/>
  <c r="H1200" i="6"/>
  <c r="H53" i="6"/>
  <c r="H1657" i="6"/>
  <c r="H1693" i="6"/>
  <c r="H1765" i="6"/>
  <c r="H686" i="6"/>
  <c r="H254" i="6"/>
  <c r="H359" i="6"/>
  <c r="H984" i="6"/>
  <c r="H651" i="6"/>
  <c r="H730" i="6"/>
  <c r="H1909" i="6"/>
  <c r="H2017" i="6"/>
  <c r="H597" i="6"/>
  <c r="H763" i="6"/>
  <c r="H814" i="6"/>
  <c r="H1910" i="6"/>
  <c r="H1219" i="6"/>
  <c r="H1837" i="6"/>
  <c r="R108" i="6" l="1"/>
  <c r="T108" i="6" s="1"/>
  <c r="P108" i="6"/>
  <c r="R1662" i="6"/>
  <c r="T1662" i="6" s="1"/>
  <c r="P1662" i="6"/>
  <c r="R441" i="6"/>
  <c r="T441" i="6" s="1"/>
  <c r="P441" i="6"/>
  <c r="R1884" i="6"/>
  <c r="T1884" i="6" s="1"/>
  <c r="P1884" i="6"/>
  <c r="R885" i="6"/>
  <c r="T885" i="6" s="1"/>
  <c r="P885" i="6"/>
  <c r="R663" i="6"/>
  <c r="T663" i="6" s="1"/>
  <c r="P663" i="6"/>
  <c r="R996" i="6"/>
  <c r="T996" i="6" s="1"/>
  <c r="P996" i="6"/>
  <c r="P111" i="6"/>
  <c r="R111" i="6" s="1"/>
  <c r="P777" i="6"/>
  <c r="R777" i="6" s="1"/>
  <c r="R1440" i="6"/>
  <c r="T1440" i="6" s="1"/>
  <c r="P1440" i="6"/>
  <c r="P1776" i="6"/>
  <c r="R1776" i="6" s="1"/>
  <c r="R555" i="6"/>
  <c r="T555" i="6" s="1"/>
  <c r="R1329" i="6"/>
  <c r="T1329" i="6" s="1"/>
  <c r="P1329" i="6"/>
  <c r="R888" i="6"/>
  <c r="T888" i="6" s="1"/>
  <c r="P888" i="6"/>
  <c r="U1446" i="6"/>
  <c r="R774" i="6"/>
  <c r="T774" i="6" s="1"/>
  <c r="P774" i="6"/>
  <c r="R1665" i="6"/>
  <c r="T1665" i="6" s="1"/>
  <c r="P1665" i="6"/>
  <c r="P1554" i="6"/>
  <c r="R1554" i="6" s="1"/>
  <c r="P444" i="6"/>
  <c r="R444" i="6" s="1"/>
  <c r="R330" i="6"/>
  <c r="T330" i="6" s="1"/>
  <c r="P330" i="6"/>
  <c r="P1332" i="6"/>
  <c r="R1332" i="6" s="1"/>
  <c r="P333" i="6"/>
  <c r="R333" i="6" s="1"/>
  <c r="R1887" i="6"/>
  <c r="T1887" i="6" s="1"/>
  <c r="P1887" i="6"/>
  <c r="U133" i="6"/>
  <c r="U1817" i="6"/>
  <c r="U801" i="6"/>
  <c r="U1812" i="6"/>
  <c r="R1107" i="6"/>
  <c r="T1107" i="6" s="1"/>
  <c r="P1107" i="6"/>
  <c r="P222" i="6"/>
  <c r="R222" i="6" s="1"/>
  <c r="R552" i="6"/>
  <c r="T552" i="6" s="1"/>
  <c r="P552" i="6"/>
  <c r="R1110" i="6"/>
  <c r="T1110" i="6" s="1"/>
  <c r="P1110" i="6"/>
  <c r="R1218" i="6"/>
  <c r="T1218" i="6" s="1"/>
  <c r="P1218" i="6"/>
  <c r="R1551" i="6"/>
  <c r="T1551" i="6" s="1"/>
  <c r="P1551" i="6"/>
  <c r="U1906" i="6"/>
  <c r="U676" i="6"/>
  <c r="U210" i="6"/>
  <c r="R1998" i="6"/>
  <c r="T1998" i="6" s="1"/>
  <c r="P1998" i="6"/>
  <c r="R1995" i="6"/>
  <c r="T1995" i="6" s="1"/>
  <c r="P1995" i="6"/>
  <c r="R219" i="6"/>
  <c r="T219" i="6" s="1"/>
  <c r="P219" i="6"/>
  <c r="P1443" i="6"/>
  <c r="R1443" i="6" s="1"/>
  <c r="P1773" i="6"/>
  <c r="P1221" i="6"/>
  <c r="R1221" i="6" s="1"/>
  <c r="P999" i="6"/>
  <c r="R999" i="6" s="1"/>
  <c r="P666" i="6"/>
  <c r="R666" i="6" s="1"/>
  <c r="U1091" i="6"/>
  <c r="U1518" i="6"/>
  <c r="U661" i="6"/>
  <c r="U1187" i="6"/>
  <c r="U677" i="6"/>
  <c r="U1303" i="6"/>
  <c r="U1301" i="6"/>
  <c r="U631" i="6"/>
  <c r="U761" i="6"/>
  <c r="U1223" i="6"/>
  <c r="U279" i="6"/>
  <c r="U997" i="6"/>
  <c r="U701" i="6"/>
  <c r="U1645" i="6"/>
  <c r="U1029" i="6"/>
  <c r="U1681" i="6"/>
  <c r="U863" i="6"/>
  <c r="U551" i="6"/>
  <c r="U917" i="6"/>
  <c r="U939" i="6"/>
  <c r="U1057" i="6"/>
  <c r="U1965" i="6"/>
  <c r="U1911" i="6"/>
  <c r="U1527" i="6"/>
  <c r="U433" i="6"/>
  <c r="U399" i="6"/>
  <c r="U425" i="6"/>
  <c r="U307" i="6"/>
  <c r="U1659" i="6"/>
  <c r="U1897" i="6"/>
  <c r="U1895" i="6"/>
  <c r="U949" i="6"/>
  <c r="U321" i="6"/>
  <c r="U653" i="6"/>
  <c r="U479" i="6"/>
  <c r="U1643" i="6"/>
  <c r="U813" i="6"/>
  <c r="U93" i="6"/>
  <c r="U299" i="6"/>
  <c r="U441" i="6"/>
  <c r="U339" i="6"/>
  <c r="U379" i="6"/>
  <c r="U1185" i="6"/>
  <c r="U1663" i="6"/>
  <c r="U1453" i="6"/>
  <c r="U495" i="6"/>
  <c r="U1403" i="6"/>
  <c r="U1883" i="6"/>
  <c r="U1011" i="6"/>
  <c r="U1865" i="6"/>
  <c r="U1429" i="6"/>
  <c r="U785" i="6"/>
  <c r="U1985" i="6"/>
  <c r="U777" i="6"/>
  <c r="U149" i="6"/>
  <c r="U1829" i="6"/>
  <c r="U759" i="6"/>
  <c r="U1379" i="6"/>
  <c r="U867" i="6"/>
  <c r="U1111" i="6"/>
  <c r="U1211" i="6"/>
  <c r="U1689" i="6"/>
  <c r="U1297" i="6"/>
  <c r="U879" i="6"/>
  <c r="U763" i="6"/>
  <c r="U655" i="6"/>
  <c r="U1109" i="6"/>
  <c r="U1161" i="6"/>
  <c r="U809" i="6"/>
  <c r="U333" i="6"/>
  <c r="U1553" i="6"/>
  <c r="U693" i="6"/>
  <c r="U1417" i="6"/>
  <c r="U349" i="6"/>
  <c r="U995" i="6"/>
  <c r="U845" i="6"/>
  <c r="U1597" i="6"/>
  <c r="U665" i="6"/>
  <c r="U1375" i="6"/>
  <c r="U743" i="6"/>
  <c r="U1053" i="6"/>
  <c r="U337" i="6"/>
  <c r="U1649" i="6"/>
  <c r="U135" i="6"/>
  <c r="U713" i="6"/>
  <c r="U113" i="6"/>
  <c r="U141" i="6"/>
  <c r="U1419" i="6"/>
  <c r="U67" i="6"/>
  <c r="U861" i="6"/>
  <c r="U827" i="6"/>
  <c r="U215" i="6"/>
  <c r="U1271" i="6"/>
  <c r="U581" i="6"/>
  <c r="U1757" i="6"/>
  <c r="U1263" i="6"/>
  <c r="U717" i="6"/>
  <c r="U2013" i="6"/>
  <c r="U271" i="6"/>
  <c r="U1667" i="6"/>
  <c r="U471" i="6"/>
  <c r="U183" i="6"/>
  <c r="U889" i="6"/>
  <c r="U477" i="6"/>
  <c r="U1787" i="6"/>
  <c r="U119" i="6"/>
  <c r="U499" i="6"/>
  <c r="U565" i="6"/>
  <c r="U625" i="6"/>
  <c r="U915" i="6"/>
  <c r="U475" i="6"/>
  <c r="U1835" i="6"/>
  <c r="U1855" i="6"/>
  <c r="U1425" i="6"/>
  <c r="U1113" i="6"/>
  <c r="U313" i="6"/>
  <c r="U689" i="6"/>
  <c r="U729" i="6"/>
  <c r="U1539" i="6"/>
  <c r="U563" i="6"/>
  <c r="U1019" i="6"/>
  <c r="U53" i="6"/>
  <c r="U1573" i="6"/>
  <c r="U957" i="6"/>
  <c r="U419" i="6"/>
  <c r="U487" i="6"/>
  <c r="U1205" i="6"/>
  <c r="U597" i="6"/>
  <c r="U245" i="6"/>
  <c r="U1027" i="6"/>
  <c r="U1917" i="6"/>
  <c r="U697" i="6"/>
  <c r="U975" i="6"/>
  <c r="U69" i="6"/>
  <c r="U927" i="6"/>
  <c r="U1899" i="6"/>
  <c r="U1175" i="6"/>
  <c r="U1983" i="6"/>
  <c r="U247" i="6"/>
  <c r="U325" i="6"/>
  <c r="U1487" i="6"/>
  <c r="U647" i="6"/>
  <c r="U1567" i="6"/>
  <c r="U789" i="6"/>
  <c r="U165" i="6"/>
  <c r="U699" i="6"/>
  <c r="U529" i="6"/>
  <c r="U1741" i="6"/>
  <c r="U1723" i="6"/>
  <c r="U1231" i="6"/>
  <c r="U1469" i="6"/>
  <c r="U445" i="6"/>
  <c r="U1655" i="6"/>
  <c r="U169" i="6"/>
  <c r="U1371" i="6"/>
  <c r="U1535" i="6"/>
  <c r="U755" i="6"/>
  <c r="U227" i="6"/>
  <c r="U553" i="6"/>
  <c r="U171" i="6"/>
  <c r="U1973" i="6"/>
  <c r="U241" i="6"/>
  <c r="U2027" i="6"/>
  <c r="U1561" i="6"/>
  <c r="U1901" i="6"/>
  <c r="U1693" i="6"/>
  <c r="U825" i="6"/>
  <c r="U107" i="6"/>
  <c r="U1455" i="6"/>
  <c r="U1291" i="6"/>
  <c r="U947" i="6"/>
  <c r="U285" i="6"/>
  <c r="U203" i="6"/>
  <c r="U527" i="6"/>
  <c r="U781" i="6"/>
  <c r="U1581" i="6"/>
  <c r="U1941" i="6"/>
  <c r="U977" i="6"/>
  <c r="U695" i="6"/>
  <c r="U259" i="6"/>
  <c r="U1253" i="6"/>
  <c r="U199" i="6"/>
  <c r="U1285" i="6"/>
  <c r="U265" i="6"/>
  <c r="U1729" i="6"/>
  <c r="U249" i="6"/>
  <c r="U1083" i="6"/>
  <c r="U1955" i="6"/>
  <c r="U643" i="6"/>
  <c r="U1632" i="6"/>
  <c r="U2001" i="6"/>
  <c r="U635" i="6"/>
  <c r="U645" i="6"/>
  <c r="U799" i="6"/>
  <c r="U1792" i="6"/>
  <c r="U963" i="6"/>
  <c r="U1642" i="6"/>
  <c r="U577" i="6"/>
  <c r="U1072" i="6"/>
  <c r="U1773" i="6"/>
  <c r="U1327" i="6"/>
  <c r="U1809" i="6"/>
  <c r="U1975" i="6"/>
  <c r="U201" i="6"/>
  <c r="U70" i="6"/>
  <c r="U1591" i="6"/>
  <c r="U1356" i="6"/>
  <c r="U1093" i="6"/>
  <c r="U1919" i="6"/>
  <c r="U1219" i="6"/>
  <c r="U367" i="6"/>
  <c r="U943" i="6"/>
  <c r="U1039" i="6"/>
  <c r="U1543" i="6"/>
  <c r="U1731" i="6"/>
  <c r="U375" i="6"/>
  <c r="U1830" i="6"/>
  <c r="U473" i="6"/>
  <c r="U1101" i="6"/>
  <c r="U1201" i="6"/>
  <c r="U139" i="6"/>
  <c r="U711" i="6"/>
  <c r="U1859" i="6"/>
  <c r="U1235" i="6"/>
  <c r="U343" i="6"/>
  <c r="U421" i="6"/>
  <c r="U59" i="6"/>
  <c r="U601" i="6"/>
  <c r="U945" i="6"/>
  <c r="U1804" i="6"/>
  <c r="U851" i="6"/>
  <c r="U1563" i="6"/>
  <c r="U1578" i="6"/>
  <c r="U1840" i="6"/>
  <c r="U2026" i="6"/>
  <c r="U223" i="6"/>
  <c r="U1881" i="6"/>
  <c r="U303" i="6"/>
  <c r="U373" i="6"/>
  <c r="U1891" i="6"/>
  <c r="U147" i="6"/>
  <c r="U1867" i="6"/>
  <c r="U437" i="6"/>
  <c r="U1415" i="6"/>
  <c r="U161" i="6"/>
  <c r="U449" i="6"/>
  <c r="U1137" i="6"/>
  <c r="U1799" i="6"/>
  <c r="U1197" i="6"/>
  <c r="U1215" i="6"/>
  <c r="U1997" i="6"/>
  <c r="U163" i="6"/>
  <c r="U361" i="6"/>
  <c r="U65" i="6"/>
  <c r="U1401" i="6"/>
  <c r="U1582" i="6"/>
  <c r="U293" i="6"/>
  <c r="U1721" i="6"/>
  <c r="U1151" i="6"/>
  <c r="U549" i="6"/>
  <c r="U395" i="6"/>
  <c r="U255" i="6"/>
  <c r="U1853" i="6"/>
  <c r="U1299" i="6"/>
  <c r="U1777" i="6"/>
  <c r="U2011" i="6"/>
  <c r="U797" i="6"/>
  <c r="U1281" i="6"/>
  <c r="U1045" i="6"/>
  <c r="U1035" i="6"/>
  <c r="U1931" i="6"/>
  <c r="U1593" i="6"/>
  <c r="U1319" i="6"/>
  <c r="U911" i="6"/>
  <c r="U891" i="6"/>
  <c r="U1877" i="6"/>
  <c r="U1191" i="6"/>
  <c r="U1701" i="6"/>
  <c r="U429" i="6"/>
  <c r="U431" i="6"/>
  <c r="U1803" i="6"/>
  <c r="U1717" i="6"/>
  <c r="U1519" i="6"/>
  <c r="U1121" i="6"/>
  <c r="U579" i="6"/>
  <c r="U1047" i="6"/>
  <c r="U403" i="6"/>
  <c r="U857" i="6"/>
  <c r="U903" i="6"/>
  <c r="U751" i="6"/>
  <c r="U83" i="6"/>
  <c r="U1096" i="6"/>
  <c r="U1463" i="6"/>
  <c r="U1687" i="6"/>
  <c r="U1373" i="6"/>
  <c r="U1339" i="6"/>
  <c r="U1274" i="6"/>
  <c r="U819" i="6"/>
  <c r="U1251" i="6"/>
  <c r="U618" i="6"/>
  <c r="U937" i="6"/>
  <c r="U267" i="6"/>
  <c r="U467" i="6"/>
  <c r="U1529" i="6"/>
  <c r="U1179" i="6"/>
  <c r="U2014" i="6"/>
  <c r="U103" i="6"/>
  <c r="U491" i="6"/>
  <c r="U1359" i="6"/>
  <c r="U555" i="6"/>
  <c r="U685" i="6"/>
  <c r="U1307" i="6"/>
  <c r="U1333" i="6"/>
  <c r="U1937" i="6"/>
  <c r="U1806" i="6"/>
  <c r="U1007" i="6"/>
  <c r="U347" i="6"/>
  <c r="U557" i="6"/>
  <c r="U586" i="6"/>
  <c r="U1141" i="6"/>
  <c r="U1653" i="6"/>
  <c r="U807" i="6"/>
  <c r="U559" i="6"/>
  <c r="U1493" i="6"/>
  <c r="U1915" i="6"/>
  <c r="U137" i="6"/>
  <c r="U1627" i="6"/>
  <c r="U907" i="6"/>
  <c r="U1631" i="6"/>
  <c r="U1661" i="6"/>
  <c r="U1619" i="6"/>
  <c r="U1420" i="6"/>
  <c r="U1629" i="6"/>
  <c r="U257" i="6"/>
  <c r="U1969" i="6"/>
  <c r="U1511" i="6"/>
  <c r="U1907" i="6"/>
  <c r="U1949" i="6"/>
  <c r="U1709" i="6"/>
  <c r="U1491" i="6"/>
  <c r="U377" i="6"/>
  <c r="U1063" i="6"/>
  <c r="U1530" i="6"/>
  <c r="U1761" i="6"/>
  <c r="U1145" i="6"/>
  <c r="U235" i="6"/>
  <c r="U663" i="6"/>
  <c r="U1451" i="6"/>
  <c r="U1351" i="6"/>
  <c r="U847" i="6"/>
  <c r="U269" i="6"/>
  <c r="U55" i="6"/>
  <c r="U747" i="6"/>
  <c r="U1797" i="6"/>
  <c r="U1209" i="6"/>
  <c r="U189" i="6"/>
  <c r="U1555" i="6"/>
  <c r="U1568" i="6"/>
  <c r="U1509" i="6"/>
  <c r="U571" i="6"/>
  <c r="U1089" i="6"/>
  <c r="U193" i="6"/>
  <c r="U131" i="6"/>
  <c r="U1635" i="6"/>
  <c r="U1767" i="6"/>
  <c r="U79" i="6"/>
  <c r="U767" i="6"/>
  <c r="U1331" i="6"/>
  <c r="U1823" i="6"/>
  <c r="U893" i="6"/>
  <c r="U219" i="6"/>
  <c r="U718" i="6"/>
  <c r="U769" i="6"/>
  <c r="U457" i="6"/>
  <c r="U823" i="6"/>
  <c r="U1819" i="6"/>
  <c r="U1873" i="6"/>
  <c r="U1637" i="6"/>
  <c r="U935" i="6"/>
  <c r="U387" i="6"/>
  <c r="U447" i="6"/>
  <c r="U381" i="6"/>
  <c r="U2019" i="6"/>
  <c r="U1347" i="6"/>
  <c r="U1921" i="6"/>
  <c r="U1991" i="6"/>
  <c r="U511" i="6"/>
  <c r="U741" i="6"/>
  <c r="U859" i="6"/>
  <c r="U1971" i="6"/>
  <c r="U1003" i="6"/>
  <c r="U217" i="6"/>
  <c r="U1435" i="6"/>
  <c r="U1427" i="6"/>
  <c r="U583" i="6"/>
  <c r="U2029" i="6"/>
  <c r="U989" i="6"/>
  <c r="U393" i="6"/>
  <c r="U1357" i="6"/>
  <c r="U49" i="6"/>
  <c r="U315" i="6"/>
  <c r="U895" i="6"/>
  <c r="U357" i="6"/>
  <c r="U1765" i="6"/>
  <c r="U115" i="6"/>
  <c r="U841" i="6"/>
  <c r="U909" i="6"/>
  <c r="U1103" i="6"/>
  <c r="U311" i="6"/>
  <c r="U151" i="6"/>
  <c r="U1789" i="6"/>
  <c r="U835" i="6"/>
  <c r="U195" i="6"/>
  <c r="U515" i="6"/>
  <c r="U1349" i="6"/>
  <c r="U1181" i="6"/>
  <c r="U1579" i="6"/>
  <c r="U1515" i="6"/>
  <c r="U621" i="6"/>
  <c r="U1377" i="6"/>
  <c r="U105" i="6"/>
  <c r="U1650" i="6"/>
  <c r="U913" i="6"/>
  <c r="U1289" i="6"/>
  <c r="U1245" i="6"/>
  <c r="U923" i="6"/>
  <c r="U1601" i="6"/>
  <c r="U1389" i="6"/>
  <c r="U485" i="6"/>
  <c r="U1795" i="6"/>
  <c r="U1411" i="6"/>
  <c r="U1225" i="6"/>
  <c r="U1207" i="6"/>
  <c r="U1117" i="6"/>
  <c r="U681" i="6"/>
  <c r="U591" i="6"/>
  <c r="U683" i="6"/>
  <c r="U817" i="6"/>
  <c r="U1613" i="6"/>
  <c r="U405" i="6"/>
  <c r="U1323" i="6"/>
  <c r="U707" i="6"/>
  <c r="U1217" i="6"/>
  <c r="U1247" i="6"/>
  <c r="U969" i="6"/>
  <c r="U1461" i="6"/>
  <c r="U1839" i="6"/>
  <c r="U1119" i="6"/>
  <c r="U955" i="6"/>
  <c r="U1061" i="6"/>
  <c r="U765" i="6"/>
  <c r="U469" i="6"/>
  <c r="U197" i="6"/>
  <c r="U961" i="6"/>
  <c r="U463" i="6"/>
  <c r="U1315" i="6"/>
  <c r="U979" i="6"/>
  <c r="U985" i="6"/>
  <c r="U1065" i="6"/>
  <c r="U1715" i="6"/>
  <c r="U1031" i="6"/>
  <c r="U453" i="6"/>
  <c r="U1557" i="6"/>
  <c r="U1575" i="6"/>
  <c r="U607" i="6"/>
  <c r="U1727" i="6"/>
  <c r="U991" i="6"/>
  <c r="U1143" i="6"/>
  <c r="U1391" i="6"/>
  <c r="U295" i="6"/>
  <c r="U175" i="6"/>
  <c r="U1501" i="6"/>
  <c r="U301" i="6"/>
  <c r="U687" i="6"/>
  <c r="U1739" i="6"/>
  <c r="U1177" i="6"/>
  <c r="U1107" i="6"/>
  <c r="U1585" i="6"/>
  <c r="U929" i="6"/>
  <c r="U1533" i="6"/>
  <c r="U1843" i="6"/>
  <c r="U369" i="6"/>
  <c r="U99" i="6"/>
  <c r="U423" i="6"/>
  <c r="U1259" i="6"/>
  <c r="U1685" i="6"/>
  <c r="U205" i="6"/>
  <c r="U869" i="6"/>
  <c r="U883" i="6"/>
  <c r="U679" i="6"/>
  <c r="U1085" i="6"/>
  <c r="U493" i="6"/>
  <c r="U1393" i="6"/>
  <c r="U1255" i="6"/>
  <c r="U1979" i="6"/>
  <c r="U1589" i="6"/>
  <c r="U1607" i="6"/>
  <c r="U97" i="6"/>
  <c r="U1273" i="6"/>
  <c r="U385" i="6"/>
  <c r="U1025" i="6"/>
  <c r="U1335" i="6"/>
  <c r="U1325" i="6"/>
  <c r="U2015" i="6"/>
  <c r="U1241" i="6"/>
  <c r="U1759" i="6"/>
  <c r="U637" i="6"/>
  <c r="U345" i="6"/>
  <c r="U1815" i="6"/>
  <c r="U1437" i="6"/>
  <c r="U525" i="6"/>
  <c r="U1705" i="6"/>
  <c r="U121" i="6"/>
  <c r="U993" i="6"/>
  <c r="U1005" i="6"/>
  <c r="U1097" i="6"/>
  <c r="U897" i="6"/>
  <c r="U593" i="6"/>
  <c r="U261" i="6"/>
  <c r="U967" i="6"/>
  <c r="U775" i="6"/>
  <c r="U1399" i="6"/>
  <c r="U1720" i="6"/>
  <c r="U459" i="6"/>
  <c r="U1295" i="6"/>
  <c r="U981" i="6"/>
  <c r="U810" i="6"/>
  <c r="U725" i="6"/>
  <c r="U1497" i="6"/>
  <c r="U1477" i="6"/>
  <c r="U365" i="6"/>
  <c r="U305" i="6"/>
  <c r="U1549" i="6"/>
  <c r="U1081" i="6"/>
  <c r="U1471" i="6"/>
  <c r="U291" i="6"/>
  <c r="U497" i="6"/>
  <c r="U1037" i="6"/>
  <c r="U1041" i="6"/>
  <c r="U1516" i="6"/>
  <c r="U157" i="6"/>
  <c r="U1171" i="6"/>
  <c r="U323" i="6"/>
  <c r="U651" i="6"/>
  <c r="U87" i="6"/>
  <c r="U1788" i="6"/>
  <c r="U1147" i="6"/>
  <c r="U1465" i="6"/>
  <c r="U853" i="6"/>
  <c r="U1850" i="6"/>
  <c r="U1405" i="6"/>
  <c r="U925" i="6"/>
  <c r="U177" i="6"/>
  <c r="U391" i="6"/>
  <c r="U251" i="6"/>
  <c r="U1743" i="6"/>
  <c r="U1719" i="6"/>
  <c r="U435" i="6"/>
  <c r="U837" i="6"/>
  <c r="U573" i="6"/>
  <c r="U1571" i="6"/>
  <c r="U899" i="6"/>
  <c r="U1313" i="6"/>
  <c r="U129" i="6"/>
  <c r="U1361" i="6"/>
  <c r="U355" i="6"/>
  <c r="U1737" i="6"/>
  <c r="U1193" i="6"/>
  <c r="U181" i="6"/>
  <c r="U335" i="6"/>
  <c r="U415" i="6"/>
  <c r="U111" i="6"/>
  <c r="U1071" i="6"/>
  <c r="U1569" i="6"/>
  <c r="U1269" i="6"/>
  <c r="U721" i="6"/>
  <c r="U1521" i="6"/>
  <c r="U1505" i="6"/>
  <c r="U1943" i="6"/>
  <c r="U1599" i="6"/>
  <c r="U613" i="6"/>
  <c r="U1507" i="6"/>
  <c r="U1641" i="6"/>
  <c r="U363" i="6"/>
  <c r="U413" i="6"/>
  <c r="U277" i="6"/>
  <c r="U1565" i="6"/>
  <c r="U1239" i="6"/>
  <c r="U541" i="6"/>
  <c r="U1475" i="6"/>
  <c r="U1293" i="6"/>
  <c r="U233" i="6"/>
  <c r="U123" i="6"/>
  <c r="U619" i="6"/>
  <c r="U1169" i="6"/>
  <c r="U1771" i="6"/>
  <c r="U599" i="6"/>
  <c r="U309" i="6"/>
  <c r="U1237" i="6"/>
  <c r="U933" i="6"/>
  <c r="U341" i="6"/>
  <c r="U1243" i="6"/>
  <c r="U793" i="6"/>
  <c r="U75" i="6"/>
  <c r="U1433" i="6"/>
  <c r="U225" i="6"/>
  <c r="U143" i="6"/>
  <c r="U1131" i="6"/>
  <c r="U1826" i="6"/>
  <c r="U1067" i="6"/>
  <c r="U615" i="6"/>
  <c r="U791" i="6"/>
  <c r="U1023" i="6"/>
  <c r="U675" i="6"/>
  <c r="U1869" i="6"/>
  <c r="U1648" i="6"/>
  <c r="U371" i="6"/>
  <c r="U1155" i="6"/>
  <c r="U673" i="6"/>
  <c r="U229" i="6"/>
  <c r="U319" i="6"/>
  <c r="U1791" i="6"/>
  <c r="U1647" i="6"/>
  <c r="U887" i="6"/>
  <c r="U1059" i="6"/>
  <c r="U1929" i="6"/>
  <c r="U253" i="6"/>
  <c r="U191" i="6"/>
  <c r="U921" i="6"/>
  <c r="U1311" i="6"/>
  <c r="U1696" i="6"/>
  <c r="U1875" i="6"/>
  <c r="U905" i="6"/>
  <c r="U1517" i="6"/>
  <c r="U629" i="6"/>
  <c r="U1387" i="6"/>
  <c r="U1489" i="6"/>
  <c r="U873" i="6"/>
  <c r="U1989" i="6"/>
  <c r="U507" i="6"/>
  <c r="U1483" i="6"/>
  <c r="U715" i="6"/>
  <c r="U1551" i="6"/>
  <c r="U745" i="6"/>
  <c r="U871" i="6"/>
  <c r="U1462" i="6"/>
  <c r="U691" i="6"/>
  <c r="U427" i="6"/>
  <c r="U1203" i="6"/>
  <c r="U657" i="6"/>
  <c r="U397" i="6"/>
  <c r="U983" i="6"/>
  <c r="U503" i="6"/>
  <c r="U808" i="6"/>
  <c r="U89" i="6"/>
  <c r="U351" i="6"/>
  <c r="U1079" i="6"/>
  <c r="U1713" i="6"/>
  <c r="U1879" i="6"/>
  <c r="U1621" i="6"/>
  <c r="U209" i="6"/>
  <c r="U1864" i="6"/>
  <c r="U1189" i="6"/>
  <c r="U589" i="6"/>
  <c r="U1845" i="6"/>
  <c r="U1735" i="6"/>
  <c r="U1355" i="6"/>
  <c r="U795" i="6"/>
  <c r="U1753" i="6"/>
  <c r="U1793" i="6"/>
  <c r="U1639" i="6"/>
  <c r="U383" i="6"/>
  <c r="U1457" i="6"/>
  <c r="U187" i="6"/>
  <c r="U1691" i="6"/>
  <c r="U537" i="6"/>
  <c r="U213" i="6"/>
  <c r="U1443" i="6"/>
  <c r="U211" i="6"/>
  <c r="U263" i="6"/>
  <c r="U451" i="6"/>
  <c r="U1135" i="6"/>
  <c r="U603" i="6"/>
  <c r="U481" i="6"/>
  <c r="U185" i="6"/>
  <c r="U973" i="6"/>
  <c r="U2023" i="6"/>
  <c r="U1831" i="6"/>
  <c r="U1183" i="6"/>
  <c r="U317" i="6"/>
  <c r="U1459" i="6"/>
  <c r="U1033" i="6"/>
  <c r="U95" i="6"/>
  <c r="U1675" i="6"/>
  <c r="U1857" i="6"/>
  <c r="U1950" i="6"/>
  <c r="U705" i="6"/>
  <c r="U533" i="6"/>
  <c r="U1467" i="6"/>
  <c r="U1657" i="6"/>
  <c r="U109" i="6"/>
  <c r="U1199" i="6"/>
  <c r="U1485" i="6"/>
  <c r="U595" i="6"/>
  <c r="U1132" i="6"/>
  <c r="U667" i="6"/>
  <c r="U2017" i="6"/>
  <c r="U231" i="6"/>
  <c r="U81" i="6"/>
  <c r="U1305" i="6"/>
  <c r="U417" i="6"/>
  <c r="U1153" i="6"/>
  <c r="U1776" i="6"/>
  <c r="U2031" i="6"/>
  <c r="U1760" i="6"/>
  <c r="U1733" i="6"/>
  <c r="U153" i="6"/>
  <c r="U1583" i="6"/>
  <c r="U207" i="6"/>
  <c r="U1445" i="6"/>
  <c r="U803" i="6"/>
  <c r="U489" i="6"/>
  <c r="U1821" i="6"/>
  <c r="U1173" i="6"/>
  <c r="U877" i="6"/>
  <c r="U1769" i="6"/>
  <c r="U1905" i="6"/>
  <c r="U1707" i="6"/>
  <c r="U1077" i="6"/>
  <c r="U641" i="6"/>
  <c r="U1157" i="6"/>
  <c r="U1749" i="6"/>
  <c r="U1851" i="6"/>
  <c r="U531" i="6"/>
  <c r="U839" i="6"/>
  <c r="U1981" i="6"/>
  <c r="U101" i="6"/>
  <c r="U1227" i="6"/>
  <c r="U1409" i="6"/>
  <c r="U1995" i="6"/>
  <c r="U1779" i="6"/>
  <c r="U1811" i="6"/>
  <c r="U179" i="6"/>
  <c r="U1069" i="6"/>
  <c r="U543" i="6"/>
  <c r="U843" i="6"/>
  <c r="U1495" i="6"/>
  <c r="U1001" i="6"/>
  <c r="U849" i="6"/>
  <c r="U2005" i="6"/>
  <c r="U389" i="6"/>
  <c r="U659" i="6"/>
  <c r="U1623" i="6"/>
  <c r="U273" i="6"/>
  <c r="U1287" i="6"/>
  <c r="U1165" i="6"/>
  <c r="U787" i="6"/>
  <c r="U1261" i="6"/>
  <c r="U1396" i="6"/>
  <c r="U1800" i="6"/>
  <c r="U735" i="6"/>
  <c r="U2007" i="6"/>
  <c r="U519" i="6"/>
  <c r="U1951" i="6"/>
  <c r="U1775" i="6"/>
  <c r="U411" i="6"/>
  <c r="U1051" i="6"/>
  <c r="U85" i="6"/>
  <c r="U999" i="6"/>
  <c r="U567" i="6"/>
  <c r="U1075" i="6"/>
  <c r="U1946" i="6"/>
  <c r="U1363" i="6"/>
  <c r="U1329" i="6"/>
  <c r="U753" i="6"/>
  <c r="U145" i="6"/>
  <c r="U483" i="6"/>
  <c r="U1431" i="6"/>
  <c r="U521" i="6"/>
  <c r="U1781" i="6"/>
  <c r="U1959" i="6"/>
  <c r="U1677" i="6"/>
  <c r="U461" i="6"/>
  <c r="U1043" i="6"/>
  <c r="U455" i="6"/>
  <c r="U821" i="6"/>
  <c r="U965" i="6"/>
  <c r="U669" i="6"/>
  <c r="U237" i="6"/>
  <c r="U63" i="6"/>
  <c r="U1927" i="6"/>
  <c r="U727" i="6"/>
  <c r="U1341" i="6"/>
  <c r="U1807" i="6"/>
  <c r="U633" i="6"/>
  <c r="U239" i="6"/>
  <c r="U1909" i="6"/>
  <c r="U1213" i="6"/>
  <c r="U73" i="6"/>
  <c r="U1317" i="6"/>
  <c r="U1055" i="6"/>
  <c r="U931" i="6"/>
  <c r="U1133" i="6"/>
  <c r="U1441" i="6"/>
  <c r="U443" i="6"/>
  <c r="U1021" i="6"/>
  <c r="U881" i="6"/>
  <c r="U1679" i="6"/>
  <c r="U1559" i="6"/>
  <c r="U71" i="6"/>
  <c r="U875" i="6"/>
  <c r="U221" i="6"/>
  <c r="U1385" i="6"/>
  <c r="U535" i="6"/>
  <c r="U1531" i="6"/>
  <c r="U1683" i="6"/>
  <c r="U439" i="6"/>
  <c r="U517" i="6"/>
  <c r="U739" i="6"/>
  <c r="U1343" i="6"/>
  <c r="U885" i="6"/>
  <c r="U547" i="6"/>
  <c r="U117" i="6"/>
  <c r="U1541" i="6"/>
  <c r="U1887" i="6"/>
  <c r="U805" i="6"/>
  <c r="U639" i="6"/>
  <c r="U1725" i="6"/>
  <c r="U771" i="6"/>
  <c r="U167" i="6"/>
  <c r="U855" i="6"/>
  <c r="U1605" i="6"/>
  <c r="U1125" i="6"/>
  <c r="U1167" i="6"/>
  <c r="U1095" i="6"/>
  <c r="U289" i="6"/>
  <c r="U465" i="6"/>
  <c r="S1107" i="6"/>
  <c r="S1218" i="6"/>
  <c r="S1995" i="6"/>
  <c r="S1998" i="6"/>
  <c r="S996" i="6"/>
  <c r="S774" i="6"/>
  <c r="S663" i="6"/>
  <c r="S1662" i="6"/>
  <c r="S1440" i="6"/>
  <c r="S1551" i="6"/>
  <c r="S219" i="6"/>
  <c r="S885" i="6"/>
  <c r="S1773" i="6"/>
  <c r="S555" i="6"/>
  <c r="S108" i="6"/>
  <c r="S552" i="6"/>
  <c r="S330" i="6"/>
  <c r="S441" i="6"/>
  <c r="S888" i="6"/>
  <c r="C1773" i="6"/>
  <c r="C888" i="6"/>
  <c r="C1110" i="6"/>
  <c r="C555" i="6"/>
  <c r="C1665" i="6"/>
  <c r="C1998" i="6"/>
  <c r="C1107" i="6"/>
  <c r="C330" i="6"/>
  <c r="C1995" i="6"/>
  <c r="C1551" i="6"/>
  <c r="C663" i="6"/>
  <c r="C885" i="6"/>
  <c r="C108" i="6"/>
  <c r="C996" i="6"/>
  <c r="C1662" i="6"/>
  <c r="C552" i="6"/>
  <c r="C441" i="6"/>
  <c r="C219" i="6"/>
  <c r="C1884" i="6"/>
  <c r="C1218" i="6"/>
  <c r="C774" i="6"/>
  <c r="C1440" i="6"/>
  <c r="K2" i="6"/>
  <c r="T333" i="6" l="1"/>
  <c r="C333" i="6"/>
  <c r="S333" i="6"/>
  <c r="T1332" i="6"/>
  <c r="S1332" i="6"/>
  <c r="C1332" i="6"/>
  <c r="T222" i="6"/>
  <c r="C222" i="6"/>
  <c r="S222" i="6"/>
  <c r="T666" i="6"/>
  <c r="C666" i="6"/>
  <c r="S666" i="6"/>
  <c r="T1554" i="6"/>
  <c r="S1554" i="6"/>
  <c r="C1554" i="6"/>
  <c r="T1776" i="6"/>
  <c r="C1776" i="6"/>
  <c r="S1776" i="6"/>
  <c r="T999" i="6"/>
  <c r="C999" i="6"/>
  <c r="S999" i="6"/>
  <c r="T444" i="6"/>
  <c r="S444" i="6"/>
  <c r="C444" i="6"/>
  <c r="T1221" i="6"/>
  <c r="C1221" i="6"/>
  <c r="S1221" i="6"/>
  <c r="T777" i="6"/>
  <c r="S777" i="6"/>
  <c r="C777" i="6"/>
  <c r="T111" i="6"/>
  <c r="S111" i="6"/>
  <c r="C111" i="6"/>
  <c r="T1443" i="6"/>
  <c r="S1443" i="6"/>
  <c r="C1443" i="6"/>
  <c r="S1110" i="6"/>
  <c r="S1665" i="6"/>
  <c r="S1884" i="6"/>
  <c r="C1329" i="6"/>
  <c r="S1887" i="6"/>
  <c r="C1887" i="6"/>
  <c r="S1329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Arthur de Oliveira Ramos Vieira</author>
  </authors>
  <commentList>
    <comment ref="A1" authorId="0" shapeId="0" xr:uid="{5A563785-76C9-41DC-A097-16BCF5EA1714}">
      <text>
        <r>
          <rPr>
            <b/>
            <sz val="9"/>
            <color indexed="81"/>
            <rFont val="Tahoma"/>
            <family val="2"/>
          </rPr>
          <t>Arthur de Oliveira Ramos Vieira:</t>
        </r>
        <r>
          <rPr>
            <sz val="9"/>
            <color indexed="81"/>
            <rFont val="Tahoma"/>
            <family val="2"/>
          </rPr>
          <t xml:space="preserve">
Read more about races: https://grants.nih.gov/grants/guide/notice-files/not-od-15-089.html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<sst xmlns="http://schemas.openxmlformats.org/spreadsheetml/2006/main" count="1074" uniqueCount="705">
  <si>
    <t>Owner:</t>
  </si>
  <si>
    <t>bi4all</t>
  </si>
  <si>
    <t>Table:</t>
  </si>
  <si>
    <t>dim_names</t>
  </si>
  <si>
    <t>id_name_pk</t>
  </si>
  <si>
    <t>name</t>
  </si>
  <si>
    <t>id_gender_fk</t>
  </si>
  <si>
    <t>gender</t>
  </si>
  <si>
    <t>Queries</t>
  </si>
  <si>
    <t>Abel</t>
  </si>
  <si>
    <t>M</t>
  </si>
  <si>
    <t>Abigail</t>
  </si>
  <si>
    <t>F</t>
  </si>
  <si>
    <t>Adelaide</t>
  </si>
  <si>
    <t>Adélia</t>
  </si>
  <si>
    <t>Adélio</t>
  </si>
  <si>
    <t>Ágata</t>
  </si>
  <si>
    <t>Agatha</t>
  </si>
  <si>
    <t>Alana</t>
  </si>
  <si>
    <t>Alessandra</t>
  </si>
  <si>
    <t>Alexander</t>
  </si>
  <si>
    <t>Alexandre</t>
  </si>
  <si>
    <t>Alice</t>
  </si>
  <si>
    <t>Alicia</t>
  </si>
  <si>
    <t>Alícia</t>
  </si>
  <si>
    <t>Aline</t>
  </si>
  <si>
    <t>Alini</t>
  </si>
  <si>
    <t>Allana</t>
  </si>
  <si>
    <t>Álvaro</t>
  </si>
  <si>
    <t>Amanda</t>
  </si>
  <si>
    <t>Ammanda</t>
  </si>
  <si>
    <t>Ana</t>
  </si>
  <si>
    <t>Ana Beatriz</t>
  </si>
  <si>
    <t>Ana Carolina</t>
  </si>
  <si>
    <t>Ana Caroline</t>
  </si>
  <si>
    <t>Ana Cecília</t>
  </si>
  <si>
    <t>Ana Clara</t>
  </si>
  <si>
    <t>Ana Júlia</t>
  </si>
  <si>
    <t>Ana Laura</t>
  </si>
  <si>
    <t>Ana Lívia</t>
  </si>
  <si>
    <t>Ana Liz</t>
  </si>
  <si>
    <t>Ana Luiza</t>
  </si>
  <si>
    <t>Ana Sophia</t>
  </si>
  <si>
    <t>Ana Vitória</t>
  </si>
  <si>
    <t>Analu</t>
  </si>
  <si>
    <t>Ananda</t>
  </si>
  <si>
    <t>André</t>
  </si>
  <si>
    <t>Ane Caroline</t>
  </si>
  <si>
    <t>Ângelo</t>
  </si>
  <si>
    <t>Anita</t>
  </si>
  <si>
    <t>Anna Carolina</t>
  </si>
  <si>
    <t>Anna Carolinna</t>
  </si>
  <si>
    <t>Anna Julia</t>
  </si>
  <si>
    <t>Anne Caroline</t>
  </si>
  <si>
    <t>Anthony</t>
  </si>
  <si>
    <t>Anthony Gabriel</t>
  </si>
  <si>
    <t>Antonella</t>
  </si>
  <si>
    <t>Antônia</t>
  </si>
  <si>
    <t>Antônio</t>
  </si>
  <si>
    <t>Aquiles</t>
  </si>
  <si>
    <t>Ariela</t>
  </si>
  <si>
    <t>Arthur</t>
  </si>
  <si>
    <t>Arthur Gabriel</t>
  </si>
  <si>
    <t>Arthur Henrique</t>
  </si>
  <si>
    <t>Arthur Miguel</t>
  </si>
  <si>
    <t>Artur</t>
  </si>
  <si>
    <t>Augusta</t>
  </si>
  <si>
    <t>Augusto</t>
  </si>
  <si>
    <t>Aurora</t>
  </si>
  <si>
    <t>Aurorah</t>
  </si>
  <si>
    <t>Ayla</t>
  </si>
  <si>
    <t>Bárbara</t>
  </si>
  <si>
    <t>Bartolomeo</t>
  </si>
  <si>
    <t>Beatriz</t>
  </si>
  <si>
    <t>Benício</t>
  </si>
  <si>
    <t>Benjamin</t>
  </si>
  <si>
    <t>Bento</t>
  </si>
  <si>
    <t>Bernardo</t>
  </si>
  <si>
    <t>Bernnardo</t>
  </si>
  <si>
    <t>Bianca</t>
  </si>
  <si>
    <t>Brenda</t>
  </si>
  <si>
    <t>Breno</t>
  </si>
  <si>
    <t>Bruna</t>
  </si>
  <si>
    <t>Bruno</t>
  </si>
  <si>
    <t>Bryan</t>
  </si>
  <si>
    <t>Byanca</t>
  </si>
  <si>
    <t>Byatriz</t>
  </si>
  <si>
    <t>Caio</t>
  </si>
  <si>
    <t>Caleb</t>
  </si>
  <si>
    <t>Camila</t>
  </si>
  <si>
    <t>Carlos</t>
  </si>
  <si>
    <t>Carlos Eduardo</t>
  </si>
  <si>
    <t>Carolina</t>
  </si>
  <si>
    <t>Caroline</t>
  </si>
  <si>
    <t>Catarina</t>
  </si>
  <si>
    <t>Cauã</t>
  </si>
  <si>
    <t>Caue</t>
  </si>
  <si>
    <t>Cecilia</t>
  </si>
  <si>
    <t>Cecília</t>
  </si>
  <si>
    <t>César</t>
  </si>
  <si>
    <t>Clara</t>
  </si>
  <si>
    <t>Clarice</t>
  </si>
  <si>
    <t>Clarisse</t>
  </si>
  <si>
    <t>Claudia</t>
  </si>
  <si>
    <t>Claudio</t>
  </si>
  <si>
    <t>Cloe</t>
  </si>
  <si>
    <t>Cristóvão</t>
  </si>
  <si>
    <t>Daniel</t>
  </si>
  <si>
    <t>Danilo</t>
  </si>
  <si>
    <t>Danniel</t>
  </si>
  <si>
    <t>Danylo</t>
  </si>
  <si>
    <t>Davi</t>
  </si>
  <si>
    <t>Davi Lucas</t>
  </si>
  <si>
    <t>Davi Lucca</t>
  </si>
  <si>
    <t>Davi Luccas</t>
  </si>
  <si>
    <t>Davi Luiz</t>
  </si>
  <si>
    <t>Davi Miguel</t>
  </si>
  <si>
    <t>Débora</t>
  </si>
  <si>
    <t>Deborah</t>
  </si>
  <si>
    <t>Desiré</t>
  </si>
  <si>
    <t>Domingos</t>
  </si>
  <si>
    <t>Dulce</t>
  </si>
  <si>
    <t>Eduarda</t>
  </si>
  <si>
    <t>Eduardo</t>
  </si>
  <si>
    <t>Eliezer</t>
  </si>
  <si>
    <t>Elisa</t>
  </si>
  <si>
    <t>Eliza</t>
  </si>
  <si>
    <t>Eloá</t>
  </si>
  <si>
    <t>Emanuel</t>
  </si>
  <si>
    <t>Emanuelly</t>
  </si>
  <si>
    <t>Emilly</t>
  </si>
  <si>
    <t>Emmanuel</t>
  </si>
  <si>
    <t>Enrico</t>
  </si>
  <si>
    <t>Enzo</t>
  </si>
  <si>
    <t>Enzo Gabriel</t>
  </si>
  <si>
    <t>Enzo Miguel</t>
  </si>
  <si>
    <t>Enzzo</t>
  </si>
  <si>
    <t>Erick</t>
  </si>
  <si>
    <t>Eslovênia</t>
  </si>
  <si>
    <t>Esther</t>
  </si>
  <si>
    <t>Eva</t>
  </si>
  <si>
    <t>Felipe</t>
  </si>
  <si>
    <t>Fellipe</t>
  </si>
  <si>
    <t>Fernanda</t>
  </si>
  <si>
    <t>Fernando</t>
  </si>
  <si>
    <t>Fernando Mariano</t>
  </si>
  <si>
    <t>Fernando Manuel</t>
  </si>
  <si>
    <t>Filipe</t>
  </si>
  <si>
    <t>Flaviano</t>
  </si>
  <si>
    <t>Flavio</t>
  </si>
  <si>
    <t>Flávio</t>
  </si>
  <si>
    <t>Francisca</t>
  </si>
  <si>
    <t>Francisco</t>
  </si>
  <si>
    <t>Francisco Emanuel</t>
  </si>
  <si>
    <t>Frankin</t>
  </si>
  <si>
    <t>Gabriel</t>
  </si>
  <si>
    <t>Gabriela</t>
  </si>
  <si>
    <t>Gabrielly</t>
  </si>
  <si>
    <t>Gael</t>
  </si>
  <si>
    <t>Giovana</t>
  </si>
  <si>
    <t>Giovanna</t>
  </si>
  <si>
    <t>Gloria</t>
  </si>
  <si>
    <t>Glória Maria</t>
  </si>
  <si>
    <t>Guilherme</t>
  </si>
  <si>
    <t>Guilherme Augusto</t>
  </si>
  <si>
    <t>Gustavo</t>
  </si>
  <si>
    <t>Hector</t>
  </si>
  <si>
    <t>Heitor</t>
  </si>
  <si>
    <t>Helena</t>
  </si>
  <si>
    <t>Heloísa</t>
  </si>
  <si>
    <t>Heloísa Helena</t>
  </si>
  <si>
    <t>Heloise</t>
  </si>
  <si>
    <t>Henrico</t>
  </si>
  <si>
    <t>Henrique</t>
  </si>
  <si>
    <t>Henry</t>
  </si>
  <si>
    <t>Ian</t>
  </si>
  <si>
    <t>Iara</t>
  </si>
  <si>
    <t>Íris</t>
  </si>
  <si>
    <t>Isa</t>
  </si>
  <si>
    <t>Isaac</t>
  </si>
  <si>
    <t>Isabel</t>
  </si>
  <si>
    <t>Isabella</t>
  </si>
  <si>
    <t>Isabelle</t>
  </si>
  <si>
    <t>Isabelly</t>
  </si>
  <si>
    <t>Isabely</t>
  </si>
  <si>
    <t>Isadora</t>
  </si>
  <si>
    <t>Isis</t>
  </si>
  <si>
    <t>Isys</t>
  </si>
  <si>
    <t>Joana</t>
  </si>
  <si>
    <t>Joanah</t>
  </si>
  <si>
    <t>Joanna</t>
  </si>
  <si>
    <t>João</t>
  </si>
  <si>
    <t>João Gabriel</t>
  </si>
  <si>
    <t>João Guilherme</t>
  </si>
  <si>
    <t>João Lucas</t>
  </si>
  <si>
    <t>João Luccas</t>
  </si>
  <si>
    <t>João Miguel</t>
  </si>
  <si>
    <t>João Paulo</t>
  </si>
  <si>
    <t>João Pedro</t>
  </si>
  <si>
    <t>João Victor</t>
  </si>
  <si>
    <t>João Vitor</t>
  </si>
  <si>
    <t>Joaquim</t>
  </si>
  <si>
    <t>Jonathan</t>
  </si>
  <si>
    <t>José</t>
  </si>
  <si>
    <t>José Emanuel</t>
  </si>
  <si>
    <t>José Francisco</t>
  </si>
  <si>
    <t>José Heleno</t>
  </si>
  <si>
    <t>Júlia</t>
  </si>
  <si>
    <t>Júlia Clara</t>
  </si>
  <si>
    <t>Juliana</t>
  </si>
  <si>
    <t>Júlio</t>
  </si>
  <si>
    <t>Kaique</t>
  </si>
  <si>
    <t>Kamilla</t>
  </si>
  <si>
    <t>Kamille</t>
  </si>
  <si>
    <t>Katarina</t>
  </si>
  <si>
    <t>Katerine</t>
  </si>
  <si>
    <t>Kauã</t>
  </si>
  <si>
    <t>Kauê</t>
  </si>
  <si>
    <t>Kelly</t>
  </si>
  <si>
    <t>Kelvin</t>
  </si>
  <si>
    <t>Kleriston</t>
  </si>
  <si>
    <t>Kloe</t>
  </si>
  <si>
    <t>Laís</t>
  </si>
  <si>
    <t>Lara</t>
  </si>
  <si>
    <t>Larisa</t>
  </si>
  <si>
    <t>Larissa</t>
  </si>
  <si>
    <t>Laura</t>
  </si>
  <si>
    <t>Lavínia</t>
  </si>
  <si>
    <t>Lavignia</t>
  </si>
  <si>
    <t>Leonardo</t>
  </si>
  <si>
    <t>Letícia</t>
  </si>
  <si>
    <t>Levi</t>
  </si>
  <si>
    <t>Levy</t>
  </si>
  <si>
    <t>Lia</t>
  </si>
  <si>
    <t>Lívia</t>
  </si>
  <si>
    <t>Liz</t>
  </si>
  <si>
    <t>Lorena</t>
  </si>
  <si>
    <t>Lorenna</t>
  </si>
  <si>
    <t>Lorenzo</t>
  </si>
  <si>
    <t>Lorenzo Augusto</t>
  </si>
  <si>
    <t>Louise</t>
  </si>
  <si>
    <t>Luan</t>
  </si>
  <si>
    <t>Luana</t>
  </si>
  <si>
    <t>Luanna</t>
  </si>
  <si>
    <t>Lucas</t>
  </si>
  <si>
    <t>Lucas Gabriel</t>
  </si>
  <si>
    <t>Lucca</t>
  </si>
  <si>
    <t>Luccas</t>
  </si>
  <si>
    <t>Luisa</t>
  </si>
  <si>
    <t>Luiz Felipe</t>
  </si>
  <si>
    <t>Luiz Gustavo</t>
  </si>
  <si>
    <t>Luiz Henrique</t>
  </si>
  <si>
    <t>Luiz Miguel</t>
  </si>
  <si>
    <t>Luiz Otávio</t>
  </si>
  <si>
    <t>Luiza</t>
  </si>
  <si>
    <t>Luna</t>
  </si>
  <si>
    <t>Madalena</t>
  </si>
  <si>
    <t>Maitê</t>
  </si>
  <si>
    <t>Malco</t>
  </si>
  <si>
    <t>Malu</t>
  </si>
  <si>
    <t>Manuel</t>
  </si>
  <si>
    <t>Manuela</t>
  </si>
  <si>
    <t>Marcelo</t>
  </si>
  <si>
    <t>Maria</t>
  </si>
  <si>
    <t>Maria Alice</t>
  </si>
  <si>
    <t>Maria Carolina</t>
  </si>
  <si>
    <t>Maria Cecília</t>
  </si>
  <si>
    <t>Maria Clara</t>
  </si>
  <si>
    <t>Maria Eduarda</t>
  </si>
  <si>
    <t>Maria Fernanda</t>
  </si>
  <si>
    <t>Maria Flor</t>
  </si>
  <si>
    <t>Maria Glória</t>
  </si>
  <si>
    <t>Maria Helena</t>
  </si>
  <si>
    <t>Maria Heloísa</t>
  </si>
  <si>
    <t>Maria Isis</t>
  </si>
  <si>
    <t>Maria Júlia</t>
  </si>
  <si>
    <t>Maria Laura</t>
  </si>
  <si>
    <t>Maria Luiza</t>
  </si>
  <si>
    <t>Maria Madalena</t>
  </si>
  <si>
    <t>Maria Sophia</t>
  </si>
  <si>
    <t>Maria Valentina</t>
  </si>
  <si>
    <t>Maria Vitória</t>
  </si>
  <si>
    <t>Mariah</t>
  </si>
  <si>
    <t>Maryah</t>
  </si>
  <si>
    <t>Mariana</t>
  </si>
  <si>
    <t>Mariane</t>
  </si>
  <si>
    <t>Marianna</t>
  </si>
  <si>
    <t>Marina</t>
  </si>
  <si>
    <t>Marinah</t>
  </si>
  <si>
    <t>Marta</t>
  </si>
  <si>
    <t>Martim</t>
  </si>
  <si>
    <t>Martin</t>
  </si>
  <si>
    <t>Mateus</t>
  </si>
  <si>
    <t>Matheus</t>
  </si>
  <si>
    <t>Matheus Bruno</t>
  </si>
  <si>
    <t>Maya</t>
  </si>
  <si>
    <t>Melissa</t>
  </si>
  <si>
    <t>Melyssa</t>
  </si>
  <si>
    <t>Micaela</t>
  </si>
  <si>
    <t>Michael</t>
  </si>
  <si>
    <t>Michel</t>
  </si>
  <si>
    <t>Miguel</t>
  </si>
  <si>
    <t>Miguel Henrique</t>
  </si>
  <si>
    <t>Miguelito</t>
  </si>
  <si>
    <t>Milena</t>
  </si>
  <si>
    <t>Mirella</t>
  </si>
  <si>
    <t>Muricy</t>
  </si>
  <si>
    <t>Murilo</t>
  </si>
  <si>
    <t>Natália</t>
  </si>
  <si>
    <t>Nathália</t>
  </si>
  <si>
    <t>Natanael</t>
  </si>
  <si>
    <t>Nathan</t>
  </si>
  <si>
    <t>Nicolas</t>
  </si>
  <si>
    <t>Nicole</t>
  </si>
  <si>
    <t>Noah</t>
  </si>
  <si>
    <t>Octávio</t>
  </si>
  <si>
    <t>Oliver</t>
  </si>
  <si>
    <t>Olívia</t>
  </si>
  <si>
    <t>Otávio</t>
  </si>
  <si>
    <t>Pablo</t>
  </si>
  <si>
    <t>Paloma</t>
  </si>
  <si>
    <t>Peter</t>
  </si>
  <si>
    <t>Pedro</t>
  </si>
  <si>
    <t>Pedro Henrique</t>
  </si>
  <si>
    <t>Pedro Lucas</t>
  </si>
  <si>
    <t>Pedro Miguel</t>
  </si>
  <si>
    <t>Péricles</t>
  </si>
  <si>
    <t>Pietra</t>
  </si>
  <si>
    <t>Pietro</t>
  </si>
  <si>
    <t>Rachel</t>
  </si>
  <si>
    <t>Rafael</t>
  </si>
  <si>
    <t>Rafaela</t>
  </si>
  <si>
    <t>Rainah</t>
  </si>
  <si>
    <t>Raquel</t>
  </si>
  <si>
    <t>Raul</t>
  </si>
  <si>
    <t>Rebeca</t>
  </si>
  <si>
    <t>Rebecca</t>
  </si>
  <si>
    <t>Renato</t>
  </si>
  <si>
    <t>Rodrigo</t>
  </si>
  <si>
    <t>Ruan</t>
  </si>
  <si>
    <t>Ryan</t>
  </si>
  <si>
    <t>Sammuel</t>
  </si>
  <si>
    <t>Samuel</t>
  </si>
  <si>
    <t>Sarah</t>
  </si>
  <si>
    <t>Sophia</t>
  </si>
  <si>
    <t>Sophie</t>
  </si>
  <si>
    <t>Stella</t>
  </si>
  <si>
    <t>Theo</t>
  </si>
  <si>
    <t>Théo</t>
  </si>
  <si>
    <t>Thiago</t>
  </si>
  <si>
    <t>Thomas</t>
  </si>
  <si>
    <t>Tiago</t>
  </si>
  <si>
    <t>Tomas</t>
  </si>
  <si>
    <t>Tomás</t>
  </si>
  <si>
    <t>Vagner</t>
  </si>
  <si>
    <t>Valentina</t>
  </si>
  <si>
    <t>Vanessa</t>
  </si>
  <si>
    <t>Vera Lucia</t>
  </si>
  <si>
    <t>Vicent</t>
  </si>
  <si>
    <t>Vicente</t>
  </si>
  <si>
    <t>Victor</t>
  </si>
  <si>
    <t>Victor Hugo</t>
  </si>
  <si>
    <t>Victória</t>
  </si>
  <si>
    <t>Vinicios</t>
  </si>
  <si>
    <t>Vinícius</t>
  </si>
  <si>
    <t>Vitor</t>
  </si>
  <si>
    <t>Vitória</t>
  </si>
  <si>
    <t>Wagner</t>
  </si>
  <si>
    <t>Wilian</t>
  </si>
  <si>
    <t>Yago</t>
  </si>
  <si>
    <t>Yasmin</t>
  </si>
  <si>
    <t>Yasmini</t>
  </si>
  <si>
    <t>Yuri</t>
  </si>
  <si>
    <t>Zila</t>
  </si>
  <si>
    <t>id_lastname_pk</t>
  </si>
  <si>
    <t>lastname</t>
  </si>
  <si>
    <t>Abranches</t>
  </si>
  <si>
    <t>Aguiar</t>
  </si>
  <si>
    <t>Albuquerque</t>
  </si>
  <si>
    <t>Alcantara</t>
  </si>
  <si>
    <t>Aleluia</t>
  </si>
  <si>
    <t>Alencar</t>
  </si>
  <si>
    <t>Almeida</t>
  </si>
  <si>
    <t>Alvaregna</t>
  </si>
  <si>
    <t>Alvarenga</t>
  </si>
  <si>
    <t>Alves</t>
  </si>
  <si>
    <t>Alvim</t>
  </si>
  <si>
    <t>Amor</t>
  </si>
  <si>
    <t>Andrade</t>
  </si>
  <si>
    <t>Andrioli</t>
  </si>
  <si>
    <t>Anjos</t>
  </si>
  <si>
    <t>Anunciação</t>
  </si>
  <si>
    <t>Aragão</t>
  </si>
  <si>
    <t>Araújo</t>
  </si>
  <si>
    <t>Arruda</t>
  </si>
  <si>
    <t>Asvilla</t>
  </si>
  <si>
    <t>Auth</t>
  </si>
  <si>
    <t>Azeredo</t>
  </si>
  <si>
    <t>Bactista</t>
  </si>
  <si>
    <t>Badu</t>
  </si>
  <si>
    <t>Bandeira</t>
  </si>
  <si>
    <t>Barbieri</t>
  </si>
  <si>
    <t>Barbosa</t>
  </si>
  <si>
    <t>Barboza</t>
  </si>
  <si>
    <t>Barreto</t>
  </si>
  <si>
    <t>Barros</t>
  </si>
  <si>
    <t>Barroso</t>
  </si>
  <si>
    <t>Batista</t>
  </si>
  <si>
    <t>Battaglia</t>
  </si>
  <si>
    <t>Bermudes</t>
  </si>
  <si>
    <t>Bianchi</t>
  </si>
  <si>
    <t>Bicalho</t>
  </si>
  <si>
    <t>Bispo</t>
  </si>
  <si>
    <t>Borba</t>
  </si>
  <si>
    <t>Borges</t>
  </si>
  <si>
    <t>Botelho</t>
  </si>
  <si>
    <t>Braga</t>
  </si>
  <si>
    <t>Bragança</t>
  </si>
  <si>
    <t>Brasão</t>
  </si>
  <si>
    <t>Brasil</t>
  </si>
  <si>
    <t>Brito</t>
  </si>
  <si>
    <t>Cabral</t>
  </si>
  <si>
    <t>Café</t>
  </si>
  <si>
    <t>Camacho</t>
  </si>
  <si>
    <t>Camargo</t>
  </si>
  <si>
    <t>Caminha</t>
  </si>
  <si>
    <t>Camões</t>
  </si>
  <si>
    <t>Campos</t>
  </si>
  <si>
    <t>Cândido</t>
  </si>
  <si>
    <t>Cardoso</t>
  </si>
  <si>
    <t>Cardozo</t>
  </si>
  <si>
    <t>Carneiro</t>
  </si>
  <si>
    <t>Caruso</t>
  </si>
  <si>
    <t>Carvalho</t>
  </si>
  <si>
    <t>Castro</t>
  </si>
  <si>
    <t>Chaves</t>
  </si>
  <si>
    <t>Coelho</t>
  </si>
  <si>
    <t>Colombo</t>
  </si>
  <si>
    <t>Conti</t>
  </si>
  <si>
    <t>Costa</t>
  </si>
  <si>
    <t>Costatini</t>
  </si>
  <si>
    <t>Cunha</t>
  </si>
  <si>
    <t>Dantas</t>
  </si>
  <si>
    <t>De Luca</t>
  </si>
  <si>
    <t>de Oliveira</t>
  </si>
  <si>
    <t>Dias</t>
  </si>
  <si>
    <t>dos Santos</t>
  </si>
  <si>
    <t>Duarte</t>
  </si>
  <si>
    <t>Esposito</t>
  </si>
  <si>
    <t>Esteves</t>
  </si>
  <si>
    <t>Evangelista</t>
  </si>
  <si>
    <t>Faria</t>
  </si>
  <si>
    <t>Farias</t>
  </si>
  <si>
    <t>Farina</t>
  </si>
  <si>
    <t>Faro</t>
  </si>
  <si>
    <t>Fernandes</t>
  </si>
  <si>
    <t>Ferrão</t>
  </si>
  <si>
    <t>Ferrara</t>
  </si>
  <si>
    <t>Ferrari</t>
  </si>
  <si>
    <t>Ferreira</t>
  </si>
  <si>
    <t>Figo</t>
  </si>
  <si>
    <t>Fontana</t>
  </si>
  <si>
    <t>Frasão</t>
  </si>
  <si>
    <t>Freitas</t>
  </si>
  <si>
    <t>Frois</t>
  </si>
  <si>
    <t>Furtado</t>
  </si>
  <si>
    <t>Galli</t>
  </si>
  <si>
    <t>Gallo</t>
  </si>
  <si>
    <t>Garcia</t>
  </si>
  <si>
    <t>Giordano</t>
  </si>
  <si>
    <t>Gomes</t>
  </si>
  <si>
    <t>Gonçalves</t>
  </si>
  <si>
    <t>Gouveia</t>
  </si>
  <si>
    <t>Greco</t>
  </si>
  <si>
    <t>Holanda</t>
  </si>
  <si>
    <t>Ildelfonso</t>
  </si>
  <si>
    <t>Junqueira</t>
  </si>
  <si>
    <t>Leitão</t>
  </si>
  <si>
    <t>Leite</t>
  </si>
  <si>
    <t>Leone</t>
  </si>
  <si>
    <t>Lima</t>
  </si>
  <si>
    <t>Lombardi</t>
  </si>
  <si>
    <t>Longo</t>
  </si>
  <si>
    <t>Lopes</t>
  </si>
  <si>
    <t>Luz</t>
  </si>
  <si>
    <t>Machado</t>
  </si>
  <si>
    <t>Madureira</t>
  </si>
  <si>
    <t>Malafaia</t>
  </si>
  <si>
    <t>Mancini</t>
  </si>
  <si>
    <t>Mariani</t>
  </si>
  <si>
    <t>Marino</t>
  </si>
  <si>
    <t>Marques</t>
  </si>
  <si>
    <t>Martinelli</t>
  </si>
  <si>
    <t>Martini</t>
  </si>
  <si>
    <t>Martins</t>
  </si>
  <si>
    <t>Mazza</t>
  </si>
  <si>
    <t>Medeiros</t>
  </si>
  <si>
    <t>Mello</t>
  </si>
  <si>
    <t>Melo</t>
  </si>
  <si>
    <t>Mendes</t>
  </si>
  <si>
    <t>Miranda</t>
  </si>
  <si>
    <t>Monteiro</t>
  </si>
  <si>
    <t>Monti</t>
  </si>
  <si>
    <t>Moraes</t>
  </si>
  <si>
    <t>Morais</t>
  </si>
  <si>
    <t>Morato</t>
  </si>
  <si>
    <t>Moreira</t>
  </si>
  <si>
    <t>Moretti</t>
  </si>
  <si>
    <t>Moura</t>
  </si>
  <si>
    <t>Nascimento</t>
  </si>
  <si>
    <t>Negrão</t>
  </si>
  <si>
    <t>Negreiros</t>
  </si>
  <si>
    <t>Noronha</t>
  </si>
  <si>
    <t>Nunes</t>
  </si>
  <si>
    <t>Oliveira</t>
  </si>
  <si>
    <t>Padrão</t>
  </si>
  <si>
    <t>Pasquim</t>
  </si>
  <si>
    <t>Paulista</t>
  </si>
  <si>
    <t>Peçanha</t>
  </si>
  <si>
    <t>Pedrosa</t>
  </si>
  <si>
    <t>Pedroso</t>
  </si>
  <si>
    <t>Pellegrini</t>
  </si>
  <si>
    <t>Pereira</t>
  </si>
  <si>
    <t>Pimenta</t>
  </si>
  <si>
    <t>Pimentel</t>
  </si>
  <si>
    <t>Pinheiro</t>
  </si>
  <si>
    <t>Pinto</t>
  </si>
  <si>
    <t>Poeta</t>
  </si>
  <si>
    <t>Ramos</t>
  </si>
  <si>
    <t>Rangel</t>
  </si>
  <si>
    <t>Reis</t>
  </si>
  <si>
    <t>Resende</t>
  </si>
  <si>
    <t>Ribeiro</t>
  </si>
  <si>
    <t>Ricci</t>
  </si>
  <si>
    <t>Rinaldi</t>
  </si>
  <si>
    <t>Rizzo</t>
  </si>
  <si>
    <t>Rocha</t>
  </si>
  <si>
    <t>Rodrigues</t>
  </si>
  <si>
    <t>Romano</t>
  </si>
  <si>
    <t>Rossi</t>
  </si>
  <si>
    <t>Russo</t>
  </si>
  <si>
    <t>Sá</t>
  </si>
  <si>
    <t>Sacramento</t>
  </si>
  <si>
    <t>Salvador</t>
  </si>
  <si>
    <t>Santacruz</t>
  </si>
  <si>
    <t>Santana</t>
  </si>
  <si>
    <t>Santoro</t>
  </si>
  <si>
    <t>Santos</t>
  </si>
  <si>
    <t>Saragoça</t>
  </si>
  <si>
    <t>Seixas</t>
  </si>
  <si>
    <t>Serra</t>
  </si>
  <si>
    <t>Silva</t>
  </si>
  <si>
    <t>Simões</t>
  </si>
  <si>
    <t>Siqueira</t>
  </si>
  <si>
    <t>Soares</t>
  </si>
  <si>
    <t>sobrenome</t>
  </si>
  <si>
    <t>Sousa</t>
  </si>
  <si>
    <t>Souza</t>
  </si>
  <si>
    <t>Tavares</t>
  </si>
  <si>
    <t>Tavarez</t>
  </si>
  <si>
    <t>Teixeira</t>
  </si>
  <si>
    <t>Testa</t>
  </si>
  <si>
    <t>Trindade</t>
  </si>
  <si>
    <t>Vaz</t>
  </si>
  <si>
    <t>Veiga</t>
  </si>
  <si>
    <t>Vieira</t>
  </si>
  <si>
    <t>Zil</t>
  </si>
  <si>
    <t>id_company_pk</t>
  </si>
  <si>
    <t>company</t>
  </si>
  <si>
    <t>ACME Corporation</t>
  </si>
  <si>
    <t>id_gender_pk</t>
  </si>
  <si>
    <t>Female</t>
  </si>
  <si>
    <t>Male</t>
  </si>
  <si>
    <t>Black or African American</t>
  </si>
  <si>
    <t>Native Hawaiian or Other Pacific Islander</t>
  </si>
  <si>
    <t>id_department_pk</t>
  </si>
  <si>
    <t>department</t>
  </si>
  <si>
    <t>Administration</t>
  </si>
  <si>
    <t>Finance</t>
  </si>
  <si>
    <t>Human Resource</t>
  </si>
  <si>
    <t>Operations</t>
  </si>
  <si>
    <t>Communication &amp; Marketing</t>
  </si>
  <si>
    <t>Controlling</t>
  </si>
  <si>
    <t>Audit</t>
  </si>
  <si>
    <t>Information Technology</t>
  </si>
  <si>
    <t>Juridical</t>
  </si>
  <si>
    <t>Elementary school</t>
  </si>
  <si>
    <t>Undergraduate degree</t>
  </si>
  <si>
    <t>Graduate school</t>
  </si>
  <si>
    <t>Master’s degree</t>
  </si>
  <si>
    <t>Doctorate</t>
  </si>
  <si>
    <t>id_role_pk</t>
  </si>
  <si>
    <t>role</t>
  </si>
  <si>
    <t>CEO</t>
  </si>
  <si>
    <t>Vice President</t>
  </si>
  <si>
    <t>Director</t>
  </si>
  <si>
    <t>Bilingual Secretary</t>
  </si>
  <si>
    <t>Intern</t>
  </si>
  <si>
    <t>Trainee</t>
  </si>
  <si>
    <t>Analyst</t>
  </si>
  <si>
    <t>Specialist</t>
  </si>
  <si>
    <t>Coordinator</t>
  </si>
  <si>
    <t>Manager</t>
  </si>
  <si>
    <t>id_level_pk</t>
  </si>
  <si>
    <t>level</t>
  </si>
  <si>
    <t>Junior</t>
  </si>
  <si>
    <t>Pleno</t>
  </si>
  <si>
    <t>Senior</t>
  </si>
  <si>
    <t>id_employee_pk</t>
  </si>
  <si>
    <t>flg_active</t>
  </si>
  <si>
    <t>employee_name</t>
  </si>
  <si>
    <t>birthday</t>
  </si>
  <si>
    <t>id_company_fk</t>
  </si>
  <si>
    <t>id_role_fk</t>
  </si>
  <si>
    <t>id_level_fk</t>
  </si>
  <si>
    <t>id_department_fk</t>
  </si>
  <si>
    <t xml:space="preserve">Widowed </t>
  </si>
  <si>
    <t>DIVORCED</t>
  </si>
  <si>
    <t>marital_status</t>
  </si>
  <si>
    <t>id_marital_status_fk</t>
  </si>
  <si>
    <t>state</t>
  </si>
  <si>
    <t>Santarém</t>
  </si>
  <si>
    <t>Leiria</t>
  </si>
  <si>
    <t>Coimbra</t>
  </si>
  <si>
    <t>Madeira</t>
  </si>
  <si>
    <t>Azores</t>
  </si>
  <si>
    <t>Viseu</t>
  </si>
  <si>
    <t>Castelo Branco</t>
  </si>
  <si>
    <t>Beja</t>
  </si>
  <si>
    <t>Portalegre</t>
  </si>
  <si>
    <t>Guarda</t>
  </si>
  <si>
    <t>Vila Real</t>
  </si>
  <si>
    <t>Viana do Castelo</t>
  </si>
  <si>
    <t>single</t>
  </si>
  <si>
    <t>MarrieD</t>
  </si>
  <si>
    <t xml:space="preserve"> Separated </t>
  </si>
  <si>
    <t>id_state_pk</t>
  </si>
  <si>
    <t>id_marital_status_pk</t>
  </si>
  <si>
    <t>id_sufix_gender</t>
  </si>
  <si>
    <t xml:space="preserve"> Lisboa</t>
  </si>
  <si>
    <t>PORTO</t>
  </si>
  <si>
    <t>AveirO</t>
  </si>
  <si>
    <t>braga</t>
  </si>
  <si>
    <t xml:space="preserve"> ÉVORA</t>
  </si>
  <si>
    <t xml:space="preserve"> Setúbal </t>
  </si>
  <si>
    <t>Portugal</t>
  </si>
  <si>
    <t>id_country_pk</t>
  </si>
  <si>
    <t>country</t>
  </si>
  <si>
    <t>id_country_fk</t>
  </si>
  <si>
    <t xml:space="preserve">  Hispanic or LATINO</t>
  </si>
  <si>
    <t>ASIAN</t>
  </si>
  <si>
    <t xml:space="preserve">  american Indian or Alaska Native</t>
  </si>
  <si>
    <t xml:space="preserve"> white</t>
  </si>
  <si>
    <t>id_ethnicity_pk</t>
  </si>
  <si>
    <t>ethnicity</t>
  </si>
  <si>
    <t xml:space="preserve"> Presidency</t>
  </si>
  <si>
    <t xml:space="preserve"> Commercial</t>
  </si>
  <si>
    <t xml:space="preserve">  Sales</t>
  </si>
  <si>
    <t>id_background_education_pk</t>
  </si>
  <si>
    <t>background_education</t>
  </si>
  <si>
    <t xml:space="preserve"> High school</t>
  </si>
  <si>
    <t>date_of_hire</t>
  </si>
  <si>
    <t>actual_salary</t>
  </si>
  <si>
    <t>date_of_fire</t>
  </si>
  <si>
    <t>id_recruitment_source_pk</t>
  </si>
  <si>
    <t>recruitment_source</t>
  </si>
  <si>
    <t>website</t>
  </si>
  <si>
    <t>Indeed</t>
  </si>
  <si>
    <t>Learn4Good</t>
  </si>
  <si>
    <t>SAPO Emprego</t>
  </si>
  <si>
    <t>Net Empregos</t>
  </si>
  <si>
    <t>Empregos Online</t>
  </si>
  <si>
    <t>Jobs in Lisbon</t>
  </si>
  <si>
    <t>Next Station</t>
  </si>
  <si>
    <t>http://www.indeed.pt/</t>
  </si>
  <si>
    <t>http://www.learn4good.com/jobs/language/english/list/country/portugal/</t>
  </si>
  <si>
    <t>http://emprego.sapo.pt/</t>
  </si>
  <si>
    <t>http://www.net-empregos.com/</t>
  </si>
  <si>
    <t>http://www.empregosonline.pt/</t>
  </si>
  <si>
    <t>http://www.jobsinlisbon.com/</t>
  </si>
  <si>
    <t>https://www.nextstation.com/en/portugal</t>
  </si>
  <si>
    <t>Google</t>
  </si>
  <si>
    <t>LinkedIn</t>
  </si>
  <si>
    <t>Website</t>
  </si>
  <si>
    <t>https://www.google.com/</t>
  </si>
  <si>
    <t>https://www.linkedin.com/</t>
  </si>
  <si>
    <t xml:space="preserve"> recommendation of employee</t>
  </si>
  <si>
    <t>id_recruitment_source_fk</t>
  </si>
  <si>
    <t>id_background_education_fk</t>
  </si>
  <si>
    <t>None</t>
  </si>
  <si>
    <t>Career changes</t>
  </si>
  <si>
    <t>Unhappy</t>
  </si>
  <si>
    <t>Attendance</t>
  </si>
  <si>
    <t>performance</t>
  </si>
  <si>
    <t xml:space="preserve"> Retiring</t>
  </si>
  <si>
    <t>maternity leave - did not return</t>
  </si>
  <si>
    <t>medical issues</t>
  </si>
  <si>
    <t>gross misconduct</t>
  </si>
  <si>
    <t>id_reason_dimissal_pk</t>
  </si>
  <si>
    <t>reason_dimissal</t>
  </si>
  <si>
    <t>id_reason_dimissal_fk</t>
  </si>
  <si>
    <t>satisfaction_grade</t>
  </si>
  <si>
    <t>id_aux</t>
  </si>
  <si>
    <t>id_states_fk</t>
  </si>
  <si>
    <t>id_ethnicity_fk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</si>
</sst>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0"/>
    <numFmt numFmtId="165" formatCode="[$€-2]\ #,##0.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8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165" fontId="2" fillId="0" borderId="0" xfId="0" applyNumberFormat="1" applyFont="1" applyProtection="1">
      <protection hidden="1"/>
    </xf>
    <xf numFmtId="0" fontId="1" fillId="0" borderId="0" xfId="0" applyFont="1" applyProtection="1">
      <protection hidden="1"/>
    </xf>
    <xf numFmtId="1" fontId="1" fillId="0" borderId="0" xfId="0" applyNumberFormat="1" applyFont="1" applyProtection="1">
      <protection hidden="1"/>
    </xf>
    <xf numFmtId="165" fontId="1" fillId="0" borderId="0" xfId="0" applyNumberFormat="1" applyFont="1" applyProtection="1">
      <protection hidden="1"/>
    </xf>
    <xf numFmtId="164" fontId="2" fillId="0" borderId="0" xfId="0" applyNumberFormat="1" applyFont="1" applyProtection="1">
      <protection hidden="1"/>
    </xf>
    <xf numFmtId="1" fontId="2" fillId="0" borderId="0" xfId="0" applyNumberFormat="1" applyFont="1" applyProtection="1">
      <protection hidden="1"/>
    </xf>
    <xf numFmtId="0" fontId="2" fillId="0" borderId="0" xfId="0" applyFont="1" applyProtection="1">
      <protection hidden="1"/>
    </xf>
    <xf numFmtId="14" fontId="2" fillId="0" borderId="0" xfId="0" applyNumberFormat="1" applyFont="1" applyProtection="1">
      <protection hidden="1"/>
    </xf>
    <xf numFmtId="0" fontId="3" fillId="0" borderId="0" xfId="0" applyFont="1" applyProtection="1">
      <protection hidden="1"/>
    </xf>
    <xf numFmtId="0" fontId="1" fillId="0" borderId="0" xfId="0" applyFont="1" applyAlignment="1" applyProtection="1">
      <alignment horizontal="right"/>
      <protection hidden="1"/>
    </xf>
    <xf numFmtId="0" fontId="1" fillId="0" borderId="1" xfId="0" applyFont="1" applyBorder="1" applyProtection="1">
      <protection hidden="1"/>
    </xf>
    <xf numFmtId="0" fontId="1" fillId="0" borderId="2" xfId="0" applyFont="1" applyBorder="1" applyProtection="1">
      <protection hidden="1"/>
    </xf>
    <xf numFmtId="0" fontId="1" fillId="0" borderId="3" xfId="0" applyFont="1" applyBorder="1" applyProtection="1">
      <protection hidden="1"/>
    </xf>
    <xf numFmtId="14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78119-B2DE-473E-B9A0-A3C2902BFAD8}">
  <sheetPr codeName="Planilha1" filterMode="1">
    <tabColor rgb="FFFFC000"/>
  </sheetPr>
  <dimension ref="A1:E367"/>
  <sheetViews>
    <sheetView workbookViewId="0">
      <pane xSplit="4" ySplit="4" topLeftCell="E5" activePane="bottomRight" state="frozen"/>
      <selection pane="topRight" activeCell="D1" sqref="D1"/>
      <selection pane="bottomLeft" activeCell="A2" sqref="A2"/>
      <selection pane="bottomRight"/>
    </sheetView>
  </sheetViews>
  <sheetFormatPr defaultRowHeight="14.25" x14ac:dyDescent="0.2"/>
  <cols>
    <col min="1" max="1" width="15.5703125" style="7" bestFit="1" customWidth="1"/>
    <col min="2" max="2" width="19.42578125" style="7" bestFit="1" customWidth="1"/>
    <col min="3" max="3" width="16.7109375" style="7" bestFit="1" customWidth="1"/>
    <col min="4" max="4" width="10.5703125" style="7" bestFit="1" customWidth="1"/>
    <col min="5" max="5" width="76.42578125" style="9" bestFit="1" customWidth="1"/>
    <col min="6" max="16384" width="9.140625" style="7"/>
  </cols>
  <sheetData>
    <row r="1" spans="1:5" ht="15" x14ac:dyDescent="0.25">
      <c r="A1" s="10" t="s">
        <v>0</v>
      </c>
      <c r="B1" s="7" t="s">
        <v>1</v>
      </c>
    </row>
    <row r="2" spans="1:5" ht="15" x14ac:dyDescent="0.25">
      <c r="A2" s="10" t="s">
        <v>2</v>
      </c>
      <c r="B2" s="7" t="s">
        <v>3</v>
      </c>
    </row>
    <row r="4" spans="1:5" ht="15" x14ac:dyDescent="0.25">
      <c r="A4" s="2" t="s">
        <v>4</v>
      </c>
      <c r="B4" s="2" t="s">
        <v>5</v>
      </c>
      <c r="C4" s="2" t="s">
        <v>6</v>
      </c>
      <c r="D4" s="2" t="s">
        <v>7</v>
      </c>
      <c r="E4" s="2" t="s">
        <v>8</v>
      </c>
    </row>
    <row r="5" spans="1:5" x14ac:dyDescent="0.2">
      <c r="A5" s="7">
        <f>ROW()</f>
        <v>5</v>
      </c>
      <c r="B5" s="7" t="s">
        <v>9</v>
      </c>
      <c r="C5" s="7" t="s">
        <v>10</v>
      </c>
      <c r="D5" s="7" t="e">
        <f>VLOOKUP($C5,Genders!$A:$C,2,FALSE)</f>
        <v>#N/A</v>
      </c>
      <c r="E5" s="9" t="str">
        <f>"INSERT INTO " &amp; $B$1 &amp; "." &amp; $B$2 &amp; " (" &amp; $A$4 &amp; ", " &amp;$B$4 &amp; ", " &amp; $C$4 &amp;  ") VALUES (" &amp; $A5 &amp; ", '" &amp; $B5 &amp; "', '" &amp; $C5 &amp; "');"</f>
        <v>INSERT INTO bi4all.dim_names (id_name_pk, name, id_gender_fk) VALUES (5, 'Abel', 'M');</v>
      </c>
    </row>
    <row r="6" spans="1:5" x14ac:dyDescent="0.2">
      <c r="A6" s="7">
        <f>ROW()</f>
        <v>6</v>
      </c>
      <c r="B6" s="7" t="s">
        <v>11</v>
      </c>
      <c r="C6" s="7" t="s">
        <v>12</v>
      </c>
      <c r="D6" s="7" t="e">
        <f>VLOOKUP($C6,Genders!$A:$C,2,FALSE)</f>
        <v>#N/A</v>
      </c>
      <c r="E6" s="9" t="str">
        <f t="shared" ref="E6:E69" si="0">"INSERT INTO " &amp; $B$1 &amp; "." &amp; $B$2 &amp; " (" &amp; $A$4 &amp; ", " &amp;$B$4 &amp; ", " &amp; $C$4 &amp;  ") VALUES (" &amp; $A6 &amp; ", '" &amp; $B6 &amp; "', '" &amp; $C6 &amp; "');"</f>
        <v>INSERT INTO bi4all.dim_names (id_name_pk, name, id_gender_fk) VALUES (6, 'Abigail', 'F');</v>
      </c>
    </row>
    <row r="7" spans="1:5" x14ac:dyDescent="0.2">
      <c r="A7" s="7">
        <f>ROW()</f>
        <v>7</v>
      </c>
      <c r="B7" s="7" t="s">
        <v>13</v>
      </c>
      <c r="C7" s="7" t="s">
        <v>12</v>
      </c>
      <c r="D7" s="7" t="e">
        <f>VLOOKUP($C7,Genders!$A:$C,2,FALSE)</f>
        <v>#N/A</v>
      </c>
      <c r="E7" s="9" t="str">
        <f t="shared" si="0"/>
        <v>INSERT INTO bi4all.dim_names (id_name_pk, name, id_gender_fk) VALUES (7, 'Adelaide', 'F');</v>
      </c>
    </row>
    <row r="8" spans="1:5" x14ac:dyDescent="0.2">
      <c r="A8" s="7">
        <f>ROW()</f>
        <v>8</v>
      </c>
      <c r="B8" s="7" t="s">
        <v>14</v>
      </c>
      <c r="C8" s="7" t="s">
        <v>12</v>
      </c>
      <c r="D8" s="7" t="e">
        <f>VLOOKUP($C8,Genders!$A:$C,2,FALSE)</f>
        <v>#N/A</v>
      </c>
      <c r="E8" s="9" t="str">
        <f t="shared" si="0"/>
        <v>INSERT INTO bi4all.dim_names (id_name_pk, name, id_gender_fk) VALUES (8, 'Adélia', 'F');</v>
      </c>
    </row>
    <row r="9" spans="1:5" x14ac:dyDescent="0.2">
      <c r="A9" s="7">
        <f>ROW()</f>
        <v>9</v>
      </c>
      <c r="B9" s="7" t="s">
        <v>15</v>
      </c>
      <c r="C9" s="7" t="s">
        <v>10</v>
      </c>
      <c r="D9" s="7" t="e">
        <f>VLOOKUP($C9,Genders!$A:$C,2,FALSE)</f>
        <v>#N/A</v>
      </c>
      <c r="E9" s="9" t="str">
        <f t="shared" si="0"/>
        <v>INSERT INTO bi4all.dim_names (id_name_pk, name, id_gender_fk) VALUES (9, 'Adélio', 'M');</v>
      </c>
    </row>
    <row r="10" spans="1:5" x14ac:dyDescent="0.2">
      <c r="A10" s="7">
        <f>ROW()</f>
        <v>10</v>
      </c>
      <c r="B10" s="7" t="s">
        <v>16</v>
      </c>
      <c r="C10" s="7" t="s">
        <v>12</v>
      </c>
      <c r="D10" s="7" t="e">
        <f>VLOOKUP($C10,Genders!$A:$C,2,FALSE)</f>
        <v>#N/A</v>
      </c>
      <c r="E10" s="9" t="str">
        <f t="shared" si="0"/>
        <v>INSERT INTO bi4all.dim_names (id_name_pk, name, id_gender_fk) VALUES (10, 'Ágata', 'F');</v>
      </c>
    </row>
    <row r="11" spans="1:5" x14ac:dyDescent="0.2">
      <c r="A11" s="7">
        <f>ROW()</f>
        <v>11</v>
      </c>
      <c r="B11" s="7" t="s">
        <v>17</v>
      </c>
      <c r="C11" s="7" t="s">
        <v>12</v>
      </c>
      <c r="D11" s="7" t="e">
        <f>VLOOKUP($C11,Genders!$A:$C,2,FALSE)</f>
        <v>#N/A</v>
      </c>
      <c r="E11" s="9" t="str">
        <f t="shared" si="0"/>
        <v>INSERT INTO bi4all.dim_names (id_name_pk, name, id_gender_fk) VALUES (11, 'Agatha', 'F');</v>
      </c>
    </row>
    <row r="12" spans="1:5" x14ac:dyDescent="0.2">
      <c r="A12" s="7">
        <f>ROW()</f>
        <v>12</v>
      </c>
      <c r="B12" s="7" t="s">
        <v>18</v>
      </c>
      <c r="C12" s="7" t="s">
        <v>12</v>
      </c>
      <c r="D12" s="7" t="e">
        <f>VLOOKUP($C12,Genders!$A:$C,2,FALSE)</f>
        <v>#N/A</v>
      </c>
      <c r="E12" s="9" t="str">
        <f t="shared" si="0"/>
        <v>INSERT INTO bi4all.dim_names (id_name_pk, name, id_gender_fk) VALUES (12, 'Alana', 'F');</v>
      </c>
    </row>
    <row r="13" spans="1:5" x14ac:dyDescent="0.2">
      <c r="A13" s="7">
        <f>ROW()</f>
        <v>13</v>
      </c>
      <c r="B13" s="7" t="s">
        <v>19</v>
      </c>
      <c r="C13" s="7" t="s">
        <v>12</v>
      </c>
      <c r="D13" s="7" t="e">
        <f>VLOOKUP($C13,Genders!$A:$C,2,FALSE)</f>
        <v>#N/A</v>
      </c>
      <c r="E13" s="9" t="str">
        <f t="shared" si="0"/>
        <v>INSERT INTO bi4all.dim_names (id_name_pk, name, id_gender_fk) VALUES (13, 'Alessandra', 'F');</v>
      </c>
    </row>
    <row r="14" spans="1:5" x14ac:dyDescent="0.2">
      <c r="A14" s="7">
        <f>ROW()</f>
        <v>14</v>
      </c>
      <c r="B14" s="7" t="s">
        <v>20</v>
      </c>
      <c r="C14" s="7" t="s">
        <v>10</v>
      </c>
      <c r="D14" s="7" t="e">
        <f>VLOOKUP($C14,Genders!$A:$C,2,FALSE)</f>
        <v>#N/A</v>
      </c>
      <c r="E14" s="9" t="str">
        <f t="shared" si="0"/>
        <v>INSERT INTO bi4all.dim_names (id_name_pk, name, id_gender_fk) VALUES (14, 'Alexander', 'M');</v>
      </c>
    </row>
    <row r="15" spans="1:5" x14ac:dyDescent="0.2">
      <c r="A15" s="7">
        <f>ROW()</f>
        <v>15</v>
      </c>
      <c r="B15" s="7" t="s">
        <v>21</v>
      </c>
      <c r="C15" s="7" t="s">
        <v>10</v>
      </c>
      <c r="D15" s="7" t="e">
        <f>VLOOKUP($C15,Genders!$A:$C,2,FALSE)</f>
        <v>#N/A</v>
      </c>
      <c r="E15" s="9" t="str">
        <f t="shared" si="0"/>
        <v>INSERT INTO bi4all.dim_names (id_name_pk, name, id_gender_fk) VALUES (15, 'Alexandre', 'M');</v>
      </c>
    </row>
    <row r="16" spans="1:5" x14ac:dyDescent="0.2">
      <c r="A16" s="7">
        <f>ROW()</f>
        <v>16</v>
      </c>
      <c r="B16" s="7" t="s">
        <v>22</v>
      </c>
      <c r="C16" s="7" t="s">
        <v>12</v>
      </c>
      <c r="D16" s="7" t="e">
        <f>VLOOKUP($C16,Genders!$A:$C,2,FALSE)</f>
        <v>#N/A</v>
      </c>
      <c r="E16" s="9" t="str">
        <f t="shared" si="0"/>
        <v>INSERT INTO bi4all.dim_names (id_name_pk, name, id_gender_fk) VALUES (16, 'Alice', 'F');</v>
      </c>
    </row>
    <row r="17" spans="1:5" x14ac:dyDescent="0.2">
      <c r="A17" s="7">
        <f>ROW()</f>
        <v>17</v>
      </c>
      <c r="B17" s="7" t="s">
        <v>23</v>
      </c>
      <c r="C17" s="7" t="s">
        <v>12</v>
      </c>
      <c r="D17" s="7" t="e">
        <f>VLOOKUP($C17,Genders!$A:$C,2,FALSE)</f>
        <v>#N/A</v>
      </c>
      <c r="E17" s="9" t="str">
        <f t="shared" si="0"/>
        <v>INSERT INTO bi4all.dim_names (id_name_pk, name, id_gender_fk) VALUES (17, 'Alicia', 'F');</v>
      </c>
    </row>
    <row r="18" spans="1:5" x14ac:dyDescent="0.2">
      <c r="A18" s="7">
        <f>ROW()</f>
        <v>18</v>
      </c>
      <c r="B18" s="7" t="s">
        <v>24</v>
      </c>
      <c r="C18" s="7" t="s">
        <v>12</v>
      </c>
      <c r="D18" s="7" t="e">
        <f>VLOOKUP($C18,Genders!$A:$C,2,FALSE)</f>
        <v>#N/A</v>
      </c>
      <c r="E18" s="9" t="str">
        <f t="shared" si="0"/>
        <v>INSERT INTO bi4all.dim_names (id_name_pk, name, id_gender_fk) VALUES (18, 'Alícia', 'F');</v>
      </c>
    </row>
    <row r="19" spans="1:5" x14ac:dyDescent="0.2">
      <c r="A19" s="7">
        <f>ROW()</f>
        <v>19</v>
      </c>
      <c r="B19" s="7" t="s">
        <v>25</v>
      </c>
      <c r="C19" s="7" t="s">
        <v>12</v>
      </c>
      <c r="D19" s="7" t="e">
        <f>VLOOKUP($C19,Genders!$A:$C,2,FALSE)</f>
        <v>#N/A</v>
      </c>
      <c r="E19" s="9" t="str">
        <f t="shared" si="0"/>
        <v>INSERT INTO bi4all.dim_names (id_name_pk, name, id_gender_fk) VALUES (19, 'Aline', 'F');</v>
      </c>
    </row>
    <row r="20" spans="1:5" x14ac:dyDescent="0.2">
      <c r="A20" s="7">
        <f>ROW()</f>
        <v>20</v>
      </c>
      <c r="B20" s="7" t="s">
        <v>26</v>
      </c>
      <c r="C20" s="7" t="s">
        <v>12</v>
      </c>
      <c r="D20" s="7" t="e">
        <f>VLOOKUP($C20,Genders!$A:$C,2,FALSE)</f>
        <v>#N/A</v>
      </c>
      <c r="E20" s="9" t="str">
        <f t="shared" si="0"/>
        <v>INSERT INTO bi4all.dim_names (id_name_pk, name, id_gender_fk) VALUES (20, 'Alini', 'F');</v>
      </c>
    </row>
    <row r="21" spans="1:5" x14ac:dyDescent="0.2">
      <c r="A21" s="7">
        <f>ROW()</f>
        <v>21</v>
      </c>
      <c r="B21" s="7" t="s">
        <v>27</v>
      </c>
      <c r="C21" s="7" t="s">
        <v>12</v>
      </c>
      <c r="D21" s="7" t="e">
        <f>VLOOKUP($C21,Genders!$A:$C,2,FALSE)</f>
        <v>#N/A</v>
      </c>
      <c r="E21" s="9" t="str">
        <f t="shared" si="0"/>
        <v>INSERT INTO bi4all.dim_names (id_name_pk, name, id_gender_fk) VALUES (21, 'Allana', 'F');</v>
      </c>
    </row>
    <row r="22" spans="1:5" x14ac:dyDescent="0.2">
      <c r="A22" s="7">
        <f>ROW()</f>
        <v>22</v>
      </c>
      <c r="B22" s="7" t="s">
        <v>28</v>
      </c>
      <c r="C22" s="7" t="s">
        <v>10</v>
      </c>
      <c r="D22" s="7" t="e">
        <f>VLOOKUP($C22,Genders!$A:$C,2,FALSE)</f>
        <v>#N/A</v>
      </c>
      <c r="E22" s="9" t="str">
        <f t="shared" si="0"/>
        <v>INSERT INTO bi4all.dim_names (id_name_pk, name, id_gender_fk) VALUES (22, 'Álvaro', 'M');</v>
      </c>
    </row>
    <row r="23" spans="1:5" x14ac:dyDescent="0.2">
      <c r="A23" s="7">
        <f>ROW()</f>
        <v>23</v>
      </c>
      <c r="B23" s="7" t="s">
        <v>29</v>
      </c>
      <c r="C23" s="7" t="s">
        <v>12</v>
      </c>
      <c r="D23" s="7" t="e">
        <f>VLOOKUP($C23,Genders!$A:$C,2,FALSE)</f>
        <v>#N/A</v>
      </c>
      <c r="E23" s="9" t="str">
        <f t="shared" si="0"/>
        <v>INSERT INTO bi4all.dim_names (id_name_pk, name, id_gender_fk) VALUES (23, 'Amanda', 'F');</v>
      </c>
    </row>
    <row r="24" spans="1:5" x14ac:dyDescent="0.2">
      <c r="A24" s="7">
        <f>ROW()</f>
        <v>24</v>
      </c>
      <c r="B24" s="7" t="s">
        <v>30</v>
      </c>
      <c r="C24" s="7" t="s">
        <v>12</v>
      </c>
      <c r="D24" s="7" t="e">
        <f>VLOOKUP($C24,Genders!$A:$C,2,FALSE)</f>
        <v>#N/A</v>
      </c>
      <c r="E24" s="9" t="str">
        <f t="shared" si="0"/>
        <v>INSERT INTO bi4all.dim_names (id_name_pk, name, id_gender_fk) VALUES (24, 'Ammanda', 'F');</v>
      </c>
    </row>
    <row r="25" spans="1:5" x14ac:dyDescent="0.2">
      <c r="A25" s="7">
        <f>ROW()</f>
        <v>25</v>
      </c>
      <c r="B25" s="7" t="s">
        <v>31</v>
      </c>
      <c r="C25" s="7" t="s">
        <v>12</v>
      </c>
      <c r="D25" s="7" t="e">
        <f>VLOOKUP($C25,Genders!$A:$C,2,FALSE)</f>
        <v>#N/A</v>
      </c>
      <c r="E25" s="9" t="str">
        <f t="shared" si="0"/>
        <v>INSERT INTO bi4all.dim_names (id_name_pk, name, id_gender_fk) VALUES (25, 'Ana', 'F');</v>
      </c>
    </row>
    <row r="26" spans="1:5" x14ac:dyDescent="0.2">
      <c r="A26" s="7">
        <f>ROW()</f>
        <v>26</v>
      </c>
      <c r="B26" s="7" t="s">
        <v>32</v>
      </c>
      <c r="C26" s="7" t="s">
        <v>12</v>
      </c>
      <c r="D26" s="7" t="e">
        <f>VLOOKUP($C26,Genders!$A:$C,2,FALSE)</f>
        <v>#N/A</v>
      </c>
      <c r="E26" s="9" t="str">
        <f t="shared" si="0"/>
        <v>INSERT INTO bi4all.dim_names (id_name_pk, name, id_gender_fk) VALUES (26, 'Ana Beatriz', 'F');</v>
      </c>
    </row>
    <row r="27" spans="1:5" x14ac:dyDescent="0.2">
      <c r="A27" s="7">
        <f>ROW()</f>
        <v>27</v>
      </c>
      <c r="B27" s="7" t="s">
        <v>33</v>
      </c>
      <c r="C27" s="7" t="s">
        <v>12</v>
      </c>
      <c r="D27" s="7" t="e">
        <f>VLOOKUP($C27,Genders!$A:$C,2,FALSE)</f>
        <v>#N/A</v>
      </c>
      <c r="E27" s="9" t="str">
        <f t="shared" si="0"/>
        <v>INSERT INTO bi4all.dim_names (id_name_pk, name, id_gender_fk) VALUES (27, 'Ana Carolina', 'F');</v>
      </c>
    </row>
    <row r="28" spans="1:5" x14ac:dyDescent="0.2">
      <c r="A28" s="7">
        <f>ROW()</f>
        <v>28</v>
      </c>
      <c r="B28" s="7" t="s">
        <v>34</v>
      </c>
      <c r="C28" s="7" t="s">
        <v>12</v>
      </c>
      <c r="D28" s="7" t="e">
        <f>VLOOKUP($C28,Genders!$A:$C,2,FALSE)</f>
        <v>#N/A</v>
      </c>
      <c r="E28" s="9" t="str">
        <f t="shared" si="0"/>
        <v>INSERT INTO bi4all.dim_names (id_name_pk, name, id_gender_fk) VALUES (28, 'Ana Caroline', 'F');</v>
      </c>
    </row>
    <row r="29" spans="1:5" x14ac:dyDescent="0.2">
      <c r="A29" s="7">
        <f>ROW()</f>
        <v>29</v>
      </c>
      <c r="B29" s="7" t="s">
        <v>35</v>
      </c>
      <c r="C29" s="7" t="s">
        <v>12</v>
      </c>
      <c r="D29" s="7" t="e">
        <f>VLOOKUP($C29,Genders!$A:$C,2,FALSE)</f>
        <v>#N/A</v>
      </c>
      <c r="E29" s="9" t="str">
        <f t="shared" si="0"/>
        <v>INSERT INTO bi4all.dim_names (id_name_pk, name, id_gender_fk) VALUES (29, 'Ana Cecília', 'F');</v>
      </c>
    </row>
    <row r="30" spans="1:5" x14ac:dyDescent="0.2">
      <c r="A30" s="7">
        <f>ROW()</f>
        <v>30</v>
      </c>
      <c r="B30" s="7" t="s">
        <v>36</v>
      </c>
      <c r="C30" s="7" t="s">
        <v>12</v>
      </c>
      <c r="D30" s="7" t="e">
        <f>VLOOKUP($C30,Genders!$A:$C,2,FALSE)</f>
        <v>#N/A</v>
      </c>
      <c r="E30" s="9" t="str">
        <f t="shared" si="0"/>
        <v>INSERT INTO bi4all.dim_names (id_name_pk, name, id_gender_fk) VALUES (30, 'Ana Clara', 'F');</v>
      </c>
    </row>
    <row r="31" spans="1:5" x14ac:dyDescent="0.2">
      <c r="A31" s="7">
        <f>ROW()</f>
        <v>31</v>
      </c>
      <c r="B31" s="7" t="s">
        <v>37</v>
      </c>
      <c r="C31" s="7" t="s">
        <v>12</v>
      </c>
      <c r="D31" s="7" t="e">
        <f>VLOOKUP($C31,Genders!$A:$C,2,FALSE)</f>
        <v>#N/A</v>
      </c>
      <c r="E31" s="9" t="str">
        <f t="shared" si="0"/>
        <v>INSERT INTO bi4all.dim_names (id_name_pk, name, id_gender_fk) VALUES (31, 'Ana Júlia', 'F');</v>
      </c>
    </row>
    <row r="32" spans="1:5" x14ac:dyDescent="0.2">
      <c r="A32" s="7">
        <f>ROW()</f>
        <v>32</v>
      </c>
      <c r="B32" s="7" t="s">
        <v>38</v>
      </c>
      <c r="C32" s="7" t="s">
        <v>12</v>
      </c>
      <c r="D32" s="7" t="e">
        <f>VLOOKUP($C32,Genders!$A:$C,2,FALSE)</f>
        <v>#N/A</v>
      </c>
      <c r="E32" s="9" t="str">
        <f t="shared" si="0"/>
        <v>INSERT INTO bi4all.dim_names (id_name_pk, name, id_gender_fk) VALUES (32, 'Ana Laura', 'F');</v>
      </c>
    </row>
    <row r="33" spans="1:5" x14ac:dyDescent="0.2">
      <c r="A33" s="7">
        <f>ROW()</f>
        <v>33</v>
      </c>
      <c r="B33" s="7" t="s">
        <v>39</v>
      </c>
      <c r="C33" s="7" t="s">
        <v>12</v>
      </c>
      <c r="D33" s="7" t="e">
        <f>VLOOKUP($C33,Genders!$A:$C,2,FALSE)</f>
        <v>#N/A</v>
      </c>
      <c r="E33" s="9" t="str">
        <f t="shared" si="0"/>
        <v>INSERT INTO bi4all.dim_names (id_name_pk, name, id_gender_fk) VALUES (33, 'Ana Lívia', 'F');</v>
      </c>
    </row>
    <row r="34" spans="1:5" x14ac:dyDescent="0.2">
      <c r="A34" s="7">
        <f>ROW()</f>
        <v>34</v>
      </c>
      <c r="B34" s="7" t="s">
        <v>40</v>
      </c>
      <c r="C34" s="7" t="s">
        <v>12</v>
      </c>
      <c r="D34" s="7" t="e">
        <f>VLOOKUP($C34,Genders!$A:$C,2,FALSE)</f>
        <v>#N/A</v>
      </c>
      <c r="E34" s="9" t="str">
        <f t="shared" si="0"/>
        <v>INSERT INTO bi4all.dim_names (id_name_pk, name, id_gender_fk) VALUES (34, 'Ana Liz', 'F');</v>
      </c>
    </row>
    <row r="35" spans="1:5" x14ac:dyDescent="0.2">
      <c r="A35" s="7">
        <f>ROW()</f>
        <v>35</v>
      </c>
      <c r="B35" s="7" t="s">
        <v>41</v>
      </c>
      <c r="C35" s="7" t="s">
        <v>12</v>
      </c>
      <c r="D35" s="7" t="e">
        <f>VLOOKUP($C35,Genders!$A:$C,2,FALSE)</f>
        <v>#N/A</v>
      </c>
      <c r="E35" s="9" t="str">
        <f t="shared" si="0"/>
        <v>INSERT INTO bi4all.dim_names (id_name_pk, name, id_gender_fk) VALUES (35, 'Ana Luiza', 'F');</v>
      </c>
    </row>
    <row r="36" spans="1:5" x14ac:dyDescent="0.2">
      <c r="A36" s="7">
        <f>ROW()</f>
        <v>36</v>
      </c>
      <c r="B36" s="7" t="s">
        <v>42</v>
      </c>
      <c r="C36" s="7" t="s">
        <v>12</v>
      </c>
      <c r="D36" s="7" t="e">
        <f>VLOOKUP($C36,Genders!$A:$C,2,FALSE)</f>
        <v>#N/A</v>
      </c>
      <c r="E36" s="9" t="str">
        <f t="shared" si="0"/>
        <v>INSERT INTO bi4all.dim_names (id_name_pk, name, id_gender_fk) VALUES (36, 'Ana Sophia', 'F');</v>
      </c>
    </row>
    <row r="37" spans="1:5" x14ac:dyDescent="0.2">
      <c r="A37" s="7">
        <f>ROW()</f>
        <v>37</v>
      </c>
      <c r="B37" s="7" t="s">
        <v>43</v>
      </c>
      <c r="C37" s="7" t="s">
        <v>12</v>
      </c>
      <c r="D37" s="7" t="e">
        <f>VLOOKUP($C37,Genders!$A:$C,2,FALSE)</f>
        <v>#N/A</v>
      </c>
      <c r="E37" s="9" t="str">
        <f t="shared" si="0"/>
        <v>INSERT INTO bi4all.dim_names (id_name_pk, name, id_gender_fk) VALUES (37, 'Ana Vitória', 'F');</v>
      </c>
    </row>
    <row r="38" spans="1:5" x14ac:dyDescent="0.2">
      <c r="A38" s="7">
        <f>ROW()</f>
        <v>38</v>
      </c>
      <c r="B38" s="7" t="s">
        <v>44</v>
      </c>
      <c r="C38" s="7" t="s">
        <v>12</v>
      </c>
      <c r="D38" s="7" t="e">
        <f>VLOOKUP($C38,Genders!$A:$C,2,FALSE)</f>
        <v>#N/A</v>
      </c>
      <c r="E38" s="9" t="str">
        <f t="shared" si="0"/>
        <v>INSERT INTO bi4all.dim_names (id_name_pk, name, id_gender_fk) VALUES (38, 'Analu', 'F');</v>
      </c>
    </row>
    <row r="39" spans="1:5" x14ac:dyDescent="0.2">
      <c r="A39" s="7">
        <f>ROW()</f>
        <v>39</v>
      </c>
      <c r="B39" s="7" t="s">
        <v>45</v>
      </c>
      <c r="C39" s="7" t="s">
        <v>12</v>
      </c>
      <c r="D39" s="7" t="e">
        <f>VLOOKUP($C39,Genders!$A:$C,2,FALSE)</f>
        <v>#N/A</v>
      </c>
      <c r="E39" s="9" t="str">
        <f t="shared" si="0"/>
        <v>INSERT INTO bi4all.dim_names (id_name_pk, name, id_gender_fk) VALUES (39, 'Ananda', 'F');</v>
      </c>
    </row>
    <row r="40" spans="1:5" x14ac:dyDescent="0.2">
      <c r="A40" s="7">
        <f>ROW()</f>
        <v>40</v>
      </c>
      <c r="B40" s="7" t="s">
        <v>46</v>
      </c>
      <c r="C40" s="7" t="s">
        <v>10</v>
      </c>
      <c r="D40" s="7" t="e">
        <f>VLOOKUP($C40,Genders!$A:$C,2,FALSE)</f>
        <v>#N/A</v>
      </c>
      <c r="E40" s="9" t="str">
        <f t="shared" si="0"/>
        <v>INSERT INTO bi4all.dim_names (id_name_pk, name, id_gender_fk) VALUES (40, 'André', 'M');</v>
      </c>
    </row>
    <row r="41" spans="1:5" x14ac:dyDescent="0.2">
      <c r="A41" s="7">
        <f>ROW()</f>
        <v>41</v>
      </c>
      <c r="B41" s="7" t="s">
        <v>47</v>
      </c>
      <c r="C41" s="7" t="s">
        <v>12</v>
      </c>
      <c r="D41" s="7" t="e">
        <f>VLOOKUP($C41,Genders!$A:$C,2,FALSE)</f>
        <v>#N/A</v>
      </c>
      <c r="E41" s="9" t="str">
        <f t="shared" si="0"/>
        <v>INSERT INTO bi4all.dim_names (id_name_pk, name, id_gender_fk) VALUES (41, 'Ane Caroline', 'F');</v>
      </c>
    </row>
    <row r="42" spans="1:5" x14ac:dyDescent="0.2">
      <c r="A42" s="7">
        <f>ROW()</f>
        <v>42</v>
      </c>
      <c r="B42" s="7" t="s">
        <v>48</v>
      </c>
      <c r="C42" s="7" t="s">
        <v>10</v>
      </c>
      <c r="D42" s="7" t="e">
        <f>VLOOKUP($C42,Genders!$A:$C,2,FALSE)</f>
        <v>#N/A</v>
      </c>
      <c r="E42" s="9" t="str">
        <f t="shared" si="0"/>
        <v>INSERT INTO bi4all.dim_names (id_name_pk, name, id_gender_fk) VALUES (42, 'Ângelo', 'M');</v>
      </c>
    </row>
    <row r="43" spans="1:5" x14ac:dyDescent="0.2">
      <c r="A43" s="7">
        <f>ROW()</f>
        <v>43</v>
      </c>
      <c r="B43" s="7" t="s">
        <v>49</v>
      </c>
      <c r="C43" s="7" t="s">
        <v>12</v>
      </c>
      <c r="D43" s="7" t="e">
        <f>VLOOKUP($C43,Genders!$A:$C,2,FALSE)</f>
        <v>#N/A</v>
      </c>
      <c r="E43" s="9" t="str">
        <f t="shared" si="0"/>
        <v>INSERT INTO bi4all.dim_names (id_name_pk, name, id_gender_fk) VALUES (43, 'Anita', 'F');</v>
      </c>
    </row>
    <row r="44" spans="1:5" x14ac:dyDescent="0.2">
      <c r="A44" s="7">
        <f>ROW()</f>
        <v>44</v>
      </c>
      <c r="B44" s="7" t="s">
        <v>50</v>
      </c>
      <c r="C44" s="7" t="s">
        <v>12</v>
      </c>
      <c r="D44" s="7" t="e">
        <f>VLOOKUP($C44,Genders!$A:$C,2,FALSE)</f>
        <v>#N/A</v>
      </c>
      <c r="E44" s="9" t="str">
        <f t="shared" si="0"/>
        <v>INSERT INTO bi4all.dim_names (id_name_pk, name, id_gender_fk) VALUES (44, 'Anna Carolina', 'F');</v>
      </c>
    </row>
    <row r="45" spans="1:5" x14ac:dyDescent="0.2">
      <c r="A45" s="7">
        <f>ROW()</f>
        <v>45</v>
      </c>
      <c r="B45" s="7" t="s">
        <v>51</v>
      </c>
      <c r="C45" s="7" t="s">
        <v>12</v>
      </c>
      <c r="D45" s="7" t="e">
        <f>VLOOKUP($C45,Genders!$A:$C,2,FALSE)</f>
        <v>#N/A</v>
      </c>
      <c r="E45" s="9" t="str">
        <f t="shared" si="0"/>
        <v>INSERT INTO bi4all.dim_names (id_name_pk, name, id_gender_fk) VALUES (45, 'Anna Carolinna', 'F');</v>
      </c>
    </row>
    <row r="46" spans="1:5" x14ac:dyDescent="0.2">
      <c r="A46" s="7">
        <f>ROW()</f>
        <v>46</v>
      </c>
      <c r="B46" s="7" t="s">
        <v>52</v>
      </c>
      <c r="C46" s="7" t="s">
        <v>12</v>
      </c>
      <c r="D46" s="7" t="e">
        <f>VLOOKUP($C46,Genders!$A:$C,2,FALSE)</f>
        <v>#N/A</v>
      </c>
      <c r="E46" s="9" t="str">
        <f t="shared" si="0"/>
        <v>INSERT INTO bi4all.dim_names (id_name_pk, name, id_gender_fk) VALUES (46, 'Anna Julia', 'F');</v>
      </c>
    </row>
    <row r="47" spans="1:5" x14ac:dyDescent="0.2">
      <c r="A47" s="7">
        <f>ROW()</f>
        <v>47</v>
      </c>
      <c r="B47" s="7" t="s">
        <v>53</v>
      </c>
      <c r="C47" s="7" t="s">
        <v>12</v>
      </c>
      <c r="D47" s="7" t="e">
        <f>VLOOKUP($C47,Genders!$A:$C,2,FALSE)</f>
        <v>#N/A</v>
      </c>
      <c r="E47" s="9" t="str">
        <f t="shared" si="0"/>
        <v>INSERT INTO bi4all.dim_names (id_name_pk, name, id_gender_fk) VALUES (47, 'Anne Caroline', 'F');</v>
      </c>
    </row>
    <row r="48" spans="1:5" x14ac:dyDescent="0.2">
      <c r="A48" s="7">
        <f>ROW()</f>
        <v>48</v>
      </c>
      <c r="B48" s="7" t="s">
        <v>54</v>
      </c>
      <c r="C48" s="7" t="s">
        <v>10</v>
      </c>
      <c r="D48" s="7" t="e">
        <f>VLOOKUP($C48,Genders!$A:$C,2,FALSE)</f>
        <v>#N/A</v>
      </c>
      <c r="E48" s="9" t="str">
        <f t="shared" si="0"/>
        <v>INSERT INTO bi4all.dim_names (id_name_pk, name, id_gender_fk) VALUES (48, 'Anthony', 'M');</v>
      </c>
    </row>
    <row r="49" spans="1:5" x14ac:dyDescent="0.2">
      <c r="A49" s="7">
        <f>ROW()</f>
        <v>49</v>
      </c>
      <c r="B49" s="7" t="s">
        <v>55</v>
      </c>
      <c r="C49" s="7" t="s">
        <v>10</v>
      </c>
      <c r="D49" s="7" t="e">
        <f>VLOOKUP($C49,Genders!$A:$C,2,FALSE)</f>
        <v>#N/A</v>
      </c>
      <c r="E49" s="9" t="str">
        <f t="shared" si="0"/>
        <v>INSERT INTO bi4all.dim_names (id_name_pk, name, id_gender_fk) VALUES (49, 'Anthony Gabriel', 'M');</v>
      </c>
    </row>
    <row r="50" spans="1:5" x14ac:dyDescent="0.2">
      <c r="A50" s="7">
        <f>ROW()</f>
        <v>50</v>
      </c>
      <c r="B50" s="7" t="s">
        <v>56</v>
      </c>
      <c r="C50" s="7" t="s">
        <v>12</v>
      </c>
      <c r="D50" s="7" t="e">
        <f>VLOOKUP($C50,Genders!$A:$C,2,FALSE)</f>
        <v>#N/A</v>
      </c>
      <c r="E50" s="9" t="str">
        <f t="shared" si="0"/>
        <v>INSERT INTO bi4all.dim_names (id_name_pk, name, id_gender_fk) VALUES (50, 'Antonella', 'F');</v>
      </c>
    </row>
    <row r="51" spans="1:5" x14ac:dyDescent="0.2">
      <c r="A51" s="7">
        <f>ROW()</f>
        <v>51</v>
      </c>
      <c r="B51" s="7" t="s">
        <v>57</v>
      </c>
      <c r="C51" s="7" t="s">
        <v>12</v>
      </c>
      <c r="D51" s="7" t="e">
        <f>VLOOKUP($C51,Genders!$A:$C,2,FALSE)</f>
        <v>#N/A</v>
      </c>
      <c r="E51" s="9" t="str">
        <f t="shared" si="0"/>
        <v>INSERT INTO bi4all.dim_names (id_name_pk, name, id_gender_fk) VALUES (51, 'Antônia', 'F');</v>
      </c>
    </row>
    <row r="52" spans="1:5" x14ac:dyDescent="0.2">
      <c r="A52" s="7">
        <f>ROW()</f>
        <v>52</v>
      </c>
      <c r="B52" s="7" t="s">
        <v>58</v>
      </c>
      <c r="C52" s="7" t="s">
        <v>10</v>
      </c>
      <c r="D52" s="7" t="e">
        <f>VLOOKUP($C52,Genders!$A:$C,2,FALSE)</f>
        <v>#N/A</v>
      </c>
      <c r="E52" s="9" t="str">
        <f t="shared" si="0"/>
        <v>INSERT INTO bi4all.dim_names (id_name_pk, name, id_gender_fk) VALUES (52, 'Antônio', 'M');</v>
      </c>
    </row>
    <row r="53" spans="1:5" x14ac:dyDescent="0.2">
      <c r="A53" s="7">
        <f>ROW()</f>
        <v>53</v>
      </c>
      <c r="B53" s="7" t="s">
        <v>59</v>
      </c>
      <c r="C53" s="7" t="s">
        <v>10</v>
      </c>
      <c r="D53" s="7" t="e">
        <f>VLOOKUP($C53,Genders!$A:$C,2,FALSE)</f>
        <v>#N/A</v>
      </c>
      <c r="E53" s="9" t="str">
        <f t="shared" si="0"/>
        <v>INSERT INTO bi4all.dim_names (id_name_pk, name, id_gender_fk) VALUES (53, 'Aquiles', 'M');</v>
      </c>
    </row>
    <row r="54" spans="1:5" x14ac:dyDescent="0.2">
      <c r="A54" s="7">
        <f>ROW()</f>
        <v>54</v>
      </c>
      <c r="B54" s="7" t="s">
        <v>60</v>
      </c>
      <c r="C54" s="7" t="s">
        <v>12</v>
      </c>
      <c r="D54" s="7" t="e">
        <f>VLOOKUP($C54,Genders!$A:$C,2,FALSE)</f>
        <v>#N/A</v>
      </c>
      <c r="E54" s="9" t="str">
        <f t="shared" si="0"/>
        <v>INSERT INTO bi4all.dim_names (id_name_pk, name, id_gender_fk) VALUES (54, 'Ariela', 'F');</v>
      </c>
    </row>
    <row r="55" spans="1:5" x14ac:dyDescent="0.2">
      <c r="A55" s="7">
        <f>ROW()</f>
        <v>55</v>
      </c>
      <c r="B55" s="7" t="s">
        <v>61</v>
      </c>
      <c r="C55" s="7" t="s">
        <v>10</v>
      </c>
      <c r="D55" s="7" t="e">
        <f>VLOOKUP($C55,Genders!$A:$C,2,FALSE)</f>
        <v>#N/A</v>
      </c>
      <c r="E55" s="9" t="str">
        <f t="shared" si="0"/>
        <v>INSERT INTO bi4all.dim_names (id_name_pk, name, id_gender_fk) VALUES (55, 'Arthur', 'M');</v>
      </c>
    </row>
    <row r="56" spans="1:5" x14ac:dyDescent="0.2">
      <c r="A56" s="7">
        <f>ROW()</f>
        <v>56</v>
      </c>
      <c r="B56" s="7" t="s">
        <v>62</v>
      </c>
      <c r="C56" s="7" t="s">
        <v>10</v>
      </c>
      <c r="D56" s="7" t="e">
        <f>VLOOKUP($C56,Genders!$A:$C,2,FALSE)</f>
        <v>#N/A</v>
      </c>
      <c r="E56" s="9" t="str">
        <f t="shared" si="0"/>
        <v>INSERT INTO bi4all.dim_names (id_name_pk, name, id_gender_fk) VALUES (56, 'Arthur Gabriel', 'M');</v>
      </c>
    </row>
    <row r="57" spans="1:5" x14ac:dyDescent="0.2">
      <c r="A57" s="7">
        <f>ROW()</f>
        <v>57</v>
      </c>
      <c r="B57" s="7" t="s">
        <v>63</v>
      </c>
      <c r="C57" s="7" t="s">
        <v>10</v>
      </c>
      <c r="D57" s="7" t="e">
        <f>VLOOKUP($C57,Genders!$A:$C,2,FALSE)</f>
        <v>#N/A</v>
      </c>
      <c r="E57" s="9" t="str">
        <f t="shared" si="0"/>
        <v>INSERT INTO bi4all.dim_names (id_name_pk, name, id_gender_fk) VALUES (57, 'Arthur Henrique', 'M');</v>
      </c>
    </row>
    <row r="58" spans="1:5" x14ac:dyDescent="0.2">
      <c r="A58" s="7">
        <f>ROW()</f>
        <v>58</v>
      </c>
      <c r="B58" s="7" t="s">
        <v>64</v>
      </c>
      <c r="C58" s="7" t="s">
        <v>10</v>
      </c>
      <c r="D58" s="7" t="e">
        <f>VLOOKUP($C58,Genders!$A:$C,2,FALSE)</f>
        <v>#N/A</v>
      </c>
      <c r="E58" s="9" t="str">
        <f t="shared" si="0"/>
        <v>INSERT INTO bi4all.dim_names (id_name_pk, name, id_gender_fk) VALUES (58, 'Arthur Miguel', 'M');</v>
      </c>
    </row>
    <row r="59" spans="1:5" x14ac:dyDescent="0.2">
      <c r="A59" s="7">
        <f>ROW()</f>
        <v>59</v>
      </c>
      <c r="B59" s="7" t="s">
        <v>65</v>
      </c>
      <c r="C59" s="7" t="s">
        <v>10</v>
      </c>
      <c r="D59" s="7" t="e">
        <f>VLOOKUP($C59,Genders!$A:$C,2,FALSE)</f>
        <v>#N/A</v>
      </c>
      <c r="E59" s="9" t="str">
        <f t="shared" si="0"/>
        <v>INSERT INTO bi4all.dim_names (id_name_pk, name, id_gender_fk) VALUES (59, 'Artur', 'M');</v>
      </c>
    </row>
    <row r="60" spans="1:5" x14ac:dyDescent="0.2">
      <c r="A60" s="7">
        <f>ROW()</f>
        <v>60</v>
      </c>
      <c r="B60" s="7" t="s">
        <v>66</v>
      </c>
      <c r="C60" s="7" t="s">
        <v>12</v>
      </c>
      <c r="D60" s="7" t="e">
        <f>VLOOKUP($C60,Genders!$A:$C,2,FALSE)</f>
        <v>#N/A</v>
      </c>
      <c r="E60" s="9" t="str">
        <f t="shared" si="0"/>
        <v>INSERT INTO bi4all.dim_names (id_name_pk, name, id_gender_fk) VALUES (60, 'Augusta', 'F');</v>
      </c>
    </row>
    <row r="61" spans="1:5" x14ac:dyDescent="0.2">
      <c r="A61" s="7">
        <f>ROW()</f>
        <v>61</v>
      </c>
      <c r="B61" s="7" t="s">
        <v>67</v>
      </c>
      <c r="C61" s="7" t="s">
        <v>10</v>
      </c>
      <c r="D61" s="7" t="e">
        <f>VLOOKUP($C61,Genders!$A:$C,2,FALSE)</f>
        <v>#N/A</v>
      </c>
      <c r="E61" s="9" t="str">
        <f t="shared" si="0"/>
        <v>INSERT INTO bi4all.dim_names (id_name_pk, name, id_gender_fk) VALUES (61, 'Augusto', 'M');</v>
      </c>
    </row>
    <row r="62" spans="1:5" x14ac:dyDescent="0.2">
      <c r="A62" s="7">
        <f>ROW()</f>
        <v>62</v>
      </c>
      <c r="B62" s="7" t="s">
        <v>68</v>
      </c>
      <c r="C62" s="7" t="s">
        <v>12</v>
      </c>
      <c r="D62" s="7" t="e">
        <f>VLOOKUP($C62,Genders!$A:$C,2,FALSE)</f>
        <v>#N/A</v>
      </c>
      <c r="E62" s="9" t="str">
        <f t="shared" si="0"/>
        <v>INSERT INTO bi4all.dim_names (id_name_pk, name, id_gender_fk) VALUES (62, 'Aurora', 'F');</v>
      </c>
    </row>
    <row r="63" spans="1:5" x14ac:dyDescent="0.2">
      <c r="A63" s="7">
        <f>ROW()</f>
        <v>63</v>
      </c>
      <c r="B63" s="7" t="s">
        <v>69</v>
      </c>
      <c r="C63" s="7" t="s">
        <v>12</v>
      </c>
      <c r="D63" s="7" t="e">
        <f>VLOOKUP($C63,Genders!$A:$C,2,FALSE)</f>
        <v>#N/A</v>
      </c>
      <c r="E63" s="9" t="str">
        <f t="shared" si="0"/>
        <v>INSERT INTO bi4all.dim_names (id_name_pk, name, id_gender_fk) VALUES (63, 'Aurorah', 'F');</v>
      </c>
    </row>
    <row r="64" spans="1:5" x14ac:dyDescent="0.2">
      <c r="A64" s="7">
        <f>ROW()</f>
        <v>64</v>
      </c>
      <c r="B64" s="7" t="s">
        <v>70</v>
      </c>
      <c r="C64" s="7" t="s">
        <v>12</v>
      </c>
      <c r="D64" s="7" t="e">
        <f>VLOOKUP($C64,Genders!$A:$C,2,FALSE)</f>
        <v>#N/A</v>
      </c>
      <c r="E64" s="9" t="str">
        <f t="shared" si="0"/>
        <v>INSERT INTO bi4all.dim_names (id_name_pk, name, id_gender_fk) VALUES (64, 'Ayla', 'F');</v>
      </c>
    </row>
    <row r="65" spans="1:5" x14ac:dyDescent="0.2">
      <c r="A65" s="7">
        <f>ROW()</f>
        <v>65</v>
      </c>
      <c r="B65" s="7" t="s">
        <v>71</v>
      </c>
      <c r="C65" s="7" t="s">
        <v>12</v>
      </c>
      <c r="D65" s="7" t="e">
        <f>VLOOKUP($C65,Genders!$A:$C,2,FALSE)</f>
        <v>#N/A</v>
      </c>
      <c r="E65" s="9" t="str">
        <f t="shared" si="0"/>
        <v>INSERT INTO bi4all.dim_names (id_name_pk, name, id_gender_fk) VALUES (65, 'Bárbara', 'F');</v>
      </c>
    </row>
    <row r="66" spans="1:5" x14ac:dyDescent="0.2">
      <c r="A66" s="7">
        <f>ROW()</f>
        <v>66</v>
      </c>
      <c r="B66" s="7" t="s">
        <v>72</v>
      </c>
      <c r="C66" s="7" t="s">
        <v>10</v>
      </c>
      <c r="D66" s="7" t="e">
        <f>VLOOKUP($C66,Genders!$A:$C,2,FALSE)</f>
        <v>#N/A</v>
      </c>
      <c r="E66" s="9" t="str">
        <f t="shared" si="0"/>
        <v>INSERT INTO bi4all.dim_names (id_name_pk, name, id_gender_fk) VALUES (66, 'Bartolomeo', 'M');</v>
      </c>
    </row>
    <row r="67" spans="1:5" x14ac:dyDescent="0.2">
      <c r="A67" s="7">
        <f>ROW()</f>
        <v>67</v>
      </c>
      <c r="B67" s="7" t="s">
        <v>73</v>
      </c>
      <c r="C67" s="7" t="s">
        <v>12</v>
      </c>
      <c r="D67" s="7" t="e">
        <f>VLOOKUP($C67,Genders!$A:$C,2,FALSE)</f>
        <v>#N/A</v>
      </c>
      <c r="E67" s="9" t="str">
        <f t="shared" si="0"/>
        <v>INSERT INTO bi4all.dim_names (id_name_pk, name, id_gender_fk) VALUES (67, 'Beatriz', 'F');</v>
      </c>
    </row>
    <row r="68" spans="1:5" x14ac:dyDescent="0.2">
      <c r="A68" s="7">
        <f>ROW()</f>
        <v>68</v>
      </c>
      <c r="B68" s="7" t="s">
        <v>74</v>
      </c>
      <c r="C68" s="7" t="s">
        <v>10</v>
      </c>
      <c r="D68" s="7" t="e">
        <f>VLOOKUP($C68,Genders!$A:$C,2,FALSE)</f>
        <v>#N/A</v>
      </c>
      <c r="E68" s="9" t="str">
        <f t="shared" si="0"/>
        <v>INSERT INTO bi4all.dim_names (id_name_pk, name, id_gender_fk) VALUES (68, 'Benício', 'M');</v>
      </c>
    </row>
    <row r="69" spans="1:5" x14ac:dyDescent="0.2">
      <c r="A69" s="7">
        <f>ROW()</f>
        <v>69</v>
      </c>
      <c r="B69" s="7" t="s">
        <v>75</v>
      </c>
      <c r="C69" s="7" t="s">
        <v>10</v>
      </c>
      <c r="D69" s="7" t="e">
        <f>VLOOKUP($C69,Genders!$A:$C,2,FALSE)</f>
        <v>#N/A</v>
      </c>
      <c r="E69" s="9" t="str">
        <f t="shared" si="0"/>
        <v>INSERT INTO bi4all.dim_names (id_name_pk, name, id_gender_fk) VALUES (69, 'Benjamin', 'M');</v>
      </c>
    </row>
    <row r="70" spans="1:5" x14ac:dyDescent="0.2">
      <c r="A70" s="7">
        <f>ROW()</f>
        <v>70</v>
      </c>
      <c r="B70" s="7" t="s">
        <v>76</v>
      </c>
      <c r="C70" s="7" t="s">
        <v>10</v>
      </c>
      <c r="D70" s="7" t="e">
        <f>VLOOKUP($C70,Genders!$A:$C,2,FALSE)</f>
        <v>#N/A</v>
      </c>
      <c r="E70" s="9" t="str">
        <f t="shared" ref="E70:E133" si="1">"INSERT INTO " &amp; $B$1 &amp; "." &amp; $B$2 &amp; " (" &amp; $A$4 &amp; ", " &amp;$B$4 &amp; ", " &amp; $C$4 &amp;  ") VALUES (" &amp; $A70 &amp; ", '" &amp; $B70 &amp; "', '" &amp; $C70 &amp; "');"</f>
        <v>INSERT INTO bi4all.dim_names (id_name_pk, name, id_gender_fk) VALUES (70, 'Bento', 'M');</v>
      </c>
    </row>
    <row r="71" spans="1:5" x14ac:dyDescent="0.2">
      <c r="A71" s="7">
        <f>ROW()</f>
        <v>71</v>
      </c>
      <c r="B71" s="7" t="s">
        <v>77</v>
      </c>
      <c r="C71" s="7" t="s">
        <v>10</v>
      </c>
      <c r="D71" s="7" t="e">
        <f>VLOOKUP($C71,Genders!$A:$C,2,FALSE)</f>
        <v>#N/A</v>
      </c>
      <c r="E71" s="9" t="str">
        <f t="shared" si="1"/>
        <v>INSERT INTO bi4all.dim_names (id_name_pk, name, id_gender_fk) VALUES (71, 'Bernardo', 'M');</v>
      </c>
    </row>
    <row r="72" spans="1:5" x14ac:dyDescent="0.2">
      <c r="A72" s="7">
        <f>ROW()</f>
        <v>72</v>
      </c>
      <c r="B72" s="7" t="s">
        <v>78</v>
      </c>
      <c r="C72" s="7" t="s">
        <v>10</v>
      </c>
      <c r="D72" s="7" t="e">
        <f>VLOOKUP($C72,Genders!$A:$C,2,FALSE)</f>
        <v>#N/A</v>
      </c>
      <c r="E72" s="9" t="str">
        <f t="shared" si="1"/>
        <v>INSERT INTO bi4all.dim_names (id_name_pk, name, id_gender_fk) VALUES (72, 'Bernnardo', 'M');</v>
      </c>
    </row>
    <row r="73" spans="1:5" x14ac:dyDescent="0.2">
      <c r="A73" s="7">
        <f>ROW()</f>
        <v>73</v>
      </c>
      <c r="B73" s="7" t="s">
        <v>79</v>
      </c>
      <c r="C73" s="7" t="s">
        <v>12</v>
      </c>
      <c r="D73" s="7" t="e">
        <f>VLOOKUP($C73,Genders!$A:$C,2,FALSE)</f>
        <v>#N/A</v>
      </c>
      <c r="E73" s="9" t="str">
        <f t="shared" si="1"/>
        <v>INSERT INTO bi4all.dim_names (id_name_pk, name, id_gender_fk) VALUES (73, 'Bianca', 'F');</v>
      </c>
    </row>
    <row r="74" spans="1:5" x14ac:dyDescent="0.2">
      <c r="A74" s="7">
        <f>ROW()</f>
        <v>74</v>
      </c>
      <c r="B74" s="7" t="s">
        <v>80</v>
      </c>
      <c r="C74" s="7" t="s">
        <v>12</v>
      </c>
      <c r="D74" s="7" t="e">
        <f>VLOOKUP($C74,Genders!$A:$C,2,FALSE)</f>
        <v>#N/A</v>
      </c>
      <c r="E74" s="9" t="str">
        <f t="shared" si="1"/>
        <v>INSERT INTO bi4all.dim_names (id_name_pk, name, id_gender_fk) VALUES (74, 'Brenda', 'F');</v>
      </c>
    </row>
    <row r="75" spans="1:5" x14ac:dyDescent="0.2">
      <c r="A75" s="7">
        <f>ROW()</f>
        <v>75</v>
      </c>
      <c r="B75" s="7" t="s">
        <v>81</v>
      </c>
      <c r="C75" s="7" t="s">
        <v>10</v>
      </c>
      <c r="D75" s="7" t="e">
        <f>VLOOKUP($C75,Genders!$A:$C,2,FALSE)</f>
        <v>#N/A</v>
      </c>
      <c r="E75" s="9" t="str">
        <f t="shared" si="1"/>
        <v>INSERT INTO bi4all.dim_names (id_name_pk, name, id_gender_fk) VALUES (75, 'Breno', 'M');</v>
      </c>
    </row>
    <row r="76" spans="1:5" x14ac:dyDescent="0.2">
      <c r="A76" s="7">
        <f>ROW()</f>
        <v>76</v>
      </c>
      <c r="B76" s="7" t="s">
        <v>82</v>
      </c>
      <c r="C76" s="7" t="s">
        <v>12</v>
      </c>
      <c r="D76" s="7" t="e">
        <f>VLOOKUP($C76,Genders!$A:$C,2,FALSE)</f>
        <v>#N/A</v>
      </c>
      <c r="E76" s="9" t="str">
        <f t="shared" si="1"/>
        <v>INSERT INTO bi4all.dim_names (id_name_pk, name, id_gender_fk) VALUES (76, 'Bruna', 'F');</v>
      </c>
    </row>
    <row r="77" spans="1:5" x14ac:dyDescent="0.2">
      <c r="A77" s="7">
        <f>ROW()</f>
        <v>77</v>
      </c>
      <c r="B77" s="7" t="s">
        <v>83</v>
      </c>
      <c r="C77" s="7" t="s">
        <v>10</v>
      </c>
      <c r="D77" s="7" t="e">
        <f>VLOOKUP($C77,Genders!$A:$C,2,FALSE)</f>
        <v>#N/A</v>
      </c>
      <c r="E77" s="9" t="str">
        <f t="shared" si="1"/>
        <v>INSERT INTO bi4all.dim_names (id_name_pk, name, id_gender_fk) VALUES (77, 'Bruno', 'M');</v>
      </c>
    </row>
    <row r="78" spans="1:5" x14ac:dyDescent="0.2">
      <c r="A78" s="7">
        <f>ROW()</f>
        <v>78</v>
      </c>
      <c r="B78" s="7" t="s">
        <v>84</v>
      </c>
      <c r="C78" s="7" t="s">
        <v>10</v>
      </c>
      <c r="D78" s="7" t="e">
        <f>VLOOKUP($C78,Genders!$A:$C,2,FALSE)</f>
        <v>#N/A</v>
      </c>
      <c r="E78" s="9" t="str">
        <f t="shared" si="1"/>
        <v>INSERT INTO bi4all.dim_names (id_name_pk, name, id_gender_fk) VALUES (78, 'Bryan', 'M');</v>
      </c>
    </row>
    <row r="79" spans="1:5" x14ac:dyDescent="0.2">
      <c r="A79" s="7">
        <f>ROW()</f>
        <v>79</v>
      </c>
      <c r="B79" s="7" t="s">
        <v>85</v>
      </c>
      <c r="C79" s="7" t="s">
        <v>12</v>
      </c>
      <c r="D79" s="7" t="e">
        <f>VLOOKUP($C79,Genders!$A:$C,2,FALSE)</f>
        <v>#N/A</v>
      </c>
      <c r="E79" s="9" t="str">
        <f t="shared" si="1"/>
        <v>INSERT INTO bi4all.dim_names (id_name_pk, name, id_gender_fk) VALUES (79, 'Byanca', 'F');</v>
      </c>
    </row>
    <row r="80" spans="1:5" x14ac:dyDescent="0.2">
      <c r="A80" s="7">
        <f>ROW()</f>
        <v>80</v>
      </c>
      <c r="B80" s="7" t="s">
        <v>86</v>
      </c>
      <c r="C80" s="7" t="s">
        <v>12</v>
      </c>
      <c r="D80" s="7" t="e">
        <f>VLOOKUP($C80,Genders!$A:$C,2,FALSE)</f>
        <v>#N/A</v>
      </c>
      <c r="E80" s="9" t="str">
        <f t="shared" si="1"/>
        <v>INSERT INTO bi4all.dim_names (id_name_pk, name, id_gender_fk) VALUES (80, 'Byatriz', 'F');</v>
      </c>
    </row>
    <row r="81" spans="1:5" x14ac:dyDescent="0.2">
      <c r="A81" s="7">
        <f>ROW()</f>
        <v>81</v>
      </c>
      <c r="B81" s="7" t="s">
        <v>87</v>
      </c>
      <c r="C81" s="7" t="s">
        <v>10</v>
      </c>
      <c r="D81" s="7" t="e">
        <f>VLOOKUP($C81,Genders!$A:$C,2,FALSE)</f>
        <v>#N/A</v>
      </c>
      <c r="E81" s="9" t="str">
        <f t="shared" si="1"/>
        <v>INSERT INTO bi4all.dim_names (id_name_pk, name, id_gender_fk) VALUES (81, 'Caio', 'M');</v>
      </c>
    </row>
    <row r="82" spans="1:5" x14ac:dyDescent="0.2">
      <c r="A82" s="7">
        <f>ROW()</f>
        <v>82</v>
      </c>
      <c r="B82" s="7" t="s">
        <v>88</v>
      </c>
      <c r="C82" s="7" t="s">
        <v>10</v>
      </c>
      <c r="D82" s="7" t="e">
        <f>VLOOKUP($C82,Genders!$A:$C,2,FALSE)</f>
        <v>#N/A</v>
      </c>
      <c r="E82" s="9" t="str">
        <f t="shared" si="1"/>
        <v>INSERT INTO bi4all.dim_names (id_name_pk, name, id_gender_fk) VALUES (82, 'Caleb', 'M');</v>
      </c>
    </row>
    <row r="83" spans="1:5" x14ac:dyDescent="0.2">
      <c r="A83" s="7">
        <f>ROW()</f>
        <v>83</v>
      </c>
      <c r="B83" s="7" t="s">
        <v>89</v>
      </c>
      <c r="C83" s="7" t="s">
        <v>12</v>
      </c>
      <c r="D83" s="7" t="e">
        <f>VLOOKUP($C83,Genders!$A:$C,2,FALSE)</f>
        <v>#N/A</v>
      </c>
      <c r="E83" s="9" t="str">
        <f t="shared" si="1"/>
        <v>INSERT INTO bi4all.dim_names (id_name_pk, name, id_gender_fk) VALUES (83, 'Camila', 'F');</v>
      </c>
    </row>
    <row r="84" spans="1:5" x14ac:dyDescent="0.2">
      <c r="A84" s="7">
        <f>ROW()</f>
        <v>84</v>
      </c>
      <c r="B84" s="7" t="s">
        <v>90</v>
      </c>
      <c r="C84" s="7" t="s">
        <v>10</v>
      </c>
      <c r="D84" s="7" t="e">
        <f>VLOOKUP($C84,Genders!$A:$C,2,FALSE)</f>
        <v>#N/A</v>
      </c>
      <c r="E84" s="9" t="str">
        <f t="shared" si="1"/>
        <v>INSERT INTO bi4all.dim_names (id_name_pk, name, id_gender_fk) VALUES (84, 'Carlos', 'M');</v>
      </c>
    </row>
    <row r="85" spans="1:5" x14ac:dyDescent="0.2">
      <c r="A85" s="7">
        <f>ROW()</f>
        <v>85</v>
      </c>
      <c r="B85" s="7" t="s">
        <v>91</v>
      </c>
      <c r="C85" s="7" t="s">
        <v>10</v>
      </c>
      <c r="D85" s="7" t="e">
        <f>VLOOKUP($C85,Genders!$A:$C,2,FALSE)</f>
        <v>#N/A</v>
      </c>
      <c r="E85" s="9" t="str">
        <f t="shared" si="1"/>
        <v>INSERT INTO bi4all.dim_names (id_name_pk, name, id_gender_fk) VALUES (85, 'Carlos Eduardo', 'M');</v>
      </c>
    </row>
    <row r="86" spans="1:5" x14ac:dyDescent="0.2">
      <c r="A86" s="7">
        <f>ROW()</f>
        <v>86</v>
      </c>
      <c r="B86" s="7" t="s">
        <v>92</v>
      </c>
      <c r="C86" s="7" t="s">
        <v>12</v>
      </c>
      <c r="D86" s="7" t="e">
        <f>VLOOKUP($C86,Genders!$A:$C,2,FALSE)</f>
        <v>#N/A</v>
      </c>
      <c r="E86" s="9" t="str">
        <f t="shared" si="1"/>
        <v>INSERT INTO bi4all.dim_names (id_name_pk, name, id_gender_fk) VALUES (86, 'Carolina', 'F');</v>
      </c>
    </row>
    <row r="87" spans="1:5" x14ac:dyDescent="0.2">
      <c r="A87" s="7">
        <f>ROW()</f>
        <v>87</v>
      </c>
      <c r="B87" s="7" t="s">
        <v>93</v>
      </c>
      <c r="C87" s="7" t="s">
        <v>12</v>
      </c>
      <c r="D87" s="7" t="e">
        <f>VLOOKUP($C87,Genders!$A:$C,2,FALSE)</f>
        <v>#N/A</v>
      </c>
      <c r="E87" s="9" t="str">
        <f t="shared" si="1"/>
        <v>INSERT INTO bi4all.dim_names (id_name_pk, name, id_gender_fk) VALUES (87, 'Caroline', 'F');</v>
      </c>
    </row>
    <row r="88" spans="1:5" x14ac:dyDescent="0.2">
      <c r="A88" s="7">
        <f>ROW()</f>
        <v>88</v>
      </c>
      <c r="B88" s="7" t="s">
        <v>94</v>
      </c>
      <c r="C88" s="7" t="s">
        <v>12</v>
      </c>
      <c r="D88" s="7" t="e">
        <f>VLOOKUP($C88,Genders!$A:$C,2,FALSE)</f>
        <v>#N/A</v>
      </c>
      <c r="E88" s="9" t="str">
        <f t="shared" si="1"/>
        <v>INSERT INTO bi4all.dim_names (id_name_pk, name, id_gender_fk) VALUES (88, 'Catarina', 'F');</v>
      </c>
    </row>
    <row r="89" spans="1:5" x14ac:dyDescent="0.2">
      <c r="A89" s="7">
        <f>ROW()</f>
        <v>89</v>
      </c>
      <c r="B89" s="7" t="s">
        <v>95</v>
      </c>
      <c r="C89" s="7" t="s">
        <v>10</v>
      </c>
      <c r="D89" s="7" t="e">
        <f>VLOOKUP($C89,Genders!$A:$C,2,FALSE)</f>
        <v>#N/A</v>
      </c>
      <c r="E89" s="9" t="str">
        <f t="shared" si="1"/>
        <v>INSERT INTO bi4all.dim_names (id_name_pk, name, id_gender_fk) VALUES (89, 'Cauã', 'M');</v>
      </c>
    </row>
    <row r="90" spans="1:5" x14ac:dyDescent="0.2">
      <c r="A90" s="7">
        <f>ROW()</f>
        <v>90</v>
      </c>
      <c r="B90" s="7" t="s">
        <v>96</v>
      </c>
      <c r="C90" s="7" t="s">
        <v>10</v>
      </c>
      <c r="D90" s="7" t="e">
        <f>VLOOKUP($C90,Genders!$A:$C,2,FALSE)</f>
        <v>#N/A</v>
      </c>
      <c r="E90" s="9" t="str">
        <f t="shared" si="1"/>
        <v>INSERT INTO bi4all.dim_names (id_name_pk, name, id_gender_fk) VALUES (90, 'Caue', 'M');</v>
      </c>
    </row>
    <row r="91" spans="1:5" x14ac:dyDescent="0.2">
      <c r="A91" s="7">
        <f>ROW()</f>
        <v>91</v>
      </c>
      <c r="B91" s="7" t="s">
        <v>97</v>
      </c>
      <c r="C91" s="7" t="s">
        <v>12</v>
      </c>
      <c r="D91" s="7" t="e">
        <f>VLOOKUP($C91,Genders!$A:$C,2,FALSE)</f>
        <v>#N/A</v>
      </c>
      <c r="E91" s="9" t="str">
        <f t="shared" si="1"/>
        <v>INSERT INTO bi4all.dim_names (id_name_pk, name, id_gender_fk) VALUES (91, 'Cecilia', 'F');</v>
      </c>
    </row>
    <row r="92" spans="1:5" x14ac:dyDescent="0.2">
      <c r="A92" s="7">
        <f>ROW()</f>
        <v>92</v>
      </c>
      <c r="B92" s="7" t="s">
        <v>98</v>
      </c>
      <c r="C92" s="7" t="s">
        <v>12</v>
      </c>
      <c r="D92" s="7" t="e">
        <f>VLOOKUP($C92,Genders!$A:$C,2,FALSE)</f>
        <v>#N/A</v>
      </c>
      <c r="E92" s="9" t="str">
        <f t="shared" si="1"/>
        <v>INSERT INTO bi4all.dim_names (id_name_pk, name, id_gender_fk) VALUES (92, 'Cecília', 'F');</v>
      </c>
    </row>
    <row r="93" spans="1:5" x14ac:dyDescent="0.2">
      <c r="A93" s="7">
        <f>ROW()</f>
        <v>93</v>
      </c>
      <c r="B93" s="7" t="s">
        <v>99</v>
      </c>
      <c r="C93" s="7" t="s">
        <v>10</v>
      </c>
      <c r="D93" s="7" t="e">
        <f>VLOOKUP($C93,Genders!$A:$C,2,FALSE)</f>
        <v>#N/A</v>
      </c>
      <c r="E93" s="9" t="str">
        <f t="shared" si="1"/>
        <v>INSERT INTO bi4all.dim_names (id_name_pk, name, id_gender_fk) VALUES (93, 'César', 'M');</v>
      </c>
    </row>
    <row r="94" spans="1:5" x14ac:dyDescent="0.2">
      <c r="A94" s="7">
        <f>ROW()</f>
        <v>94</v>
      </c>
      <c r="B94" s="7" t="s">
        <v>100</v>
      </c>
      <c r="C94" s="7" t="s">
        <v>12</v>
      </c>
      <c r="D94" s="7" t="e">
        <f>VLOOKUP($C94,Genders!$A:$C,2,FALSE)</f>
        <v>#N/A</v>
      </c>
      <c r="E94" s="9" t="str">
        <f t="shared" si="1"/>
        <v>INSERT INTO bi4all.dim_names (id_name_pk, name, id_gender_fk) VALUES (94, 'Clara', 'F');</v>
      </c>
    </row>
    <row r="95" spans="1:5" x14ac:dyDescent="0.2">
      <c r="A95" s="7">
        <f>ROW()</f>
        <v>95</v>
      </c>
      <c r="B95" s="7" t="s">
        <v>101</v>
      </c>
      <c r="C95" s="7" t="s">
        <v>12</v>
      </c>
      <c r="D95" s="7" t="e">
        <f>VLOOKUP($C95,Genders!$A:$C,2,FALSE)</f>
        <v>#N/A</v>
      </c>
      <c r="E95" s="9" t="str">
        <f t="shared" si="1"/>
        <v>INSERT INTO bi4all.dim_names (id_name_pk, name, id_gender_fk) VALUES (95, 'Clarice', 'F');</v>
      </c>
    </row>
    <row r="96" spans="1:5" x14ac:dyDescent="0.2">
      <c r="A96" s="7">
        <f>ROW()</f>
        <v>96</v>
      </c>
      <c r="B96" s="7" t="s">
        <v>102</v>
      </c>
      <c r="C96" s="7" t="s">
        <v>12</v>
      </c>
      <c r="D96" s="7" t="e">
        <f>VLOOKUP($C96,Genders!$A:$C,2,FALSE)</f>
        <v>#N/A</v>
      </c>
      <c r="E96" s="9" t="str">
        <f t="shared" si="1"/>
        <v>INSERT INTO bi4all.dim_names (id_name_pk, name, id_gender_fk) VALUES (96, 'Clarisse', 'F');</v>
      </c>
    </row>
    <row r="97" spans="1:5" x14ac:dyDescent="0.2">
      <c r="A97" s="7">
        <f>ROW()</f>
        <v>97</v>
      </c>
      <c r="B97" s="7" t="s">
        <v>103</v>
      </c>
      <c r="C97" s="7" t="s">
        <v>12</v>
      </c>
      <c r="D97" s="7" t="e">
        <f>VLOOKUP($C97,Genders!$A:$C,2,FALSE)</f>
        <v>#N/A</v>
      </c>
      <c r="E97" s="9" t="str">
        <f t="shared" si="1"/>
        <v>INSERT INTO bi4all.dim_names (id_name_pk, name, id_gender_fk) VALUES (97, 'Claudia', 'F');</v>
      </c>
    </row>
    <row r="98" spans="1:5" x14ac:dyDescent="0.2">
      <c r="A98" s="7">
        <f>ROW()</f>
        <v>98</v>
      </c>
      <c r="B98" s="7" t="s">
        <v>104</v>
      </c>
      <c r="C98" s="7" t="s">
        <v>10</v>
      </c>
      <c r="D98" s="7" t="e">
        <f>VLOOKUP($C98,Genders!$A:$C,2,FALSE)</f>
        <v>#N/A</v>
      </c>
      <c r="E98" s="9" t="str">
        <f t="shared" si="1"/>
        <v>INSERT INTO bi4all.dim_names (id_name_pk, name, id_gender_fk) VALUES (98, 'Claudio', 'M');</v>
      </c>
    </row>
    <row r="99" spans="1:5" x14ac:dyDescent="0.2">
      <c r="A99" s="7">
        <f>ROW()</f>
        <v>99</v>
      </c>
      <c r="B99" s="7" t="s">
        <v>105</v>
      </c>
      <c r="C99" s="7" t="s">
        <v>12</v>
      </c>
      <c r="D99" s="7" t="e">
        <f>VLOOKUP($C99,Genders!$A:$C,2,FALSE)</f>
        <v>#N/A</v>
      </c>
      <c r="E99" s="9" t="str">
        <f t="shared" si="1"/>
        <v>INSERT INTO bi4all.dim_names (id_name_pk, name, id_gender_fk) VALUES (99, 'Cloe', 'F');</v>
      </c>
    </row>
    <row r="100" spans="1:5" x14ac:dyDescent="0.2">
      <c r="A100" s="7">
        <f>ROW()</f>
        <v>100</v>
      </c>
      <c r="B100" s="7" t="s">
        <v>106</v>
      </c>
      <c r="C100" s="7" t="s">
        <v>10</v>
      </c>
      <c r="D100" s="7" t="e">
        <f>VLOOKUP($C100,Genders!$A:$C,2,FALSE)</f>
        <v>#N/A</v>
      </c>
      <c r="E100" s="9" t="str">
        <f t="shared" si="1"/>
        <v>INSERT INTO bi4all.dim_names (id_name_pk, name, id_gender_fk) VALUES (100, 'Cristóvão', 'M');</v>
      </c>
    </row>
    <row r="101" spans="1:5" x14ac:dyDescent="0.2">
      <c r="A101" s="7">
        <f>ROW()</f>
        <v>101</v>
      </c>
      <c r="B101" s="7" t="s">
        <v>107</v>
      </c>
      <c r="C101" s="7" t="s">
        <v>10</v>
      </c>
      <c r="D101" s="7" t="e">
        <f>VLOOKUP($C101,Genders!$A:$C,2,FALSE)</f>
        <v>#N/A</v>
      </c>
      <c r="E101" s="9" t="str">
        <f t="shared" si="1"/>
        <v>INSERT INTO bi4all.dim_names (id_name_pk, name, id_gender_fk) VALUES (101, 'Daniel', 'M');</v>
      </c>
    </row>
    <row r="102" spans="1:5" x14ac:dyDescent="0.2">
      <c r="A102" s="7">
        <f>ROW()</f>
        <v>102</v>
      </c>
      <c r="B102" s="7" t="s">
        <v>108</v>
      </c>
      <c r="C102" s="7" t="s">
        <v>10</v>
      </c>
      <c r="D102" s="7" t="e">
        <f>VLOOKUP($C102,Genders!$A:$C,2,FALSE)</f>
        <v>#N/A</v>
      </c>
      <c r="E102" s="9" t="str">
        <f t="shared" si="1"/>
        <v>INSERT INTO bi4all.dim_names (id_name_pk, name, id_gender_fk) VALUES (102, 'Danilo', 'M');</v>
      </c>
    </row>
    <row r="103" spans="1:5" x14ac:dyDescent="0.2">
      <c r="A103" s="7">
        <f>ROW()</f>
        <v>103</v>
      </c>
      <c r="B103" s="7" t="s">
        <v>109</v>
      </c>
      <c r="C103" s="7" t="s">
        <v>10</v>
      </c>
      <c r="D103" s="7" t="e">
        <f>VLOOKUP($C103,Genders!$A:$C,2,FALSE)</f>
        <v>#N/A</v>
      </c>
      <c r="E103" s="9" t="str">
        <f t="shared" si="1"/>
        <v>INSERT INTO bi4all.dim_names (id_name_pk, name, id_gender_fk) VALUES (103, 'Danniel', 'M');</v>
      </c>
    </row>
    <row r="104" spans="1:5" x14ac:dyDescent="0.2">
      <c r="A104" s="7">
        <f>ROW()</f>
        <v>104</v>
      </c>
      <c r="B104" s="7" t="s">
        <v>110</v>
      </c>
      <c r="C104" s="7" t="s">
        <v>10</v>
      </c>
      <c r="D104" s="7" t="e">
        <f>VLOOKUP($C104,Genders!$A:$C,2,FALSE)</f>
        <v>#N/A</v>
      </c>
      <c r="E104" s="9" t="str">
        <f t="shared" si="1"/>
        <v>INSERT INTO bi4all.dim_names (id_name_pk, name, id_gender_fk) VALUES (104, 'Danylo', 'M');</v>
      </c>
    </row>
    <row r="105" spans="1:5" x14ac:dyDescent="0.2">
      <c r="A105" s="7">
        <f>ROW()</f>
        <v>105</v>
      </c>
      <c r="B105" s="7" t="s">
        <v>111</v>
      </c>
      <c r="C105" s="7" t="s">
        <v>10</v>
      </c>
      <c r="D105" s="7" t="e">
        <f>VLOOKUP($C105,Genders!$A:$C,2,FALSE)</f>
        <v>#N/A</v>
      </c>
      <c r="E105" s="9" t="str">
        <f t="shared" si="1"/>
        <v>INSERT INTO bi4all.dim_names (id_name_pk, name, id_gender_fk) VALUES (105, 'Davi', 'M');</v>
      </c>
    </row>
    <row r="106" spans="1:5" x14ac:dyDescent="0.2">
      <c r="A106" s="7">
        <f>ROW()</f>
        <v>106</v>
      </c>
      <c r="B106" s="7" t="s">
        <v>112</v>
      </c>
      <c r="C106" s="7" t="s">
        <v>10</v>
      </c>
      <c r="D106" s="7" t="e">
        <f>VLOOKUP($C106,Genders!$A:$C,2,FALSE)</f>
        <v>#N/A</v>
      </c>
      <c r="E106" s="9" t="str">
        <f t="shared" si="1"/>
        <v>INSERT INTO bi4all.dim_names (id_name_pk, name, id_gender_fk) VALUES (106, 'Davi Lucas', 'M');</v>
      </c>
    </row>
    <row r="107" spans="1:5" x14ac:dyDescent="0.2">
      <c r="A107" s="7">
        <f>ROW()</f>
        <v>107</v>
      </c>
      <c r="B107" s="7" t="s">
        <v>113</v>
      </c>
      <c r="C107" s="7" t="s">
        <v>10</v>
      </c>
      <c r="D107" s="7" t="e">
        <f>VLOOKUP($C107,Genders!$A:$C,2,FALSE)</f>
        <v>#N/A</v>
      </c>
      <c r="E107" s="9" t="str">
        <f t="shared" si="1"/>
        <v>INSERT INTO bi4all.dim_names (id_name_pk, name, id_gender_fk) VALUES (107, 'Davi Lucca', 'M');</v>
      </c>
    </row>
    <row r="108" spans="1:5" x14ac:dyDescent="0.2">
      <c r="A108" s="7">
        <f>ROW()</f>
        <v>108</v>
      </c>
      <c r="B108" s="7" t="s">
        <v>114</v>
      </c>
      <c r="C108" s="7" t="s">
        <v>10</v>
      </c>
      <c r="D108" s="7" t="e">
        <f>VLOOKUP($C108,Genders!$A:$C,2,FALSE)</f>
        <v>#N/A</v>
      </c>
      <c r="E108" s="9" t="str">
        <f t="shared" si="1"/>
        <v>INSERT INTO bi4all.dim_names (id_name_pk, name, id_gender_fk) VALUES (108, 'Davi Luccas', 'M');</v>
      </c>
    </row>
    <row r="109" spans="1:5" x14ac:dyDescent="0.2">
      <c r="A109" s="7">
        <f>ROW()</f>
        <v>109</v>
      </c>
      <c r="B109" s="7" t="s">
        <v>115</v>
      </c>
      <c r="C109" s="7" t="s">
        <v>10</v>
      </c>
      <c r="D109" s="7" t="e">
        <f>VLOOKUP($C109,Genders!$A:$C,2,FALSE)</f>
        <v>#N/A</v>
      </c>
      <c r="E109" s="9" t="str">
        <f t="shared" si="1"/>
        <v>INSERT INTO bi4all.dim_names (id_name_pk, name, id_gender_fk) VALUES (109, 'Davi Luiz', 'M');</v>
      </c>
    </row>
    <row r="110" spans="1:5" x14ac:dyDescent="0.2">
      <c r="A110" s="7">
        <f>ROW()</f>
        <v>110</v>
      </c>
      <c r="B110" s="7" t="s">
        <v>116</v>
      </c>
      <c r="C110" s="7" t="s">
        <v>10</v>
      </c>
      <c r="D110" s="7" t="e">
        <f>VLOOKUP($C110,Genders!$A:$C,2,FALSE)</f>
        <v>#N/A</v>
      </c>
      <c r="E110" s="9" t="str">
        <f t="shared" si="1"/>
        <v>INSERT INTO bi4all.dim_names (id_name_pk, name, id_gender_fk) VALUES (110, 'Davi Miguel', 'M');</v>
      </c>
    </row>
    <row r="111" spans="1:5" x14ac:dyDescent="0.2">
      <c r="A111" s="7">
        <f>ROW()</f>
        <v>111</v>
      </c>
      <c r="B111" s="7" t="s">
        <v>117</v>
      </c>
      <c r="C111" s="7" t="s">
        <v>12</v>
      </c>
      <c r="D111" s="7" t="e">
        <f>VLOOKUP($C111,Genders!$A:$C,2,FALSE)</f>
        <v>#N/A</v>
      </c>
      <c r="E111" s="9" t="str">
        <f t="shared" si="1"/>
        <v>INSERT INTO bi4all.dim_names (id_name_pk, name, id_gender_fk) VALUES (111, 'Débora', 'F');</v>
      </c>
    </row>
    <row r="112" spans="1:5" x14ac:dyDescent="0.2">
      <c r="A112" s="7">
        <f>ROW()</f>
        <v>112</v>
      </c>
      <c r="B112" s="7" t="s">
        <v>118</v>
      </c>
      <c r="C112" s="7" t="s">
        <v>12</v>
      </c>
      <c r="D112" s="7" t="e">
        <f>VLOOKUP($C112,Genders!$A:$C,2,FALSE)</f>
        <v>#N/A</v>
      </c>
      <c r="E112" s="9" t="str">
        <f t="shared" si="1"/>
        <v>INSERT INTO bi4all.dim_names (id_name_pk, name, id_gender_fk) VALUES (112, 'Deborah', 'F');</v>
      </c>
    </row>
    <row r="113" spans="1:5" x14ac:dyDescent="0.2">
      <c r="A113" s="7">
        <f>ROW()</f>
        <v>113</v>
      </c>
      <c r="B113" s="7" t="s">
        <v>119</v>
      </c>
      <c r="C113" s="7" t="s">
        <v>12</v>
      </c>
      <c r="D113" s="7" t="e">
        <f>VLOOKUP($C113,Genders!$A:$C,2,FALSE)</f>
        <v>#N/A</v>
      </c>
      <c r="E113" s="9" t="str">
        <f t="shared" si="1"/>
        <v>INSERT INTO bi4all.dim_names (id_name_pk, name, id_gender_fk) VALUES (113, 'Desiré', 'F');</v>
      </c>
    </row>
    <row r="114" spans="1:5" x14ac:dyDescent="0.2">
      <c r="A114" s="7">
        <f>ROW()</f>
        <v>114</v>
      </c>
      <c r="B114" s="7" t="s">
        <v>120</v>
      </c>
      <c r="C114" s="7" t="s">
        <v>10</v>
      </c>
      <c r="D114" s="7" t="e">
        <f>VLOOKUP($C114,Genders!$A:$C,2,FALSE)</f>
        <v>#N/A</v>
      </c>
      <c r="E114" s="9" t="str">
        <f t="shared" si="1"/>
        <v>INSERT INTO bi4all.dim_names (id_name_pk, name, id_gender_fk) VALUES (114, 'Domingos', 'M');</v>
      </c>
    </row>
    <row r="115" spans="1:5" x14ac:dyDescent="0.2">
      <c r="A115" s="7">
        <f>ROW()</f>
        <v>115</v>
      </c>
      <c r="B115" s="7" t="s">
        <v>121</v>
      </c>
      <c r="C115" s="7" t="s">
        <v>12</v>
      </c>
      <c r="D115" s="7" t="e">
        <f>VLOOKUP($C115,Genders!$A:$C,2,FALSE)</f>
        <v>#N/A</v>
      </c>
      <c r="E115" s="9" t="str">
        <f t="shared" si="1"/>
        <v>INSERT INTO bi4all.dim_names (id_name_pk, name, id_gender_fk) VALUES (115, 'Dulce', 'F');</v>
      </c>
    </row>
    <row r="116" spans="1:5" x14ac:dyDescent="0.2">
      <c r="A116" s="7">
        <f>ROW()</f>
        <v>116</v>
      </c>
      <c r="B116" s="7" t="s">
        <v>122</v>
      </c>
      <c r="C116" s="7" t="s">
        <v>12</v>
      </c>
      <c r="D116" s="7" t="e">
        <f>VLOOKUP($C116,Genders!$A:$C,2,FALSE)</f>
        <v>#N/A</v>
      </c>
      <c r="E116" s="9" t="str">
        <f t="shared" si="1"/>
        <v>INSERT INTO bi4all.dim_names (id_name_pk, name, id_gender_fk) VALUES (116, 'Eduarda', 'F');</v>
      </c>
    </row>
    <row r="117" spans="1:5" x14ac:dyDescent="0.2">
      <c r="A117" s="7">
        <f>ROW()</f>
        <v>117</v>
      </c>
      <c r="B117" s="7" t="s">
        <v>123</v>
      </c>
      <c r="C117" s="7" t="s">
        <v>10</v>
      </c>
      <c r="D117" s="7" t="e">
        <f>VLOOKUP($C117,Genders!$A:$C,2,FALSE)</f>
        <v>#N/A</v>
      </c>
      <c r="E117" s="9" t="str">
        <f t="shared" si="1"/>
        <v>INSERT INTO bi4all.dim_names (id_name_pk, name, id_gender_fk) VALUES (117, 'Eduardo', 'M');</v>
      </c>
    </row>
    <row r="118" spans="1:5" x14ac:dyDescent="0.2">
      <c r="A118" s="7">
        <f>ROW()</f>
        <v>118</v>
      </c>
      <c r="B118" s="7" t="s">
        <v>124</v>
      </c>
      <c r="C118" s="7" t="s">
        <v>10</v>
      </c>
      <c r="D118" s="7" t="e">
        <f>VLOOKUP($C118,Genders!$A:$C,2,FALSE)</f>
        <v>#N/A</v>
      </c>
      <c r="E118" s="9" t="str">
        <f t="shared" si="1"/>
        <v>INSERT INTO bi4all.dim_names (id_name_pk, name, id_gender_fk) VALUES (118, 'Eliezer', 'M');</v>
      </c>
    </row>
    <row r="119" spans="1:5" x14ac:dyDescent="0.2">
      <c r="A119" s="7">
        <f>ROW()</f>
        <v>119</v>
      </c>
      <c r="B119" s="7" t="s">
        <v>125</v>
      </c>
      <c r="C119" s="7" t="s">
        <v>12</v>
      </c>
      <c r="D119" s="7" t="e">
        <f>VLOOKUP($C119,Genders!$A:$C,2,FALSE)</f>
        <v>#N/A</v>
      </c>
      <c r="E119" s="9" t="str">
        <f t="shared" si="1"/>
        <v>INSERT INTO bi4all.dim_names (id_name_pk, name, id_gender_fk) VALUES (119, 'Elisa', 'F');</v>
      </c>
    </row>
    <row r="120" spans="1:5" x14ac:dyDescent="0.2">
      <c r="A120" s="7">
        <f>ROW()</f>
        <v>120</v>
      </c>
      <c r="B120" s="7" t="s">
        <v>126</v>
      </c>
      <c r="C120" s="7" t="s">
        <v>12</v>
      </c>
      <c r="D120" s="7" t="e">
        <f>VLOOKUP($C120,Genders!$A:$C,2,FALSE)</f>
        <v>#N/A</v>
      </c>
      <c r="E120" s="9" t="str">
        <f t="shared" si="1"/>
        <v>INSERT INTO bi4all.dim_names (id_name_pk, name, id_gender_fk) VALUES (120, 'Eliza', 'F');</v>
      </c>
    </row>
    <row r="121" spans="1:5" x14ac:dyDescent="0.2">
      <c r="A121" s="7">
        <f>ROW()</f>
        <v>121</v>
      </c>
      <c r="B121" s="7" t="s">
        <v>127</v>
      </c>
      <c r="C121" s="7" t="s">
        <v>12</v>
      </c>
      <c r="D121" s="7" t="e">
        <f>VLOOKUP($C121,Genders!$A:$C,2,FALSE)</f>
        <v>#N/A</v>
      </c>
      <c r="E121" s="9" t="str">
        <f t="shared" si="1"/>
        <v>INSERT INTO bi4all.dim_names (id_name_pk, name, id_gender_fk) VALUES (121, 'Eloá', 'F');</v>
      </c>
    </row>
    <row r="122" spans="1:5" x14ac:dyDescent="0.2">
      <c r="A122" s="7">
        <f>ROW()</f>
        <v>122</v>
      </c>
      <c r="B122" s="7" t="s">
        <v>128</v>
      </c>
      <c r="C122" s="7" t="s">
        <v>10</v>
      </c>
      <c r="D122" s="7" t="e">
        <f>VLOOKUP($C122,Genders!$A:$C,2,FALSE)</f>
        <v>#N/A</v>
      </c>
      <c r="E122" s="9" t="str">
        <f t="shared" si="1"/>
        <v>INSERT INTO bi4all.dim_names (id_name_pk, name, id_gender_fk) VALUES (122, 'Emanuel', 'M');</v>
      </c>
    </row>
    <row r="123" spans="1:5" x14ac:dyDescent="0.2">
      <c r="A123" s="7">
        <f>ROW()</f>
        <v>123</v>
      </c>
      <c r="B123" s="7" t="s">
        <v>129</v>
      </c>
      <c r="C123" s="7" t="s">
        <v>12</v>
      </c>
      <c r="D123" s="7" t="e">
        <f>VLOOKUP($C123,Genders!$A:$C,2,FALSE)</f>
        <v>#N/A</v>
      </c>
      <c r="E123" s="9" t="str">
        <f t="shared" si="1"/>
        <v>INSERT INTO bi4all.dim_names (id_name_pk, name, id_gender_fk) VALUES (123, 'Emanuelly', 'F');</v>
      </c>
    </row>
    <row r="124" spans="1:5" x14ac:dyDescent="0.2">
      <c r="A124" s="7">
        <f>ROW()</f>
        <v>124</v>
      </c>
      <c r="B124" s="7" t="s">
        <v>130</v>
      </c>
      <c r="C124" s="7" t="s">
        <v>12</v>
      </c>
      <c r="D124" s="7" t="e">
        <f>VLOOKUP($C124,Genders!$A:$C,2,FALSE)</f>
        <v>#N/A</v>
      </c>
      <c r="E124" s="9" t="str">
        <f t="shared" si="1"/>
        <v>INSERT INTO bi4all.dim_names (id_name_pk, name, id_gender_fk) VALUES (124, 'Emilly', 'F');</v>
      </c>
    </row>
    <row r="125" spans="1:5" x14ac:dyDescent="0.2">
      <c r="A125" s="7">
        <f>ROW()</f>
        <v>125</v>
      </c>
      <c r="B125" s="7" t="s">
        <v>131</v>
      </c>
      <c r="C125" s="7" t="s">
        <v>10</v>
      </c>
      <c r="D125" s="7" t="e">
        <f>VLOOKUP($C125,Genders!$A:$C,2,FALSE)</f>
        <v>#N/A</v>
      </c>
      <c r="E125" s="9" t="str">
        <f t="shared" si="1"/>
        <v>INSERT INTO bi4all.dim_names (id_name_pk, name, id_gender_fk) VALUES (125, 'Emmanuel', 'M');</v>
      </c>
    </row>
    <row r="126" spans="1:5" x14ac:dyDescent="0.2">
      <c r="A126" s="7">
        <f>ROW()</f>
        <v>126</v>
      </c>
      <c r="B126" s="7" t="s">
        <v>132</v>
      </c>
      <c r="C126" s="7" t="s">
        <v>10</v>
      </c>
      <c r="D126" s="7" t="e">
        <f>VLOOKUP($C126,Genders!$A:$C,2,FALSE)</f>
        <v>#N/A</v>
      </c>
      <c r="E126" s="9" t="str">
        <f t="shared" si="1"/>
        <v>INSERT INTO bi4all.dim_names (id_name_pk, name, id_gender_fk) VALUES (126, 'Enrico', 'M');</v>
      </c>
    </row>
    <row r="127" spans="1:5" x14ac:dyDescent="0.2">
      <c r="A127" s="7">
        <f>ROW()</f>
        <v>127</v>
      </c>
      <c r="B127" s="7" t="s">
        <v>133</v>
      </c>
      <c r="C127" s="7" t="s">
        <v>10</v>
      </c>
      <c r="D127" s="7" t="e">
        <f>VLOOKUP($C127,Genders!$A:$C,2,FALSE)</f>
        <v>#N/A</v>
      </c>
      <c r="E127" s="9" t="str">
        <f t="shared" si="1"/>
        <v>INSERT INTO bi4all.dim_names (id_name_pk, name, id_gender_fk) VALUES (127, 'Enzo', 'M');</v>
      </c>
    </row>
    <row r="128" spans="1:5" x14ac:dyDescent="0.2">
      <c r="A128" s="7">
        <f>ROW()</f>
        <v>128</v>
      </c>
      <c r="B128" s="7" t="s">
        <v>134</v>
      </c>
      <c r="C128" s="7" t="s">
        <v>10</v>
      </c>
      <c r="D128" s="7" t="e">
        <f>VLOOKUP($C128,Genders!$A:$C,2,FALSE)</f>
        <v>#N/A</v>
      </c>
      <c r="E128" s="9" t="str">
        <f t="shared" si="1"/>
        <v>INSERT INTO bi4all.dim_names (id_name_pk, name, id_gender_fk) VALUES (128, 'Enzo Gabriel', 'M');</v>
      </c>
    </row>
    <row r="129" spans="1:5" x14ac:dyDescent="0.2">
      <c r="A129" s="7">
        <f>ROW()</f>
        <v>129</v>
      </c>
      <c r="B129" s="7" t="s">
        <v>135</v>
      </c>
      <c r="C129" s="7" t="s">
        <v>10</v>
      </c>
      <c r="D129" s="7" t="e">
        <f>VLOOKUP($C129,Genders!$A:$C,2,FALSE)</f>
        <v>#N/A</v>
      </c>
      <c r="E129" s="9" t="str">
        <f t="shared" si="1"/>
        <v>INSERT INTO bi4all.dim_names (id_name_pk, name, id_gender_fk) VALUES (129, 'Enzo Miguel', 'M');</v>
      </c>
    </row>
    <row r="130" spans="1:5" x14ac:dyDescent="0.2">
      <c r="A130" s="7">
        <f>ROW()</f>
        <v>130</v>
      </c>
      <c r="B130" s="7" t="s">
        <v>136</v>
      </c>
      <c r="C130" s="7" t="s">
        <v>10</v>
      </c>
      <c r="D130" s="7" t="e">
        <f>VLOOKUP($C130,Genders!$A:$C,2,FALSE)</f>
        <v>#N/A</v>
      </c>
      <c r="E130" s="9" t="str">
        <f t="shared" si="1"/>
        <v>INSERT INTO bi4all.dim_names (id_name_pk, name, id_gender_fk) VALUES (130, 'Enzzo', 'M');</v>
      </c>
    </row>
    <row r="131" spans="1:5" x14ac:dyDescent="0.2">
      <c r="A131" s="7">
        <f>ROW()</f>
        <v>131</v>
      </c>
      <c r="B131" s="7" t="s">
        <v>137</v>
      </c>
      <c r="C131" s="7" t="s">
        <v>10</v>
      </c>
      <c r="D131" s="7" t="e">
        <f>VLOOKUP($C131,Genders!$A:$C,2,FALSE)</f>
        <v>#N/A</v>
      </c>
      <c r="E131" s="9" t="str">
        <f t="shared" si="1"/>
        <v>INSERT INTO bi4all.dim_names (id_name_pk, name, id_gender_fk) VALUES (131, 'Erick', 'M');</v>
      </c>
    </row>
    <row r="132" spans="1:5" x14ac:dyDescent="0.2">
      <c r="A132" s="7">
        <f>ROW()</f>
        <v>132</v>
      </c>
      <c r="B132" s="7" t="s">
        <v>138</v>
      </c>
      <c r="C132" s="7" t="s">
        <v>12</v>
      </c>
      <c r="D132" s="7" t="e">
        <f>VLOOKUP($C132,Genders!$A:$C,2,FALSE)</f>
        <v>#N/A</v>
      </c>
      <c r="E132" s="9" t="str">
        <f t="shared" si="1"/>
        <v>INSERT INTO bi4all.dim_names (id_name_pk, name, id_gender_fk) VALUES (132, 'Eslovênia', 'F');</v>
      </c>
    </row>
    <row r="133" spans="1:5" x14ac:dyDescent="0.2">
      <c r="A133" s="7">
        <f>ROW()</f>
        <v>133</v>
      </c>
      <c r="B133" s="7" t="s">
        <v>139</v>
      </c>
      <c r="C133" s="7" t="s">
        <v>12</v>
      </c>
      <c r="D133" s="7" t="e">
        <f>VLOOKUP($C133,Genders!$A:$C,2,FALSE)</f>
        <v>#N/A</v>
      </c>
      <c r="E133" s="9" t="str">
        <f t="shared" si="1"/>
        <v>INSERT INTO bi4all.dim_names (id_name_pk, name, id_gender_fk) VALUES (133, 'Esther', 'F');</v>
      </c>
    </row>
    <row r="134" spans="1:5" x14ac:dyDescent="0.2">
      <c r="A134" s="7">
        <f>ROW()</f>
        <v>134</v>
      </c>
      <c r="B134" s="7" t="s">
        <v>140</v>
      </c>
      <c r="C134" s="7" t="s">
        <v>12</v>
      </c>
      <c r="D134" s="7" t="e">
        <f>VLOOKUP($C134,Genders!$A:$C,2,FALSE)</f>
        <v>#N/A</v>
      </c>
      <c r="E134" s="9" t="str">
        <f t="shared" ref="E134:E197" si="2">"INSERT INTO " &amp; $B$1 &amp; "." &amp; $B$2 &amp; " (" &amp; $A$4 &amp; ", " &amp;$B$4 &amp; ", " &amp; $C$4 &amp;  ") VALUES (" &amp; $A134 &amp; ", '" &amp; $B134 &amp; "', '" &amp; $C134 &amp; "');"</f>
        <v>INSERT INTO bi4all.dim_names (id_name_pk, name, id_gender_fk) VALUES (134, 'Eva', 'F');</v>
      </c>
    </row>
    <row r="135" spans="1:5" x14ac:dyDescent="0.2">
      <c r="A135" s="7">
        <f>ROW()</f>
        <v>135</v>
      </c>
      <c r="B135" s="7" t="s">
        <v>141</v>
      </c>
      <c r="C135" s="7" t="s">
        <v>10</v>
      </c>
      <c r="D135" s="7" t="e">
        <f>VLOOKUP($C135,Genders!$A:$C,2,FALSE)</f>
        <v>#N/A</v>
      </c>
      <c r="E135" s="9" t="str">
        <f t="shared" si="2"/>
        <v>INSERT INTO bi4all.dim_names (id_name_pk, name, id_gender_fk) VALUES (135, 'Felipe', 'M');</v>
      </c>
    </row>
    <row r="136" spans="1:5" x14ac:dyDescent="0.2">
      <c r="A136" s="7">
        <f>ROW()</f>
        <v>136</v>
      </c>
      <c r="B136" s="7" t="s">
        <v>142</v>
      </c>
      <c r="C136" s="7" t="s">
        <v>10</v>
      </c>
      <c r="D136" s="7" t="e">
        <f>VLOOKUP($C136,Genders!$A:$C,2,FALSE)</f>
        <v>#N/A</v>
      </c>
      <c r="E136" s="9" t="str">
        <f t="shared" si="2"/>
        <v>INSERT INTO bi4all.dim_names (id_name_pk, name, id_gender_fk) VALUES (136, 'Fellipe', 'M');</v>
      </c>
    </row>
    <row r="137" spans="1:5" x14ac:dyDescent="0.2">
      <c r="A137" s="7">
        <f>ROW()</f>
        <v>137</v>
      </c>
      <c r="B137" s="7" t="s">
        <v>143</v>
      </c>
      <c r="C137" s="7" t="s">
        <v>12</v>
      </c>
      <c r="D137" s="7" t="e">
        <f>VLOOKUP($C137,Genders!$A:$C,2,FALSE)</f>
        <v>#N/A</v>
      </c>
      <c r="E137" s="9" t="str">
        <f t="shared" si="2"/>
        <v>INSERT INTO bi4all.dim_names (id_name_pk, name, id_gender_fk) VALUES (137, 'Fernanda', 'F');</v>
      </c>
    </row>
    <row r="138" spans="1:5" x14ac:dyDescent="0.2">
      <c r="A138" s="7">
        <f>ROW()</f>
        <v>138</v>
      </c>
      <c r="B138" s="7" t="s">
        <v>144</v>
      </c>
      <c r="C138" s="7" t="s">
        <v>10</v>
      </c>
      <c r="D138" s="7" t="e">
        <f>VLOOKUP($C138,Genders!$A:$C,2,FALSE)</f>
        <v>#N/A</v>
      </c>
      <c r="E138" s="9" t="str">
        <f t="shared" si="2"/>
        <v>INSERT INTO bi4all.dim_names (id_name_pk, name, id_gender_fk) VALUES (138, 'Fernando', 'M');</v>
      </c>
    </row>
    <row r="139" spans="1:5" x14ac:dyDescent="0.2">
      <c r="A139" s="7">
        <f>ROW()</f>
        <v>139</v>
      </c>
      <c r="B139" s="7" t="s">
        <v>145</v>
      </c>
      <c r="C139" s="7" t="s">
        <v>10</v>
      </c>
      <c r="D139" s="7" t="e">
        <f>VLOOKUP($C139,Genders!$A:$C,2,FALSE)</f>
        <v>#N/A</v>
      </c>
      <c r="E139" s="9" t="str">
        <f t="shared" si="2"/>
        <v>INSERT INTO bi4all.dim_names (id_name_pk, name, id_gender_fk) VALUES (139, 'Fernando Mariano', 'M');</v>
      </c>
    </row>
    <row r="140" spans="1:5" x14ac:dyDescent="0.2">
      <c r="A140" s="7">
        <f>ROW()</f>
        <v>140</v>
      </c>
      <c r="B140" s="7" t="s">
        <v>146</v>
      </c>
      <c r="C140" s="7" t="s">
        <v>10</v>
      </c>
      <c r="D140" s="7" t="e">
        <f>VLOOKUP($C140,Genders!$A:$C,2,FALSE)</f>
        <v>#N/A</v>
      </c>
      <c r="E140" s="9" t="str">
        <f t="shared" si="2"/>
        <v>INSERT INTO bi4all.dim_names (id_name_pk, name, id_gender_fk) VALUES (140, 'Fernando Manuel', 'M');</v>
      </c>
    </row>
    <row r="141" spans="1:5" x14ac:dyDescent="0.2">
      <c r="A141" s="7">
        <f>ROW()</f>
        <v>141</v>
      </c>
      <c r="B141" s="7" t="s">
        <v>147</v>
      </c>
      <c r="C141" s="7" t="s">
        <v>10</v>
      </c>
      <c r="D141" s="7" t="e">
        <f>VLOOKUP($C141,Genders!$A:$C,2,FALSE)</f>
        <v>#N/A</v>
      </c>
      <c r="E141" s="9" t="str">
        <f t="shared" si="2"/>
        <v>INSERT INTO bi4all.dim_names (id_name_pk, name, id_gender_fk) VALUES (141, 'Filipe', 'M');</v>
      </c>
    </row>
    <row r="142" spans="1:5" x14ac:dyDescent="0.2">
      <c r="A142" s="7">
        <f>ROW()</f>
        <v>142</v>
      </c>
      <c r="B142" s="7" t="s">
        <v>148</v>
      </c>
      <c r="C142" s="7" t="s">
        <v>10</v>
      </c>
      <c r="D142" s="7" t="e">
        <f>VLOOKUP($C142,Genders!$A:$C,2,FALSE)</f>
        <v>#N/A</v>
      </c>
      <c r="E142" s="9" t="str">
        <f t="shared" si="2"/>
        <v>INSERT INTO bi4all.dim_names (id_name_pk, name, id_gender_fk) VALUES (142, 'Flaviano', 'M');</v>
      </c>
    </row>
    <row r="143" spans="1:5" x14ac:dyDescent="0.2">
      <c r="A143" s="7">
        <f>ROW()</f>
        <v>143</v>
      </c>
      <c r="B143" s="7" t="s">
        <v>149</v>
      </c>
      <c r="C143" s="7" t="s">
        <v>10</v>
      </c>
      <c r="D143" s="7" t="e">
        <f>VLOOKUP($C143,Genders!$A:$C,2,FALSE)</f>
        <v>#N/A</v>
      </c>
      <c r="E143" s="9" t="str">
        <f t="shared" si="2"/>
        <v>INSERT INTO bi4all.dim_names (id_name_pk, name, id_gender_fk) VALUES (143, 'Flavio', 'M');</v>
      </c>
    </row>
    <row r="144" spans="1:5" x14ac:dyDescent="0.2">
      <c r="A144" s="7">
        <f>ROW()</f>
        <v>144</v>
      </c>
      <c r="B144" s="7" t="s">
        <v>150</v>
      </c>
      <c r="C144" s="7" t="s">
        <v>10</v>
      </c>
      <c r="D144" s="7" t="e">
        <f>VLOOKUP($C144,Genders!$A:$C,2,FALSE)</f>
        <v>#N/A</v>
      </c>
      <c r="E144" s="9" t="str">
        <f t="shared" si="2"/>
        <v>INSERT INTO bi4all.dim_names (id_name_pk, name, id_gender_fk) VALUES (144, 'Flávio', 'M');</v>
      </c>
    </row>
    <row r="145" spans="1:5" x14ac:dyDescent="0.2">
      <c r="A145" s="7">
        <f>ROW()</f>
        <v>145</v>
      </c>
      <c r="B145" s="7" t="s">
        <v>151</v>
      </c>
      <c r="C145" s="7" t="s">
        <v>12</v>
      </c>
      <c r="D145" s="7" t="e">
        <f>VLOOKUP($C145,Genders!$A:$C,2,FALSE)</f>
        <v>#N/A</v>
      </c>
      <c r="E145" s="9" t="str">
        <f t="shared" si="2"/>
        <v>INSERT INTO bi4all.dim_names (id_name_pk, name, id_gender_fk) VALUES (145, 'Francisca', 'F');</v>
      </c>
    </row>
    <row r="146" spans="1:5" x14ac:dyDescent="0.2">
      <c r="A146" s="7">
        <f>ROW()</f>
        <v>146</v>
      </c>
      <c r="B146" s="7" t="s">
        <v>152</v>
      </c>
      <c r="C146" s="7" t="s">
        <v>10</v>
      </c>
      <c r="D146" s="7" t="e">
        <f>VLOOKUP($C146,Genders!$A:$C,2,FALSE)</f>
        <v>#N/A</v>
      </c>
      <c r="E146" s="9" t="str">
        <f t="shared" si="2"/>
        <v>INSERT INTO bi4all.dim_names (id_name_pk, name, id_gender_fk) VALUES (146, 'Francisco', 'M');</v>
      </c>
    </row>
    <row r="147" spans="1:5" x14ac:dyDescent="0.2">
      <c r="A147" s="7">
        <f>ROW()</f>
        <v>147</v>
      </c>
      <c r="B147" s="7" t="s">
        <v>153</v>
      </c>
      <c r="C147" s="7" t="s">
        <v>10</v>
      </c>
      <c r="D147" s="7" t="e">
        <f>VLOOKUP($C147,Genders!$A:$C,2,FALSE)</f>
        <v>#N/A</v>
      </c>
      <c r="E147" s="9" t="str">
        <f t="shared" si="2"/>
        <v>INSERT INTO bi4all.dim_names (id_name_pk, name, id_gender_fk) VALUES (147, 'Francisco Emanuel', 'M');</v>
      </c>
    </row>
    <row r="148" spans="1:5" x14ac:dyDescent="0.2">
      <c r="A148" s="7">
        <f>ROW()</f>
        <v>148</v>
      </c>
      <c r="B148" s="7" t="s">
        <v>154</v>
      </c>
      <c r="C148" s="7" t="s">
        <v>10</v>
      </c>
      <c r="D148" s="7" t="e">
        <f>VLOOKUP($C148,Genders!$A:$C,2,FALSE)</f>
        <v>#N/A</v>
      </c>
      <c r="E148" s="9" t="str">
        <f t="shared" si="2"/>
        <v>INSERT INTO bi4all.dim_names (id_name_pk, name, id_gender_fk) VALUES (148, 'Frankin', 'M');</v>
      </c>
    </row>
    <row r="149" spans="1:5" x14ac:dyDescent="0.2">
      <c r="A149" s="7">
        <f>ROW()</f>
        <v>149</v>
      </c>
      <c r="B149" s="7" t="s">
        <v>155</v>
      </c>
      <c r="C149" s="7" t="s">
        <v>10</v>
      </c>
      <c r="D149" s="7" t="e">
        <f>VLOOKUP($C149,Genders!$A:$C,2,FALSE)</f>
        <v>#N/A</v>
      </c>
      <c r="E149" s="9" t="str">
        <f t="shared" si="2"/>
        <v>INSERT INTO bi4all.dim_names (id_name_pk, name, id_gender_fk) VALUES (149, 'Gabriel', 'M');</v>
      </c>
    </row>
    <row r="150" spans="1:5" x14ac:dyDescent="0.2">
      <c r="A150" s="7">
        <f>ROW()</f>
        <v>150</v>
      </c>
      <c r="B150" s="7" t="s">
        <v>156</v>
      </c>
      <c r="C150" s="7" t="s">
        <v>12</v>
      </c>
      <c r="D150" s="7" t="e">
        <f>VLOOKUP($C150,Genders!$A:$C,2,FALSE)</f>
        <v>#N/A</v>
      </c>
      <c r="E150" s="9" t="str">
        <f t="shared" si="2"/>
        <v>INSERT INTO bi4all.dim_names (id_name_pk, name, id_gender_fk) VALUES (150, 'Gabriela', 'F');</v>
      </c>
    </row>
    <row r="151" spans="1:5" x14ac:dyDescent="0.2">
      <c r="A151" s="7">
        <f>ROW()</f>
        <v>151</v>
      </c>
      <c r="B151" s="7" t="s">
        <v>157</v>
      </c>
      <c r="C151" s="7" t="s">
        <v>12</v>
      </c>
      <c r="D151" s="7" t="e">
        <f>VLOOKUP($C151,Genders!$A:$C,2,FALSE)</f>
        <v>#N/A</v>
      </c>
      <c r="E151" s="9" t="str">
        <f t="shared" si="2"/>
        <v>INSERT INTO bi4all.dim_names (id_name_pk, name, id_gender_fk) VALUES (151, 'Gabrielly', 'F');</v>
      </c>
    </row>
    <row r="152" spans="1:5" x14ac:dyDescent="0.2">
      <c r="A152" s="7">
        <f>ROW()</f>
        <v>152</v>
      </c>
      <c r="B152" s="7" t="s">
        <v>158</v>
      </c>
      <c r="C152" s="7" t="s">
        <v>10</v>
      </c>
      <c r="D152" s="7" t="e">
        <f>VLOOKUP($C152,Genders!$A:$C,2,FALSE)</f>
        <v>#N/A</v>
      </c>
      <c r="E152" s="9" t="str">
        <f t="shared" si="2"/>
        <v>INSERT INTO bi4all.dim_names (id_name_pk, name, id_gender_fk) VALUES (152, 'Gael', 'M');</v>
      </c>
    </row>
    <row r="153" spans="1:5" x14ac:dyDescent="0.2">
      <c r="A153" s="7">
        <f>ROW()</f>
        <v>153</v>
      </c>
      <c r="B153" s="7" t="s">
        <v>159</v>
      </c>
      <c r="C153" s="7" t="s">
        <v>12</v>
      </c>
      <c r="D153" s="7" t="e">
        <f>VLOOKUP($C153,Genders!$A:$C,2,FALSE)</f>
        <v>#N/A</v>
      </c>
      <c r="E153" s="9" t="str">
        <f t="shared" si="2"/>
        <v>INSERT INTO bi4all.dim_names (id_name_pk, name, id_gender_fk) VALUES (153, 'Giovana', 'F');</v>
      </c>
    </row>
    <row r="154" spans="1:5" x14ac:dyDescent="0.2">
      <c r="A154" s="7">
        <f>ROW()</f>
        <v>154</v>
      </c>
      <c r="B154" s="7" t="s">
        <v>160</v>
      </c>
      <c r="C154" s="7" t="s">
        <v>12</v>
      </c>
      <c r="D154" s="7" t="e">
        <f>VLOOKUP($C154,Genders!$A:$C,2,FALSE)</f>
        <v>#N/A</v>
      </c>
      <c r="E154" s="9" t="str">
        <f t="shared" si="2"/>
        <v>INSERT INTO bi4all.dim_names (id_name_pk, name, id_gender_fk) VALUES (154, 'Giovanna', 'F');</v>
      </c>
    </row>
    <row r="155" spans="1:5" x14ac:dyDescent="0.2">
      <c r="A155" s="7">
        <f>ROW()</f>
        <v>155</v>
      </c>
      <c r="B155" s="7" t="s">
        <v>161</v>
      </c>
      <c r="C155" s="7" t="s">
        <v>12</v>
      </c>
      <c r="D155" s="7" t="e">
        <f>VLOOKUP($C155,Genders!$A:$C,2,FALSE)</f>
        <v>#N/A</v>
      </c>
      <c r="E155" s="9" t="str">
        <f t="shared" si="2"/>
        <v>INSERT INTO bi4all.dim_names (id_name_pk, name, id_gender_fk) VALUES (155, 'Gloria', 'F');</v>
      </c>
    </row>
    <row r="156" spans="1:5" x14ac:dyDescent="0.2">
      <c r="A156" s="7">
        <f>ROW()</f>
        <v>156</v>
      </c>
      <c r="B156" s="7" t="s">
        <v>162</v>
      </c>
      <c r="C156" s="7" t="s">
        <v>12</v>
      </c>
      <c r="D156" s="7" t="e">
        <f>VLOOKUP($C156,Genders!$A:$C,2,FALSE)</f>
        <v>#N/A</v>
      </c>
      <c r="E156" s="9" t="str">
        <f t="shared" si="2"/>
        <v>INSERT INTO bi4all.dim_names (id_name_pk, name, id_gender_fk) VALUES (156, 'Glória Maria', 'F');</v>
      </c>
    </row>
    <row r="157" spans="1:5" x14ac:dyDescent="0.2">
      <c r="A157" s="7">
        <f>ROW()</f>
        <v>157</v>
      </c>
      <c r="B157" s="7" t="s">
        <v>163</v>
      </c>
      <c r="C157" s="7" t="s">
        <v>10</v>
      </c>
      <c r="D157" s="7" t="e">
        <f>VLOOKUP($C157,Genders!$A:$C,2,FALSE)</f>
        <v>#N/A</v>
      </c>
      <c r="E157" s="9" t="str">
        <f t="shared" si="2"/>
        <v>INSERT INTO bi4all.dim_names (id_name_pk, name, id_gender_fk) VALUES (157, 'Guilherme', 'M');</v>
      </c>
    </row>
    <row r="158" spans="1:5" x14ac:dyDescent="0.2">
      <c r="A158" s="7">
        <f>ROW()</f>
        <v>158</v>
      </c>
      <c r="B158" s="7" t="s">
        <v>164</v>
      </c>
      <c r="C158" s="7" t="s">
        <v>10</v>
      </c>
      <c r="D158" s="7" t="e">
        <f>VLOOKUP($C158,Genders!$A:$C,2,FALSE)</f>
        <v>#N/A</v>
      </c>
      <c r="E158" s="9" t="str">
        <f t="shared" si="2"/>
        <v>INSERT INTO bi4all.dim_names (id_name_pk, name, id_gender_fk) VALUES (158, 'Guilherme Augusto', 'M');</v>
      </c>
    </row>
    <row r="159" spans="1:5" x14ac:dyDescent="0.2">
      <c r="A159" s="7">
        <f>ROW()</f>
        <v>159</v>
      </c>
      <c r="B159" s="7" t="s">
        <v>165</v>
      </c>
      <c r="C159" s="7" t="s">
        <v>10</v>
      </c>
      <c r="D159" s="7" t="e">
        <f>VLOOKUP($C159,Genders!$A:$C,2,FALSE)</f>
        <v>#N/A</v>
      </c>
      <c r="E159" s="9" t="str">
        <f t="shared" si="2"/>
        <v>INSERT INTO bi4all.dim_names (id_name_pk, name, id_gender_fk) VALUES (159, 'Gustavo', 'M');</v>
      </c>
    </row>
    <row r="160" spans="1:5" x14ac:dyDescent="0.2">
      <c r="A160" s="7">
        <f>ROW()</f>
        <v>160</v>
      </c>
      <c r="B160" s="7" t="s">
        <v>166</v>
      </c>
      <c r="C160" s="7" t="s">
        <v>10</v>
      </c>
      <c r="D160" s="7" t="e">
        <f>VLOOKUP($C160,Genders!$A:$C,2,FALSE)</f>
        <v>#N/A</v>
      </c>
      <c r="E160" s="9" t="str">
        <f t="shared" si="2"/>
        <v>INSERT INTO bi4all.dim_names (id_name_pk, name, id_gender_fk) VALUES (160, 'Hector', 'M');</v>
      </c>
    </row>
    <row r="161" spans="1:5" x14ac:dyDescent="0.2">
      <c r="A161" s="7">
        <f>ROW()</f>
        <v>161</v>
      </c>
      <c r="B161" s="7" t="s">
        <v>167</v>
      </c>
      <c r="C161" s="7" t="s">
        <v>10</v>
      </c>
      <c r="D161" s="7" t="e">
        <f>VLOOKUP($C161,Genders!$A:$C,2,FALSE)</f>
        <v>#N/A</v>
      </c>
      <c r="E161" s="9" t="str">
        <f t="shared" si="2"/>
        <v>INSERT INTO bi4all.dim_names (id_name_pk, name, id_gender_fk) VALUES (161, 'Heitor', 'M');</v>
      </c>
    </row>
    <row r="162" spans="1:5" x14ac:dyDescent="0.2">
      <c r="A162" s="7">
        <f>ROW()</f>
        <v>162</v>
      </c>
      <c r="B162" s="7" t="s">
        <v>168</v>
      </c>
      <c r="C162" s="7" t="s">
        <v>12</v>
      </c>
      <c r="D162" s="7" t="e">
        <f>VLOOKUP($C162,Genders!$A:$C,2,FALSE)</f>
        <v>#N/A</v>
      </c>
      <c r="E162" s="9" t="str">
        <f t="shared" si="2"/>
        <v>INSERT INTO bi4all.dim_names (id_name_pk, name, id_gender_fk) VALUES (162, 'Helena', 'F');</v>
      </c>
    </row>
    <row r="163" spans="1:5" x14ac:dyDescent="0.2">
      <c r="A163" s="7">
        <f>ROW()</f>
        <v>163</v>
      </c>
      <c r="B163" s="7" t="s">
        <v>169</v>
      </c>
      <c r="C163" s="7" t="s">
        <v>12</v>
      </c>
      <c r="D163" s="7" t="e">
        <f>VLOOKUP($C163,Genders!$A:$C,2,FALSE)</f>
        <v>#N/A</v>
      </c>
      <c r="E163" s="9" t="str">
        <f t="shared" si="2"/>
        <v>INSERT INTO bi4all.dim_names (id_name_pk, name, id_gender_fk) VALUES (163, 'Heloísa', 'F');</v>
      </c>
    </row>
    <row r="164" spans="1:5" x14ac:dyDescent="0.2">
      <c r="A164" s="7">
        <f>ROW()</f>
        <v>164</v>
      </c>
      <c r="B164" s="7" t="s">
        <v>170</v>
      </c>
      <c r="C164" s="7" t="s">
        <v>12</v>
      </c>
      <c r="D164" s="7" t="e">
        <f>VLOOKUP($C164,Genders!$A:$C,2,FALSE)</f>
        <v>#N/A</v>
      </c>
      <c r="E164" s="9" t="str">
        <f t="shared" si="2"/>
        <v>INSERT INTO bi4all.dim_names (id_name_pk, name, id_gender_fk) VALUES (164, 'Heloísa Helena', 'F');</v>
      </c>
    </row>
    <row r="165" spans="1:5" x14ac:dyDescent="0.2">
      <c r="A165" s="7">
        <f>ROW()</f>
        <v>165</v>
      </c>
      <c r="B165" s="7" t="s">
        <v>171</v>
      </c>
      <c r="C165" s="7" t="s">
        <v>12</v>
      </c>
      <c r="D165" s="7" t="e">
        <f>VLOOKUP($C165,Genders!$A:$C,2,FALSE)</f>
        <v>#N/A</v>
      </c>
      <c r="E165" s="9" t="str">
        <f t="shared" si="2"/>
        <v>INSERT INTO bi4all.dim_names (id_name_pk, name, id_gender_fk) VALUES (165, 'Heloise', 'F');</v>
      </c>
    </row>
    <row r="166" spans="1:5" x14ac:dyDescent="0.2">
      <c r="A166" s="7">
        <f>ROW()</f>
        <v>166</v>
      </c>
      <c r="B166" s="7" t="s">
        <v>172</v>
      </c>
      <c r="C166" s="7" t="s">
        <v>10</v>
      </c>
      <c r="D166" s="7" t="e">
        <f>VLOOKUP($C166,Genders!$A:$C,2,FALSE)</f>
        <v>#N/A</v>
      </c>
      <c r="E166" s="9" t="str">
        <f t="shared" si="2"/>
        <v>INSERT INTO bi4all.dim_names (id_name_pk, name, id_gender_fk) VALUES (166, 'Henrico', 'M');</v>
      </c>
    </row>
    <row r="167" spans="1:5" x14ac:dyDescent="0.2">
      <c r="A167" s="7">
        <f>ROW()</f>
        <v>167</v>
      </c>
      <c r="B167" s="7" t="s">
        <v>173</v>
      </c>
      <c r="C167" s="7" t="s">
        <v>10</v>
      </c>
      <c r="D167" s="7" t="e">
        <f>VLOOKUP($C167,Genders!$A:$C,2,FALSE)</f>
        <v>#N/A</v>
      </c>
      <c r="E167" s="9" t="str">
        <f t="shared" si="2"/>
        <v>INSERT INTO bi4all.dim_names (id_name_pk, name, id_gender_fk) VALUES (167, 'Henrique', 'M');</v>
      </c>
    </row>
    <row r="168" spans="1:5" x14ac:dyDescent="0.2">
      <c r="A168" s="7">
        <f>ROW()</f>
        <v>168</v>
      </c>
      <c r="B168" s="7" t="s">
        <v>174</v>
      </c>
      <c r="C168" s="7" t="s">
        <v>10</v>
      </c>
      <c r="D168" s="7" t="e">
        <f>VLOOKUP($C168,Genders!$A:$C,2,FALSE)</f>
        <v>#N/A</v>
      </c>
      <c r="E168" s="9" t="str">
        <f t="shared" si="2"/>
        <v>INSERT INTO bi4all.dim_names (id_name_pk, name, id_gender_fk) VALUES (168, 'Henry', 'M');</v>
      </c>
    </row>
    <row r="169" spans="1:5" x14ac:dyDescent="0.2">
      <c r="A169" s="7">
        <f>ROW()</f>
        <v>169</v>
      </c>
      <c r="B169" s="7" t="s">
        <v>175</v>
      </c>
      <c r="C169" s="7" t="s">
        <v>10</v>
      </c>
      <c r="D169" s="7" t="e">
        <f>VLOOKUP($C169,Genders!$A:$C,2,FALSE)</f>
        <v>#N/A</v>
      </c>
      <c r="E169" s="9" t="str">
        <f t="shared" si="2"/>
        <v>INSERT INTO bi4all.dim_names (id_name_pk, name, id_gender_fk) VALUES (169, 'Ian', 'M');</v>
      </c>
    </row>
    <row r="170" spans="1:5" x14ac:dyDescent="0.2">
      <c r="A170" s="7">
        <f>ROW()</f>
        <v>170</v>
      </c>
      <c r="B170" s="7" t="s">
        <v>176</v>
      </c>
      <c r="C170" s="7" t="s">
        <v>12</v>
      </c>
      <c r="D170" s="7" t="e">
        <f>VLOOKUP($C170,Genders!$A:$C,2,FALSE)</f>
        <v>#N/A</v>
      </c>
      <c r="E170" s="9" t="str">
        <f t="shared" si="2"/>
        <v>INSERT INTO bi4all.dim_names (id_name_pk, name, id_gender_fk) VALUES (170, 'Iara', 'F');</v>
      </c>
    </row>
    <row r="171" spans="1:5" x14ac:dyDescent="0.2">
      <c r="A171" s="7">
        <f>ROW()</f>
        <v>171</v>
      </c>
      <c r="B171" s="7" t="s">
        <v>177</v>
      </c>
      <c r="C171" s="7" t="s">
        <v>12</v>
      </c>
      <c r="D171" s="7" t="e">
        <f>VLOOKUP($C171,Genders!$A:$C,2,FALSE)</f>
        <v>#N/A</v>
      </c>
      <c r="E171" s="9" t="str">
        <f t="shared" si="2"/>
        <v>INSERT INTO bi4all.dim_names (id_name_pk, name, id_gender_fk) VALUES (171, 'Íris', 'F');</v>
      </c>
    </row>
    <row r="172" spans="1:5" x14ac:dyDescent="0.2">
      <c r="A172" s="7">
        <f>ROW()</f>
        <v>172</v>
      </c>
      <c r="B172" s="7" t="s">
        <v>178</v>
      </c>
      <c r="C172" s="7" t="s">
        <v>12</v>
      </c>
      <c r="D172" s="7" t="e">
        <f>VLOOKUP($C172,Genders!$A:$C,2,FALSE)</f>
        <v>#N/A</v>
      </c>
      <c r="E172" s="9" t="str">
        <f t="shared" si="2"/>
        <v>INSERT INTO bi4all.dim_names (id_name_pk, name, id_gender_fk) VALUES (172, 'Isa', 'F');</v>
      </c>
    </row>
    <row r="173" spans="1:5" x14ac:dyDescent="0.2">
      <c r="A173" s="7">
        <f>ROW()</f>
        <v>173</v>
      </c>
      <c r="B173" s="7" t="s">
        <v>179</v>
      </c>
      <c r="C173" s="7" t="s">
        <v>10</v>
      </c>
      <c r="D173" s="7" t="e">
        <f>VLOOKUP($C173,Genders!$A:$C,2,FALSE)</f>
        <v>#N/A</v>
      </c>
      <c r="E173" s="9" t="str">
        <f t="shared" si="2"/>
        <v>INSERT INTO bi4all.dim_names (id_name_pk, name, id_gender_fk) VALUES (173, 'Isaac', 'M');</v>
      </c>
    </row>
    <row r="174" spans="1:5" x14ac:dyDescent="0.2">
      <c r="A174" s="7">
        <f>ROW()</f>
        <v>174</v>
      </c>
      <c r="B174" s="7" t="s">
        <v>180</v>
      </c>
      <c r="C174" s="7" t="s">
        <v>12</v>
      </c>
      <c r="D174" s="7" t="e">
        <f>VLOOKUP($C174,Genders!$A:$C,2,FALSE)</f>
        <v>#N/A</v>
      </c>
      <c r="E174" s="9" t="str">
        <f t="shared" si="2"/>
        <v>INSERT INTO bi4all.dim_names (id_name_pk, name, id_gender_fk) VALUES (174, 'Isabel', 'F');</v>
      </c>
    </row>
    <row r="175" spans="1:5" x14ac:dyDescent="0.2">
      <c r="A175" s="7">
        <f>ROW()</f>
        <v>175</v>
      </c>
      <c r="B175" s="7" t="s">
        <v>181</v>
      </c>
      <c r="C175" s="7" t="s">
        <v>12</v>
      </c>
      <c r="D175" s="7" t="e">
        <f>VLOOKUP($C175,Genders!$A:$C,2,FALSE)</f>
        <v>#N/A</v>
      </c>
      <c r="E175" s="9" t="str">
        <f t="shared" si="2"/>
        <v>INSERT INTO bi4all.dim_names (id_name_pk, name, id_gender_fk) VALUES (175, 'Isabella', 'F');</v>
      </c>
    </row>
    <row r="176" spans="1:5" x14ac:dyDescent="0.2">
      <c r="A176" s="7">
        <f>ROW()</f>
        <v>176</v>
      </c>
      <c r="B176" s="7" t="s">
        <v>182</v>
      </c>
      <c r="C176" s="7" t="s">
        <v>12</v>
      </c>
      <c r="D176" s="7" t="e">
        <f>VLOOKUP($C176,Genders!$A:$C,2,FALSE)</f>
        <v>#N/A</v>
      </c>
      <c r="E176" s="9" t="str">
        <f t="shared" si="2"/>
        <v>INSERT INTO bi4all.dim_names (id_name_pk, name, id_gender_fk) VALUES (176, 'Isabelle', 'F');</v>
      </c>
    </row>
    <row r="177" spans="1:5" x14ac:dyDescent="0.2">
      <c r="A177" s="7">
        <f>ROW()</f>
        <v>177</v>
      </c>
      <c r="B177" s="7" t="s">
        <v>183</v>
      </c>
      <c r="C177" s="7" t="s">
        <v>12</v>
      </c>
      <c r="D177" s="7" t="e">
        <f>VLOOKUP($C177,Genders!$A:$C,2,FALSE)</f>
        <v>#N/A</v>
      </c>
      <c r="E177" s="9" t="str">
        <f t="shared" si="2"/>
        <v>INSERT INTO bi4all.dim_names (id_name_pk, name, id_gender_fk) VALUES (177, 'Isabelly', 'F');</v>
      </c>
    </row>
    <row r="178" spans="1:5" x14ac:dyDescent="0.2">
      <c r="A178" s="7">
        <f>ROW()</f>
        <v>178</v>
      </c>
      <c r="B178" s="7" t="s">
        <v>184</v>
      </c>
      <c r="C178" s="7" t="s">
        <v>12</v>
      </c>
      <c r="D178" s="7" t="e">
        <f>VLOOKUP($C178,Genders!$A:$C,2,FALSE)</f>
        <v>#N/A</v>
      </c>
      <c r="E178" s="9" t="str">
        <f t="shared" si="2"/>
        <v>INSERT INTO bi4all.dim_names (id_name_pk, name, id_gender_fk) VALUES (178, 'Isabely', 'F');</v>
      </c>
    </row>
    <row r="179" spans="1:5" x14ac:dyDescent="0.2">
      <c r="A179" s="7">
        <f>ROW()</f>
        <v>179</v>
      </c>
      <c r="B179" s="7" t="s">
        <v>185</v>
      </c>
      <c r="C179" s="7" t="s">
        <v>12</v>
      </c>
      <c r="D179" s="7" t="e">
        <f>VLOOKUP($C179,Genders!$A:$C,2,FALSE)</f>
        <v>#N/A</v>
      </c>
      <c r="E179" s="9" t="str">
        <f t="shared" si="2"/>
        <v>INSERT INTO bi4all.dim_names (id_name_pk, name, id_gender_fk) VALUES (179, 'Isadora', 'F');</v>
      </c>
    </row>
    <row r="180" spans="1:5" x14ac:dyDescent="0.2">
      <c r="A180" s="7">
        <f>ROW()</f>
        <v>180</v>
      </c>
      <c r="B180" s="7" t="s">
        <v>186</v>
      </c>
      <c r="C180" s="7" t="s">
        <v>12</v>
      </c>
      <c r="D180" s="7" t="e">
        <f>VLOOKUP($C180,Genders!$A:$C,2,FALSE)</f>
        <v>#N/A</v>
      </c>
      <c r="E180" s="9" t="str">
        <f t="shared" si="2"/>
        <v>INSERT INTO bi4all.dim_names (id_name_pk, name, id_gender_fk) VALUES (180, 'Isis', 'F');</v>
      </c>
    </row>
    <row r="181" spans="1:5" x14ac:dyDescent="0.2">
      <c r="A181" s="7">
        <f>ROW()</f>
        <v>181</v>
      </c>
      <c r="B181" s="7" t="s">
        <v>187</v>
      </c>
      <c r="C181" s="7" t="s">
        <v>12</v>
      </c>
      <c r="D181" s="7" t="e">
        <f>VLOOKUP($C181,Genders!$A:$C,2,FALSE)</f>
        <v>#N/A</v>
      </c>
      <c r="E181" s="9" t="str">
        <f t="shared" si="2"/>
        <v>INSERT INTO bi4all.dim_names (id_name_pk, name, id_gender_fk) VALUES (181, 'Isys', 'F');</v>
      </c>
    </row>
    <row r="182" spans="1:5" x14ac:dyDescent="0.2">
      <c r="A182" s="7">
        <f>ROW()</f>
        <v>182</v>
      </c>
      <c r="B182" s="7" t="s">
        <v>188</v>
      </c>
      <c r="C182" s="7" t="s">
        <v>12</v>
      </c>
      <c r="D182" s="7" t="e">
        <f>VLOOKUP($C182,Genders!$A:$C,2,FALSE)</f>
        <v>#N/A</v>
      </c>
      <c r="E182" s="9" t="str">
        <f t="shared" si="2"/>
        <v>INSERT INTO bi4all.dim_names (id_name_pk, name, id_gender_fk) VALUES (182, 'Joana', 'F');</v>
      </c>
    </row>
    <row r="183" spans="1:5" x14ac:dyDescent="0.2">
      <c r="A183" s="7">
        <f>ROW()</f>
        <v>183</v>
      </c>
      <c r="B183" s="7" t="s">
        <v>189</v>
      </c>
      <c r="C183" s="7" t="s">
        <v>12</v>
      </c>
      <c r="D183" s="7" t="e">
        <f>VLOOKUP($C183,Genders!$A:$C,2,FALSE)</f>
        <v>#N/A</v>
      </c>
      <c r="E183" s="9" t="str">
        <f t="shared" si="2"/>
        <v>INSERT INTO bi4all.dim_names (id_name_pk, name, id_gender_fk) VALUES (183, 'Joanah', 'F');</v>
      </c>
    </row>
    <row r="184" spans="1:5" x14ac:dyDescent="0.2">
      <c r="A184" s="7">
        <f>ROW()</f>
        <v>184</v>
      </c>
      <c r="B184" s="7" t="s">
        <v>190</v>
      </c>
      <c r="C184" s="7" t="s">
        <v>12</v>
      </c>
      <c r="D184" s="7" t="e">
        <f>VLOOKUP($C184,Genders!$A:$C,2,FALSE)</f>
        <v>#N/A</v>
      </c>
      <c r="E184" s="9" t="str">
        <f t="shared" si="2"/>
        <v>INSERT INTO bi4all.dim_names (id_name_pk, name, id_gender_fk) VALUES (184, 'Joanna', 'F');</v>
      </c>
    </row>
    <row r="185" spans="1:5" x14ac:dyDescent="0.2">
      <c r="A185" s="7">
        <f>ROW()</f>
        <v>185</v>
      </c>
      <c r="B185" s="7" t="s">
        <v>191</v>
      </c>
      <c r="C185" s="7" t="s">
        <v>10</v>
      </c>
      <c r="D185" s="7" t="e">
        <f>VLOOKUP($C185,Genders!$A:$C,2,FALSE)</f>
        <v>#N/A</v>
      </c>
      <c r="E185" s="9" t="str">
        <f t="shared" si="2"/>
        <v>INSERT INTO bi4all.dim_names (id_name_pk, name, id_gender_fk) VALUES (185, 'João', 'M');</v>
      </c>
    </row>
    <row r="186" spans="1:5" x14ac:dyDescent="0.2">
      <c r="A186" s="7">
        <f>ROW()</f>
        <v>186</v>
      </c>
      <c r="B186" s="7" t="s">
        <v>192</v>
      </c>
      <c r="C186" s="7" t="s">
        <v>10</v>
      </c>
      <c r="D186" s="7" t="e">
        <f>VLOOKUP($C186,Genders!$A:$C,2,FALSE)</f>
        <v>#N/A</v>
      </c>
      <c r="E186" s="9" t="str">
        <f t="shared" si="2"/>
        <v>INSERT INTO bi4all.dim_names (id_name_pk, name, id_gender_fk) VALUES (186, 'João Gabriel', 'M');</v>
      </c>
    </row>
    <row r="187" spans="1:5" x14ac:dyDescent="0.2">
      <c r="A187" s="7">
        <f>ROW()</f>
        <v>187</v>
      </c>
      <c r="B187" s="7" t="s">
        <v>193</v>
      </c>
      <c r="C187" s="7" t="s">
        <v>10</v>
      </c>
      <c r="D187" s="7" t="e">
        <f>VLOOKUP($C187,Genders!$A:$C,2,FALSE)</f>
        <v>#N/A</v>
      </c>
      <c r="E187" s="9" t="str">
        <f t="shared" si="2"/>
        <v>INSERT INTO bi4all.dim_names (id_name_pk, name, id_gender_fk) VALUES (187, 'João Guilherme', 'M');</v>
      </c>
    </row>
    <row r="188" spans="1:5" x14ac:dyDescent="0.2">
      <c r="A188" s="7">
        <f>ROW()</f>
        <v>188</v>
      </c>
      <c r="B188" s="7" t="s">
        <v>194</v>
      </c>
      <c r="C188" s="7" t="s">
        <v>10</v>
      </c>
      <c r="D188" s="7" t="e">
        <f>VLOOKUP($C188,Genders!$A:$C,2,FALSE)</f>
        <v>#N/A</v>
      </c>
      <c r="E188" s="9" t="str">
        <f t="shared" si="2"/>
        <v>INSERT INTO bi4all.dim_names (id_name_pk, name, id_gender_fk) VALUES (188, 'João Lucas', 'M');</v>
      </c>
    </row>
    <row r="189" spans="1:5" x14ac:dyDescent="0.2">
      <c r="A189" s="7">
        <f>ROW()</f>
        <v>189</v>
      </c>
      <c r="B189" s="7" t="s">
        <v>195</v>
      </c>
      <c r="C189" s="7" t="s">
        <v>10</v>
      </c>
      <c r="D189" s="7" t="e">
        <f>VLOOKUP($C189,Genders!$A:$C,2,FALSE)</f>
        <v>#N/A</v>
      </c>
      <c r="E189" s="9" t="str">
        <f t="shared" si="2"/>
        <v>INSERT INTO bi4all.dim_names (id_name_pk, name, id_gender_fk) VALUES (189, 'João Luccas', 'M');</v>
      </c>
    </row>
    <row r="190" spans="1:5" x14ac:dyDescent="0.2">
      <c r="A190" s="7">
        <f>ROW()</f>
        <v>190</v>
      </c>
      <c r="B190" s="7" t="s">
        <v>196</v>
      </c>
      <c r="C190" s="7" t="s">
        <v>10</v>
      </c>
      <c r="D190" s="7" t="e">
        <f>VLOOKUP($C190,Genders!$A:$C,2,FALSE)</f>
        <v>#N/A</v>
      </c>
      <c r="E190" s="9" t="str">
        <f t="shared" si="2"/>
        <v>INSERT INTO bi4all.dim_names (id_name_pk, name, id_gender_fk) VALUES (190, 'João Miguel', 'M');</v>
      </c>
    </row>
    <row r="191" spans="1:5" x14ac:dyDescent="0.2">
      <c r="A191" s="7">
        <f>ROW()</f>
        <v>191</v>
      </c>
      <c r="B191" s="7" t="s">
        <v>197</v>
      </c>
      <c r="C191" s="7" t="s">
        <v>10</v>
      </c>
      <c r="D191" s="7" t="e">
        <f>VLOOKUP($C191,Genders!$A:$C,2,FALSE)</f>
        <v>#N/A</v>
      </c>
      <c r="E191" s="9" t="str">
        <f t="shared" si="2"/>
        <v>INSERT INTO bi4all.dim_names (id_name_pk, name, id_gender_fk) VALUES (191, 'João Paulo', 'M');</v>
      </c>
    </row>
    <row r="192" spans="1:5" x14ac:dyDescent="0.2">
      <c r="A192" s="7">
        <f>ROW()</f>
        <v>192</v>
      </c>
      <c r="B192" s="7" t="s">
        <v>198</v>
      </c>
      <c r="C192" s="7" t="s">
        <v>10</v>
      </c>
      <c r="D192" s="7" t="e">
        <f>VLOOKUP($C192,Genders!$A:$C,2,FALSE)</f>
        <v>#N/A</v>
      </c>
      <c r="E192" s="9" t="str">
        <f t="shared" si="2"/>
        <v>INSERT INTO bi4all.dim_names (id_name_pk, name, id_gender_fk) VALUES (192, 'João Pedro', 'M');</v>
      </c>
    </row>
    <row r="193" spans="1:5" x14ac:dyDescent="0.2">
      <c r="A193" s="7">
        <f>ROW()</f>
        <v>193</v>
      </c>
      <c r="B193" s="7" t="s">
        <v>199</v>
      </c>
      <c r="C193" s="7" t="s">
        <v>10</v>
      </c>
      <c r="D193" s="7" t="e">
        <f>VLOOKUP($C193,Genders!$A:$C,2,FALSE)</f>
        <v>#N/A</v>
      </c>
      <c r="E193" s="9" t="str">
        <f t="shared" si="2"/>
        <v>INSERT INTO bi4all.dim_names (id_name_pk, name, id_gender_fk) VALUES (193, 'João Victor', 'M');</v>
      </c>
    </row>
    <row r="194" spans="1:5" x14ac:dyDescent="0.2">
      <c r="A194" s="7">
        <f>ROW()</f>
        <v>194</v>
      </c>
      <c r="B194" s="7" t="s">
        <v>200</v>
      </c>
      <c r="C194" s="7" t="s">
        <v>10</v>
      </c>
      <c r="D194" s="7" t="e">
        <f>VLOOKUP($C194,Genders!$A:$C,2,FALSE)</f>
        <v>#N/A</v>
      </c>
      <c r="E194" s="9" t="str">
        <f t="shared" si="2"/>
        <v>INSERT INTO bi4all.dim_names (id_name_pk, name, id_gender_fk) VALUES (194, 'João Vitor', 'M');</v>
      </c>
    </row>
    <row r="195" spans="1:5" x14ac:dyDescent="0.2">
      <c r="A195" s="7">
        <f>ROW()</f>
        <v>195</v>
      </c>
      <c r="B195" s="7" t="s">
        <v>201</v>
      </c>
      <c r="C195" s="7" t="s">
        <v>10</v>
      </c>
      <c r="D195" s="7" t="e">
        <f>VLOOKUP($C195,Genders!$A:$C,2,FALSE)</f>
        <v>#N/A</v>
      </c>
      <c r="E195" s="9" t="str">
        <f t="shared" si="2"/>
        <v>INSERT INTO bi4all.dim_names (id_name_pk, name, id_gender_fk) VALUES (195, 'Joaquim', 'M');</v>
      </c>
    </row>
    <row r="196" spans="1:5" x14ac:dyDescent="0.2">
      <c r="A196" s="7">
        <f>ROW()</f>
        <v>196</v>
      </c>
      <c r="B196" s="7" t="s">
        <v>202</v>
      </c>
      <c r="C196" s="7" t="s">
        <v>10</v>
      </c>
      <c r="D196" s="7" t="e">
        <f>VLOOKUP($C196,Genders!$A:$C,2,FALSE)</f>
        <v>#N/A</v>
      </c>
      <c r="E196" s="9" t="str">
        <f t="shared" si="2"/>
        <v>INSERT INTO bi4all.dim_names (id_name_pk, name, id_gender_fk) VALUES (196, 'Jonathan', 'M');</v>
      </c>
    </row>
    <row r="197" spans="1:5" x14ac:dyDescent="0.2">
      <c r="A197" s="7">
        <f>ROW()</f>
        <v>197</v>
      </c>
      <c r="B197" s="7" t="s">
        <v>203</v>
      </c>
      <c r="C197" s="7" t="s">
        <v>10</v>
      </c>
      <c r="D197" s="7" t="e">
        <f>VLOOKUP($C197,Genders!$A:$C,2,FALSE)</f>
        <v>#N/A</v>
      </c>
      <c r="E197" s="9" t="str">
        <f t="shared" si="2"/>
        <v>INSERT INTO bi4all.dim_names (id_name_pk, name, id_gender_fk) VALUES (197, 'José', 'M');</v>
      </c>
    </row>
    <row r="198" spans="1:5" x14ac:dyDescent="0.2">
      <c r="A198" s="7">
        <f>ROW()</f>
        <v>198</v>
      </c>
      <c r="B198" s="7" t="s">
        <v>204</v>
      </c>
      <c r="C198" s="7" t="s">
        <v>10</v>
      </c>
      <c r="D198" s="7" t="e">
        <f>VLOOKUP($C198,Genders!$A:$C,2,FALSE)</f>
        <v>#N/A</v>
      </c>
      <c r="E198" s="9" t="str">
        <f t="shared" ref="E198:E261" si="3">"INSERT INTO " &amp; $B$1 &amp; "." &amp; $B$2 &amp; " (" &amp; $A$4 &amp; ", " &amp;$B$4 &amp; ", " &amp; $C$4 &amp;  ") VALUES (" &amp; $A198 &amp; ", '" &amp; $B198 &amp; "', '" &amp; $C198 &amp; "');"</f>
        <v>INSERT INTO bi4all.dim_names (id_name_pk, name, id_gender_fk) VALUES (198, 'José Emanuel', 'M');</v>
      </c>
    </row>
    <row r="199" spans="1:5" x14ac:dyDescent="0.2">
      <c r="A199" s="7">
        <f>ROW()</f>
        <v>199</v>
      </c>
      <c r="B199" s="7" t="s">
        <v>205</v>
      </c>
      <c r="C199" s="7" t="s">
        <v>10</v>
      </c>
      <c r="D199" s="7" t="e">
        <f>VLOOKUP($C199,Genders!$A:$C,2,FALSE)</f>
        <v>#N/A</v>
      </c>
      <c r="E199" s="9" t="str">
        <f t="shared" si="3"/>
        <v>INSERT INTO bi4all.dim_names (id_name_pk, name, id_gender_fk) VALUES (199, 'José Francisco', 'M');</v>
      </c>
    </row>
    <row r="200" spans="1:5" x14ac:dyDescent="0.2">
      <c r="A200" s="7">
        <f>ROW()</f>
        <v>200</v>
      </c>
      <c r="B200" s="7" t="s">
        <v>206</v>
      </c>
      <c r="C200" s="7" t="s">
        <v>10</v>
      </c>
      <c r="D200" s="7" t="e">
        <f>VLOOKUP($C200,Genders!$A:$C,2,FALSE)</f>
        <v>#N/A</v>
      </c>
      <c r="E200" s="9" t="str">
        <f t="shared" si="3"/>
        <v>INSERT INTO bi4all.dim_names (id_name_pk, name, id_gender_fk) VALUES (200, 'José Heleno', 'M');</v>
      </c>
    </row>
    <row r="201" spans="1:5" x14ac:dyDescent="0.2">
      <c r="A201" s="7">
        <f>ROW()</f>
        <v>201</v>
      </c>
      <c r="B201" s="7" t="s">
        <v>207</v>
      </c>
      <c r="C201" s="7" t="s">
        <v>12</v>
      </c>
      <c r="D201" s="7" t="e">
        <f>VLOOKUP($C201,Genders!$A:$C,2,FALSE)</f>
        <v>#N/A</v>
      </c>
      <c r="E201" s="9" t="str">
        <f t="shared" si="3"/>
        <v>INSERT INTO bi4all.dim_names (id_name_pk, name, id_gender_fk) VALUES (201, 'Júlia', 'F');</v>
      </c>
    </row>
    <row r="202" spans="1:5" x14ac:dyDescent="0.2">
      <c r="A202" s="7">
        <f>ROW()</f>
        <v>202</v>
      </c>
      <c r="B202" s="7" t="s">
        <v>208</v>
      </c>
      <c r="C202" s="7" t="s">
        <v>12</v>
      </c>
      <c r="D202" s="7" t="e">
        <f>VLOOKUP($C202,Genders!$A:$C,2,FALSE)</f>
        <v>#N/A</v>
      </c>
      <c r="E202" s="9" t="str">
        <f t="shared" si="3"/>
        <v>INSERT INTO bi4all.dim_names (id_name_pk, name, id_gender_fk) VALUES (202, 'Júlia Clara', 'F');</v>
      </c>
    </row>
    <row r="203" spans="1:5" x14ac:dyDescent="0.2">
      <c r="A203" s="7">
        <f>ROW()</f>
        <v>203</v>
      </c>
      <c r="B203" s="7" t="s">
        <v>209</v>
      </c>
      <c r="C203" s="7" t="s">
        <v>12</v>
      </c>
      <c r="D203" s="7" t="e">
        <f>VLOOKUP($C203,Genders!$A:$C,2,FALSE)</f>
        <v>#N/A</v>
      </c>
      <c r="E203" s="9" t="str">
        <f t="shared" si="3"/>
        <v>INSERT INTO bi4all.dim_names (id_name_pk, name, id_gender_fk) VALUES (203, 'Juliana', 'F');</v>
      </c>
    </row>
    <row r="204" spans="1:5" x14ac:dyDescent="0.2">
      <c r="A204" s="7">
        <f>ROW()</f>
        <v>204</v>
      </c>
      <c r="B204" s="7" t="s">
        <v>210</v>
      </c>
      <c r="C204" s="7" t="s">
        <v>10</v>
      </c>
      <c r="D204" s="7" t="e">
        <f>VLOOKUP($C204,Genders!$A:$C,2,FALSE)</f>
        <v>#N/A</v>
      </c>
      <c r="E204" s="9" t="str">
        <f t="shared" si="3"/>
        <v>INSERT INTO bi4all.dim_names (id_name_pk, name, id_gender_fk) VALUES (204, 'Júlio', 'M');</v>
      </c>
    </row>
    <row r="205" spans="1:5" x14ac:dyDescent="0.2">
      <c r="A205" s="7">
        <f>ROW()</f>
        <v>205</v>
      </c>
      <c r="B205" s="7" t="s">
        <v>211</v>
      </c>
      <c r="C205" s="7" t="s">
        <v>10</v>
      </c>
      <c r="D205" s="7" t="e">
        <f>VLOOKUP($C205,Genders!$A:$C,2,FALSE)</f>
        <v>#N/A</v>
      </c>
      <c r="E205" s="9" t="str">
        <f t="shared" si="3"/>
        <v>INSERT INTO bi4all.dim_names (id_name_pk, name, id_gender_fk) VALUES (205, 'Kaique', 'M');</v>
      </c>
    </row>
    <row r="206" spans="1:5" x14ac:dyDescent="0.2">
      <c r="A206" s="7">
        <f>ROW()</f>
        <v>206</v>
      </c>
      <c r="B206" s="7" t="s">
        <v>212</v>
      </c>
      <c r="C206" s="7" t="s">
        <v>12</v>
      </c>
      <c r="D206" s="7" t="e">
        <f>VLOOKUP($C206,Genders!$A:$C,2,FALSE)</f>
        <v>#N/A</v>
      </c>
      <c r="E206" s="9" t="str">
        <f t="shared" si="3"/>
        <v>INSERT INTO bi4all.dim_names (id_name_pk, name, id_gender_fk) VALUES (206, 'Kamilla', 'F');</v>
      </c>
    </row>
    <row r="207" spans="1:5" x14ac:dyDescent="0.2">
      <c r="A207" s="7">
        <f>ROW()</f>
        <v>207</v>
      </c>
      <c r="B207" s="7" t="s">
        <v>213</v>
      </c>
      <c r="C207" s="7" t="s">
        <v>12</v>
      </c>
      <c r="D207" s="7" t="e">
        <f>VLOOKUP($C207,Genders!$A:$C,2,FALSE)</f>
        <v>#N/A</v>
      </c>
      <c r="E207" s="9" t="str">
        <f t="shared" si="3"/>
        <v>INSERT INTO bi4all.dim_names (id_name_pk, name, id_gender_fk) VALUES (207, 'Kamille', 'F');</v>
      </c>
    </row>
    <row r="208" spans="1:5" x14ac:dyDescent="0.2">
      <c r="A208" s="7">
        <f>ROW()</f>
        <v>208</v>
      </c>
      <c r="B208" s="7" t="s">
        <v>214</v>
      </c>
      <c r="C208" s="7" t="s">
        <v>12</v>
      </c>
      <c r="D208" s="7" t="e">
        <f>VLOOKUP($C208,Genders!$A:$C,2,FALSE)</f>
        <v>#N/A</v>
      </c>
      <c r="E208" s="9" t="str">
        <f t="shared" si="3"/>
        <v>INSERT INTO bi4all.dim_names (id_name_pk, name, id_gender_fk) VALUES (208, 'Katarina', 'F');</v>
      </c>
    </row>
    <row r="209" spans="1:5" x14ac:dyDescent="0.2">
      <c r="A209" s="7">
        <f>ROW()</f>
        <v>209</v>
      </c>
      <c r="B209" s="7" t="s">
        <v>215</v>
      </c>
      <c r="C209" s="7" t="s">
        <v>12</v>
      </c>
      <c r="D209" s="7" t="e">
        <f>VLOOKUP($C209,Genders!$A:$C,2,FALSE)</f>
        <v>#N/A</v>
      </c>
      <c r="E209" s="9" t="str">
        <f t="shared" si="3"/>
        <v>INSERT INTO bi4all.dim_names (id_name_pk, name, id_gender_fk) VALUES (209, 'Katerine', 'F');</v>
      </c>
    </row>
    <row r="210" spans="1:5" x14ac:dyDescent="0.2">
      <c r="A210" s="7">
        <f>ROW()</f>
        <v>210</v>
      </c>
      <c r="B210" s="7" t="s">
        <v>216</v>
      </c>
      <c r="C210" s="7" t="s">
        <v>10</v>
      </c>
      <c r="D210" s="7" t="e">
        <f>VLOOKUP($C210,Genders!$A:$C,2,FALSE)</f>
        <v>#N/A</v>
      </c>
      <c r="E210" s="9" t="str">
        <f t="shared" si="3"/>
        <v>INSERT INTO bi4all.dim_names (id_name_pk, name, id_gender_fk) VALUES (210, 'Kauã', 'M');</v>
      </c>
    </row>
    <row r="211" spans="1:5" x14ac:dyDescent="0.2">
      <c r="A211" s="7">
        <f>ROW()</f>
        <v>211</v>
      </c>
      <c r="B211" s="7" t="s">
        <v>217</v>
      </c>
      <c r="C211" s="7" t="s">
        <v>10</v>
      </c>
      <c r="D211" s="7" t="e">
        <f>VLOOKUP($C211,Genders!$A:$C,2,FALSE)</f>
        <v>#N/A</v>
      </c>
      <c r="E211" s="9" t="str">
        <f t="shared" si="3"/>
        <v>INSERT INTO bi4all.dim_names (id_name_pk, name, id_gender_fk) VALUES (211, 'Kauê', 'M');</v>
      </c>
    </row>
    <row r="212" spans="1:5" x14ac:dyDescent="0.2">
      <c r="A212" s="7">
        <f>ROW()</f>
        <v>212</v>
      </c>
      <c r="B212" s="7" t="s">
        <v>218</v>
      </c>
      <c r="C212" s="7" t="s">
        <v>12</v>
      </c>
      <c r="D212" s="7" t="e">
        <f>VLOOKUP($C212,Genders!$A:$C,2,FALSE)</f>
        <v>#N/A</v>
      </c>
      <c r="E212" s="9" t="str">
        <f t="shared" si="3"/>
        <v>INSERT INTO bi4all.dim_names (id_name_pk, name, id_gender_fk) VALUES (212, 'Kelly', 'F');</v>
      </c>
    </row>
    <row r="213" spans="1:5" x14ac:dyDescent="0.2">
      <c r="A213" s="7">
        <f>ROW()</f>
        <v>213</v>
      </c>
      <c r="B213" s="7" t="s">
        <v>219</v>
      </c>
      <c r="C213" s="7" t="s">
        <v>10</v>
      </c>
      <c r="D213" s="7" t="e">
        <f>VLOOKUP($C213,Genders!$A:$C,2,FALSE)</f>
        <v>#N/A</v>
      </c>
      <c r="E213" s="9" t="str">
        <f t="shared" si="3"/>
        <v>INSERT INTO bi4all.dim_names (id_name_pk, name, id_gender_fk) VALUES (213, 'Kelvin', 'M');</v>
      </c>
    </row>
    <row r="214" spans="1:5" x14ac:dyDescent="0.2">
      <c r="A214" s="7">
        <f>ROW()</f>
        <v>214</v>
      </c>
      <c r="B214" s="7" t="s">
        <v>220</v>
      </c>
      <c r="C214" s="7" t="s">
        <v>10</v>
      </c>
      <c r="D214" s="7" t="e">
        <f>VLOOKUP($C214,Genders!$A:$C,2,FALSE)</f>
        <v>#N/A</v>
      </c>
      <c r="E214" s="9" t="str">
        <f t="shared" si="3"/>
        <v>INSERT INTO bi4all.dim_names (id_name_pk, name, id_gender_fk) VALUES (214, 'Kleriston', 'M');</v>
      </c>
    </row>
    <row r="215" spans="1:5" x14ac:dyDescent="0.2">
      <c r="A215" s="7">
        <f>ROW()</f>
        <v>215</v>
      </c>
      <c r="B215" s="7" t="s">
        <v>221</v>
      </c>
      <c r="C215" s="7" t="s">
        <v>12</v>
      </c>
      <c r="D215" s="7" t="e">
        <f>VLOOKUP($C215,Genders!$A:$C,2,FALSE)</f>
        <v>#N/A</v>
      </c>
      <c r="E215" s="9" t="str">
        <f t="shared" si="3"/>
        <v>INSERT INTO bi4all.dim_names (id_name_pk, name, id_gender_fk) VALUES (215, 'Kloe', 'F');</v>
      </c>
    </row>
    <row r="216" spans="1:5" x14ac:dyDescent="0.2">
      <c r="A216" s="7">
        <f>ROW()</f>
        <v>216</v>
      </c>
      <c r="B216" s="7" t="s">
        <v>222</v>
      </c>
      <c r="C216" s="7" t="s">
        <v>12</v>
      </c>
      <c r="D216" s="7" t="e">
        <f>VLOOKUP($C216,Genders!$A:$C,2,FALSE)</f>
        <v>#N/A</v>
      </c>
      <c r="E216" s="9" t="str">
        <f t="shared" si="3"/>
        <v>INSERT INTO bi4all.dim_names (id_name_pk, name, id_gender_fk) VALUES (216, 'Laís', 'F');</v>
      </c>
    </row>
    <row r="217" spans="1:5" x14ac:dyDescent="0.2">
      <c r="A217" s="7">
        <f>ROW()</f>
        <v>217</v>
      </c>
      <c r="B217" s="7" t="s">
        <v>223</v>
      </c>
      <c r="C217" s="7" t="s">
        <v>12</v>
      </c>
      <c r="D217" s="7" t="e">
        <f>VLOOKUP($C217,Genders!$A:$C,2,FALSE)</f>
        <v>#N/A</v>
      </c>
      <c r="E217" s="9" t="str">
        <f t="shared" si="3"/>
        <v>INSERT INTO bi4all.dim_names (id_name_pk, name, id_gender_fk) VALUES (217, 'Lara', 'F');</v>
      </c>
    </row>
    <row r="218" spans="1:5" x14ac:dyDescent="0.2">
      <c r="A218" s="7">
        <f>ROW()</f>
        <v>218</v>
      </c>
      <c r="B218" s="7" t="s">
        <v>224</v>
      </c>
      <c r="C218" s="7" t="s">
        <v>12</v>
      </c>
      <c r="D218" s="7" t="e">
        <f>VLOOKUP($C218,Genders!$A:$C,2,FALSE)</f>
        <v>#N/A</v>
      </c>
      <c r="E218" s="9" t="str">
        <f t="shared" si="3"/>
        <v>INSERT INTO bi4all.dim_names (id_name_pk, name, id_gender_fk) VALUES (218, 'Larisa', 'F');</v>
      </c>
    </row>
    <row r="219" spans="1:5" x14ac:dyDescent="0.2">
      <c r="A219" s="7">
        <f>ROW()</f>
        <v>219</v>
      </c>
      <c r="B219" s="7" t="s">
        <v>225</v>
      </c>
      <c r="C219" s="7" t="s">
        <v>12</v>
      </c>
      <c r="D219" s="7" t="e">
        <f>VLOOKUP($C219,Genders!$A:$C,2,FALSE)</f>
        <v>#N/A</v>
      </c>
      <c r="E219" s="9" t="str">
        <f t="shared" si="3"/>
        <v>INSERT INTO bi4all.dim_names (id_name_pk, name, id_gender_fk) VALUES (219, 'Larissa', 'F');</v>
      </c>
    </row>
    <row r="220" spans="1:5" x14ac:dyDescent="0.2">
      <c r="A220" s="7">
        <f>ROW()</f>
        <v>220</v>
      </c>
      <c r="B220" s="7" t="s">
        <v>226</v>
      </c>
      <c r="C220" s="7" t="s">
        <v>12</v>
      </c>
      <c r="D220" s="7" t="e">
        <f>VLOOKUP($C220,Genders!$A:$C,2,FALSE)</f>
        <v>#N/A</v>
      </c>
      <c r="E220" s="9" t="str">
        <f t="shared" si="3"/>
        <v>INSERT INTO bi4all.dim_names (id_name_pk, name, id_gender_fk) VALUES (220, 'Laura', 'F');</v>
      </c>
    </row>
    <row r="221" spans="1:5" x14ac:dyDescent="0.2">
      <c r="A221" s="7">
        <f>ROW()</f>
        <v>221</v>
      </c>
      <c r="B221" s="7" t="s">
        <v>227</v>
      </c>
      <c r="C221" s="7" t="s">
        <v>12</v>
      </c>
      <c r="D221" s="7" t="e">
        <f>VLOOKUP($C221,Genders!$A:$C,2,FALSE)</f>
        <v>#N/A</v>
      </c>
      <c r="E221" s="9" t="str">
        <f t="shared" si="3"/>
        <v>INSERT INTO bi4all.dim_names (id_name_pk, name, id_gender_fk) VALUES (221, 'Lavínia', 'F');</v>
      </c>
    </row>
    <row r="222" spans="1:5" x14ac:dyDescent="0.2">
      <c r="A222" s="7">
        <f>ROW()</f>
        <v>222</v>
      </c>
      <c r="B222" s="7" t="s">
        <v>228</v>
      </c>
      <c r="C222" s="7" t="s">
        <v>12</v>
      </c>
      <c r="D222" s="7" t="e">
        <f>VLOOKUP($C222,Genders!$A:$C,2,FALSE)</f>
        <v>#N/A</v>
      </c>
      <c r="E222" s="9" t="str">
        <f t="shared" si="3"/>
        <v>INSERT INTO bi4all.dim_names (id_name_pk, name, id_gender_fk) VALUES (222, 'Lavignia', 'F');</v>
      </c>
    </row>
    <row r="223" spans="1:5" x14ac:dyDescent="0.2">
      <c r="A223" s="7">
        <f>ROW()</f>
        <v>223</v>
      </c>
      <c r="B223" s="7" t="s">
        <v>229</v>
      </c>
      <c r="C223" s="7" t="s">
        <v>10</v>
      </c>
      <c r="D223" s="7" t="e">
        <f>VLOOKUP($C223,Genders!$A:$C,2,FALSE)</f>
        <v>#N/A</v>
      </c>
      <c r="E223" s="9" t="str">
        <f t="shared" si="3"/>
        <v>INSERT INTO bi4all.dim_names (id_name_pk, name, id_gender_fk) VALUES (223, 'Leonardo', 'M');</v>
      </c>
    </row>
    <row r="224" spans="1:5" x14ac:dyDescent="0.2">
      <c r="A224" s="7">
        <f>ROW()</f>
        <v>224</v>
      </c>
      <c r="B224" s="7" t="s">
        <v>230</v>
      </c>
      <c r="C224" s="7" t="s">
        <v>12</v>
      </c>
      <c r="D224" s="7" t="e">
        <f>VLOOKUP($C224,Genders!$A:$C,2,FALSE)</f>
        <v>#N/A</v>
      </c>
      <c r="E224" s="9" t="str">
        <f t="shared" si="3"/>
        <v>INSERT INTO bi4all.dim_names (id_name_pk, name, id_gender_fk) VALUES (224, 'Letícia', 'F');</v>
      </c>
    </row>
    <row r="225" spans="1:5" x14ac:dyDescent="0.2">
      <c r="A225" s="7">
        <f>ROW()</f>
        <v>225</v>
      </c>
      <c r="B225" s="7" t="s">
        <v>231</v>
      </c>
      <c r="C225" s="7" t="s">
        <v>10</v>
      </c>
      <c r="D225" s="7" t="e">
        <f>VLOOKUP($C225,Genders!$A:$C,2,FALSE)</f>
        <v>#N/A</v>
      </c>
      <c r="E225" s="9" t="str">
        <f t="shared" si="3"/>
        <v>INSERT INTO bi4all.dim_names (id_name_pk, name, id_gender_fk) VALUES (225, 'Levi', 'M');</v>
      </c>
    </row>
    <row r="226" spans="1:5" x14ac:dyDescent="0.2">
      <c r="A226" s="7">
        <f>ROW()</f>
        <v>226</v>
      </c>
      <c r="B226" s="7" t="s">
        <v>232</v>
      </c>
      <c r="C226" s="7" t="s">
        <v>10</v>
      </c>
      <c r="D226" s="7" t="e">
        <f>VLOOKUP($C226,Genders!$A:$C,2,FALSE)</f>
        <v>#N/A</v>
      </c>
      <c r="E226" s="9" t="str">
        <f t="shared" si="3"/>
        <v>INSERT INTO bi4all.dim_names (id_name_pk, name, id_gender_fk) VALUES (226, 'Levy', 'M');</v>
      </c>
    </row>
    <row r="227" spans="1:5" x14ac:dyDescent="0.2">
      <c r="A227" s="7">
        <f>ROW()</f>
        <v>227</v>
      </c>
      <c r="B227" s="7" t="s">
        <v>233</v>
      </c>
      <c r="C227" s="7" t="s">
        <v>12</v>
      </c>
      <c r="D227" s="7" t="e">
        <f>VLOOKUP($C227,Genders!$A:$C,2,FALSE)</f>
        <v>#N/A</v>
      </c>
      <c r="E227" s="9" t="str">
        <f t="shared" si="3"/>
        <v>INSERT INTO bi4all.dim_names (id_name_pk, name, id_gender_fk) VALUES (227, 'Lia', 'F');</v>
      </c>
    </row>
    <row r="228" spans="1:5" x14ac:dyDescent="0.2">
      <c r="A228" s="7">
        <f>ROW()</f>
        <v>228</v>
      </c>
      <c r="B228" s="7" t="s">
        <v>234</v>
      </c>
      <c r="C228" s="7" t="s">
        <v>12</v>
      </c>
      <c r="D228" s="7" t="e">
        <f>VLOOKUP($C228,Genders!$A:$C,2,FALSE)</f>
        <v>#N/A</v>
      </c>
      <c r="E228" s="9" t="str">
        <f t="shared" si="3"/>
        <v>INSERT INTO bi4all.dim_names (id_name_pk, name, id_gender_fk) VALUES (228, 'Lívia', 'F');</v>
      </c>
    </row>
    <row r="229" spans="1:5" x14ac:dyDescent="0.2">
      <c r="A229" s="7">
        <f>ROW()</f>
        <v>229</v>
      </c>
      <c r="B229" s="7" t="s">
        <v>235</v>
      </c>
      <c r="C229" s="7" t="s">
        <v>12</v>
      </c>
      <c r="D229" s="7" t="e">
        <f>VLOOKUP($C229,Genders!$A:$C,2,FALSE)</f>
        <v>#N/A</v>
      </c>
      <c r="E229" s="9" t="str">
        <f t="shared" si="3"/>
        <v>INSERT INTO bi4all.dim_names (id_name_pk, name, id_gender_fk) VALUES (229, 'Liz', 'F');</v>
      </c>
    </row>
    <row r="230" spans="1:5" x14ac:dyDescent="0.2">
      <c r="A230" s="7">
        <f>ROW()</f>
        <v>230</v>
      </c>
      <c r="B230" s="7" t="s">
        <v>236</v>
      </c>
      <c r="C230" s="7" t="s">
        <v>12</v>
      </c>
      <c r="D230" s="7" t="e">
        <f>VLOOKUP($C230,Genders!$A:$C,2,FALSE)</f>
        <v>#N/A</v>
      </c>
      <c r="E230" s="9" t="str">
        <f t="shared" si="3"/>
        <v>INSERT INTO bi4all.dim_names (id_name_pk, name, id_gender_fk) VALUES (230, 'Lorena', 'F');</v>
      </c>
    </row>
    <row r="231" spans="1:5" x14ac:dyDescent="0.2">
      <c r="A231" s="7">
        <f>ROW()</f>
        <v>231</v>
      </c>
      <c r="B231" s="7" t="s">
        <v>237</v>
      </c>
      <c r="C231" s="7" t="s">
        <v>12</v>
      </c>
      <c r="D231" s="7" t="e">
        <f>VLOOKUP($C231,Genders!$A:$C,2,FALSE)</f>
        <v>#N/A</v>
      </c>
      <c r="E231" s="9" t="str">
        <f t="shared" si="3"/>
        <v>INSERT INTO bi4all.dim_names (id_name_pk, name, id_gender_fk) VALUES (231, 'Lorenna', 'F');</v>
      </c>
    </row>
    <row r="232" spans="1:5" x14ac:dyDescent="0.2">
      <c r="A232" s="7">
        <f>ROW()</f>
        <v>232</v>
      </c>
      <c r="B232" s="7" t="s">
        <v>238</v>
      </c>
      <c r="C232" s="7" t="s">
        <v>10</v>
      </c>
      <c r="D232" s="7" t="e">
        <f>VLOOKUP($C232,Genders!$A:$C,2,FALSE)</f>
        <v>#N/A</v>
      </c>
      <c r="E232" s="9" t="str">
        <f t="shared" si="3"/>
        <v>INSERT INTO bi4all.dim_names (id_name_pk, name, id_gender_fk) VALUES (232, 'Lorenzo', 'M');</v>
      </c>
    </row>
    <row r="233" spans="1:5" x14ac:dyDescent="0.2">
      <c r="A233" s="7">
        <f>ROW()</f>
        <v>233</v>
      </c>
      <c r="B233" s="7" t="s">
        <v>239</v>
      </c>
      <c r="C233" s="7" t="s">
        <v>10</v>
      </c>
      <c r="D233" s="7" t="e">
        <f>VLOOKUP($C233,Genders!$A:$C,2,FALSE)</f>
        <v>#N/A</v>
      </c>
      <c r="E233" s="9" t="str">
        <f t="shared" si="3"/>
        <v>INSERT INTO bi4all.dim_names (id_name_pk, name, id_gender_fk) VALUES (233, 'Lorenzo Augusto', 'M');</v>
      </c>
    </row>
    <row r="234" spans="1:5" x14ac:dyDescent="0.2">
      <c r="A234" s="7">
        <f>ROW()</f>
        <v>234</v>
      </c>
      <c r="B234" s="7" t="s">
        <v>240</v>
      </c>
      <c r="C234" s="7" t="s">
        <v>12</v>
      </c>
      <c r="D234" s="7" t="e">
        <f>VLOOKUP($C234,Genders!$A:$C,2,FALSE)</f>
        <v>#N/A</v>
      </c>
      <c r="E234" s="9" t="str">
        <f t="shared" si="3"/>
        <v>INSERT INTO bi4all.dim_names (id_name_pk, name, id_gender_fk) VALUES (234, 'Louise', 'F');</v>
      </c>
    </row>
    <row r="235" spans="1:5" x14ac:dyDescent="0.2">
      <c r="A235" s="7">
        <f>ROW()</f>
        <v>235</v>
      </c>
      <c r="B235" s="7" t="s">
        <v>241</v>
      </c>
      <c r="C235" s="7" t="s">
        <v>10</v>
      </c>
      <c r="D235" s="7" t="e">
        <f>VLOOKUP($C235,Genders!$A:$C,2,FALSE)</f>
        <v>#N/A</v>
      </c>
      <c r="E235" s="9" t="str">
        <f t="shared" si="3"/>
        <v>INSERT INTO bi4all.dim_names (id_name_pk, name, id_gender_fk) VALUES (235, 'Luan', 'M');</v>
      </c>
    </row>
    <row r="236" spans="1:5" x14ac:dyDescent="0.2">
      <c r="A236" s="7">
        <f>ROW()</f>
        <v>236</v>
      </c>
      <c r="B236" s="7" t="s">
        <v>242</v>
      </c>
      <c r="C236" s="7" t="s">
        <v>12</v>
      </c>
      <c r="D236" s="7" t="e">
        <f>VLOOKUP($C236,Genders!$A:$C,2,FALSE)</f>
        <v>#N/A</v>
      </c>
      <c r="E236" s="9" t="str">
        <f t="shared" si="3"/>
        <v>INSERT INTO bi4all.dim_names (id_name_pk, name, id_gender_fk) VALUES (236, 'Luana', 'F');</v>
      </c>
    </row>
    <row r="237" spans="1:5" x14ac:dyDescent="0.2">
      <c r="A237" s="7">
        <f>ROW()</f>
        <v>237</v>
      </c>
      <c r="B237" s="7" t="s">
        <v>243</v>
      </c>
      <c r="C237" s="7" t="s">
        <v>12</v>
      </c>
      <c r="D237" s="7" t="e">
        <f>VLOOKUP($C237,Genders!$A:$C,2,FALSE)</f>
        <v>#N/A</v>
      </c>
      <c r="E237" s="9" t="str">
        <f t="shared" si="3"/>
        <v>INSERT INTO bi4all.dim_names (id_name_pk, name, id_gender_fk) VALUES (237, 'Luanna', 'F');</v>
      </c>
    </row>
    <row r="238" spans="1:5" x14ac:dyDescent="0.2">
      <c r="A238" s="7">
        <f>ROW()</f>
        <v>238</v>
      </c>
      <c r="B238" s="7" t="s">
        <v>244</v>
      </c>
      <c r="C238" s="7" t="s">
        <v>10</v>
      </c>
      <c r="D238" s="7" t="e">
        <f>VLOOKUP($C238,Genders!$A:$C,2,FALSE)</f>
        <v>#N/A</v>
      </c>
      <c r="E238" s="9" t="str">
        <f t="shared" si="3"/>
        <v>INSERT INTO bi4all.dim_names (id_name_pk, name, id_gender_fk) VALUES (238, 'Lucas', 'M');</v>
      </c>
    </row>
    <row r="239" spans="1:5" x14ac:dyDescent="0.2">
      <c r="A239" s="7">
        <f>ROW()</f>
        <v>239</v>
      </c>
      <c r="B239" s="7" t="s">
        <v>245</v>
      </c>
      <c r="C239" s="7" t="s">
        <v>10</v>
      </c>
      <c r="D239" s="7" t="e">
        <f>VLOOKUP($C239,Genders!$A:$C,2,FALSE)</f>
        <v>#N/A</v>
      </c>
      <c r="E239" s="9" t="str">
        <f t="shared" si="3"/>
        <v>INSERT INTO bi4all.dim_names (id_name_pk, name, id_gender_fk) VALUES (239, 'Lucas Gabriel', 'M');</v>
      </c>
    </row>
    <row r="240" spans="1:5" x14ac:dyDescent="0.2">
      <c r="A240" s="7">
        <f>ROW()</f>
        <v>240</v>
      </c>
      <c r="B240" s="7" t="s">
        <v>246</v>
      </c>
      <c r="C240" s="7" t="s">
        <v>10</v>
      </c>
      <c r="D240" s="7" t="e">
        <f>VLOOKUP($C240,Genders!$A:$C,2,FALSE)</f>
        <v>#N/A</v>
      </c>
      <c r="E240" s="9" t="str">
        <f t="shared" si="3"/>
        <v>INSERT INTO bi4all.dim_names (id_name_pk, name, id_gender_fk) VALUES (240, 'Lucca', 'M');</v>
      </c>
    </row>
    <row r="241" spans="1:5" x14ac:dyDescent="0.2">
      <c r="A241" s="7">
        <f>ROW()</f>
        <v>241</v>
      </c>
      <c r="B241" s="7" t="s">
        <v>247</v>
      </c>
      <c r="C241" s="7" t="s">
        <v>10</v>
      </c>
      <c r="D241" s="7" t="e">
        <f>VLOOKUP($C241,Genders!$A:$C,2,FALSE)</f>
        <v>#N/A</v>
      </c>
      <c r="E241" s="9" t="str">
        <f t="shared" si="3"/>
        <v>INSERT INTO bi4all.dim_names (id_name_pk, name, id_gender_fk) VALUES (241, 'Luccas', 'M');</v>
      </c>
    </row>
    <row r="242" spans="1:5" x14ac:dyDescent="0.2">
      <c r="A242" s="7">
        <f>ROW()</f>
        <v>242</v>
      </c>
      <c r="B242" s="7" t="s">
        <v>248</v>
      </c>
      <c r="C242" s="7" t="s">
        <v>12</v>
      </c>
      <c r="D242" s="7" t="e">
        <f>VLOOKUP($C242,Genders!$A:$C,2,FALSE)</f>
        <v>#N/A</v>
      </c>
      <c r="E242" s="9" t="str">
        <f t="shared" si="3"/>
        <v>INSERT INTO bi4all.dim_names (id_name_pk, name, id_gender_fk) VALUES (242, 'Luisa', 'F');</v>
      </c>
    </row>
    <row r="243" spans="1:5" x14ac:dyDescent="0.2">
      <c r="A243" s="7">
        <f>ROW()</f>
        <v>243</v>
      </c>
      <c r="B243" s="7" t="s">
        <v>249</v>
      </c>
      <c r="C243" s="7" t="s">
        <v>10</v>
      </c>
      <c r="D243" s="7" t="e">
        <f>VLOOKUP($C243,Genders!$A:$C,2,FALSE)</f>
        <v>#N/A</v>
      </c>
      <c r="E243" s="9" t="str">
        <f t="shared" si="3"/>
        <v>INSERT INTO bi4all.dim_names (id_name_pk, name, id_gender_fk) VALUES (243, 'Luiz Felipe', 'M');</v>
      </c>
    </row>
    <row r="244" spans="1:5" x14ac:dyDescent="0.2">
      <c r="A244" s="7">
        <f>ROW()</f>
        <v>244</v>
      </c>
      <c r="B244" s="7" t="s">
        <v>250</v>
      </c>
      <c r="C244" s="7" t="s">
        <v>10</v>
      </c>
      <c r="D244" s="7" t="e">
        <f>VLOOKUP($C244,Genders!$A:$C,2,FALSE)</f>
        <v>#N/A</v>
      </c>
      <c r="E244" s="9" t="str">
        <f t="shared" si="3"/>
        <v>INSERT INTO bi4all.dim_names (id_name_pk, name, id_gender_fk) VALUES (244, 'Luiz Gustavo', 'M');</v>
      </c>
    </row>
    <row r="245" spans="1:5" x14ac:dyDescent="0.2">
      <c r="A245" s="7">
        <f>ROW()</f>
        <v>245</v>
      </c>
      <c r="B245" s="7" t="s">
        <v>251</v>
      </c>
      <c r="C245" s="7" t="s">
        <v>10</v>
      </c>
      <c r="D245" s="7" t="e">
        <f>VLOOKUP($C245,Genders!$A:$C,2,FALSE)</f>
        <v>#N/A</v>
      </c>
      <c r="E245" s="9" t="str">
        <f t="shared" si="3"/>
        <v>INSERT INTO bi4all.dim_names (id_name_pk, name, id_gender_fk) VALUES (245, 'Luiz Henrique', 'M');</v>
      </c>
    </row>
    <row r="246" spans="1:5" x14ac:dyDescent="0.2">
      <c r="A246" s="7">
        <f>ROW()</f>
        <v>246</v>
      </c>
      <c r="B246" s="7" t="s">
        <v>252</v>
      </c>
      <c r="C246" s="7" t="s">
        <v>10</v>
      </c>
      <c r="D246" s="7" t="e">
        <f>VLOOKUP($C246,Genders!$A:$C,2,FALSE)</f>
        <v>#N/A</v>
      </c>
      <c r="E246" s="9" t="str">
        <f t="shared" si="3"/>
        <v>INSERT INTO bi4all.dim_names (id_name_pk, name, id_gender_fk) VALUES (246, 'Luiz Miguel', 'M');</v>
      </c>
    </row>
    <row r="247" spans="1:5" x14ac:dyDescent="0.2">
      <c r="A247" s="7">
        <f>ROW()</f>
        <v>247</v>
      </c>
      <c r="B247" s="7" t="s">
        <v>253</v>
      </c>
      <c r="C247" s="7" t="s">
        <v>10</v>
      </c>
      <c r="D247" s="7" t="e">
        <f>VLOOKUP($C247,Genders!$A:$C,2,FALSE)</f>
        <v>#N/A</v>
      </c>
      <c r="E247" s="9" t="str">
        <f t="shared" si="3"/>
        <v>INSERT INTO bi4all.dim_names (id_name_pk, name, id_gender_fk) VALUES (247, 'Luiz Otávio', 'M');</v>
      </c>
    </row>
    <row r="248" spans="1:5" x14ac:dyDescent="0.2">
      <c r="A248" s="7">
        <f>ROW()</f>
        <v>248</v>
      </c>
      <c r="B248" s="7" t="s">
        <v>254</v>
      </c>
      <c r="C248" s="7" t="s">
        <v>12</v>
      </c>
      <c r="D248" s="7" t="e">
        <f>VLOOKUP($C248,Genders!$A:$C,2,FALSE)</f>
        <v>#N/A</v>
      </c>
      <c r="E248" s="9" t="str">
        <f t="shared" si="3"/>
        <v>INSERT INTO bi4all.dim_names (id_name_pk, name, id_gender_fk) VALUES (248, 'Luiza', 'F');</v>
      </c>
    </row>
    <row r="249" spans="1:5" x14ac:dyDescent="0.2">
      <c r="A249" s="7">
        <f>ROW()</f>
        <v>249</v>
      </c>
      <c r="B249" s="7" t="s">
        <v>255</v>
      </c>
      <c r="C249" s="7" t="s">
        <v>12</v>
      </c>
      <c r="D249" s="7" t="e">
        <f>VLOOKUP($C249,Genders!$A:$C,2,FALSE)</f>
        <v>#N/A</v>
      </c>
      <c r="E249" s="9" t="str">
        <f t="shared" si="3"/>
        <v>INSERT INTO bi4all.dim_names (id_name_pk, name, id_gender_fk) VALUES (249, 'Luna', 'F');</v>
      </c>
    </row>
    <row r="250" spans="1:5" x14ac:dyDescent="0.2">
      <c r="A250" s="7">
        <f>ROW()</f>
        <v>250</v>
      </c>
      <c r="B250" s="7" t="s">
        <v>256</v>
      </c>
      <c r="C250" s="7" t="s">
        <v>12</v>
      </c>
      <c r="D250" s="7" t="e">
        <f>VLOOKUP($C250,Genders!$A:$C,2,FALSE)</f>
        <v>#N/A</v>
      </c>
      <c r="E250" s="9" t="str">
        <f t="shared" si="3"/>
        <v>INSERT INTO bi4all.dim_names (id_name_pk, name, id_gender_fk) VALUES (250, 'Madalena', 'F');</v>
      </c>
    </row>
    <row r="251" spans="1:5" x14ac:dyDescent="0.2">
      <c r="A251" s="7">
        <f>ROW()</f>
        <v>251</v>
      </c>
      <c r="B251" s="7" t="s">
        <v>257</v>
      </c>
      <c r="C251" s="7" t="s">
        <v>12</v>
      </c>
      <c r="D251" s="7" t="e">
        <f>VLOOKUP($C251,Genders!$A:$C,2,FALSE)</f>
        <v>#N/A</v>
      </c>
      <c r="E251" s="9" t="str">
        <f t="shared" si="3"/>
        <v>INSERT INTO bi4all.dim_names (id_name_pk, name, id_gender_fk) VALUES (251, 'Maitê', 'F');</v>
      </c>
    </row>
    <row r="252" spans="1:5" x14ac:dyDescent="0.2">
      <c r="A252" s="7">
        <f>ROW()</f>
        <v>252</v>
      </c>
      <c r="B252" s="7" t="s">
        <v>258</v>
      </c>
      <c r="C252" s="7" t="s">
        <v>10</v>
      </c>
      <c r="D252" s="7" t="e">
        <f>VLOOKUP($C252,Genders!$A:$C,2,FALSE)</f>
        <v>#N/A</v>
      </c>
      <c r="E252" s="9" t="str">
        <f t="shared" si="3"/>
        <v>INSERT INTO bi4all.dim_names (id_name_pk, name, id_gender_fk) VALUES (252, 'Malco', 'M');</v>
      </c>
    </row>
    <row r="253" spans="1:5" x14ac:dyDescent="0.2">
      <c r="A253" s="7">
        <f>ROW()</f>
        <v>253</v>
      </c>
      <c r="B253" s="7" t="s">
        <v>259</v>
      </c>
      <c r="C253" s="7" t="s">
        <v>12</v>
      </c>
      <c r="D253" s="7" t="e">
        <f>VLOOKUP($C253,Genders!$A:$C,2,FALSE)</f>
        <v>#N/A</v>
      </c>
      <c r="E253" s="9" t="str">
        <f t="shared" si="3"/>
        <v>INSERT INTO bi4all.dim_names (id_name_pk, name, id_gender_fk) VALUES (253, 'Malu', 'F');</v>
      </c>
    </row>
    <row r="254" spans="1:5" x14ac:dyDescent="0.2">
      <c r="A254" s="7">
        <f>ROW()</f>
        <v>254</v>
      </c>
      <c r="B254" s="7" t="s">
        <v>260</v>
      </c>
      <c r="C254" s="7" t="s">
        <v>10</v>
      </c>
      <c r="D254" s="7" t="e">
        <f>VLOOKUP($C254,Genders!$A:$C,2,FALSE)</f>
        <v>#N/A</v>
      </c>
      <c r="E254" s="9" t="str">
        <f t="shared" si="3"/>
        <v>INSERT INTO bi4all.dim_names (id_name_pk, name, id_gender_fk) VALUES (254, 'Manuel', 'M');</v>
      </c>
    </row>
    <row r="255" spans="1:5" x14ac:dyDescent="0.2">
      <c r="A255" s="7">
        <f>ROW()</f>
        <v>255</v>
      </c>
      <c r="B255" s="7" t="s">
        <v>261</v>
      </c>
      <c r="C255" s="7" t="s">
        <v>12</v>
      </c>
      <c r="D255" s="7" t="e">
        <f>VLOOKUP($C255,Genders!$A:$C,2,FALSE)</f>
        <v>#N/A</v>
      </c>
      <c r="E255" s="9" t="str">
        <f t="shared" si="3"/>
        <v>INSERT INTO bi4all.dim_names (id_name_pk, name, id_gender_fk) VALUES (255, 'Manuela', 'F');</v>
      </c>
    </row>
    <row r="256" spans="1:5" x14ac:dyDescent="0.2">
      <c r="A256" s="7">
        <f>ROW()</f>
        <v>256</v>
      </c>
      <c r="B256" s="7" t="s">
        <v>262</v>
      </c>
      <c r="C256" s="7" t="s">
        <v>10</v>
      </c>
      <c r="D256" s="7" t="e">
        <f>VLOOKUP($C256,Genders!$A:$C,2,FALSE)</f>
        <v>#N/A</v>
      </c>
      <c r="E256" s="9" t="str">
        <f t="shared" si="3"/>
        <v>INSERT INTO bi4all.dim_names (id_name_pk, name, id_gender_fk) VALUES (256, 'Marcelo', 'M');</v>
      </c>
    </row>
    <row r="257" spans="1:5" x14ac:dyDescent="0.2">
      <c r="A257" s="7">
        <f>ROW()</f>
        <v>257</v>
      </c>
      <c r="B257" s="7" t="s">
        <v>263</v>
      </c>
      <c r="C257" s="7" t="s">
        <v>12</v>
      </c>
      <c r="D257" s="7" t="e">
        <f>VLOOKUP($C257,Genders!$A:$C,2,FALSE)</f>
        <v>#N/A</v>
      </c>
      <c r="E257" s="9" t="str">
        <f t="shared" si="3"/>
        <v>INSERT INTO bi4all.dim_names (id_name_pk, name, id_gender_fk) VALUES (257, 'Maria', 'F');</v>
      </c>
    </row>
    <row r="258" spans="1:5" x14ac:dyDescent="0.2">
      <c r="A258" s="7">
        <f>ROW()</f>
        <v>258</v>
      </c>
      <c r="B258" s="7" t="s">
        <v>264</v>
      </c>
      <c r="C258" s="7" t="s">
        <v>12</v>
      </c>
      <c r="D258" s="7" t="e">
        <f>VLOOKUP($C258,Genders!$A:$C,2,FALSE)</f>
        <v>#N/A</v>
      </c>
      <c r="E258" s="9" t="str">
        <f t="shared" si="3"/>
        <v>INSERT INTO bi4all.dim_names (id_name_pk, name, id_gender_fk) VALUES (258, 'Maria Alice', 'F');</v>
      </c>
    </row>
    <row r="259" spans="1:5" x14ac:dyDescent="0.2">
      <c r="A259" s="7">
        <f>ROW()</f>
        <v>259</v>
      </c>
      <c r="B259" s="7" t="s">
        <v>265</v>
      </c>
      <c r="C259" s="7" t="s">
        <v>12</v>
      </c>
      <c r="D259" s="7" t="e">
        <f>VLOOKUP($C259,Genders!$A:$C,2,FALSE)</f>
        <v>#N/A</v>
      </c>
      <c r="E259" s="9" t="str">
        <f t="shared" si="3"/>
        <v>INSERT INTO bi4all.dim_names (id_name_pk, name, id_gender_fk) VALUES (259, 'Maria Carolina', 'F');</v>
      </c>
    </row>
    <row r="260" spans="1:5" x14ac:dyDescent="0.2">
      <c r="A260" s="7">
        <f>ROW()</f>
        <v>260</v>
      </c>
      <c r="B260" s="7" t="s">
        <v>266</v>
      </c>
      <c r="C260" s="7" t="s">
        <v>12</v>
      </c>
      <c r="D260" s="7" t="e">
        <f>VLOOKUP($C260,Genders!$A:$C,2,FALSE)</f>
        <v>#N/A</v>
      </c>
      <c r="E260" s="9" t="str">
        <f t="shared" si="3"/>
        <v>INSERT INTO bi4all.dim_names (id_name_pk, name, id_gender_fk) VALUES (260, 'Maria Cecília', 'F');</v>
      </c>
    </row>
    <row r="261" spans="1:5" x14ac:dyDescent="0.2">
      <c r="A261" s="7">
        <f>ROW()</f>
        <v>261</v>
      </c>
      <c r="B261" s="7" t="s">
        <v>267</v>
      </c>
      <c r="C261" s="7" t="s">
        <v>12</v>
      </c>
      <c r="D261" s="7" t="e">
        <f>VLOOKUP($C261,Genders!$A:$C,2,FALSE)</f>
        <v>#N/A</v>
      </c>
      <c r="E261" s="9" t="str">
        <f t="shared" si="3"/>
        <v>INSERT INTO bi4all.dim_names (id_name_pk, name, id_gender_fk) VALUES (261, 'Maria Clara', 'F');</v>
      </c>
    </row>
    <row r="262" spans="1:5" x14ac:dyDescent="0.2">
      <c r="A262" s="7">
        <f>ROW()</f>
        <v>262</v>
      </c>
      <c r="B262" s="7" t="s">
        <v>268</v>
      </c>
      <c r="C262" s="7" t="s">
        <v>12</v>
      </c>
      <c r="D262" s="7" t="e">
        <f>VLOOKUP($C262,Genders!$A:$C,2,FALSE)</f>
        <v>#N/A</v>
      </c>
      <c r="E262" s="9" t="str">
        <f t="shared" ref="E262:E325" si="4">"INSERT INTO " &amp; $B$1 &amp; "." &amp; $B$2 &amp; " (" &amp; $A$4 &amp; ", " &amp;$B$4 &amp; ", " &amp; $C$4 &amp;  ") VALUES (" &amp; $A262 &amp; ", '" &amp; $B262 &amp; "', '" &amp; $C262 &amp; "');"</f>
        <v>INSERT INTO bi4all.dim_names (id_name_pk, name, id_gender_fk) VALUES (262, 'Maria Eduarda', 'F');</v>
      </c>
    </row>
    <row r="263" spans="1:5" x14ac:dyDescent="0.2">
      <c r="A263" s="7">
        <f>ROW()</f>
        <v>263</v>
      </c>
      <c r="B263" s="7" t="s">
        <v>269</v>
      </c>
      <c r="C263" s="7" t="s">
        <v>12</v>
      </c>
      <c r="D263" s="7" t="e">
        <f>VLOOKUP($C263,Genders!$A:$C,2,FALSE)</f>
        <v>#N/A</v>
      </c>
      <c r="E263" s="9" t="str">
        <f t="shared" si="4"/>
        <v>INSERT INTO bi4all.dim_names (id_name_pk, name, id_gender_fk) VALUES (263, 'Maria Fernanda', 'F');</v>
      </c>
    </row>
    <row r="264" spans="1:5" x14ac:dyDescent="0.2">
      <c r="A264" s="7">
        <f>ROW()</f>
        <v>264</v>
      </c>
      <c r="B264" s="7" t="s">
        <v>270</v>
      </c>
      <c r="C264" s="7" t="s">
        <v>12</v>
      </c>
      <c r="D264" s="7" t="e">
        <f>VLOOKUP($C264,Genders!$A:$C,2,FALSE)</f>
        <v>#N/A</v>
      </c>
      <c r="E264" s="9" t="str">
        <f t="shared" si="4"/>
        <v>INSERT INTO bi4all.dim_names (id_name_pk, name, id_gender_fk) VALUES (264, 'Maria Flor', 'F');</v>
      </c>
    </row>
    <row r="265" spans="1:5" x14ac:dyDescent="0.2">
      <c r="A265" s="7">
        <f>ROW()</f>
        <v>265</v>
      </c>
      <c r="B265" s="7" t="s">
        <v>271</v>
      </c>
      <c r="C265" s="7" t="s">
        <v>12</v>
      </c>
      <c r="D265" s="7" t="e">
        <f>VLOOKUP($C265,Genders!$A:$C,2,FALSE)</f>
        <v>#N/A</v>
      </c>
      <c r="E265" s="9" t="str">
        <f t="shared" si="4"/>
        <v>INSERT INTO bi4all.dim_names (id_name_pk, name, id_gender_fk) VALUES (265, 'Maria Glória', 'F');</v>
      </c>
    </row>
    <row r="266" spans="1:5" x14ac:dyDescent="0.2">
      <c r="A266" s="7">
        <f>ROW()</f>
        <v>266</v>
      </c>
      <c r="B266" s="7" t="s">
        <v>272</v>
      </c>
      <c r="C266" s="7" t="s">
        <v>12</v>
      </c>
      <c r="D266" s="7" t="e">
        <f>VLOOKUP($C266,Genders!$A:$C,2,FALSE)</f>
        <v>#N/A</v>
      </c>
      <c r="E266" s="9" t="str">
        <f t="shared" si="4"/>
        <v>INSERT INTO bi4all.dim_names (id_name_pk, name, id_gender_fk) VALUES (266, 'Maria Helena', 'F');</v>
      </c>
    </row>
    <row r="267" spans="1:5" x14ac:dyDescent="0.2">
      <c r="A267" s="7">
        <f>ROW()</f>
        <v>267</v>
      </c>
      <c r="B267" s="7" t="s">
        <v>273</v>
      </c>
      <c r="C267" s="7" t="s">
        <v>12</v>
      </c>
      <c r="D267" s="7" t="e">
        <f>VLOOKUP($C267,Genders!$A:$C,2,FALSE)</f>
        <v>#N/A</v>
      </c>
      <c r="E267" s="9" t="str">
        <f t="shared" si="4"/>
        <v>INSERT INTO bi4all.dim_names (id_name_pk, name, id_gender_fk) VALUES (267, 'Maria Heloísa', 'F');</v>
      </c>
    </row>
    <row r="268" spans="1:5" x14ac:dyDescent="0.2">
      <c r="A268" s="7">
        <f>ROW()</f>
        <v>268</v>
      </c>
      <c r="B268" s="7" t="s">
        <v>274</v>
      </c>
      <c r="C268" s="7" t="s">
        <v>12</v>
      </c>
      <c r="D268" s="7" t="e">
        <f>VLOOKUP($C268,Genders!$A:$C,2,FALSE)</f>
        <v>#N/A</v>
      </c>
      <c r="E268" s="9" t="str">
        <f t="shared" si="4"/>
        <v>INSERT INTO bi4all.dim_names (id_name_pk, name, id_gender_fk) VALUES (268, 'Maria Isis', 'F');</v>
      </c>
    </row>
    <row r="269" spans="1:5" x14ac:dyDescent="0.2">
      <c r="A269" s="7">
        <f>ROW()</f>
        <v>269</v>
      </c>
      <c r="B269" s="7" t="s">
        <v>275</v>
      </c>
      <c r="C269" s="7" t="s">
        <v>12</v>
      </c>
      <c r="D269" s="7" t="e">
        <f>VLOOKUP($C269,Genders!$A:$C,2,FALSE)</f>
        <v>#N/A</v>
      </c>
      <c r="E269" s="9" t="str">
        <f t="shared" si="4"/>
        <v>INSERT INTO bi4all.dim_names (id_name_pk, name, id_gender_fk) VALUES (269, 'Maria Júlia', 'F');</v>
      </c>
    </row>
    <row r="270" spans="1:5" x14ac:dyDescent="0.2">
      <c r="A270" s="7">
        <f>ROW()</f>
        <v>270</v>
      </c>
      <c r="B270" s="7" t="s">
        <v>276</v>
      </c>
      <c r="C270" s="7" t="s">
        <v>12</v>
      </c>
      <c r="D270" s="7" t="e">
        <f>VLOOKUP($C270,Genders!$A:$C,2,FALSE)</f>
        <v>#N/A</v>
      </c>
      <c r="E270" s="9" t="str">
        <f t="shared" si="4"/>
        <v>INSERT INTO bi4all.dim_names (id_name_pk, name, id_gender_fk) VALUES (270, 'Maria Laura', 'F');</v>
      </c>
    </row>
    <row r="271" spans="1:5" x14ac:dyDescent="0.2">
      <c r="A271" s="7">
        <f>ROW()</f>
        <v>271</v>
      </c>
      <c r="B271" s="7" t="s">
        <v>277</v>
      </c>
      <c r="C271" s="7" t="s">
        <v>12</v>
      </c>
      <c r="D271" s="7" t="e">
        <f>VLOOKUP($C271,Genders!$A:$C,2,FALSE)</f>
        <v>#N/A</v>
      </c>
      <c r="E271" s="9" t="str">
        <f t="shared" si="4"/>
        <v>INSERT INTO bi4all.dim_names (id_name_pk, name, id_gender_fk) VALUES (271, 'Maria Luiza', 'F');</v>
      </c>
    </row>
    <row r="272" spans="1:5" x14ac:dyDescent="0.2">
      <c r="A272" s="7">
        <f>ROW()</f>
        <v>272</v>
      </c>
      <c r="B272" s="7" t="s">
        <v>278</v>
      </c>
      <c r="C272" s="7" t="s">
        <v>12</v>
      </c>
      <c r="D272" s="7" t="e">
        <f>VLOOKUP($C272,Genders!$A:$C,2,FALSE)</f>
        <v>#N/A</v>
      </c>
      <c r="E272" s="9" t="str">
        <f t="shared" si="4"/>
        <v>INSERT INTO bi4all.dim_names (id_name_pk, name, id_gender_fk) VALUES (272, 'Maria Madalena', 'F');</v>
      </c>
    </row>
    <row r="273" spans="1:5" x14ac:dyDescent="0.2">
      <c r="A273" s="7">
        <f>ROW()</f>
        <v>273</v>
      </c>
      <c r="B273" s="7" t="s">
        <v>279</v>
      </c>
      <c r="C273" s="7" t="s">
        <v>12</v>
      </c>
      <c r="D273" s="7" t="e">
        <f>VLOOKUP($C273,Genders!$A:$C,2,FALSE)</f>
        <v>#N/A</v>
      </c>
      <c r="E273" s="9" t="str">
        <f t="shared" si="4"/>
        <v>INSERT INTO bi4all.dim_names (id_name_pk, name, id_gender_fk) VALUES (273, 'Maria Sophia', 'F');</v>
      </c>
    </row>
    <row r="274" spans="1:5" x14ac:dyDescent="0.2">
      <c r="A274" s="7">
        <f>ROW()</f>
        <v>274</v>
      </c>
      <c r="B274" s="7" t="s">
        <v>280</v>
      </c>
      <c r="C274" s="7" t="s">
        <v>12</v>
      </c>
      <c r="D274" s="7" t="e">
        <f>VLOOKUP($C274,Genders!$A:$C,2,FALSE)</f>
        <v>#N/A</v>
      </c>
      <c r="E274" s="9" t="str">
        <f t="shared" si="4"/>
        <v>INSERT INTO bi4all.dim_names (id_name_pk, name, id_gender_fk) VALUES (274, 'Maria Valentina', 'F');</v>
      </c>
    </row>
    <row r="275" spans="1:5" x14ac:dyDescent="0.2">
      <c r="A275" s="7">
        <f>ROW()</f>
        <v>275</v>
      </c>
      <c r="B275" s="7" t="s">
        <v>281</v>
      </c>
      <c r="C275" s="7" t="s">
        <v>12</v>
      </c>
      <c r="D275" s="7" t="e">
        <f>VLOOKUP($C275,Genders!$A:$C,2,FALSE)</f>
        <v>#N/A</v>
      </c>
      <c r="E275" s="9" t="str">
        <f t="shared" si="4"/>
        <v>INSERT INTO bi4all.dim_names (id_name_pk, name, id_gender_fk) VALUES (275, 'Maria Vitória', 'F');</v>
      </c>
    </row>
    <row r="276" spans="1:5" x14ac:dyDescent="0.2">
      <c r="A276" s="7">
        <f>ROW()</f>
        <v>276</v>
      </c>
      <c r="B276" s="7" t="s">
        <v>282</v>
      </c>
      <c r="C276" s="7" t="s">
        <v>12</v>
      </c>
      <c r="D276" s="7" t="e">
        <f>VLOOKUP($C276,Genders!$A:$C,2,FALSE)</f>
        <v>#N/A</v>
      </c>
      <c r="E276" s="9" t="str">
        <f t="shared" si="4"/>
        <v>INSERT INTO bi4all.dim_names (id_name_pk, name, id_gender_fk) VALUES (276, 'Mariah', 'F');</v>
      </c>
    </row>
    <row r="277" spans="1:5" x14ac:dyDescent="0.2">
      <c r="A277" s="7">
        <f>ROW()</f>
        <v>277</v>
      </c>
      <c r="B277" s="7" t="s">
        <v>283</v>
      </c>
      <c r="C277" s="7" t="s">
        <v>12</v>
      </c>
      <c r="D277" s="7" t="e">
        <f>VLOOKUP($C277,Genders!$A:$C,2,FALSE)</f>
        <v>#N/A</v>
      </c>
      <c r="E277" s="9" t="str">
        <f t="shared" si="4"/>
        <v>INSERT INTO bi4all.dim_names (id_name_pk, name, id_gender_fk) VALUES (277, 'Maryah', 'F');</v>
      </c>
    </row>
    <row r="278" spans="1:5" x14ac:dyDescent="0.2">
      <c r="A278" s="7">
        <f>ROW()</f>
        <v>278</v>
      </c>
      <c r="B278" s="7" t="s">
        <v>284</v>
      </c>
      <c r="C278" s="7" t="s">
        <v>12</v>
      </c>
      <c r="D278" s="7" t="e">
        <f>VLOOKUP($C278,Genders!$A:$C,2,FALSE)</f>
        <v>#N/A</v>
      </c>
      <c r="E278" s="9" t="str">
        <f t="shared" si="4"/>
        <v>INSERT INTO bi4all.dim_names (id_name_pk, name, id_gender_fk) VALUES (278, 'Mariana', 'F');</v>
      </c>
    </row>
    <row r="279" spans="1:5" x14ac:dyDescent="0.2">
      <c r="A279" s="7">
        <f>ROW()</f>
        <v>279</v>
      </c>
      <c r="B279" s="7" t="s">
        <v>285</v>
      </c>
      <c r="C279" s="7" t="s">
        <v>12</v>
      </c>
      <c r="D279" s="7" t="e">
        <f>VLOOKUP($C279,Genders!$A:$C,2,FALSE)</f>
        <v>#N/A</v>
      </c>
      <c r="E279" s="9" t="str">
        <f t="shared" si="4"/>
        <v>INSERT INTO bi4all.dim_names (id_name_pk, name, id_gender_fk) VALUES (279, 'Mariane', 'F');</v>
      </c>
    </row>
    <row r="280" spans="1:5" x14ac:dyDescent="0.2">
      <c r="A280" s="7">
        <f>ROW()</f>
        <v>280</v>
      </c>
      <c r="B280" s="7" t="s">
        <v>286</v>
      </c>
      <c r="C280" s="7" t="s">
        <v>12</v>
      </c>
      <c r="D280" s="7" t="e">
        <f>VLOOKUP($C280,Genders!$A:$C,2,FALSE)</f>
        <v>#N/A</v>
      </c>
      <c r="E280" s="9" t="str">
        <f t="shared" si="4"/>
        <v>INSERT INTO bi4all.dim_names (id_name_pk, name, id_gender_fk) VALUES (280, 'Marianna', 'F');</v>
      </c>
    </row>
    <row r="281" spans="1:5" x14ac:dyDescent="0.2">
      <c r="A281" s="7">
        <f>ROW()</f>
        <v>281</v>
      </c>
      <c r="B281" s="7" t="s">
        <v>287</v>
      </c>
      <c r="C281" s="7" t="s">
        <v>12</v>
      </c>
      <c r="D281" s="7" t="e">
        <f>VLOOKUP($C281,Genders!$A:$C,2,FALSE)</f>
        <v>#N/A</v>
      </c>
      <c r="E281" s="9" t="str">
        <f t="shared" si="4"/>
        <v>INSERT INTO bi4all.dim_names (id_name_pk, name, id_gender_fk) VALUES (281, 'Marina', 'F');</v>
      </c>
    </row>
    <row r="282" spans="1:5" x14ac:dyDescent="0.2">
      <c r="A282" s="7">
        <f>ROW()</f>
        <v>282</v>
      </c>
      <c r="B282" s="7" t="s">
        <v>288</v>
      </c>
      <c r="C282" s="7" t="s">
        <v>12</v>
      </c>
      <c r="D282" s="7" t="e">
        <f>VLOOKUP($C282,Genders!$A:$C,2,FALSE)</f>
        <v>#N/A</v>
      </c>
      <c r="E282" s="9" t="str">
        <f t="shared" si="4"/>
        <v>INSERT INTO bi4all.dim_names (id_name_pk, name, id_gender_fk) VALUES (282, 'Marinah', 'F');</v>
      </c>
    </row>
    <row r="283" spans="1:5" x14ac:dyDescent="0.2">
      <c r="A283" s="7">
        <f>ROW()</f>
        <v>283</v>
      </c>
      <c r="B283" s="7" t="s">
        <v>289</v>
      </c>
      <c r="C283" s="7" t="s">
        <v>12</v>
      </c>
      <c r="D283" s="7" t="e">
        <f>VLOOKUP($C283,Genders!$A:$C,2,FALSE)</f>
        <v>#N/A</v>
      </c>
      <c r="E283" s="9" t="str">
        <f t="shared" si="4"/>
        <v>INSERT INTO bi4all.dim_names (id_name_pk, name, id_gender_fk) VALUES (283, 'Marta', 'F');</v>
      </c>
    </row>
    <row r="284" spans="1:5" x14ac:dyDescent="0.2">
      <c r="A284" s="7">
        <f>ROW()</f>
        <v>284</v>
      </c>
      <c r="B284" s="7" t="s">
        <v>290</v>
      </c>
      <c r="C284" s="7" t="s">
        <v>10</v>
      </c>
      <c r="D284" s="7" t="e">
        <f>VLOOKUP($C284,Genders!$A:$C,2,FALSE)</f>
        <v>#N/A</v>
      </c>
      <c r="E284" s="9" t="str">
        <f t="shared" si="4"/>
        <v>INSERT INTO bi4all.dim_names (id_name_pk, name, id_gender_fk) VALUES (284, 'Martim', 'M');</v>
      </c>
    </row>
    <row r="285" spans="1:5" x14ac:dyDescent="0.2">
      <c r="A285" s="7">
        <f>ROW()</f>
        <v>285</v>
      </c>
      <c r="B285" s="7" t="s">
        <v>291</v>
      </c>
      <c r="C285" s="7" t="s">
        <v>10</v>
      </c>
      <c r="D285" s="7" t="e">
        <f>VLOOKUP($C285,Genders!$A:$C,2,FALSE)</f>
        <v>#N/A</v>
      </c>
      <c r="E285" s="9" t="str">
        <f t="shared" si="4"/>
        <v>INSERT INTO bi4all.dim_names (id_name_pk, name, id_gender_fk) VALUES (285, 'Martin', 'M');</v>
      </c>
    </row>
    <row r="286" spans="1:5" x14ac:dyDescent="0.2">
      <c r="A286" s="7">
        <f>ROW()</f>
        <v>286</v>
      </c>
      <c r="B286" s="7" t="s">
        <v>292</v>
      </c>
      <c r="C286" s="7" t="s">
        <v>10</v>
      </c>
      <c r="D286" s="7" t="e">
        <f>VLOOKUP($C286,Genders!$A:$C,2,FALSE)</f>
        <v>#N/A</v>
      </c>
      <c r="E286" s="9" t="str">
        <f t="shared" si="4"/>
        <v>INSERT INTO bi4all.dim_names (id_name_pk, name, id_gender_fk) VALUES (286, 'Mateus', 'M');</v>
      </c>
    </row>
    <row r="287" spans="1:5" x14ac:dyDescent="0.2">
      <c r="A287" s="7">
        <f>ROW()</f>
        <v>287</v>
      </c>
      <c r="B287" s="7" t="s">
        <v>293</v>
      </c>
      <c r="C287" s="7" t="s">
        <v>10</v>
      </c>
      <c r="D287" s="7" t="e">
        <f>VLOOKUP($C287,Genders!$A:$C,2,FALSE)</f>
        <v>#N/A</v>
      </c>
      <c r="E287" s="9" t="str">
        <f t="shared" si="4"/>
        <v>INSERT INTO bi4all.dim_names (id_name_pk, name, id_gender_fk) VALUES (287, 'Matheus', 'M');</v>
      </c>
    </row>
    <row r="288" spans="1:5" x14ac:dyDescent="0.2">
      <c r="A288" s="7">
        <f>ROW()</f>
        <v>288</v>
      </c>
      <c r="B288" s="7" t="s">
        <v>294</v>
      </c>
      <c r="C288" s="7" t="s">
        <v>10</v>
      </c>
      <c r="D288" s="7" t="e">
        <f>VLOOKUP($C288,Genders!$A:$C,2,FALSE)</f>
        <v>#N/A</v>
      </c>
      <c r="E288" s="9" t="str">
        <f t="shared" si="4"/>
        <v>INSERT INTO bi4all.dim_names (id_name_pk, name, id_gender_fk) VALUES (288, 'Matheus Bruno', 'M');</v>
      </c>
    </row>
    <row r="289" spans="1:5" x14ac:dyDescent="0.2">
      <c r="A289" s="7">
        <f>ROW()</f>
        <v>289</v>
      </c>
      <c r="B289" s="7" t="s">
        <v>295</v>
      </c>
      <c r="C289" s="7" t="s">
        <v>12</v>
      </c>
      <c r="D289" s="7" t="e">
        <f>VLOOKUP($C289,Genders!$A:$C,2,FALSE)</f>
        <v>#N/A</v>
      </c>
      <c r="E289" s="9" t="str">
        <f t="shared" si="4"/>
        <v>INSERT INTO bi4all.dim_names (id_name_pk, name, id_gender_fk) VALUES (289, 'Maya', 'F');</v>
      </c>
    </row>
    <row r="290" spans="1:5" x14ac:dyDescent="0.2">
      <c r="A290" s="7">
        <f>ROW()</f>
        <v>290</v>
      </c>
      <c r="B290" s="7" t="s">
        <v>296</v>
      </c>
      <c r="C290" s="7" t="s">
        <v>12</v>
      </c>
      <c r="D290" s="7" t="e">
        <f>VLOOKUP($C290,Genders!$A:$C,2,FALSE)</f>
        <v>#N/A</v>
      </c>
      <c r="E290" s="9" t="str">
        <f t="shared" si="4"/>
        <v>INSERT INTO bi4all.dim_names (id_name_pk, name, id_gender_fk) VALUES (290, 'Melissa', 'F');</v>
      </c>
    </row>
    <row r="291" spans="1:5" x14ac:dyDescent="0.2">
      <c r="A291" s="7">
        <f>ROW()</f>
        <v>291</v>
      </c>
      <c r="B291" s="7" t="s">
        <v>297</v>
      </c>
      <c r="C291" s="7" t="s">
        <v>12</v>
      </c>
      <c r="D291" s="7" t="e">
        <f>VLOOKUP($C291,Genders!$A:$C,2,FALSE)</f>
        <v>#N/A</v>
      </c>
      <c r="E291" s="9" t="str">
        <f t="shared" si="4"/>
        <v>INSERT INTO bi4all.dim_names (id_name_pk, name, id_gender_fk) VALUES (291, 'Melyssa', 'F');</v>
      </c>
    </row>
    <row r="292" spans="1:5" x14ac:dyDescent="0.2">
      <c r="A292" s="7">
        <f>ROW()</f>
        <v>292</v>
      </c>
      <c r="B292" s="7" t="s">
        <v>298</v>
      </c>
      <c r="C292" s="7" t="s">
        <v>12</v>
      </c>
      <c r="D292" s="7" t="e">
        <f>VLOOKUP($C292,Genders!$A:$C,2,FALSE)</f>
        <v>#N/A</v>
      </c>
      <c r="E292" s="9" t="str">
        <f t="shared" si="4"/>
        <v>INSERT INTO bi4all.dim_names (id_name_pk, name, id_gender_fk) VALUES (292, 'Micaela', 'F');</v>
      </c>
    </row>
    <row r="293" spans="1:5" x14ac:dyDescent="0.2">
      <c r="A293" s="7">
        <f>ROW()</f>
        <v>293</v>
      </c>
      <c r="B293" s="7" t="s">
        <v>299</v>
      </c>
      <c r="C293" s="7" t="s">
        <v>10</v>
      </c>
      <c r="D293" s="7" t="e">
        <f>VLOOKUP($C293,Genders!$A:$C,2,FALSE)</f>
        <v>#N/A</v>
      </c>
      <c r="E293" s="9" t="str">
        <f t="shared" si="4"/>
        <v>INSERT INTO bi4all.dim_names (id_name_pk, name, id_gender_fk) VALUES (293, 'Michael', 'M');</v>
      </c>
    </row>
    <row r="294" spans="1:5" x14ac:dyDescent="0.2">
      <c r="A294" s="7">
        <f>ROW()</f>
        <v>294</v>
      </c>
      <c r="B294" s="7" t="s">
        <v>300</v>
      </c>
      <c r="C294" s="7" t="s">
        <v>10</v>
      </c>
      <c r="D294" s="7" t="e">
        <f>VLOOKUP($C294,Genders!$A:$C,2,FALSE)</f>
        <v>#N/A</v>
      </c>
      <c r="E294" s="9" t="str">
        <f t="shared" si="4"/>
        <v>INSERT INTO bi4all.dim_names (id_name_pk, name, id_gender_fk) VALUES (294, 'Michel', 'M');</v>
      </c>
    </row>
    <row r="295" spans="1:5" x14ac:dyDescent="0.2">
      <c r="A295" s="7">
        <f>ROW()</f>
        <v>295</v>
      </c>
      <c r="B295" s="7" t="s">
        <v>301</v>
      </c>
      <c r="C295" s="7" t="s">
        <v>10</v>
      </c>
      <c r="D295" s="7" t="e">
        <f>VLOOKUP($C295,Genders!$A:$C,2,FALSE)</f>
        <v>#N/A</v>
      </c>
      <c r="E295" s="9" t="str">
        <f t="shared" si="4"/>
        <v>INSERT INTO bi4all.dim_names (id_name_pk, name, id_gender_fk) VALUES (295, 'Miguel', 'M');</v>
      </c>
    </row>
    <row r="296" spans="1:5" x14ac:dyDescent="0.2">
      <c r="A296" s="7">
        <f>ROW()</f>
        <v>296</v>
      </c>
      <c r="B296" s="7" t="s">
        <v>302</v>
      </c>
      <c r="C296" s="7" t="s">
        <v>10</v>
      </c>
      <c r="D296" s="7" t="e">
        <f>VLOOKUP($C296,Genders!$A:$C,2,FALSE)</f>
        <v>#N/A</v>
      </c>
      <c r="E296" s="9" t="str">
        <f t="shared" si="4"/>
        <v>INSERT INTO bi4all.dim_names (id_name_pk, name, id_gender_fk) VALUES (296, 'Miguel Henrique', 'M');</v>
      </c>
    </row>
    <row r="297" spans="1:5" x14ac:dyDescent="0.2">
      <c r="A297" s="7">
        <f>ROW()</f>
        <v>297</v>
      </c>
      <c r="B297" s="7" t="s">
        <v>303</v>
      </c>
      <c r="C297" s="7" t="s">
        <v>10</v>
      </c>
      <c r="D297" s="7" t="e">
        <f>VLOOKUP($C297,Genders!$A:$C,2,FALSE)</f>
        <v>#N/A</v>
      </c>
      <c r="E297" s="9" t="str">
        <f t="shared" si="4"/>
        <v>INSERT INTO bi4all.dim_names (id_name_pk, name, id_gender_fk) VALUES (297, 'Miguelito', 'M');</v>
      </c>
    </row>
    <row r="298" spans="1:5" x14ac:dyDescent="0.2">
      <c r="A298" s="7">
        <f>ROW()</f>
        <v>298</v>
      </c>
      <c r="B298" s="7" t="s">
        <v>304</v>
      </c>
      <c r="C298" s="7" t="s">
        <v>12</v>
      </c>
      <c r="D298" s="7" t="e">
        <f>VLOOKUP($C298,Genders!$A:$C,2,FALSE)</f>
        <v>#N/A</v>
      </c>
      <c r="E298" s="9" t="str">
        <f t="shared" si="4"/>
        <v>INSERT INTO bi4all.dim_names (id_name_pk, name, id_gender_fk) VALUES (298, 'Milena', 'F');</v>
      </c>
    </row>
    <row r="299" spans="1:5" x14ac:dyDescent="0.2">
      <c r="A299" s="7">
        <f>ROW()</f>
        <v>299</v>
      </c>
      <c r="B299" s="7" t="s">
        <v>305</v>
      </c>
      <c r="C299" s="7" t="s">
        <v>12</v>
      </c>
      <c r="D299" s="7" t="e">
        <f>VLOOKUP($C299,Genders!$A:$C,2,FALSE)</f>
        <v>#N/A</v>
      </c>
      <c r="E299" s="9" t="str">
        <f t="shared" si="4"/>
        <v>INSERT INTO bi4all.dim_names (id_name_pk, name, id_gender_fk) VALUES (299, 'Mirella', 'F');</v>
      </c>
    </row>
    <row r="300" spans="1:5" x14ac:dyDescent="0.2">
      <c r="A300" s="7">
        <f>ROW()</f>
        <v>300</v>
      </c>
      <c r="B300" s="7" t="s">
        <v>306</v>
      </c>
      <c r="C300" s="7" t="s">
        <v>10</v>
      </c>
      <c r="D300" s="7" t="e">
        <f>VLOOKUP($C300,Genders!$A:$C,2,FALSE)</f>
        <v>#N/A</v>
      </c>
      <c r="E300" s="9" t="str">
        <f t="shared" si="4"/>
        <v>INSERT INTO bi4all.dim_names (id_name_pk, name, id_gender_fk) VALUES (300, 'Muricy', 'M');</v>
      </c>
    </row>
    <row r="301" spans="1:5" x14ac:dyDescent="0.2">
      <c r="A301" s="7">
        <f>ROW()</f>
        <v>301</v>
      </c>
      <c r="B301" s="7" t="s">
        <v>307</v>
      </c>
      <c r="C301" s="7" t="s">
        <v>10</v>
      </c>
      <c r="D301" s="7" t="e">
        <f>VLOOKUP($C301,Genders!$A:$C,2,FALSE)</f>
        <v>#N/A</v>
      </c>
      <c r="E301" s="9" t="str">
        <f t="shared" si="4"/>
        <v>INSERT INTO bi4all.dim_names (id_name_pk, name, id_gender_fk) VALUES (301, 'Murilo', 'M');</v>
      </c>
    </row>
    <row r="302" spans="1:5" x14ac:dyDescent="0.2">
      <c r="A302" s="7">
        <f>ROW()</f>
        <v>302</v>
      </c>
      <c r="B302" s="7" t="s">
        <v>308</v>
      </c>
      <c r="C302" s="7" t="s">
        <v>12</v>
      </c>
      <c r="D302" s="7" t="e">
        <f>VLOOKUP($C302,Genders!$A:$C,2,FALSE)</f>
        <v>#N/A</v>
      </c>
      <c r="E302" s="9" t="str">
        <f t="shared" si="4"/>
        <v>INSERT INTO bi4all.dim_names (id_name_pk, name, id_gender_fk) VALUES (302, 'Natália', 'F');</v>
      </c>
    </row>
    <row r="303" spans="1:5" x14ac:dyDescent="0.2">
      <c r="A303" s="7">
        <f>ROW()</f>
        <v>303</v>
      </c>
      <c r="B303" s="7" t="s">
        <v>309</v>
      </c>
      <c r="C303" s="7" t="s">
        <v>12</v>
      </c>
      <c r="D303" s="7" t="e">
        <f>VLOOKUP($C303,Genders!$A:$C,2,FALSE)</f>
        <v>#N/A</v>
      </c>
      <c r="E303" s="9" t="str">
        <f t="shared" si="4"/>
        <v>INSERT INTO bi4all.dim_names (id_name_pk, name, id_gender_fk) VALUES (303, 'Nathália', 'F');</v>
      </c>
    </row>
    <row r="304" spans="1:5" x14ac:dyDescent="0.2">
      <c r="A304" s="7">
        <f>ROW()</f>
        <v>304</v>
      </c>
      <c r="B304" s="7" t="s">
        <v>310</v>
      </c>
      <c r="C304" s="7" t="s">
        <v>10</v>
      </c>
      <c r="D304" s="7" t="e">
        <f>VLOOKUP($C304,Genders!$A:$C,2,FALSE)</f>
        <v>#N/A</v>
      </c>
      <c r="E304" s="9" t="str">
        <f t="shared" si="4"/>
        <v>INSERT INTO bi4all.dim_names (id_name_pk, name, id_gender_fk) VALUES (304, 'Natanael', 'M');</v>
      </c>
    </row>
    <row r="305" spans="1:5" x14ac:dyDescent="0.2">
      <c r="A305" s="7">
        <f>ROW()</f>
        <v>305</v>
      </c>
      <c r="B305" s="7" t="s">
        <v>311</v>
      </c>
      <c r="C305" s="7" t="s">
        <v>10</v>
      </c>
      <c r="D305" s="7" t="e">
        <f>VLOOKUP($C305,Genders!$A:$C,2,FALSE)</f>
        <v>#N/A</v>
      </c>
      <c r="E305" s="9" t="str">
        <f t="shared" si="4"/>
        <v>INSERT INTO bi4all.dim_names (id_name_pk, name, id_gender_fk) VALUES (305, 'Nathan', 'M');</v>
      </c>
    </row>
    <row r="306" spans="1:5" x14ac:dyDescent="0.2">
      <c r="A306" s="7">
        <f>ROW()</f>
        <v>306</v>
      </c>
      <c r="B306" s="7" t="s">
        <v>312</v>
      </c>
      <c r="C306" s="7" t="s">
        <v>10</v>
      </c>
      <c r="D306" s="7" t="e">
        <f>VLOOKUP($C306,Genders!$A:$C,2,FALSE)</f>
        <v>#N/A</v>
      </c>
      <c r="E306" s="9" t="str">
        <f t="shared" si="4"/>
        <v>INSERT INTO bi4all.dim_names (id_name_pk, name, id_gender_fk) VALUES (306, 'Nicolas', 'M');</v>
      </c>
    </row>
    <row r="307" spans="1:5" x14ac:dyDescent="0.2">
      <c r="A307" s="7">
        <f>ROW()</f>
        <v>307</v>
      </c>
      <c r="B307" s="7" t="s">
        <v>313</v>
      </c>
      <c r="C307" s="7" t="s">
        <v>12</v>
      </c>
      <c r="D307" s="7" t="e">
        <f>VLOOKUP($C307,Genders!$A:$C,2,FALSE)</f>
        <v>#N/A</v>
      </c>
      <c r="E307" s="9" t="str">
        <f t="shared" si="4"/>
        <v>INSERT INTO bi4all.dim_names (id_name_pk, name, id_gender_fk) VALUES (307, 'Nicole', 'F');</v>
      </c>
    </row>
    <row r="308" spans="1:5" x14ac:dyDescent="0.2">
      <c r="A308" s="7">
        <f>ROW()</f>
        <v>308</v>
      </c>
      <c r="B308" s="7" t="s">
        <v>314</v>
      </c>
      <c r="C308" s="7" t="s">
        <v>10</v>
      </c>
      <c r="D308" s="7" t="e">
        <f>VLOOKUP($C308,Genders!$A:$C,2,FALSE)</f>
        <v>#N/A</v>
      </c>
      <c r="E308" s="9" t="str">
        <f t="shared" si="4"/>
        <v>INSERT INTO bi4all.dim_names (id_name_pk, name, id_gender_fk) VALUES (308, 'Noah', 'M');</v>
      </c>
    </row>
    <row r="309" spans="1:5" x14ac:dyDescent="0.2">
      <c r="A309" s="7">
        <f>ROW()</f>
        <v>309</v>
      </c>
      <c r="B309" s="7" t="s">
        <v>315</v>
      </c>
      <c r="C309" s="7" t="s">
        <v>10</v>
      </c>
      <c r="D309" s="7" t="e">
        <f>VLOOKUP($C309,Genders!$A:$C,2,FALSE)</f>
        <v>#N/A</v>
      </c>
      <c r="E309" s="9" t="str">
        <f t="shared" si="4"/>
        <v>INSERT INTO bi4all.dim_names (id_name_pk, name, id_gender_fk) VALUES (309, 'Octávio', 'M');</v>
      </c>
    </row>
    <row r="310" spans="1:5" x14ac:dyDescent="0.2">
      <c r="A310" s="7">
        <f>ROW()</f>
        <v>310</v>
      </c>
      <c r="B310" s="7" t="s">
        <v>316</v>
      </c>
      <c r="C310" s="7" t="s">
        <v>10</v>
      </c>
      <c r="D310" s="7" t="e">
        <f>VLOOKUP($C310,Genders!$A:$C,2,FALSE)</f>
        <v>#N/A</v>
      </c>
      <c r="E310" s="9" t="str">
        <f t="shared" si="4"/>
        <v>INSERT INTO bi4all.dim_names (id_name_pk, name, id_gender_fk) VALUES (310, 'Oliver', 'M');</v>
      </c>
    </row>
    <row r="311" spans="1:5" x14ac:dyDescent="0.2">
      <c r="A311" s="7">
        <f>ROW()</f>
        <v>311</v>
      </c>
      <c r="B311" s="7" t="s">
        <v>317</v>
      </c>
      <c r="C311" s="7" t="s">
        <v>12</v>
      </c>
      <c r="D311" s="7" t="e">
        <f>VLOOKUP($C311,Genders!$A:$C,2,FALSE)</f>
        <v>#N/A</v>
      </c>
      <c r="E311" s="9" t="str">
        <f t="shared" si="4"/>
        <v>INSERT INTO bi4all.dim_names (id_name_pk, name, id_gender_fk) VALUES (311, 'Olívia', 'F');</v>
      </c>
    </row>
    <row r="312" spans="1:5" x14ac:dyDescent="0.2">
      <c r="A312" s="7">
        <f>ROW()</f>
        <v>312</v>
      </c>
      <c r="B312" s="7" t="s">
        <v>318</v>
      </c>
      <c r="C312" s="7" t="s">
        <v>10</v>
      </c>
      <c r="D312" s="7" t="e">
        <f>VLOOKUP($C312,Genders!$A:$C,2,FALSE)</f>
        <v>#N/A</v>
      </c>
      <c r="E312" s="9" t="str">
        <f t="shared" si="4"/>
        <v>INSERT INTO bi4all.dim_names (id_name_pk, name, id_gender_fk) VALUES (312, 'Otávio', 'M');</v>
      </c>
    </row>
    <row r="313" spans="1:5" x14ac:dyDescent="0.2">
      <c r="A313" s="7">
        <f>ROW()</f>
        <v>313</v>
      </c>
      <c r="B313" s="7" t="s">
        <v>319</v>
      </c>
      <c r="C313" s="7" t="s">
        <v>10</v>
      </c>
      <c r="D313" s="7" t="e">
        <f>VLOOKUP($C313,Genders!$A:$C,2,FALSE)</f>
        <v>#N/A</v>
      </c>
      <c r="E313" s="9" t="str">
        <f t="shared" si="4"/>
        <v>INSERT INTO bi4all.dim_names (id_name_pk, name, id_gender_fk) VALUES (313, 'Pablo', 'M');</v>
      </c>
    </row>
    <row r="314" spans="1:5" x14ac:dyDescent="0.2">
      <c r="A314" s="7">
        <f>ROW()</f>
        <v>314</v>
      </c>
      <c r="B314" s="7" t="s">
        <v>320</v>
      </c>
      <c r="C314" s="7" t="s">
        <v>12</v>
      </c>
      <c r="D314" s="7" t="e">
        <f>VLOOKUP($C314,Genders!$A:$C,2,FALSE)</f>
        <v>#N/A</v>
      </c>
      <c r="E314" s="9" t="str">
        <f t="shared" si="4"/>
        <v>INSERT INTO bi4all.dim_names (id_name_pk, name, id_gender_fk) VALUES (314, 'Paloma', 'F');</v>
      </c>
    </row>
    <row r="315" spans="1:5" x14ac:dyDescent="0.2">
      <c r="A315" s="7">
        <f>ROW()</f>
        <v>315</v>
      </c>
      <c r="B315" s="7" t="s">
        <v>321</v>
      </c>
      <c r="C315" s="7" t="s">
        <v>10</v>
      </c>
      <c r="D315" s="7" t="e">
        <f>VLOOKUP($C315,Genders!$A:$C,2,FALSE)</f>
        <v>#N/A</v>
      </c>
      <c r="E315" s="9" t="str">
        <f t="shared" si="4"/>
        <v>INSERT INTO bi4all.dim_names (id_name_pk, name, id_gender_fk) VALUES (315, 'Peter', 'M');</v>
      </c>
    </row>
    <row r="316" spans="1:5" x14ac:dyDescent="0.2">
      <c r="A316" s="7">
        <f>ROW()</f>
        <v>316</v>
      </c>
      <c r="B316" s="7" t="s">
        <v>322</v>
      </c>
      <c r="C316" s="7" t="s">
        <v>10</v>
      </c>
      <c r="D316" s="7" t="e">
        <f>VLOOKUP($C316,Genders!$A:$C,2,FALSE)</f>
        <v>#N/A</v>
      </c>
      <c r="E316" s="9" t="str">
        <f t="shared" si="4"/>
        <v>INSERT INTO bi4all.dim_names (id_name_pk, name, id_gender_fk) VALUES (316, 'Pedro', 'M');</v>
      </c>
    </row>
    <row r="317" spans="1:5" x14ac:dyDescent="0.2">
      <c r="A317" s="7">
        <f>ROW()</f>
        <v>317</v>
      </c>
      <c r="B317" s="7" t="s">
        <v>323</v>
      </c>
      <c r="C317" s="7" t="s">
        <v>10</v>
      </c>
      <c r="D317" s="7" t="e">
        <f>VLOOKUP($C317,Genders!$A:$C,2,FALSE)</f>
        <v>#N/A</v>
      </c>
      <c r="E317" s="9" t="str">
        <f t="shared" si="4"/>
        <v>INSERT INTO bi4all.dim_names (id_name_pk, name, id_gender_fk) VALUES (317, 'Pedro Henrique', 'M');</v>
      </c>
    </row>
    <row r="318" spans="1:5" x14ac:dyDescent="0.2">
      <c r="A318" s="7">
        <f>ROW()</f>
        <v>318</v>
      </c>
      <c r="B318" s="7" t="s">
        <v>324</v>
      </c>
      <c r="C318" s="7" t="s">
        <v>10</v>
      </c>
      <c r="D318" s="7" t="e">
        <f>VLOOKUP($C318,Genders!$A:$C,2,FALSE)</f>
        <v>#N/A</v>
      </c>
      <c r="E318" s="9" t="str">
        <f t="shared" si="4"/>
        <v>INSERT INTO bi4all.dim_names (id_name_pk, name, id_gender_fk) VALUES (318, 'Pedro Lucas', 'M');</v>
      </c>
    </row>
    <row r="319" spans="1:5" x14ac:dyDescent="0.2">
      <c r="A319" s="7">
        <f>ROW()</f>
        <v>319</v>
      </c>
      <c r="B319" s="7" t="s">
        <v>325</v>
      </c>
      <c r="C319" s="7" t="s">
        <v>10</v>
      </c>
      <c r="D319" s="7" t="e">
        <f>VLOOKUP($C319,Genders!$A:$C,2,FALSE)</f>
        <v>#N/A</v>
      </c>
      <c r="E319" s="9" t="str">
        <f t="shared" si="4"/>
        <v>INSERT INTO bi4all.dim_names (id_name_pk, name, id_gender_fk) VALUES (319, 'Pedro Miguel', 'M');</v>
      </c>
    </row>
    <row r="320" spans="1:5" x14ac:dyDescent="0.2">
      <c r="A320" s="7">
        <f>ROW()</f>
        <v>320</v>
      </c>
      <c r="B320" s="7" t="s">
        <v>326</v>
      </c>
      <c r="C320" s="7" t="s">
        <v>10</v>
      </c>
      <c r="D320" s="7" t="e">
        <f>VLOOKUP($C320,Genders!$A:$C,2,FALSE)</f>
        <v>#N/A</v>
      </c>
      <c r="E320" s="9" t="str">
        <f t="shared" si="4"/>
        <v>INSERT INTO bi4all.dim_names (id_name_pk, name, id_gender_fk) VALUES (320, 'Péricles', 'M');</v>
      </c>
    </row>
    <row r="321" spans="1:5" x14ac:dyDescent="0.2">
      <c r="A321" s="7">
        <f>ROW()</f>
        <v>321</v>
      </c>
      <c r="B321" s="7" t="s">
        <v>327</v>
      </c>
      <c r="C321" s="7" t="s">
        <v>12</v>
      </c>
      <c r="D321" s="7" t="e">
        <f>VLOOKUP($C321,Genders!$A:$C,2,FALSE)</f>
        <v>#N/A</v>
      </c>
      <c r="E321" s="9" t="str">
        <f t="shared" si="4"/>
        <v>INSERT INTO bi4all.dim_names (id_name_pk, name, id_gender_fk) VALUES (321, 'Pietra', 'F');</v>
      </c>
    </row>
    <row r="322" spans="1:5" x14ac:dyDescent="0.2">
      <c r="A322" s="7">
        <f>ROW()</f>
        <v>322</v>
      </c>
      <c r="B322" s="7" t="s">
        <v>328</v>
      </c>
      <c r="C322" s="7" t="s">
        <v>10</v>
      </c>
      <c r="D322" s="7" t="e">
        <f>VLOOKUP($C322,Genders!$A:$C,2,FALSE)</f>
        <v>#N/A</v>
      </c>
      <c r="E322" s="9" t="str">
        <f t="shared" si="4"/>
        <v>INSERT INTO bi4all.dim_names (id_name_pk, name, id_gender_fk) VALUES (322, 'Pietro', 'M');</v>
      </c>
    </row>
    <row r="323" spans="1:5" x14ac:dyDescent="0.2">
      <c r="A323" s="7">
        <f>ROW()</f>
        <v>323</v>
      </c>
      <c r="B323" s="7" t="s">
        <v>329</v>
      </c>
      <c r="C323" s="7" t="s">
        <v>12</v>
      </c>
      <c r="D323" s="7" t="e">
        <f>VLOOKUP($C323,Genders!$A:$C,2,FALSE)</f>
        <v>#N/A</v>
      </c>
      <c r="E323" s="9" t="str">
        <f t="shared" si="4"/>
        <v>INSERT INTO bi4all.dim_names (id_name_pk, name, id_gender_fk) VALUES (323, 'Rachel', 'F');</v>
      </c>
    </row>
    <row r="324" spans="1:5" x14ac:dyDescent="0.2">
      <c r="A324" s="7">
        <f>ROW()</f>
        <v>324</v>
      </c>
      <c r="B324" s="7" t="s">
        <v>330</v>
      </c>
      <c r="C324" s="7" t="s">
        <v>10</v>
      </c>
      <c r="D324" s="7" t="e">
        <f>VLOOKUP($C324,Genders!$A:$C,2,FALSE)</f>
        <v>#N/A</v>
      </c>
      <c r="E324" s="9" t="str">
        <f t="shared" si="4"/>
        <v>INSERT INTO bi4all.dim_names (id_name_pk, name, id_gender_fk) VALUES (324, 'Rafael', 'M');</v>
      </c>
    </row>
    <row r="325" spans="1:5" x14ac:dyDescent="0.2">
      <c r="A325" s="7">
        <f>ROW()</f>
        <v>325</v>
      </c>
      <c r="B325" s="7" t="s">
        <v>331</v>
      </c>
      <c r="C325" s="7" t="s">
        <v>12</v>
      </c>
      <c r="D325" s="7" t="e">
        <f>VLOOKUP($C325,Genders!$A:$C,2,FALSE)</f>
        <v>#N/A</v>
      </c>
      <c r="E325" s="9" t="str">
        <f t="shared" si="4"/>
        <v>INSERT INTO bi4all.dim_names (id_name_pk, name, id_gender_fk) VALUES (325, 'Rafaela', 'F');</v>
      </c>
    </row>
    <row r="326" spans="1:5" x14ac:dyDescent="0.2">
      <c r="A326" s="7">
        <f>ROW()</f>
        <v>326</v>
      </c>
      <c r="B326" s="7" t="s">
        <v>332</v>
      </c>
      <c r="C326" s="7" t="s">
        <v>12</v>
      </c>
      <c r="D326" s="7" t="e">
        <f>VLOOKUP($C326,Genders!$A:$C,2,FALSE)</f>
        <v>#N/A</v>
      </c>
      <c r="E326" s="9" t="str">
        <f t="shared" ref="E326:E367" si="5">"INSERT INTO " &amp; $B$1 &amp; "." &amp; $B$2 &amp; " (" &amp; $A$4 &amp; ", " &amp;$B$4 &amp; ", " &amp; $C$4 &amp;  ") VALUES (" &amp; $A326 &amp; ", '" &amp; $B326 &amp; "', '" &amp; $C326 &amp; "');"</f>
        <v>INSERT INTO bi4all.dim_names (id_name_pk, name, id_gender_fk) VALUES (326, 'Rainah', 'F');</v>
      </c>
    </row>
    <row r="327" spans="1:5" x14ac:dyDescent="0.2">
      <c r="A327" s="7">
        <f>ROW()</f>
        <v>327</v>
      </c>
      <c r="B327" s="7" t="s">
        <v>333</v>
      </c>
      <c r="C327" s="7" t="s">
        <v>12</v>
      </c>
      <c r="D327" s="7" t="e">
        <f>VLOOKUP($C327,Genders!$A:$C,2,FALSE)</f>
        <v>#N/A</v>
      </c>
      <c r="E327" s="9" t="str">
        <f t="shared" si="5"/>
        <v>INSERT INTO bi4all.dim_names (id_name_pk, name, id_gender_fk) VALUES (327, 'Raquel', 'F');</v>
      </c>
    </row>
    <row r="328" spans="1:5" x14ac:dyDescent="0.2">
      <c r="A328" s="7">
        <f>ROW()</f>
        <v>328</v>
      </c>
      <c r="B328" s="7" t="s">
        <v>334</v>
      </c>
      <c r="C328" s="7" t="s">
        <v>10</v>
      </c>
      <c r="D328" s="7" t="e">
        <f>VLOOKUP($C328,Genders!$A:$C,2,FALSE)</f>
        <v>#N/A</v>
      </c>
      <c r="E328" s="9" t="str">
        <f t="shared" si="5"/>
        <v>INSERT INTO bi4all.dim_names (id_name_pk, name, id_gender_fk) VALUES (328, 'Raul', 'M');</v>
      </c>
    </row>
    <row r="329" spans="1:5" x14ac:dyDescent="0.2">
      <c r="A329" s="7">
        <f>ROW()</f>
        <v>329</v>
      </c>
      <c r="B329" s="7" t="s">
        <v>335</v>
      </c>
      <c r="C329" s="7" t="s">
        <v>12</v>
      </c>
      <c r="D329" s="7" t="e">
        <f>VLOOKUP($C329,Genders!$A:$C,2,FALSE)</f>
        <v>#N/A</v>
      </c>
      <c r="E329" s="9" t="str">
        <f t="shared" si="5"/>
        <v>INSERT INTO bi4all.dim_names (id_name_pk, name, id_gender_fk) VALUES (329, 'Rebeca', 'F');</v>
      </c>
    </row>
    <row r="330" spans="1:5" x14ac:dyDescent="0.2">
      <c r="A330" s="7">
        <f>ROW()</f>
        <v>330</v>
      </c>
      <c r="B330" s="7" t="s">
        <v>336</v>
      </c>
      <c r="C330" s="7" t="s">
        <v>12</v>
      </c>
      <c r="D330" s="7" t="e">
        <f>VLOOKUP($C330,Genders!$A:$C,2,FALSE)</f>
        <v>#N/A</v>
      </c>
      <c r="E330" s="9" t="str">
        <f t="shared" si="5"/>
        <v>INSERT INTO bi4all.dim_names (id_name_pk, name, id_gender_fk) VALUES (330, 'Rebecca', 'F');</v>
      </c>
    </row>
    <row r="331" spans="1:5" x14ac:dyDescent="0.2">
      <c r="A331" s="7">
        <f>ROW()</f>
        <v>331</v>
      </c>
      <c r="B331" s="7" t="s">
        <v>337</v>
      </c>
      <c r="C331" s="7" t="s">
        <v>10</v>
      </c>
      <c r="D331" s="7" t="e">
        <f>VLOOKUP($C331,Genders!$A:$C,2,FALSE)</f>
        <v>#N/A</v>
      </c>
      <c r="E331" s="9" t="str">
        <f t="shared" si="5"/>
        <v>INSERT INTO bi4all.dim_names (id_name_pk, name, id_gender_fk) VALUES (331, 'Renato', 'M');</v>
      </c>
    </row>
    <row r="332" spans="1:5" x14ac:dyDescent="0.2">
      <c r="A332" s="7">
        <f>ROW()</f>
        <v>332</v>
      </c>
      <c r="B332" s="7" t="s">
        <v>338</v>
      </c>
      <c r="C332" s="7" t="s">
        <v>10</v>
      </c>
      <c r="D332" s="7" t="e">
        <f>VLOOKUP($C332,Genders!$A:$C,2,FALSE)</f>
        <v>#N/A</v>
      </c>
      <c r="E332" s="9" t="str">
        <f t="shared" si="5"/>
        <v>INSERT INTO bi4all.dim_names (id_name_pk, name, id_gender_fk) VALUES (332, 'Rodrigo', 'M');</v>
      </c>
    </row>
    <row r="333" spans="1:5" x14ac:dyDescent="0.2">
      <c r="A333" s="7">
        <f>ROW()</f>
        <v>333</v>
      </c>
      <c r="B333" s="7" t="s">
        <v>339</v>
      </c>
      <c r="C333" s="7" t="s">
        <v>10</v>
      </c>
      <c r="D333" s="7" t="e">
        <f>VLOOKUP($C333,Genders!$A:$C,2,FALSE)</f>
        <v>#N/A</v>
      </c>
      <c r="E333" s="9" t="str">
        <f t="shared" si="5"/>
        <v>INSERT INTO bi4all.dim_names (id_name_pk, name, id_gender_fk) VALUES (333, 'Ruan', 'M');</v>
      </c>
    </row>
    <row r="334" spans="1:5" x14ac:dyDescent="0.2">
      <c r="A334" s="7">
        <f>ROW()</f>
        <v>334</v>
      </c>
      <c r="B334" s="7" t="s">
        <v>340</v>
      </c>
      <c r="C334" s="7" t="s">
        <v>10</v>
      </c>
      <c r="D334" s="7" t="e">
        <f>VLOOKUP($C334,Genders!$A:$C,2,FALSE)</f>
        <v>#N/A</v>
      </c>
      <c r="E334" s="9" t="str">
        <f t="shared" si="5"/>
        <v>INSERT INTO bi4all.dim_names (id_name_pk, name, id_gender_fk) VALUES (334, 'Ryan', 'M');</v>
      </c>
    </row>
    <row r="335" spans="1:5" x14ac:dyDescent="0.2">
      <c r="A335" s="7">
        <f>ROW()</f>
        <v>335</v>
      </c>
      <c r="B335" s="7" t="s">
        <v>341</v>
      </c>
      <c r="C335" s="7" t="s">
        <v>10</v>
      </c>
      <c r="D335" s="7" t="e">
        <f>VLOOKUP($C335,Genders!$A:$C,2,FALSE)</f>
        <v>#N/A</v>
      </c>
      <c r="E335" s="9" t="str">
        <f t="shared" si="5"/>
        <v>INSERT INTO bi4all.dim_names (id_name_pk, name, id_gender_fk) VALUES (335, 'Sammuel', 'M');</v>
      </c>
    </row>
    <row r="336" spans="1:5" x14ac:dyDescent="0.2">
      <c r="A336" s="7">
        <f>ROW()</f>
        <v>336</v>
      </c>
      <c r="B336" s="7" t="s">
        <v>342</v>
      </c>
      <c r="C336" s="7" t="s">
        <v>10</v>
      </c>
      <c r="D336" s="7" t="e">
        <f>VLOOKUP($C336,Genders!$A:$C,2,FALSE)</f>
        <v>#N/A</v>
      </c>
      <c r="E336" s="9" t="str">
        <f t="shared" si="5"/>
        <v>INSERT INTO bi4all.dim_names (id_name_pk, name, id_gender_fk) VALUES (336, 'Samuel', 'M');</v>
      </c>
    </row>
    <row r="337" spans="1:5" x14ac:dyDescent="0.2">
      <c r="A337" s="7">
        <f>ROW()</f>
        <v>337</v>
      </c>
      <c r="B337" s="7" t="s">
        <v>343</v>
      </c>
      <c r="C337" s="7" t="s">
        <v>12</v>
      </c>
      <c r="D337" s="7" t="e">
        <f>VLOOKUP($C337,Genders!$A:$C,2,FALSE)</f>
        <v>#N/A</v>
      </c>
      <c r="E337" s="9" t="str">
        <f t="shared" si="5"/>
        <v>INSERT INTO bi4all.dim_names (id_name_pk, name, id_gender_fk) VALUES (337, 'Sarah', 'F');</v>
      </c>
    </row>
    <row r="338" spans="1:5" x14ac:dyDescent="0.2">
      <c r="A338" s="7">
        <f>ROW()</f>
        <v>338</v>
      </c>
      <c r="B338" s="7" t="s">
        <v>344</v>
      </c>
      <c r="C338" s="7" t="s">
        <v>12</v>
      </c>
      <c r="D338" s="7" t="e">
        <f>VLOOKUP($C338,Genders!$A:$C,2,FALSE)</f>
        <v>#N/A</v>
      </c>
      <c r="E338" s="9" t="str">
        <f t="shared" si="5"/>
        <v>INSERT INTO bi4all.dim_names (id_name_pk, name, id_gender_fk) VALUES (338, 'Sophia', 'F');</v>
      </c>
    </row>
    <row r="339" spans="1:5" x14ac:dyDescent="0.2">
      <c r="A339" s="7">
        <f>ROW()</f>
        <v>339</v>
      </c>
      <c r="B339" s="7" t="s">
        <v>345</v>
      </c>
      <c r="C339" s="7" t="s">
        <v>12</v>
      </c>
      <c r="D339" s="7" t="e">
        <f>VLOOKUP($C339,Genders!$A:$C,2,FALSE)</f>
        <v>#N/A</v>
      </c>
      <c r="E339" s="9" t="str">
        <f t="shared" si="5"/>
        <v>INSERT INTO bi4all.dim_names (id_name_pk, name, id_gender_fk) VALUES (339, 'Sophie', 'F');</v>
      </c>
    </row>
    <row r="340" spans="1:5" x14ac:dyDescent="0.2">
      <c r="A340" s="7">
        <f>ROW()</f>
        <v>340</v>
      </c>
      <c r="B340" s="7" t="s">
        <v>346</v>
      </c>
      <c r="C340" s="7" t="s">
        <v>12</v>
      </c>
      <c r="D340" s="7" t="e">
        <f>VLOOKUP($C340,Genders!$A:$C,2,FALSE)</f>
        <v>#N/A</v>
      </c>
      <c r="E340" s="9" t="str">
        <f t="shared" si="5"/>
        <v>INSERT INTO bi4all.dim_names (id_name_pk, name, id_gender_fk) VALUES (340, 'Stella', 'F');</v>
      </c>
    </row>
    <row r="341" spans="1:5" x14ac:dyDescent="0.2">
      <c r="A341" s="7">
        <f>ROW()</f>
        <v>341</v>
      </c>
      <c r="B341" s="7" t="s">
        <v>347</v>
      </c>
      <c r="C341" s="7" t="s">
        <v>10</v>
      </c>
      <c r="D341" s="7" t="e">
        <f>VLOOKUP($C341,Genders!$A:$C,2,FALSE)</f>
        <v>#N/A</v>
      </c>
      <c r="E341" s="9" t="str">
        <f t="shared" si="5"/>
        <v>INSERT INTO bi4all.dim_names (id_name_pk, name, id_gender_fk) VALUES (341, 'Theo', 'M');</v>
      </c>
    </row>
    <row r="342" spans="1:5" x14ac:dyDescent="0.2">
      <c r="A342" s="7">
        <f>ROW()</f>
        <v>342</v>
      </c>
      <c r="B342" s="7" t="s">
        <v>348</v>
      </c>
      <c r="C342" s="7" t="s">
        <v>10</v>
      </c>
      <c r="D342" s="7" t="e">
        <f>VLOOKUP($C342,Genders!$A:$C,2,FALSE)</f>
        <v>#N/A</v>
      </c>
      <c r="E342" s="9" t="str">
        <f t="shared" si="5"/>
        <v>INSERT INTO bi4all.dim_names (id_name_pk, name, id_gender_fk) VALUES (342, 'Théo', 'M');</v>
      </c>
    </row>
    <row r="343" spans="1:5" x14ac:dyDescent="0.2">
      <c r="A343" s="7">
        <f>ROW()</f>
        <v>343</v>
      </c>
      <c r="B343" s="7" t="s">
        <v>349</v>
      </c>
      <c r="C343" s="7" t="s">
        <v>10</v>
      </c>
      <c r="D343" s="7" t="e">
        <f>VLOOKUP($C343,Genders!$A:$C,2,FALSE)</f>
        <v>#N/A</v>
      </c>
      <c r="E343" s="9" t="str">
        <f t="shared" si="5"/>
        <v>INSERT INTO bi4all.dim_names (id_name_pk, name, id_gender_fk) VALUES (343, 'Thiago', 'M');</v>
      </c>
    </row>
    <row r="344" spans="1:5" x14ac:dyDescent="0.2">
      <c r="A344" s="7">
        <f>ROW()</f>
        <v>344</v>
      </c>
      <c r="B344" s="7" t="s">
        <v>350</v>
      </c>
      <c r="C344" s="7" t="s">
        <v>10</v>
      </c>
      <c r="D344" s="7" t="e">
        <f>VLOOKUP($C344,Genders!$A:$C,2,FALSE)</f>
        <v>#N/A</v>
      </c>
      <c r="E344" s="9" t="str">
        <f t="shared" si="5"/>
        <v>INSERT INTO bi4all.dim_names (id_name_pk, name, id_gender_fk) VALUES (344, 'Thomas', 'M');</v>
      </c>
    </row>
    <row r="345" spans="1:5" x14ac:dyDescent="0.2">
      <c r="A345" s="7">
        <f>ROW()</f>
        <v>345</v>
      </c>
      <c r="B345" s="7" t="s">
        <v>351</v>
      </c>
      <c r="C345" s="7" t="s">
        <v>10</v>
      </c>
      <c r="D345" s="7" t="e">
        <f>VLOOKUP($C345,Genders!$A:$C,2,FALSE)</f>
        <v>#N/A</v>
      </c>
      <c r="E345" s="9" t="str">
        <f t="shared" si="5"/>
        <v>INSERT INTO bi4all.dim_names (id_name_pk, name, id_gender_fk) VALUES (345, 'Tiago', 'M');</v>
      </c>
    </row>
    <row r="346" spans="1:5" x14ac:dyDescent="0.2">
      <c r="A346" s="7">
        <f>ROW()</f>
        <v>346</v>
      </c>
      <c r="B346" s="7" t="s">
        <v>352</v>
      </c>
      <c r="C346" s="7" t="s">
        <v>10</v>
      </c>
      <c r="D346" s="7" t="e">
        <f>VLOOKUP($C346,Genders!$A:$C,2,FALSE)</f>
        <v>#N/A</v>
      </c>
      <c r="E346" s="9" t="str">
        <f t="shared" si="5"/>
        <v>INSERT INTO bi4all.dim_names (id_name_pk, name, id_gender_fk) VALUES (346, 'Tomas', 'M');</v>
      </c>
    </row>
    <row r="347" spans="1:5" x14ac:dyDescent="0.2">
      <c r="A347" s="7">
        <f>ROW()</f>
        <v>347</v>
      </c>
      <c r="B347" s="7" t="s">
        <v>353</v>
      </c>
      <c r="C347" s="7" t="s">
        <v>10</v>
      </c>
      <c r="D347" s="7" t="e">
        <f>VLOOKUP($C347,Genders!$A:$C,2,FALSE)</f>
        <v>#N/A</v>
      </c>
      <c r="E347" s="9" t="str">
        <f t="shared" si="5"/>
        <v>INSERT INTO bi4all.dim_names (id_name_pk, name, id_gender_fk) VALUES (347, 'Tomás', 'M');</v>
      </c>
    </row>
    <row r="348" spans="1:5" x14ac:dyDescent="0.2">
      <c r="A348" s="7">
        <f>ROW()</f>
        <v>348</v>
      </c>
      <c r="B348" s="7" t="s">
        <v>354</v>
      </c>
      <c r="C348" s="7" t="s">
        <v>10</v>
      </c>
      <c r="D348" s="7" t="e">
        <f>VLOOKUP($C348,Genders!$A:$C,2,FALSE)</f>
        <v>#N/A</v>
      </c>
      <c r="E348" s="9" t="str">
        <f t="shared" si="5"/>
        <v>INSERT INTO bi4all.dim_names (id_name_pk, name, id_gender_fk) VALUES (348, 'Vagner', 'M');</v>
      </c>
    </row>
    <row r="349" spans="1:5" x14ac:dyDescent="0.2">
      <c r="A349" s="7">
        <f>ROW()</f>
        <v>349</v>
      </c>
      <c r="B349" s="7" t="s">
        <v>355</v>
      </c>
      <c r="C349" s="7" t="s">
        <v>12</v>
      </c>
      <c r="D349" s="7" t="e">
        <f>VLOOKUP($C349,Genders!$A:$C,2,FALSE)</f>
        <v>#N/A</v>
      </c>
      <c r="E349" s="9" t="str">
        <f t="shared" si="5"/>
        <v>INSERT INTO bi4all.dim_names (id_name_pk, name, id_gender_fk) VALUES (349, 'Valentina', 'F');</v>
      </c>
    </row>
    <row r="350" spans="1:5" x14ac:dyDescent="0.2">
      <c r="A350" s="7">
        <f>ROW()</f>
        <v>350</v>
      </c>
      <c r="B350" s="7" t="s">
        <v>356</v>
      </c>
      <c r="C350" s="7" t="s">
        <v>12</v>
      </c>
      <c r="D350" s="7" t="e">
        <f>VLOOKUP($C350,Genders!$A:$C,2,FALSE)</f>
        <v>#N/A</v>
      </c>
      <c r="E350" s="9" t="str">
        <f t="shared" si="5"/>
        <v>INSERT INTO bi4all.dim_names (id_name_pk, name, id_gender_fk) VALUES (350, 'Vanessa', 'F');</v>
      </c>
    </row>
    <row r="351" spans="1:5" x14ac:dyDescent="0.2">
      <c r="A351" s="7">
        <f>ROW()</f>
        <v>351</v>
      </c>
      <c r="B351" s="7" t="s">
        <v>357</v>
      </c>
      <c r="C351" s="7" t="s">
        <v>12</v>
      </c>
      <c r="D351" s="7" t="e">
        <f>VLOOKUP($C351,Genders!$A:$C,2,FALSE)</f>
        <v>#N/A</v>
      </c>
      <c r="E351" s="9" t="str">
        <f t="shared" si="5"/>
        <v>INSERT INTO bi4all.dim_names (id_name_pk, name, id_gender_fk) VALUES (351, 'Vera Lucia', 'F');</v>
      </c>
    </row>
    <row r="352" spans="1:5" x14ac:dyDescent="0.2">
      <c r="A352" s="7">
        <f>ROW()</f>
        <v>352</v>
      </c>
      <c r="B352" s="7" t="s">
        <v>358</v>
      </c>
      <c r="C352" s="7" t="s">
        <v>10</v>
      </c>
      <c r="D352" s="7" t="e">
        <f>VLOOKUP($C352,Genders!$A:$C,2,FALSE)</f>
        <v>#N/A</v>
      </c>
      <c r="E352" s="9" t="str">
        <f t="shared" si="5"/>
        <v>INSERT INTO bi4all.dim_names (id_name_pk, name, id_gender_fk) VALUES (352, 'Vicent', 'M');</v>
      </c>
    </row>
    <row r="353" spans="1:5" x14ac:dyDescent="0.2">
      <c r="A353" s="7">
        <f>ROW()</f>
        <v>353</v>
      </c>
      <c r="B353" s="7" t="s">
        <v>359</v>
      </c>
      <c r="C353" s="7" t="s">
        <v>10</v>
      </c>
      <c r="D353" s="7" t="e">
        <f>VLOOKUP($C353,Genders!$A:$C,2,FALSE)</f>
        <v>#N/A</v>
      </c>
      <c r="E353" s="9" t="str">
        <f t="shared" si="5"/>
        <v>INSERT INTO bi4all.dim_names (id_name_pk, name, id_gender_fk) VALUES (353, 'Vicente', 'M');</v>
      </c>
    </row>
    <row r="354" spans="1:5" x14ac:dyDescent="0.2">
      <c r="A354" s="7">
        <f>ROW()</f>
        <v>354</v>
      </c>
      <c r="B354" s="7" t="s">
        <v>360</v>
      </c>
      <c r="C354" s="7" t="s">
        <v>10</v>
      </c>
      <c r="D354" s="7" t="e">
        <f>VLOOKUP($C354,Genders!$A:$C,2,FALSE)</f>
        <v>#N/A</v>
      </c>
      <c r="E354" s="9" t="str">
        <f t="shared" si="5"/>
        <v>INSERT INTO bi4all.dim_names (id_name_pk, name, id_gender_fk) VALUES (354, 'Victor', 'M');</v>
      </c>
    </row>
    <row r="355" spans="1:5" x14ac:dyDescent="0.2">
      <c r="A355" s="7">
        <f>ROW()</f>
        <v>355</v>
      </c>
      <c r="B355" s="7" t="s">
        <v>361</v>
      </c>
      <c r="C355" s="7" t="s">
        <v>10</v>
      </c>
      <c r="D355" s="7" t="e">
        <f>VLOOKUP($C355,Genders!$A:$C,2,FALSE)</f>
        <v>#N/A</v>
      </c>
      <c r="E355" s="9" t="str">
        <f t="shared" si="5"/>
        <v>INSERT INTO bi4all.dim_names (id_name_pk, name, id_gender_fk) VALUES (355, 'Victor Hugo', 'M');</v>
      </c>
    </row>
    <row r="356" spans="1:5" x14ac:dyDescent="0.2">
      <c r="A356" s="7">
        <f>ROW()</f>
        <v>356</v>
      </c>
      <c r="B356" s="7" t="s">
        <v>362</v>
      </c>
      <c r="C356" s="7" t="s">
        <v>12</v>
      </c>
      <c r="D356" s="7" t="e">
        <f>VLOOKUP($C356,Genders!$A:$C,2,FALSE)</f>
        <v>#N/A</v>
      </c>
      <c r="E356" s="9" t="str">
        <f t="shared" si="5"/>
        <v>INSERT INTO bi4all.dim_names (id_name_pk, name, id_gender_fk) VALUES (356, 'Victória', 'F');</v>
      </c>
    </row>
    <row r="357" spans="1:5" x14ac:dyDescent="0.2">
      <c r="A357" s="7">
        <f>ROW()</f>
        <v>357</v>
      </c>
      <c r="B357" s="7" t="s">
        <v>363</v>
      </c>
      <c r="C357" s="7" t="s">
        <v>10</v>
      </c>
      <c r="D357" s="7" t="e">
        <f>VLOOKUP($C357,Genders!$A:$C,2,FALSE)</f>
        <v>#N/A</v>
      </c>
      <c r="E357" s="9" t="str">
        <f t="shared" si="5"/>
        <v>INSERT INTO bi4all.dim_names (id_name_pk, name, id_gender_fk) VALUES (357, 'Vinicios', 'M');</v>
      </c>
    </row>
    <row r="358" spans="1:5" x14ac:dyDescent="0.2">
      <c r="A358" s="7">
        <f>ROW()</f>
        <v>358</v>
      </c>
      <c r="B358" s="7" t="s">
        <v>364</v>
      </c>
      <c r="C358" s="7" t="s">
        <v>10</v>
      </c>
      <c r="D358" s="7" t="e">
        <f>VLOOKUP($C358,Genders!$A:$C,2,FALSE)</f>
        <v>#N/A</v>
      </c>
      <c r="E358" s="9" t="str">
        <f t="shared" si="5"/>
        <v>INSERT INTO bi4all.dim_names (id_name_pk, name, id_gender_fk) VALUES (358, 'Vinícius', 'M');</v>
      </c>
    </row>
    <row r="359" spans="1:5" x14ac:dyDescent="0.2">
      <c r="A359" s="7">
        <f>ROW()</f>
        <v>359</v>
      </c>
      <c r="B359" s="7" t="s">
        <v>365</v>
      </c>
      <c r="C359" s="7" t="s">
        <v>10</v>
      </c>
      <c r="D359" s="7" t="e">
        <f>VLOOKUP($C359,Genders!$A:$C,2,FALSE)</f>
        <v>#N/A</v>
      </c>
      <c r="E359" s="9" t="str">
        <f t="shared" si="5"/>
        <v>INSERT INTO bi4all.dim_names (id_name_pk, name, id_gender_fk) VALUES (359, 'Vitor', 'M');</v>
      </c>
    </row>
    <row r="360" spans="1:5" x14ac:dyDescent="0.2">
      <c r="A360" s="7">
        <f>ROW()</f>
        <v>360</v>
      </c>
      <c r="B360" s="7" t="s">
        <v>366</v>
      </c>
      <c r="C360" s="7" t="s">
        <v>12</v>
      </c>
      <c r="D360" s="7" t="e">
        <f>VLOOKUP($C360,Genders!$A:$C,2,FALSE)</f>
        <v>#N/A</v>
      </c>
      <c r="E360" s="9" t="str">
        <f t="shared" si="5"/>
        <v>INSERT INTO bi4all.dim_names (id_name_pk, name, id_gender_fk) VALUES (360, 'Vitória', 'F');</v>
      </c>
    </row>
    <row r="361" spans="1:5" x14ac:dyDescent="0.2">
      <c r="A361" s="7">
        <f>ROW()</f>
        <v>361</v>
      </c>
      <c r="B361" s="7" t="s">
        <v>367</v>
      </c>
      <c r="C361" s="7" t="s">
        <v>10</v>
      </c>
      <c r="D361" s="7" t="e">
        <f>VLOOKUP($C361,Genders!$A:$C,2,FALSE)</f>
        <v>#N/A</v>
      </c>
      <c r="E361" s="9" t="str">
        <f t="shared" si="5"/>
        <v>INSERT INTO bi4all.dim_names (id_name_pk, name, id_gender_fk) VALUES (361, 'Wagner', 'M');</v>
      </c>
    </row>
    <row r="362" spans="1:5" x14ac:dyDescent="0.2">
      <c r="A362" s="7">
        <f>ROW()</f>
        <v>362</v>
      </c>
      <c r="B362" s="7" t="s">
        <v>368</v>
      </c>
      <c r="C362" s="7" t="s">
        <v>10</v>
      </c>
      <c r="D362" s="7" t="e">
        <f>VLOOKUP($C362,Genders!$A:$C,2,FALSE)</f>
        <v>#N/A</v>
      </c>
      <c r="E362" s="9" t="str">
        <f t="shared" si="5"/>
        <v>INSERT INTO bi4all.dim_names (id_name_pk, name, id_gender_fk) VALUES (362, 'Wilian', 'M');</v>
      </c>
    </row>
    <row r="363" spans="1:5" x14ac:dyDescent="0.2">
      <c r="A363" s="7">
        <f>ROW()</f>
        <v>363</v>
      </c>
      <c r="B363" s="7" t="s">
        <v>369</v>
      </c>
      <c r="C363" s="7" t="s">
        <v>10</v>
      </c>
      <c r="D363" s="7" t="e">
        <f>VLOOKUP($C363,Genders!$A:$C,2,FALSE)</f>
        <v>#N/A</v>
      </c>
      <c r="E363" s="9" t="str">
        <f t="shared" si="5"/>
        <v>INSERT INTO bi4all.dim_names (id_name_pk, name, id_gender_fk) VALUES (363, 'Yago', 'M');</v>
      </c>
    </row>
    <row r="364" spans="1:5" x14ac:dyDescent="0.2">
      <c r="A364" s="7">
        <f>ROW()</f>
        <v>364</v>
      </c>
      <c r="B364" s="7" t="s">
        <v>370</v>
      </c>
      <c r="C364" s="7" t="s">
        <v>12</v>
      </c>
      <c r="D364" s="7" t="e">
        <f>VLOOKUP($C364,Genders!$A:$C,2,FALSE)</f>
        <v>#N/A</v>
      </c>
      <c r="E364" s="9" t="str">
        <f t="shared" si="5"/>
        <v>INSERT INTO bi4all.dim_names (id_name_pk, name, id_gender_fk) VALUES (364, 'Yasmin', 'F');</v>
      </c>
    </row>
    <row r="365" spans="1:5" x14ac:dyDescent="0.2">
      <c r="A365" s="7">
        <f>ROW()</f>
        <v>365</v>
      </c>
      <c r="B365" s="7" t="s">
        <v>371</v>
      </c>
      <c r="C365" s="7" t="s">
        <v>12</v>
      </c>
      <c r="D365" s="7" t="e">
        <f>VLOOKUP($C365,Genders!$A:$C,2,FALSE)</f>
        <v>#N/A</v>
      </c>
      <c r="E365" s="9" t="str">
        <f t="shared" si="5"/>
        <v>INSERT INTO bi4all.dim_names (id_name_pk, name, id_gender_fk) VALUES (365, 'Yasmini', 'F');</v>
      </c>
    </row>
    <row r="366" spans="1:5" x14ac:dyDescent="0.2">
      <c r="A366" s="7">
        <f>ROW()</f>
        <v>366</v>
      </c>
      <c r="B366" s="7" t="s">
        <v>372</v>
      </c>
      <c r="C366" s="7" t="s">
        <v>10</v>
      </c>
      <c r="D366" s="7" t="e">
        <f>VLOOKUP($C366,Genders!$A:$C,2,FALSE)</f>
        <v>#N/A</v>
      </c>
      <c r="E366" s="9" t="str">
        <f t="shared" si="5"/>
        <v>INSERT INTO bi4all.dim_names (id_name_pk, name, id_gender_fk) VALUES (366, 'Yuri', 'M');</v>
      </c>
    </row>
    <row r="367" spans="1:5" x14ac:dyDescent="0.2">
      <c r="A367" s="7">
        <f>ROW()</f>
        <v>367</v>
      </c>
      <c r="B367" s="7" t="s">
        <v>373</v>
      </c>
      <c r="C367" s="7" t="s">
        <v>12</v>
      </c>
      <c r="D367" s="7" t="e">
        <f>VLOOKUP($C367,Genders!$A:$C,2,FALSE)</f>
        <v>#N/A</v>
      </c>
      <c r="E367" s="9" t="str">
        <f t="shared" si="5"/>
        <v>INSERT INTO bi4all.dim_names (id_name_pk, name, id_gender_fk) VALUES (367, 'Zila', 'F');</v>
      </c>
    </row>
  </sheetData>
  <autoFilter ref="A4:D367" xr:uid="{EA078119-B2DE-473E-B9A0-A3C2902BFAD8}">
    <filterColumn colId="1">
      <filters>
        <filter val="Erick"/>
      </filters>
    </filterColumn>
  </autoFilter>
  <sortState xmlns:xlrd2="http://schemas.microsoft.com/office/spreadsheetml/2017/richdata2" ref="A5:D367">
    <sortCondition ref="B4:B367"/>
  </sortState>
  <pageMargins left="0.7" right="0.7" top="0.75" bottom="0.75" header="0.3" footer="0.3"/>
  <pageSetup paperSize="9" orientation="portrait" horizontalDpi="4294967293" verticalDpi="0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3A583B8-D601-4E5D-86A1-86CB5339550A}">
          <x14:formula1>
            <xm:f>Genders!$A:$A</xm:f>
          </x14:formula1>
          <xm:sqref>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AD940-7762-483B-BFA2-B7BC27962B86}">
  <sheetPr codeName="Planilha2">
    <tabColor rgb="FFFFC000"/>
  </sheetPr>
  <dimension ref="A1:B192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21.5703125" style="7" bestFit="1" customWidth="1"/>
    <col min="2" max="2" width="15.42578125" style="7" bestFit="1" customWidth="1"/>
    <col min="3" max="16384" width="9.140625" style="7"/>
  </cols>
  <sheetData>
    <row r="1" spans="1:2" ht="15" x14ac:dyDescent="0.25">
      <c r="A1" s="2" t="s">
        <v>374</v>
      </c>
      <c r="B1" s="2" t="s">
        <v>375</v>
      </c>
    </row>
    <row r="2" spans="1:2" x14ac:dyDescent="0.2">
      <c r="A2" s="7">
        <f>ROW()</f>
        <v>2</v>
      </c>
      <c r="B2" s="7" t="s">
        <v>376</v>
      </c>
    </row>
    <row r="3" spans="1:2" x14ac:dyDescent="0.2">
      <c r="A3" s="7">
        <f>ROW()</f>
        <v>3</v>
      </c>
      <c r="B3" s="7" t="s">
        <v>377</v>
      </c>
    </row>
    <row r="4" spans="1:2" x14ac:dyDescent="0.2">
      <c r="A4" s="7">
        <f>ROW()</f>
        <v>4</v>
      </c>
      <c r="B4" s="7" t="s">
        <v>378</v>
      </c>
    </row>
    <row r="5" spans="1:2" x14ac:dyDescent="0.2">
      <c r="A5" s="7">
        <f>ROW()</f>
        <v>5</v>
      </c>
      <c r="B5" s="7" t="s">
        <v>379</v>
      </c>
    </row>
    <row r="6" spans="1:2" x14ac:dyDescent="0.2">
      <c r="A6" s="7">
        <f>ROW()</f>
        <v>6</v>
      </c>
      <c r="B6" s="7" t="s">
        <v>380</v>
      </c>
    </row>
    <row r="7" spans="1:2" x14ac:dyDescent="0.2">
      <c r="A7" s="7">
        <f>ROW()</f>
        <v>7</v>
      </c>
      <c r="B7" s="7" t="s">
        <v>381</v>
      </c>
    </row>
    <row r="8" spans="1:2" x14ac:dyDescent="0.2">
      <c r="A8" s="7">
        <f>ROW()</f>
        <v>8</v>
      </c>
      <c r="B8" s="7" t="s">
        <v>382</v>
      </c>
    </row>
    <row r="9" spans="1:2" x14ac:dyDescent="0.2">
      <c r="A9" s="7">
        <f>ROW()</f>
        <v>9</v>
      </c>
      <c r="B9" s="7" t="s">
        <v>383</v>
      </c>
    </row>
    <row r="10" spans="1:2" x14ac:dyDescent="0.2">
      <c r="A10" s="7">
        <f>ROW()</f>
        <v>10</v>
      </c>
      <c r="B10" s="7" t="s">
        <v>384</v>
      </c>
    </row>
    <row r="11" spans="1:2" x14ac:dyDescent="0.2">
      <c r="A11" s="7">
        <f>ROW()</f>
        <v>11</v>
      </c>
      <c r="B11" s="7" t="s">
        <v>385</v>
      </c>
    </row>
    <row r="12" spans="1:2" x14ac:dyDescent="0.2">
      <c r="A12" s="7">
        <f>ROW()</f>
        <v>12</v>
      </c>
      <c r="B12" s="7" t="s">
        <v>386</v>
      </c>
    </row>
    <row r="13" spans="1:2" x14ac:dyDescent="0.2">
      <c r="A13" s="7">
        <f>ROW()</f>
        <v>13</v>
      </c>
      <c r="B13" s="7" t="s">
        <v>387</v>
      </c>
    </row>
    <row r="14" spans="1:2" x14ac:dyDescent="0.2">
      <c r="A14" s="7">
        <f>ROW()</f>
        <v>14</v>
      </c>
      <c r="B14" s="7" t="s">
        <v>388</v>
      </c>
    </row>
    <row r="15" spans="1:2" x14ac:dyDescent="0.2">
      <c r="A15" s="7">
        <f>ROW()</f>
        <v>15</v>
      </c>
      <c r="B15" s="7" t="s">
        <v>389</v>
      </c>
    </row>
    <row r="16" spans="1:2" x14ac:dyDescent="0.2">
      <c r="A16" s="7">
        <f>ROW()</f>
        <v>16</v>
      </c>
      <c r="B16" s="7" t="s">
        <v>390</v>
      </c>
    </row>
    <row r="17" spans="1:2" x14ac:dyDescent="0.2">
      <c r="A17" s="7">
        <f>ROW()</f>
        <v>17</v>
      </c>
      <c r="B17" s="7" t="s">
        <v>391</v>
      </c>
    </row>
    <row r="18" spans="1:2" x14ac:dyDescent="0.2">
      <c r="A18" s="7">
        <f>ROW()</f>
        <v>18</v>
      </c>
      <c r="B18" s="7" t="s">
        <v>392</v>
      </c>
    </row>
    <row r="19" spans="1:2" x14ac:dyDescent="0.2">
      <c r="A19" s="7">
        <f>ROW()</f>
        <v>19</v>
      </c>
      <c r="B19" s="7" t="s">
        <v>393</v>
      </c>
    </row>
    <row r="20" spans="1:2" x14ac:dyDescent="0.2">
      <c r="A20" s="7">
        <f>ROW()</f>
        <v>20</v>
      </c>
      <c r="B20" s="7" t="s">
        <v>394</v>
      </c>
    </row>
    <row r="21" spans="1:2" x14ac:dyDescent="0.2">
      <c r="A21" s="7">
        <f>ROW()</f>
        <v>21</v>
      </c>
      <c r="B21" s="7" t="s">
        <v>395</v>
      </c>
    </row>
    <row r="22" spans="1:2" x14ac:dyDescent="0.2">
      <c r="A22" s="7">
        <f>ROW()</f>
        <v>22</v>
      </c>
      <c r="B22" s="7" t="s">
        <v>396</v>
      </c>
    </row>
    <row r="23" spans="1:2" x14ac:dyDescent="0.2">
      <c r="A23" s="7">
        <f>ROW()</f>
        <v>23</v>
      </c>
      <c r="B23" s="7" t="s">
        <v>397</v>
      </c>
    </row>
    <row r="24" spans="1:2" x14ac:dyDescent="0.2">
      <c r="A24" s="7">
        <f>ROW()</f>
        <v>24</v>
      </c>
      <c r="B24" s="7" t="s">
        <v>398</v>
      </c>
    </row>
    <row r="25" spans="1:2" x14ac:dyDescent="0.2">
      <c r="A25" s="7">
        <f>ROW()</f>
        <v>25</v>
      </c>
      <c r="B25" s="7" t="s">
        <v>399</v>
      </c>
    </row>
    <row r="26" spans="1:2" x14ac:dyDescent="0.2">
      <c r="A26" s="7">
        <f>ROW()</f>
        <v>26</v>
      </c>
      <c r="B26" s="7" t="s">
        <v>400</v>
      </c>
    </row>
    <row r="27" spans="1:2" x14ac:dyDescent="0.2">
      <c r="A27" s="7">
        <f>ROW()</f>
        <v>27</v>
      </c>
      <c r="B27" s="7" t="s">
        <v>401</v>
      </c>
    </row>
    <row r="28" spans="1:2" x14ac:dyDescent="0.2">
      <c r="A28" s="7">
        <f>ROW()</f>
        <v>28</v>
      </c>
      <c r="B28" s="7" t="s">
        <v>402</v>
      </c>
    </row>
    <row r="29" spans="1:2" x14ac:dyDescent="0.2">
      <c r="A29" s="7">
        <f>ROW()</f>
        <v>29</v>
      </c>
      <c r="B29" s="7" t="s">
        <v>403</v>
      </c>
    </row>
    <row r="30" spans="1:2" x14ac:dyDescent="0.2">
      <c r="A30" s="7">
        <f>ROW()</f>
        <v>30</v>
      </c>
      <c r="B30" s="7" t="s">
        <v>404</v>
      </c>
    </row>
    <row r="31" spans="1:2" x14ac:dyDescent="0.2">
      <c r="A31" s="7">
        <f>ROW()</f>
        <v>31</v>
      </c>
      <c r="B31" s="7" t="s">
        <v>405</v>
      </c>
    </row>
    <row r="32" spans="1:2" x14ac:dyDescent="0.2">
      <c r="A32" s="7">
        <f>ROW()</f>
        <v>32</v>
      </c>
      <c r="B32" s="7" t="s">
        <v>406</v>
      </c>
    </row>
    <row r="33" spans="1:2" x14ac:dyDescent="0.2">
      <c r="A33" s="7">
        <f>ROW()</f>
        <v>33</v>
      </c>
      <c r="B33" s="7" t="s">
        <v>407</v>
      </c>
    </row>
    <row r="34" spans="1:2" x14ac:dyDescent="0.2">
      <c r="A34" s="7">
        <f>ROW()</f>
        <v>34</v>
      </c>
      <c r="B34" s="7" t="s">
        <v>408</v>
      </c>
    </row>
    <row r="35" spans="1:2" x14ac:dyDescent="0.2">
      <c r="A35" s="7">
        <f>ROW()</f>
        <v>35</v>
      </c>
      <c r="B35" s="7" t="s">
        <v>409</v>
      </c>
    </row>
    <row r="36" spans="1:2" x14ac:dyDescent="0.2">
      <c r="A36" s="7">
        <f>ROW()</f>
        <v>36</v>
      </c>
      <c r="B36" s="7" t="s">
        <v>410</v>
      </c>
    </row>
    <row r="37" spans="1:2" x14ac:dyDescent="0.2">
      <c r="A37" s="7">
        <f>ROW()</f>
        <v>37</v>
      </c>
      <c r="B37" s="7" t="s">
        <v>411</v>
      </c>
    </row>
    <row r="38" spans="1:2" x14ac:dyDescent="0.2">
      <c r="A38" s="7">
        <f>ROW()</f>
        <v>38</v>
      </c>
      <c r="B38" s="7" t="s">
        <v>412</v>
      </c>
    </row>
    <row r="39" spans="1:2" x14ac:dyDescent="0.2">
      <c r="A39" s="7">
        <f>ROW()</f>
        <v>39</v>
      </c>
      <c r="B39" s="7" t="s">
        <v>413</v>
      </c>
    </row>
    <row r="40" spans="1:2" x14ac:dyDescent="0.2">
      <c r="A40" s="7">
        <f>ROW()</f>
        <v>40</v>
      </c>
      <c r="B40" s="7" t="s">
        <v>414</v>
      </c>
    </row>
    <row r="41" spans="1:2" x14ac:dyDescent="0.2">
      <c r="A41" s="7">
        <f>ROW()</f>
        <v>41</v>
      </c>
      <c r="B41" s="7" t="s">
        <v>415</v>
      </c>
    </row>
    <row r="42" spans="1:2" x14ac:dyDescent="0.2">
      <c r="A42" s="7">
        <f>ROW()</f>
        <v>42</v>
      </c>
      <c r="B42" s="7" t="s">
        <v>416</v>
      </c>
    </row>
    <row r="43" spans="1:2" x14ac:dyDescent="0.2">
      <c r="A43" s="7">
        <f>ROW()</f>
        <v>43</v>
      </c>
      <c r="B43" s="7" t="s">
        <v>417</v>
      </c>
    </row>
    <row r="44" spans="1:2" x14ac:dyDescent="0.2">
      <c r="A44" s="7">
        <f>ROW()</f>
        <v>44</v>
      </c>
      <c r="B44" s="7" t="s">
        <v>418</v>
      </c>
    </row>
    <row r="45" spans="1:2" x14ac:dyDescent="0.2">
      <c r="A45" s="7">
        <f>ROW()</f>
        <v>45</v>
      </c>
      <c r="B45" s="7" t="s">
        <v>419</v>
      </c>
    </row>
    <row r="46" spans="1:2" x14ac:dyDescent="0.2">
      <c r="A46" s="7">
        <f>ROW()</f>
        <v>46</v>
      </c>
      <c r="B46" s="7" t="s">
        <v>420</v>
      </c>
    </row>
    <row r="47" spans="1:2" x14ac:dyDescent="0.2">
      <c r="A47" s="7">
        <f>ROW()</f>
        <v>47</v>
      </c>
      <c r="B47" s="7" t="s">
        <v>421</v>
      </c>
    </row>
    <row r="48" spans="1:2" x14ac:dyDescent="0.2">
      <c r="A48" s="7">
        <f>ROW()</f>
        <v>48</v>
      </c>
      <c r="B48" s="7" t="s">
        <v>422</v>
      </c>
    </row>
    <row r="49" spans="1:2" x14ac:dyDescent="0.2">
      <c r="A49" s="7">
        <f>ROW()</f>
        <v>49</v>
      </c>
      <c r="B49" s="7" t="s">
        <v>423</v>
      </c>
    </row>
    <row r="50" spans="1:2" x14ac:dyDescent="0.2">
      <c r="A50" s="7">
        <f>ROW()</f>
        <v>50</v>
      </c>
      <c r="B50" s="7" t="s">
        <v>424</v>
      </c>
    </row>
    <row r="51" spans="1:2" x14ac:dyDescent="0.2">
      <c r="A51" s="7">
        <f>ROW()</f>
        <v>51</v>
      </c>
      <c r="B51" s="7" t="s">
        <v>425</v>
      </c>
    </row>
    <row r="52" spans="1:2" x14ac:dyDescent="0.2">
      <c r="A52" s="7">
        <f>ROW()</f>
        <v>52</v>
      </c>
      <c r="B52" s="7" t="s">
        <v>426</v>
      </c>
    </row>
    <row r="53" spans="1:2" x14ac:dyDescent="0.2">
      <c r="A53" s="7">
        <f>ROW()</f>
        <v>53</v>
      </c>
      <c r="B53" s="7" t="s">
        <v>427</v>
      </c>
    </row>
    <row r="54" spans="1:2" x14ac:dyDescent="0.2">
      <c r="A54" s="7">
        <f>ROW()</f>
        <v>54</v>
      </c>
      <c r="B54" s="7" t="s">
        <v>428</v>
      </c>
    </row>
    <row r="55" spans="1:2" x14ac:dyDescent="0.2">
      <c r="A55" s="7">
        <f>ROW()</f>
        <v>55</v>
      </c>
      <c r="B55" s="7" t="s">
        <v>429</v>
      </c>
    </row>
    <row r="56" spans="1:2" x14ac:dyDescent="0.2">
      <c r="A56" s="7">
        <f>ROW()</f>
        <v>56</v>
      </c>
      <c r="B56" s="7" t="s">
        <v>430</v>
      </c>
    </row>
    <row r="57" spans="1:2" x14ac:dyDescent="0.2">
      <c r="A57" s="7">
        <f>ROW()</f>
        <v>57</v>
      </c>
      <c r="B57" s="7" t="s">
        <v>431</v>
      </c>
    </row>
    <row r="58" spans="1:2" x14ac:dyDescent="0.2">
      <c r="A58" s="7">
        <f>ROW()</f>
        <v>58</v>
      </c>
      <c r="B58" s="7" t="s">
        <v>432</v>
      </c>
    </row>
    <row r="59" spans="1:2" x14ac:dyDescent="0.2">
      <c r="A59" s="7">
        <f>ROW()</f>
        <v>59</v>
      </c>
      <c r="B59" s="7" t="s">
        <v>433</v>
      </c>
    </row>
    <row r="60" spans="1:2" x14ac:dyDescent="0.2">
      <c r="A60" s="7">
        <f>ROW()</f>
        <v>60</v>
      </c>
      <c r="B60" s="7" t="s">
        <v>434</v>
      </c>
    </row>
    <row r="61" spans="1:2" x14ac:dyDescent="0.2">
      <c r="A61" s="7">
        <f>ROW()</f>
        <v>61</v>
      </c>
      <c r="B61" s="7" t="s">
        <v>435</v>
      </c>
    </row>
    <row r="62" spans="1:2" x14ac:dyDescent="0.2">
      <c r="A62" s="7">
        <f>ROW()</f>
        <v>62</v>
      </c>
      <c r="B62" s="7" t="s">
        <v>436</v>
      </c>
    </row>
    <row r="63" spans="1:2" x14ac:dyDescent="0.2">
      <c r="A63" s="7">
        <f>ROW()</f>
        <v>63</v>
      </c>
      <c r="B63" s="7" t="s">
        <v>437</v>
      </c>
    </row>
    <row r="64" spans="1:2" x14ac:dyDescent="0.2">
      <c r="A64" s="7">
        <f>ROW()</f>
        <v>64</v>
      </c>
      <c r="B64" s="7" t="s">
        <v>438</v>
      </c>
    </row>
    <row r="65" spans="1:2" x14ac:dyDescent="0.2">
      <c r="A65" s="7">
        <f>ROW()</f>
        <v>65</v>
      </c>
      <c r="B65" s="7" t="s">
        <v>439</v>
      </c>
    </row>
    <row r="66" spans="1:2" x14ac:dyDescent="0.2">
      <c r="A66" s="7">
        <f>ROW()</f>
        <v>66</v>
      </c>
      <c r="B66" s="7" t="s">
        <v>440</v>
      </c>
    </row>
    <row r="67" spans="1:2" x14ac:dyDescent="0.2">
      <c r="A67" s="7">
        <f>ROW()</f>
        <v>67</v>
      </c>
      <c r="B67" s="7" t="s">
        <v>441</v>
      </c>
    </row>
    <row r="68" spans="1:2" x14ac:dyDescent="0.2">
      <c r="A68" s="7">
        <f>ROW()</f>
        <v>68</v>
      </c>
      <c r="B68" s="7" t="s">
        <v>442</v>
      </c>
    </row>
    <row r="69" spans="1:2" x14ac:dyDescent="0.2">
      <c r="A69" s="7">
        <f>ROW()</f>
        <v>69</v>
      </c>
      <c r="B69" s="7" t="s">
        <v>443</v>
      </c>
    </row>
    <row r="70" spans="1:2" x14ac:dyDescent="0.2">
      <c r="A70" s="7">
        <f>ROW()</f>
        <v>70</v>
      </c>
      <c r="B70" s="7" t="s">
        <v>444</v>
      </c>
    </row>
    <row r="71" spans="1:2" x14ac:dyDescent="0.2">
      <c r="A71" s="7">
        <f>ROW()</f>
        <v>71</v>
      </c>
      <c r="B71" s="7" t="s">
        <v>445</v>
      </c>
    </row>
    <row r="72" spans="1:2" x14ac:dyDescent="0.2">
      <c r="A72" s="7">
        <f>ROW()</f>
        <v>72</v>
      </c>
      <c r="B72" s="7" t="s">
        <v>446</v>
      </c>
    </row>
    <row r="73" spans="1:2" x14ac:dyDescent="0.2">
      <c r="A73" s="7">
        <f>ROW()</f>
        <v>73</v>
      </c>
      <c r="B73" s="7" t="s">
        <v>447</v>
      </c>
    </row>
    <row r="74" spans="1:2" x14ac:dyDescent="0.2">
      <c r="A74" s="7">
        <f>ROW()</f>
        <v>74</v>
      </c>
      <c r="B74" s="7" t="s">
        <v>448</v>
      </c>
    </row>
    <row r="75" spans="1:2" x14ac:dyDescent="0.2">
      <c r="A75" s="7">
        <f>ROW()</f>
        <v>75</v>
      </c>
      <c r="B75" s="7" t="s">
        <v>449</v>
      </c>
    </row>
    <row r="76" spans="1:2" x14ac:dyDescent="0.2">
      <c r="A76" s="7">
        <f>ROW()</f>
        <v>76</v>
      </c>
      <c r="B76" s="7" t="s">
        <v>450</v>
      </c>
    </row>
    <row r="77" spans="1:2" x14ac:dyDescent="0.2">
      <c r="A77" s="7">
        <f>ROW()</f>
        <v>77</v>
      </c>
      <c r="B77" s="7" t="s">
        <v>451</v>
      </c>
    </row>
    <row r="78" spans="1:2" x14ac:dyDescent="0.2">
      <c r="A78" s="7">
        <f>ROW()</f>
        <v>78</v>
      </c>
      <c r="B78" s="7" t="s">
        <v>452</v>
      </c>
    </row>
    <row r="79" spans="1:2" x14ac:dyDescent="0.2">
      <c r="A79" s="7">
        <f>ROW()</f>
        <v>79</v>
      </c>
      <c r="B79" s="7" t="s">
        <v>453</v>
      </c>
    </row>
    <row r="80" spans="1:2" x14ac:dyDescent="0.2">
      <c r="A80" s="7">
        <f>ROW()</f>
        <v>80</v>
      </c>
      <c r="B80" s="7" t="s">
        <v>454</v>
      </c>
    </row>
    <row r="81" spans="1:2" x14ac:dyDescent="0.2">
      <c r="A81" s="7">
        <f>ROW()</f>
        <v>81</v>
      </c>
      <c r="B81" s="7" t="s">
        <v>455</v>
      </c>
    </row>
    <row r="82" spans="1:2" x14ac:dyDescent="0.2">
      <c r="A82" s="7">
        <f>ROW()</f>
        <v>82</v>
      </c>
      <c r="B82" s="7" t="s">
        <v>456</v>
      </c>
    </row>
    <row r="83" spans="1:2" x14ac:dyDescent="0.2">
      <c r="A83" s="7">
        <f>ROW()</f>
        <v>83</v>
      </c>
      <c r="B83" s="7" t="s">
        <v>457</v>
      </c>
    </row>
    <row r="84" spans="1:2" x14ac:dyDescent="0.2">
      <c r="A84" s="7">
        <f>ROW()</f>
        <v>84</v>
      </c>
      <c r="B84" s="7" t="s">
        <v>458</v>
      </c>
    </row>
    <row r="85" spans="1:2" x14ac:dyDescent="0.2">
      <c r="A85" s="7">
        <f>ROW()</f>
        <v>85</v>
      </c>
      <c r="B85" s="7" t="s">
        <v>459</v>
      </c>
    </row>
    <row r="86" spans="1:2" x14ac:dyDescent="0.2">
      <c r="A86" s="7">
        <f>ROW()</f>
        <v>86</v>
      </c>
      <c r="B86" s="7" t="s">
        <v>460</v>
      </c>
    </row>
    <row r="87" spans="1:2" x14ac:dyDescent="0.2">
      <c r="A87" s="7">
        <f>ROW()</f>
        <v>87</v>
      </c>
      <c r="B87" s="7" t="s">
        <v>461</v>
      </c>
    </row>
    <row r="88" spans="1:2" x14ac:dyDescent="0.2">
      <c r="A88" s="7">
        <f>ROW()</f>
        <v>88</v>
      </c>
      <c r="B88" s="7" t="s">
        <v>462</v>
      </c>
    </row>
    <row r="89" spans="1:2" x14ac:dyDescent="0.2">
      <c r="A89" s="7">
        <f>ROW()</f>
        <v>89</v>
      </c>
      <c r="B89" s="7" t="s">
        <v>463</v>
      </c>
    </row>
    <row r="90" spans="1:2" x14ac:dyDescent="0.2">
      <c r="A90" s="7">
        <f>ROW()</f>
        <v>90</v>
      </c>
      <c r="B90" s="7" t="s">
        <v>464</v>
      </c>
    </row>
    <row r="91" spans="1:2" x14ac:dyDescent="0.2">
      <c r="A91" s="7">
        <f>ROW()</f>
        <v>91</v>
      </c>
      <c r="B91" s="7" t="s">
        <v>465</v>
      </c>
    </row>
    <row r="92" spans="1:2" x14ac:dyDescent="0.2">
      <c r="A92" s="7">
        <f>ROW()</f>
        <v>92</v>
      </c>
      <c r="B92" s="7" t="s">
        <v>466</v>
      </c>
    </row>
    <row r="93" spans="1:2" x14ac:dyDescent="0.2">
      <c r="A93" s="7">
        <f>ROW()</f>
        <v>93</v>
      </c>
      <c r="B93" s="7" t="s">
        <v>467</v>
      </c>
    </row>
    <row r="94" spans="1:2" x14ac:dyDescent="0.2">
      <c r="A94" s="7">
        <f>ROW()</f>
        <v>94</v>
      </c>
      <c r="B94" s="7" t="s">
        <v>468</v>
      </c>
    </row>
    <row r="95" spans="1:2" x14ac:dyDescent="0.2">
      <c r="A95" s="7">
        <f>ROW()</f>
        <v>95</v>
      </c>
      <c r="B95" s="7" t="s">
        <v>469</v>
      </c>
    </row>
    <row r="96" spans="1:2" x14ac:dyDescent="0.2">
      <c r="A96" s="7">
        <f>ROW()</f>
        <v>96</v>
      </c>
      <c r="B96" s="7" t="s">
        <v>470</v>
      </c>
    </row>
    <row r="97" spans="1:2" x14ac:dyDescent="0.2">
      <c r="A97" s="7">
        <f>ROW()</f>
        <v>97</v>
      </c>
      <c r="B97" s="7" t="s">
        <v>471</v>
      </c>
    </row>
    <row r="98" spans="1:2" x14ac:dyDescent="0.2">
      <c r="A98" s="7">
        <f>ROW()</f>
        <v>98</v>
      </c>
      <c r="B98" s="7" t="s">
        <v>472</v>
      </c>
    </row>
    <row r="99" spans="1:2" x14ac:dyDescent="0.2">
      <c r="A99" s="7">
        <f>ROW()</f>
        <v>99</v>
      </c>
      <c r="B99" s="7" t="s">
        <v>473</v>
      </c>
    </row>
    <row r="100" spans="1:2" x14ac:dyDescent="0.2">
      <c r="A100" s="7">
        <f>ROW()</f>
        <v>100</v>
      </c>
      <c r="B100" s="7" t="s">
        <v>474</v>
      </c>
    </row>
    <row r="101" spans="1:2" x14ac:dyDescent="0.2">
      <c r="A101" s="7">
        <f>ROW()</f>
        <v>101</v>
      </c>
      <c r="B101" s="7" t="s">
        <v>475</v>
      </c>
    </row>
    <row r="102" spans="1:2" x14ac:dyDescent="0.2">
      <c r="A102" s="7">
        <f>ROW()</f>
        <v>102</v>
      </c>
      <c r="B102" s="7" t="s">
        <v>476</v>
      </c>
    </row>
    <row r="103" spans="1:2" x14ac:dyDescent="0.2">
      <c r="A103" s="7">
        <f>ROW()</f>
        <v>103</v>
      </c>
      <c r="B103" s="7" t="s">
        <v>477</v>
      </c>
    </row>
    <row r="104" spans="1:2" x14ac:dyDescent="0.2">
      <c r="A104" s="7">
        <f>ROW()</f>
        <v>104</v>
      </c>
      <c r="B104" s="7" t="s">
        <v>478</v>
      </c>
    </row>
    <row r="105" spans="1:2" x14ac:dyDescent="0.2">
      <c r="A105" s="7">
        <f>ROW()</f>
        <v>105</v>
      </c>
      <c r="B105" s="7" t="s">
        <v>479</v>
      </c>
    </row>
    <row r="106" spans="1:2" x14ac:dyDescent="0.2">
      <c r="A106" s="7">
        <f>ROW()</f>
        <v>106</v>
      </c>
      <c r="B106" s="7" t="s">
        <v>480</v>
      </c>
    </row>
    <row r="107" spans="1:2" x14ac:dyDescent="0.2">
      <c r="A107" s="7">
        <f>ROW()</f>
        <v>107</v>
      </c>
      <c r="B107" s="7" t="s">
        <v>481</v>
      </c>
    </row>
    <row r="108" spans="1:2" x14ac:dyDescent="0.2">
      <c r="A108" s="7">
        <f>ROW()</f>
        <v>108</v>
      </c>
      <c r="B108" s="7" t="s">
        <v>482</v>
      </c>
    </row>
    <row r="109" spans="1:2" x14ac:dyDescent="0.2">
      <c r="A109" s="7">
        <f>ROW()</f>
        <v>109</v>
      </c>
      <c r="B109" s="7" t="s">
        <v>483</v>
      </c>
    </row>
    <row r="110" spans="1:2" x14ac:dyDescent="0.2">
      <c r="A110" s="7">
        <f>ROW()</f>
        <v>110</v>
      </c>
      <c r="B110" s="7" t="s">
        <v>484</v>
      </c>
    </row>
    <row r="111" spans="1:2" x14ac:dyDescent="0.2">
      <c r="A111" s="7">
        <f>ROW()</f>
        <v>111</v>
      </c>
      <c r="B111" s="7" t="s">
        <v>485</v>
      </c>
    </row>
    <row r="112" spans="1:2" x14ac:dyDescent="0.2">
      <c r="A112" s="7">
        <f>ROW()</f>
        <v>112</v>
      </c>
      <c r="B112" s="7" t="s">
        <v>486</v>
      </c>
    </row>
    <row r="113" spans="1:2" x14ac:dyDescent="0.2">
      <c r="A113" s="7">
        <f>ROW()</f>
        <v>113</v>
      </c>
      <c r="B113" s="7" t="s">
        <v>487</v>
      </c>
    </row>
    <row r="114" spans="1:2" x14ac:dyDescent="0.2">
      <c r="A114" s="7">
        <f>ROW()</f>
        <v>114</v>
      </c>
      <c r="B114" s="7" t="s">
        <v>488</v>
      </c>
    </row>
    <row r="115" spans="1:2" x14ac:dyDescent="0.2">
      <c r="A115" s="7">
        <f>ROW()</f>
        <v>115</v>
      </c>
      <c r="B115" s="7" t="s">
        <v>489</v>
      </c>
    </row>
    <row r="116" spans="1:2" x14ac:dyDescent="0.2">
      <c r="A116" s="7">
        <f>ROW()</f>
        <v>116</v>
      </c>
      <c r="B116" s="7" t="s">
        <v>490</v>
      </c>
    </row>
    <row r="117" spans="1:2" x14ac:dyDescent="0.2">
      <c r="A117" s="7">
        <f>ROW()</f>
        <v>117</v>
      </c>
      <c r="B117" s="7" t="s">
        <v>491</v>
      </c>
    </row>
    <row r="118" spans="1:2" x14ac:dyDescent="0.2">
      <c r="A118" s="7">
        <f>ROW()</f>
        <v>118</v>
      </c>
      <c r="B118" s="7" t="s">
        <v>492</v>
      </c>
    </row>
    <row r="119" spans="1:2" x14ac:dyDescent="0.2">
      <c r="A119" s="7">
        <f>ROW()</f>
        <v>119</v>
      </c>
      <c r="B119" s="7" t="s">
        <v>493</v>
      </c>
    </row>
    <row r="120" spans="1:2" x14ac:dyDescent="0.2">
      <c r="A120" s="7">
        <f>ROW()</f>
        <v>120</v>
      </c>
      <c r="B120" s="7" t="s">
        <v>494</v>
      </c>
    </row>
    <row r="121" spans="1:2" x14ac:dyDescent="0.2">
      <c r="A121" s="7">
        <f>ROW()</f>
        <v>121</v>
      </c>
      <c r="B121" s="7" t="s">
        <v>495</v>
      </c>
    </row>
    <row r="122" spans="1:2" x14ac:dyDescent="0.2">
      <c r="A122" s="7">
        <f>ROW()</f>
        <v>122</v>
      </c>
      <c r="B122" s="7" t="s">
        <v>496</v>
      </c>
    </row>
    <row r="123" spans="1:2" x14ac:dyDescent="0.2">
      <c r="A123" s="7">
        <f>ROW()</f>
        <v>123</v>
      </c>
      <c r="B123" s="7" t="s">
        <v>497</v>
      </c>
    </row>
    <row r="124" spans="1:2" x14ac:dyDescent="0.2">
      <c r="A124" s="7">
        <f>ROW()</f>
        <v>124</v>
      </c>
      <c r="B124" s="7" t="s">
        <v>498</v>
      </c>
    </row>
    <row r="125" spans="1:2" x14ac:dyDescent="0.2">
      <c r="A125" s="7">
        <f>ROW()</f>
        <v>125</v>
      </c>
      <c r="B125" s="7" t="s">
        <v>499</v>
      </c>
    </row>
    <row r="126" spans="1:2" x14ac:dyDescent="0.2">
      <c r="A126" s="7">
        <f>ROW()</f>
        <v>126</v>
      </c>
      <c r="B126" s="7" t="s">
        <v>500</v>
      </c>
    </row>
    <row r="127" spans="1:2" x14ac:dyDescent="0.2">
      <c r="A127" s="7">
        <f>ROW()</f>
        <v>127</v>
      </c>
      <c r="B127" s="7" t="s">
        <v>501</v>
      </c>
    </row>
    <row r="128" spans="1:2" x14ac:dyDescent="0.2">
      <c r="A128" s="7">
        <f>ROW()</f>
        <v>128</v>
      </c>
      <c r="B128" s="7" t="s">
        <v>502</v>
      </c>
    </row>
    <row r="129" spans="1:2" x14ac:dyDescent="0.2">
      <c r="A129" s="7">
        <f>ROW()</f>
        <v>129</v>
      </c>
      <c r="B129" s="7" t="s">
        <v>503</v>
      </c>
    </row>
    <row r="130" spans="1:2" x14ac:dyDescent="0.2">
      <c r="A130" s="7">
        <f>ROW()</f>
        <v>130</v>
      </c>
      <c r="B130" s="7" t="s">
        <v>504</v>
      </c>
    </row>
    <row r="131" spans="1:2" x14ac:dyDescent="0.2">
      <c r="A131" s="7">
        <f>ROW()</f>
        <v>131</v>
      </c>
      <c r="B131" s="7" t="s">
        <v>505</v>
      </c>
    </row>
    <row r="132" spans="1:2" x14ac:dyDescent="0.2">
      <c r="A132" s="7">
        <f>ROW()</f>
        <v>132</v>
      </c>
      <c r="B132" s="7" t="s">
        <v>506</v>
      </c>
    </row>
    <row r="133" spans="1:2" x14ac:dyDescent="0.2">
      <c r="A133" s="7">
        <f>ROW()</f>
        <v>133</v>
      </c>
      <c r="B133" s="7" t="s">
        <v>507</v>
      </c>
    </row>
    <row r="134" spans="1:2" x14ac:dyDescent="0.2">
      <c r="A134" s="7">
        <f>ROW()</f>
        <v>134</v>
      </c>
      <c r="B134" s="7" t="s">
        <v>508</v>
      </c>
    </row>
    <row r="135" spans="1:2" x14ac:dyDescent="0.2">
      <c r="A135" s="7">
        <f>ROW()</f>
        <v>135</v>
      </c>
      <c r="B135" s="7" t="s">
        <v>509</v>
      </c>
    </row>
    <row r="136" spans="1:2" x14ac:dyDescent="0.2">
      <c r="A136" s="7">
        <f>ROW()</f>
        <v>136</v>
      </c>
      <c r="B136" s="7" t="s">
        <v>510</v>
      </c>
    </row>
    <row r="137" spans="1:2" x14ac:dyDescent="0.2">
      <c r="A137" s="7">
        <f>ROW()</f>
        <v>137</v>
      </c>
      <c r="B137" s="7" t="s">
        <v>511</v>
      </c>
    </row>
    <row r="138" spans="1:2" x14ac:dyDescent="0.2">
      <c r="A138" s="7">
        <f>ROW()</f>
        <v>138</v>
      </c>
      <c r="B138" s="7" t="s">
        <v>512</v>
      </c>
    </row>
    <row r="139" spans="1:2" x14ac:dyDescent="0.2">
      <c r="A139" s="7">
        <f>ROW()</f>
        <v>139</v>
      </c>
      <c r="B139" s="7" t="s">
        <v>513</v>
      </c>
    </row>
    <row r="140" spans="1:2" x14ac:dyDescent="0.2">
      <c r="A140" s="7">
        <f>ROW()</f>
        <v>140</v>
      </c>
      <c r="B140" s="7" t="s">
        <v>514</v>
      </c>
    </row>
    <row r="141" spans="1:2" x14ac:dyDescent="0.2">
      <c r="A141" s="7">
        <f>ROW()</f>
        <v>141</v>
      </c>
      <c r="B141" s="7" t="s">
        <v>515</v>
      </c>
    </row>
    <row r="142" spans="1:2" x14ac:dyDescent="0.2">
      <c r="A142" s="7">
        <f>ROW()</f>
        <v>142</v>
      </c>
      <c r="B142" s="7" t="s">
        <v>516</v>
      </c>
    </row>
    <row r="143" spans="1:2" x14ac:dyDescent="0.2">
      <c r="A143" s="7">
        <f>ROW()</f>
        <v>143</v>
      </c>
      <c r="B143" s="7" t="s">
        <v>517</v>
      </c>
    </row>
    <row r="144" spans="1:2" x14ac:dyDescent="0.2">
      <c r="A144" s="7">
        <f>ROW()</f>
        <v>144</v>
      </c>
      <c r="B144" s="7" t="s">
        <v>518</v>
      </c>
    </row>
    <row r="145" spans="1:2" x14ac:dyDescent="0.2">
      <c r="A145" s="7">
        <f>ROW()</f>
        <v>145</v>
      </c>
      <c r="B145" s="7" t="s">
        <v>519</v>
      </c>
    </row>
    <row r="146" spans="1:2" x14ac:dyDescent="0.2">
      <c r="A146" s="7">
        <f>ROW()</f>
        <v>146</v>
      </c>
      <c r="B146" s="7" t="s">
        <v>520</v>
      </c>
    </row>
    <row r="147" spans="1:2" x14ac:dyDescent="0.2">
      <c r="A147" s="7">
        <f>ROW()</f>
        <v>147</v>
      </c>
      <c r="B147" s="7" t="s">
        <v>521</v>
      </c>
    </row>
    <row r="148" spans="1:2" x14ac:dyDescent="0.2">
      <c r="A148" s="7">
        <f>ROW()</f>
        <v>148</v>
      </c>
      <c r="B148" s="7" t="s">
        <v>522</v>
      </c>
    </row>
    <row r="149" spans="1:2" x14ac:dyDescent="0.2">
      <c r="A149" s="7">
        <f>ROW()</f>
        <v>149</v>
      </c>
      <c r="B149" s="7" t="s">
        <v>523</v>
      </c>
    </row>
    <row r="150" spans="1:2" x14ac:dyDescent="0.2">
      <c r="A150" s="7">
        <f>ROW()</f>
        <v>150</v>
      </c>
      <c r="B150" s="7" t="s">
        <v>524</v>
      </c>
    </row>
    <row r="151" spans="1:2" x14ac:dyDescent="0.2">
      <c r="A151" s="7">
        <f>ROW()</f>
        <v>151</v>
      </c>
      <c r="B151" s="7" t="s">
        <v>525</v>
      </c>
    </row>
    <row r="152" spans="1:2" x14ac:dyDescent="0.2">
      <c r="A152" s="7">
        <f>ROW()</f>
        <v>152</v>
      </c>
      <c r="B152" s="7" t="s">
        <v>526</v>
      </c>
    </row>
    <row r="153" spans="1:2" x14ac:dyDescent="0.2">
      <c r="A153" s="7">
        <f>ROW()</f>
        <v>153</v>
      </c>
      <c r="B153" s="7" t="s">
        <v>527</v>
      </c>
    </row>
    <row r="154" spans="1:2" x14ac:dyDescent="0.2">
      <c r="A154" s="7">
        <f>ROW()</f>
        <v>154</v>
      </c>
      <c r="B154" s="7" t="s">
        <v>528</v>
      </c>
    </row>
    <row r="155" spans="1:2" x14ac:dyDescent="0.2">
      <c r="A155" s="7">
        <f>ROW()</f>
        <v>155</v>
      </c>
      <c r="B155" s="7" t="s">
        <v>529</v>
      </c>
    </row>
    <row r="156" spans="1:2" x14ac:dyDescent="0.2">
      <c r="A156" s="7">
        <f>ROW()</f>
        <v>156</v>
      </c>
      <c r="B156" s="7" t="s">
        <v>530</v>
      </c>
    </row>
    <row r="157" spans="1:2" x14ac:dyDescent="0.2">
      <c r="A157" s="7">
        <f>ROW()</f>
        <v>157</v>
      </c>
      <c r="B157" s="7" t="s">
        <v>531</v>
      </c>
    </row>
    <row r="158" spans="1:2" x14ac:dyDescent="0.2">
      <c r="A158" s="7">
        <f>ROW()</f>
        <v>158</v>
      </c>
      <c r="B158" s="7" t="s">
        <v>532</v>
      </c>
    </row>
    <row r="159" spans="1:2" x14ac:dyDescent="0.2">
      <c r="A159" s="7">
        <f>ROW()</f>
        <v>159</v>
      </c>
      <c r="B159" s="7" t="s">
        <v>533</v>
      </c>
    </row>
    <row r="160" spans="1:2" x14ac:dyDescent="0.2">
      <c r="A160" s="7">
        <f>ROW()</f>
        <v>160</v>
      </c>
      <c r="B160" s="7" t="s">
        <v>534</v>
      </c>
    </row>
    <row r="161" spans="1:2" x14ac:dyDescent="0.2">
      <c r="A161" s="7">
        <f>ROW()</f>
        <v>161</v>
      </c>
      <c r="B161" s="7" t="s">
        <v>535</v>
      </c>
    </row>
    <row r="162" spans="1:2" x14ac:dyDescent="0.2">
      <c r="A162" s="7">
        <f>ROW()</f>
        <v>162</v>
      </c>
      <c r="B162" s="7" t="s">
        <v>536</v>
      </c>
    </row>
    <row r="163" spans="1:2" x14ac:dyDescent="0.2">
      <c r="A163" s="7">
        <f>ROW()</f>
        <v>163</v>
      </c>
      <c r="B163" s="7" t="s">
        <v>537</v>
      </c>
    </row>
    <row r="164" spans="1:2" x14ac:dyDescent="0.2">
      <c r="A164" s="7">
        <f>ROW()</f>
        <v>164</v>
      </c>
      <c r="B164" s="7" t="s">
        <v>538</v>
      </c>
    </row>
    <row r="165" spans="1:2" x14ac:dyDescent="0.2">
      <c r="A165" s="7">
        <f>ROW()</f>
        <v>165</v>
      </c>
      <c r="B165" s="7" t="s">
        <v>539</v>
      </c>
    </row>
    <row r="166" spans="1:2" x14ac:dyDescent="0.2">
      <c r="A166" s="7">
        <f>ROW()</f>
        <v>166</v>
      </c>
      <c r="B166" s="7" t="s">
        <v>540</v>
      </c>
    </row>
    <row r="167" spans="1:2" x14ac:dyDescent="0.2">
      <c r="A167" s="7">
        <f>ROW()</f>
        <v>167</v>
      </c>
      <c r="B167" s="7" t="s">
        <v>541</v>
      </c>
    </row>
    <row r="168" spans="1:2" x14ac:dyDescent="0.2">
      <c r="A168" s="7">
        <f>ROW()</f>
        <v>168</v>
      </c>
      <c r="B168" s="7" t="s">
        <v>542</v>
      </c>
    </row>
    <row r="169" spans="1:2" x14ac:dyDescent="0.2">
      <c r="A169" s="7">
        <f>ROW()</f>
        <v>169</v>
      </c>
      <c r="B169" s="7" t="s">
        <v>543</v>
      </c>
    </row>
    <row r="170" spans="1:2" x14ac:dyDescent="0.2">
      <c r="A170" s="7">
        <f>ROW()</f>
        <v>170</v>
      </c>
      <c r="B170" s="7" t="s">
        <v>544</v>
      </c>
    </row>
    <row r="171" spans="1:2" x14ac:dyDescent="0.2">
      <c r="A171" s="7">
        <f>ROW()</f>
        <v>171</v>
      </c>
      <c r="B171" s="7" t="s">
        <v>545</v>
      </c>
    </row>
    <row r="172" spans="1:2" x14ac:dyDescent="0.2">
      <c r="A172" s="7">
        <f>ROW()</f>
        <v>172</v>
      </c>
      <c r="B172" s="7" t="s">
        <v>546</v>
      </c>
    </row>
    <row r="173" spans="1:2" x14ac:dyDescent="0.2">
      <c r="A173" s="7">
        <f>ROW()</f>
        <v>173</v>
      </c>
      <c r="B173" s="7" t="s">
        <v>547</v>
      </c>
    </row>
    <row r="174" spans="1:2" x14ac:dyDescent="0.2">
      <c r="A174" s="7">
        <f>ROW()</f>
        <v>174</v>
      </c>
      <c r="B174" s="7" t="s">
        <v>548</v>
      </c>
    </row>
    <row r="175" spans="1:2" x14ac:dyDescent="0.2">
      <c r="A175" s="7">
        <f>ROW()</f>
        <v>175</v>
      </c>
      <c r="B175" s="7" t="s">
        <v>549</v>
      </c>
    </row>
    <row r="176" spans="1:2" x14ac:dyDescent="0.2">
      <c r="A176" s="7">
        <f>ROW()</f>
        <v>176</v>
      </c>
      <c r="B176" s="7" t="s">
        <v>550</v>
      </c>
    </row>
    <row r="177" spans="1:2" x14ac:dyDescent="0.2">
      <c r="A177" s="7">
        <f>ROW()</f>
        <v>177</v>
      </c>
      <c r="B177" s="7" t="s">
        <v>551</v>
      </c>
    </row>
    <row r="178" spans="1:2" x14ac:dyDescent="0.2">
      <c r="A178" s="7">
        <f>ROW()</f>
        <v>178</v>
      </c>
      <c r="B178" s="7" t="s">
        <v>552</v>
      </c>
    </row>
    <row r="179" spans="1:2" x14ac:dyDescent="0.2">
      <c r="A179" s="7">
        <f>ROW()</f>
        <v>179</v>
      </c>
      <c r="B179" s="7" t="s">
        <v>553</v>
      </c>
    </row>
    <row r="180" spans="1:2" x14ac:dyDescent="0.2">
      <c r="A180" s="7">
        <f>ROW()</f>
        <v>180</v>
      </c>
      <c r="B180" s="7" t="s">
        <v>554</v>
      </c>
    </row>
    <row r="181" spans="1:2" x14ac:dyDescent="0.2">
      <c r="A181" s="7">
        <f>ROW()</f>
        <v>181</v>
      </c>
      <c r="B181" s="7" t="s">
        <v>555</v>
      </c>
    </row>
    <row r="182" spans="1:2" x14ac:dyDescent="0.2">
      <c r="A182" s="7">
        <f>ROW()</f>
        <v>182</v>
      </c>
      <c r="B182" s="7" t="s">
        <v>556</v>
      </c>
    </row>
    <row r="183" spans="1:2" x14ac:dyDescent="0.2">
      <c r="A183" s="7">
        <f>ROW()</f>
        <v>183</v>
      </c>
      <c r="B183" s="7" t="s">
        <v>557</v>
      </c>
    </row>
    <row r="184" spans="1:2" x14ac:dyDescent="0.2">
      <c r="A184" s="7">
        <f>ROW()</f>
        <v>184</v>
      </c>
      <c r="B184" s="7" t="s">
        <v>558</v>
      </c>
    </row>
    <row r="185" spans="1:2" x14ac:dyDescent="0.2">
      <c r="A185" s="7">
        <f>ROW()</f>
        <v>185</v>
      </c>
      <c r="B185" s="7" t="s">
        <v>559</v>
      </c>
    </row>
    <row r="186" spans="1:2" x14ac:dyDescent="0.2">
      <c r="A186" s="7">
        <f>ROW()</f>
        <v>186</v>
      </c>
      <c r="B186" s="7" t="s">
        <v>560</v>
      </c>
    </row>
    <row r="187" spans="1:2" x14ac:dyDescent="0.2">
      <c r="A187" s="7">
        <f>ROW()</f>
        <v>187</v>
      </c>
      <c r="B187" s="7" t="s">
        <v>561</v>
      </c>
    </row>
    <row r="188" spans="1:2" x14ac:dyDescent="0.2">
      <c r="A188" s="7">
        <f>ROW()</f>
        <v>188</v>
      </c>
      <c r="B188" s="7" t="s">
        <v>562</v>
      </c>
    </row>
    <row r="189" spans="1:2" x14ac:dyDescent="0.2">
      <c r="A189" s="7">
        <f>ROW()</f>
        <v>189</v>
      </c>
      <c r="B189" s="7" t="s">
        <v>563</v>
      </c>
    </row>
    <row r="190" spans="1:2" x14ac:dyDescent="0.2">
      <c r="A190" s="7">
        <f>ROW()</f>
        <v>190</v>
      </c>
      <c r="B190" s="7" t="s">
        <v>564</v>
      </c>
    </row>
    <row r="191" spans="1:2" x14ac:dyDescent="0.2">
      <c r="A191" s="7">
        <f>ROW()</f>
        <v>191</v>
      </c>
      <c r="B191" s="7" t="s">
        <v>565</v>
      </c>
    </row>
    <row r="192" spans="1:2" x14ac:dyDescent="0.2">
      <c r="A192" s="7">
        <f>ROW()</f>
        <v>192</v>
      </c>
      <c r="B192" s="7" t="s">
        <v>566</v>
      </c>
    </row>
  </sheetData>
  <autoFilter ref="A1:B1" xr:uid="{9F7AD940-7762-483B-BFA2-B7BC27962B86}"/>
  <sortState xmlns:xlrd2="http://schemas.microsoft.com/office/spreadsheetml/2017/richdata2" ref="B2:B191">
    <sortCondition ref="B2:B19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368D-6027-4F73-AC7D-EBF6B1467D87}">
  <sheetPr codeName="Planilha3">
    <tabColor rgb="FFFFC000"/>
  </sheetPr>
  <dimension ref="A1:B2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18.85546875" style="7" bestFit="1" customWidth="1"/>
    <col min="2" max="2" width="18.5703125" style="7" bestFit="1" customWidth="1"/>
    <col min="3" max="16384" width="9.140625" style="7"/>
  </cols>
  <sheetData>
    <row r="1" spans="1:2" ht="15.75" thickBot="1" x14ac:dyDescent="0.3">
      <c r="A1" s="11" t="s">
        <v>567</v>
      </c>
      <c r="B1" s="12" t="s">
        <v>568</v>
      </c>
    </row>
    <row r="2" spans="1:2" x14ac:dyDescent="0.2">
      <c r="A2" s="7">
        <f>ROW()</f>
        <v>2</v>
      </c>
      <c r="B2" s="7" t="s">
        <v>569</v>
      </c>
    </row>
  </sheetData>
  <autoFilter ref="A1:B1" xr:uid="{0763368D-6027-4F73-AC7D-EBF6B1467D87}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E8748-4108-4B36-B981-AC68DFC11A62}">
  <sheetPr codeName="Planilha4">
    <tabColor rgb="FFFFC000"/>
  </sheetPr>
  <dimension ref="A1:C3"/>
  <sheetViews>
    <sheetView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17.28515625" style="7" bestFit="1" customWidth="1"/>
    <col min="2" max="2" width="19.85546875" style="7" bestFit="1" customWidth="1"/>
    <col min="3" max="3" width="12" style="7" bestFit="1" customWidth="1"/>
    <col min="4" max="16384" width="9.140625" style="7"/>
  </cols>
  <sheetData>
    <row r="1" spans="1:3" s="2" customFormat="1" ht="15.75" thickBot="1" x14ac:dyDescent="0.3">
      <c r="A1" s="11" t="s">
        <v>570</v>
      </c>
      <c r="B1" s="13" t="s">
        <v>638</v>
      </c>
      <c r="C1" s="12" t="s">
        <v>7</v>
      </c>
    </row>
    <row r="2" spans="1:3" x14ac:dyDescent="0.2">
      <c r="A2" s="7">
        <f>ROW()</f>
        <v>2</v>
      </c>
      <c r="B2" s="7" t="s">
        <v>12</v>
      </c>
      <c r="C2" s="7" t="s">
        <v>571</v>
      </c>
    </row>
    <row r="3" spans="1:3" x14ac:dyDescent="0.2">
      <c r="A3" s="7">
        <f>ROW()</f>
        <v>3</v>
      </c>
      <c r="B3" s="7" t="s">
        <v>10</v>
      </c>
      <c r="C3" s="7" t="s">
        <v>572</v>
      </c>
    </row>
  </sheetData>
  <autoFilter ref="A1:C1" xr:uid="{F20E8748-4108-4B36-B981-AC68DFC11A62}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C657B-7549-40FE-A381-8EDA4AA2EB5B}">
  <sheetPr codeName="Planilha5">
    <tabColor rgb="FFFFC000"/>
  </sheetPr>
  <dimension ref="A1:B6"/>
  <sheetViews>
    <sheetView workbookViewId="0">
      <pane xSplit="2" ySplit="1" topLeftCell="C2" activePane="bottomRight" state="frozen"/>
      <selection pane="topRight" activeCell="C1" sqref="C1"/>
      <selection pane="bottomLeft" activeCell="A5" sqref="A5"/>
      <selection pane="bottomRight"/>
    </sheetView>
  </sheetViews>
  <sheetFormatPr defaultRowHeight="14.25" x14ac:dyDescent="0.2"/>
  <cols>
    <col min="1" max="1" width="24.28515625" style="7" bestFit="1" customWidth="1"/>
    <col min="2" max="2" width="19" style="7" bestFit="1" customWidth="1"/>
    <col min="3" max="16384" width="9.140625" style="7"/>
  </cols>
  <sheetData>
    <row r="1" spans="1:2" s="2" customFormat="1" ht="15.75" thickBot="1" x14ac:dyDescent="0.3">
      <c r="A1" s="11" t="s">
        <v>637</v>
      </c>
      <c r="B1" s="12" t="s">
        <v>618</v>
      </c>
    </row>
    <row r="2" spans="1:2" x14ac:dyDescent="0.2">
      <c r="A2" s="7">
        <f>ROW()</f>
        <v>2</v>
      </c>
      <c r="B2" s="7" t="s">
        <v>633</v>
      </c>
    </row>
    <row r="3" spans="1:2" x14ac:dyDescent="0.2">
      <c r="A3" s="7">
        <f>ROW()</f>
        <v>3</v>
      </c>
      <c r="B3" s="7" t="s">
        <v>634</v>
      </c>
    </row>
    <row r="4" spans="1:2" x14ac:dyDescent="0.2">
      <c r="A4" s="7">
        <f>ROW()</f>
        <v>4</v>
      </c>
      <c r="B4" s="7" t="s">
        <v>616</v>
      </c>
    </row>
    <row r="5" spans="1:2" x14ac:dyDescent="0.2">
      <c r="A5" s="7">
        <f>ROW()</f>
        <v>5</v>
      </c>
      <c r="B5" s="7" t="s">
        <v>635</v>
      </c>
    </row>
    <row r="6" spans="1:2" x14ac:dyDescent="0.2">
      <c r="A6" s="7">
        <f>ROW()</f>
        <v>6</v>
      </c>
      <c r="B6" s="7" t="s">
        <v>617</v>
      </c>
    </row>
  </sheetData>
  <autoFilter ref="A1:B1" xr:uid="{5F7C657B-7549-40FE-A381-8EDA4AA2EB5B}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5DCB9-E0D2-438A-8FF0-3D875FF32FD8}">
  <sheetPr codeName="Planilha6">
    <tabColor rgb="FFFFC000"/>
  </sheetPr>
  <dimension ref="A1:B7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ColWidth="12.85546875" defaultRowHeight="14.25" x14ac:dyDescent="0.2"/>
  <cols>
    <col min="1" max="1" width="14.28515625" style="7" bestFit="1" customWidth="1"/>
    <col min="2" max="2" width="39.7109375" style="7" bestFit="1" customWidth="1"/>
    <col min="3" max="16384" width="12.85546875" style="7"/>
  </cols>
  <sheetData>
    <row r="1" spans="1:2" ht="15.75" thickBot="1" x14ac:dyDescent="0.3">
      <c r="A1" s="11" t="s">
        <v>653</v>
      </c>
      <c r="B1" s="12" t="s">
        <v>654</v>
      </c>
    </row>
    <row r="2" spans="1:2" x14ac:dyDescent="0.2">
      <c r="A2" s="7">
        <f>ROW()</f>
        <v>2</v>
      </c>
      <c r="B2" s="7" t="s">
        <v>652</v>
      </c>
    </row>
    <row r="3" spans="1:2" x14ac:dyDescent="0.2">
      <c r="A3" s="7">
        <f>ROW()</f>
        <v>3</v>
      </c>
      <c r="B3" s="7" t="s">
        <v>573</v>
      </c>
    </row>
    <row r="4" spans="1:2" x14ac:dyDescent="0.2">
      <c r="A4" s="7">
        <f>ROW()</f>
        <v>4</v>
      </c>
      <c r="B4" s="7" t="s">
        <v>649</v>
      </c>
    </row>
    <row r="5" spans="1:2" x14ac:dyDescent="0.2">
      <c r="A5" s="7">
        <f>ROW()</f>
        <v>5</v>
      </c>
      <c r="B5" s="7" t="s">
        <v>650</v>
      </c>
    </row>
    <row r="6" spans="1:2" x14ac:dyDescent="0.2">
      <c r="A6" s="7">
        <f>ROW()</f>
        <v>6</v>
      </c>
      <c r="B6" s="7" t="s">
        <v>651</v>
      </c>
    </row>
    <row r="7" spans="1:2" x14ac:dyDescent="0.2">
      <c r="A7" s="7">
        <f>ROW()</f>
        <v>7</v>
      </c>
      <c r="B7" s="7" t="s">
        <v>574</v>
      </c>
    </row>
  </sheetData>
  <autoFilter ref="A1:B1" xr:uid="{0FA5DCB9-E0D2-438A-8FF0-3D875FF32FD8}"/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ACC74-E9CE-4DBF-8E8A-6DEF6CAC3B8F}">
  <sheetPr codeName="Planilha7">
    <tabColor theme="7"/>
  </sheetPr>
  <dimension ref="A1:B1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21.7109375" style="7" bestFit="1" customWidth="1"/>
    <col min="2" max="2" width="27.7109375" style="7" bestFit="1" customWidth="1"/>
    <col min="3" max="16384" width="9.140625" style="7"/>
  </cols>
  <sheetData>
    <row r="1" spans="1:2" ht="15.75" thickBot="1" x14ac:dyDescent="0.3">
      <c r="A1" s="11" t="s">
        <v>575</v>
      </c>
      <c r="B1" s="12" t="s">
        <v>576</v>
      </c>
    </row>
    <row r="2" spans="1:2" x14ac:dyDescent="0.2">
      <c r="A2" s="7">
        <f>ROW()</f>
        <v>2</v>
      </c>
      <c r="B2" s="7" t="s">
        <v>655</v>
      </c>
    </row>
    <row r="3" spans="1:2" x14ac:dyDescent="0.2">
      <c r="A3" s="7">
        <f>ROW()</f>
        <v>3</v>
      </c>
      <c r="B3" s="7" t="s">
        <v>577</v>
      </c>
    </row>
    <row r="4" spans="1:2" x14ac:dyDescent="0.2">
      <c r="A4" s="7">
        <f>ROW()</f>
        <v>4</v>
      </c>
      <c r="B4" s="7" t="s">
        <v>578</v>
      </c>
    </row>
    <row r="5" spans="1:2" x14ac:dyDescent="0.2">
      <c r="A5" s="7">
        <f>ROW()</f>
        <v>5</v>
      </c>
      <c r="B5" s="7" t="s">
        <v>579</v>
      </c>
    </row>
    <row r="6" spans="1:2" x14ac:dyDescent="0.2">
      <c r="A6" s="7">
        <f>ROW()</f>
        <v>6</v>
      </c>
      <c r="B6" s="7" t="s">
        <v>656</v>
      </c>
    </row>
    <row r="7" spans="1:2" x14ac:dyDescent="0.2">
      <c r="A7" s="7">
        <f>ROW()</f>
        <v>7</v>
      </c>
      <c r="B7" s="7" t="s">
        <v>580</v>
      </c>
    </row>
    <row r="8" spans="1:2" x14ac:dyDescent="0.2">
      <c r="A8" s="7">
        <f>ROW()</f>
        <v>8</v>
      </c>
      <c r="B8" s="7" t="s">
        <v>581</v>
      </c>
    </row>
    <row r="9" spans="1:2" x14ac:dyDescent="0.2">
      <c r="A9" s="7">
        <f>ROW()</f>
        <v>9</v>
      </c>
      <c r="B9" s="7" t="s">
        <v>582</v>
      </c>
    </row>
    <row r="10" spans="1:2" x14ac:dyDescent="0.2">
      <c r="A10" s="7">
        <f>ROW()</f>
        <v>10</v>
      </c>
      <c r="B10" s="7" t="s">
        <v>583</v>
      </c>
    </row>
    <row r="11" spans="1:2" x14ac:dyDescent="0.2">
      <c r="A11" s="7">
        <f>ROW()</f>
        <v>11</v>
      </c>
      <c r="B11" s="7" t="s">
        <v>584</v>
      </c>
    </row>
    <row r="12" spans="1:2" x14ac:dyDescent="0.2">
      <c r="A12" s="7">
        <f>ROW()</f>
        <v>12</v>
      </c>
      <c r="B12" s="7" t="s">
        <v>585</v>
      </c>
    </row>
    <row r="13" spans="1:2" x14ac:dyDescent="0.2">
      <c r="A13" s="7">
        <f>ROW()</f>
        <v>13</v>
      </c>
      <c r="B13" s="7" t="s">
        <v>657</v>
      </c>
    </row>
  </sheetData>
  <autoFilter ref="A1:B1" xr:uid="{713ACC74-E9CE-4DBF-8E8A-6DEF6CAC3B8F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F8144-F7D5-42F9-9B1A-1529367AC879}">
  <sheetPr codeName="Planilha8">
    <tabColor rgb="FFFFC000"/>
  </sheetPr>
  <dimension ref="A1:B7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33.7109375" style="7" bestFit="1" customWidth="1"/>
    <col min="2" max="2" width="27.140625" style="7" bestFit="1" customWidth="1"/>
    <col min="3" max="16384" width="9.140625" style="7"/>
  </cols>
  <sheetData>
    <row r="1" spans="1:2" ht="15.75" thickBot="1" x14ac:dyDescent="0.3">
      <c r="A1" s="11" t="s">
        <v>658</v>
      </c>
      <c r="B1" s="12" t="s">
        <v>659</v>
      </c>
    </row>
    <row r="2" spans="1:2" x14ac:dyDescent="0.2">
      <c r="A2" s="7">
        <f>ROW()</f>
        <v>2</v>
      </c>
      <c r="B2" s="7" t="s">
        <v>586</v>
      </c>
    </row>
    <row r="3" spans="1:2" x14ac:dyDescent="0.2">
      <c r="A3" s="7">
        <f>ROW()</f>
        <v>3</v>
      </c>
      <c r="B3" s="7" t="s">
        <v>660</v>
      </c>
    </row>
    <row r="4" spans="1:2" x14ac:dyDescent="0.2">
      <c r="A4" s="7">
        <f>ROW()</f>
        <v>4</v>
      </c>
      <c r="B4" s="7" t="s">
        <v>587</v>
      </c>
    </row>
    <row r="5" spans="1:2" x14ac:dyDescent="0.2">
      <c r="A5" s="7">
        <f>ROW()</f>
        <v>5</v>
      </c>
      <c r="B5" s="7" t="s">
        <v>588</v>
      </c>
    </row>
    <row r="6" spans="1:2" x14ac:dyDescent="0.2">
      <c r="A6" s="7">
        <f>ROW()</f>
        <v>6</v>
      </c>
      <c r="B6" s="7" t="s">
        <v>589</v>
      </c>
    </row>
    <row r="7" spans="1:2" x14ac:dyDescent="0.2">
      <c r="A7" s="7">
        <f>ROW()</f>
        <v>7</v>
      </c>
      <c r="B7" s="7" t="s">
        <v>590</v>
      </c>
    </row>
  </sheetData>
  <autoFilter ref="A1:B1" xr:uid="{130F8144-F7D5-42F9-9B1A-1529367AC879}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784AD-E24A-4573-99F4-F5DC6FED1268}">
  <sheetPr codeName="Planilha9">
    <tabColor rgb="FFFFC000"/>
  </sheetPr>
  <dimension ref="A1:B1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15.7109375" style="7" bestFit="1" customWidth="1"/>
    <col min="2" max="2" width="18.7109375" style="7" bestFit="1" customWidth="1"/>
    <col min="3" max="16384" width="9.140625" style="7"/>
  </cols>
  <sheetData>
    <row r="1" spans="1:2" ht="15.75" thickBot="1" x14ac:dyDescent="0.3">
      <c r="A1" s="11" t="s">
        <v>591</v>
      </c>
      <c r="B1" s="12" t="s">
        <v>592</v>
      </c>
    </row>
    <row r="2" spans="1:2" x14ac:dyDescent="0.2">
      <c r="A2" s="7">
        <f>ROW()</f>
        <v>2</v>
      </c>
      <c r="B2" s="7" t="s">
        <v>593</v>
      </c>
    </row>
    <row r="3" spans="1:2" x14ac:dyDescent="0.2">
      <c r="A3" s="7">
        <f>ROW()</f>
        <v>3</v>
      </c>
      <c r="B3" s="7" t="s">
        <v>594</v>
      </c>
    </row>
    <row r="4" spans="1:2" x14ac:dyDescent="0.2">
      <c r="A4" s="7">
        <f>ROW()</f>
        <v>4</v>
      </c>
      <c r="B4" s="7" t="s">
        <v>595</v>
      </c>
    </row>
    <row r="5" spans="1:2" x14ac:dyDescent="0.2">
      <c r="A5" s="7">
        <f>ROW()</f>
        <v>5</v>
      </c>
      <c r="B5" s="7" t="s">
        <v>596</v>
      </c>
    </row>
    <row r="6" spans="1:2" x14ac:dyDescent="0.2">
      <c r="A6" s="7">
        <f>ROW()</f>
        <v>6</v>
      </c>
      <c r="B6" s="7" t="s">
        <v>597</v>
      </c>
    </row>
    <row r="7" spans="1:2" x14ac:dyDescent="0.2">
      <c r="A7" s="7">
        <f>ROW()</f>
        <v>7</v>
      </c>
      <c r="B7" s="7" t="s">
        <v>598</v>
      </c>
    </row>
    <row r="8" spans="1:2" x14ac:dyDescent="0.2">
      <c r="A8" s="7">
        <f>ROW()</f>
        <v>8</v>
      </c>
      <c r="B8" s="7" t="s">
        <v>599</v>
      </c>
    </row>
    <row r="9" spans="1:2" x14ac:dyDescent="0.2">
      <c r="A9" s="7">
        <f>ROW()</f>
        <v>9</v>
      </c>
      <c r="B9" s="7" t="s">
        <v>600</v>
      </c>
    </row>
    <row r="10" spans="1:2" x14ac:dyDescent="0.2">
      <c r="A10" s="7">
        <f>ROW()</f>
        <v>10</v>
      </c>
      <c r="B10" s="7" t="s">
        <v>601</v>
      </c>
    </row>
    <row r="11" spans="1:2" x14ac:dyDescent="0.2">
      <c r="A11" s="7">
        <f>ROW()</f>
        <v>11</v>
      </c>
      <c r="B11" s="7" t="s">
        <v>602</v>
      </c>
    </row>
  </sheetData>
  <autoFilter ref="A1:B1" xr:uid="{EDF784AD-E24A-4573-99F4-F5DC6FED1268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D3E2A-E217-40CA-9FB8-A0ED83185776}">
  <sheetPr codeName="Planilha10">
    <tabColor rgb="FFFFC000"/>
  </sheetPr>
  <dimension ref="A1:B4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14.85546875" style="7" bestFit="1" customWidth="1"/>
    <col min="2" max="2" width="10.85546875" style="7" bestFit="1" customWidth="1"/>
    <col min="3" max="16384" width="9.140625" style="7"/>
  </cols>
  <sheetData>
    <row r="1" spans="1:2" ht="15" x14ac:dyDescent="0.25">
      <c r="A1" s="2" t="s">
        <v>603</v>
      </c>
      <c r="B1" s="2" t="s">
        <v>604</v>
      </c>
    </row>
    <row r="2" spans="1:2" x14ac:dyDescent="0.2">
      <c r="A2" s="7">
        <f>ROW()</f>
        <v>2</v>
      </c>
      <c r="B2" s="7" t="s">
        <v>605</v>
      </c>
    </row>
    <row r="3" spans="1:2" x14ac:dyDescent="0.2">
      <c r="A3" s="7">
        <f>ROW()</f>
        <v>3</v>
      </c>
      <c r="B3" s="7" t="s">
        <v>606</v>
      </c>
    </row>
    <row r="4" spans="1:2" x14ac:dyDescent="0.2">
      <c r="A4" s="7">
        <f>ROW()</f>
        <v>4</v>
      </c>
      <c r="B4" s="7" t="s">
        <v>607</v>
      </c>
    </row>
  </sheetData>
  <autoFilter ref="A1:B1" xr:uid="{09AD3E2A-E217-40CA-9FB8-A0ED83185776}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01FBC-5621-48A7-90B3-826ED9AD5461}">
  <sheetPr codeName="Sheet1">
    <tabColor rgb="FFFFC000"/>
  </sheetPr>
  <dimension ref="A1:B2"/>
  <sheetViews>
    <sheetView workbookViewId="0">
      <pane xSplit="2" ySplit="1" topLeftCell="C2" activePane="bottomRight" state="frozen"/>
      <selection pane="topRight" activeCell="C1" sqref="C1"/>
      <selection pane="bottomLeft" activeCell="A5" sqref="A5"/>
      <selection pane="bottomRight"/>
    </sheetView>
  </sheetViews>
  <sheetFormatPr defaultRowHeight="14.25" x14ac:dyDescent="0.2"/>
  <cols>
    <col min="1" max="1" width="17.5703125" style="7" bestFit="1" customWidth="1"/>
    <col min="2" max="2" width="14.28515625" style="7" bestFit="1" customWidth="1"/>
    <col min="3" max="16384" width="9.140625" style="7"/>
  </cols>
  <sheetData>
    <row r="1" spans="1:2" ht="15.75" thickBot="1" x14ac:dyDescent="0.3">
      <c r="A1" s="11" t="s">
        <v>646</v>
      </c>
      <c r="B1" s="12" t="s">
        <v>647</v>
      </c>
    </row>
    <row r="2" spans="1:2" x14ac:dyDescent="0.2">
      <c r="A2" s="7">
        <f>ROW()</f>
        <v>2</v>
      </c>
      <c r="B2" s="7" t="s">
        <v>645</v>
      </c>
    </row>
  </sheetData>
  <autoFilter ref="A1:B1" xr:uid="{1A201FBC-5621-48A7-90B3-826ED9AD5461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E19E2-C3CB-4E4F-AD06-6E806968E2C2}">
  <sheetPr codeName="Planilha11">
    <tabColor rgb="FFFFC000"/>
  </sheetPr>
  <dimension ref="A1:D21"/>
  <sheetViews>
    <sheetView workbookViewId="0">
      <pane xSplit="3" ySplit="1" topLeftCell="D2" activePane="bottomRight" state="frozen"/>
      <selection pane="topRight" activeCell="E1" sqref="E1"/>
      <selection pane="bottomLeft" activeCell="A5" sqref="A5"/>
      <selection pane="bottomRight" activeCell="C21" sqref="C21"/>
    </sheetView>
  </sheetViews>
  <sheetFormatPr defaultRowHeight="14.25" x14ac:dyDescent="0.2"/>
  <cols>
    <col min="1" max="1" width="17" style="7" bestFit="1" customWidth="1"/>
    <col min="2" max="2" width="14.85546875" style="7" bestFit="1" customWidth="1"/>
    <col min="3" max="3" width="16.85546875" style="9" bestFit="1" customWidth="1"/>
    <col min="4" max="4" width="102.7109375" style="7" hidden="1" customWidth="1"/>
    <col min="5" max="16384" width="9.140625" style="7"/>
  </cols>
  <sheetData>
    <row r="1" spans="1:4" s="2" customFormat="1" ht="15.75" thickBot="1" x14ac:dyDescent="0.3">
      <c r="A1" s="11" t="s">
        <v>648</v>
      </c>
      <c r="B1" s="13" t="s">
        <v>636</v>
      </c>
      <c r="C1" s="12" t="s">
        <v>620</v>
      </c>
      <c r="D1" s="2" t="s">
        <v>8</v>
      </c>
    </row>
    <row r="2" spans="1:4" x14ac:dyDescent="0.2">
      <c r="A2" s="7">
        <v>2</v>
      </c>
      <c r="B2" s="7">
        <f>ROW()</f>
        <v>2</v>
      </c>
      <c r="C2" s="7" t="s">
        <v>639</v>
      </c>
      <c r="D2" s="7" t="e">
        <f>"INSERT INTO " &amp;#REF! &amp; "." &amp;#REF! &amp; " (" &amp;$A$1 &amp; ", " &amp; $B$1 &amp; ", " &amp; $C$1 &amp; ") VALUES (" &amp; $A2 &amp; ", " &amp; $B2 &amp;", '" &amp; UPPER(TRIM($C2)) &amp; "');"</f>
        <v>#REF!</v>
      </c>
    </row>
    <row r="3" spans="1:4" x14ac:dyDescent="0.2">
      <c r="A3" s="7">
        <v>2</v>
      </c>
      <c r="B3" s="7">
        <f>ROW()</f>
        <v>3</v>
      </c>
      <c r="C3" s="7" t="s">
        <v>640</v>
      </c>
      <c r="D3" s="7" t="e">
        <f>"INSERT INTO " &amp;#REF! &amp; "." &amp;#REF! &amp; " (" &amp;$A$1 &amp; ", " &amp; $B$1 &amp; ", " &amp; $C$1 &amp; ") VALUES (" &amp; $A3 &amp; ", " &amp; $B3 &amp;", '" &amp; UPPER(TRIM($C3)) &amp; "');"</f>
        <v>#REF!</v>
      </c>
    </row>
    <row r="4" spans="1:4" x14ac:dyDescent="0.2">
      <c r="A4" s="7">
        <v>2</v>
      </c>
      <c r="B4" s="7">
        <f>ROW()</f>
        <v>4</v>
      </c>
      <c r="C4" s="7" t="s">
        <v>644</v>
      </c>
      <c r="D4" s="7" t="e">
        <f>"INSERT INTO " &amp;#REF! &amp; "." &amp;#REF! &amp; " (" &amp;$A$1 &amp; ", " &amp; $B$1 &amp; ", " &amp; $C$1 &amp; ") VALUES (" &amp; $A4 &amp; ", " &amp; $B4 &amp;", '" &amp; UPPER(TRIM($C4)) &amp; "');"</f>
        <v>#REF!</v>
      </c>
    </row>
    <row r="5" spans="1:4" x14ac:dyDescent="0.2">
      <c r="A5" s="7">
        <v>2</v>
      </c>
      <c r="B5" s="7">
        <f>ROW()</f>
        <v>5</v>
      </c>
      <c r="C5" s="7" t="s">
        <v>641</v>
      </c>
      <c r="D5" s="7" t="e">
        <f>"INSERT INTO " &amp;#REF! &amp; "." &amp;#REF! &amp; " (" &amp;$A$1 &amp; ", " &amp; $B$1 &amp; ", " &amp; $C$1 &amp; ") VALUES (" &amp; $A5 &amp; ", " &amp; $B5 &amp;", '" &amp; UPPER(TRIM($C5)) &amp; "');"</f>
        <v>#REF!</v>
      </c>
    </row>
    <row r="6" spans="1:4" x14ac:dyDescent="0.2">
      <c r="A6" s="7">
        <v>2</v>
      </c>
      <c r="B6" s="7">
        <f>ROW()</f>
        <v>6</v>
      </c>
      <c r="C6" s="7" t="s">
        <v>642</v>
      </c>
      <c r="D6" s="7" t="e">
        <f>"INSERT INTO " &amp;#REF! &amp; "." &amp;#REF! &amp; " (" &amp;$A$1 &amp; ", " &amp; $B$1 &amp; ", " &amp; $C$1 &amp; ") VALUES (" &amp; $A6 &amp; ", " &amp; $B6 &amp;", '" &amp; UPPER(TRIM($C6)) &amp; "');"</f>
        <v>#REF!</v>
      </c>
    </row>
    <row r="7" spans="1:4" x14ac:dyDescent="0.2">
      <c r="A7" s="7">
        <v>2</v>
      </c>
      <c r="B7" s="7">
        <f>ROW()</f>
        <v>7</v>
      </c>
      <c r="C7" s="7" t="s">
        <v>454</v>
      </c>
      <c r="D7" s="7" t="e">
        <f>"INSERT INTO " &amp;#REF! &amp; "." &amp;#REF! &amp; " (" &amp;$A$1 &amp; ", " &amp; $B$1 &amp; ", " &amp; $C$1 &amp; ") VALUES (" &amp; $A7 &amp; ", " &amp; $B7 &amp;", '" &amp; UPPER(TRIM($C7)) &amp; "');"</f>
        <v>#REF!</v>
      </c>
    </row>
    <row r="8" spans="1:4" x14ac:dyDescent="0.2">
      <c r="A8" s="7">
        <v>2</v>
      </c>
      <c r="B8" s="7">
        <f>ROW()</f>
        <v>8</v>
      </c>
      <c r="C8" s="7" t="s">
        <v>621</v>
      </c>
      <c r="D8" s="7" t="e">
        <f>"INSERT INTO " &amp;#REF! &amp; "." &amp;#REF! &amp; " (" &amp;$A$1 &amp; ", " &amp; $B$1 &amp; ", " &amp; $C$1 &amp; ") VALUES (" &amp; $A8 &amp; ", " &amp; $B8 &amp;", '" &amp; UPPER(TRIM($C8)) &amp; "');"</f>
        <v>#REF!</v>
      </c>
    </row>
    <row r="9" spans="1:4" x14ac:dyDescent="0.2">
      <c r="A9" s="7">
        <v>2</v>
      </c>
      <c r="B9" s="7">
        <f>ROW()</f>
        <v>9</v>
      </c>
      <c r="C9" s="7" t="s">
        <v>622</v>
      </c>
      <c r="D9" s="7" t="e">
        <f>"INSERT INTO " &amp;#REF! &amp; "." &amp;#REF! &amp; " (" &amp;$A$1 &amp; ", " &amp; $B$1 &amp; ", " &amp; $C$1 &amp; ") VALUES (" &amp; $A9 &amp; ", " &amp; $B9 &amp;", '" &amp; UPPER(TRIM($C9)) &amp; "');"</f>
        <v>#REF!</v>
      </c>
    </row>
    <row r="10" spans="1:4" x14ac:dyDescent="0.2">
      <c r="A10" s="7">
        <v>2</v>
      </c>
      <c r="B10" s="7">
        <f>ROW()</f>
        <v>10</v>
      </c>
      <c r="C10" s="7" t="s">
        <v>623</v>
      </c>
      <c r="D10" s="7" t="e">
        <f>"INSERT INTO " &amp;#REF! &amp; "." &amp;#REF! &amp; " (" &amp;$A$1 &amp; ", " &amp; $B$1 &amp; ", " &amp; $C$1 &amp; ") VALUES (" &amp; $A10 &amp; ", " &amp; $B10 &amp;", '" &amp; UPPER(TRIM($C10)) &amp; "');"</f>
        <v>#REF!</v>
      </c>
    </row>
    <row r="11" spans="1:4" x14ac:dyDescent="0.2">
      <c r="A11" s="7">
        <v>2</v>
      </c>
      <c r="B11" s="7">
        <f>ROW()</f>
        <v>11</v>
      </c>
      <c r="C11" s="7" t="s">
        <v>624</v>
      </c>
      <c r="D11" s="7" t="e">
        <f>"INSERT INTO " &amp;#REF! &amp; "." &amp;#REF! &amp; " (" &amp;$A$1 &amp; ", " &amp; $B$1 &amp; ", " &amp; $C$1 &amp; ") VALUES (" &amp; $A11 &amp; ", " &amp; $B11 &amp;", '" &amp; UPPER(TRIM($C11)) &amp; "');"</f>
        <v>#REF!</v>
      </c>
    </row>
    <row r="12" spans="1:4" x14ac:dyDescent="0.2">
      <c r="A12" s="7">
        <v>2</v>
      </c>
      <c r="B12" s="7">
        <f>ROW()</f>
        <v>12</v>
      </c>
      <c r="C12" s="7" t="s">
        <v>643</v>
      </c>
      <c r="D12" s="7" t="e">
        <f>"INSERT INTO " &amp;#REF! &amp; "." &amp;#REF! &amp; " (" &amp;$A$1 &amp; ", " &amp; $B$1 &amp; ", " &amp; $C$1 &amp; ") VALUES (" &amp; $A12 &amp; ", " &amp; $B12 &amp;", '" &amp; UPPER(TRIM($C12)) &amp; "');"</f>
        <v>#REF!</v>
      </c>
    </row>
    <row r="13" spans="1:4" x14ac:dyDescent="0.2">
      <c r="A13" s="7">
        <v>2</v>
      </c>
      <c r="B13" s="7">
        <f>ROW()</f>
        <v>13</v>
      </c>
      <c r="C13" s="7" t="s">
        <v>625</v>
      </c>
      <c r="D13" s="7" t="e">
        <f>"INSERT INTO " &amp;#REF! &amp; "." &amp;#REF! &amp; " (" &amp;$A$1 &amp; ", " &amp; $B$1 &amp; ", " &amp; $C$1 &amp; ") VALUES (" &amp; $A13 &amp; ", " &amp; $B13 &amp;", '" &amp; UPPER(TRIM($C13)) &amp; "');"</f>
        <v>#REF!</v>
      </c>
    </row>
    <row r="14" spans="1:4" x14ac:dyDescent="0.2">
      <c r="A14" s="7">
        <v>2</v>
      </c>
      <c r="B14" s="7">
        <f>ROW()</f>
        <v>14</v>
      </c>
      <c r="C14" s="7" t="s">
        <v>626</v>
      </c>
      <c r="D14" s="7" t="e">
        <f>"INSERT INTO " &amp;#REF! &amp; "." &amp;#REF! &amp; " (" &amp;$A$1 &amp; ", " &amp; $B$1 &amp; ", " &amp; $C$1 &amp; ") VALUES (" &amp; $A14 &amp; ", " &amp; $B14 &amp;", '" &amp; UPPER(TRIM($C14)) &amp; "');"</f>
        <v>#REF!</v>
      </c>
    </row>
    <row r="15" spans="1:4" x14ac:dyDescent="0.2">
      <c r="A15" s="7">
        <v>2</v>
      </c>
      <c r="B15" s="7">
        <f>ROW()</f>
        <v>15</v>
      </c>
      <c r="C15" s="7" t="s">
        <v>627</v>
      </c>
      <c r="D15" s="7" t="e">
        <f>"INSERT INTO " &amp;#REF! &amp; "." &amp;#REF! &amp; " (" &amp;$A$1 &amp; ", " &amp; $B$1 &amp; ", " &amp; $C$1 &amp; ") VALUES (" &amp; $A15 &amp; ", " &amp; $B15 &amp;", '" &amp; UPPER(TRIM($C15)) &amp; "');"</f>
        <v>#REF!</v>
      </c>
    </row>
    <row r="16" spans="1:4" x14ac:dyDescent="0.2">
      <c r="A16" s="7">
        <v>2</v>
      </c>
      <c r="B16" s="7">
        <f>ROW()</f>
        <v>16</v>
      </c>
      <c r="C16" s="7" t="s">
        <v>628</v>
      </c>
      <c r="D16" s="7" t="e">
        <f>"INSERT INTO " &amp;#REF! &amp; "." &amp;#REF! &amp; " (" &amp;$A$1 &amp; ", " &amp; $B$1 &amp; ", " &amp; $C$1 &amp; ") VALUES (" &amp; $A16 &amp; ", " &amp; $B16 &amp;", '" &amp; UPPER(TRIM($C16)) &amp; "');"</f>
        <v>#REF!</v>
      </c>
    </row>
    <row r="17" spans="1:4" x14ac:dyDescent="0.2">
      <c r="A17" s="7">
        <v>2</v>
      </c>
      <c r="B17" s="7">
        <f>ROW()</f>
        <v>17</v>
      </c>
      <c r="C17" s="7" t="s">
        <v>629</v>
      </c>
      <c r="D17" s="7" t="e">
        <f>"INSERT INTO " &amp;#REF! &amp; "." &amp;#REF! &amp; " (" &amp;$A$1 &amp; ", " &amp; $B$1 &amp; ", " &amp; $C$1 &amp; ") VALUES (" &amp; $A17 &amp; ", " &amp; $B17 &amp;", '" &amp; UPPER(TRIM($C17)) &amp; "');"</f>
        <v>#REF!</v>
      </c>
    </row>
    <row r="18" spans="1:4" x14ac:dyDescent="0.2">
      <c r="A18" s="7">
        <v>2</v>
      </c>
      <c r="B18" s="7">
        <f>ROW()</f>
        <v>18</v>
      </c>
      <c r="C18" s="7" t="s">
        <v>630</v>
      </c>
      <c r="D18" s="7" t="e">
        <f>"INSERT INTO " &amp;#REF! &amp; "." &amp;#REF! &amp; " (" &amp;$A$1 &amp; ", " &amp; $B$1 &amp; ", " &amp; $C$1 &amp; ") VALUES (" &amp; $A18 &amp; ", " &amp; $B18 &amp;", '" &amp; UPPER(TRIM($C18)) &amp; "');"</f>
        <v>#REF!</v>
      </c>
    </row>
    <row r="19" spans="1:4" x14ac:dyDescent="0.2">
      <c r="A19" s="7">
        <v>2</v>
      </c>
      <c r="B19" s="7">
        <f>ROW()</f>
        <v>19</v>
      </c>
      <c r="C19" s="7" t="s">
        <v>631</v>
      </c>
      <c r="D19" s="7" t="e">
        <f>"INSERT INTO " &amp;#REF! &amp; "." &amp;#REF! &amp; " (" &amp;$A$1 &amp; ", " &amp; $B$1 &amp; ", " &amp; $C$1 &amp; ") VALUES (" &amp; $A19 &amp; ", " &amp; $B19 &amp;", '" &amp; UPPER(TRIM($C19)) &amp; "');"</f>
        <v>#REF!</v>
      </c>
    </row>
    <row r="20" spans="1:4" x14ac:dyDescent="0.2">
      <c r="A20" s="7">
        <v>2</v>
      </c>
      <c r="B20" s="7">
        <f>ROW()</f>
        <v>20</v>
      </c>
      <c r="C20" s="7" t="s">
        <v>632</v>
      </c>
      <c r="D20" s="7" t="e">
        <f>"INSERT INTO " &amp;#REF! &amp; "." &amp;#REF! &amp; " (" &amp;$A$1 &amp; ", " &amp; $B$1 &amp; ", " &amp; $C$1 &amp; ") VALUES (" &amp; $A20 &amp; ", " &amp; $B20 &amp;", '" &amp; UPPER(TRIM($C20)) &amp; "');"</f>
        <v>#REF!</v>
      </c>
    </row>
    <row r="21" spans="1:4" x14ac:dyDescent="0.2">
      <c r="A21" s="7">
        <v>2</v>
      </c>
      <c r="B21" s="7">
        <f>ROW()</f>
        <v>21</v>
      </c>
      <c r="C21" s="7" t="s">
        <v>417</v>
      </c>
      <c r="D21" s="7" t="e">
        <f>"INSERT INTO " &amp;#REF! &amp; "." &amp;#REF! &amp; " (" &amp;$A$1 &amp; ", " &amp; $B$1 &amp; ", " &amp; $C$1 &amp; ") VALUES (" &amp; $A21 &amp; ", " &amp; $B21 &amp;", '" &amp; UPPER(TRIM($C21)) &amp; "');"</f>
        <v>#REF!</v>
      </c>
    </row>
  </sheetData>
  <autoFilter ref="A1:C1" xr:uid="{64BE19E2-C3CB-4E4F-AD06-6E806968E2C2}"/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6612F-8AD2-4B69-8AA6-1F341D98B940}">
  <sheetPr codeName="Sheet2">
    <tabColor rgb="FFFFC000"/>
  </sheetPr>
  <dimension ref="A1:C12"/>
  <sheetViews>
    <sheetView workbookViewId="0"/>
  </sheetViews>
  <sheetFormatPr defaultRowHeight="14.25" x14ac:dyDescent="0.2"/>
  <cols>
    <col min="1" max="1" width="30.28515625" style="7" bestFit="1" customWidth="1"/>
    <col min="2" max="2" width="29.85546875" style="7" bestFit="1" customWidth="1"/>
    <col min="3" max="3" width="68.140625" style="7" bestFit="1" customWidth="1"/>
    <col min="4" max="16384" width="9.140625" style="7"/>
  </cols>
  <sheetData>
    <row r="1" spans="1:3" ht="15.75" thickBot="1" x14ac:dyDescent="0.3">
      <c r="A1" s="11" t="s">
        <v>664</v>
      </c>
      <c r="B1" s="13" t="s">
        <v>665</v>
      </c>
      <c r="C1" s="12" t="s">
        <v>666</v>
      </c>
    </row>
    <row r="2" spans="1:3" x14ac:dyDescent="0.2">
      <c r="A2" s="7">
        <f>ROW()</f>
        <v>2</v>
      </c>
      <c r="B2" s="7" t="s">
        <v>667</v>
      </c>
      <c r="C2" s="7" t="s">
        <v>674</v>
      </c>
    </row>
    <row r="3" spans="1:3" x14ac:dyDescent="0.2">
      <c r="A3" s="7">
        <f>ROW()</f>
        <v>3</v>
      </c>
      <c r="B3" s="7" t="s">
        <v>668</v>
      </c>
      <c r="C3" s="7" t="s">
        <v>675</v>
      </c>
    </row>
    <row r="4" spans="1:3" x14ac:dyDescent="0.2">
      <c r="A4" s="7">
        <f>ROW()</f>
        <v>4</v>
      </c>
      <c r="B4" s="7" t="s">
        <v>669</v>
      </c>
      <c r="C4" s="7" t="s">
        <v>676</v>
      </c>
    </row>
    <row r="5" spans="1:3" x14ac:dyDescent="0.2">
      <c r="A5" s="7">
        <f>ROW()</f>
        <v>5</v>
      </c>
      <c r="B5" s="7" t="s">
        <v>670</v>
      </c>
      <c r="C5" s="7" t="s">
        <v>677</v>
      </c>
    </row>
    <row r="6" spans="1:3" x14ac:dyDescent="0.2">
      <c r="A6" s="7">
        <f>ROW()</f>
        <v>6</v>
      </c>
      <c r="B6" s="7" t="s">
        <v>671</v>
      </c>
      <c r="C6" s="7" t="s">
        <v>678</v>
      </c>
    </row>
    <row r="7" spans="1:3" x14ac:dyDescent="0.2">
      <c r="A7" s="7">
        <f>ROW()</f>
        <v>7</v>
      </c>
      <c r="B7" s="7" t="s">
        <v>672</v>
      </c>
      <c r="C7" s="7" t="s">
        <v>679</v>
      </c>
    </row>
    <row r="8" spans="1:3" x14ac:dyDescent="0.2">
      <c r="A8" s="7">
        <f>ROW()</f>
        <v>8</v>
      </c>
      <c r="B8" s="7" t="s">
        <v>673</v>
      </c>
      <c r="C8" s="7" t="s">
        <v>680</v>
      </c>
    </row>
    <row r="9" spans="1:3" x14ac:dyDescent="0.2">
      <c r="A9" s="7">
        <f>ROW()</f>
        <v>9</v>
      </c>
      <c r="B9" s="7" t="s">
        <v>686</v>
      </c>
    </row>
    <row r="10" spans="1:3" x14ac:dyDescent="0.2">
      <c r="A10" s="7">
        <f>ROW()</f>
        <v>10</v>
      </c>
      <c r="B10" s="7" t="s">
        <v>681</v>
      </c>
      <c r="C10" s="7" t="s">
        <v>684</v>
      </c>
    </row>
    <row r="11" spans="1:3" x14ac:dyDescent="0.2">
      <c r="A11" s="7">
        <f>ROW()</f>
        <v>11</v>
      </c>
      <c r="B11" s="7" t="s">
        <v>682</v>
      </c>
      <c r="C11" s="7" t="s">
        <v>685</v>
      </c>
    </row>
    <row r="12" spans="1:3" x14ac:dyDescent="0.2">
      <c r="A12" s="7">
        <f>ROW()</f>
        <v>12</v>
      </c>
      <c r="B12" s="7" t="s">
        <v>683</v>
      </c>
    </row>
  </sheetData>
  <autoFilter ref="A1:C1" xr:uid="{32D6612F-8AD2-4B69-8AA6-1F341D98B940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4DA65-0528-475B-B93F-437941BA6C33}">
  <sheetPr>
    <tabColor rgb="FFFFC000"/>
  </sheetPr>
  <dimension ref="A1:B10"/>
  <sheetViews>
    <sheetView workbookViewId="0">
      <pane xSplit="2" ySplit="1" topLeftCell="C2" activePane="bottomRight" state="frozen"/>
      <selection pane="topRight" activeCell="C1" sqref="C1"/>
      <selection pane="bottomLeft" activeCell="A5" sqref="A5"/>
      <selection pane="bottomRight"/>
    </sheetView>
  </sheetViews>
  <sheetFormatPr defaultRowHeight="14.25" x14ac:dyDescent="0.2"/>
  <cols>
    <col min="1" max="1" width="30.28515625" style="7" bestFit="1" customWidth="1"/>
    <col min="2" max="2" width="29.85546875" style="7" bestFit="1" customWidth="1"/>
    <col min="3" max="16384" width="9.140625" style="7"/>
  </cols>
  <sheetData>
    <row r="1" spans="1:2" ht="15.75" thickBot="1" x14ac:dyDescent="0.3">
      <c r="A1" s="11" t="s">
        <v>698</v>
      </c>
      <c r="B1" s="12" t="s">
        <v>699</v>
      </c>
    </row>
    <row r="2" spans="1:2" x14ac:dyDescent="0.2">
      <c r="A2" s="7">
        <f>ROW()</f>
        <v>2</v>
      </c>
      <c r="B2" s="7" t="s">
        <v>689</v>
      </c>
    </row>
    <row r="3" spans="1:2" x14ac:dyDescent="0.2">
      <c r="A3" s="7">
        <f>ROW()</f>
        <v>3</v>
      </c>
      <c r="B3" s="7" t="s">
        <v>690</v>
      </c>
    </row>
    <row r="4" spans="1:2" x14ac:dyDescent="0.2">
      <c r="A4" s="7">
        <f>ROW()</f>
        <v>4</v>
      </c>
      <c r="B4" s="7" t="s">
        <v>691</v>
      </c>
    </row>
    <row r="5" spans="1:2" x14ac:dyDescent="0.2">
      <c r="A5" s="7">
        <f>ROW()</f>
        <v>5</v>
      </c>
      <c r="B5" s="7" t="s">
        <v>692</v>
      </c>
    </row>
    <row r="6" spans="1:2" x14ac:dyDescent="0.2">
      <c r="A6" s="7">
        <f>ROW()</f>
        <v>6</v>
      </c>
      <c r="B6" s="7" t="s">
        <v>693</v>
      </c>
    </row>
    <row r="7" spans="1:2" x14ac:dyDescent="0.2">
      <c r="A7" s="7">
        <f>ROW()</f>
        <v>7</v>
      </c>
      <c r="B7" s="7" t="s">
        <v>694</v>
      </c>
    </row>
    <row r="8" spans="1:2" x14ac:dyDescent="0.2">
      <c r="A8" s="7">
        <f>ROW()</f>
        <v>8</v>
      </c>
      <c r="B8" s="7" t="s">
        <v>697</v>
      </c>
    </row>
    <row r="9" spans="1:2" x14ac:dyDescent="0.2">
      <c r="A9" s="7">
        <f>ROW()</f>
        <v>9</v>
      </c>
      <c r="B9" s="7" t="s">
        <v>696</v>
      </c>
    </row>
    <row r="10" spans="1:2" x14ac:dyDescent="0.2">
      <c r="A10" s="7">
        <f>ROW()</f>
        <v>10</v>
      </c>
      <c r="B10" s="7" t="s">
        <v>695</v>
      </c>
    </row>
  </sheetData>
  <autoFilter ref="A1:B1" xr:uid="{9974DA65-0528-475B-B93F-437941BA6C33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72506-8D2D-4B51-A47A-3605CE599965}">
  <sheetPr codeName="Planilha12">
    <tabColor rgb="FF0070C0"/>
  </sheetPr>
  <dimension ref="A1:U9991"/>
  <sheetViews>
    <sheetView tabSelected="1" zoomScaleNormal="100" workbookViewId="0"/>
  </sheetViews>
  <sheetFormatPr defaultRowHeight="14.25" x14ac:dyDescent="0.2"/>
  <cols>
    <col min="1" max="1" width="18.28515625" style="7" bestFit="1" customWidth="1"/>
    <col min="2" max="2" width="19.85546875" style="7" bestFit="1" customWidth="1"/>
    <col min="3" max="3" width="13.140625" style="6" bestFit="1" customWidth="1"/>
    <col min="4" max="4" width="15.42578125" style="7" hidden="1" customWidth="1"/>
    <col min="5" max="5" width="40.5703125" style="7" bestFit="1" customWidth="1"/>
    <col min="6" max="6" width="17" style="7" bestFit="1" customWidth="1"/>
    <col min="7" max="7" width="16.85546875" style="7" bestFit="1" customWidth="1"/>
    <col min="8" max="8" width="19.85546875" style="7" bestFit="1" customWidth="1"/>
    <col min="9" max="9" width="23.7109375" style="7" bestFit="1" customWidth="1"/>
    <col min="10" max="10" width="13.7109375" style="7" bestFit="1" customWidth="1"/>
    <col min="11" max="11" width="11.42578125" style="7" bestFit="1" customWidth="1"/>
    <col min="12" max="12" width="33.140625" style="6" bestFit="1" customWidth="1"/>
    <col min="13" max="13" width="21.140625" style="7" bestFit="1" customWidth="1"/>
    <col min="14" max="14" width="13.28515625" style="6" bestFit="1" customWidth="1"/>
    <col min="15" max="15" width="14.28515625" style="6" bestFit="1" customWidth="1"/>
    <col min="16" max="16" width="16.140625" style="7" bestFit="1" customWidth="1"/>
    <col min="17" max="17" width="29.7109375" style="6" bestFit="1" customWidth="1"/>
    <col min="18" max="18" width="15.5703125" style="7" bestFit="1" customWidth="1"/>
    <col min="19" max="19" width="26" style="6" bestFit="1" customWidth="1"/>
    <col min="20" max="20" width="22.140625" style="6" bestFit="1" customWidth="1"/>
    <col min="21" max="21" width="16.42578125" style="1" bestFit="1" customWidth="1"/>
    <col min="22" max="16384" width="9.140625" style="7"/>
  </cols>
  <sheetData>
    <row r="1" spans="1:21" s="2" customFormat="1" ht="15" x14ac:dyDescent="0.25">
      <c r="A1" s="2" t="s">
        <v>612</v>
      </c>
      <c r="B1" s="2" t="s">
        <v>608</v>
      </c>
      <c r="C1" s="3" t="s">
        <v>609</v>
      </c>
      <c r="D1" s="2" t="s">
        <v>702</v>
      </c>
      <c r="E1" s="2" t="s">
        <v>610</v>
      </c>
      <c r="F1" s="2" t="s">
        <v>648</v>
      </c>
      <c r="G1" s="2" t="s">
        <v>703</v>
      </c>
      <c r="H1" s="2" t="s">
        <v>638</v>
      </c>
      <c r="I1" s="2" t="s">
        <v>619</v>
      </c>
      <c r="J1" s="2" t="s">
        <v>704</v>
      </c>
      <c r="K1" s="2" t="s">
        <v>611</v>
      </c>
      <c r="L1" s="3" t="s">
        <v>688</v>
      </c>
      <c r="M1" s="2" t="s">
        <v>615</v>
      </c>
      <c r="N1" s="3" t="s">
        <v>613</v>
      </c>
      <c r="O1" s="3" t="s">
        <v>614</v>
      </c>
      <c r="P1" s="2" t="s">
        <v>661</v>
      </c>
      <c r="Q1" s="3" t="s">
        <v>687</v>
      </c>
      <c r="R1" s="2" t="s">
        <v>663</v>
      </c>
      <c r="S1" s="3" t="s">
        <v>700</v>
      </c>
      <c r="T1" s="3" t="s">
        <v>701</v>
      </c>
      <c r="U1" s="4" t="s">
        <v>662</v>
      </c>
    </row>
    <row r="2" spans="1:21" x14ac:dyDescent="0.2">
      <c r="A2" s="7" cm="1">
        <f t="array" aca="1" ref="A2" ca="1">INDEX(Companies!$A:$A,RANDBETWEEN(2,COUNTA(Companies!$A:$A)),1)</f>
        <v>2</v>
      </c>
      <c r="B2" s="5">
        <f>ROW() - 1</f>
        <v>1</v>
      </c>
      <c r="C2" s="6">
        <f ca="1">IF(ISNA($R2),1,0)</f>
        <v>1</v>
      </c>
      <c r="D2" s="7">
        <f ca="1">IF($B2 = 1 + N("Presidente"),
    127,
    IF($B2 = 2 + N("Vice-Presidente"),
        72,
        IF($B2 = 3 + N("Secretária bilíngue"),
            13,
            RANDBETWEEN(5,COUNT(Name!$A:$A) + 1)
        )
    )
)</f>
        <v>127</v>
      </c>
      <c r="E2" s="7" t="str">
        <f ca="1" xml:space="preserve">
VLOOKUP(
  $D2,
  Name!$A:$B,
  2,
  FALSE
)
&amp; " " &amp;
IF($B2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Enzo de Orléans e Bragança</v>
      </c>
      <c r="F2" s="7">
        <v>2</v>
      </c>
      <c r="G2" s="7" cm="1">
        <f t="array" aca="1" ref="G2" ca="1">INDEX(States!$B:$B,RANDBETWEEN(2,COUNTA(States!$A:$A)),1)</f>
        <v>15</v>
      </c>
      <c r="H2" s="7" t="str">
        <f ca="1">VLOOKUP($D2,Name!$A:$C,3,FALSE)</f>
        <v>M</v>
      </c>
      <c r="I2" s="7" cm="1">
        <f t="array" aca="1" ref="I2" ca="1">INDEX('Marital status'!$A:$A,RANDBETWEEN(2,COUNTA('Marital status'!$A:$A)),1)</f>
        <v>6</v>
      </c>
      <c r="J2" s="7">
        <f ca="1" xml:space="preserve">
IF(AND($N2 &gt;= 2, $N2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2" s="8">
        <f ca="1" xml:space="preserve">
IF($N2 = 5 + N("CEO"),
    TODAY() - 16340,
    IF($N2 = 8 + N("Secretary"),
        RANDBETWEEN(TODAY() - 12418.5, TODAY()-6574.5),
        IF(OR($N2 = 7, $N2 = 14),
            RANDBETWEEN(TODAY() - 16071, TODAY() - 8766),
            IF(OR($N2 = 13, $N2 = 12, $N2 = 11),
                RANDBETWEEN(TODAY() - 27393.75, TODAY() - 12783.75),
                RANDBETWEEN(TODAY() - 27393.75, TODAY()-10957.5)
            )
        )
    )
)</f>
        <v>23519</v>
      </c>
      <c r="L2" s="6">
        <f ca="1" xml:space="preserve">
IF(OR($N2 = 2, $N2 = 3) + N("Se for presidente ou vice-presidente"),
    7 + N("Doutor"),
    IF($N2 = 4 + N("Se for diretor"),
        RANDBETWEEN(5,7) + N("Graduate school or Master’s degree or Doctorate"),
        IF($N2 = 11 + N("Se for gerente"),
            RANDBETWEEN(4,6) + N("Undergraduate degree or Graduate school or Master’s degree"),
            IF(AND($N2 &gt;= 8, $N2 &lt;= 10) + N("If coordinator or specialist or analyst"),
                RANDBETWEEN(4,5),
                4
            )
        )
    )
)</f>
        <v>7</v>
      </c>
      <c r="M2" s="7">
        <f ca="1" xml:space="preserve">
  IF(OR($N2 = 2, $N2 = 3, $N2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2</v>
      </c>
      <c r="N2" s="6">
        <f ca="1" xml:space="preserve">
IF($B2 = 1 + N("Se matrícula for 1"),
  2 + N("Presidente"),
  IF($B2 = 2 + N("Se matrícula for 2"),
    3 + N("Vice-presidente"),
    IF($B2 = 3 + N("Se matrícula for 3"),
      5 + N("Secretária bilíngue"),
      IF(AND($B2 &gt;= 4, $B2 &lt;=14),
        4 + N("Diretor"),
        IF(AND($B2 &gt;= 15, $B2 &lt;= 25),
          11 + N("Manager"),
          IF(AND($B2 &gt;= 26, $B2 &lt;= 36),
            10 + N("Coordinador"),
            IF(AND($B2 &gt;= 37, $B2 &lt;= 47),
              9 + N("Especialista"),
                IF(MOD($B2,2) = 0,
                  8 + N("Analista"),
                  RANDBETWEEN(6,7) + N("Estagiário ou Trainee")
                )
            )
          )
        )
      )
    )
  )
)</f>
        <v>2</v>
      </c>
      <c r="O2" s="6" t="e">
        <f ca="1" xml:space="preserve">
IF($N2 =8 + N("Analyst"),
    RANDBETWEEN(2, 4) + N("Jr, Pleno, Sr"),
    NA()
)</f>
        <v>#N/A</v>
      </c>
      <c r="P2" s="8">
        <f ca="1" xml:space="preserve">
IF(
   $N2=2 + N("Presidente"),
   36161,
   IF(
       OR(
         $N2=3 + N("Vice-Presidente"),
         $N2=4 + N("Diretor"),
         $N2=5 + N("Secretária bilíngue")
       ),
       RANDBETWEEN(36161,36411),
       IF(
         ((TODAY() - $K2) / 365) &lt; 19,
         TODAY(),
         RANDBETWEEN(36161,TODAY())
       )
   )
)</f>
        <v>36161</v>
      </c>
      <c r="Q2" s="6">
        <f ca="1">RANDBETWEEN(2,COUNTA('Recruitment source'!$A:$A))</f>
        <v>10</v>
      </c>
      <c r="R2" s="8" t="e">
        <f ca="1" xml:space="preserve">
IF(MOD(
     ROW(),111
   )=0,
   RANDBETWEEN($P2 + 1,TODAY() - 1),NA()
)</f>
        <v>#N/A</v>
      </c>
      <c r="S2" s="6" t="e">
        <f ca="1" xml:space="preserve">
IF(
  ISNA(R2),
  NA(),
  RANDBETWEEN(2,IF($H2="F",10,9))
)</f>
        <v>#N/A</v>
      </c>
      <c r="T2" s="6">
        <f t="shared" ref="T2:T65" ca="1" si="0" xml:space="preserve">
IF(
 ISNA($R2),
 IF(
   $N2 = 2,
   5,
   IF(
     OR($N2=3,$N2=4,$N2=5),
     RANDBETWEEN(4,5),
     IF(
       OR($N2=11,$N2=12),
       RANDBETWEEN(3,5),
       RANDBETWEEN(2,5)
     )
   )
 ),
 RANDBETWEEN(1,3)
)</f>
        <v>5</v>
      </c>
      <c r="U2" s="1">
        <f ca="1" xml:space="preserve">
IF($N2 = 2 + N("Presidente"),
    25000,
    IF($N2 = 3 + N("Vice-presidente"),
        23000,
        IF(OR($N2 = 5, $N2= 10, $N2 = 9) + N("Secretária bilíngue ou coordenador ou especialista"),
            8000,
            IF($N2 = 4 + N("Diretor"),
                15000,
                IF($N2 = 11 + N("Gerente"),
                    12000,
                    IF($N2 = 6 + N("Estagiário"),
                        805,
                        IF($N2 = 7 + N("Trainee"),
                            1005,
                            IF($N2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IF($L2 = 7,
  100,
  IF($L2 = 8,
    200,
    IF($L2 = 9,
      300,
      IF($L2 = 10,
        400,
        0
      )
    )
  )
)
+
N("Adicional no salário por área")
+
IF($M2 = 14 + N("Tecnologia da Informação"),
  120,
  IF($M2 = 16 + N("Vendas"),
    110,
    IF($M2 = 15 + N("Jurídico"),
      100,
      IF(OR($M2 = 8, $M2 = 9, $M2 = 11) + N("Recursos humanos ou comercial ou comunicação e marketing"),
        80,
        0
      )
    )
  )
)
+
N("Adicionando pegadinha")
+
IF(AND($M2 = 13, $N2 = 8) + N("Se for de vendas e analista"),
  IF($J2 = 2,
    50,
    0
  )
  +
  IF($H2 = "M",
    50,
    0
  ),
  0
)</f>
        <v>25100</v>
      </c>
    </row>
    <row r="3" spans="1:21" x14ac:dyDescent="0.2">
      <c r="A3" s="7" cm="1">
        <f t="array" aca="1" ref="A3" ca="1">INDEX(Companies!$A:$A,RANDBETWEEN(2,COUNTA(Companies!$A:$A)),1)</f>
        <v>2</v>
      </c>
      <c r="B3" s="5">
        <f t="shared" ref="B3:B66" si="1">ROW() - 1</f>
        <v>2</v>
      </c>
      <c r="C3" s="6">
        <f t="shared" ref="C3:C66" ca="1" si="2">IF(ISNA($R3),1,0)</f>
        <v>1</v>
      </c>
      <c r="D3" s="7">
        <f ca="1">IF($B3 = 1 + N("Presidente"),
    127,
    IF($B3 = 2 + N("Vice-Presidente"),
        72,
        IF($B3 = 3 + N("Secretária bilíngue"),
            13,
            RANDBETWEEN(5,COUNT(Name!$A:$A) + 1)
        )
    )
)</f>
        <v>72</v>
      </c>
      <c r="E3" s="7" t="str">
        <f ca="1" xml:space="preserve">
VLOOKUP(
  $D3,
  Name!$A:$B,
  2,
  FALSE
)
&amp; " " &amp;
IF($B3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Bernnardo Santana Vieira</v>
      </c>
      <c r="F3" s="7">
        <v>2</v>
      </c>
      <c r="G3" s="7" cm="1">
        <f t="array" aca="1" ref="G3" ca="1">INDEX(States!$B:$B,RANDBETWEEN(2,COUNTA(States!$A:$A)),1)</f>
        <v>18</v>
      </c>
      <c r="H3" s="7" t="str">
        <f ca="1">VLOOKUP($D3,Name!$A:$C,3,FALSE)</f>
        <v>M</v>
      </c>
      <c r="I3" s="7" cm="1">
        <f t="array" aca="1" ref="I3" ca="1">INDEX('Marital status'!$A:$A,RANDBETWEEN(2,COUNTA('Marital status'!$A:$A)),1)</f>
        <v>5</v>
      </c>
      <c r="J3" s="7">
        <f t="shared" ref="J3:J66" ca="1" si="3" xml:space="preserve">
IF(AND($N3 &gt;= 2, $N3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3" s="8">
        <f t="shared" ref="K3:K66" ca="1" si="4" xml:space="preserve">
IF($N3 = 5 + N("CEO"),
    TODAY() - 16340,
    IF($N3 = 8 + N("Secretary"),
        RANDBETWEEN(TODAY() - 12418.5, TODAY()-6574.5),
        IF(OR($N3 = 7, $N3 = 14),
            RANDBETWEEN(TODAY() - 16071, TODAY() - 8766),
            IF(OR($N3 = 13, $N3 = 12, $N3 = 11),
                RANDBETWEEN(TODAY() - 27393.75, TODAY() - 12783.75),
                RANDBETWEEN(TODAY() - 27393.75, TODAY()-10957.5)
            )
        )
    )
)</f>
        <v>18808</v>
      </c>
      <c r="L3" s="6">
        <f t="shared" ref="L3:L66" ca="1" si="5" xml:space="preserve">
IF(OR($N3 = 2, $N3 = 3) + N("Se for presidente ou vice-presidente"),
    7 + N("Doutor"),
    IF($N3 = 4 + N("Se for diretor"),
        RANDBETWEEN(5,7) + N("Graduate school or Master’s degree or Doctorate"),
        IF($N3 = 11 + N("Se for gerente"),
            RANDBETWEEN(4,6) + N("Undergraduate degree or Graduate school or Master’s degree"),
            IF(AND($N3 &gt;= 8, $N3 &lt;= 10) + N("If coordinator or specialist or analyst"),
                RANDBETWEEN(4,5),
                4
            )
        )
    )
)</f>
        <v>7</v>
      </c>
      <c r="M3" s="7">
        <f ca="1" xml:space="preserve">
  IF(OR($N3 = 2, $N3 = 3, $N3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2</v>
      </c>
      <c r="N3" s="6">
        <f t="shared" ref="N3:N66" ca="1" si="6" xml:space="preserve">
IF($B3 = 1 + N("Se matrícula for 1"),
  2 + N("Presidente"),
  IF($B3 = 2 + N("Se matrícula for 2"),
    3 + N("Vice-presidente"),
    IF($B3 = 3 + N("Se matrícula for 3"),
      5 + N("Secretária bilíngue"),
      IF(AND($B3 &gt;= 4, $B3 &lt;=14),
        4 + N("Diretor"),
        IF(AND($B3 &gt;= 15, $B3 &lt;= 25),
          11 + N("Manager"),
          IF(AND($B3 &gt;= 26, $B3 &lt;= 36),
            10 + N("Coordinador"),
            IF(AND($B3 &gt;= 37, $B3 &lt;= 47),
              9 + N("Especialista"),
                IF(MOD($B3,2) = 0,
                  8 + N("Analista"),
                  RANDBETWEEN(6,7) + N("Estagiário ou Trainee")
                )
            )
          )
        )
      )
    )
  )
)</f>
        <v>3</v>
      </c>
      <c r="O3" s="6" t="e">
        <f t="shared" ref="O3:O66" ca="1" si="7" xml:space="preserve">
IF($N3 =8 + N("Analyst"),
    RANDBETWEEN(2, 4) + N("Jr, Pleno, Sr"),
    NA()
)</f>
        <v>#N/A</v>
      </c>
      <c r="P3" s="8">
        <f t="shared" ref="P3:P66" ca="1" si="8" xml:space="preserve">
IF(
   $N3=2 + N("Presidente"),
   36161,
   IF(
       OR(
         $N3=3 + N("Vice-Presidente"),
         $N3=4 + N("Diretor"),
         $N3=5 + N("Secretária bilíngue")
       ),
       RANDBETWEEN(36161,36411),
       IF(
         ((TODAY() - $K3) / 365) &lt; 19,
         TODAY(),
         RANDBETWEEN(36161,TODAY())
       )
   )
)</f>
        <v>36364</v>
      </c>
      <c r="Q3" s="6">
        <f ca="1">RANDBETWEEN(2,COUNTA('Recruitment source'!$A:$A))</f>
        <v>9</v>
      </c>
      <c r="R3" s="8" t="e">
        <f t="shared" ref="R3:R66" ca="1" si="9" xml:space="preserve">
IF(MOD(
     ROW(),111
   )=0,
   RANDBETWEEN($P3 + 1,TODAY() - 1),NA()
)</f>
        <v>#N/A</v>
      </c>
      <c r="S3" s="6" t="e">
        <f t="shared" ref="S3:S66" ca="1" si="10" xml:space="preserve">
IF(
  ISNA(R3),
  NA(),
  RANDBETWEEN(2,IF($H3="F",10,9))
)</f>
        <v>#N/A</v>
      </c>
      <c r="T3" s="6">
        <f t="shared" ca="1" si="0"/>
        <v>4</v>
      </c>
      <c r="U3" s="1">
        <f t="shared" ref="U3:U66" ca="1" si="11" xml:space="preserve">
IF($N3 = 2 + N("Presidente"),
    25000,
    IF($N3 = 3 + N("Vice-presidente"),
        23000,
        IF(OR($N3 = 5, $N3= 10, $N3 = 9) + N("Secretária bilíngue ou coordenador ou especialista"),
            8000,
            IF($N3 = 4 + N("Diretor"),
                15000,
                IF($N3 = 11 + N("Gerente"),
                    12000,
                    IF($N3 = 6 + N("Estagiário"),
                        805,
                        IF($N3 = 7 + N("Trainee"),
                            1005,
                            IF($N3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IF($L3 = 7,
  100,
  IF($L3 = 8,
    200,
    IF($L3 = 9,
      300,
      IF($L3 = 10,
        400,
        0
      )
    )
  )
)
+
N("Adicional no salário por área")
+
IF($M3 = 14 + N("Tecnologia da Informação"),
  120,
  IF($M3 = 16 + N("Vendas"),
    110,
    IF($M3 = 15 + N("Jurídico"),
      100,
      IF(OR($M3 = 8, $M3 = 9, $M3 = 11) + N("Recursos humanos ou comercial ou comunicação e marketing"),
        80,
        0
      )
    )
  )
)
+
N("Adicionando pegadinha")
+
IF(AND($M3 = 13, $N3 = 8) + N("Se for de vendas e analista"),
  IF($J3 = 2,
    50,
    0
  )
  +
  IF($H3 = "M",
    50,
    0
  ),
  0
)</f>
        <v>23100</v>
      </c>
    </row>
    <row r="4" spans="1:21" x14ac:dyDescent="0.2">
      <c r="A4" s="7" cm="1">
        <f t="array" aca="1" ref="A4" ca="1">INDEX(Companies!$A:$A,RANDBETWEEN(2,COUNTA(Companies!$A:$A)),1)</f>
        <v>2</v>
      </c>
      <c r="B4" s="5">
        <f t="shared" si="1"/>
        <v>3</v>
      </c>
      <c r="C4" s="6">
        <f t="shared" ca="1" si="2"/>
        <v>1</v>
      </c>
      <c r="D4" s="7">
        <f ca="1">IF($B4 = 1 + N("Presidente"),
    127,
    IF($B4 = 2 + N("Vice-Presidente"),
        72,
        IF($B4 = 3 + N("Secretária bilíngue"),
            13,
            RANDBETWEEN(5,COUNT(Name!$A:$A) + 1)
        )
    )
)</f>
        <v>13</v>
      </c>
      <c r="E4" s="7" t="str">
        <f ca="1" xml:space="preserve">
VLOOKUP(
  $D4,
  Name!$A:$B,
  2,
  FALSE
)
&amp; " " &amp;
IF($B4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Alessandra Lombardi Negrão</v>
      </c>
      <c r="F4" s="7">
        <v>2</v>
      </c>
      <c r="G4" s="7" cm="1">
        <f t="array" aca="1" ref="G4" ca="1">INDEX(States!$B:$B,RANDBETWEEN(2,COUNTA(States!$A:$A)),1)</f>
        <v>2</v>
      </c>
      <c r="H4" s="7" t="str">
        <f ca="1">VLOOKUP($D4,Name!$A:$C,3,FALSE)</f>
        <v>F</v>
      </c>
      <c r="I4" s="7" cm="1">
        <f t="array" aca="1" ref="I4" ca="1">INDEX('Marital status'!$A:$A,RANDBETWEEN(2,COUNTA('Marital status'!$A:$A)),1)</f>
        <v>2</v>
      </c>
      <c r="J4" s="7">
        <f t="shared" ca="1" si="3"/>
        <v>2</v>
      </c>
      <c r="K4" s="8">
        <f t="shared" ca="1" si="4"/>
        <v>28498</v>
      </c>
      <c r="L4" s="6">
        <f t="shared" ca="1" si="5"/>
        <v>4</v>
      </c>
      <c r="M4" s="7">
        <f ca="1" xml:space="preserve">
  IF(OR($N4 = 2, $N4 = 3, $N4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2</v>
      </c>
      <c r="N4" s="6">
        <f t="shared" ca="1" si="6"/>
        <v>5</v>
      </c>
      <c r="O4" s="6" t="e">
        <f t="shared" ca="1" si="7"/>
        <v>#N/A</v>
      </c>
      <c r="P4" s="8">
        <f t="shared" ca="1" si="8"/>
        <v>36273</v>
      </c>
      <c r="Q4" s="6">
        <f ca="1">RANDBETWEEN(2,COUNTA('Recruitment source'!$A:$A))</f>
        <v>8</v>
      </c>
      <c r="R4" s="8" t="e">
        <f t="shared" ca="1" si="9"/>
        <v>#N/A</v>
      </c>
      <c r="S4" s="6" t="e">
        <f t="shared" ca="1" si="10"/>
        <v>#N/A</v>
      </c>
      <c r="T4" s="6">
        <f t="shared" ca="1" si="0"/>
        <v>4</v>
      </c>
      <c r="U4" s="1">
        <f t="shared" ca="1" si="11"/>
        <v>8000</v>
      </c>
    </row>
    <row r="5" spans="1:21" x14ac:dyDescent="0.2">
      <c r="A5" s="7" cm="1">
        <f t="array" aca="1" ref="A5" ca="1">INDEX(Companies!$A:$A,RANDBETWEEN(2,COUNTA(Companies!$A:$A)),1)</f>
        <v>2</v>
      </c>
      <c r="B5" s="5">
        <f t="shared" si="1"/>
        <v>4</v>
      </c>
      <c r="C5" s="6">
        <f t="shared" ca="1" si="2"/>
        <v>1</v>
      </c>
      <c r="D5" s="7">
        <f ca="1">IF($B5 = 1 + N("Presidente"),
    127,
    IF($B5 = 2 + N("Vice-Presidente"),
        72,
        IF($B5 = 3 + N("Secretária bilíngue"),
            13,
            RANDBETWEEN(5,COUNT(Name!$A:$A) + 1)
        )
    )
)</f>
        <v>125</v>
      </c>
      <c r="E5" s="7" t="str">
        <f ca="1" xml:space="preserve">
VLOOKUP(
  $D5,
  Name!$A:$B,
  2,
  FALSE
)
&amp; " " &amp;
IF($B5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Emmanuel Moreira Aleluia</v>
      </c>
      <c r="F5" s="7">
        <v>2</v>
      </c>
      <c r="G5" s="7" cm="1">
        <f t="array" aca="1" ref="G5" ca="1">INDEX(States!$B:$B,RANDBETWEEN(2,COUNTA(States!$A:$A)),1)</f>
        <v>17</v>
      </c>
      <c r="H5" s="7" t="str">
        <f ca="1">VLOOKUP($D5,Name!$A:$C,3,FALSE)</f>
        <v>M</v>
      </c>
      <c r="I5" s="7" cm="1">
        <f t="array" aca="1" ref="I5" ca="1">INDEX('Marital status'!$A:$A,RANDBETWEEN(2,COUNTA('Marital status'!$A:$A)),1)</f>
        <v>2</v>
      </c>
      <c r="J5" s="7">
        <f t="shared" ca="1" si="3"/>
        <v>2</v>
      </c>
      <c r="K5" s="8">
        <f t="shared" ca="1" si="4"/>
        <v>32454</v>
      </c>
      <c r="L5" s="6">
        <f t="shared" ca="1" si="5"/>
        <v>7</v>
      </c>
      <c r="M5" s="7">
        <f ca="1" xml:space="preserve">
  IF(OR($N5 = 2, $N5 = 3, $N5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5" s="6">
        <f t="shared" ca="1" si="6"/>
        <v>4</v>
      </c>
      <c r="O5" s="6" t="e">
        <f t="shared" ca="1" si="7"/>
        <v>#N/A</v>
      </c>
      <c r="P5" s="8">
        <f t="shared" ca="1" si="8"/>
        <v>36210</v>
      </c>
      <c r="Q5" s="6">
        <f ca="1">RANDBETWEEN(2,COUNTA('Recruitment source'!$A:$A))</f>
        <v>10</v>
      </c>
      <c r="R5" s="8" t="e">
        <f t="shared" ca="1" si="9"/>
        <v>#N/A</v>
      </c>
      <c r="S5" s="6" t="e">
        <f t="shared" ca="1" si="10"/>
        <v>#N/A</v>
      </c>
      <c r="T5" s="6">
        <f t="shared" ca="1" si="0"/>
        <v>5</v>
      </c>
      <c r="U5" s="1">
        <f t="shared" ca="1" si="11"/>
        <v>15100</v>
      </c>
    </row>
    <row r="6" spans="1:21" x14ac:dyDescent="0.2">
      <c r="A6" s="7" cm="1">
        <f t="array" aca="1" ref="A6" ca="1">INDEX(Companies!$A:$A,RANDBETWEEN(2,COUNTA(Companies!$A:$A)),1)</f>
        <v>2</v>
      </c>
      <c r="B6" s="5">
        <f t="shared" si="1"/>
        <v>5</v>
      </c>
      <c r="C6" s="6">
        <f t="shared" ca="1" si="2"/>
        <v>1</v>
      </c>
      <c r="D6" s="7">
        <f ca="1">IF($B6 = 1 + N("Presidente"),
    127,
    IF($B6 = 2 + N("Vice-Presidente"),
        72,
        IF($B6 = 3 + N("Secretária bilíngue"),
            13,
            RANDBETWEEN(5,COUNT(Name!$A:$A) + 1)
        )
    )
)</f>
        <v>167</v>
      </c>
      <c r="E6" s="7" t="str">
        <f ca="1" xml:space="preserve">
VLOOKUP(
  $D6,
  Name!$A:$B,
  2,
  FALSE
)
&amp; " " &amp;
IF($B6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Henrique Bragança Carvalho</v>
      </c>
      <c r="F6" s="7">
        <v>2</v>
      </c>
      <c r="G6" s="7" cm="1">
        <f t="array" aca="1" ref="G6" ca="1">INDEX(States!$B:$B,RANDBETWEEN(2,COUNTA(States!$A:$A)),1)</f>
        <v>7</v>
      </c>
      <c r="H6" s="7" t="str">
        <f ca="1">VLOOKUP($D6,Name!$A:$C,3,FALSE)</f>
        <v>M</v>
      </c>
      <c r="I6" s="7" cm="1">
        <f t="array" aca="1" ref="I6" ca="1">INDEX('Marital status'!$A:$A,RANDBETWEEN(2,COUNTA('Marital status'!$A:$A)),1)</f>
        <v>4</v>
      </c>
      <c r="J6" s="7">
        <f t="shared" ca="1" si="3"/>
        <v>2</v>
      </c>
      <c r="K6" s="8">
        <f t="shared" ca="1" si="4"/>
        <v>26942</v>
      </c>
      <c r="L6" s="6">
        <f t="shared" ca="1" si="5"/>
        <v>5</v>
      </c>
      <c r="M6" s="7">
        <f ca="1" xml:space="preserve">
  IF(OR($N6 = 2, $N6 = 3, $N6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6" s="6">
        <f t="shared" ca="1" si="6"/>
        <v>4</v>
      </c>
      <c r="O6" s="6" t="e">
        <f t="shared" ca="1" si="7"/>
        <v>#N/A</v>
      </c>
      <c r="P6" s="8">
        <f t="shared" ca="1" si="8"/>
        <v>36319</v>
      </c>
      <c r="Q6" s="6">
        <f ca="1">RANDBETWEEN(2,COUNTA('Recruitment source'!$A:$A))</f>
        <v>11</v>
      </c>
      <c r="R6" s="8" t="e">
        <f t="shared" ca="1" si="9"/>
        <v>#N/A</v>
      </c>
      <c r="S6" s="6" t="e">
        <f t="shared" ca="1" si="10"/>
        <v>#N/A</v>
      </c>
      <c r="T6" s="6">
        <f t="shared" ca="1" si="0"/>
        <v>4</v>
      </c>
      <c r="U6" s="1">
        <f t="shared" ca="1" si="11"/>
        <v>15000</v>
      </c>
    </row>
    <row r="7" spans="1:21" x14ac:dyDescent="0.2">
      <c r="A7" s="7" cm="1">
        <f t="array" aca="1" ref="A7" ca="1">INDEX(Companies!$A:$A,RANDBETWEEN(2,COUNTA(Companies!$A:$A)),1)</f>
        <v>2</v>
      </c>
      <c r="B7" s="5">
        <f t="shared" si="1"/>
        <v>6</v>
      </c>
      <c r="C7" s="6">
        <f t="shared" ca="1" si="2"/>
        <v>1</v>
      </c>
      <c r="D7" s="7">
        <f ca="1">IF($B7 = 1 + N("Presidente"),
    127,
    IF($B7 = 2 + N("Vice-Presidente"),
        72,
        IF($B7 = 3 + N("Secretária bilíngue"),
            13,
            RANDBETWEEN(5,COUNT(Name!$A:$A) + 1)
        )
    )
)</f>
        <v>341</v>
      </c>
      <c r="E7" s="7" t="str">
        <f ca="1" xml:space="preserve">
VLOOKUP(
  $D7,
  Name!$A:$B,
  2,
  FALSE
)
&amp; " " &amp;
IF($B7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Theo Martinelli Giordano</v>
      </c>
      <c r="F7" s="7">
        <v>2</v>
      </c>
      <c r="G7" s="7" cm="1">
        <f t="array" aca="1" ref="G7" ca="1">INDEX(States!$B:$B,RANDBETWEEN(2,COUNTA(States!$A:$A)),1)</f>
        <v>21</v>
      </c>
      <c r="H7" s="7" t="str">
        <f ca="1">VLOOKUP($D7,Name!$A:$C,3,FALSE)</f>
        <v>M</v>
      </c>
      <c r="I7" s="7" cm="1">
        <f t="array" aca="1" ref="I7" ca="1">INDEX('Marital status'!$A:$A,RANDBETWEEN(2,COUNTA('Marital status'!$A:$A)),1)</f>
        <v>6</v>
      </c>
      <c r="J7" s="7">
        <f t="shared" ca="1" si="3"/>
        <v>2</v>
      </c>
      <c r="K7" s="8">
        <f t="shared" ca="1" si="4"/>
        <v>29159</v>
      </c>
      <c r="L7" s="6">
        <f t="shared" ca="1" si="5"/>
        <v>5</v>
      </c>
      <c r="M7" s="7">
        <f ca="1" xml:space="preserve">
  IF(OR($N7 = 2, $N7 = 3, $N7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7" s="6">
        <f t="shared" ca="1" si="6"/>
        <v>4</v>
      </c>
      <c r="O7" s="6" t="e">
        <f t="shared" ca="1" si="7"/>
        <v>#N/A</v>
      </c>
      <c r="P7" s="8">
        <f t="shared" ca="1" si="8"/>
        <v>36363</v>
      </c>
      <c r="Q7" s="6">
        <f ca="1">RANDBETWEEN(2,COUNTA('Recruitment source'!$A:$A))</f>
        <v>11</v>
      </c>
      <c r="R7" s="8" t="e">
        <f t="shared" ca="1" si="9"/>
        <v>#N/A</v>
      </c>
      <c r="S7" s="6" t="e">
        <f t="shared" ca="1" si="10"/>
        <v>#N/A</v>
      </c>
      <c r="T7" s="6">
        <f t="shared" ca="1" si="0"/>
        <v>5</v>
      </c>
      <c r="U7" s="1">
        <f t="shared" ca="1" si="11"/>
        <v>15000</v>
      </c>
    </row>
    <row r="8" spans="1:21" x14ac:dyDescent="0.2">
      <c r="A8" s="7" cm="1">
        <f t="array" aca="1" ref="A8" ca="1">INDEX(Companies!$A:$A,RANDBETWEEN(2,COUNTA(Companies!$A:$A)),1)</f>
        <v>2</v>
      </c>
      <c r="B8" s="5">
        <f t="shared" si="1"/>
        <v>7</v>
      </c>
      <c r="C8" s="6">
        <f t="shared" ca="1" si="2"/>
        <v>1</v>
      </c>
      <c r="D8" s="7">
        <f ca="1">IF($B8 = 1 + N("Presidente"),
    127,
    IF($B8 = 2 + N("Vice-Presidente"),
        72,
        IF($B8 = 3 + N("Secretária bilíngue"),
            13,
            RANDBETWEEN(5,COUNT(Name!$A:$A) + 1)
        )
    )
)</f>
        <v>278</v>
      </c>
      <c r="E8" s="7" t="str">
        <f ca="1" xml:space="preserve">
VLOOKUP(
  $D8,
  Name!$A:$B,
  2,
  FALSE
)
&amp; " " &amp;
IF($B8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Mariana Moretti Luz</v>
      </c>
      <c r="F8" s="7">
        <v>2</v>
      </c>
      <c r="G8" s="7" cm="1">
        <f t="array" aca="1" ref="G8" ca="1">INDEX(States!$B:$B,RANDBETWEEN(2,COUNTA(States!$A:$A)),1)</f>
        <v>11</v>
      </c>
      <c r="H8" s="7" t="str">
        <f ca="1">VLOOKUP($D8,Name!$A:$C,3,FALSE)</f>
        <v>F</v>
      </c>
      <c r="I8" s="7" cm="1">
        <f t="array" aca="1" ref="I8" ca="1">INDEX('Marital status'!$A:$A,RANDBETWEEN(2,COUNTA('Marital status'!$A:$A)),1)</f>
        <v>3</v>
      </c>
      <c r="J8" s="7">
        <f t="shared" ca="1" si="3"/>
        <v>2</v>
      </c>
      <c r="K8" s="8">
        <f t="shared" ca="1" si="4"/>
        <v>20774</v>
      </c>
      <c r="L8" s="6">
        <f t="shared" ca="1" si="5"/>
        <v>7</v>
      </c>
      <c r="M8" s="7">
        <f ca="1" xml:space="preserve">
  IF(OR($N8 = 2, $N8 = 3, $N8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8" s="6">
        <f t="shared" ca="1" si="6"/>
        <v>4</v>
      </c>
      <c r="O8" s="6" t="e">
        <f t="shared" ca="1" si="7"/>
        <v>#N/A</v>
      </c>
      <c r="P8" s="8">
        <f t="shared" ca="1" si="8"/>
        <v>36248</v>
      </c>
      <c r="Q8" s="6">
        <f ca="1">RANDBETWEEN(2,COUNTA('Recruitment source'!$A:$A))</f>
        <v>6</v>
      </c>
      <c r="R8" s="8" t="e">
        <f t="shared" ca="1" si="9"/>
        <v>#N/A</v>
      </c>
      <c r="S8" s="6" t="e">
        <f t="shared" ca="1" si="10"/>
        <v>#N/A</v>
      </c>
      <c r="T8" s="6">
        <f t="shared" ca="1" si="0"/>
        <v>5</v>
      </c>
      <c r="U8" s="1">
        <f t="shared" ca="1" si="11"/>
        <v>15100</v>
      </c>
    </row>
    <row r="9" spans="1:21" x14ac:dyDescent="0.2">
      <c r="A9" s="7" cm="1">
        <f t="array" aca="1" ref="A9" ca="1">INDEX(Companies!$A:$A,RANDBETWEEN(2,COUNTA(Companies!$A:$A)),1)</f>
        <v>2</v>
      </c>
      <c r="B9" s="5">
        <f t="shared" si="1"/>
        <v>8</v>
      </c>
      <c r="C9" s="6">
        <f t="shared" ca="1" si="2"/>
        <v>1</v>
      </c>
      <c r="D9" s="7">
        <f ca="1">IF($B9 = 1 + N("Presidente"),
    127,
    IF($B9 = 2 + N("Vice-Presidente"),
        72,
        IF($B9 = 3 + N("Secretária bilíngue"),
            13,
            RANDBETWEEN(5,COUNT(Name!$A:$A) + 1)
        )
    )
)</f>
        <v>165</v>
      </c>
      <c r="E9" s="7" t="str">
        <f ca="1" xml:space="preserve">
VLOOKUP(
  $D9,
  Name!$A:$B,
  2,
  FALSE
)
&amp; " " &amp;
IF($B9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Heloise Ferrara Coelho</v>
      </c>
      <c r="F9" s="7">
        <v>2</v>
      </c>
      <c r="G9" s="7" cm="1">
        <f t="array" aca="1" ref="G9" ca="1">INDEX(States!$B:$B,RANDBETWEEN(2,COUNTA(States!$A:$A)),1)</f>
        <v>11</v>
      </c>
      <c r="H9" s="7" t="str">
        <f ca="1">VLOOKUP($D9,Name!$A:$C,3,FALSE)</f>
        <v>F</v>
      </c>
      <c r="I9" s="7" cm="1">
        <f t="array" aca="1" ref="I9" ca="1">INDEX('Marital status'!$A:$A,RANDBETWEEN(2,COUNTA('Marital status'!$A:$A)),1)</f>
        <v>2</v>
      </c>
      <c r="J9" s="7">
        <f t="shared" ca="1" si="3"/>
        <v>2</v>
      </c>
      <c r="K9" s="8">
        <f t="shared" ca="1" si="4"/>
        <v>27155</v>
      </c>
      <c r="L9" s="6">
        <f t="shared" ca="1" si="5"/>
        <v>5</v>
      </c>
      <c r="M9" s="7">
        <f ca="1" xml:space="preserve">
  IF(OR($N9 = 2, $N9 = 3, $N9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9" s="6">
        <f t="shared" ca="1" si="6"/>
        <v>4</v>
      </c>
      <c r="O9" s="6" t="e">
        <f t="shared" ca="1" si="7"/>
        <v>#N/A</v>
      </c>
      <c r="P9" s="8">
        <f t="shared" ca="1" si="8"/>
        <v>36235</v>
      </c>
      <c r="Q9" s="6">
        <f ca="1">RANDBETWEEN(2,COUNTA('Recruitment source'!$A:$A))</f>
        <v>10</v>
      </c>
      <c r="R9" s="8" t="e">
        <f t="shared" ca="1" si="9"/>
        <v>#N/A</v>
      </c>
      <c r="S9" s="6" t="e">
        <f t="shared" ca="1" si="10"/>
        <v>#N/A</v>
      </c>
      <c r="T9" s="6">
        <f t="shared" ca="1" si="0"/>
        <v>4</v>
      </c>
      <c r="U9" s="1">
        <f t="shared" ca="1" si="11"/>
        <v>15000</v>
      </c>
    </row>
    <row r="10" spans="1:21" x14ac:dyDescent="0.2">
      <c r="A10" s="7" cm="1">
        <f t="array" aca="1" ref="A10" ca="1">INDEX(Companies!$A:$A,RANDBETWEEN(2,COUNTA(Companies!$A:$A)),1)</f>
        <v>2</v>
      </c>
      <c r="B10" s="5">
        <f t="shared" si="1"/>
        <v>9</v>
      </c>
      <c r="C10" s="6">
        <f t="shared" ca="1" si="2"/>
        <v>1</v>
      </c>
      <c r="D10" s="7">
        <f ca="1">IF($B10 = 1 + N("Presidente"),
    127,
    IF($B10 = 2 + N("Vice-Presidente"),
        72,
        IF($B10 = 3 + N("Secretária bilíngue"),
            13,
            RANDBETWEEN(5,COUNT(Name!$A:$A) + 1)
        )
    )
)</f>
        <v>226</v>
      </c>
      <c r="E10" s="7" t="str">
        <f ca="1" xml:space="preserve">
VLOOKUP(
  $D10,
  Name!$A:$B,
  2,
  FALSE
)
&amp; " " &amp;
IF($B10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Levy Alencar Campos</v>
      </c>
      <c r="F10" s="7">
        <v>2</v>
      </c>
      <c r="G10" s="7" cm="1">
        <f t="array" aca="1" ref="G10" ca="1">INDEX(States!$B:$B,RANDBETWEEN(2,COUNTA(States!$A:$A)),1)</f>
        <v>14</v>
      </c>
      <c r="H10" s="7" t="str">
        <f ca="1">VLOOKUP($D10,Name!$A:$C,3,FALSE)</f>
        <v>M</v>
      </c>
      <c r="I10" s="7" cm="1">
        <f t="array" aca="1" ref="I10" ca="1">INDEX('Marital status'!$A:$A,RANDBETWEEN(2,COUNTA('Marital status'!$A:$A)),1)</f>
        <v>5</v>
      </c>
      <c r="J10" s="7">
        <f t="shared" ca="1" si="3"/>
        <v>2</v>
      </c>
      <c r="K10" s="8">
        <f t="shared" ca="1" si="4"/>
        <v>18950</v>
      </c>
      <c r="L10" s="6">
        <f t="shared" ca="1" si="5"/>
        <v>6</v>
      </c>
      <c r="M10" s="7">
        <f ca="1" xml:space="preserve">
  IF(OR($N10 = 2, $N10 = 3, $N10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0" s="6">
        <f t="shared" ca="1" si="6"/>
        <v>4</v>
      </c>
      <c r="O10" s="6" t="e">
        <f t="shared" ca="1" si="7"/>
        <v>#N/A</v>
      </c>
      <c r="P10" s="8">
        <f t="shared" ca="1" si="8"/>
        <v>36263</v>
      </c>
      <c r="Q10" s="6">
        <f ca="1">RANDBETWEEN(2,COUNTA('Recruitment source'!$A:$A))</f>
        <v>10</v>
      </c>
      <c r="R10" s="8" t="e">
        <f t="shared" ca="1" si="9"/>
        <v>#N/A</v>
      </c>
      <c r="S10" s="6" t="e">
        <f t="shared" ca="1" si="10"/>
        <v>#N/A</v>
      </c>
      <c r="T10" s="6">
        <f t="shared" ca="1" si="0"/>
        <v>4</v>
      </c>
      <c r="U10" s="1">
        <f t="shared" ca="1" si="11"/>
        <v>15080</v>
      </c>
    </row>
    <row r="11" spans="1:21" x14ac:dyDescent="0.2">
      <c r="A11" s="7" cm="1">
        <f t="array" aca="1" ref="A11" ca="1">INDEX(Companies!$A:$A,RANDBETWEEN(2,COUNTA(Companies!$A:$A)),1)</f>
        <v>2</v>
      </c>
      <c r="B11" s="5">
        <f t="shared" si="1"/>
        <v>10</v>
      </c>
      <c r="C11" s="6">
        <f t="shared" ca="1" si="2"/>
        <v>1</v>
      </c>
      <c r="D11" s="7">
        <f ca="1">IF($B11 = 1 + N("Presidente"),
    127,
    IF($B11 = 2 + N("Vice-Presidente"),
        72,
        IF($B11 = 3 + N("Secretária bilíngue"),
            13,
            RANDBETWEEN(5,COUNT(Name!$A:$A) + 1)
        )
    )
)</f>
        <v>41</v>
      </c>
      <c r="E11" s="7" t="str">
        <f ca="1" xml:space="preserve">
VLOOKUP(
  $D11,
  Name!$A:$B,
  2,
  FALSE
)
&amp; " " &amp;
IF($B11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Ane Caroline Vieira Pasquim</v>
      </c>
      <c r="F11" s="7">
        <v>2</v>
      </c>
      <c r="G11" s="7" cm="1">
        <f t="array" aca="1" ref="G11" ca="1">INDEX(States!$B:$B,RANDBETWEEN(2,COUNTA(States!$A:$A)),1)</f>
        <v>10</v>
      </c>
      <c r="H11" s="7" t="str">
        <f ca="1">VLOOKUP($D11,Name!$A:$C,3,FALSE)</f>
        <v>F</v>
      </c>
      <c r="I11" s="7" cm="1">
        <f t="array" aca="1" ref="I11" ca="1">INDEX('Marital status'!$A:$A,RANDBETWEEN(2,COUNTA('Marital status'!$A:$A)),1)</f>
        <v>6</v>
      </c>
      <c r="J11" s="7">
        <f t="shared" ca="1" si="3"/>
        <v>2</v>
      </c>
      <c r="K11" s="8">
        <f t="shared" ca="1" si="4"/>
        <v>28014</v>
      </c>
      <c r="L11" s="6">
        <f t="shared" ca="1" si="5"/>
        <v>5</v>
      </c>
      <c r="M11" s="7">
        <f ca="1" xml:space="preserve">
  IF(OR($N11 = 2, $N11 = 3, $N11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1" s="6">
        <f t="shared" ca="1" si="6"/>
        <v>4</v>
      </c>
      <c r="O11" s="6" t="e">
        <f t="shared" ca="1" si="7"/>
        <v>#N/A</v>
      </c>
      <c r="P11" s="8">
        <f t="shared" ca="1" si="8"/>
        <v>36401</v>
      </c>
      <c r="Q11" s="6">
        <f ca="1">RANDBETWEEN(2,COUNTA('Recruitment source'!$A:$A))</f>
        <v>8</v>
      </c>
      <c r="R11" s="8" t="e">
        <f t="shared" ca="1" si="9"/>
        <v>#N/A</v>
      </c>
      <c r="S11" s="6" t="e">
        <f t="shared" ca="1" si="10"/>
        <v>#N/A</v>
      </c>
      <c r="T11" s="6">
        <f t="shared" ca="1" si="0"/>
        <v>5</v>
      </c>
      <c r="U11" s="1">
        <f t="shared" ca="1" si="11"/>
        <v>15080</v>
      </c>
    </row>
    <row r="12" spans="1:21" x14ac:dyDescent="0.2">
      <c r="A12" s="7" cm="1">
        <f t="array" aca="1" ref="A12" ca="1">INDEX(Companies!$A:$A,RANDBETWEEN(2,COUNTA(Companies!$A:$A)),1)</f>
        <v>2</v>
      </c>
      <c r="B12" s="5">
        <f t="shared" si="1"/>
        <v>11</v>
      </c>
      <c r="C12" s="6">
        <f t="shared" ca="1" si="2"/>
        <v>1</v>
      </c>
      <c r="D12" s="7">
        <f ca="1">IF($B12 = 1 + N("Presidente"),
    127,
    IF($B12 = 2 + N("Vice-Presidente"),
        72,
        IF($B12 = 3 + N("Secretária bilíngue"),
            13,
            RANDBETWEEN(5,COUNT(Name!$A:$A) + 1)
        )
    )
)</f>
        <v>45</v>
      </c>
      <c r="E12" s="7" t="str">
        <f ca="1" xml:space="preserve">
VLOOKUP(
  $D12,
  Name!$A:$B,
  2,
  FALSE
)
&amp; " " &amp;
IF($B12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Carolinna Seixas Costatini</v>
      </c>
      <c r="F12" s="7">
        <v>2</v>
      </c>
      <c r="G12" s="7" cm="1">
        <f t="array" aca="1" ref="G12" ca="1">INDEX(States!$B:$B,RANDBETWEEN(2,COUNTA(States!$A:$A)),1)</f>
        <v>12</v>
      </c>
      <c r="H12" s="7" t="str">
        <f ca="1">VLOOKUP($D12,Name!$A:$C,3,FALSE)</f>
        <v>F</v>
      </c>
      <c r="I12" s="7" cm="1">
        <f t="array" aca="1" ref="I12" ca="1">INDEX('Marital status'!$A:$A,RANDBETWEEN(2,COUNTA('Marital status'!$A:$A)),1)</f>
        <v>6</v>
      </c>
      <c r="J12" s="7">
        <f t="shared" ca="1" si="3"/>
        <v>2</v>
      </c>
      <c r="K12" s="8">
        <f t="shared" ca="1" si="4"/>
        <v>22145</v>
      </c>
      <c r="L12" s="6">
        <f t="shared" ca="1" si="5"/>
        <v>7</v>
      </c>
      <c r="M12" s="7">
        <f ca="1" xml:space="preserve">
  IF(OR($N12 = 2, $N12 = 3, $N12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2" s="6">
        <f t="shared" ca="1" si="6"/>
        <v>4</v>
      </c>
      <c r="O12" s="6" t="e">
        <f t="shared" ca="1" si="7"/>
        <v>#N/A</v>
      </c>
      <c r="P12" s="8">
        <f t="shared" ca="1" si="8"/>
        <v>36303</v>
      </c>
      <c r="Q12" s="6">
        <f ca="1">RANDBETWEEN(2,COUNTA('Recruitment source'!$A:$A))</f>
        <v>7</v>
      </c>
      <c r="R12" s="8" t="e">
        <f t="shared" ca="1" si="9"/>
        <v>#N/A</v>
      </c>
      <c r="S12" s="6" t="e">
        <f t="shared" ca="1" si="10"/>
        <v>#N/A</v>
      </c>
      <c r="T12" s="6">
        <f t="shared" ca="1" si="0"/>
        <v>4</v>
      </c>
      <c r="U12" s="1">
        <f t="shared" ca="1" si="11"/>
        <v>15100</v>
      </c>
    </row>
    <row r="13" spans="1:21" x14ac:dyDescent="0.2">
      <c r="A13" s="7" cm="1">
        <f t="array" aca="1" ref="A13" ca="1">INDEX(Companies!$A:$A,RANDBETWEEN(2,COUNTA(Companies!$A:$A)),1)</f>
        <v>2</v>
      </c>
      <c r="B13" s="5">
        <f t="shared" si="1"/>
        <v>12</v>
      </c>
      <c r="C13" s="6">
        <f t="shared" ca="1" si="2"/>
        <v>1</v>
      </c>
      <c r="D13" s="7">
        <f ca="1">IF($B13 = 1 + N("Presidente"),
    127,
    IF($B13 = 2 + N("Vice-Presidente"),
        72,
        IF($B13 = 3 + N("Secretária bilíngue"),
            13,
            RANDBETWEEN(5,COUNT(Name!$A:$A) + 1)
        )
    )
)</f>
        <v>90</v>
      </c>
      <c r="E13" s="7" t="str">
        <f ca="1" xml:space="preserve">
VLOOKUP(
  $D13,
  Name!$A:$B,
  2,
  FALSE
)
&amp; " " &amp;
IF($B13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Caue Evangelista Veiga</v>
      </c>
      <c r="F13" s="7">
        <v>2</v>
      </c>
      <c r="G13" s="7" cm="1">
        <f t="array" aca="1" ref="G13" ca="1">INDEX(States!$B:$B,RANDBETWEEN(2,COUNTA(States!$A:$A)),1)</f>
        <v>12</v>
      </c>
      <c r="H13" s="7" t="str">
        <f ca="1">VLOOKUP($D13,Name!$A:$C,3,FALSE)</f>
        <v>M</v>
      </c>
      <c r="I13" s="7" cm="1">
        <f t="array" aca="1" ref="I13" ca="1">INDEX('Marital status'!$A:$A,RANDBETWEEN(2,COUNTA('Marital status'!$A:$A)),1)</f>
        <v>2</v>
      </c>
      <c r="J13" s="7">
        <f t="shared" ca="1" si="3"/>
        <v>2</v>
      </c>
      <c r="K13" s="8">
        <f t="shared" ca="1" si="4"/>
        <v>33767</v>
      </c>
      <c r="L13" s="6">
        <f t="shared" ca="1" si="5"/>
        <v>6</v>
      </c>
      <c r="M13" s="7">
        <f ca="1" xml:space="preserve">
  IF(OR($N13 = 2, $N13 = 3, $N13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3" s="6">
        <f t="shared" ca="1" si="6"/>
        <v>4</v>
      </c>
      <c r="O13" s="6" t="e">
        <f t="shared" ca="1" si="7"/>
        <v>#N/A</v>
      </c>
      <c r="P13" s="8">
        <f t="shared" ca="1" si="8"/>
        <v>36161</v>
      </c>
      <c r="Q13" s="6">
        <f ca="1">RANDBETWEEN(2,COUNTA('Recruitment source'!$A:$A))</f>
        <v>7</v>
      </c>
      <c r="R13" s="8" t="e">
        <f t="shared" ca="1" si="9"/>
        <v>#N/A</v>
      </c>
      <c r="S13" s="6" t="e">
        <f t="shared" ca="1" si="10"/>
        <v>#N/A</v>
      </c>
      <c r="T13" s="6">
        <f t="shared" ca="1" si="0"/>
        <v>4</v>
      </c>
      <c r="U13" s="1">
        <f t="shared" ca="1" si="11"/>
        <v>15080</v>
      </c>
    </row>
    <row r="14" spans="1:21" x14ac:dyDescent="0.2">
      <c r="A14" s="7" cm="1">
        <f t="array" aca="1" ref="A14" ca="1">INDEX(Companies!$A:$A,RANDBETWEEN(2,COUNTA(Companies!$A:$A)),1)</f>
        <v>2</v>
      </c>
      <c r="B14" s="5">
        <f t="shared" si="1"/>
        <v>13</v>
      </c>
      <c r="C14" s="6">
        <f t="shared" ca="1" si="2"/>
        <v>1</v>
      </c>
      <c r="D14" s="7">
        <f ca="1">IF($B14 = 1 + N("Presidente"),
    127,
    IF($B14 = 2 + N("Vice-Presidente"),
        72,
        IF($B14 = 3 + N("Secretária bilíngue"),
            13,
            RANDBETWEEN(5,COUNT(Name!$A:$A) + 1)
        )
    )
)</f>
        <v>251</v>
      </c>
      <c r="E14" s="7" t="str">
        <f ca="1" xml:space="preserve">
VLOOKUP(
  $D14,
  Name!$A:$B,
  2,
  FALSE
)
&amp; " " &amp;
IF($B14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Maitê Junqueira Testa</v>
      </c>
      <c r="F14" s="7">
        <v>2</v>
      </c>
      <c r="G14" s="7" cm="1">
        <f t="array" aca="1" ref="G14" ca="1">INDEX(States!$B:$B,RANDBETWEEN(2,COUNTA(States!$A:$A)),1)</f>
        <v>18</v>
      </c>
      <c r="H14" s="7" t="str">
        <f ca="1">VLOOKUP($D14,Name!$A:$C,3,FALSE)</f>
        <v>F</v>
      </c>
      <c r="I14" s="7" cm="1">
        <f t="array" aca="1" ref="I14" ca="1">INDEX('Marital status'!$A:$A,RANDBETWEEN(2,COUNTA('Marital status'!$A:$A)),1)</f>
        <v>3</v>
      </c>
      <c r="J14" s="7">
        <f t="shared" ca="1" si="3"/>
        <v>2</v>
      </c>
      <c r="K14" s="8">
        <f t="shared" ca="1" si="4"/>
        <v>24046</v>
      </c>
      <c r="L14" s="6">
        <f t="shared" ca="1" si="5"/>
        <v>5</v>
      </c>
      <c r="M14" s="7">
        <f ca="1" xml:space="preserve">
  IF(OR($N14 = 2, $N14 = 3, $N14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4" s="6">
        <f t="shared" ca="1" si="6"/>
        <v>4</v>
      </c>
      <c r="O14" s="6" t="e">
        <f t="shared" ca="1" si="7"/>
        <v>#N/A</v>
      </c>
      <c r="P14" s="8">
        <f t="shared" ca="1" si="8"/>
        <v>36309</v>
      </c>
      <c r="Q14" s="6">
        <f ca="1">RANDBETWEEN(2,COUNTA('Recruitment source'!$A:$A))</f>
        <v>8</v>
      </c>
      <c r="R14" s="8" t="e">
        <f t="shared" ca="1" si="9"/>
        <v>#N/A</v>
      </c>
      <c r="S14" s="6" t="e">
        <f t="shared" ca="1" si="10"/>
        <v>#N/A</v>
      </c>
      <c r="T14" s="6">
        <f t="shared" ca="1" si="0"/>
        <v>5</v>
      </c>
      <c r="U14" s="1">
        <f t="shared" ca="1" si="11"/>
        <v>15000</v>
      </c>
    </row>
    <row r="15" spans="1:21" x14ac:dyDescent="0.2">
      <c r="A15" s="7" cm="1">
        <f t="array" aca="1" ref="A15" ca="1">INDEX(Companies!$A:$A,RANDBETWEEN(2,COUNTA(Companies!$A:$A)),1)</f>
        <v>2</v>
      </c>
      <c r="B15" s="5">
        <f t="shared" si="1"/>
        <v>14</v>
      </c>
      <c r="C15" s="6">
        <f t="shared" ca="1" si="2"/>
        <v>1</v>
      </c>
      <c r="D15" s="7">
        <f ca="1">IF($B15 = 1 + N("Presidente"),
    127,
    IF($B15 = 2 + N("Vice-Presidente"),
        72,
        IF($B15 = 3 + N("Secretária bilíngue"),
            13,
            RANDBETWEEN(5,COUNT(Name!$A:$A) + 1)
        )
    )
)</f>
        <v>150</v>
      </c>
      <c r="E15" s="7" t="str">
        <f ca="1" xml:space="preserve">
VLOOKUP(
  $D15,
  Name!$A:$B,
  2,
  FALSE
)
&amp; " " &amp;
IF($B15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Gabriela Giordano Madureira</v>
      </c>
      <c r="F15" s="7">
        <v>2</v>
      </c>
      <c r="G15" s="7" cm="1">
        <f t="array" aca="1" ref="G15" ca="1">INDEX(States!$B:$B,RANDBETWEEN(2,COUNTA(States!$A:$A)),1)</f>
        <v>14</v>
      </c>
      <c r="H15" s="7" t="str">
        <f ca="1">VLOOKUP($D15,Name!$A:$C,3,FALSE)</f>
        <v>F</v>
      </c>
      <c r="I15" s="7" cm="1">
        <f t="array" aca="1" ref="I15" ca="1">INDEX('Marital status'!$A:$A,RANDBETWEEN(2,COUNTA('Marital status'!$A:$A)),1)</f>
        <v>6</v>
      </c>
      <c r="J15" s="7">
        <f t="shared" ca="1" si="3"/>
        <v>2</v>
      </c>
      <c r="K15" s="8">
        <f t="shared" ca="1" si="4"/>
        <v>25566</v>
      </c>
      <c r="L15" s="6">
        <f t="shared" ca="1" si="5"/>
        <v>5</v>
      </c>
      <c r="M15" s="7">
        <f ca="1" xml:space="preserve">
  IF(OR($N15 = 2, $N15 = 3, $N15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5" s="6">
        <f t="shared" ca="1" si="6"/>
        <v>4</v>
      </c>
      <c r="O15" s="6" t="e">
        <f t="shared" ca="1" si="7"/>
        <v>#N/A</v>
      </c>
      <c r="P15" s="8">
        <f t="shared" ca="1" si="8"/>
        <v>36168</v>
      </c>
      <c r="Q15" s="6">
        <f ca="1">RANDBETWEEN(2,COUNTA('Recruitment source'!$A:$A))</f>
        <v>3</v>
      </c>
      <c r="R15" s="8" t="e">
        <f t="shared" ca="1" si="9"/>
        <v>#N/A</v>
      </c>
      <c r="S15" s="6" t="e">
        <f t="shared" ca="1" si="10"/>
        <v>#N/A</v>
      </c>
      <c r="T15" s="6">
        <f t="shared" ca="1" si="0"/>
        <v>4</v>
      </c>
      <c r="U15" s="1">
        <f t="shared" ca="1" si="11"/>
        <v>15000</v>
      </c>
    </row>
    <row r="16" spans="1:21" x14ac:dyDescent="0.2">
      <c r="A16" s="7" cm="1">
        <f t="array" aca="1" ref="A16" ca="1">INDEX(Companies!$A:$A,RANDBETWEEN(2,COUNTA(Companies!$A:$A)),1)</f>
        <v>2</v>
      </c>
      <c r="B16" s="5">
        <f t="shared" si="1"/>
        <v>15</v>
      </c>
      <c r="C16" s="6">
        <f t="shared" ca="1" si="2"/>
        <v>1</v>
      </c>
      <c r="D16" s="7">
        <f ca="1">IF($B16 = 1 + N("Presidente"),
    127,
    IF($B16 = 2 + N("Vice-Presidente"),
        72,
        IF($B16 = 3 + N("Secretária bilíngue"),
            13,
            RANDBETWEEN(5,COUNT(Name!$A:$A) + 1)
        )
    )
)</f>
        <v>311</v>
      </c>
      <c r="E16" s="7" t="str">
        <f ca="1" xml:space="preserve">
VLOOKUP(
  $D16,
  Name!$A:$B,
  2,
  FALSE
)
&amp; " " &amp;
IF($B16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Olívia Conti Soares</v>
      </c>
      <c r="F16" s="7">
        <v>2</v>
      </c>
      <c r="G16" s="7" cm="1">
        <f t="array" aca="1" ref="G16" ca="1">INDEX(States!$B:$B,RANDBETWEEN(2,COUNTA(States!$A:$A)),1)</f>
        <v>3</v>
      </c>
      <c r="H16" s="7" t="str">
        <f ca="1">VLOOKUP($D16,Name!$A:$C,3,FALSE)</f>
        <v>F</v>
      </c>
      <c r="I16" s="7" cm="1">
        <f t="array" aca="1" ref="I16" ca="1">INDEX('Marital status'!$A:$A,RANDBETWEEN(2,COUNTA('Marital status'!$A:$A)),1)</f>
        <v>5</v>
      </c>
      <c r="J16" s="7">
        <f t="shared" ca="1" si="3"/>
        <v>2</v>
      </c>
      <c r="K16" s="8">
        <f t="shared" ca="1" si="4"/>
        <v>23276</v>
      </c>
      <c r="L16" s="6">
        <f t="shared" ca="1" si="5"/>
        <v>4</v>
      </c>
      <c r="M16" s="7">
        <f ca="1" xml:space="preserve">
  IF(OR($N16 = 2, $N16 = 3, $N16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6" s="6">
        <f t="shared" ca="1" si="6"/>
        <v>11</v>
      </c>
      <c r="O16" s="6" t="e">
        <f t="shared" ca="1" si="7"/>
        <v>#N/A</v>
      </c>
      <c r="P16" s="8">
        <f t="shared" ca="1" si="8"/>
        <v>36768</v>
      </c>
      <c r="Q16" s="6">
        <f ca="1">RANDBETWEEN(2,COUNTA('Recruitment source'!$A:$A))</f>
        <v>2</v>
      </c>
      <c r="R16" s="8" t="e">
        <f t="shared" ca="1" si="9"/>
        <v>#N/A</v>
      </c>
      <c r="S16" s="6" t="e">
        <f t="shared" ca="1" si="10"/>
        <v>#N/A</v>
      </c>
      <c r="T16" s="6">
        <f t="shared" ca="1" si="0"/>
        <v>4</v>
      </c>
      <c r="U16" s="1">
        <f t="shared" ca="1" si="11"/>
        <v>12000</v>
      </c>
    </row>
    <row r="17" spans="1:21" x14ac:dyDescent="0.2">
      <c r="A17" s="7" cm="1">
        <f t="array" aca="1" ref="A17" ca="1">INDEX(Companies!$A:$A,RANDBETWEEN(2,COUNTA(Companies!$A:$A)),1)</f>
        <v>2</v>
      </c>
      <c r="B17" s="5">
        <f t="shared" si="1"/>
        <v>16</v>
      </c>
      <c r="C17" s="6">
        <f t="shared" ca="1" si="2"/>
        <v>1</v>
      </c>
      <c r="D17" s="7">
        <f ca="1">IF($B17 = 1 + N("Presidente"),
    127,
    IF($B17 = 2 + N("Vice-Presidente"),
        72,
        IF($B17 = 3 + N("Secretária bilíngue"),
            13,
            RANDBETWEEN(5,COUNT(Name!$A:$A) + 1)
        )
    )
)</f>
        <v>41</v>
      </c>
      <c r="E17" s="7" t="str">
        <f ca="1" xml:space="preserve">
VLOOKUP(
  $D17,
  Name!$A:$B,
  2,
  FALSE
)
&amp; " " &amp;
IF($B17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Ane Caroline Alvaregna Paulista</v>
      </c>
      <c r="F17" s="7">
        <v>2</v>
      </c>
      <c r="G17" s="7" cm="1">
        <f t="array" aca="1" ref="G17" ca="1">INDEX(States!$B:$B,RANDBETWEEN(2,COUNTA(States!$A:$A)),1)</f>
        <v>19</v>
      </c>
      <c r="H17" s="7" t="str">
        <f ca="1">VLOOKUP($D17,Name!$A:$C,3,FALSE)</f>
        <v>F</v>
      </c>
      <c r="I17" s="7" cm="1">
        <f t="array" aca="1" ref="I17" ca="1">INDEX('Marital status'!$A:$A,RANDBETWEEN(2,COUNTA('Marital status'!$A:$A)),1)</f>
        <v>6</v>
      </c>
      <c r="J17" s="7">
        <f t="shared" ca="1" si="3"/>
        <v>2</v>
      </c>
      <c r="K17" s="8">
        <f t="shared" ca="1" si="4"/>
        <v>22271</v>
      </c>
      <c r="L17" s="6">
        <f t="shared" ca="1" si="5"/>
        <v>4</v>
      </c>
      <c r="M17" s="7">
        <f ca="1" xml:space="preserve">
  IF(OR($N17 = 2, $N17 = 3, $N17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7" s="6">
        <f t="shared" ca="1" si="6"/>
        <v>11</v>
      </c>
      <c r="O17" s="6" t="e">
        <f t="shared" ca="1" si="7"/>
        <v>#N/A</v>
      </c>
      <c r="P17" s="8">
        <f t="shared" ca="1" si="8"/>
        <v>37791</v>
      </c>
      <c r="Q17" s="6">
        <f ca="1">RANDBETWEEN(2,COUNTA('Recruitment source'!$A:$A))</f>
        <v>12</v>
      </c>
      <c r="R17" s="8" t="e">
        <f t="shared" ca="1" si="9"/>
        <v>#N/A</v>
      </c>
      <c r="S17" s="6" t="e">
        <f t="shared" ca="1" si="10"/>
        <v>#N/A</v>
      </c>
      <c r="T17" s="6">
        <f t="shared" ca="1" si="0"/>
        <v>3</v>
      </c>
      <c r="U17" s="1">
        <f t="shared" ca="1" si="11"/>
        <v>12000</v>
      </c>
    </row>
    <row r="18" spans="1:21" x14ac:dyDescent="0.2">
      <c r="A18" s="7" cm="1">
        <f t="array" aca="1" ref="A18" ca="1">INDEX(Companies!$A:$A,RANDBETWEEN(2,COUNTA(Companies!$A:$A)),1)</f>
        <v>2</v>
      </c>
      <c r="B18" s="5">
        <f t="shared" si="1"/>
        <v>17</v>
      </c>
      <c r="C18" s="6">
        <f t="shared" ca="1" si="2"/>
        <v>1</v>
      </c>
      <c r="D18" s="7">
        <f ca="1">IF($B18 = 1 + N("Presidente"),
    127,
    IF($B18 = 2 + N("Vice-Presidente"),
        72,
        IF($B18 = 3 + N("Secretária bilíngue"),
            13,
            RANDBETWEEN(5,COUNT(Name!$A:$A) + 1)
        )
    )
)</f>
        <v>356</v>
      </c>
      <c r="E18" s="7" t="str">
        <f ca="1" xml:space="preserve">
VLOOKUP(
  $D18,
  Name!$A:$B,
  2,
  FALSE
)
&amp; " " &amp;
IF($B18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Victória Romano Bandeira</v>
      </c>
      <c r="F18" s="7">
        <v>2</v>
      </c>
      <c r="G18" s="7" cm="1">
        <f t="array" aca="1" ref="G18" ca="1">INDEX(States!$B:$B,RANDBETWEEN(2,COUNTA(States!$A:$A)),1)</f>
        <v>11</v>
      </c>
      <c r="H18" s="7" t="str">
        <f ca="1">VLOOKUP($D18,Name!$A:$C,3,FALSE)</f>
        <v>F</v>
      </c>
      <c r="I18" s="7" cm="1">
        <f t="array" aca="1" ref="I18" ca="1">INDEX('Marital status'!$A:$A,RANDBETWEEN(2,COUNTA('Marital status'!$A:$A)),1)</f>
        <v>5</v>
      </c>
      <c r="J18" s="7">
        <f t="shared" ca="1" si="3"/>
        <v>2</v>
      </c>
      <c r="K18" s="8">
        <f t="shared" ca="1" si="4"/>
        <v>27446</v>
      </c>
      <c r="L18" s="6">
        <f t="shared" ca="1" si="5"/>
        <v>5</v>
      </c>
      <c r="M18" s="7">
        <f ca="1" xml:space="preserve">
  IF(OR($N18 = 2, $N18 = 3, $N18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8" s="6">
        <f t="shared" ca="1" si="6"/>
        <v>11</v>
      </c>
      <c r="O18" s="6" t="e">
        <f t="shared" ca="1" si="7"/>
        <v>#N/A</v>
      </c>
      <c r="P18" s="8">
        <f t="shared" ca="1" si="8"/>
        <v>44004</v>
      </c>
      <c r="Q18" s="6">
        <f ca="1">RANDBETWEEN(2,COUNTA('Recruitment source'!$A:$A))</f>
        <v>4</v>
      </c>
      <c r="R18" s="8" t="e">
        <f t="shared" ca="1" si="9"/>
        <v>#N/A</v>
      </c>
      <c r="S18" s="6" t="e">
        <f t="shared" ca="1" si="10"/>
        <v>#N/A</v>
      </c>
      <c r="T18" s="6">
        <f t="shared" ca="1" si="0"/>
        <v>4</v>
      </c>
      <c r="U18" s="1">
        <f t="shared" ca="1" si="11"/>
        <v>12000</v>
      </c>
    </row>
    <row r="19" spans="1:21" x14ac:dyDescent="0.2">
      <c r="A19" s="7" cm="1">
        <f t="array" aca="1" ref="A19" ca="1">INDEX(Companies!$A:$A,RANDBETWEEN(2,COUNTA(Companies!$A:$A)),1)</f>
        <v>2</v>
      </c>
      <c r="B19" s="5">
        <f t="shared" si="1"/>
        <v>18</v>
      </c>
      <c r="C19" s="6">
        <f t="shared" ca="1" si="2"/>
        <v>1</v>
      </c>
      <c r="D19" s="7">
        <f ca="1">IF($B19 = 1 + N("Presidente"),
    127,
    IF($B19 = 2 + N("Vice-Presidente"),
        72,
        IF($B19 = 3 + N("Secretária bilíngue"),
            13,
            RANDBETWEEN(5,COUNT(Name!$A:$A) + 1)
        )
    )
)</f>
        <v>274</v>
      </c>
      <c r="E19" s="7" t="str">
        <f ca="1" xml:space="preserve">
VLOOKUP(
  $D19,
  Name!$A:$B,
  2,
  FALSE
)
&amp; " " &amp;
IF($B19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Valentina Mariani Zil</v>
      </c>
      <c r="F19" s="7">
        <v>2</v>
      </c>
      <c r="G19" s="7" cm="1">
        <f t="array" aca="1" ref="G19" ca="1">INDEX(States!$B:$B,RANDBETWEEN(2,COUNTA(States!$A:$A)),1)</f>
        <v>19</v>
      </c>
      <c r="H19" s="7" t="str">
        <f ca="1">VLOOKUP($D19,Name!$A:$C,3,FALSE)</f>
        <v>F</v>
      </c>
      <c r="I19" s="7" cm="1">
        <f t="array" aca="1" ref="I19" ca="1">INDEX('Marital status'!$A:$A,RANDBETWEEN(2,COUNTA('Marital status'!$A:$A)),1)</f>
        <v>2</v>
      </c>
      <c r="J19" s="7">
        <f t="shared" ca="1" si="3"/>
        <v>5</v>
      </c>
      <c r="K19" s="8">
        <f t="shared" ca="1" si="4"/>
        <v>30804</v>
      </c>
      <c r="L19" s="6">
        <f t="shared" ca="1" si="5"/>
        <v>5</v>
      </c>
      <c r="M19" s="7">
        <f ca="1" xml:space="preserve">
  IF(OR($N19 = 2, $N19 = 3, $N19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9" s="6">
        <f t="shared" ca="1" si="6"/>
        <v>11</v>
      </c>
      <c r="O19" s="6" t="e">
        <f t="shared" ca="1" si="7"/>
        <v>#N/A</v>
      </c>
      <c r="P19" s="8">
        <f t="shared" ca="1" si="8"/>
        <v>40945</v>
      </c>
      <c r="Q19" s="6">
        <f ca="1">RANDBETWEEN(2,COUNTA('Recruitment source'!$A:$A))</f>
        <v>9</v>
      </c>
      <c r="R19" s="8" t="e">
        <f t="shared" ca="1" si="9"/>
        <v>#N/A</v>
      </c>
      <c r="S19" s="6" t="e">
        <f t="shared" ca="1" si="10"/>
        <v>#N/A</v>
      </c>
      <c r="T19" s="6">
        <f t="shared" ca="1" si="0"/>
        <v>3</v>
      </c>
      <c r="U19" s="1">
        <f t="shared" ca="1" si="11"/>
        <v>12000</v>
      </c>
    </row>
    <row r="20" spans="1:21" x14ac:dyDescent="0.2">
      <c r="A20" s="7" cm="1">
        <f t="array" aca="1" ref="A20" ca="1">INDEX(Companies!$A:$A,RANDBETWEEN(2,COUNTA(Companies!$A:$A)),1)</f>
        <v>2</v>
      </c>
      <c r="B20" s="5">
        <f t="shared" si="1"/>
        <v>19</v>
      </c>
      <c r="C20" s="6">
        <f t="shared" ca="1" si="2"/>
        <v>1</v>
      </c>
      <c r="D20" s="7">
        <f ca="1">IF($B20 = 1 + N("Presidente"),
    127,
    IF($B20 = 2 + N("Vice-Presidente"),
        72,
        IF($B20 = 3 + N("Secretária bilíngue"),
            13,
            RANDBETWEEN(5,COUNT(Name!$A:$A) + 1)
        )
    )
)</f>
        <v>333</v>
      </c>
      <c r="E20" s="7" t="str">
        <f ca="1" xml:space="preserve">
VLOOKUP(
  $D20,
  Name!$A:$B,
  2,
  FALSE
)
&amp; " " &amp;
IF($B20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Ruan Marino Barboza</v>
      </c>
      <c r="F20" s="7">
        <v>2</v>
      </c>
      <c r="G20" s="7" cm="1">
        <f t="array" aca="1" ref="G20" ca="1">INDEX(States!$B:$B,RANDBETWEEN(2,COUNTA(States!$A:$A)),1)</f>
        <v>10</v>
      </c>
      <c r="H20" s="7" t="str">
        <f ca="1">VLOOKUP($D20,Name!$A:$C,3,FALSE)</f>
        <v>M</v>
      </c>
      <c r="I20" s="7" cm="1">
        <f t="array" aca="1" ref="I20" ca="1">INDEX('Marital status'!$A:$A,RANDBETWEEN(2,COUNTA('Marital status'!$A:$A)),1)</f>
        <v>5</v>
      </c>
      <c r="J20" s="7">
        <f t="shared" ca="1" si="3"/>
        <v>2</v>
      </c>
      <c r="K20" s="8">
        <f t="shared" ca="1" si="4"/>
        <v>21415</v>
      </c>
      <c r="L20" s="6">
        <f t="shared" ca="1" si="5"/>
        <v>6</v>
      </c>
      <c r="M20" s="7">
        <f ca="1" xml:space="preserve">
  IF(OR($N20 = 2, $N20 = 3, $N20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20" s="6">
        <f t="shared" ca="1" si="6"/>
        <v>11</v>
      </c>
      <c r="O20" s="6" t="e">
        <f t="shared" ca="1" si="7"/>
        <v>#N/A</v>
      </c>
      <c r="P20" s="8">
        <f t="shared" ca="1" si="8"/>
        <v>44806</v>
      </c>
      <c r="Q20" s="6">
        <f ca="1">RANDBETWEEN(2,COUNTA('Recruitment source'!$A:$A))</f>
        <v>5</v>
      </c>
      <c r="R20" s="8" t="e">
        <f t="shared" ca="1" si="9"/>
        <v>#N/A</v>
      </c>
      <c r="S20" s="6" t="e">
        <f t="shared" ca="1" si="10"/>
        <v>#N/A</v>
      </c>
      <c r="T20" s="6">
        <f t="shared" ca="1" si="0"/>
        <v>3</v>
      </c>
      <c r="U20" s="1">
        <f t="shared" ca="1" si="11"/>
        <v>12000</v>
      </c>
    </row>
    <row r="21" spans="1:21" x14ac:dyDescent="0.2">
      <c r="A21" s="7" cm="1">
        <f t="array" aca="1" ref="A21" ca="1">INDEX(Companies!$A:$A,RANDBETWEEN(2,COUNTA(Companies!$A:$A)),1)</f>
        <v>2</v>
      </c>
      <c r="B21" s="5">
        <f t="shared" si="1"/>
        <v>20</v>
      </c>
      <c r="C21" s="6">
        <f t="shared" ca="1" si="2"/>
        <v>1</v>
      </c>
      <c r="D21" s="7">
        <f ca="1">IF($B21 = 1 + N("Presidente"),
    127,
    IF($B21 = 2 + N("Vice-Presidente"),
        72,
        IF($B21 = 3 + N("Secretária bilíngue"),
            13,
            RANDBETWEEN(5,COUNT(Name!$A:$A) + 1)
        )
    )
)</f>
        <v>253</v>
      </c>
      <c r="E21" s="7" t="str">
        <f ca="1" xml:space="preserve">
VLOOKUP(
  $D21,
  Name!$A:$B,
  2,
  FALSE
)
&amp; " " &amp;
IF($B21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Malu Gallo Pereira</v>
      </c>
      <c r="F21" s="7">
        <v>2</v>
      </c>
      <c r="G21" s="7" cm="1">
        <f t="array" aca="1" ref="G21" ca="1">INDEX(States!$B:$B,RANDBETWEEN(2,COUNTA(States!$A:$A)),1)</f>
        <v>9</v>
      </c>
      <c r="H21" s="7" t="str">
        <f ca="1">VLOOKUP($D21,Name!$A:$C,3,FALSE)</f>
        <v>F</v>
      </c>
      <c r="I21" s="7" cm="1">
        <f t="array" aca="1" ref="I21" ca="1">INDEX('Marital status'!$A:$A,RANDBETWEEN(2,COUNTA('Marital status'!$A:$A)),1)</f>
        <v>6</v>
      </c>
      <c r="J21" s="7">
        <f t="shared" ca="1" si="3"/>
        <v>3</v>
      </c>
      <c r="K21" s="8">
        <f t="shared" ca="1" si="4"/>
        <v>24410</v>
      </c>
      <c r="L21" s="6">
        <f t="shared" ca="1" si="5"/>
        <v>4</v>
      </c>
      <c r="M21" s="7">
        <f ca="1" xml:space="preserve">
  IF(OR($N21 = 2, $N21 = 3, $N21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21" s="6">
        <f t="shared" ca="1" si="6"/>
        <v>11</v>
      </c>
      <c r="O21" s="6" t="e">
        <f t="shared" ca="1" si="7"/>
        <v>#N/A</v>
      </c>
      <c r="P21" s="8">
        <f t="shared" ca="1" si="8"/>
        <v>43614</v>
      </c>
      <c r="Q21" s="6">
        <f ca="1">RANDBETWEEN(2,COUNTA('Recruitment source'!$A:$A))</f>
        <v>5</v>
      </c>
      <c r="R21" s="8" t="e">
        <f t="shared" ca="1" si="9"/>
        <v>#N/A</v>
      </c>
      <c r="S21" s="6" t="e">
        <f t="shared" ca="1" si="10"/>
        <v>#N/A</v>
      </c>
      <c r="T21" s="6">
        <f t="shared" ca="1" si="0"/>
        <v>5</v>
      </c>
      <c r="U21" s="1">
        <f t="shared" ca="1" si="11"/>
        <v>12080</v>
      </c>
    </row>
    <row r="22" spans="1:21" x14ac:dyDescent="0.2">
      <c r="A22" s="7" cm="1">
        <f t="array" aca="1" ref="A22" ca="1">INDEX(Companies!$A:$A,RANDBETWEEN(2,COUNTA(Companies!$A:$A)),1)</f>
        <v>2</v>
      </c>
      <c r="B22" s="5">
        <f t="shared" si="1"/>
        <v>21</v>
      </c>
      <c r="C22" s="6">
        <f t="shared" ca="1" si="2"/>
        <v>1</v>
      </c>
      <c r="D22" s="7">
        <f ca="1">IF($B22 = 1 + N("Presidente"),
    127,
    IF($B22 = 2 + N("Vice-Presidente"),
        72,
        IF($B22 = 3 + N("Secretária bilíngue"),
            13,
            RANDBETWEEN(5,COUNT(Name!$A:$A) + 1)
        )
    )
)</f>
        <v>196</v>
      </c>
      <c r="E22" s="7" t="str">
        <f ca="1" xml:space="preserve">
VLOOKUP(
  $D22,
  Name!$A:$B,
  2,
  FALSE
)
&amp; " " &amp;
IF($B22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Jonathan Barros Luz</v>
      </c>
      <c r="F22" s="7">
        <v>2</v>
      </c>
      <c r="G22" s="7" cm="1">
        <f t="array" aca="1" ref="G22" ca="1">INDEX(States!$B:$B,RANDBETWEEN(2,COUNTA(States!$A:$A)),1)</f>
        <v>8</v>
      </c>
      <c r="H22" s="7" t="str">
        <f ca="1">VLOOKUP($D22,Name!$A:$C,3,FALSE)</f>
        <v>M</v>
      </c>
      <c r="I22" s="7" cm="1">
        <f t="array" aca="1" ref="I22" ca="1">INDEX('Marital status'!$A:$A,RANDBETWEEN(2,COUNTA('Marital status'!$A:$A)),1)</f>
        <v>4</v>
      </c>
      <c r="J22" s="7">
        <f t="shared" ca="1" si="3"/>
        <v>4</v>
      </c>
      <c r="K22" s="8">
        <f t="shared" ca="1" si="4"/>
        <v>25055</v>
      </c>
      <c r="L22" s="6">
        <f t="shared" ca="1" si="5"/>
        <v>5</v>
      </c>
      <c r="M22" s="7">
        <f ca="1" xml:space="preserve">
  IF(OR($N22 = 2, $N22 = 3, $N22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22" s="6">
        <f t="shared" ca="1" si="6"/>
        <v>11</v>
      </c>
      <c r="O22" s="6" t="e">
        <f t="shared" ca="1" si="7"/>
        <v>#N/A</v>
      </c>
      <c r="P22" s="8">
        <f t="shared" ca="1" si="8"/>
        <v>40705</v>
      </c>
      <c r="Q22" s="6">
        <f ca="1">RANDBETWEEN(2,COUNTA('Recruitment source'!$A:$A))</f>
        <v>2</v>
      </c>
      <c r="R22" s="8" t="e">
        <f t="shared" ca="1" si="9"/>
        <v>#N/A</v>
      </c>
      <c r="S22" s="6" t="e">
        <f t="shared" ca="1" si="10"/>
        <v>#N/A</v>
      </c>
      <c r="T22" s="6">
        <f t="shared" ca="1" si="0"/>
        <v>3</v>
      </c>
      <c r="U22" s="1">
        <f t="shared" ca="1" si="11"/>
        <v>12080</v>
      </c>
    </row>
    <row r="23" spans="1:21" x14ac:dyDescent="0.2">
      <c r="A23" s="7" cm="1">
        <f t="array" aca="1" ref="A23" ca="1">INDEX(Companies!$A:$A,RANDBETWEEN(2,COUNTA(Companies!$A:$A)),1)</f>
        <v>2</v>
      </c>
      <c r="B23" s="5">
        <f t="shared" si="1"/>
        <v>22</v>
      </c>
      <c r="C23" s="6">
        <f t="shared" ca="1" si="2"/>
        <v>1</v>
      </c>
      <c r="D23" s="7">
        <f ca="1">IF($B23 = 1 + N("Presidente"),
    127,
    IF($B23 = 2 + N("Vice-Presidente"),
        72,
        IF($B23 = 3 + N("Secretária bilíngue"),
            13,
            RANDBETWEEN(5,COUNT(Name!$A:$A) + 1)
        )
    )
)</f>
        <v>226</v>
      </c>
      <c r="E23" s="7" t="str">
        <f ca="1" xml:space="preserve">
VLOOKUP(
  $D23,
  Name!$A:$B,
  2,
  FALSE
)
&amp; " " &amp;
IF($B23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Levy Garcia Nunes</v>
      </c>
      <c r="F23" s="7">
        <v>2</v>
      </c>
      <c r="G23" s="7" cm="1">
        <f t="array" aca="1" ref="G23" ca="1">INDEX(States!$B:$B,RANDBETWEEN(2,COUNTA(States!$A:$A)),1)</f>
        <v>16</v>
      </c>
      <c r="H23" s="7" t="str">
        <f ca="1">VLOOKUP($D23,Name!$A:$C,3,FALSE)</f>
        <v>M</v>
      </c>
      <c r="I23" s="7" cm="1">
        <f t="array" aca="1" ref="I23" ca="1">INDEX('Marital status'!$A:$A,RANDBETWEEN(2,COUNTA('Marital status'!$A:$A)),1)</f>
        <v>6</v>
      </c>
      <c r="J23" s="7">
        <f t="shared" ca="1" si="3"/>
        <v>2</v>
      </c>
      <c r="K23" s="8">
        <f t="shared" ca="1" si="4"/>
        <v>29652</v>
      </c>
      <c r="L23" s="6">
        <f t="shared" ca="1" si="5"/>
        <v>5</v>
      </c>
      <c r="M23" s="7">
        <f ca="1" xml:space="preserve">
  IF(OR($N23 = 2, $N23 = 3, $N23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23" s="6">
        <f t="shared" ca="1" si="6"/>
        <v>11</v>
      </c>
      <c r="O23" s="6" t="e">
        <f t="shared" ca="1" si="7"/>
        <v>#N/A</v>
      </c>
      <c r="P23" s="8">
        <f t="shared" ca="1" si="8"/>
        <v>40049</v>
      </c>
      <c r="Q23" s="6">
        <f ca="1">RANDBETWEEN(2,COUNTA('Recruitment source'!$A:$A))</f>
        <v>12</v>
      </c>
      <c r="R23" s="8" t="e">
        <f t="shared" ca="1" si="9"/>
        <v>#N/A</v>
      </c>
      <c r="S23" s="6" t="e">
        <f t="shared" ca="1" si="10"/>
        <v>#N/A</v>
      </c>
      <c r="T23" s="6">
        <f t="shared" ca="1" si="0"/>
        <v>5</v>
      </c>
      <c r="U23" s="1">
        <f t="shared" ca="1" si="11"/>
        <v>12000</v>
      </c>
    </row>
    <row r="24" spans="1:21" x14ac:dyDescent="0.2">
      <c r="A24" s="7" cm="1">
        <f t="array" aca="1" ref="A24" ca="1">INDEX(Companies!$A:$A,RANDBETWEEN(2,COUNTA(Companies!$A:$A)),1)</f>
        <v>2</v>
      </c>
      <c r="B24" s="5">
        <f t="shared" si="1"/>
        <v>23</v>
      </c>
      <c r="C24" s="6">
        <f t="shared" ca="1" si="2"/>
        <v>1</v>
      </c>
      <c r="D24" s="7">
        <f ca="1">IF($B24 = 1 + N("Presidente"),
    127,
    IF($B24 = 2 + N("Vice-Presidente"),
        72,
        IF($B24 = 3 + N("Secretária bilíngue"),
            13,
            RANDBETWEEN(5,COUNT(Name!$A:$A) + 1)
        )
    )
)</f>
        <v>132</v>
      </c>
      <c r="E24" s="7" t="str">
        <f ca="1" xml:space="preserve">
VLOOKUP(
  $D24,
  Name!$A:$B,
  2,
  FALSE
)
&amp; " " &amp;
IF($B24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Eslovênia Borges Ferrão</v>
      </c>
      <c r="F24" s="7">
        <v>2</v>
      </c>
      <c r="G24" s="7" cm="1">
        <f t="array" aca="1" ref="G24" ca="1">INDEX(States!$B:$B,RANDBETWEEN(2,COUNTA(States!$A:$A)),1)</f>
        <v>4</v>
      </c>
      <c r="H24" s="7" t="str">
        <f ca="1">VLOOKUP($D24,Name!$A:$C,3,FALSE)</f>
        <v>F</v>
      </c>
      <c r="I24" s="7" cm="1">
        <f t="array" aca="1" ref="I24" ca="1">INDEX('Marital status'!$A:$A,RANDBETWEEN(2,COUNTA('Marital status'!$A:$A)),1)</f>
        <v>3</v>
      </c>
      <c r="J24" s="7">
        <f t="shared" ca="1" si="3"/>
        <v>2</v>
      </c>
      <c r="K24" s="8">
        <f t="shared" ca="1" si="4"/>
        <v>20285</v>
      </c>
      <c r="L24" s="6">
        <f t="shared" ca="1" si="5"/>
        <v>5</v>
      </c>
      <c r="M24" s="7">
        <f ca="1" xml:space="preserve">
  IF(OR($N24 = 2, $N24 = 3, $N24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24" s="6">
        <f t="shared" ca="1" si="6"/>
        <v>11</v>
      </c>
      <c r="O24" s="6" t="e">
        <f t="shared" ca="1" si="7"/>
        <v>#N/A</v>
      </c>
      <c r="P24" s="8">
        <f t="shared" ca="1" si="8"/>
        <v>36818</v>
      </c>
      <c r="Q24" s="6">
        <f ca="1">RANDBETWEEN(2,COUNTA('Recruitment source'!$A:$A))</f>
        <v>7</v>
      </c>
      <c r="R24" s="8" t="e">
        <f t="shared" ca="1" si="9"/>
        <v>#N/A</v>
      </c>
      <c r="S24" s="6" t="e">
        <f t="shared" ca="1" si="10"/>
        <v>#N/A</v>
      </c>
      <c r="T24" s="6">
        <f t="shared" ca="1" si="0"/>
        <v>5</v>
      </c>
      <c r="U24" s="1">
        <f t="shared" ca="1" si="11"/>
        <v>12080</v>
      </c>
    </row>
    <row r="25" spans="1:21" x14ac:dyDescent="0.2">
      <c r="A25" s="7" cm="1">
        <f t="array" aca="1" ref="A25" ca="1">INDEX(Companies!$A:$A,RANDBETWEEN(2,COUNTA(Companies!$A:$A)),1)</f>
        <v>2</v>
      </c>
      <c r="B25" s="5">
        <f t="shared" si="1"/>
        <v>24</v>
      </c>
      <c r="C25" s="6">
        <f t="shared" ca="1" si="2"/>
        <v>1</v>
      </c>
      <c r="D25" s="7">
        <f ca="1">IF($B25 = 1 + N("Presidente"),
    127,
    IF($B25 = 2 + N("Vice-Presidente"),
        72,
        IF($B25 = 3 + N("Secretária bilíngue"),
            13,
            RANDBETWEEN(5,COUNT(Name!$A:$A) + 1)
        )
    )
)</f>
        <v>116</v>
      </c>
      <c r="E25" s="7" t="str">
        <f ca="1" xml:space="preserve">
VLOOKUP(
  $D25,
  Name!$A:$B,
  2,
  FALSE
)
&amp; " " &amp;
IF($B25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Eduarda Farina Ferrari</v>
      </c>
      <c r="F25" s="7">
        <v>2</v>
      </c>
      <c r="G25" s="7" cm="1">
        <f t="array" aca="1" ref="G25" ca="1">INDEX(States!$B:$B,RANDBETWEEN(2,COUNTA(States!$A:$A)),1)</f>
        <v>8</v>
      </c>
      <c r="H25" s="7" t="str">
        <f ca="1">VLOOKUP($D25,Name!$A:$C,3,FALSE)</f>
        <v>F</v>
      </c>
      <c r="I25" s="7" cm="1">
        <f t="array" aca="1" ref="I25" ca="1">INDEX('Marital status'!$A:$A,RANDBETWEEN(2,COUNTA('Marital status'!$A:$A)),1)</f>
        <v>4</v>
      </c>
      <c r="J25" s="7">
        <f t="shared" ca="1" si="3"/>
        <v>2</v>
      </c>
      <c r="K25" s="8">
        <f t="shared" ca="1" si="4"/>
        <v>26553</v>
      </c>
      <c r="L25" s="6">
        <f t="shared" ca="1" si="5"/>
        <v>4</v>
      </c>
      <c r="M25" s="7">
        <f ca="1" xml:space="preserve">
  IF(OR($N25 = 2, $N25 = 3, $N25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25" s="6">
        <f t="shared" ca="1" si="6"/>
        <v>11</v>
      </c>
      <c r="O25" s="6" t="e">
        <f t="shared" ca="1" si="7"/>
        <v>#N/A</v>
      </c>
      <c r="P25" s="8">
        <f t="shared" ca="1" si="8"/>
        <v>42457</v>
      </c>
      <c r="Q25" s="6">
        <f ca="1">RANDBETWEEN(2,COUNTA('Recruitment source'!$A:$A))</f>
        <v>2</v>
      </c>
      <c r="R25" s="8" t="e">
        <f t="shared" ca="1" si="9"/>
        <v>#N/A</v>
      </c>
      <c r="S25" s="6" t="e">
        <f t="shared" ca="1" si="10"/>
        <v>#N/A</v>
      </c>
      <c r="T25" s="6">
        <f t="shared" ca="1" si="0"/>
        <v>4</v>
      </c>
      <c r="U25" s="1">
        <f t="shared" ca="1" si="11"/>
        <v>12000</v>
      </c>
    </row>
    <row r="26" spans="1:21" x14ac:dyDescent="0.2">
      <c r="A26" s="7" cm="1">
        <f t="array" aca="1" ref="A26" ca="1">INDEX(Companies!$A:$A,RANDBETWEEN(2,COUNTA(Companies!$A:$A)),1)</f>
        <v>2</v>
      </c>
      <c r="B26" s="5">
        <f t="shared" si="1"/>
        <v>25</v>
      </c>
      <c r="C26" s="6">
        <f t="shared" ca="1" si="2"/>
        <v>1</v>
      </c>
      <c r="D26" s="7">
        <f ca="1">IF($B26 = 1 + N("Presidente"),
    127,
    IF($B26 = 2 + N("Vice-Presidente"),
        72,
        IF($B26 = 3 + N("Secretária bilíngue"),
            13,
            RANDBETWEEN(5,COUNT(Name!$A:$A) + 1)
        )
    )
)</f>
        <v>224</v>
      </c>
      <c r="E26" s="7" t="str">
        <f ca="1" xml:space="preserve">
VLOOKUP(
  $D26,
  Name!$A:$B,
  2,
  FALSE
)
&amp; " " &amp;
IF($B26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Letícia Figo Simões</v>
      </c>
      <c r="F26" s="7">
        <v>2</v>
      </c>
      <c r="G26" s="7" cm="1">
        <f t="array" aca="1" ref="G26" ca="1">INDEX(States!$B:$B,RANDBETWEEN(2,COUNTA(States!$A:$A)),1)</f>
        <v>17</v>
      </c>
      <c r="H26" s="7" t="str">
        <f ca="1">VLOOKUP($D26,Name!$A:$C,3,FALSE)</f>
        <v>F</v>
      </c>
      <c r="I26" s="7" cm="1">
        <f t="array" aca="1" ref="I26" ca="1">INDEX('Marital status'!$A:$A,RANDBETWEEN(2,COUNTA('Marital status'!$A:$A)),1)</f>
        <v>2</v>
      </c>
      <c r="J26" s="7">
        <f t="shared" ca="1" si="3"/>
        <v>2</v>
      </c>
      <c r="K26" s="8">
        <f t="shared" ca="1" si="4"/>
        <v>18276</v>
      </c>
      <c r="L26" s="6">
        <f t="shared" ca="1" si="5"/>
        <v>5</v>
      </c>
      <c r="M26" s="7">
        <f ca="1" xml:space="preserve">
  IF(OR($N26 = 2, $N26 = 3, $N26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26" s="6">
        <f t="shared" ca="1" si="6"/>
        <v>11</v>
      </c>
      <c r="O26" s="6" t="e">
        <f t="shared" ca="1" si="7"/>
        <v>#N/A</v>
      </c>
      <c r="P26" s="8">
        <f t="shared" ca="1" si="8"/>
        <v>43267</v>
      </c>
      <c r="Q26" s="6">
        <f ca="1">RANDBETWEEN(2,COUNTA('Recruitment source'!$A:$A))</f>
        <v>2</v>
      </c>
      <c r="R26" s="8" t="e">
        <f t="shared" ca="1" si="9"/>
        <v>#N/A</v>
      </c>
      <c r="S26" s="6" t="e">
        <f t="shared" ca="1" si="10"/>
        <v>#N/A</v>
      </c>
      <c r="T26" s="6">
        <f t="shared" ca="1" si="0"/>
        <v>4</v>
      </c>
      <c r="U26" s="1">
        <f t="shared" ca="1" si="11"/>
        <v>12000</v>
      </c>
    </row>
    <row r="27" spans="1:21" x14ac:dyDescent="0.2">
      <c r="A27" s="7" cm="1">
        <f t="array" aca="1" ref="A27" ca="1">INDEX(Companies!$A:$A,RANDBETWEEN(2,COUNTA(Companies!$A:$A)),1)</f>
        <v>2</v>
      </c>
      <c r="B27" s="5">
        <f t="shared" si="1"/>
        <v>26</v>
      </c>
      <c r="C27" s="6">
        <f t="shared" ca="1" si="2"/>
        <v>1</v>
      </c>
      <c r="D27" s="7">
        <f ca="1">IF($B27 = 1 + N("Presidente"),
    127,
    IF($B27 = 2 + N("Vice-Presidente"),
        72,
        IF($B27 = 3 + N("Secretária bilíngue"),
            13,
            RANDBETWEEN(5,COUNT(Name!$A:$A) + 1)
        )
    )
)</f>
        <v>102</v>
      </c>
      <c r="E27" s="7" t="str">
        <f ca="1" xml:space="preserve">
VLOOKUP(
  $D27,
  Name!$A:$B,
  2,
  FALSE
)
&amp; " " &amp;
IF($B27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Danilo Andrade Esteves</v>
      </c>
      <c r="F27" s="7">
        <v>2</v>
      </c>
      <c r="G27" s="7" cm="1">
        <f t="array" aca="1" ref="G27" ca="1">INDEX(States!$B:$B,RANDBETWEEN(2,COUNTA(States!$A:$A)),1)</f>
        <v>18</v>
      </c>
      <c r="H27" s="7" t="str">
        <f ca="1">VLOOKUP($D27,Name!$A:$C,3,FALSE)</f>
        <v>M</v>
      </c>
      <c r="I27" s="7" cm="1">
        <f t="array" aca="1" ref="I27" ca="1">INDEX('Marital status'!$A:$A,RANDBETWEEN(2,COUNTA('Marital status'!$A:$A)),1)</f>
        <v>3</v>
      </c>
      <c r="J27" s="7">
        <f t="shared" ca="1" si="3"/>
        <v>2</v>
      </c>
      <c r="K27" s="8">
        <f t="shared" ca="1" si="4"/>
        <v>24647</v>
      </c>
      <c r="L27" s="6">
        <f t="shared" ca="1" si="5"/>
        <v>5</v>
      </c>
      <c r="M27" s="7">
        <f ca="1" xml:space="preserve">
  IF(OR($N27 = 2, $N27 = 3, $N27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27" s="6">
        <f t="shared" ca="1" si="6"/>
        <v>10</v>
      </c>
      <c r="O27" s="6" t="e">
        <f t="shared" ca="1" si="7"/>
        <v>#N/A</v>
      </c>
      <c r="P27" s="8">
        <f t="shared" ca="1" si="8"/>
        <v>41521</v>
      </c>
      <c r="Q27" s="6">
        <f ca="1">RANDBETWEEN(2,COUNTA('Recruitment source'!$A:$A))</f>
        <v>5</v>
      </c>
      <c r="R27" s="8" t="e">
        <f t="shared" ca="1" si="9"/>
        <v>#N/A</v>
      </c>
      <c r="S27" s="6" t="e">
        <f t="shared" ca="1" si="10"/>
        <v>#N/A</v>
      </c>
      <c r="T27" s="6">
        <f t="shared" ca="1" si="0"/>
        <v>4</v>
      </c>
      <c r="U27" s="1">
        <f t="shared" ca="1" si="11"/>
        <v>8000</v>
      </c>
    </row>
    <row r="28" spans="1:21" x14ac:dyDescent="0.2">
      <c r="A28" s="7" cm="1">
        <f t="array" aca="1" ref="A28" ca="1">INDEX(Companies!$A:$A,RANDBETWEEN(2,COUNTA(Companies!$A:$A)),1)</f>
        <v>2</v>
      </c>
      <c r="B28" s="5">
        <f t="shared" si="1"/>
        <v>27</v>
      </c>
      <c r="C28" s="6">
        <f t="shared" ca="1" si="2"/>
        <v>1</v>
      </c>
      <c r="D28" s="7">
        <f ca="1">IF($B28 = 1 + N("Presidente"),
    127,
    IF($B28 = 2 + N("Vice-Presidente"),
        72,
        IF($B28 = 3 + N("Secretária bilíngue"),
            13,
            RANDBETWEEN(5,COUNT(Name!$A:$A) + 1)
        )
    )
)</f>
        <v>94</v>
      </c>
      <c r="E28" s="7" t="str">
        <f ca="1" xml:space="preserve">
VLOOKUP(
  $D28,
  Name!$A:$B,
  2,
  FALSE
)
&amp; " " &amp;
IF($B28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Clara Amor Lima</v>
      </c>
      <c r="F28" s="7">
        <v>2</v>
      </c>
      <c r="G28" s="7" cm="1">
        <f t="array" aca="1" ref="G28" ca="1">INDEX(States!$B:$B,RANDBETWEEN(2,COUNTA(States!$A:$A)),1)</f>
        <v>17</v>
      </c>
      <c r="H28" s="7" t="str">
        <f ca="1">VLOOKUP($D28,Name!$A:$C,3,FALSE)</f>
        <v>F</v>
      </c>
      <c r="I28" s="7" cm="1">
        <f t="array" aca="1" ref="I28" ca="1">INDEX('Marital status'!$A:$A,RANDBETWEEN(2,COUNTA('Marital status'!$A:$A)),1)</f>
        <v>6</v>
      </c>
      <c r="J28" s="7">
        <f t="shared" ca="1" si="3"/>
        <v>3</v>
      </c>
      <c r="K28" s="8">
        <f t="shared" ca="1" si="4"/>
        <v>18218</v>
      </c>
      <c r="L28" s="6">
        <f t="shared" ca="1" si="5"/>
        <v>5</v>
      </c>
      <c r="M28" s="7">
        <f ca="1" xml:space="preserve">
  IF(OR($N28 = 2, $N28 = 3, $N28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28" s="6">
        <f t="shared" ca="1" si="6"/>
        <v>10</v>
      </c>
      <c r="O28" s="6" t="e">
        <f t="shared" ca="1" si="7"/>
        <v>#N/A</v>
      </c>
      <c r="P28" s="8">
        <f t="shared" ca="1" si="8"/>
        <v>40079</v>
      </c>
      <c r="Q28" s="6">
        <f ca="1">RANDBETWEEN(2,COUNTA('Recruitment source'!$A:$A))</f>
        <v>5</v>
      </c>
      <c r="R28" s="8" t="e">
        <f t="shared" ca="1" si="9"/>
        <v>#N/A</v>
      </c>
      <c r="S28" s="6" t="e">
        <f t="shared" ca="1" si="10"/>
        <v>#N/A</v>
      </c>
      <c r="T28" s="6">
        <f t="shared" ca="1" si="0"/>
        <v>3</v>
      </c>
      <c r="U28" s="1">
        <f t="shared" ca="1" si="11"/>
        <v>8000</v>
      </c>
    </row>
    <row r="29" spans="1:21" x14ac:dyDescent="0.2">
      <c r="A29" s="7" cm="1">
        <f t="array" aca="1" ref="A29" ca="1">INDEX(Companies!$A:$A,RANDBETWEEN(2,COUNTA(Companies!$A:$A)),1)</f>
        <v>2</v>
      </c>
      <c r="B29" s="5">
        <f t="shared" si="1"/>
        <v>28</v>
      </c>
      <c r="C29" s="6">
        <f t="shared" ca="1" si="2"/>
        <v>1</v>
      </c>
      <c r="D29" s="7">
        <f ca="1">IF($B29 = 1 + N("Presidente"),
    127,
    IF($B29 = 2 + N("Vice-Presidente"),
        72,
        IF($B29 = 3 + N("Secretária bilíngue"),
            13,
            RANDBETWEEN(5,COUNT(Name!$A:$A) + 1)
        )
    )
)</f>
        <v>176</v>
      </c>
      <c r="E29" s="7" t="str">
        <f ca="1" xml:space="preserve">
VLOOKUP(
  $D29,
  Name!$A:$B,
  2,
  FALSE
)
&amp; " " &amp;
IF($B29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Isabelle Bragança Siqueira</v>
      </c>
      <c r="F29" s="7">
        <v>2</v>
      </c>
      <c r="G29" s="7" cm="1">
        <f t="array" aca="1" ref="G29" ca="1">INDEX(States!$B:$B,RANDBETWEEN(2,COUNTA(States!$A:$A)),1)</f>
        <v>11</v>
      </c>
      <c r="H29" s="7" t="str">
        <f ca="1">VLOOKUP($D29,Name!$A:$C,3,FALSE)</f>
        <v>F</v>
      </c>
      <c r="I29" s="7" cm="1">
        <f t="array" aca="1" ref="I29" ca="1">INDEX('Marital status'!$A:$A,RANDBETWEEN(2,COUNTA('Marital status'!$A:$A)),1)</f>
        <v>4</v>
      </c>
      <c r="J29" s="7">
        <f t="shared" ca="1" si="3"/>
        <v>2</v>
      </c>
      <c r="K29" s="8">
        <f t="shared" ca="1" si="4"/>
        <v>23493</v>
      </c>
      <c r="L29" s="6">
        <f t="shared" ca="1" si="5"/>
        <v>5</v>
      </c>
      <c r="M29" s="7">
        <f ca="1" xml:space="preserve">
  IF(OR($N29 = 2, $N29 = 3, $N29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29" s="6">
        <f t="shared" ca="1" si="6"/>
        <v>10</v>
      </c>
      <c r="O29" s="6" t="e">
        <f t="shared" ca="1" si="7"/>
        <v>#N/A</v>
      </c>
      <c r="P29" s="8">
        <f t="shared" ca="1" si="8"/>
        <v>44394</v>
      </c>
      <c r="Q29" s="6">
        <f ca="1">RANDBETWEEN(2,COUNTA('Recruitment source'!$A:$A))</f>
        <v>4</v>
      </c>
      <c r="R29" s="8" t="e">
        <f t="shared" ca="1" si="9"/>
        <v>#N/A</v>
      </c>
      <c r="S29" s="6" t="e">
        <f t="shared" ca="1" si="10"/>
        <v>#N/A</v>
      </c>
      <c r="T29" s="6">
        <f t="shared" ca="1" si="0"/>
        <v>3</v>
      </c>
      <c r="U29" s="1">
        <f t="shared" ca="1" si="11"/>
        <v>8000</v>
      </c>
    </row>
    <row r="30" spans="1:21" x14ac:dyDescent="0.2">
      <c r="A30" s="7" cm="1">
        <f t="array" aca="1" ref="A30" ca="1">INDEX(Companies!$A:$A,RANDBETWEEN(2,COUNTA(Companies!$A:$A)),1)</f>
        <v>2</v>
      </c>
      <c r="B30" s="5">
        <f t="shared" si="1"/>
        <v>29</v>
      </c>
      <c r="C30" s="6">
        <f t="shared" ca="1" si="2"/>
        <v>1</v>
      </c>
      <c r="D30" s="7">
        <f ca="1">IF($B30 = 1 + N("Presidente"),
    127,
    IF($B30 = 2 + N("Vice-Presidente"),
        72,
        IF($B30 = 3 + N("Secretária bilíngue"),
            13,
            RANDBETWEEN(5,COUNT(Name!$A:$A) + 1)
        )
    )
)</f>
        <v>98</v>
      </c>
      <c r="E30" s="7" t="str">
        <f ca="1" xml:space="preserve">
VLOOKUP(
  $D30,
  Name!$A:$B,
  2,
  FALSE
)
&amp; " " &amp;
IF($B30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Claudio Alves Reis</v>
      </c>
      <c r="F30" s="7">
        <v>2</v>
      </c>
      <c r="G30" s="7" cm="1">
        <f t="array" aca="1" ref="G30" ca="1">INDEX(States!$B:$B,RANDBETWEEN(2,COUNTA(States!$A:$A)),1)</f>
        <v>21</v>
      </c>
      <c r="H30" s="7" t="str">
        <f ca="1">VLOOKUP($D30,Name!$A:$C,3,FALSE)</f>
        <v>M</v>
      </c>
      <c r="I30" s="7" cm="1">
        <f t="array" aca="1" ref="I30" ca="1">INDEX('Marital status'!$A:$A,RANDBETWEEN(2,COUNTA('Marital status'!$A:$A)),1)</f>
        <v>6</v>
      </c>
      <c r="J30" s="7">
        <f t="shared" ca="1" si="3"/>
        <v>2</v>
      </c>
      <c r="K30" s="8">
        <f t="shared" ca="1" si="4"/>
        <v>23079</v>
      </c>
      <c r="L30" s="6">
        <f t="shared" ca="1" si="5"/>
        <v>4</v>
      </c>
      <c r="M30" s="7">
        <f ca="1" xml:space="preserve">
  IF(OR($N30 = 2, $N30 = 3, $N30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30" s="6">
        <f t="shared" ca="1" si="6"/>
        <v>10</v>
      </c>
      <c r="O30" s="6" t="e">
        <f t="shared" ca="1" si="7"/>
        <v>#N/A</v>
      </c>
      <c r="P30" s="8">
        <f t="shared" ca="1" si="8"/>
        <v>39314</v>
      </c>
      <c r="Q30" s="6">
        <f ca="1">RANDBETWEEN(2,COUNTA('Recruitment source'!$A:$A))</f>
        <v>6</v>
      </c>
      <c r="R30" s="8" t="e">
        <f t="shared" ca="1" si="9"/>
        <v>#N/A</v>
      </c>
      <c r="S30" s="6" t="e">
        <f t="shared" ca="1" si="10"/>
        <v>#N/A</v>
      </c>
      <c r="T30" s="6">
        <f t="shared" ca="1" si="0"/>
        <v>5</v>
      </c>
      <c r="U30" s="1">
        <f t="shared" ca="1" si="11"/>
        <v>8000</v>
      </c>
    </row>
    <row r="31" spans="1:21" x14ac:dyDescent="0.2">
      <c r="A31" s="7" cm="1">
        <f t="array" aca="1" ref="A31" ca="1">INDEX(Companies!$A:$A,RANDBETWEEN(2,COUNTA(Companies!$A:$A)),1)</f>
        <v>2</v>
      </c>
      <c r="B31" s="5">
        <f t="shared" si="1"/>
        <v>30</v>
      </c>
      <c r="C31" s="6">
        <f t="shared" ca="1" si="2"/>
        <v>1</v>
      </c>
      <c r="D31" s="7">
        <f ca="1">IF($B31 = 1 + N("Presidente"),
    127,
    IF($B31 = 2 + N("Vice-Presidente"),
        72,
        IF($B31 = 3 + N("Secretária bilíngue"),
            13,
            RANDBETWEEN(5,COUNT(Name!$A:$A) + 1)
        )
    )
)</f>
        <v>106</v>
      </c>
      <c r="E31" s="7" t="str">
        <f ca="1" xml:space="preserve">
VLOOKUP(
  $D31,
  Name!$A:$B,
  2,
  FALSE
)
&amp; " " &amp;
IF($B31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Lucas Albuquerque Pedrosa</v>
      </c>
      <c r="F31" s="7">
        <v>2</v>
      </c>
      <c r="G31" s="7" cm="1">
        <f t="array" aca="1" ref="G31" ca="1">INDEX(States!$B:$B,RANDBETWEEN(2,COUNTA(States!$A:$A)),1)</f>
        <v>5</v>
      </c>
      <c r="H31" s="7" t="str">
        <f ca="1">VLOOKUP($D31,Name!$A:$C,3,FALSE)</f>
        <v>M</v>
      </c>
      <c r="I31" s="7" cm="1">
        <f t="array" aca="1" ref="I31" ca="1">INDEX('Marital status'!$A:$A,RANDBETWEEN(2,COUNTA('Marital status'!$A:$A)),1)</f>
        <v>2</v>
      </c>
      <c r="J31" s="7">
        <f t="shared" ca="1" si="3"/>
        <v>2</v>
      </c>
      <c r="K31" s="8">
        <f t="shared" ca="1" si="4"/>
        <v>23094</v>
      </c>
      <c r="L31" s="6">
        <f t="shared" ca="1" si="5"/>
        <v>5</v>
      </c>
      <c r="M31" s="7">
        <f ca="1" xml:space="preserve">
  IF(OR($N31 = 2, $N31 = 3, $N31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31" s="6">
        <f t="shared" ca="1" si="6"/>
        <v>10</v>
      </c>
      <c r="O31" s="6" t="e">
        <f t="shared" ca="1" si="7"/>
        <v>#N/A</v>
      </c>
      <c r="P31" s="8">
        <f t="shared" ca="1" si="8"/>
        <v>39731</v>
      </c>
      <c r="Q31" s="6">
        <f ca="1">RANDBETWEEN(2,COUNTA('Recruitment source'!$A:$A))</f>
        <v>3</v>
      </c>
      <c r="R31" s="8" t="e">
        <f t="shared" ca="1" si="9"/>
        <v>#N/A</v>
      </c>
      <c r="S31" s="6" t="e">
        <f t="shared" ca="1" si="10"/>
        <v>#N/A</v>
      </c>
      <c r="T31" s="6">
        <f t="shared" ca="1" si="0"/>
        <v>5</v>
      </c>
      <c r="U31" s="1">
        <f t="shared" ca="1" si="11"/>
        <v>8000</v>
      </c>
    </row>
    <row r="32" spans="1:21" x14ac:dyDescent="0.2">
      <c r="A32" s="7" cm="1">
        <f t="array" aca="1" ref="A32" ca="1">INDEX(Companies!$A:$A,RANDBETWEEN(2,COUNTA(Companies!$A:$A)),1)</f>
        <v>2</v>
      </c>
      <c r="B32" s="5">
        <f t="shared" si="1"/>
        <v>31</v>
      </c>
      <c r="C32" s="6">
        <f t="shared" ca="1" si="2"/>
        <v>1</v>
      </c>
      <c r="D32" s="7">
        <f ca="1">IF($B32 = 1 + N("Presidente"),
    127,
    IF($B32 = 2 + N("Vice-Presidente"),
        72,
        IF($B32 = 3 + N("Secretária bilíngue"),
            13,
            RANDBETWEEN(5,COUNT(Name!$A:$A) + 1)
        )
    )
)</f>
        <v>212</v>
      </c>
      <c r="E32" s="7" t="str">
        <f ca="1" xml:space="preserve">
VLOOKUP(
  $D32,
  Name!$A:$B,
  2,
  FALSE
)
&amp; " " &amp;
IF($B32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Kelly Russo Caminha</v>
      </c>
      <c r="F32" s="7">
        <v>2</v>
      </c>
      <c r="G32" s="7" cm="1">
        <f t="array" aca="1" ref="G32" ca="1">INDEX(States!$B:$B,RANDBETWEEN(2,COUNTA(States!$A:$A)),1)</f>
        <v>21</v>
      </c>
      <c r="H32" s="7" t="str">
        <f ca="1">VLOOKUP($D32,Name!$A:$C,3,FALSE)</f>
        <v>F</v>
      </c>
      <c r="I32" s="7" cm="1">
        <f t="array" aca="1" ref="I32" ca="1">INDEX('Marital status'!$A:$A,RANDBETWEEN(2,COUNTA('Marital status'!$A:$A)),1)</f>
        <v>6</v>
      </c>
      <c r="J32" s="7">
        <f t="shared" ca="1" si="3"/>
        <v>2</v>
      </c>
      <c r="K32" s="8">
        <f t="shared" ca="1" si="4"/>
        <v>23399</v>
      </c>
      <c r="L32" s="6">
        <f t="shared" ca="1" si="5"/>
        <v>4</v>
      </c>
      <c r="M32" s="7">
        <f ca="1" xml:space="preserve">
  IF(OR($N32 = 2, $N32 = 3, $N32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32" s="6">
        <f t="shared" ca="1" si="6"/>
        <v>10</v>
      </c>
      <c r="O32" s="6" t="e">
        <f t="shared" ca="1" si="7"/>
        <v>#N/A</v>
      </c>
      <c r="P32" s="8">
        <f t="shared" ca="1" si="8"/>
        <v>39711</v>
      </c>
      <c r="Q32" s="6">
        <f ca="1">RANDBETWEEN(2,COUNTA('Recruitment source'!$A:$A))</f>
        <v>10</v>
      </c>
      <c r="R32" s="8" t="e">
        <f t="shared" ca="1" si="9"/>
        <v>#N/A</v>
      </c>
      <c r="S32" s="6" t="e">
        <f t="shared" ca="1" si="10"/>
        <v>#N/A</v>
      </c>
      <c r="T32" s="6">
        <f t="shared" ca="1" si="0"/>
        <v>2</v>
      </c>
      <c r="U32" s="1">
        <f t="shared" ca="1" si="11"/>
        <v>8080</v>
      </c>
    </row>
    <row r="33" spans="1:21" x14ac:dyDescent="0.2">
      <c r="A33" s="7" cm="1">
        <f t="array" aca="1" ref="A33" ca="1">INDEX(Companies!$A:$A,RANDBETWEEN(2,COUNTA(Companies!$A:$A)),1)</f>
        <v>2</v>
      </c>
      <c r="B33" s="5">
        <f t="shared" si="1"/>
        <v>32</v>
      </c>
      <c r="C33" s="6">
        <f t="shared" ca="1" si="2"/>
        <v>1</v>
      </c>
      <c r="D33" s="7">
        <f ca="1">IF($B33 = 1 + N("Presidente"),
    127,
    IF($B33 = 2 + N("Vice-Presidente"),
        72,
        IF($B33 = 3 + N("Secretária bilíngue"),
            13,
            RANDBETWEEN(5,COUNT(Name!$A:$A) + 1)
        )
    )
)</f>
        <v>294</v>
      </c>
      <c r="E33" s="7" t="str">
        <f ca="1" xml:space="preserve">
VLOOKUP(
  $D33,
  Name!$A:$B,
  2,
  FALSE
)
&amp; " " &amp;
IF($B33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Michel Esteves Barros</v>
      </c>
      <c r="F33" s="7">
        <v>2</v>
      </c>
      <c r="G33" s="7" cm="1">
        <f t="array" aca="1" ref="G33" ca="1">INDEX(States!$B:$B,RANDBETWEEN(2,COUNTA(States!$A:$A)),1)</f>
        <v>14</v>
      </c>
      <c r="H33" s="7" t="str">
        <f ca="1">VLOOKUP($D33,Name!$A:$C,3,FALSE)</f>
        <v>M</v>
      </c>
      <c r="I33" s="7" cm="1">
        <f t="array" aca="1" ref="I33" ca="1">INDEX('Marital status'!$A:$A,RANDBETWEEN(2,COUNTA('Marital status'!$A:$A)),1)</f>
        <v>2</v>
      </c>
      <c r="J33" s="7">
        <f t="shared" ca="1" si="3"/>
        <v>4</v>
      </c>
      <c r="K33" s="8">
        <f t="shared" ca="1" si="4"/>
        <v>33326</v>
      </c>
      <c r="L33" s="6">
        <f t="shared" ca="1" si="5"/>
        <v>4</v>
      </c>
      <c r="M33" s="7">
        <f ca="1" xml:space="preserve">
  IF(OR($N33 = 2, $N33 = 3, $N33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33" s="6">
        <f t="shared" ca="1" si="6"/>
        <v>10</v>
      </c>
      <c r="O33" s="6" t="e">
        <f t="shared" ca="1" si="7"/>
        <v>#N/A</v>
      </c>
      <c r="P33" s="8">
        <f t="shared" ca="1" si="8"/>
        <v>37715</v>
      </c>
      <c r="Q33" s="6">
        <f ca="1">RANDBETWEEN(2,COUNTA('Recruitment source'!$A:$A))</f>
        <v>4</v>
      </c>
      <c r="R33" s="8" t="e">
        <f t="shared" ca="1" si="9"/>
        <v>#N/A</v>
      </c>
      <c r="S33" s="6" t="e">
        <f t="shared" ca="1" si="10"/>
        <v>#N/A</v>
      </c>
      <c r="T33" s="6">
        <f t="shared" ca="1" si="0"/>
        <v>4</v>
      </c>
      <c r="U33" s="1">
        <f t="shared" ca="1" si="11"/>
        <v>8080</v>
      </c>
    </row>
    <row r="34" spans="1:21" x14ac:dyDescent="0.2">
      <c r="A34" s="7" cm="1">
        <f t="array" aca="1" ref="A34" ca="1">INDEX(Companies!$A:$A,RANDBETWEEN(2,COUNTA(Companies!$A:$A)),1)</f>
        <v>2</v>
      </c>
      <c r="B34" s="5">
        <f t="shared" si="1"/>
        <v>33</v>
      </c>
      <c r="C34" s="6">
        <f t="shared" ca="1" si="2"/>
        <v>1</v>
      </c>
      <c r="D34" s="7">
        <f ca="1">IF($B34 = 1 + N("Presidente"),
    127,
    IF($B34 = 2 + N("Vice-Presidente"),
        72,
        IF($B34 = 3 + N("Secretária bilíngue"),
            13,
            RANDBETWEEN(5,COUNT(Name!$A:$A) + 1)
        )
    )
)</f>
        <v>233</v>
      </c>
      <c r="E34" s="7" t="str">
        <f ca="1" xml:space="preserve">
VLOOKUP(
  $D34,
  Name!$A:$B,
  2,
  FALSE
)
&amp; " " &amp;
IF($B34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Lorenzo Augusto Nunes Malafaia</v>
      </c>
      <c r="F34" s="7">
        <v>2</v>
      </c>
      <c r="G34" s="7" cm="1">
        <f t="array" aca="1" ref="G34" ca="1">INDEX(States!$B:$B,RANDBETWEEN(2,COUNTA(States!$A:$A)),1)</f>
        <v>7</v>
      </c>
      <c r="H34" s="7" t="str">
        <f ca="1">VLOOKUP($D34,Name!$A:$C,3,FALSE)</f>
        <v>M</v>
      </c>
      <c r="I34" s="7" cm="1">
        <f t="array" aca="1" ref="I34" ca="1">INDEX('Marital status'!$A:$A,RANDBETWEEN(2,COUNTA('Marital status'!$A:$A)),1)</f>
        <v>6</v>
      </c>
      <c r="J34" s="7">
        <f t="shared" ca="1" si="3"/>
        <v>2</v>
      </c>
      <c r="K34" s="8">
        <f t="shared" ca="1" si="4"/>
        <v>25804</v>
      </c>
      <c r="L34" s="6">
        <f t="shared" ca="1" si="5"/>
        <v>4</v>
      </c>
      <c r="M34" s="7">
        <f ca="1" xml:space="preserve">
  IF(OR($N34 = 2, $N34 = 3, $N34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34" s="6">
        <f t="shared" ca="1" si="6"/>
        <v>10</v>
      </c>
      <c r="O34" s="6" t="e">
        <f t="shared" ca="1" si="7"/>
        <v>#N/A</v>
      </c>
      <c r="P34" s="8">
        <f t="shared" ca="1" si="8"/>
        <v>43023</v>
      </c>
      <c r="Q34" s="6">
        <f ca="1">RANDBETWEEN(2,COUNTA('Recruitment source'!$A:$A))</f>
        <v>7</v>
      </c>
      <c r="R34" s="8" t="e">
        <f t="shared" ca="1" si="9"/>
        <v>#N/A</v>
      </c>
      <c r="S34" s="6" t="e">
        <f t="shared" ca="1" si="10"/>
        <v>#N/A</v>
      </c>
      <c r="T34" s="6">
        <f t="shared" ca="1" si="0"/>
        <v>4</v>
      </c>
      <c r="U34" s="1">
        <f t="shared" ca="1" si="11"/>
        <v>8000</v>
      </c>
    </row>
    <row r="35" spans="1:21" x14ac:dyDescent="0.2">
      <c r="A35" s="7" cm="1">
        <f t="array" aca="1" ref="A35" ca="1">INDEX(Companies!$A:$A,RANDBETWEEN(2,COUNTA(Companies!$A:$A)),1)</f>
        <v>2</v>
      </c>
      <c r="B35" s="5">
        <f t="shared" si="1"/>
        <v>34</v>
      </c>
      <c r="C35" s="6">
        <f t="shared" ca="1" si="2"/>
        <v>1</v>
      </c>
      <c r="D35" s="7">
        <f ca="1">IF($B35 = 1 + N("Presidente"),
    127,
    IF($B35 = 2 + N("Vice-Presidente"),
        72,
        IF($B35 = 3 + N("Secretária bilíngue"),
            13,
            RANDBETWEEN(5,COUNT(Name!$A:$A) + 1)
        )
    )
)</f>
        <v>159</v>
      </c>
      <c r="E35" s="7" t="str">
        <f ca="1" xml:space="preserve">
VLOOKUP(
  $D35,
  Name!$A:$B,
  2,
  FALSE
)
&amp; " " &amp;
IF($B35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Gustavo Pimenta Barbieri</v>
      </c>
      <c r="F35" s="7">
        <v>2</v>
      </c>
      <c r="G35" s="7" cm="1">
        <f t="array" aca="1" ref="G35" ca="1">INDEX(States!$B:$B,RANDBETWEEN(2,COUNTA(States!$A:$A)),1)</f>
        <v>15</v>
      </c>
      <c r="H35" s="7" t="str">
        <f ca="1">VLOOKUP($D35,Name!$A:$C,3,FALSE)</f>
        <v>M</v>
      </c>
      <c r="I35" s="7" cm="1">
        <f t="array" aca="1" ref="I35" ca="1">INDEX('Marital status'!$A:$A,RANDBETWEEN(2,COUNTA('Marital status'!$A:$A)),1)</f>
        <v>6</v>
      </c>
      <c r="J35" s="7">
        <f t="shared" ca="1" si="3"/>
        <v>3</v>
      </c>
      <c r="K35" s="8">
        <f t="shared" ca="1" si="4"/>
        <v>30185</v>
      </c>
      <c r="L35" s="6">
        <f t="shared" ca="1" si="5"/>
        <v>4</v>
      </c>
      <c r="M35" s="7">
        <f ca="1" xml:space="preserve">
  IF(OR($N35 = 2, $N35 = 3, $N35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35" s="6">
        <f t="shared" ca="1" si="6"/>
        <v>10</v>
      </c>
      <c r="O35" s="6" t="e">
        <f t="shared" ca="1" si="7"/>
        <v>#N/A</v>
      </c>
      <c r="P35" s="8">
        <f t="shared" ca="1" si="8"/>
        <v>42362</v>
      </c>
      <c r="Q35" s="6">
        <f ca="1">RANDBETWEEN(2,COUNTA('Recruitment source'!$A:$A))</f>
        <v>2</v>
      </c>
      <c r="R35" s="8" t="e">
        <f t="shared" ca="1" si="9"/>
        <v>#N/A</v>
      </c>
      <c r="S35" s="6" t="e">
        <f t="shared" ca="1" si="10"/>
        <v>#N/A</v>
      </c>
      <c r="T35" s="6">
        <f t="shared" ca="1" si="0"/>
        <v>4</v>
      </c>
      <c r="U35" s="1">
        <f t="shared" ca="1" si="11"/>
        <v>8080</v>
      </c>
    </row>
    <row r="36" spans="1:21" x14ac:dyDescent="0.2">
      <c r="A36" s="7" cm="1">
        <f t="array" aca="1" ref="A36" ca="1">INDEX(Companies!$A:$A,RANDBETWEEN(2,COUNTA(Companies!$A:$A)),1)</f>
        <v>2</v>
      </c>
      <c r="B36" s="5">
        <f t="shared" si="1"/>
        <v>35</v>
      </c>
      <c r="C36" s="6">
        <f t="shared" ca="1" si="2"/>
        <v>1</v>
      </c>
      <c r="D36" s="7">
        <f ca="1">IF($B36 = 1 + N("Presidente"),
    127,
    IF($B36 = 2 + N("Vice-Presidente"),
        72,
        IF($B36 = 3 + N("Secretária bilíngue"),
            13,
            RANDBETWEEN(5,COUNT(Name!$A:$A) + 1)
        )
    )
)</f>
        <v>260</v>
      </c>
      <c r="E36" s="7" t="str">
        <f ca="1" xml:space="preserve">
VLOOKUP(
  $D36,
  Name!$A:$B,
  2,
  FALSE
)
&amp; " " &amp;
IF($B36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Cecília Rinaldi Monti</v>
      </c>
      <c r="F36" s="7">
        <v>2</v>
      </c>
      <c r="G36" s="7" cm="1">
        <f t="array" aca="1" ref="G36" ca="1">INDEX(States!$B:$B,RANDBETWEEN(2,COUNTA(States!$A:$A)),1)</f>
        <v>21</v>
      </c>
      <c r="H36" s="7" t="str">
        <f ca="1">VLOOKUP($D36,Name!$A:$C,3,FALSE)</f>
        <v>F</v>
      </c>
      <c r="I36" s="7" cm="1">
        <f t="array" aca="1" ref="I36" ca="1">INDEX('Marital status'!$A:$A,RANDBETWEEN(2,COUNTA('Marital status'!$A:$A)),1)</f>
        <v>3</v>
      </c>
      <c r="J36" s="7">
        <f t="shared" ca="1" si="3"/>
        <v>2</v>
      </c>
      <c r="K36" s="8">
        <f ca="1" xml:space="preserve">
IF($N36 = 5 + N("CEO"),
    TODAY() - 16340,
    IF($N36 = 8 + N("Secretary"),
        RANDBETWEEN(TODAY() - 12418.5, TODAY()-6574.5),
        IF(OR($N36 = 7, $N36 = 14),
            RANDBETWEEN(TODAY() - 16071, TODAY() - 8766),
            IF(OR($N36 = 13, $N36 = 12, $N36 = 11),
                RANDBETWEEN(TODAY() - 27393.75, TODAY() - 12783.75),
                RANDBETWEEN(TODAY() - 27393.75, TODAY()-10957.5)
            )
        )
    )
)</f>
        <v>20878</v>
      </c>
      <c r="L36" s="6">
        <f t="shared" ca="1" si="5"/>
        <v>4</v>
      </c>
      <c r="M36" s="7">
        <f ca="1" xml:space="preserve">
  IF(OR($N36 = 2, $N36 = 3, $N36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36" s="6">
        <f t="shared" ca="1" si="6"/>
        <v>10</v>
      </c>
      <c r="O36" s="6" t="e">
        <f t="shared" ca="1" si="7"/>
        <v>#N/A</v>
      </c>
      <c r="P36" s="8">
        <f t="shared" ca="1" si="8"/>
        <v>41244</v>
      </c>
      <c r="Q36" s="6">
        <f ca="1">RANDBETWEEN(2,COUNTA('Recruitment source'!$A:$A))</f>
        <v>5</v>
      </c>
      <c r="R36" s="8" t="e">
        <f t="shared" ca="1" si="9"/>
        <v>#N/A</v>
      </c>
      <c r="S36" s="6" t="e">
        <f t="shared" ca="1" si="10"/>
        <v>#N/A</v>
      </c>
      <c r="T36" s="6">
        <f t="shared" ca="1" si="0"/>
        <v>3</v>
      </c>
      <c r="U36" s="1">
        <f t="shared" ca="1" si="11"/>
        <v>8000</v>
      </c>
    </row>
    <row r="37" spans="1:21" x14ac:dyDescent="0.2">
      <c r="A37" s="7" cm="1">
        <f t="array" aca="1" ref="A37" ca="1">INDEX(Companies!$A:$A,RANDBETWEEN(2,COUNTA(Companies!$A:$A)),1)</f>
        <v>2</v>
      </c>
      <c r="B37" s="5">
        <f t="shared" si="1"/>
        <v>36</v>
      </c>
      <c r="C37" s="6">
        <f t="shared" ca="1" si="2"/>
        <v>1</v>
      </c>
      <c r="D37" s="7">
        <f ca="1">IF($B37 = 1 + N("Presidente"),
    127,
    IF($B37 = 2 + N("Vice-Presidente"),
        72,
        IF($B37 = 3 + N("Secretária bilíngue"),
            13,
            RANDBETWEEN(5,COUNT(Name!$A:$A) + 1)
        )
    )
)</f>
        <v>104</v>
      </c>
      <c r="E37" s="7" t="str">
        <f ca="1" xml:space="preserve">
VLOOKUP(
  $D37,
  Name!$A:$B,
  2,
  FALSE
)
&amp; " " &amp;
IF($B37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Danylo Pimenta Cândido</v>
      </c>
      <c r="F37" s="7">
        <v>2</v>
      </c>
      <c r="G37" s="7" cm="1">
        <f t="array" aca="1" ref="G37" ca="1">INDEX(States!$B:$B,RANDBETWEEN(2,COUNTA(States!$A:$A)),1)</f>
        <v>7</v>
      </c>
      <c r="H37" s="7" t="str">
        <f ca="1">VLOOKUP($D37,Name!$A:$C,3,FALSE)</f>
        <v>M</v>
      </c>
      <c r="I37" s="7" cm="1">
        <f t="array" aca="1" ref="I37" ca="1">INDEX('Marital status'!$A:$A,RANDBETWEEN(2,COUNTA('Marital status'!$A:$A)),1)</f>
        <v>3</v>
      </c>
      <c r="J37" s="7">
        <f t="shared" ca="1" si="3"/>
        <v>2</v>
      </c>
      <c r="K37" s="8">
        <f t="shared" ca="1" si="4"/>
        <v>21936</v>
      </c>
      <c r="L37" s="6">
        <f t="shared" ca="1" si="5"/>
        <v>5</v>
      </c>
      <c r="M37" s="7">
        <f ca="1" xml:space="preserve">
  IF(OR($N37 = 2, $N37 = 3, $N37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37" s="6">
        <f t="shared" ca="1" si="6"/>
        <v>10</v>
      </c>
      <c r="O37" s="6" t="e">
        <f t="shared" ca="1" si="7"/>
        <v>#N/A</v>
      </c>
      <c r="P37" s="8">
        <f t="shared" ca="1" si="8"/>
        <v>39262</v>
      </c>
      <c r="Q37" s="6">
        <f ca="1">RANDBETWEEN(2,COUNTA('Recruitment source'!$A:$A))</f>
        <v>5</v>
      </c>
      <c r="R37" s="8" t="e">
        <f t="shared" ca="1" si="9"/>
        <v>#N/A</v>
      </c>
      <c r="S37" s="6" t="e">
        <f t="shared" ca="1" si="10"/>
        <v>#N/A</v>
      </c>
      <c r="T37" s="6">
        <f t="shared" ca="1" si="0"/>
        <v>4</v>
      </c>
      <c r="U37" s="1">
        <f t="shared" ca="1" si="11"/>
        <v>8000</v>
      </c>
    </row>
    <row r="38" spans="1:21" x14ac:dyDescent="0.2">
      <c r="A38" s="7" cm="1">
        <f t="array" aca="1" ref="A38" ca="1">INDEX(Companies!$A:$A,RANDBETWEEN(2,COUNTA(Companies!$A:$A)),1)</f>
        <v>2</v>
      </c>
      <c r="B38" s="5">
        <f t="shared" si="1"/>
        <v>37</v>
      </c>
      <c r="C38" s="6">
        <f t="shared" ca="1" si="2"/>
        <v>1</v>
      </c>
      <c r="D38" s="7">
        <f ca="1">IF($B38 = 1 + N("Presidente"),
    127,
    IF($B38 = 2 + N("Vice-Presidente"),
        72,
        IF($B38 = 3 + N("Secretária bilíngue"),
            13,
            RANDBETWEEN(5,COUNT(Name!$A:$A) + 1)
        )
    )
)</f>
        <v>86</v>
      </c>
      <c r="E38" s="7" t="str">
        <f ca="1" xml:space="preserve">
VLOOKUP(
  $D38,
  Name!$A:$B,
  2,
  FALSE
)
&amp; " " &amp;
IF($B38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Carolina Pedroso Castro</v>
      </c>
      <c r="F38" s="7">
        <v>2</v>
      </c>
      <c r="G38" s="7" cm="1">
        <f t="array" aca="1" ref="G38" ca="1">INDEX(States!$B:$B,RANDBETWEEN(2,COUNTA(States!$A:$A)),1)</f>
        <v>6</v>
      </c>
      <c r="H38" s="7" t="str">
        <f ca="1">VLOOKUP($D38,Name!$A:$C,3,FALSE)</f>
        <v>F</v>
      </c>
      <c r="I38" s="7" cm="1">
        <f t="array" aca="1" ref="I38" ca="1">INDEX('Marital status'!$A:$A,RANDBETWEEN(2,COUNTA('Marital status'!$A:$A)),1)</f>
        <v>6</v>
      </c>
      <c r="J38" s="7">
        <f t="shared" ca="1" si="3"/>
        <v>5</v>
      </c>
      <c r="K38" s="8">
        <f t="shared" ca="1" si="4"/>
        <v>26718</v>
      </c>
      <c r="L38" s="6">
        <f t="shared" ca="1" si="5"/>
        <v>4</v>
      </c>
      <c r="M38" s="7">
        <f ca="1" xml:space="preserve">
  IF(OR($N38 = 2, $N38 = 3, $N38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38" s="6">
        <f t="shared" ca="1" si="6"/>
        <v>9</v>
      </c>
      <c r="O38" s="6" t="e">
        <f t="shared" ca="1" si="7"/>
        <v>#N/A</v>
      </c>
      <c r="P38" s="8">
        <f t="shared" ca="1" si="8"/>
        <v>42771</v>
      </c>
      <c r="Q38" s="6">
        <f ca="1">RANDBETWEEN(2,COUNTA('Recruitment source'!$A:$A))</f>
        <v>4</v>
      </c>
      <c r="R38" s="8" t="e">
        <f t="shared" ca="1" si="9"/>
        <v>#N/A</v>
      </c>
      <c r="S38" s="6" t="e">
        <f t="shared" ca="1" si="10"/>
        <v>#N/A</v>
      </c>
      <c r="T38" s="6">
        <f t="shared" ca="1" si="0"/>
        <v>2</v>
      </c>
      <c r="U38" s="1">
        <f t="shared" ca="1" si="11"/>
        <v>8000</v>
      </c>
    </row>
    <row r="39" spans="1:21" x14ac:dyDescent="0.2">
      <c r="A39" s="7" cm="1">
        <f t="array" aca="1" ref="A39" ca="1">INDEX(Companies!$A:$A,RANDBETWEEN(2,COUNTA(Companies!$A:$A)),1)</f>
        <v>2</v>
      </c>
      <c r="B39" s="5">
        <f t="shared" si="1"/>
        <v>38</v>
      </c>
      <c r="C39" s="6">
        <f t="shared" ca="1" si="2"/>
        <v>1</v>
      </c>
      <c r="D39" s="7">
        <f ca="1">IF($B39 = 1 + N("Presidente"),
    127,
    IF($B39 = 2 + N("Vice-Presidente"),
        72,
        IF($B39 = 3 + N("Secretária bilíngue"),
            13,
            RANDBETWEEN(5,COUNT(Name!$A:$A) + 1)
        )
    )
)</f>
        <v>233</v>
      </c>
      <c r="E39" s="7" t="str">
        <f ca="1" xml:space="preserve">
VLOOKUP(
  $D39,
  Name!$A:$B,
  2,
  FALSE
)
&amp; " " &amp;
IF($B39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Lorenzo Augusto Morato Leitão</v>
      </c>
      <c r="F39" s="7">
        <v>2</v>
      </c>
      <c r="G39" s="7" cm="1">
        <f t="array" aca="1" ref="G39" ca="1">INDEX(States!$B:$B,RANDBETWEEN(2,COUNTA(States!$A:$A)),1)</f>
        <v>16</v>
      </c>
      <c r="H39" s="7" t="str">
        <f ca="1">VLOOKUP($D39,Name!$A:$C,3,FALSE)</f>
        <v>M</v>
      </c>
      <c r="I39" s="7" cm="1">
        <f t="array" aca="1" ref="I39" ca="1">INDEX('Marital status'!$A:$A,RANDBETWEEN(2,COUNTA('Marital status'!$A:$A)),1)</f>
        <v>3</v>
      </c>
      <c r="J39" s="7">
        <f t="shared" ca="1" si="3"/>
        <v>2</v>
      </c>
      <c r="K39" s="8">
        <f t="shared" ca="1" si="4"/>
        <v>26342</v>
      </c>
      <c r="L39" s="6">
        <f t="shared" ca="1" si="5"/>
        <v>4</v>
      </c>
      <c r="M39" s="7">
        <f ca="1" xml:space="preserve">
  IF(OR($N39 = 2, $N39 = 3, $N39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39" s="6">
        <f t="shared" ca="1" si="6"/>
        <v>9</v>
      </c>
      <c r="O39" s="6" t="e">
        <f t="shared" ca="1" si="7"/>
        <v>#N/A</v>
      </c>
      <c r="P39" s="8">
        <f t="shared" ca="1" si="8"/>
        <v>38244</v>
      </c>
      <c r="Q39" s="6">
        <f ca="1">RANDBETWEEN(2,COUNTA('Recruitment source'!$A:$A))</f>
        <v>4</v>
      </c>
      <c r="R39" s="8" t="e">
        <f t="shared" ca="1" si="9"/>
        <v>#N/A</v>
      </c>
      <c r="S39" s="6" t="e">
        <f t="shared" ca="1" si="10"/>
        <v>#N/A</v>
      </c>
      <c r="T39" s="6">
        <f t="shared" ca="1" si="0"/>
        <v>4</v>
      </c>
      <c r="U39" s="1">
        <f t="shared" ca="1" si="11"/>
        <v>8000</v>
      </c>
    </row>
    <row r="40" spans="1:21" x14ac:dyDescent="0.2">
      <c r="A40" s="7" cm="1">
        <f t="array" aca="1" ref="A40" ca="1">INDEX(Companies!$A:$A,RANDBETWEEN(2,COUNTA(Companies!$A:$A)),1)</f>
        <v>2</v>
      </c>
      <c r="B40" s="5">
        <f t="shared" si="1"/>
        <v>39</v>
      </c>
      <c r="C40" s="6">
        <f t="shared" ca="1" si="2"/>
        <v>1</v>
      </c>
      <c r="D40" s="7">
        <f ca="1">IF($B40 = 1 + N("Presidente"),
    127,
    IF($B40 = 2 + N("Vice-Presidente"),
        72,
        IF($B40 = 3 + N("Secretária bilíngue"),
            13,
            RANDBETWEEN(5,COUNT(Name!$A:$A) + 1)
        )
    )
)</f>
        <v>47</v>
      </c>
      <c r="E40" s="7" t="str">
        <f ca="1" xml:space="preserve">
VLOOKUP(
  $D40,
  Name!$A:$B,
  2,
  FALSE
)
&amp; " " &amp;
IF($B40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Anne Caroline Siqueira Negrão</v>
      </c>
      <c r="F40" s="7">
        <v>2</v>
      </c>
      <c r="G40" s="7" cm="1">
        <f t="array" aca="1" ref="G40" ca="1">INDEX(States!$B:$B,RANDBETWEEN(2,COUNTA(States!$A:$A)),1)</f>
        <v>4</v>
      </c>
      <c r="H40" s="7" t="str">
        <f ca="1">VLOOKUP($D40,Name!$A:$C,3,FALSE)</f>
        <v>F</v>
      </c>
      <c r="I40" s="7" cm="1">
        <f t="array" aca="1" ref="I40" ca="1">INDEX('Marital status'!$A:$A,RANDBETWEEN(2,COUNTA('Marital status'!$A:$A)),1)</f>
        <v>4</v>
      </c>
      <c r="J40" s="7">
        <f t="shared" ca="1" si="3"/>
        <v>2</v>
      </c>
      <c r="K40" s="8">
        <f t="shared" ca="1" si="4"/>
        <v>25835</v>
      </c>
      <c r="L40" s="6">
        <f t="shared" ca="1" si="5"/>
        <v>4</v>
      </c>
      <c r="M40" s="7">
        <f ca="1" xml:space="preserve">
  IF(OR($N40 = 2, $N40 = 3, $N40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40" s="6">
        <f t="shared" ca="1" si="6"/>
        <v>9</v>
      </c>
      <c r="O40" s="6" t="e">
        <f t="shared" ca="1" si="7"/>
        <v>#N/A</v>
      </c>
      <c r="P40" s="8">
        <f t="shared" ca="1" si="8"/>
        <v>36904</v>
      </c>
      <c r="Q40" s="6">
        <f ca="1">RANDBETWEEN(2,COUNTA('Recruitment source'!$A:$A))</f>
        <v>12</v>
      </c>
      <c r="R40" s="8" t="e">
        <f t="shared" ca="1" si="9"/>
        <v>#N/A</v>
      </c>
      <c r="S40" s="6" t="e">
        <f t="shared" ca="1" si="10"/>
        <v>#N/A</v>
      </c>
      <c r="T40" s="6">
        <f t="shared" ca="1" si="0"/>
        <v>4</v>
      </c>
      <c r="U40" s="1">
        <f t="shared" ca="1" si="11"/>
        <v>8000</v>
      </c>
    </row>
    <row r="41" spans="1:21" x14ac:dyDescent="0.2">
      <c r="A41" s="7" cm="1">
        <f t="array" aca="1" ref="A41" ca="1">INDEX(Companies!$A:$A,RANDBETWEEN(2,COUNTA(Companies!$A:$A)),1)</f>
        <v>2</v>
      </c>
      <c r="B41" s="5">
        <f t="shared" si="1"/>
        <v>40</v>
      </c>
      <c r="C41" s="6">
        <f t="shared" ca="1" si="2"/>
        <v>1</v>
      </c>
      <c r="D41" s="7">
        <f ca="1">IF($B41 = 1 + N("Presidente"),
    127,
    IF($B41 = 2 + N("Vice-Presidente"),
        72,
        IF($B41 = 3 + N("Secretária bilíngue"),
            13,
            RANDBETWEEN(5,COUNT(Name!$A:$A) + 1)
        )
    )
)</f>
        <v>138</v>
      </c>
      <c r="E41" s="7" t="str">
        <f ca="1" xml:space="preserve">
VLOOKUP(
  $D41,
  Name!$A:$B,
  2,
  FALSE
)
&amp; " " &amp;
IF($B41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Bianchi Alvaregna</v>
      </c>
      <c r="F41" s="7">
        <v>2</v>
      </c>
      <c r="G41" s="7" cm="1">
        <f t="array" aca="1" ref="G41" ca="1">INDEX(States!$B:$B,RANDBETWEEN(2,COUNTA(States!$A:$A)),1)</f>
        <v>3</v>
      </c>
      <c r="H41" s="7" t="str">
        <f ca="1">VLOOKUP($D41,Name!$A:$C,3,FALSE)</f>
        <v>M</v>
      </c>
      <c r="I41" s="7" cm="1">
        <f t="array" aca="1" ref="I41" ca="1">INDEX('Marital status'!$A:$A,RANDBETWEEN(2,COUNTA('Marital status'!$A:$A)),1)</f>
        <v>3</v>
      </c>
      <c r="J41" s="7">
        <f t="shared" ca="1" si="3"/>
        <v>2</v>
      </c>
      <c r="K41" s="8">
        <f t="shared" ca="1" si="4"/>
        <v>23356</v>
      </c>
      <c r="L41" s="6">
        <f t="shared" ca="1" si="5"/>
        <v>5</v>
      </c>
      <c r="M41" s="7">
        <f ca="1" xml:space="preserve">
  IF(OR($N41 = 2, $N41 = 3, $N41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41" s="6">
        <f t="shared" ca="1" si="6"/>
        <v>9</v>
      </c>
      <c r="O41" s="6" t="e">
        <f t="shared" ca="1" si="7"/>
        <v>#N/A</v>
      </c>
      <c r="P41" s="8">
        <f t="shared" ca="1" si="8"/>
        <v>39005</v>
      </c>
      <c r="Q41" s="6">
        <f ca="1">RANDBETWEEN(2,COUNTA('Recruitment source'!$A:$A))</f>
        <v>5</v>
      </c>
      <c r="R41" s="8" t="e">
        <f t="shared" ca="1" si="9"/>
        <v>#N/A</v>
      </c>
      <c r="S41" s="6" t="e">
        <f t="shared" ca="1" si="10"/>
        <v>#N/A</v>
      </c>
      <c r="T41" s="6">
        <f t="shared" ca="1" si="0"/>
        <v>2</v>
      </c>
      <c r="U41" s="1">
        <f t="shared" ca="1" si="11"/>
        <v>8000</v>
      </c>
    </row>
    <row r="42" spans="1:21" x14ac:dyDescent="0.2">
      <c r="A42" s="7" cm="1">
        <f t="array" aca="1" ref="A42" ca="1">INDEX(Companies!$A:$A,RANDBETWEEN(2,COUNTA(Companies!$A:$A)),1)</f>
        <v>2</v>
      </c>
      <c r="B42" s="5">
        <f t="shared" si="1"/>
        <v>41</v>
      </c>
      <c r="C42" s="6">
        <f t="shared" ca="1" si="2"/>
        <v>1</v>
      </c>
      <c r="D42" s="7">
        <f ca="1">IF($B42 = 1 + N("Presidente"),
    127,
    IF($B42 = 2 + N("Vice-Presidente"),
        72,
        IF($B42 = 3 + N("Secretária bilíngue"),
            13,
            RANDBETWEEN(5,COUNT(Name!$A:$A) + 1)
        )
    )
)</f>
        <v>305</v>
      </c>
      <c r="E42" s="7" t="str">
        <f ca="1" xml:space="preserve">
VLOOKUP(
  $D42,
  Name!$A:$B,
  2,
  FALSE
)
&amp; " " &amp;
IF($B42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Nathan Morais Faro</v>
      </c>
      <c r="F42" s="7">
        <v>2</v>
      </c>
      <c r="G42" s="7" cm="1">
        <f t="array" aca="1" ref="G42" ca="1">INDEX(States!$B:$B,RANDBETWEEN(2,COUNTA(States!$A:$A)),1)</f>
        <v>8</v>
      </c>
      <c r="H42" s="7" t="str">
        <f ca="1">VLOOKUP($D42,Name!$A:$C,3,FALSE)</f>
        <v>M</v>
      </c>
      <c r="I42" s="7" cm="1">
        <f t="array" aca="1" ref="I42" ca="1">INDEX('Marital status'!$A:$A,RANDBETWEEN(2,COUNTA('Marital status'!$A:$A)),1)</f>
        <v>6</v>
      </c>
      <c r="J42" s="7">
        <f t="shared" ca="1" si="3"/>
        <v>3</v>
      </c>
      <c r="K42" s="8">
        <f t="shared" ca="1" si="4"/>
        <v>33115</v>
      </c>
      <c r="L42" s="6">
        <f t="shared" ca="1" si="5"/>
        <v>5</v>
      </c>
      <c r="M42" s="7">
        <f ca="1" xml:space="preserve">
  IF(OR($N42 = 2, $N42 = 3, $N42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42" s="6">
        <f t="shared" ca="1" si="6"/>
        <v>9</v>
      </c>
      <c r="O42" s="6" t="e">
        <f t="shared" ca="1" si="7"/>
        <v>#N/A</v>
      </c>
      <c r="P42" s="8">
        <f t="shared" ca="1" si="8"/>
        <v>40374</v>
      </c>
      <c r="Q42" s="6">
        <f ca="1">RANDBETWEEN(2,COUNTA('Recruitment source'!$A:$A))</f>
        <v>4</v>
      </c>
      <c r="R42" s="8" t="e">
        <f t="shared" ca="1" si="9"/>
        <v>#N/A</v>
      </c>
      <c r="S42" s="6" t="e">
        <f t="shared" ca="1" si="10"/>
        <v>#N/A</v>
      </c>
      <c r="T42" s="6">
        <f t="shared" ca="1" si="0"/>
        <v>2</v>
      </c>
      <c r="U42" s="1">
        <f t="shared" ca="1" si="11"/>
        <v>8000</v>
      </c>
    </row>
    <row r="43" spans="1:21" x14ac:dyDescent="0.2">
      <c r="A43" s="7" cm="1">
        <f t="array" aca="1" ref="A43" ca="1">INDEX(Companies!$A:$A,RANDBETWEEN(2,COUNTA(Companies!$A:$A)),1)</f>
        <v>2</v>
      </c>
      <c r="B43" s="5">
        <f t="shared" si="1"/>
        <v>42</v>
      </c>
      <c r="C43" s="6">
        <f t="shared" ca="1" si="2"/>
        <v>1</v>
      </c>
      <c r="D43" s="7">
        <f ca="1">IF($B43 = 1 + N("Presidente"),
    127,
    IF($B43 = 2 + N("Vice-Presidente"),
        72,
        IF($B43 = 3 + N("Secretária bilíngue"),
            13,
            RANDBETWEEN(5,COUNT(Name!$A:$A) + 1)
        )
    )
)</f>
        <v>313</v>
      </c>
      <c r="E43" s="7" t="str">
        <f ca="1" xml:space="preserve">
VLOOKUP(
  $D43,
  Name!$A:$B,
  2,
  FALSE
)
&amp; " " &amp;
IF($B43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Pablo Dias Gomes</v>
      </c>
      <c r="F43" s="7">
        <v>2</v>
      </c>
      <c r="G43" s="7" cm="1">
        <f t="array" aca="1" ref="G43" ca="1">INDEX(States!$B:$B,RANDBETWEEN(2,COUNTA(States!$A:$A)),1)</f>
        <v>11</v>
      </c>
      <c r="H43" s="7" t="str">
        <f ca="1">VLOOKUP($D43,Name!$A:$C,3,FALSE)</f>
        <v>M</v>
      </c>
      <c r="I43" s="7" cm="1">
        <f t="array" aca="1" ref="I43" ca="1">INDEX('Marital status'!$A:$A,RANDBETWEEN(2,COUNTA('Marital status'!$A:$A)),1)</f>
        <v>6</v>
      </c>
      <c r="J43" s="7">
        <f t="shared" ca="1" si="3"/>
        <v>2</v>
      </c>
      <c r="K43" s="8">
        <f t="shared" ca="1" si="4"/>
        <v>25281</v>
      </c>
      <c r="L43" s="6">
        <f t="shared" ca="1" si="5"/>
        <v>4</v>
      </c>
      <c r="M43" s="7">
        <f ca="1" xml:space="preserve">
  IF(OR($N43 = 2, $N43 = 3, $N43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43" s="6">
        <f t="shared" ca="1" si="6"/>
        <v>9</v>
      </c>
      <c r="O43" s="6" t="e">
        <f t="shared" ca="1" si="7"/>
        <v>#N/A</v>
      </c>
      <c r="P43" s="8">
        <f t="shared" ca="1" si="8"/>
        <v>36477</v>
      </c>
      <c r="Q43" s="6">
        <f ca="1">RANDBETWEEN(2,COUNTA('Recruitment source'!$A:$A))</f>
        <v>6</v>
      </c>
      <c r="R43" s="8" t="e">
        <f t="shared" ca="1" si="9"/>
        <v>#N/A</v>
      </c>
      <c r="S43" s="6" t="e">
        <f t="shared" ca="1" si="10"/>
        <v>#N/A</v>
      </c>
      <c r="T43" s="6">
        <f t="shared" ca="1" si="0"/>
        <v>3</v>
      </c>
      <c r="U43" s="1">
        <f t="shared" ca="1" si="11"/>
        <v>8080</v>
      </c>
    </row>
    <row r="44" spans="1:21" x14ac:dyDescent="0.2">
      <c r="A44" s="7" cm="1">
        <f t="array" aca="1" ref="A44" ca="1">INDEX(Companies!$A:$A,RANDBETWEEN(2,COUNTA(Companies!$A:$A)),1)</f>
        <v>2</v>
      </c>
      <c r="B44" s="5">
        <f t="shared" si="1"/>
        <v>43</v>
      </c>
      <c r="C44" s="6">
        <f t="shared" ca="1" si="2"/>
        <v>1</v>
      </c>
      <c r="D44" s="7">
        <f ca="1">IF($B44 = 1 + N("Presidente"),
    127,
    IF($B44 = 2 + N("Vice-Presidente"),
        72,
        IF($B44 = 3 + N("Secretária bilíngue"),
            13,
            RANDBETWEEN(5,COUNT(Name!$A:$A) + 1)
        )
    )
)</f>
        <v>238</v>
      </c>
      <c r="E44" s="7" t="str">
        <f ca="1" xml:space="preserve">
VLOOKUP(
  $D44,
  Name!$A:$B,
  2,
  FALSE
)
&amp; " " &amp;
IF($B44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Lucas Caminha Ramos</v>
      </c>
      <c r="F44" s="7">
        <v>2</v>
      </c>
      <c r="G44" s="7" cm="1">
        <f t="array" aca="1" ref="G44" ca="1">INDEX(States!$B:$B,RANDBETWEEN(2,COUNTA(States!$A:$A)),1)</f>
        <v>4</v>
      </c>
      <c r="H44" s="7" t="str">
        <f ca="1">VLOOKUP($D44,Name!$A:$C,3,FALSE)</f>
        <v>M</v>
      </c>
      <c r="I44" s="7" cm="1">
        <f t="array" aca="1" ref="I44" ca="1">INDEX('Marital status'!$A:$A,RANDBETWEEN(2,COUNTA('Marital status'!$A:$A)),1)</f>
        <v>5</v>
      </c>
      <c r="J44" s="7">
        <f t="shared" ca="1" si="3"/>
        <v>4</v>
      </c>
      <c r="K44" s="8">
        <f t="shared" ca="1" si="4"/>
        <v>20214</v>
      </c>
      <c r="L44" s="6">
        <f t="shared" ca="1" si="5"/>
        <v>5</v>
      </c>
      <c r="M44" s="7">
        <f ca="1" xml:space="preserve">
  IF(OR($N44 = 2, $N44 = 3, $N44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44" s="6">
        <f t="shared" ca="1" si="6"/>
        <v>9</v>
      </c>
      <c r="O44" s="6" t="e">
        <f t="shared" ca="1" si="7"/>
        <v>#N/A</v>
      </c>
      <c r="P44" s="8">
        <f t="shared" ca="1" si="8"/>
        <v>38768</v>
      </c>
      <c r="Q44" s="6">
        <f ca="1">RANDBETWEEN(2,COUNTA('Recruitment source'!$A:$A))</f>
        <v>10</v>
      </c>
      <c r="R44" s="8" t="e">
        <f t="shared" ca="1" si="9"/>
        <v>#N/A</v>
      </c>
      <c r="S44" s="6" t="e">
        <f t="shared" ca="1" si="10"/>
        <v>#N/A</v>
      </c>
      <c r="T44" s="6">
        <f t="shared" ca="1" si="0"/>
        <v>2</v>
      </c>
      <c r="U44" s="1">
        <f t="shared" ca="1" si="11"/>
        <v>8080</v>
      </c>
    </row>
    <row r="45" spans="1:21" x14ac:dyDescent="0.2">
      <c r="A45" s="7" cm="1">
        <f t="array" aca="1" ref="A45" ca="1">INDEX(Companies!$A:$A,RANDBETWEEN(2,COUNTA(Companies!$A:$A)),1)</f>
        <v>2</v>
      </c>
      <c r="B45" s="5">
        <f t="shared" si="1"/>
        <v>44</v>
      </c>
      <c r="C45" s="6">
        <f t="shared" ca="1" si="2"/>
        <v>1</v>
      </c>
      <c r="D45" s="7">
        <f ca="1">IF($B45 = 1 + N("Presidente"),
    127,
    IF($B45 = 2 + N("Vice-Presidente"),
        72,
        IF($B45 = 3 + N("Secretária bilíngue"),
            13,
            RANDBETWEEN(5,COUNT(Name!$A:$A) + 1)
        )
    )
)</f>
        <v>96</v>
      </c>
      <c r="E45" s="7" t="str">
        <f ca="1" xml:space="preserve">
VLOOKUP(
  $D45,
  Name!$A:$B,
  2,
  FALSE
)
&amp; " " &amp;
IF($B45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Clarisse Faro Noronha</v>
      </c>
      <c r="F45" s="7">
        <v>2</v>
      </c>
      <c r="G45" s="7" cm="1">
        <f t="array" aca="1" ref="G45" ca="1">INDEX(States!$B:$B,RANDBETWEEN(2,COUNTA(States!$A:$A)),1)</f>
        <v>6</v>
      </c>
      <c r="H45" s="7" t="str">
        <f ca="1">VLOOKUP($D45,Name!$A:$C,3,FALSE)</f>
        <v>F</v>
      </c>
      <c r="I45" s="7" cm="1">
        <f t="array" aca="1" ref="I45" ca="1">INDEX('Marital status'!$A:$A,RANDBETWEEN(2,COUNTA('Marital status'!$A:$A)),1)</f>
        <v>2</v>
      </c>
      <c r="J45" s="7">
        <f t="shared" ca="1" si="3"/>
        <v>2</v>
      </c>
      <c r="K45" s="8">
        <f t="shared" ca="1" si="4"/>
        <v>26854</v>
      </c>
      <c r="L45" s="6">
        <f t="shared" ca="1" si="5"/>
        <v>5</v>
      </c>
      <c r="M45" s="7">
        <f ca="1" xml:space="preserve">
  IF(OR($N45 = 2, $N45 = 3, $N45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45" s="6">
        <f t="shared" ca="1" si="6"/>
        <v>9</v>
      </c>
      <c r="O45" s="6" t="e">
        <f t="shared" ca="1" si="7"/>
        <v>#N/A</v>
      </c>
      <c r="P45" s="8">
        <f t="shared" ca="1" si="8"/>
        <v>40084</v>
      </c>
      <c r="Q45" s="6">
        <f ca="1">RANDBETWEEN(2,COUNTA('Recruitment source'!$A:$A))</f>
        <v>8</v>
      </c>
      <c r="R45" s="8" t="e">
        <f t="shared" ca="1" si="9"/>
        <v>#N/A</v>
      </c>
      <c r="S45" s="6" t="e">
        <f t="shared" ca="1" si="10"/>
        <v>#N/A</v>
      </c>
      <c r="T45" s="6">
        <f t="shared" ca="1" si="0"/>
        <v>2</v>
      </c>
      <c r="U45" s="1">
        <f t="shared" ca="1" si="11"/>
        <v>8000</v>
      </c>
    </row>
    <row r="46" spans="1:21" x14ac:dyDescent="0.2">
      <c r="A46" s="7" cm="1">
        <f t="array" aca="1" ref="A46" ca="1">INDEX(Companies!$A:$A,RANDBETWEEN(2,COUNTA(Companies!$A:$A)),1)</f>
        <v>2</v>
      </c>
      <c r="B46" s="5">
        <f t="shared" si="1"/>
        <v>45</v>
      </c>
      <c r="C46" s="6">
        <f t="shared" ca="1" si="2"/>
        <v>1</v>
      </c>
      <c r="D46" s="7">
        <f ca="1">IF($B46 = 1 + N("Presidente"),
    127,
    IF($B46 = 2 + N("Vice-Presidente"),
        72,
        IF($B46 = 3 + N("Secretária bilíngue"),
            13,
            RANDBETWEEN(5,COUNT(Name!$A:$A) + 1)
        )
    )
)</f>
        <v>338</v>
      </c>
      <c r="E46" s="7" t="str">
        <f ca="1" xml:space="preserve">
VLOOKUP(
  $D46,
  Name!$A:$B,
  2,
  FALSE
)
&amp; " " &amp;
IF($B46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Sophia Luz Frois</v>
      </c>
      <c r="F46" s="7">
        <v>2</v>
      </c>
      <c r="G46" s="7" cm="1">
        <f t="array" aca="1" ref="G46" ca="1">INDEX(States!$B:$B,RANDBETWEEN(2,COUNTA(States!$A:$A)),1)</f>
        <v>4</v>
      </c>
      <c r="H46" s="7" t="str">
        <f ca="1">VLOOKUP($D46,Name!$A:$C,3,FALSE)</f>
        <v>F</v>
      </c>
      <c r="I46" s="7" cm="1">
        <f t="array" aca="1" ref="I46" ca="1">INDEX('Marital status'!$A:$A,RANDBETWEEN(2,COUNTA('Marital status'!$A:$A)),1)</f>
        <v>6</v>
      </c>
      <c r="J46" s="7">
        <f t="shared" ca="1" si="3"/>
        <v>2</v>
      </c>
      <c r="K46" s="8">
        <f t="shared" ca="1" si="4"/>
        <v>22060</v>
      </c>
      <c r="L46" s="6">
        <f t="shared" ca="1" si="5"/>
        <v>5</v>
      </c>
      <c r="M46" s="7">
        <f ca="1" xml:space="preserve">
  IF(OR($N46 = 2, $N46 = 3, $N46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46" s="6">
        <f t="shared" ca="1" si="6"/>
        <v>9</v>
      </c>
      <c r="O46" s="6" t="e">
        <f t="shared" ca="1" si="7"/>
        <v>#N/A</v>
      </c>
      <c r="P46" s="8">
        <f t="shared" ca="1" si="8"/>
        <v>36269</v>
      </c>
      <c r="Q46" s="6">
        <f ca="1">RANDBETWEEN(2,COUNTA('Recruitment source'!$A:$A))</f>
        <v>4</v>
      </c>
      <c r="R46" s="8" t="e">
        <f t="shared" ca="1" si="9"/>
        <v>#N/A</v>
      </c>
      <c r="S46" s="6" t="e">
        <f t="shared" ca="1" si="10"/>
        <v>#N/A</v>
      </c>
      <c r="T46" s="6">
        <f t="shared" ca="1" si="0"/>
        <v>2</v>
      </c>
      <c r="U46" s="1">
        <f t="shared" ca="1" si="11"/>
        <v>8080</v>
      </c>
    </row>
    <row r="47" spans="1:21" x14ac:dyDescent="0.2">
      <c r="A47" s="7" cm="1">
        <f t="array" aca="1" ref="A47" ca="1">INDEX(Companies!$A:$A,RANDBETWEEN(2,COUNTA(Companies!$A:$A)),1)</f>
        <v>2</v>
      </c>
      <c r="B47" s="5">
        <f t="shared" si="1"/>
        <v>46</v>
      </c>
      <c r="C47" s="6">
        <f t="shared" ca="1" si="2"/>
        <v>1</v>
      </c>
      <c r="D47" s="7">
        <f ca="1">IF($B47 = 1 + N("Presidente"),
    127,
    IF($B47 = 2 + N("Vice-Presidente"),
        72,
        IF($B47 = 3 + N("Secretária bilíngue"),
            13,
            RANDBETWEEN(5,COUNT(Name!$A:$A) + 1)
        )
    )
)</f>
        <v>236</v>
      </c>
      <c r="E47" s="7" t="str">
        <f ca="1" xml:space="preserve">
VLOOKUP(
  $D47,
  Name!$A:$B,
  2,
  FALSE
)
&amp; " " &amp;
IF($B47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Luana Zil Ferrão</v>
      </c>
      <c r="F47" s="7">
        <v>2</v>
      </c>
      <c r="G47" s="7" cm="1">
        <f t="array" aca="1" ref="G47" ca="1">INDEX(States!$B:$B,RANDBETWEEN(2,COUNTA(States!$A:$A)),1)</f>
        <v>7</v>
      </c>
      <c r="H47" s="7" t="str">
        <f ca="1">VLOOKUP($D47,Name!$A:$C,3,FALSE)</f>
        <v>F</v>
      </c>
      <c r="I47" s="7" cm="1">
        <f t="array" aca="1" ref="I47" ca="1">INDEX('Marital status'!$A:$A,RANDBETWEEN(2,COUNTA('Marital status'!$A:$A)),1)</f>
        <v>6</v>
      </c>
      <c r="J47" s="7">
        <f t="shared" ca="1" si="3"/>
        <v>2</v>
      </c>
      <c r="K47" s="8">
        <f t="shared" ca="1" si="4"/>
        <v>28011</v>
      </c>
      <c r="L47" s="6">
        <f t="shared" ca="1" si="5"/>
        <v>4</v>
      </c>
      <c r="M47" s="7">
        <f ca="1" xml:space="preserve">
  IF(OR($N47 = 2, $N47 = 3, $N47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47" s="6">
        <f t="shared" ca="1" si="6"/>
        <v>9</v>
      </c>
      <c r="O47" s="6" t="e">
        <f t="shared" ca="1" si="7"/>
        <v>#N/A</v>
      </c>
      <c r="P47" s="8">
        <f t="shared" ca="1" si="8"/>
        <v>38393</v>
      </c>
      <c r="Q47" s="6">
        <f ca="1">RANDBETWEEN(2,COUNTA('Recruitment source'!$A:$A))</f>
        <v>8</v>
      </c>
      <c r="R47" s="8" t="e">
        <f t="shared" ca="1" si="9"/>
        <v>#N/A</v>
      </c>
      <c r="S47" s="6" t="e">
        <f t="shared" ca="1" si="10"/>
        <v>#N/A</v>
      </c>
      <c r="T47" s="6">
        <f t="shared" ca="1" si="0"/>
        <v>5</v>
      </c>
      <c r="U47" s="1">
        <f t="shared" ca="1" si="11"/>
        <v>8000</v>
      </c>
    </row>
    <row r="48" spans="1:21" x14ac:dyDescent="0.2">
      <c r="A48" s="7" cm="1">
        <f t="array" aca="1" ref="A48" ca="1">INDEX(Companies!$A:$A,RANDBETWEEN(2,COUNTA(Companies!$A:$A)),1)</f>
        <v>2</v>
      </c>
      <c r="B48" s="5">
        <f t="shared" si="1"/>
        <v>47</v>
      </c>
      <c r="C48" s="6">
        <f t="shared" ca="1" si="2"/>
        <v>1</v>
      </c>
      <c r="D48" s="7">
        <f ca="1">IF($B48 = 1 + N("Presidente"),
    127,
    IF($B48 = 2 + N("Vice-Presidente"),
        72,
        IF($B48 = 3 + N("Secretária bilíngue"),
            13,
            RANDBETWEEN(5,COUNT(Name!$A:$A) + 1)
        )
    )
)</f>
        <v>234</v>
      </c>
      <c r="E48" s="7" t="str">
        <f ca="1" xml:space="preserve">
VLOOKUP(
  $D48,
  Name!$A:$B,
  2,
  FALSE
)
&amp; " " &amp;
IF($B48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Louise Dantas Arruda</v>
      </c>
      <c r="F48" s="7">
        <v>2</v>
      </c>
      <c r="G48" s="7" cm="1">
        <f t="array" aca="1" ref="G48" ca="1">INDEX(States!$B:$B,RANDBETWEEN(2,COUNTA(States!$A:$A)),1)</f>
        <v>19</v>
      </c>
      <c r="H48" s="7" t="str">
        <f ca="1">VLOOKUP($D48,Name!$A:$C,3,FALSE)</f>
        <v>F</v>
      </c>
      <c r="I48" s="7" cm="1">
        <f t="array" aca="1" ref="I48" ca="1">INDEX('Marital status'!$A:$A,RANDBETWEEN(2,COUNTA('Marital status'!$A:$A)),1)</f>
        <v>5</v>
      </c>
      <c r="J48" s="7">
        <f t="shared" ca="1" si="3"/>
        <v>2</v>
      </c>
      <c r="K48" s="8">
        <f t="shared" ca="1" si="4"/>
        <v>31909</v>
      </c>
      <c r="L48" s="6">
        <f t="shared" ca="1" si="5"/>
        <v>4</v>
      </c>
      <c r="M48" s="7">
        <f ca="1" xml:space="preserve">
  IF(OR($N48 = 2, $N48 = 3, $N48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48" s="6">
        <f t="shared" ca="1" si="6"/>
        <v>9</v>
      </c>
      <c r="O48" s="6" t="e">
        <f t="shared" ca="1" si="7"/>
        <v>#N/A</v>
      </c>
      <c r="P48" s="8">
        <f t="shared" ca="1" si="8"/>
        <v>42631</v>
      </c>
      <c r="Q48" s="6">
        <f ca="1">RANDBETWEEN(2,COUNTA('Recruitment source'!$A:$A))</f>
        <v>11</v>
      </c>
      <c r="R48" s="8" t="e">
        <f t="shared" ca="1" si="9"/>
        <v>#N/A</v>
      </c>
      <c r="S48" s="6" t="e">
        <f t="shared" ca="1" si="10"/>
        <v>#N/A</v>
      </c>
      <c r="T48" s="6">
        <f t="shared" ca="1" si="0"/>
        <v>5</v>
      </c>
      <c r="U48" s="1">
        <f t="shared" ca="1" si="11"/>
        <v>8000</v>
      </c>
    </row>
    <row r="49" spans="1:21" x14ac:dyDescent="0.2">
      <c r="A49" s="7" cm="1">
        <f t="array" aca="1" ref="A49" ca="1">INDEX(Companies!$A:$A,RANDBETWEEN(2,COUNTA(Companies!$A:$A)),1)</f>
        <v>2</v>
      </c>
      <c r="B49" s="5">
        <f t="shared" si="1"/>
        <v>48</v>
      </c>
      <c r="C49" s="6">
        <f t="shared" ca="1" si="2"/>
        <v>1</v>
      </c>
      <c r="D49" s="7">
        <f ca="1">IF($B49 = 1 + N("Presidente"),
    127,
    IF($B49 = 2 + N("Vice-Presidente"),
        72,
        IF($B49 = 3 + N("Secretária bilíngue"),
            13,
            RANDBETWEEN(5,COUNT(Name!$A:$A) + 1)
        )
    )
)</f>
        <v>135</v>
      </c>
      <c r="E49" s="7" t="str">
        <f ca="1" xml:space="preserve">
VLOOKUP(
  $D49,
  Name!$A:$B,
  2,
  FALSE
)
&amp; " " &amp;
IF($B49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Felipe Farias Pinheiro</v>
      </c>
      <c r="F49" s="7">
        <v>2</v>
      </c>
      <c r="G49" s="7" cm="1">
        <f t="array" aca="1" ref="G49" ca="1">INDEX(States!$B:$B,RANDBETWEEN(2,COUNTA(States!$A:$A)),1)</f>
        <v>13</v>
      </c>
      <c r="H49" s="7" t="str">
        <f ca="1">VLOOKUP($D49,Name!$A:$C,3,FALSE)</f>
        <v>M</v>
      </c>
      <c r="I49" s="7" cm="1">
        <f t="array" aca="1" ref="I49" ca="1">INDEX('Marital status'!$A:$A,RANDBETWEEN(2,COUNTA('Marital status'!$A:$A)),1)</f>
        <v>4</v>
      </c>
      <c r="J49" s="7">
        <f t="shared" ca="1" si="3"/>
        <v>3</v>
      </c>
      <c r="K49" s="8">
        <f t="shared" ca="1" si="4"/>
        <v>35578</v>
      </c>
      <c r="L49" s="6">
        <f t="shared" ca="1" si="5"/>
        <v>5</v>
      </c>
      <c r="M49" s="7">
        <f ca="1" xml:space="preserve">
  IF(OR($N49 = 2, $N49 = 3, $N49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49" s="6">
        <f t="shared" ca="1" si="6"/>
        <v>8</v>
      </c>
      <c r="O49" s="6">
        <f t="shared" ca="1" si="7"/>
        <v>2</v>
      </c>
      <c r="P49" s="8">
        <f t="shared" ca="1" si="8"/>
        <v>42087</v>
      </c>
      <c r="Q49" s="6">
        <f ca="1">RANDBETWEEN(2,COUNTA('Recruitment source'!$A:$A))</f>
        <v>9</v>
      </c>
      <c r="R49" s="8" t="e">
        <f t="shared" ca="1" si="9"/>
        <v>#N/A</v>
      </c>
      <c r="S49" s="6" t="e">
        <f t="shared" ca="1" si="10"/>
        <v>#N/A</v>
      </c>
      <c r="T49" s="6">
        <f t="shared" ca="1" si="0"/>
        <v>2</v>
      </c>
      <c r="U49" s="1">
        <f t="shared" ca="1" si="11"/>
        <v>2080</v>
      </c>
    </row>
    <row r="50" spans="1:21" x14ac:dyDescent="0.2">
      <c r="A50" s="7" cm="1">
        <f t="array" aca="1" ref="A50" ca="1">INDEX(Companies!$A:$A,RANDBETWEEN(2,COUNTA(Companies!$A:$A)),1)</f>
        <v>2</v>
      </c>
      <c r="B50" s="5">
        <f t="shared" si="1"/>
        <v>49</v>
      </c>
      <c r="C50" s="6">
        <f t="shared" ca="1" si="2"/>
        <v>1</v>
      </c>
      <c r="D50" s="7">
        <f ca="1">IF($B50 = 1 + N("Presidente"),
    127,
    IF($B50 = 2 + N("Vice-Presidente"),
        72,
        IF($B50 = 3 + N("Secretária bilíngue"),
            13,
            RANDBETWEEN(5,COUNT(Name!$A:$A) + 1)
        )
    )
)</f>
        <v>220</v>
      </c>
      <c r="E50" s="7" t="str">
        <f ca="1" xml:space="preserve">
VLOOKUP(
  $D50,
  Name!$A:$B,
  2,
  FALSE
)
&amp; " " &amp;
IF($B50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Laura Pinheiro sobrenome</v>
      </c>
      <c r="F50" s="7">
        <v>2</v>
      </c>
      <c r="G50" s="7" cm="1">
        <f t="array" aca="1" ref="G50" ca="1">INDEX(States!$B:$B,RANDBETWEEN(2,COUNTA(States!$A:$A)),1)</f>
        <v>18</v>
      </c>
      <c r="H50" s="7" t="str">
        <f ca="1">VLOOKUP($D50,Name!$A:$C,3,FALSE)</f>
        <v>F</v>
      </c>
      <c r="I50" s="7" cm="1">
        <f t="array" aca="1" ref="I50" ca="1">INDEX('Marital status'!$A:$A,RANDBETWEEN(2,COUNTA('Marital status'!$A:$A)),1)</f>
        <v>2</v>
      </c>
      <c r="J50" s="7">
        <f t="shared" ca="1" si="3"/>
        <v>2</v>
      </c>
      <c r="K50" s="8">
        <f t="shared" ca="1" si="4"/>
        <v>30164</v>
      </c>
      <c r="L50" s="6">
        <f t="shared" ca="1" si="5"/>
        <v>4</v>
      </c>
      <c r="M50" s="7">
        <f ca="1" xml:space="preserve">
  IF(OR($N50 = 2, $N50 = 3, $N50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50" s="6">
        <f t="shared" ca="1" si="6"/>
        <v>7</v>
      </c>
      <c r="O50" s="6" t="e">
        <f t="shared" ca="1" si="7"/>
        <v>#N/A</v>
      </c>
      <c r="P50" s="8">
        <f t="shared" ca="1" si="8"/>
        <v>41022</v>
      </c>
      <c r="Q50" s="6">
        <f ca="1">RANDBETWEEN(2,COUNTA('Recruitment source'!$A:$A))</f>
        <v>7</v>
      </c>
      <c r="R50" s="8" t="e">
        <f t="shared" ca="1" si="9"/>
        <v>#N/A</v>
      </c>
      <c r="S50" s="6" t="e">
        <f t="shared" ca="1" si="10"/>
        <v>#N/A</v>
      </c>
      <c r="T50" s="6">
        <f t="shared" ca="1" si="0"/>
        <v>5</v>
      </c>
      <c r="U50" s="1">
        <f t="shared" ca="1" si="11"/>
        <v>1085</v>
      </c>
    </row>
    <row r="51" spans="1:21" x14ac:dyDescent="0.2">
      <c r="A51" s="7" cm="1">
        <f t="array" aca="1" ref="A51" ca="1">INDEX(Companies!$A:$A,RANDBETWEEN(2,COUNTA(Companies!$A:$A)),1)</f>
        <v>2</v>
      </c>
      <c r="B51" s="5">
        <f t="shared" si="1"/>
        <v>50</v>
      </c>
      <c r="C51" s="6">
        <f t="shared" ca="1" si="2"/>
        <v>1</v>
      </c>
      <c r="D51" s="7">
        <f ca="1">IF($B51 = 1 + N("Presidente"),
    127,
    IF($B51 = 2 + N("Vice-Presidente"),
        72,
        IF($B51 = 3 + N("Secretária bilíngue"),
            13,
            RANDBETWEEN(5,COUNT(Name!$A:$A) + 1)
        )
    )
)</f>
        <v>317</v>
      </c>
      <c r="E51" s="7" t="str">
        <f ca="1" xml:space="preserve">
VLOOKUP(
  $D51,
  Name!$A:$B,
  2,
  FALSE
)
&amp; " " &amp;
IF($B51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Henrique Camargo Machado</v>
      </c>
      <c r="F51" s="7">
        <v>2</v>
      </c>
      <c r="G51" s="7" cm="1">
        <f t="array" aca="1" ref="G51" ca="1">INDEX(States!$B:$B,RANDBETWEEN(2,COUNTA(States!$A:$A)),1)</f>
        <v>18</v>
      </c>
      <c r="H51" s="7" t="str">
        <f ca="1">VLOOKUP($D51,Name!$A:$C,3,FALSE)</f>
        <v>M</v>
      </c>
      <c r="I51" s="7" cm="1">
        <f t="array" aca="1" ref="I51" ca="1">INDEX('Marital status'!$A:$A,RANDBETWEEN(2,COUNTA('Marital status'!$A:$A)),1)</f>
        <v>3</v>
      </c>
      <c r="J51" s="7">
        <f t="shared" ca="1" si="3"/>
        <v>2</v>
      </c>
      <c r="K51" s="8">
        <f t="shared" ca="1" si="4"/>
        <v>33696</v>
      </c>
      <c r="L51" s="6">
        <f t="shared" ca="1" si="5"/>
        <v>4</v>
      </c>
      <c r="M51" s="7">
        <f ca="1" xml:space="preserve">
  IF(OR($N51 = 2, $N51 = 3, $N51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51" s="6">
        <f t="shared" ca="1" si="6"/>
        <v>8</v>
      </c>
      <c r="O51" s="6">
        <f t="shared" ca="1" si="7"/>
        <v>3</v>
      </c>
      <c r="P51" s="8">
        <f t="shared" ca="1" si="8"/>
        <v>41141</v>
      </c>
      <c r="Q51" s="6">
        <f ca="1">RANDBETWEEN(2,COUNTA('Recruitment source'!$A:$A))</f>
        <v>12</v>
      </c>
      <c r="R51" s="8" t="e">
        <f t="shared" ca="1" si="9"/>
        <v>#N/A</v>
      </c>
      <c r="S51" s="6" t="e">
        <f t="shared" ca="1" si="10"/>
        <v>#N/A</v>
      </c>
      <c r="T51" s="6">
        <f t="shared" ca="1" si="0"/>
        <v>4</v>
      </c>
      <c r="U51" s="1">
        <f t="shared" ca="1" si="11"/>
        <v>2000</v>
      </c>
    </row>
    <row r="52" spans="1:21" x14ac:dyDescent="0.2">
      <c r="A52" s="7" cm="1">
        <f t="array" aca="1" ref="A52" ca="1">INDEX(Companies!$A:$A,RANDBETWEEN(2,COUNTA(Companies!$A:$A)),1)</f>
        <v>2</v>
      </c>
      <c r="B52" s="5">
        <f t="shared" si="1"/>
        <v>51</v>
      </c>
      <c r="C52" s="6">
        <f t="shared" ca="1" si="2"/>
        <v>1</v>
      </c>
      <c r="D52" s="7">
        <f ca="1">IF($B52 = 1 + N("Presidente"),
    127,
    IF($B52 = 2 + N("Vice-Presidente"),
        72,
        IF($B52 = 3 + N("Secretária bilíngue"),
            13,
            RANDBETWEEN(5,COUNT(Name!$A:$A) + 1)
        )
    )
)</f>
        <v>262</v>
      </c>
      <c r="E52" s="7" t="str">
        <f ca="1" xml:space="preserve">
VLOOKUP(
  $D52,
  Name!$A:$B,
  2,
  FALSE
)
&amp; " " &amp;
IF($B52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Eduarda Barroso Ferrari</v>
      </c>
      <c r="F52" s="7">
        <v>2</v>
      </c>
      <c r="G52" s="7" cm="1">
        <f t="array" aca="1" ref="G52" ca="1">INDEX(States!$B:$B,RANDBETWEEN(2,COUNTA(States!$A:$A)),1)</f>
        <v>20</v>
      </c>
      <c r="H52" s="7" t="str">
        <f ca="1">VLOOKUP($D52,Name!$A:$C,3,FALSE)</f>
        <v>F</v>
      </c>
      <c r="I52" s="7" cm="1">
        <f t="array" aca="1" ref="I52" ca="1">INDEX('Marital status'!$A:$A,RANDBETWEEN(2,COUNTA('Marital status'!$A:$A)),1)</f>
        <v>4</v>
      </c>
      <c r="J52" s="7">
        <f t="shared" ca="1" si="3"/>
        <v>2</v>
      </c>
      <c r="K52" s="8">
        <f t="shared" ca="1" si="4"/>
        <v>24578</v>
      </c>
      <c r="L52" s="6">
        <f t="shared" ca="1" si="5"/>
        <v>4</v>
      </c>
      <c r="M52" s="7">
        <f ca="1" xml:space="preserve">
  IF(OR($N52 = 2, $N52 = 3, $N52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52" s="6">
        <f t="shared" ca="1" si="6"/>
        <v>6</v>
      </c>
      <c r="O52" s="6" t="e">
        <f t="shared" ca="1" si="7"/>
        <v>#N/A</v>
      </c>
      <c r="P52" s="8">
        <f t="shared" ca="1" si="8"/>
        <v>39996</v>
      </c>
      <c r="Q52" s="6">
        <f ca="1">RANDBETWEEN(2,COUNTA('Recruitment source'!$A:$A))</f>
        <v>11</v>
      </c>
      <c r="R52" s="8" t="e">
        <f t="shared" ca="1" si="9"/>
        <v>#N/A</v>
      </c>
      <c r="S52" s="6" t="e">
        <f t="shared" ca="1" si="10"/>
        <v>#N/A</v>
      </c>
      <c r="T52" s="6">
        <f t="shared" ca="1" si="0"/>
        <v>3</v>
      </c>
      <c r="U52" s="1">
        <f t="shared" ca="1" si="11"/>
        <v>805</v>
      </c>
    </row>
    <row r="53" spans="1:21" x14ac:dyDescent="0.2">
      <c r="A53" s="7" cm="1">
        <f t="array" aca="1" ref="A53" ca="1">INDEX(Companies!$A:$A,RANDBETWEEN(2,COUNTA(Companies!$A:$A)),1)</f>
        <v>2</v>
      </c>
      <c r="B53" s="5">
        <f t="shared" si="1"/>
        <v>52</v>
      </c>
      <c r="C53" s="6">
        <f t="shared" ca="1" si="2"/>
        <v>1</v>
      </c>
      <c r="D53" s="7">
        <f ca="1">IF($B53 = 1 + N("Presidente"),
    127,
    IF($B53 = 2 + N("Vice-Presidente"),
        72,
        IF($B53 = 3 + N("Secretária bilíngue"),
            13,
            RANDBETWEEN(5,COUNT(Name!$A:$A) + 1)
        )
    )
)</f>
        <v>334</v>
      </c>
      <c r="E53" s="7" t="str">
        <f ca="1" xml:space="preserve">
VLOOKUP(
  $D53,
  Name!$A:$B,
  2,
  FALSE
)
&amp; " " &amp;
IF($B53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Ryan Caruso Araújo</v>
      </c>
      <c r="F53" s="7">
        <v>2</v>
      </c>
      <c r="G53" s="7" cm="1">
        <f t="array" aca="1" ref="G53" ca="1">INDEX(States!$B:$B,RANDBETWEEN(2,COUNTA(States!$A:$A)),1)</f>
        <v>15</v>
      </c>
      <c r="H53" s="7" t="str">
        <f ca="1">VLOOKUP($D53,Name!$A:$C,3,FALSE)</f>
        <v>M</v>
      </c>
      <c r="I53" s="7" cm="1">
        <f t="array" aca="1" ref="I53" ca="1">INDEX('Marital status'!$A:$A,RANDBETWEEN(2,COUNTA('Marital status'!$A:$A)),1)</f>
        <v>3</v>
      </c>
      <c r="J53" s="7">
        <f t="shared" ca="1" si="3"/>
        <v>2</v>
      </c>
      <c r="K53" s="8">
        <f t="shared" ca="1" si="4"/>
        <v>34674</v>
      </c>
      <c r="L53" s="6">
        <f t="shared" ca="1" si="5"/>
        <v>5</v>
      </c>
      <c r="M53" s="7">
        <f ca="1" xml:space="preserve">
  IF(OR($N53 = 2, $N53 = 3, $N53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53" s="6">
        <f t="shared" ca="1" si="6"/>
        <v>8</v>
      </c>
      <c r="O53" s="6">
        <f t="shared" ca="1" si="7"/>
        <v>2</v>
      </c>
      <c r="P53" s="8">
        <f t="shared" ca="1" si="8"/>
        <v>36354</v>
      </c>
      <c r="Q53" s="6">
        <f ca="1">RANDBETWEEN(2,COUNTA('Recruitment source'!$A:$A))</f>
        <v>2</v>
      </c>
      <c r="R53" s="8" t="e">
        <f t="shared" ca="1" si="9"/>
        <v>#N/A</v>
      </c>
      <c r="S53" s="6" t="e">
        <f t="shared" ca="1" si="10"/>
        <v>#N/A</v>
      </c>
      <c r="T53" s="6">
        <f t="shared" ca="1" si="0"/>
        <v>4</v>
      </c>
      <c r="U53" s="1">
        <f t="shared" ca="1" si="11"/>
        <v>2080</v>
      </c>
    </row>
    <row r="54" spans="1:21" x14ac:dyDescent="0.2">
      <c r="A54" s="7" cm="1">
        <f t="array" aca="1" ref="A54" ca="1">INDEX(Companies!$A:$A,RANDBETWEEN(2,COUNTA(Companies!$A:$A)),1)</f>
        <v>2</v>
      </c>
      <c r="B54" s="5">
        <f t="shared" si="1"/>
        <v>53</v>
      </c>
      <c r="C54" s="6">
        <f t="shared" ca="1" si="2"/>
        <v>1</v>
      </c>
      <c r="D54" s="7">
        <f ca="1">IF($B54 = 1 + N("Presidente"),
    127,
    IF($B54 = 2 + N("Vice-Presidente"),
        72,
        IF($B54 = 3 + N("Secretária bilíngue"),
            13,
            RANDBETWEEN(5,COUNT(Name!$A:$A) + 1)
        )
    )
)</f>
        <v>161</v>
      </c>
      <c r="E54" s="7" t="str">
        <f ca="1" xml:space="preserve">
VLOOKUP(
  $D54,
  Name!$A:$B,
  2,
  FALSE
)
&amp; " " &amp;
IF($B54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Heitor Araújo Pereira</v>
      </c>
      <c r="F54" s="7">
        <v>2</v>
      </c>
      <c r="G54" s="7" cm="1">
        <f t="array" aca="1" ref="G54" ca="1">INDEX(States!$B:$B,RANDBETWEEN(2,COUNTA(States!$A:$A)),1)</f>
        <v>5</v>
      </c>
      <c r="H54" s="7" t="str">
        <f ca="1">VLOOKUP($D54,Name!$A:$C,3,FALSE)</f>
        <v>M</v>
      </c>
      <c r="I54" s="7" cm="1">
        <f t="array" aca="1" ref="I54" ca="1">INDEX('Marital status'!$A:$A,RANDBETWEEN(2,COUNTA('Marital status'!$A:$A)),1)</f>
        <v>3</v>
      </c>
      <c r="J54" s="7">
        <f t="shared" ca="1" si="3"/>
        <v>2</v>
      </c>
      <c r="K54" s="8">
        <f t="shared" ca="1" si="4"/>
        <v>21603</v>
      </c>
      <c r="L54" s="6">
        <f t="shared" ca="1" si="5"/>
        <v>4</v>
      </c>
      <c r="M54" s="7">
        <f ca="1" xml:space="preserve">
  IF(OR($N54 = 2, $N54 = 3, $N54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54" s="6">
        <f t="shared" ca="1" si="6"/>
        <v>6</v>
      </c>
      <c r="O54" s="6" t="e">
        <f t="shared" ca="1" si="7"/>
        <v>#N/A</v>
      </c>
      <c r="P54" s="8">
        <f t="shared" ca="1" si="8"/>
        <v>38109</v>
      </c>
      <c r="Q54" s="6">
        <f ca="1">RANDBETWEEN(2,COUNTA('Recruitment source'!$A:$A))</f>
        <v>8</v>
      </c>
      <c r="R54" s="8" t="e">
        <f t="shared" ca="1" si="9"/>
        <v>#N/A</v>
      </c>
      <c r="S54" s="6" t="e">
        <f t="shared" ca="1" si="10"/>
        <v>#N/A</v>
      </c>
      <c r="T54" s="6">
        <f t="shared" ca="1" si="0"/>
        <v>4</v>
      </c>
      <c r="U54" s="1">
        <f t="shared" ca="1" si="11"/>
        <v>805</v>
      </c>
    </row>
    <row r="55" spans="1:21" x14ac:dyDescent="0.2">
      <c r="A55" s="7" cm="1">
        <f t="array" aca="1" ref="A55" ca="1">INDEX(Companies!$A:$A,RANDBETWEEN(2,COUNTA(Companies!$A:$A)),1)</f>
        <v>2</v>
      </c>
      <c r="B55" s="5">
        <f t="shared" si="1"/>
        <v>54</v>
      </c>
      <c r="C55" s="6">
        <f t="shared" ca="1" si="2"/>
        <v>1</v>
      </c>
      <c r="D55" s="7">
        <f ca="1">IF($B55 = 1 + N("Presidente"),
    127,
    IF($B55 = 2 + N("Vice-Presidente"),
        72,
        IF($B55 = 3 + N("Secretária bilíngue"),
            13,
            RANDBETWEEN(5,COUNT(Name!$A:$A) + 1)
        )
    )
)</f>
        <v>284</v>
      </c>
      <c r="E55" s="7" t="str">
        <f ca="1" xml:space="preserve">
VLOOKUP(
  $D55,
  Name!$A:$B,
  2,
  FALSE
)
&amp; " " &amp;
IF($B55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Martim Mazza Pasquim</v>
      </c>
      <c r="F55" s="7">
        <v>2</v>
      </c>
      <c r="G55" s="7" cm="1">
        <f t="array" aca="1" ref="G55" ca="1">INDEX(States!$B:$B,RANDBETWEEN(2,COUNTA(States!$A:$A)),1)</f>
        <v>7</v>
      </c>
      <c r="H55" s="7" t="str">
        <f ca="1">VLOOKUP($D55,Name!$A:$C,3,FALSE)</f>
        <v>M</v>
      </c>
      <c r="I55" s="7" cm="1">
        <f t="array" aca="1" ref="I55" ca="1">INDEX('Marital status'!$A:$A,RANDBETWEEN(2,COUNTA('Marital status'!$A:$A)),1)</f>
        <v>4</v>
      </c>
      <c r="J55" s="7">
        <f t="shared" ca="1" si="3"/>
        <v>4</v>
      </c>
      <c r="K55" s="8">
        <f t="shared" ca="1" si="4"/>
        <v>38088</v>
      </c>
      <c r="L55" s="6">
        <f t="shared" ca="1" si="5"/>
        <v>4</v>
      </c>
      <c r="M55" s="7">
        <f ca="1" xml:space="preserve">
  IF(OR($N55 = 2, $N55 = 3, $N55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55" s="6">
        <f t="shared" ca="1" si="6"/>
        <v>8</v>
      </c>
      <c r="O55" s="6">
        <f t="shared" ca="1" si="7"/>
        <v>3</v>
      </c>
      <c r="P55" s="8">
        <f t="shared" ca="1" si="8"/>
        <v>44838</v>
      </c>
      <c r="Q55" s="6">
        <f ca="1">RANDBETWEEN(2,COUNTA('Recruitment source'!$A:$A))</f>
        <v>8</v>
      </c>
      <c r="R55" s="8" t="e">
        <f t="shared" ca="1" si="9"/>
        <v>#N/A</v>
      </c>
      <c r="S55" s="6" t="e">
        <f t="shared" ca="1" si="10"/>
        <v>#N/A</v>
      </c>
      <c r="T55" s="6">
        <f t="shared" ca="1" si="0"/>
        <v>4</v>
      </c>
      <c r="U55" s="1">
        <f t="shared" ca="1" si="11"/>
        <v>2050</v>
      </c>
    </row>
    <row r="56" spans="1:21" x14ac:dyDescent="0.2">
      <c r="A56" s="7" cm="1">
        <f t="array" aca="1" ref="A56" ca="1">INDEX(Companies!$A:$A,RANDBETWEEN(2,COUNTA(Companies!$A:$A)),1)</f>
        <v>2</v>
      </c>
      <c r="B56" s="5">
        <f t="shared" si="1"/>
        <v>55</v>
      </c>
      <c r="C56" s="6">
        <f t="shared" ca="1" si="2"/>
        <v>1</v>
      </c>
      <c r="D56" s="7">
        <f ca="1">IF($B56 = 1 + N("Presidente"),
    127,
    IF($B56 = 2 + N("Vice-Presidente"),
        72,
        IF($B56 = 3 + N("Secretária bilíngue"),
            13,
            RANDBETWEEN(5,COUNT(Name!$A:$A) + 1)
        )
    )
)</f>
        <v>125</v>
      </c>
      <c r="E56" s="7" t="str">
        <f ca="1" xml:space="preserve">
VLOOKUP(
  $D56,
  Name!$A:$B,
  2,
  FALSE
)
&amp; " " &amp;
IF($B56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Emmanuel Alvim Pimentel</v>
      </c>
      <c r="F56" s="7">
        <v>2</v>
      </c>
      <c r="G56" s="7" cm="1">
        <f t="array" aca="1" ref="G56" ca="1">INDEX(States!$B:$B,RANDBETWEEN(2,COUNTA(States!$A:$A)),1)</f>
        <v>4</v>
      </c>
      <c r="H56" s="7" t="str">
        <f ca="1">VLOOKUP($D56,Name!$A:$C,3,FALSE)</f>
        <v>M</v>
      </c>
      <c r="I56" s="7" cm="1">
        <f t="array" aca="1" ref="I56" ca="1">INDEX('Marital status'!$A:$A,RANDBETWEEN(2,COUNTA('Marital status'!$A:$A)),1)</f>
        <v>5</v>
      </c>
      <c r="J56" s="7">
        <f t="shared" ca="1" si="3"/>
        <v>3</v>
      </c>
      <c r="K56" s="8">
        <f t="shared" ca="1" si="4"/>
        <v>30076</v>
      </c>
      <c r="L56" s="6">
        <f t="shared" ca="1" si="5"/>
        <v>4</v>
      </c>
      <c r="M56" s="7">
        <f ca="1" xml:space="preserve">
  IF(OR($N56 = 2, $N56 = 3, $N56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56" s="6">
        <f t="shared" ca="1" si="6"/>
        <v>6</v>
      </c>
      <c r="O56" s="6" t="e">
        <f t="shared" ca="1" si="7"/>
        <v>#N/A</v>
      </c>
      <c r="P56" s="8">
        <f t="shared" ca="1" si="8"/>
        <v>39333</v>
      </c>
      <c r="Q56" s="6">
        <f ca="1">RANDBETWEEN(2,COUNTA('Recruitment source'!$A:$A))</f>
        <v>3</v>
      </c>
      <c r="R56" s="8" t="e">
        <f t="shared" ca="1" si="9"/>
        <v>#N/A</v>
      </c>
      <c r="S56" s="6" t="e">
        <f t="shared" ca="1" si="10"/>
        <v>#N/A</v>
      </c>
      <c r="T56" s="6">
        <f t="shared" ca="1" si="0"/>
        <v>5</v>
      </c>
      <c r="U56" s="1">
        <f t="shared" ca="1" si="11"/>
        <v>805</v>
      </c>
    </row>
    <row r="57" spans="1:21" x14ac:dyDescent="0.2">
      <c r="A57" s="7" cm="1">
        <f t="array" aca="1" ref="A57" ca="1">INDEX(Companies!$A:$A,RANDBETWEEN(2,COUNTA(Companies!$A:$A)),1)</f>
        <v>2</v>
      </c>
      <c r="B57" s="5">
        <f t="shared" si="1"/>
        <v>56</v>
      </c>
      <c r="C57" s="6">
        <f t="shared" ca="1" si="2"/>
        <v>1</v>
      </c>
      <c r="D57" s="7">
        <f ca="1">IF($B57 = 1 + N("Presidente"),
    127,
    IF($B57 = 2 + N("Vice-Presidente"),
        72,
        IF($B57 = 3 + N("Secretária bilíngue"),
            13,
            RANDBETWEEN(5,COUNT(Name!$A:$A) + 1)
        )
    )
)</f>
        <v>343</v>
      </c>
      <c r="E57" s="7" t="str">
        <f ca="1" xml:space="preserve">
VLOOKUP(
  $D57,
  Name!$A:$B,
  2,
  FALSE
)
&amp; " " &amp;
IF($B57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Thiago Zil Santacruz</v>
      </c>
      <c r="F57" s="7">
        <v>2</v>
      </c>
      <c r="G57" s="7" cm="1">
        <f t="array" aca="1" ref="G57" ca="1">INDEX(States!$B:$B,RANDBETWEEN(2,COUNTA(States!$A:$A)),1)</f>
        <v>13</v>
      </c>
      <c r="H57" s="7" t="str">
        <f ca="1">VLOOKUP($D57,Name!$A:$C,3,FALSE)</f>
        <v>M</v>
      </c>
      <c r="I57" s="7" cm="1">
        <f t="array" aca="1" ref="I57" ca="1">INDEX('Marital status'!$A:$A,RANDBETWEEN(2,COUNTA('Marital status'!$A:$A)),1)</f>
        <v>5</v>
      </c>
      <c r="J57" s="7">
        <f t="shared" ca="1" si="3"/>
        <v>5</v>
      </c>
      <c r="K57" s="8">
        <f t="shared" ca="1" si="4"/>
        <v>36612</v>
      </c>
      <c r="L57" s="6">
        <f t="shared" ca="1" si="5"/>
        <v>4</v>
      </c>
      <c r="M57" s="7">
        <f ca="1" xml:space="preserve">
  IF(OR($N57 = 2, $N57 = 3, $N57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57" s="6">
        <f t="shared" ca="1" si="6"/>
        <v>8</v>
      </c>
      <c r="O57" s="6">
        <f t="shared" ca="1" si="7"/>
        <v>3</v>
      </c>
      <c r="P57" s="8">
        <f t="shared" ca="1" si="8"/>
        <v>38126</v>
      </c>
      <c r="Q57" s="6">
        <f ca="1">RANDBETWEEN(2,COUNTA('Recruitment source'!$A:$A))</f>
        <v>3</v>
      </c>
      <c r="R57" s="8" t="e">
        <f t="shared" ca="1" si="9"/>
        <v>#N/A</v>
      </c>
      <c r="S57" s="6" t="e">
        <f t="shared" ca="1" si="10"/>
        <v>#N/A</v>
      </c>
      <c r="T57" s="6">
        <f t="shared" ca="1" si="0"/>
        <v>5</v>
      </c>
      <c r="U57" s="1">
        <f t="shared" ca="1" si="11"/>
        <v>2000</v>
      </c>
    </row>
    <row r="58" spans="1:21" x14ac:dyDescent="0.2">
      <c r="A58" s="7" cm="1">
        <f t="array" aca="1" ref="A58" ca="1">INDEX(Companies!$A:$A,RANDBETWEEN(2,COUNTA(Companies!$A:$A)),1)</f>
        <v>2</v>
      </c>
      <c r="B58" s="5">
        <f t="shared" si="1"/>
        <v>57</v>
      </c>
      <c r="C58" s="6">
        <f t="shared" ca="1" si="2"/>
        <v>1</v>
      </c>
      <c r="D58" s="7">
        <f ca="1">IF($B58 = 1 + N("Presidente"),
    127,
    IF($B58 = 2 + N("Vice-Presidente"),
        72,
        IF($B58 = 3 + N("Secretária bilíngue"),
            13,
            RANDBETWEEN(5,COUNT(Name!$A:$A) + 1)
        )
    )
)</f>
        <v>175</v>
      </c>
      <c r="E58" s="7" t="str">
        <f ca="1" xml:space="preserve">
VLOOKUP(
  $D58,
  Name!$A:$B,
  2,
  FALSE
)
&amp; " " &amp;
IF($B58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Isabella Luz Negrão</v>
      </c>
      <c r="F58" s="7">
        <v>2</v>
      </c>
      <c r="G58" s="7" cm="1">
        <f t="array" aca="1" ref="G58" ca="1">INDEX(States!$B:$B,RANDBETWEEN(2,COUNTA(States!$A:$A)),1)</f>
        <v>18</v>
      </c>
      <c r="H58" s="7" t="str">
        <f ca="1">VLOOKUP($D58,Name!$A:$C,3,FALSE)</f>
        <v>F</v>
      </c>
      <c r="I58" s="7" cm="1">
        <f t="array" aca="1" ref="I58" ca="1">INDEX('Marital status'!$A:$A,RANDBETWEEN(2,COUNTA('Marital status'!$A:$A)),1)</f>
        <v>2</v>
      </c>
      <c r="J58" s="7">
        <f t="shared" ca="1" si="3"/>
        <v>2</v>
      </c>
      <c r="K58" s="8">
        <f t="shared" ca="1" si="4"/>
        <v>20229</v>
      </c>
      <c r="L58" s="6">
        <f t="shared" ca="1" si="5"/>
        <v>4</v>
      </c>
      <c r="M58" s="7">
        <f ca="1" xml:space="preserve">
  IF(OR($N58 = 2, $N58 = 3, $N58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58" s="6">
        <f t="shared" ca="1" si="6"/>
        <v>6</v>
      </c>
      <c r="O58" s="6" t="e">
        <f t="shared" ca="1" si="7"/>
        <v>#N/A</v>
      </c>
      <c r="P58" s="8">
        <f t="shared" ca="1" si="8"/>
        <v>36275</v>
      </c>
      <c r="Q58" s="6">
        <f ca="1">RANDBETWEEN(2,COUNTA('Recruitment source'!$A:$A))</f>
        <v>3</v>
      </c>
      <c r="R58" s="8" t="e">
        <f t="shared" ca="1" si="9"/>
        <v>#N/A</v>
      </c>
      <c r="S58" s="6" t="e">
        <f t="shared" ca="1" si="10"/>
        <v>#N/A</v>
      </c>
      <c r="T58" s="6">
        <f t="shared" ca="1" si="0"/>
        <v>4</v>
      </c>
      <c r="U58" s="1">
        <f t="shared" ca="1" si="11"/>
        <v>805</v>
      </c>
    </row>
    <row r="59" spans="1:21" x14ac:dyDescent="0.2">
      <c r="A59" s="7" cm="1">
        <f t="array" aca="1" ref="A59" ca="1">INDEX(Companies!$A:$A,RANDBETWEEN(2,COUNTA(Companies!$A:$A)),1)</f>
        <v>2</v>
      </c>
      <c r="B59" s="5">
        <f t="shared" si="1"/>
        <v>58</v>
      </c>
      <c r="C59" s="6">
        <f t="shared" ca="1" si="2"/>
        <v>1</v>
      </c>
      <c r="D59" s="7">
        <f ca="1">IF($B59 = 1 + N("Presidente"),
    127,
    IF($B59 = 2 + N("Vice-Presidente"),
        72,
        IF($B59 = 3 + N("Secretária bilíngue"),
            13,
            RANDBETWEEN(5,COUNT(Name!$A:$A) + 1)
        )
    )
)</f>
        <v>210</v>
      </c>
      <c r="E59" s="7" t="str">
        <f ca="1" xml:space="preserve">
VLOOKUP(
  $D59,
  Name!$A:$B,
  2,
  FALSE
)
&amp; " " &amp;
IF($B59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Kauã Asvilla Romano</v>
      </c>
      <c r="F59" s="7">
        <v>2</v>
      </c>
      <c r="G59" s="7" cm="1">
        <f t="array" aca="1" ref="G59" ca="1">INDEX(States!$B:$B,RANDBETWEEN(2,COUNTA(States!$A:$A)),1)</f>
        <v>14</v>
      </c>
      <c r="H59" s="7" t="str">
        <f ca="1">VLOOKUP($D59,Name!$A:$C,3,FALSE)</f>
        <v>M</v>
      </c>
      <c r="I59" s="7" cm="1">
        <f t="array" aca="1" ref="I59" ca="1">INDEX('Marital status'!$A:$A,RANDBETWEEN(2,COUNTA('Marital status'!$A:$A)),1)</f>
        <v>2</v>
      </c>
      <c r="J59" s="7">
        <f t="shared" ca="1" si="3"/>
        <v>2</v>
      </c>
      <c r="K59" s="8">
        <f t="shared" ca="1" si="4"/>
        <v>38024</v>
      </c>
      <c r="L59" s="6">
        <f t="shared" ca="1" si="5"/>
        <v>4</v>
      </c>
      <c r="M59" s="7">
        <f ca="1" xml:space="preserve">
  IF(OR($N59 = 2, $N59 = 3, $N59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59" s="6">
        <f t="shared" ca="1" si="6"/>
        <v>8</v>
      </c>
      <c r="O59" s="6">
        <f t="shared" ca="1" si="7"/>
        <v>4</v>
      </c>
      <c r="P59" s="8">
        <f t="shared" ca="1" si="8"/>
        <v>44838</v>
      </c>
      <c r="Q59" s="6">
        <f ca="1">RANDBETWEEN(2,COUNTA('Recruitment source'!$A:$A))</f>
        <v>8</v>
      </c>
      <c r="R59" s="8" t="e">
        <f t="shared" ca="1" si="9"/>
        <v>#N/A</v>
      </c>
      <c r="S59" s="6" t="e">
        <f t="shared" ca="1" si="10"/>
        <v>#N/A</v>
      </c>
      <c r="T59" s="6">
        <f t="shared" ca="1" si="0"/>
        <v>3</v>
      </c>
      <c r="U59" s="1">
        <f t="shared" ca="1" si="11"/>
        <v>2080</v>
      </c>
    </row>
    <row r="60" spans="1:21" x14ac:dyDescent="0.2">
      <c r="A60" s="7" cm="1">
        <f t="array" aca="1" ref="A60" ca="1">INDEX(Companies!$A:$A,RANDBETWEEN(2,COUNTA(Companies!$A:$A)),1)</f>
        <v>2</v>
      </c>
      <c r="B60" s="5">
        <f t="shared" si="1"/>
        <v>59</v>
      </c>
      <c r="C60" s="6">
        <f t="shared" ca="1" si="2"/>
        <v>1</v>
      </c>
      <c r="D60" s="7">
        <f ca="1">IF($B60 = 1 + N("Presidente"),
    127,
    IF($B60 = 2 + N("Vice-Presidente"),
        72,
        IF($B60 = 3 + N("Secretária bilíngue"),
            13,
            RANDBETWEEN(5,COUNT(Name!$A:$A) + 1)
        )
    )
)</f>
        <v>61</v>
      </c>
      <c r="E60" s="7" t="str">
        <f ca="1" xml:space="preserve">
VLOOKUP(
  $D60,
  Name!$A:$B,
  2,
  FALSE
)
&amp; " " &amp;
IF($B60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Augusto Rossi Santana</v>
      </c>
      <c r="F60" s="7">
        <v>2</v>
      </c>
      <c r="G60" s="7" cm="1">
        <f t="array" aca="1" ref="G60" ca="1">INDEX(States!$B:$B,RANDBETWEEN(2,COUNTA(States!$A:$A)),1)</f>
        <v>6</v>
      </c>
      <c r="H60" s="7" t="str">
        <f ca="1">VLOOKUP($D60,Name!$A:$C,3,FALSE)</f>
        <v>M</v>
      </c>
      <c r="I60" s="7" cm="1">
        <f t="array" aca="1" ref="I60" ca="1">INDEX('Marital status'!$A:$A,RANDBETWEEN(2,COUNTA('Marital status'!$A:$A)),1)</f>
        <v>2</v>
      </c>
      <c r="J60" s="7">
        <f t="shared" ca="1" si="3"/>
        <v>2</v>
      </c>
      <c r="K60" s="8">
        <f t="shared" ca="1" si="4"/>
        <v>30690</v>
      </c>
      <c r="L60" s="6">
        <f t="shared" ca="1" si="5"/>
        <v>4</v>
      </c>
      <c r="M60" s="7">
        <f ca="1" xml:space="preserve">
  IF(OR($N60 = 2, $N60 = 3, $N60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60" s="6">
        <f t="shared" ca="1" si="6"/>
        <v>7</v>
      </c>
      <c r="O60" s="6" t="e">
        <f t="shared" ca="1" si="7"/>
        <v>#N/A</v>
      </c>
      <c r="P60" s="8">
        <f t="shared" ca="1" si="8"/>
        <v>43729</v>
      </c>
      <c r="Q60" s="6">
        <f ca="1">RANDBETWEEN(2,COUNTA('Recruitment source'!$A:$A))</f>
        <v>12</v>
      </c>
      <c r="R60" s="8" t="e">
        <f t="shared" ca="1" si="9"/>
        <v>#N/A</v>
      </c>
      <c r="S60" s="6" t="e">
        <f t="shared" ca="1" si="10"/>
        <v>#N/A</v>
      </c>
      <c r="T60" s="6">
        <f t="shared" ca="1" si="0"/>
        <v>5</v>
      </c>
      <c r="U60" s="1">
        <f t="shared" ca="1" si="11"/>
        <v>1085</v>
      </c>
    </row>
    <row r="61" spans="1:21" x14ac:dyDescent="0.2">
      <c r="A61" s="7" cm="1">
        <f t="array" aca="1" ref="A61" ca="1">INDEX(Companies!$A:$A,RANDBETWEEN(2,COUNTA(Companies!$A:$A)),1)</f>
        <v>2</v>
      </c>
      <c r="B61" s="5">
        <f t="shared" si="1"/>
        <v>60</v>
      </c>
      <c r="C61" s="6">
        <f t="shared" ca="1" si="2"/>
        <v>1</v>
      </c>
      <c r="D61" s="7">
        <f ca="1">IF($B61 = 1 + N("Presidente"),
    127,
    IF($B61 = 2 + N("Vice-Presidente"),
        72,
        IF($B61 = 3 + N("Secretária bilíngue"),
            13,
            RANDBETWEEN(5,COUNT(Name!$A:$A) + 1)
        )
    )
)</f>
        <v>269</v>
      </c>
      <c r="E61" s="7" t="str">
        <f ca="1" xml:space="preserve">
VLOOKUP(
  $D61,
  Name!$A:$B,
  2,
  FALSE
)
&amp; " " &amp;
IF($B61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Júlia Longo Rocha</v>
      </c>
      <c r="F61" s="7">
        <v>2</v>
      </c>
      <c r="G61" s="7" cm="1">
        <f t="array" aca="1" ref="G61" ca="1">INDEX(States!$B:$B,RANDBETWEEN(2,COUNTA(States!$A:$A)),1)</f>
        <v>18</v>
      </c>
      <c r="H61" s="7" t="str">
        <f ca="1">VLOOKUP($D61,Name!$A:$C,3,FALSE)</f>
        <v>F</v>
      </c>
      <c r="I61" s="7" cm="1">
        <f t="array" aca="1" ref="I61" ca="1">INDEX('Marital status'!$A:$A,RANDBETWEEN(2,COUNTA('Marital status'!$A:$A)),1)</f>
        <v>2</v>
      </c>
      <c r="J61" s="7">
        <f t="shared" ca="1" si="3"/>
        <v>2</v>
      </c>
      <c r="K61" s="8">
        <f t="shared" ca="1" si="4"/>
        <v>36618</v>
      </c>
      <c r="L61" s="6">
        <f t="shared" ca="1" si="5"/>
        <v>5</v>
      </c>
      <c r="M61" s="7">
        <f ca="1" xml:space="preserve">
  IF(OR($N61 = 2, $N61 = 3, $N61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61" s="6">
        <f t="shared" ca="1" si="6"/>
        <v>8</v>
      </c>
      <c r="O61" s="6">
        <f t="shared" ca="1" si="7"/>
        <v>4</v>
      </c>
      <c r="P61" s="8">
        <f t="shared" ca="1" si="8"/>
        <v>37648</v>
      </c>
      <c r="Q61" s="6">
        <f ca="1">RANDBETWEEN(2,COUNTA('Recruitment source'!$A:$A))</f>
        <v>10</v>
      </c>
      <c r="R61" s="8" t="e">
        <f t="shared" ca="1" si="9"/>
        <v>#N/A</v>
      </c>
      <c r="S61" s="6" t="e">
        <f t="shared" ca="1" si="10"/>
        <v>#N/A</v>
      </c>
      <c r="T61" s="6">
        <f t="shared" ca="1" si="0"/>
        <v>4</v>
      </c>
      <c r="U61" s="1">
        <f t="shared" ca="1" si="11"/>
        <v>2000</v>
      </c>
    </row>
    <row r="62" spans="1:21" x14ac:dyDescent="0.2">
      <c r="A62" s="7" cm="1">
        <f t="array" aca="1" ref="A62" ca="1">INDEX(Companies!$A:$A,RANDBETWEEN(2,COUNTA(Companies!$A:$A)),1)</f>
        <v>2</v>
      </c>
      <c r="B62" s="5">
        <f t="shared" si="1"/>
        <v>61</v>
      </c>
      <c r="C62" s="6">
        <f t="shared" ca="1" si="2"/>
        <v>1</v>
      </c>
      <c r="D62" s="7">
        <f ca="1">IF($B62 = 1 + N("Presidente"),
    127,
    IF($B62 = 2 + N("Vice-Presidente"),
        72,
        IF($B62 = 3 + N("Secretária bilíngue"),
            13,
            RANDBETWEEN(5,COUNT(Name!$A:$A) + 1)
        )
    )
)</f>
        <v>120</v>
      </c>
      <c r="E62" s="7" t="str">
        <f ca="1" xml:space="preserve">
VLOOKUP(
  $D62,
  Name!$A:$B,
  2,
  FALSE
)
&amp; " " &amp;
IF($B62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Eliza Dias Teixeira</v>
      </c>
      <c r="F62" s="7">
        <v>2</v>
      </c>
      <c r="G62" s="7" cm="1">
        <f t="array" aca="1" ref="G62" ca="1">INDEX(States!$B:$B,RANDBETWEEN(2,COUNTA(States!$A:$A)),1)</f>
        <v>13</v>
      </c>
      <c r="H62" s="7" t="str">
        <f ca="1">VLOOKUP($D62,Name!$A:$C,3,FALSE)</f>
        <v>F</v>
      </c>
      <c r="I62" s="7" cm="1">
        <f t="array" aca="1" ref="I62" ca="1">INDEX('Marital status'!$A:$A,RANDBETWEEN(2,COUNTA('Marital status'!$A:$A)),1)</f>
        <v>4</v>
      </c>
      <c r="J62" s="7">
        <f t="shared" ca="1" si="3"/>
        <v>2</v>
      </c>
      <c r="K62" s="8">
        <f t="shared" ca="1" si="4"/>
        <v>34556</v>
      </c>
      <c r="L62" s="6">
        <f t="shared" ca="1" si="5"/>
        <v>4</v>
      </c>
      <c r="M62" s="7">
        <f ca="1" xml:space="preserve">
  IF(OR($N62 = 2, $N62 = 3, $N62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62" s="6">
        <f t="shared" ca="1" si="6"/>
        <v>7</v>
      </c>
      <c r="O62" s="6" t="e">
        <f t="shared" ca="1" si="7"/>
        <v>#N/A</v>
      </c>
      <c r="P62" s="8">
        <f t="shared" ca="1" si="8"/>
        <v>40836</v>
      </c>
      <c r="Q62" s="6">
        <f ca="1">RANDBETWEEN(2,COUNTA('Recruitment source'!$A:$A))</f>
        <v>4</v>
      </c>
      <c r="R62" s="8" t="e">
        <f t="shared" ca="1" si="9"/>
        <v>#N/A</v>
      </c>
      <c r="S62" s="6" t="e">
        <f t="shared" ca="1" si="10"/>
        <v>#N/A</v>
      </c>
      <c r="T62" s="6">
        <f t="shared" ca="1" si="0"/>
        <v>2</v>
      </c>
      <c r="U62" s="1">
        <f t="shared" ca="1" si="11"/>
        <v>1005</v>
      </c>
    </row>
    <row r="63" spans="1:21" x14ac:dyDescent="0.2">
      <c r="A63" s="7" cm="1">
        <f t="array" aca="1" ref="A63" ca="1">INDEX(Companies!$A:$A,RANDBETWEEN(2,COUNTA(Companies!$A:$A)),1)</f>
        <v>2</v>
      </c>
      <c r="B63" s="5">
        <f t="shared" si="1"/>
        <v>62</v>
      </c>
      <c r="C63" s="6">
        <f t="shared" ca="1" si="2"/>
        <v>1</v>
      </c>
      <c r="D63" s="7">
        <f ca="1">IF($B63 = 1 + N("Presidente"),
    127,
    IF($B63 = 2 + N("Vice-Presidente"),
        72,
        IF($B63 = 3 + N("Secretária bilíngue"),
            13,
            RANDBETWEEN(5,COUNT(Name!$A:$A) + 1)
        )
    )
)</f>
        <v>278</v>
      </c>
      <c r="E63" s="7" t="str">
        <f ca="1" xml:space="preserve">
VLOOKUP(
  $D63,
  Name!$A:$B,
  2,
  FALSE
)
&amp; " " &amp;
IF($B63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Mariana Pinheiro Abranches</v>
      </c>
      <c r="F63" s="7">
        <v>2</v>
      </c>
      <c r="G63" s="7" cm="1">
        <f t="array" aca="1" ref="G63" ca="1">INDEX(States!$B:$B,RANDBETWEEN(2,COUNTA(States!$A:$A)),1)</f>
        <v>9</v>
      </c>
      <c r="H63" s="7" t="str">
        <f ca="1">VLOOKUP($D63,Name!$A:$C,3,FALSE)</f>
        <v>F</v>
      </c>
      <c r="I63" s="7" cm="1">
        <f t="array" aca="1" ref="I63" ca="1">INDEX('Marital status'!$A:$A,RANDBETWEEN(2,COUNTA('Marital status'!$A:$A)),1)</f>
        <v>3</v>
      </c>
      <c r="J63" s="7">
        <f t="shared" ca="1" si="3"/>
        <v>3</v>
      </c>
      <c r="K63" s="8">
        <f t="shared" ca="1" si="4"/>
        <v>37009</v>
      </c>
      <c r="L63" s="6">
        <f t="shared" ca="1" si="5"/>
        <v>4</v>
      </c>
      <c r="M63" s="7">
        <f ca="1" xml:space="preserve">
  IF(OR($N63 = 2, $N63 = 3, $N63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63" s="6">
        <f t="shared" ca="1" si="6"/>
        <v>8</v>
      </c>
      <c r="O63" s="6">
        <f t="shared" ca="1" si="7"/>
        <v>2</v>
      </c>
      <c r="P63" s="8">
        <f t="shared" ca="1" si="8"/>
        <v>42779</v>
      </c>
      <c r="Q63" s="6">
        <f ca="1">RANDBETWEEN(2,COUNTA('Recruitment source'!$A:$A))</f>
        <v>6</v>
      </c>
      <c r="R63" s="8" t="e">
        <f t="shared" ca="1" si="9"/>
        <v>#N/A</v>
      </c>
      <c r="S63" s="6" t="e">
        <f t="shared" ca="1" si="10"/>
        <v>#N/A</v>
      </c>
      <c r="T63" s="6">
        <f t="shared" ca="1" si="0"/>
        <v>4</v>
      </c>
      <c r="U63" s="1">
        <f t="shared" ca="1" si="11"/>
        <v>2000</v>
      </c>
    </row>
    <row r="64" spans="1:21" x14ac:dyDescent="0.2">
      <c r="A64" s="7" cm="1">
        <f t="array" aca="1" ref="A64" ca="1">INDEX(Companies!$A:$A,RANDBETWEEN(2,COUNTA(Companies!$A:$A)),1)</f>
        <v>2</v>
      </c>
      <c r="B64" s="5">
        <f t="shared" si="1"/>
        <v>63</v>
      </c>
      <c r="C64" s="6">
        <f t="shared" ca="1" si="2"/>
        <v>1</v>
      </c>
      <c r="D64" s="7">
        <f ca="1">IF($B64 = 1 + N("Presidente"),
    127,
    IF($B64 = 2 + N("Vice-Presidente"),
        72,
        IF($B64 = 3 + N("Secretária bilíngue"),
            13,
            RANDBETWEEN(5,COUNT(Name!$A:$A) + 1)
        )
    )
)</f>
        <v>219</v>
      </c>
      <c r="E64" s="7" t="str">
        <f ca="1" xml:space="preserve">
VLOOKUP(
  $D64,
  Name!$A:$B,
  2,
  FALSE
)
&amp; " " &amp;
IF($B64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Larissa Almeida Brasão</v>
      </c>
      <c r="F64" s="7">
        <v>2</v>
      </c>
      <c r="G64" s="7" cm="1">
        <f t="array" aca="1" ref="G64" ca="1">INDEX(States!$B:$B,RANDBETWEEN(2,COUNTA(States!$A:$A)),1)</f>
        <v>9</v>
      </c>
      <c r="H64" s="7" t="str">
        <f ca="1">VLOOKUP($D64,Name!$A:$C,3,FALSE)</f>
        <v>F</v>
      </c>
      <c r="I64" s="7" cm="1">
        <f t="array" aca="1" ref="I64" ca="1">INDEX('Marital status'!$A:$A,RANDBETWEEN(2,COUNTA('Marital status'!$A:$A)),1)</f>
        <v>5</v>
      </c>
      <c r="J64" s="7">
        <f t="shared" ca="1" si="3"/>
        <v>2</v>
      </c>
      <c r="K64" s="8">
        <f t="shared" ca="1" si="4"/>
        <v>29060</v>
      </c>
      <c r="L64" s="6">
        <f t="shared" ca="1" si="5"/>
        <v>4</v>
      </c>
      <c r="M64" s="7">
        <f ca="1" xml:space="preserve">
  IF(OR($N64 = 2, $N64 = 3, $N64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64" s="6">
        <f t="shared" ca="1" si="6"/>
        <v>6</v>
      </c>
      <c r="O64" s="6" t="e">
        <f t="shared" ca="1" si="7"/>
        <v>#N/A</v>
      </c>
      <c r="P64" s="8">
        <f t="shared" ca="1" si="8"/>
        <v>37759</v>
      </c>
      <c r="Q64" s="6">
        <f ca="1">RANDBETWEEN(2,COUNTA('Recruitment source'!$A:$A))</f>
        <v>3</v>
      </c>
      <c r="R64" s="8" t="e">
        <f t="shared" ca="1" si="9"/>
        <v>#N/A</v>
      </c>
      <c r="S64" s="6" t="e">
        <f t="shared" ca="1" si="10"/>
        <v>#N/A</v>
      </c>
      <c r="T64" s="6">
        <f t="shared" ca="1" si="0"/>
        <v>5</v>
      </c>
      <c r="U64" s="1">
        <f t="shared" ca="1" si="11"/>
        <v>805</v>
      </c>
    </row>
    <row r="65" spans="1:21" x14ac:dyDescent="0.2">
      <c r="A65" s="7" cm="1">
        <f t="array" aca="1" ref="A65" ca="1">INDEX(Companies!$A:$A,RANDBETWEEN(2,COUNTA(Companies!$A:$A)),1)</f>
        <v>2</v>
      </c>
      <c r="B65" s="5">
        <f t="shared" si="1"/>
        <v>64</v>
      </c>
      <c r="C65" s="6">
        <f t="shared" ca="1" si="2"/>
        <v>1</v>
      </c>
      <c r="D65" s="7">
        <f ca="1">IF($B65 = 1 + N("Presidente"),
    127,
    IF($B65 = 2 + N("Vice-Presidente"),
        72,
        IF($B65 = 3 + N("Secretária bilíngue"),
            13,
            RANDBETWEEN(5,COUNT(Name!$A:$A) + 1)
        )
    )
)</f>
        <v>80</v>
      </c>
      <c r="E65" s="7" t="str">
        <f ca="1" xml:space="preserve">
VLOOKUP(
  $D65,
  Name!$A:$B,
  2,
  FALSE
)
&amp; " " &amp;
IF($B65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Byatriz Santacruz Testa</v>
      </c>
      <c r="F65" s="7">
        <v>2</v>
      </c>
      <c r="G65" s="7" cm="1">
        <f t="array" aca="1" ref="G65" ca="1">INDEX(States!$B:$B,RANDBETWEEN(2,COUNTA(States!$A:$A)),1)</f>
        <v>16</v>
      </c>
      <c r="H65" s="7" t="str">
        <f ca="1">VLOOKUP($D65,Name!$A:$C,3,FALSE)</f>
        <v>F</v>
      </c>
      <c r="I65" s="7" cm="1">
        <f t="array" aca="1" ref="I65" ca="1">INDEX('Marital status'!$A:$A,RANDBETWEEN(2,COUNTA('Marital status'!$A:$A)),1)</f>
        <v>5</v>
      </c>
      <c r="J65" s="7">
        <f t="shared" ca="1" si="3"/>
        <v>2</v>
      </c>
      <c r="K65" s="8">
        <f t="shared" ca="1" si="4"/>
        <v>32754</v>
      </c>
      <c r="L65" s="6">
        <f t="shared" ca="1" si="5"/>
        <v>4</v>
      </c>
      <c r="M65" s="7">
        <f ca="1" xml:space="preserve">
  IF(OR($N65 = 2, $N65 = 3, $N65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65" s="6">
        <f t="shared" ca="1" si="6"/>
        <v>8</v>
      </c>
      <c r="O65" s="6">
        <f t="shared" ca="1" si="7"/>
        <v>3</v>
      </c>
      <c r="P65" s="8">
        <f t="shared" ca="1" si="8"/>
        <v>40328</v>
      </c>
      <c r="Q65" s="6">
        <f ca="1">RANDBETWEEN(2,COUNTA('Recruitment source'!$A:$A))</f>
        <v>12</v>
      </c>
      <c r="R65" s="8" t="e">
        <f t="shared" ca="1" si="9"/>
        <v>#N/A</v>
      </c>
      <c r="S65" s="6" t="e">
        <f t="shared" ca="1" si="10"/>
        <v>#N/A</v>
      </c>
      <c r="T65" s="6">
        <f t="shared" ca="1" si="0"/>
        <v>3</v>
      </c>
      <c r="U65" s="1">
        <f t="shared" ca="1" si="11"/>
        <v>2080</v>
      </c>
    </row>
    <row r="66" spans="1:21" x14ac:dyDescent="0.2">
      <c r="A66" s="7" cm="1">
        <f t="array" aca="1" ref="A66" ca="1">INDEX(Companies!$A:$A,RANDBETWEEN(2,COUNTA(Companies!$A:$A)),1)</f>
        <v>2</v>
      </c>
      <c r="B66" s="5">
        <f t="shared" si="1"/>
        <v>65</v>
      </c>
      <c r="C66" s="6">
        <f t="shared" ca="1" si="2"/>
        <v>1</v>
      </c>
      <c r="D66" s="7">
        <f ca="1">IF($B66 = 1 + N("Presidente"),
    127,
    IF($B66 = 2 + N("Vice-Presidente"),
        72,
        IF($B66 = 3 + N("Secretária bilíngue"),
            13,
            RANDBETWEEN(5,COUNT(Name!$A:$A) + 1)
        )
    )
)</f>
        <v>84</v>
      </c>
      <c r="E66" s="7" t="str">
        <f ca="1" xml:space="preserve">
VLOOKUP(
  $D66,
  Name!$A:$B,
  2,
  FALSE
)
&amp; " " &amp;
IF($B66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Carlos Rocha Negreiros</v>
      </c>
      <c r="F66" s="7">
        <v>2</v>
      </c>
      <c r="G66" s="7" cm="1">
        <f t="array" aca="1" ref="G66" ca="1">INDEX(States!$B:$B,RANDBETWEEN(2,COUNTA(States!$A:$A)),1)</f>
        <v>3</v>
      </c>
      <c r="H66" s="7" t="str">
        <f ca="1">VLOOKUP($D66,Name!$A:$C,3,FALSE)</f>
        <v>M</v>
      </c>
      <c r="I66" s="7" cm="1">
        <f t="array" aca="1" ref="I66" ca="1">INDEX('Marital status'!$A:$A,RANDBETWEEN(2,COUNTA('Marital status'!$A:$A)),1)</f>
        <v>5</v>
      </c>
      <c r="J66" s="7">
        <f t="shared" ca="1" si="3"/>
        <v>4</v>
      </c>
      <c r="K66" s="8">
        <f t="shared" ca="1" si="4"/>
        <v>34889</v>
      </c>
      <c r="L66" s="6">
        <f t="shared" ca="1" si="5"/>
        <v>4</v>
      </c>
      <c r="M66" s="7">
        <f ca="1" xml:space="preserve">
  IF(OR($N66 = 2, $N66 = 3, $N66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66" s="6">
        <f t="shared" ca="1" si="6"/>
        <v>7</v>
      </c>
      <c r="O66" s="6" t="e">
        <f t="shared" ca="1" si="7"/>
        <v>#N/A</v>
      </c>
      <c r="P66" s="8">
        <f t="shared" ca="1" si="8"/>
        <v>40800</v>
      </c>
      <c r="Q66" s="6">
        <f ca="1">RANDBETWEEN(2,COUNTA('Recruitment source'!$A:$A))</f>
        <v>9</v>
      </c>
      <c r="R66" s="8" t="e">
        <f t="shared" ca="1" si="9"/>
        <v>#N/A</v>
      </c>
      <c r="S66" s="6" t="e">
        <f t="shared" ca="1" si="10"/>
        <v>#N/A</v>
      </c>
      <c r="T66" s="6">
        <f t="shared" ref="T66:T129" ca="1" si="12" xml:space="preserve">
IF(
 ISNA($R66),
 IF(
   $N66 = 2,
   5,
   IF(
     OR($N66=3,$N66=4,$N66=5),
     RANDBETWEEN(4,5),
     IF(
       OR($N66=11,$N66=12),
       RANDBETWEEN(3,5),
       RANDBETWEEN(2,5)
     )
   )
 ),
 RANDBETWEEN(1,3)
)</f>
        <v>5</v>
      </c>
      <c r="U66" s="1">
        <f t="shared" ca="1" si="11"/>
        <v>1005</v>
      </c>
    </row>
    <row r="67" spans="1:21" x14ac:dyDescent="0.2">
      <c r="A67" s="7" cm="1">
        <f t="array" aca="1" ref="A67" ca="1">INDEX(Companies!$A:$A,RANDBETWEEN(2,COUNTA(Companies!$A:$A)),1)</f>
        <v>2</v>
      </c>
      <c r="B67" s="5">
        <f t="shared" ref="B67:B130" si="13">ROW() - 1</f>
        <v>66</v>
      </c>
      <c r="C67" s="6">
        <f t="shared" ref="C67:C130" ca="1" si="14">IF(ISNA($R67),1,0)</f>
        <v>1</v>
      </c>
      <c r="D67" s="7">
        <f ca="1">IF($B67 = 1 + N("Presidente"),
    127,
    IF($B67 = 2 + N("Vice-Presidente"),
        72,
        IF($B67 = 3 + N("Secretária bilíngue"),
            13,
            RANDBETWEEN(5,COUNT(Name!$A:$A) + 1)
        )
    )
)</f>
        <v>31</v>
      </c>
      <c r="E67" s="7" t="str">
        <f ca="1" xml:space="preserve">
VLOOKUP(
  $D67,
  Name!$A:$B,
  2,
  FALSE
)
&amp; " " &amp;
IF($B67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Júlia Morais Junqueira</v>
      </c>
      <c r="F67" s="7">
        <v>2</v>
      </c>
      <c r="G67" s="7" cm="1">
        <f t="array" aca="1" ref="G67" ca="1">INDEX(States!$B:$B,RANDBETWEEN(2,COUNTA(States!$A:$A)),1)</f>
        <v>14</v>
      </c>
      <c r="H67" s="7" t="str">
        <f ca="1">VLOOKUP($D67,Name!$A:$C,3,FALSE)</f>
        <v>F</v>
      </c>
      <c r="I67" s="7" cm="1">
        <f t="array" aca="1" ref="I67" ca="1">INDEX('Marital status'!$A:$A,RANDBETWEEN(2,COUNTA('Marital status'!$A:$A)),1)</f>
        <v>4</v>
      </c>
      <c r="J67" s="7">
        <f t="shared" ref="J67:J130" ca="1" si="15" xml:space="preserve">
IF(AND($N67 &gt;= 2, $N67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67" s="8">
        <f t="shared" ref="K67:K130" ca="1" si="16" xml:space="preserve">
IF($N67 = 5 + N("CEO"),
    TODAY() - 16340,
    IF($N67 = 8 + N("Secretary"),
        RANDBETWEEN(TODAY() - 12418.5, TODAY()-6574.5),
        IF(OR($N67 = 7, $N67 = 14),
            RANDBETWEEN(TODAY() - 16071, TODAY() - 8766),
            IF(OR($N67 = 13, $N67 = 12, $N67 = 11),
                RANDBETWEEN(TODAY() - 27393.75, TODAY() - 12783.75),
                RANDBETWEEN(TODAY() - 27393.75, TODAY()-10957.5)
            )
        )
    )
)</f>
        <v>33364</v>
      </c>
      <c r="L67" s="6">
        <f t="shared" ref="L67:L130" ca="1" si="17" xml:space="preserve">
IF(OR($N67 = 2, $N67 = 3) + N("Se for presidente ou vice-presidente"),
    7 + N("Doutor"),
    IF($N67 = 4 + N("Se for diretor"),
        RANDBETWEEN(5,7) + N("Graduate school or Master’s degree or Doctorate"),
        IF($N67 = 11 + N("Se for gerente"),
            RANDBETWEEN(4,6) + N("Undergraduate degree or Graduate school or Master’s degree"),
            IF(AND($N67 &gt;= 8, $N67 &lt;= 10) + N("If coordinator or specialist or analyst"),
                RANDBETWEEN(4,5),
                4
            )
        )
    )
)</f>
        <v>5</v>
      </c>
      <c r="M67" s="7">
        <f ca="1" xml:space="preserve">
  IF(OR($N67 = 2, $N67 = 3, $N67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67" s="6">
        <f t="shared" ref="N67:N130" ca="1" si="18" xml:space="preserve">
IF($B67 = 1 + N("Se matrícula for 1"),
  2 + N("Presidente"),
  IF($B67 = 2 + N("Se matrícula for 2"),
    3 + N("Vice-presidente"),
    IF($B67 = 3 + N("Se matrícula for 3"),
      5 + N("Secretária bilíngue"),
      IF(AND($B67 &gt;= 4, $B67 &lt;=14),
        4 + N("Diretor"),
        IF(AND($B67 &gt;= 15, $B67 &lt;= 25),
          11 + N("Manager"),
          IF(AND($B67 &gt;= 26, $B67 &lt;= 36),
            10 + N("Coordinador"),
            IF(AND($B67 &gt;= 37, $B67 &lt;= 47),
              9 + N("Especialista"),
                IF(MOD($B67,2) = 0,
                  8 + N("Analista"),
                  RANDBETWEEN(6,7) + N("Estagiário ou Trainee")
                )
            )
          )
        )
      )
    )
  )
)</f>
        <v>8</v>
      </c>
      <c r="O67" s="6">
        <f t="shared" ref="O67:O130" ca="1" si="19" xml:space="preserve">
IF($N67 =8 + N("Analyst"),
    RANDBETWEEN(2, 4) + N("Jr, Pleno, Sr"),
    NA()
)</f>
        <v>4</v>
      </c>
      <c r="P67" s="8">
        <f t="shared" ref="P67:P130" ca="1" si="20" xml:space="preserve">
IF(
   $N67=2 + N("Presidente"),
   36161,
   IF(
       OR(
         $N67=3 + N("Vice-Presidente"),
         $N67=4 + N("Diretor"),
         $N67=5 + N("Secretária bilíngue")
       ),
       RANDBETWEEN(36161,36411),
       IF(
         ((TODAY() - $K67) / 365) &lt; 19,
         TODAY(),
         RANDBETWEEN(36161,TODAY())
       )
   )
)</f>
        <v>44183</v>
      </c>
      <c r="Q67" s="6">
        <f ca="1">RANDBETWEEN(2,COUNTA('Recruitment source'!$A:$A))</f>
        <v>7</v>
      </c>
      <c r="R67" s="8" t="e">
        <f t="shared" ref="R67:R130" ca="1" si="21" xml:space="preserve">
IF(MOD(
     ROW(),111
   )=0,
   RANDBETWEEN($P67 + 1,TODAY() - 1),NA()
)</f>
        <v>#N/A</v>
      </c>
      <c r="S67" s="6" t="e">
        <f t="shared" ref="S67:S130" ca="1" si="22" xml:space="preserve">
IF(
  ISNA(R67),
  NA(),
  RANDBETWEEN(2,IF($H67="F",10,9))
)</f>
        <v>#N/A</v>
      </c>
      <c r="T67" s="6">
        <f t="shared" ca="1" si="12"/>
        <v>4</v>
      </c>
      <c r="U67" s="1">
        <f t="shared" ref="U67:U130" ca="1" si="23" xml:space="preserve">
IF($N67 = 2 + N("Presidente"),
    25000,
    IF($N67 = 3 + N("Vice-presidente"),
        23000,
        IF(OR($N67 = 5, $N67= 10, $N67 = 9) + N("Secretária bilíngue ou coordenador ou especialista"),
            8000,
            IF($N67 = 4 + N("Diretor"),
                15000,
                IF($N67 = 11 + N("Gerente"),
                    12000,
                    IF($N67 = 6 + N("Estagiário"),
                        805,
                        IF($N67 = 7 + N("Trainee"),
                            1005,
                            IF($N67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IF($L67 = 7,
  100,
  IF($L67 = 8,
    200,
    IF($L67 = 9,
      300,
      IF($L67 = 10,
        400,
        0
      )
    )
  )
)
+
N("Adicional no salário por área")
+
IF($M67 = 14 + N("Tecnologia da Informação"),
  120,
  IF($M67 = 16 + N("Vendas"),
    110,
    IF($M67 = 15 + N("Jurídico"),
      100,
      IF(OR($M67 = 8, $M67 = 9, $M67 = 11) + N("Recursos humanos ou comercial ou comunicação e marketing"),
        80,
        0
      )
    )
  )
)
+
N("Adicionando pegadinha")
+
IF(AND($M67 = 13, $N67 = 8) + N("Se for de vendas e analista"),
  IF($J67 = 2,
    50,
    0
  )
  +
  IF($H67 = "M",
    50,
    0
  ),
  0
)</f>
        <v>2000</v>
      </c>
    </row>
    <row r="68" spans="1:21" x14ac:dyDescent="0.2">
      <c r="A68" s="7" cm="1">
        <f t="array" aca="1" ref="A68" ca="1">INDEX(Companies!$A:$A,RANDBETWEEN(2,COUNTA(Companies!$A:$A)),1)</f>
        <v>2</v>
      </c>
      <c r="B68" s="5">
        <f t="shared" si="13"/>
        <v>67</v>
      </c>
      <c r="C68" s="6">
        <f t="shared" ca="1" si="14"/>
        <v>1</v>
      </c>
      <c r="D68" s="7">
        <f ca="1">IF($B68 = 1 + N("Presidente"),
    127,
    IF($B68 = 2 + N("Vice-Presidente"),
        72,
        IF($B68 = 3 + N("Secretária bilíngue"),
            13,
            RANDBETWEEN(5,COUNT(Name!$A:$A) + 1)
        )
    )
)</f>
        <v>168</v>
      </c>
      <c r="E68" s="7" t="str">
        <f ca="1" xml:space="preserve">
VLOOKUP(
  $D68,
  Name!$A:$B,
  2,
  FALSE
)
&amp; " " &amp;
IF($B68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Henry Madureira Galli</v>
      </c>
      <c r="F68" s="7">
        <v>2</v>
      </c>
      <c r="G68" s="7" cm="1">
        <f t="array" aca="1" ref="G68" ca="1">INDEX(States!$B:$B,RANDBETWEEN(2,COUNTA(States!$A:$A)),1)</f>
        <v>11</v>
      </c>
      <c r="H68" s="7" t="str">
        <f ca="1">VLOOKUP($D68,Name!$A:$C,3,FALSE)</f>
        <v>M</v>
      </c>
      <c r="I68" s="7" cm="1">
        <f t="array" aca="1" ref="I68" ca="1">INDEX('Marital status'!$A:$A,RANDBETWEEN(2,COUNTA('Marital status'!$A:$A)),1)</f>
        <v>2</v>
      </c>
      <c r="J68" s="7">
        <f t="shared" ca="1" si="15"/>
        <v>2</v>
      </c>
      <c r="K68" s="8">
        <f t="shared" ca="1" si="16"/>
        <v>32218</v>
      </c>
      <c r="L68" s="6">
        <f t="shared" ca="1" si="17"/>
        <v>4</v>
      </c>
      <c r="M68" s="7">
        <f ca="1" xml:space="preserve">
  IF(OR($N68 = 2, $N68 = 3, $N68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68" s="6">
        <f t="shared" ca="1" si="18"/>
        <v>6</v>
      </c>
      <c r="O68" s="6" t="e">
        <f t="shared" ca="1" si="19"/>
        <v>#N/A</v>
      </c>
      <c r="P68" s="8">
        <f t="shared" ca="1" si="20"/>
        <v>36618</v>
      </c>
      <c r="Q68" s="6">
        <f ca="1">RANDBETWEEN(2,COUNTA('Recruitment source'!$A:$A))</f>
        <v>6</v>
      </c>
      <c r="R68" s="8" t="e">
        <f t="shared" ca="1" si="21"/>
        <v>#N/A</v>
      </c>
      <c r="S68" s="6" t="e">
        <f t="shared" ca="1" si="22"/>
        <v>#N/A</v>
      </c>
      <c r="T68" s="6">
        <f t="shared" ca="1" si="12"/>
        <v>4</v>
      </c>
      <c r="U68" s="1">
        <f t="shared" ca="1" si="23"/>
        <v>885</v>
      </c>
    </row>
    <row r="69" spans="1:21" x14ac:dyDescent="0.2">
      <c r="A69" s="7" cm="1">
        <f t="array" aca="1" ref="A69" ca="1">INDEX(Companies!$A:$A,RANDBETWEEN(2,COUNTA(Companies!$A:$A)),1)</f>
        <v>2</v>
      </c>
      <c r="B69" s="5">
        <f t="shared" si="13"/>
        <v>68</v>
      </c>
      <c r="C69" s="6">
        <f t="shared" ca="1" si="14"/>
        <v>1</v>
      </c>
      <c r="D69" s="7">
        <f ca="1">IF($B69 = 1 + N("Presidente"),
    127,
    IF($B69 = 2 + N("Vice-Presidente"),
        72,
        IF($B69 = 3 + N("Secretária bilíngue"),
            13,
            RANDBETWEEN(5,COUNT(Name!$A:$A) + 1)
        )
    )
)</f>
        <v>146</v>
      </c>
      <c r="E69" s="7" t="str">
        <f ca="1" xml:space="preserve">
VLOOKUP(
  $D69,
  Name!$A:$B,
  2,
  FALSE
)
&amp; " " &amp;
IF($B69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Francisco Soares Ferrara</v>
      </c>
      <c r="F69" s="7">
        <v>2</v>
      </c>
      <c r="G69" s="7" cm="1">
        <f t="array" aca="1" ref="G69" ca="1">INDEX(States!$B:$B,RANDBETWEEN(2,COUNTA(States!$A:$A)),1)</f>
        <v>10</v>
      </c>
      <c r="H69" s="7" t="str">
        <f ca="1">VLOOKUP($D69,Name!$A:$C,3,FALSE)</f>
        <v>M</v>
      </c>
      <c r="I69" s="7" cm="1">
        <f t="array" aca="1" ref="I69" ca="1">INDEX('Marital status'!$A:$A,RANDBETWEEN(2,COUNTA('Marital status'!$A:$A)),1)</f>
        <v>5</v>
      </c>
      <c r="J69" s="7">
        <f t="shared" ca="1" si="15"/>
        <v>2</v>
      </c>
      <c r="K69" s="8">
        <f t="shared" ca="1" si="16"/>
        <v>33483</v>
      </c>
      <c r="L69" s="6">
        <f t="shared" ca="1" si="17"/>
        <v>4</v>
      </c>
      <c r="M69" s="7">
        <f ca="1" xml:space="preserve">
  IF(OR($N69 = 2, $N69 = 3, $N69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69" s="6">
        <f t="shared" ca="1" si="18"/>
        <v>8</v>
      </c>
      <c r="O69" s="6">
        <f t="shared" ca="1" si="19"/>
        <v>2</v>
      </c>
      <c r="P69" s="8">
        <f t="shared" ca="1" si="20"/>
        <v>40990</v>
      </c>
      <c r="Q69" s="6">
        <f ca="1">RANDBETWEEN(2,COUNTA('Recruitment source'!$A:$A))</f>
        <v>7</v>
      </c>
      <c r="R69" s="8" t="e">
        <f t="shared" ca="1" si="21"/>
        <v>#N/A</v>
      </c>
      <c r="S69" s="6" t="e">
        <f t="shared" ca="1" si="22"/>
        <v>#N/A</v>
      </c>
      <c r="T69" s="6">
        <f t="shared" ca="1" si="12"/>
        <v>5</v>
      </c>
      <c r="U69" s="1">
        <f t="shared" ca="1" si="23"/>
        <v>2080</v>
      </c>
    </row>
    <row r="70" spans="1:21" x14ac:dyDescent="0.2">
      <c r="A70" s="7" cm="1">
        <f t="array" aca="1" ref="A70" ca="1">INDEX(Companies!$A:$A,RANDBETWEEN(2,COUNTA(Companies!$A:$A)),1)</f>
        <v>2</v>
      </c>
      <c r="B70" s="5">
        <f t="shared" si="13"/>
        <v>69</v>
      </c>
      <c r="C70" s="6">
        <f t="shared" ca="1" si="14"/>
        <v>1</v>
      </c>
      <c r="D70" s="7">
        <f ca="1">IF($B70 = 1 + N("Presidente"),
    127,
    IF($B70 = 2 + N("Vice-Presidente"),
        72,
        IF($B70 = 3 + N("Secretária bilíngue"),
            13,
            RANDBETWEEN(5,COUNT(Name!$A:$A) + 1)
        )
    )
)</f>
        <v>31</v>
      </c>
      <c r="E70" s="7" t="str">
        <f ca="1" xml:space="preserve">
VLOOKUP(
  $D70,
  Name!$A:$B,
  2,
  FALSE
)
&amp; " " &amp;
IF($B70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Júlia Ildelfonso Gouveia</v>
      </c>
      <c r="F70" s="7">
        <v>2</v>
      </c>
      <c r="G70" s="7" cm="1">
        <f t="array" aca="1" ref="G70" ca="1">INDEX(States!$B:$B,RANDBETWEEN(2,COUNTA(States!$A:$A)),1)</f>
        <v>19</v>
      </c>
      <c r="H70" s="7" t="str">
        <f ca="1">VLOOKUP($D70,Name!$A:$C,3,FALSE)</f>
        <v>F</v>
      </c>
      <c r="I70" s="7" cm="1">
        <f t="array" aca="1" ref="I70" ca="1">INDEX('Marital status'!$A:$A,RANDBETWEEN(2,COUNTA('Marital status'!$A:$A)),1)</f>
        <v>6</v>
      </c>
      <c r="J70" s="7">
        <f t="shared" ca="1" si="15"/>
        <v>3</v>
      </c>
      <c r="K70" s="8">
        <f t="shared" ca="1" si="16"/>
        <v>31641</v>
      </c>
      <c r="L70" s="6">
        <f t="shared" ca="1" si="17"/>
        <v>4</v>
      </c>
      <c r="M70" s="7">
        <f ca="1" xml:space="preserve">
  IF(OR($N70 = 2, $N70 = 3, $N70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70" s="6">
        <f t="shared" ca="1" si="18"/>
        <v>6</v>
      </c>
      <c r="O70" s="6" t="e">
        <f t="shared" ca="1" si="19"/>
        <v>#N/A</v>
      </c>
      <c r="P70" s="8">
        <f t="shared" ca="1" si="20"/>
        <v>36672</v>
      </c>
      <c r="Q70" s="6">
        <f ca="1">RANDBETWEEN(2,COUNTA('Recruitment source'!$A:$A))</f>
        <v>4</v>
      </c>
      <c r="R70" s="8" t="e">
        <f t="shared" ca="1" si="21"/>
        <v>#N/A</v>
      </c>
      <c r="S70" s="6" t="e">
        <f t="shared" ca="1" si="22"/>
        <v>#N/A</v>
      </c>
      <c r="T70" s="6">
        <f t="shared" ca="1" si="12"/>
        <v>5</v>
      </c>
      <c r="U70" s="1">
        <f t="shared" ca="1" si="23"/>
        <v>885</v>
      </c>
    </row>
    <row r="71" spans="1:21" x14ac:dyDescent="0.2">
      <c r="A71" s="7" cm="1">
        <f t="array" aca="1" ref="A71" ca="1">INDEX(Companies!$A:$A,RANDBETWEEN(2,COUNTA(Companies!$A:$A)),1)</f>
        <v>2</v>
      </c>
      <c r="B71" s="5">
        <f t="shared" si="13"/>
        <v>70</v>
      </c>
      <c r="C71" s="6">
        <f t="shared" ca="1" si="14"/>
        <v>1</v>
      </c>
      <c r="D71" s="7">
        <f ca="1">IF($B71 = 1 + N("Presidente"),
    127,
    IF($B71 = 2 + N("Vice-Presidente"),
        72,
        IF($B71 = 3 + N("Secretária bilíngue"),
            13,
            RANDBETWEEN(5,COUNT(Name!$A:$A) + 1)
        )
    )
)</f>
        <v>57</v>
      </c>
      <c r="E71" s="7" t="str">
        <f ca="1" xml:space="preserve">
VLOOKUP(
  $D71,
  Name!$A:$B,
  2,
  FALSE
)
&amp; " " &amp;
IF($B71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Henrique Galli Ferrara</v>
      </c>
      <c r="F71" s="7">
        <v>2</v>
      </c>
      <c r="G71" s="7" cm="1">
        <f t="array" aca="1" ref="G71" ca="1">INDEX(States!$B:$B,RANDBETWEEN(2,COUNTA(States!$A:$A)),1)</f>
        <v>13</v>
      </c>
      <c r="H71" s="7" t="str">
        <f ca="1">VLOOKUP($D71,Name!$A:$C,3,FALSE)</f>
        <v>M</v>
      </c>
      <c r="I71" s="7" cm="1">
        <f t="array" aca="1" ref="I71" ca="1">INDEX('Marital status'!$A:$A,RANDBETWEEN(2,COUNTA('Marital status'!$A:$A)),1)</f>
        <v>2</v>
      </c>
      <c r="J71" s="7">
        <f t="shared" ca="1" si="15"/>
        <v>2</v>
      </c>
      <c r="K71" s="8">
        <f t="shared" ca="1" si="16"/>
        <v>35398</v>
      </c>
      <c r="L71" s="6">
        <f t="shared" ca="1" si="17"/>
        <v>5</v>
      </c>
      <c r="M71" s="7">
        <f ca="1" xml:space="preserve">
  IF(OR($N71 = 2, $N71 = 3, $N71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71" s="6">
        <f t="shared" ca="1" si="18"/>
        <v>8</v>
      </c>
      <c r="O71" s="6">
        <f t="shared" ca="1" si="19"/>
        <v>4</v>
      </c>
      <c r="P71" s="8">
        <f t="shared" ca="1" si="20"/>
        <v>41970</v>
      </c>
      <c r="Q71" s="6">
        <f ca="1">RANDBETWEEN(2,COUNTA('Recruitment source'!$A:$A))</f>
        <v>7</v>
      </c>
      <c r="R71" s="8" t="e">
        <f t="shared" ca="1" si="21"/>
        <v>#N/A</v>
      </c>
      <c r="S71" s="6" t="e">
        <f t="shared" ca="1" si="22"/>
        <v>#N/A</v>
      </c>
      <c r="T71" s="6">
        <f t="shared" ca="1" si="12"/>
        <v>4</v>
      </c>
      <c r="U71" s="1">
        <f t="shared" ca="1" si="23"/>
        <v>2000</v>
      </c>
    </row>
    <row r="72" spans="1:21" x14ac:dyDescent="0.2">
      <c r="A72" s="7" cm="1">
        <f t="array" aca="1" ref="A72" ca="1">INDEX(Companies!$A:$A,RANDBETWEEN(2,COUNTA(Companies!$A:$A)),1)</f>
        <v>2</v>
      </c>
      <c r="B72" s="5">
        <f t="shared" si="13"/>
        <v>71</v>
      </c>
      <c r="C72" s="6">
        <f t="shared" ca="1" si="14"/>
        <v>1</v>
      </c>
      <c r="D72" s="7">
        <f ca="1">IF($B72 = 1 + N("Presidente"),
    127,
    IF($B72 = 2 + N("Vice-Presidente"),
        72,
        IF($B72 = 3 + N("Secretária bilíngue"),
            13,
            RANDBETWEEN(5,COUNT(Name!$A:$A) + 1)
        )
    )
)</f>
        <v>226</v>
      </c>
      <c r="E72" s="7" t="str">
        <f ca="1" xml:space="preserve">
VLOOKUP(
  $D72,
  Name!$A:$B,
  2,
  FALSE
)
&amp; " " &amp;
IF($B72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Levy Peçanha Alves</v>
      </c>
      <c r="F72" s="7">
        <v>2</v>
      </c>
      <c r="G72" s="7" cm="1">
        <f t="array" aca="1" ref="G72" ca="1">INDEX(States!$B:$B,RANDBETWEEN(2,COUNTA(States!$A:$A)),1)</f>
        <v>8</v>
      </c>
      <c r="H72" s="7" t="str">
        <f ca="1">VLOOKUP($D72,Name!$A:$C,3,FALSE)</f>
        <v>M</v>
      </c>
      <c r="I72" s="7" cm="1">
        <f t="array" aca="1" ref="I72" ca="1">INDEX('Marital status'!$A:$A,RANDBETWEEN(2,COUNTA('Marital status'!$A:$A)),1)</f>
        <v>4</v>
      </c>
      <c r="J72" s="7">
        <f t="shared" ca="1" si="15"/>
        <v>2</v>
      </c>
      <c r="K72" s="8">
        <f t="shared" ca="1" si="16"/>
        <v>34308</v>
      </c>
      <c r="L72" s="6">
        <f t="shared" ca="1" si="17"/>
        <v>4</v>
      </c>
      <c r="M72" s="7">
        <f ca="1" xml:space="preserve">
  IF(OR($N72 = 2, $N72 = 3, $N72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72" s="6">
        <f t="shared" ca="1" si="18"/>
        <v>7</v>
      </c>
      <c r="O72" s="6" t="e">
        <f t="shared" ca="1" si="19"/>
        <v>#N/A</v>
      </c>
      <c r="P72" s="8">
        <f t="shared" ca="1" si="20"/>
        <v>43484</v>
      </c>
      <c r="Q72" s="6">
        <f ca="1">RANDBETWEEN(2,COUNTA('Recruitment source'!$A:$A))</f>
        <v>11</v>
      </c>
      <c r="R72" s="8" t="e">
        <f t="shared" ca="1" si="21"/>
        <v>#N/A</v>
      </c>
      <c r="S72" s="6" t="e">
        <f t="shared" ca="1" si="22"/>
        <v>#N/A</v>
      </c>
      <c r="T72" s="6">
        <f t="shared" ca="1" si="12"/>
        <v>3</v>
      </c>
      <c r="U72" s="1">
        <f t="shared" ca="1" si="23"/>
        <v>1085</v>
      </c>
    </row>
    <row r="73" spans="1:21" x14ac:dyDescent="0.2">
      <c r="A73" s="7" cm="1">
        <f t="array" aca="1" ref="A73" ca="1">INDEX(Companies!$A:$A,RANDBETWEEN(2,COUNTA(Companies!$A:$A)),1)</f>
        <v>2</v>
      </c>
      <c r="B73" s="5">
        <f t="shared" si="13"/>
        <v>72</v>
      </c>
      <c r="C73" s="6">
        <f t="shared" ca="1" si="14"/>
        <v>1</v>
      </c>
      <c r="D73" s="7">
        <f ca="1">IF($B73 = 1 + N("Presidente"),
    127,
    IF($B73 = 2 + N("Vice-Presidente"),
        72,
        IF($B73 = 3 + N("Secretária bilíngue"),
            13,
            RANDBETWEEN(5,COUNT(Name!$A:$A) + 1)
        )
    )
)</f>
        <v>204</v>
      </c>
      <c r="E73" s="7" t="str">
        <f ca="1" xml:space="preserve">
VLOOKUP(
  $D73,
  Name!$A:$B,
  2,
  FALSE
)
&amp; " " &amp;
IF($B73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Júlio Monti Martins</v>
      </c>
      <c r="F73" s="7">
        <v>2</v>
      </c>
      <c r="G73" s="7" cm="1">
        <f t="array" aca="1" ref="G73" ca="1">INDEX(States!$B:$B,RANDBETWEEN(2,COUNTA(States!$A:$A)),1)</f>
        <v>18</v>
      </c>
      <c r="H73" s="7" t="str">
        <f ca="1">VLOOKUP($D73,Name!$A:$C,3,FALSE)</f>
        <v>M</v>
      </c>
      <c r="I73" s="7" cm="1">
        <f t="array" aca="1" ref="I73" ca="1">INDEX('Marital status'!$A:$A,RANDBETWEEN(2,COUNTA('Marital status'!$A:$A)),1)</f>
        <v>2</v>
      </c>
      <c r="J73" s="7">
        <f t="shared" ca="1" si="15"/>
        <v>2</v>
      </c>
      <c r="K73" s="8">
        <f t="shared" ca="1" si="16"/>
        <v>37754</v>
      </c>
      <c r="L73" s="6">
        <f t="shared" ca="1" si="17"/>
        <v>5</v>
      </c>
      <c r="M73" s="7">
        <f ca="1" xml:space="preserve">
  IF(OR($N73 = 2, $N73 = 3, $N73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73" s="6">
        <f t="shared" ca="1" si="18"/>
        <v>8</v>
      </c>
      <c r="O73" s="6">
        <f t="shared" ca="1" si="19"/>
        <v>4</v>
      </c>
      <c r="P73" s="8">
        <f t="shared" ca="1" si="20"/>
        <v>39579</v>
      </c>
      <c r="Q73" s="6">
        <f ca="1">RANDBETWEEN(2,COUNTA('Recruitment source'!$A:$A))</f>
        <v>2</v>
      </c>
      <c r="R73" s="8" t="e">
        <f t="shared" ca="1" si="21"/>
        <v>#N/A</v>
      </c>
      <c r="S73" s="6" t="e">
        <f t="shared" ca="1" si="22"/>
        <v>#N/A</v>
      </c>
      <c r="T73" s="6">
        <f t="shared" ca="1" si="12"/>
        <v>5</v>
      </c>
      <c r="U73" s="1">
        <f t="shared" ca="1" si="23"/>
        <v>2000</v>
      </c>
    </row>
    <row r="74" spans="1:21" x14ac:dyDescent="0.2">
      <c r="A74" s="7" cm="1">
        <f t="array" aca="1" ref="A74" ca="1">INDEX(Companies!$A:$A,RANDBETWEEN(2,COUNTA(Companies!$A:$A)),1)</f>
        <v>2</v>
      </c>
      <c r="B74" s="5">
        <f t="shared" si="13"/>
        <v>73</v>
      </c>
      <c r="C74" s="6">
        <f t="shared" ca="1" si="14"/>
        <v>1</v>
      </c>
      <c r="D74" s="7">
        <f ca="1">IF($B74 = 1 + N("Presidente"),
    127,
    IF($B74 = 2 + N("Vice-Presidente"),
        72,
        IF($B74 = 3 + N("Secretária bilíngue"),
            13,
            RANDBETWEEN(5,COUNT(Name!$A:$A) + 1)
        )
    )
)</f>
        <v>77</v>
      </c>
      <c r="E74" s="7" t="str">
        <f ca="1" xml:space="preserve">
VLOOKUP(
  $D74,
  Name!$A:$B,
  2,
  FALSE
)
&amp; " " &amp;
IF($B74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Bruno Almeida Sacramento</v>
      </c>
      <c r="F74" s="7">
        <v>2</v>
      </c>
      <c r="G74" s="7" cm="1">
        <f t="array" aca="1" ref="G74" ca="1">INDEX(States!$B:$B,RANDBETWEEN(2,COUNTA(States!$A:$A)),1)</f>
        <v>9</v>
      </c>
      <c r="H74" s="7" t="str">
        <f ca="1">VLOOKUP($D74,Name!$A:$C,3,FALSE)</f>
        <v>M</v>
      </c>
      <c r="I74" s="7" cm="1">
        <f t="array" aca="1" ref="I74" ca="1">INDEX('Marital status'!$A:$A,RANDBETWEEN(2,COUNTA('Marital status'!$A:$A)),1)</f>
        <v>5</v>
      </c>
      <c r="J74" s="7">
        <f t="shared" ca="1" si="15"/>
        <v>2</v>
      </c>
      <c r="K74" s="8">
        <f t="shared" ca="1" si="16"/>
        <v>23502</v>
      </c>
      <c r="L74" s="6">
        <f t="shared" ca="1" si="17"/>
        <v>4</v>
      </c>
      <c r="M74" s="7">
        <f ca="1" xml:space="preserve">
  IF(OR($N74 = 2, $N74 = 3, $N74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74" s="6">
        <f t="shared" ca="1" si="18"/>
        <v>6</v>
      </c>
      <c r="O74" s="6" t="e">
        <f t="shared" ca="1" si="19"/>
        <v>#N/A</v>
      </c>
      <c r="P74" s="8">
        <f t="shared" ca="1" si="20"/>
        <v>44368</v>
      </c>
      <c r="Q74" s="6">
        <f ca="1">RANDBETWEEN(2,COUNTA('Recruitment source'!$A:$A))</f>
        <v>7</v>
      </c>
      <c r="R74" s="8" t="e">
        <f t="shared" ca="1" si="21"/>
        <v>#N/A</v>
      </c>
      <c r="S74" s="6" t="e">
        <f t="shared" ca="1" si="22"/>
        <v>#N/A</v>
      </c>
      <c r="T74" s="6">
        <f t="shared" ca="1" si="12"/>
        <v>2</v>
      </c>
      <c r="U74" s="1">
        <f t="shared" ca="1" si="23"/>
        <v>805</v>
      </c>
    </row>
    <row r="75" spans="1:21" x14ac:dyDescent="0.2">
      <c r="A75" s="7" cm="1">
        <f t="array" aca="1" ref="A75" ca="1">INDEX(Companies!$A:$A,RANDBETWEEN(2,COUNTA(Companies!$A:$A)),1)</f>
        <v>2</v>
      </c>
      <c r="B75" s="5">
        <f t="shared" si="13"/>
        <v>74</v>
      </c>
      <c r="C75" s="6">
        <f t="shared" ca="1" si="14"/>
        <v>1</v>
      </c>
      <c r="D75" s="7">
        <f ca="1">IF($B75 = 1 + N("Presidente"),
    127,
    IF($B75 = 2 + N("Vice-Presidente"),
        72,
        IF($B75 = 3 + N("Secretária bilíngue"),
            13,
            RANDBETWEEN(5,COUNT(Name!$A:$A) + 1)
        )
    )
)</f>
        <v>349</v>
      </c>
      <c r="E75" s="7" t="str">
        <f ca="1" xml:space="preserve">
VLOOKUP(
  $D75,
  Name!$A:$B,
  2,
  FALSE
)
&amp; " " &amp;
IF($B75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Valentina Araújo Holanda</v>
      </c>
      <c r="F75" s="7">
        <v>2</v>
      </c>
      <c r="G75" s="7" cm="1">
        <f t="array" aca="1" ref="G75" ca="1">INDEX(States!$B:$B,RANDBETWEEN(2,COUNTA(States!$A:$A)),1)</f>
        <v>4</v>
      </c>
      <c r="H75" s="7" t="str">
        <f ca="1">VLOOKUP($D75,Name!$A:$C,3,FALSE)</f>
        <v>F</v>
      </c>
      <c r="I75" s="7" cm="1">
        <f t="array" aca="1" ref="I75" ca="1">INDEX('Marital status'!$A:$A,RANDBETWEEN(2,COUNTA('Marital status'!$A:$A)),1)</f>
        <v>6</v>
      </c>
      <c r="J75" s="7">
        <f t="shared" ca="1" si="15"/>
        <v>2</v>
      </c>
      <c r="K75" s="8">
        <f t="shared" ca="1" si="16"/>
        <v>32507</v>
      </c>
      <c r="L75" s="6">
        <f t="shared" ca="1" si="17"/>
        <v>5</v>
      </c>
      <c r="M75" s="7">
        <f ca="1" xml:space="preserve">
  IF(OR($N75 = 2, $N75 = 3, $N75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75" s="6">
        <f t="shared" ca="1" si="18"/>
        <v>8</v>
      </c>
      <c r="O75" s="6">
        <f t="shared" ca="1" si="19"/>
        <v>4</v>
      </c>
      <c r="P75" s="8">
        <f t="shared" ca="1" si="20"/>
        <v>42925</v>
      </c>
      <c r="Q75" s="6">
        <f ca="1">RANDBETWEEN(2,COUNTA('Recruitment source'!$A:$A))</f>
        <v>9</v>
      </c>
      <c r="R75" s="8" t="e">
        <f t="shared" ca="1" si="21"/>
        <v>#N/A</v>
      </c>
      <c r="S75" s="6" t="e">
        <f t="shared" ca="1" si="22"/>
        <v>#N/A</v>
      </c>
      <c r="T75" s="6">
        <f t="shared" ca="1" si="12"/>
        <v>3</v>
      </c>
      <c r="U75" s="1">
        <f t="shared" ca="1" si="23"/>
        <v>2080</v>
      </c>
    </row>
    <row r="76" spans="1:21" x14ac:dyDescent="0.2">
      <c r="A76" s="7" cm="1">
        <f t="array" aca="1" ref="A76" ca="1">INDEX(Companies!$A:$A,RANDBETWEEN(2,COUNTA(Companies!$A:$A)),1)</f>
        <v>2</v>
      </c>
      <c r="B76" s="5">
        <f t="shared" si="13"/>
        <v>75</v>
      </c>
      <c r="C76" s="6">
        <f t="shared" ca="1" si="14"/>
        <v>1</v>
      </c>
      <c r="D76" s="7">
        <f ca="1">IF($B76 = 1 + N("Presidente"),
    127,
    IF($B76 = 2 + N("Vice-Presidente"),
        72,
        IF($B76 = 3 + N("Secretária bilíngue"),
            13,
            RANDBETWEEN(5,COUNT(Name!$A:$A) + 1)
        )
    )
)</f>
        <v>73</v>
      </c>
      <c r="E76" s="7" t="str">
        <f ca="1" xml:space="preserve">
VLOOKUP(
  $D76,
  Name!$A:$B,
  2,
  FALSE
)
&amp; " " &amp;
IF($B76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Bianca Mazza Anunciação</v>
      </c>
      <c r="F76" s="7">
        <v>2</v>
      </c>
      <c r="G76" s="7" cm="1">
        <f t="array" aca="1" ref="G76" ca="1">INDEX(States!$B:$B,RANDBETWEEN(2,COUNTA(States!$A:$A)),1)</f>
        <v>17</v>
      </c>
      <c r="H76" s="7" t="str">
        <f ca="1">VLOOKUP($D76,Name!$A:$C,3,FALSE)</f>
        <v>F</v>
      </c>
      <c r="I76" s="7" cm="1">
        <f t="array" aca="1" ref="I76" ca="1">INDEX('Marital status'!$A:$A,RANDBETWEEN(2,COUNTA('Marital status'!$A:$A)),1)</f>
        <v>2</v>
      </c>
      <c r="J76" s="7">
        <f t="shared" ca="1" si="15"/>
        <v>5</v>
      </c>
      <c r="K76" s="8">
        <f t="shared" ca="1" si="16"/>
        <v>25893</v>
      </c>
      <c r="L76" s="6">
        <f t="shared" ca="1" si="17"/>
        <v>4</v>
      </c>
      <c r="M76" s="7">
        <f ca="1" xml:space="preserve">
  IF(OR($N76 = 2, $N76 = 3, $N76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76" s="6">
        <f t="shared" ca="1" si="18"/>
        <v>6</v>
      </c>
      <c r="O76" s="6" t="e">
        <f t="shared" ca="1" si="19"/>
        <v>#N/A</v>
      </c>
      <c r="P76" s="8">
        <f t="shared" ca="1" si="20"/>
        <v>43821</v>
      </c>
      <c r="Q76" s="6">
        <f ca="1">RANDBETWEEN(2,COUNTA('Recruitment source'!$A:$A))</f>
        <v>9</v>
      </c>
      <c r="R76" s="8" t="e">
        <f t="shared" ca="1" si="21"/>
        <v>#N/A</v>
      </c>
      <c r="S76" s="6" t="e">
        <f t="shared" ca="1" si="22"/>
        <v>#N/A</v>
      </c>
      <c r="T76" s="6">
        <f t="shared" ca="1" si="12"/>
        <v>3</v>
      </c>
      <c r="U76" s="1">
        <f t="shared" ca="1" si="23"/>
        <v>805</v>
      </c>
    </row>
    <row r="77" spans="1:21" x14ac:dyDescent="0.2">
      <c r="A77" s="7" cm="1">
        <f t="array" aca="1" ref="A77" ca="1">INDEX(Companies!$A:$A,RANDBETWEEN(2,COUNTA(Companies!$A:$A)),1)</f>
        <v>2</v>
      </c>
      <c r="B77" s="5">
        <f t="shared" si="13"/>
        <v>76</v>
      </c>
      <c r="C77" s="6">
        <f t="shared" ca="1" si="14"/>
        <v>1</v>
      </c>
      <c r="D77" s="7">
        <f ca="1">IF($B77 = 1 + N("Presidente"),
    127,
    IF($B77 = 2 + N("Vice-Presidente"),
        72,
        IF($B77 = 3 + N("Secretária bilíngue"),
            13,
            RANDBETWEEN(5,COUNT(Name!$A:$A) + 1)
        )
    )
)</f>
        <v>77</v>
      </c>
      <c r="E77" s="7" t="str">
        <f ca="1" xml:space="preserve">
VLOOKUP(
  $D77,
  Name!$A:$B,
  2,
  FALSE
)
&amp; " " &amp;
IF($B77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Bruno Coelho Pasquim</v>
      </c>
      <c r="F77" s="7">
        <v>2</v>
      </c>
      <c r="G77" s="7" cm="1">
        <f t="array" aca="1" ref="G77" ca="1">INDEX(States!$B:$B,RANDBETWEEN(2,COUNTA(States!$A:$A)),1)</f>
        <v>4</v>
      </c>
      <c r="H77" s="7" t="str">
        <f ca="1">VLOOKUP($D77,Name!$A:$C,3,FALSE)</f>
        <v>M</v>
      </c>
      <c r="I77" s="7" cm="1">
        <f t="array" aca="1" ref="I77" ca="1">INDEX('Marital status'!$A:$A,RANDBETWEEN(2,COUNTA('Marital status'!$A:$A)),1)</f>
        <v>5</v>
      </c>
      <c r="J77" s="7">
        <f t="shared" ca="1" si="15"/>
        <v>4</v>
      </c>
      <c r="K77" s="8">
        <f t="shared" ca="1" si="16"/>
        <v>36846</v>
      </c>
      <c r="L77" s="6">
        <f t="shared" ca="1" si="17"/>
        <v>5</v>
      </c>
      <c r="M77" s="7">
        <f ca="1" xml:space="preserve">
  IF(OR($N77 = 2, $N77 = 3, $N77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77" s="6">
        <f t="shared" ca="1" si="18"/>
        <v>8</v>
      </c>
      <c r="O77" s="6">
        <f t="shared" ca="1" si="19"/>
        <v>3</v>
      </c>
      <c r="P77" s="8">
        <f t="shared" ca="1" si="20"/>
        <v>40292</v>
      </c>
      <c r="Q77" s="6">
        <f ca="1">RANDBETWEEN(2,COUNTA('Recruitment source'!$A:$A))</f>
        <v>2</v>
      </c>
      <c r="R77" s="8" t="e">
        <f t="shared" ca="1" si="21"/>
        <v>#N/A</v>
      </c>
      <c r="S77" s="6" t="e">
        <f t="shared" ca="1" si="22"/>
        <v>#N/A</v>
      </c>
      <c r="T77" s="6">
        <f t="shared" ca="1" si="12"/>
        <v>3</v>
      </c>
      <c r="U77" s="1">
        <f t="shared" ca="1" si="23"/>
        <v>2050</v>
      </c>
    </row>
    <row r="78" spans="1:21" x14ac:dyDescent="0.2">
      <c r="A78" s="7" cm="1">
        <f t="array" aca="1" ref="A78" ca="1">INDEX(Companies!$A:$A,RANDBETWEEN(2,COUNTA(Companies!$A:$A)),1)</f>
        <v>2</v>
      </c>
      <c r="B78" s="5">
        <f t="shared" si="13"/>
        <v>77</v>
      </c>
      <c r="C78" s="6">
        <f t="shared" ca="1" si="14"/>
        <v>1</v>
      </c>
      <c r="D78" s="7">
        <f ca="1">IF($B78 = 1 + N("Presidente"),
    127,
    IF($B78 = 2 + N("Vice-Presidente"),
        72,
        IF($B78 = 3 + N("Secretária bilíngue"),
            13,
            RANDBETWEEN(5,COUNT(Name!$A:$A) + 1)
        )
    )
)</f>
        <v>241</v>
      </c>
      <c r="E78" s="7" t="str">
        <f ca="1" xml:space="preserve">
VLOOKUP(
  $D78,
  Name!$A:$B,
  2,
  FALSE
)
&amp; " " &amp;
IF($B78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Luccas Lombardi Ferrari</v>
      </c>
      <c r="F78" s="7">
        <v>2</v>
      </c>
      <c r="G78" s="7" cm="1">
        <f t="array" aca="1" ref="G78" ca="1">INDEX(States!$B:$B,RANDBETWEEN(2,COUNTA(States!$A:$A)),1)</f>
        <v>16</v>
      </c>
      <c r="H78" s="7" t="str">
        <f ca="1">VLOOKUP($D78,Name!$A:$C,3,FALSE)</f>
        <v>M</v>
      </c>
      <c r="I78" s="7" cm="1">
        <f t="array" aca="1" ref="I78" ca="1">INDEX('Marital status'!$A:$A,RANDBETWEEN(2,COUNTA('Marital status'!$A:$A)),1)</f>
        <v>3</v>
      </c>
      <c r="J78" s="7">
        <f t="shared" ca="1" si="15"/>
        <v>2</v>
      </c>
      <c r="K78" s="8">
        <f t="shared" ca="1" si="16"/>
        <v>34653</v>
      </c>
      <c r="L78" s="6">
        <f t="shared" ca="1" si="17"/>
        <v>4</v>
      </c>
      <c r="M78" s="7">
        <f ca="1" xml:space="preserve">
  IF(OR($N78 = 2, $N78 = 3, $N78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78" s="6">
        <f t="shared" ca="1" si="18"/>
        <v>7</v>
      </c>
      <c r="O78" s="6" t="e">
        <f t="shared" ca="1" si="19"/>
        <v>#N/A</v>
      </c>
      <c r="P78" s="8">
        <f t="shared" ca="1" si="20"/>
        <v>41179</v>
      </c>
      <c r="Q78" s="6">
        <f ca="1">RANDBETWEEN(2,COUNTA('Recruitment source'!$A:$A))</f>
        <v>3</v>
      </c>
      <c r="R78" s="8" t="e">
        <f t="shared" ca="1" si="21"/>
        <v>#N/A</v>
      </c>
      <c r="S78" s="6" t="e">
        <f t="shared" ca="1" si="22"/>
        <v>#N/A</v>
      </c>
      <c r="T78" s="6">
        <f t="shared" ca="1" si="12"/>
        <v>3</v>
      </c>
      <c r="U78" s="1">
        <f t="shared" ca="1" si="23"/>
        <v>1085</v>
      </c>
    </row>
    <row r="79" spans="1:21" x14ac:dyDescent="0.2">
      <c r="A79" s="7" cm="1">
        <f t="array" aca="1" ref="A79" ca="1">INDEX(Companies!$A:$A,RANDBETWEEN(2,COUNTA(Companies!$A:$A)),1)</f>
        <v>2</v>
      </c>
      <c r="B79" s="5">
        <f t="shared" si="13"/>
        <v>78</v>
      </c>
      <c r="C79" s="6">
        <f t="shared" ca="1" si="14"/>
        <v>1</v>
      </c>
      <c r="D79" s="7">
        <f ca="1">IF($B79 = 1 + N("Presidente"),
    127,
    IF($B79 = 2 + N("Vice-Presidente"),
        72,
        IF($B79 = 3 + N("Secretária bilíngue"),
            13,
            RANDBETWEEN(5,COUNT(Name!$A:$A) + 1)
        )
    )
)</f>
        <v>150</v>
      </c>
      <c r="E79" s="7" t="str">
        <f ca="1" xml:space="preserve">
VLOOKUP(
  $D79,
  Name!$A:$B,
  2,
  FALSE
)
&amp; " " &amp;
IF($B79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Gabriela Galli Melo</v>
      </c>
      <c r="F79" s="7">
        <v>2</v>
      </c>
      <c r="G79" s="7" cm="1">
        <f t="array" aca="1" ref="G79" ca="1">INDEX(States!$B:$B,RANDBETWEEN(2,COUNTA(States!$A:$A)),1)</f>
        <v>9</v>
      </c>
      <c r="H79" s="7" t="str">
        <f ca="1">VLOOKUP($D79,Name!$A:$C,3,FALSE)</f>
        <v>F</v>
      </c>
      <c r="I79" s="7" cm="1">
        <f t="array" aca="1" ref="I79" ca="1">INDEX('Marital status'!$A:$A,RANDBETWEEN(2,COUNTA('Marital status'!$A:$A)),1)</f>
        <v>2</v>
      </c>
      <c r="J79" s="7">
        <f t="shared" ca="1" si="15"/>
        <v>2</v>
      </c>
      <c r="K79" s="8">
        <f t="shared" ca="1" si="16"/>
        <v>37938</v>
      </c>
      <c r="L79" s="6">
        <f t="shared" ca="1" si="17"/>
        <v>4</v>
      </c>
      <c r="M79" s="7">
        <f ca="1" xml:space="preserve">
  IF(OR($N79 = 2, $N79 = 3, $N79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79" s="6">
        <f t="shared" ca="1" si="18"/>
        <v>8</v>
      </c>
      <c r="O79" s="6">
        <f t="shared" ca="1" si="19"/>
        <v>4</v>
      </c>
      <c r="P79" s="8">
        <f t="shared" ca="1" si="20"/>
        <v>44838</v>
      </c>
      <c r="Q79" s="6">
        <f ca="1">RANDBETWEEN(2,COUNTA('Recruitment source'!$A:$A))</f>
        <v>9</v>
      </c>
      <c r="R79" s="8" t="e">
        <f t="shared" ca="1" si="21"/>
        <v>#N/A</v>
      </c>
      <c r="S79" s="6" t="e">
        <f t="shared" ca="1" si="22"/>
        <v>#N/A</v>
      </c>
      <c r="T79" s="6">
        <f t="shared" ca="1" si="12"/>
        <v>2</v>
      </c>
      <c r="U79" s="1">
        <f t="shared" ca="1" si="23"/>
        <v>2000</v>
      </c>
    </row>
    <row r="80" spans="1:21" x14ac:dyDescent="0.2">
      <c r="A80" s="7" cm="1">
        <f t="array" aca="1" ref="A80" ca="1">INDEX(Companies!$A:$A,RANDBETWEEN(2,COUNTA(Companies!$A:$A)),1)</f>
        <v>2</v>
      </c>
      <c r="B80" s="5">
        <f t="shared" si="13"/>
        <v>79</v>
      </c>
      <c r="C80" s="6">
        <f t="shared" ca="1" si="14"/>
        <v>1</v>
      </c>
      <c r="D80" s="7">
        <f ca="1">IF($B80 = 1 + N("Presidente"),
    127,
    IF($B80 = 2 + N("Vice-Presidente"),
        72,
        IF($B80 = 3 + N("Secretária bilíngue"),
            13,
            RANDBETWEEN(5,COUNT(Name!$A:$A) + 1)
        )
    )
)</f>
        <v>107</v>
      </c>
      <c r="E80" s="7" t="str">
        <f ca="1" xml:space="preserve">
VLOOKUP(
  $D80,
  Name!$A:$B,
  2,
  FALSE
)
&amp; " " &amp;
IF($B80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Lucca Café sobrenome</v>
      </c>
      <c r="F80" s="7">
        <v>2</v>
      </c>
      <c r="G80" s="7" cm="1">
        <f t="array" aca="1" ref="G80" ca="1">INDEX(States!$B:$B,RANDBETWEEN(2,COUNTA(States!$A:$A)),1)</f>
        <v>7</v>
      </c>
      <c r="H80" s="7" t="str">
        <f ca="1">VLOOKUP($D80,Name!$A:$C,3,FALSE)</f>
        <v>M</v>
      </c>
      <c r="I80" s="7" cm="1">
        <f t="array" aca="1" ref="I80" ca="1">INDEX('Marital status'!$A:$A,RANDBETWEEN(2,COUNTA('Marital status'!$A:$A)),1)</f>
        <v>2</v>
      </c>
      <c r="J80" s="7">
        <f t="shared" ca="1" si="15"/>
        <v>2</v>
      </c>
      <c r="K80" s="8">
        <f t="shared" ca="1" si="16"/>
        <v>27168</v>
      </c>
      <c r="L80" s="6">
        <f t="shared" ca="1" si="17"/>
        <v>4</v>
      </c>
      <c r="M80" s="7">
        <f ca="1" xml:space="preserve">
  IF(OR($N80 = 2, $N80 = 3, $N80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80" s="6">
        <f t="shared" ca="1" si="18"/>
        <v>6</v>
      </c>
      <c r="O80" s="6" t="e">
        <f t="shared" ca="1" si="19"/>
        <v>#N/A</v>
      </c>
      <c r="P80" s="8">
        <f t="shared" ca="1" si="20"/>
        <v>42165</v>
      </c>
      <c r="Q80" s="6">
        <f ca="1">RANDBETWEEN(2,COUNTA('Recruitment source'!$A:$A))</f>
        <v>3</v>
      </c>
      <c r="R80" s="8" t="e">
        <f t="shared" ca="1" si="21"/>
        <v>#N/A</v>
      </c>
      <c r="S80" s="6" t="e">
        <f t="shared" ca="1" si="22"/>
        <v>#N/A</v>
      </c>
      <c r="T80" s="6">
        <f t="shared" ca="1" si="12"/>
        <v>4</v>
      </c>
      <c r="U80" s="1">
        <f t="shared" ca="1" si="23"/>
        <v>805</v>
      </c>
    </row>
    <row r="81" spans="1:21" x14ac:dyDescent="0.2">
      <c r="A81" s="7" cm="1">
        <f t="array" aca="1" ref="A81" ca="1">INDEX(Companies!$A:$A,RANDBETWEEN(2,COUNTA(Companies!$A:$A)),1)</f>
        <v>2</v>
      </c>
      <c r="B81" s="5">
        <f t="shared" si="13"/>
        <v>80</v>
      </c>
      <c r="C81" s="6">
        <f t="shared" ca="1" si="14"/>
        <v>1</v>
      </c>
      <c r="D81" s="7">
        <f ca="1">IF($B81 = 1 + N("Presidente"),
    127,
    IF($B81 = 2 + N("Vice-Presidente"),
        72,
        IF($B81 = 3 + N("Secretária bilíngue"),
            13,
            RANDBETWEEN(5,COUNT(Name!$A:$A) + 1)
        )
    )
)</f>
        <v>144</v>
      </c>
      <c r="E81" s="7" t="str">
        <f ca="1" xml:space="preserve">
VLOOKUP(
  $D81,
  Name!$A:$B,
  2,
  FALSE
)
&amp; " " &amp;
IF($B81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Flávio Andrioli Rangel</v>
      </c>
      <c r="F81" s="7">
        <v>2</v>
      </c>
      <c r="G81" s="7" cm="1">
        <f t="array" aca="1" ref="G81" ca="1">INDEX(States!$B:$B,RANDBETWEEN(2,COUNTA(States!$A:$A)),1)</f>
        <v>12</v>
      </c>
      <c r="H81" s="7" t="str">
        <f ca="1">VLOOKUP($D81,Name!$A:$C,3,FALSE)</f>
        <v>M</v>
      </c>
      <c r="I81" s="7" cm="1">
        <f t="array" aca="1" ref="I81" ca="1">INDEX('Marital status'!$A:$A,RANDBETWEEN(2,COUNTA('Marital status'!$A:$A)),1)</f>
        <v>5</v>
      </c>
      <c r="J81" s="7">
        <f t="shared" ca="1" si="15"/>
        <v>2</v>
      </c>
      <c r="K81" s="8">
        <f t="shared" ca="1" si="16"/>
        <v>33292</v>
      </c>
      <c r="L81" s="6">
        <f t="shared" ca="1" si="17"/>
        <v>5</v>
      </c>
      <c r="M81" s="7">
        <f ca="1" xml:space="preserve">
  IF(OR($N81 = 2, $N81 = 3, $N81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81" s="6">
        <f t="shared" ca="1" si="18"/>
        <v>8</v>
      </c>
      <c r="O81" s="6">
        <f t="shared" ca="1" si="19"/>
        <v>2</v>
      </c>
      <c r="P81" s="8">
        <f t="shared" ca="1" si="20"/>
        <v>38600</v>
      </c>
      <c r="Q81" s="6">
        <f ca="1">RANDBETWEEN(2,COUNTA('Recruitment source'!$A:$A))</f>
        <v>9</v>
      </c>
      <c r="R81" s="8" t="e">
        <f t="shared" ca="1" si="21"/>
        <v>#N/A</v>
      </c>
      <c r="S81" s="6" t="e">
        <f t="shared" ca="1" si="22"/>
        <v>#N/A</v>
      </c>
      <c r="T81" s="6">
        <f t="shared" ca="1" si="12"/>
        <v>3</v>
      </c>
      <c r="U81" s="1">
        <f t="shared" ca="1" si="23"/>
        <v>2000</v>
      </c>
    </row>
    <row r="82" spans="1:21" x14ac:dyDescent="0.2">
      <c r="A82" s="7" cm="1">
        <f t="array" aca="1" ref="A82" ca="1">INDEX(Companies!$A:$A,RANDBETWEEN(2,COUNTA(Companies!$A:$A)),1)</f>
        <v>2</v>
      </c>
      <c r="B82" s="5">
        <f t="shared" si="13"/>
        <v>81</v>
      </c>
      <c r="C82" s="6">
        <f t="shared" ca="1" si="14"/>
        <v>1</v>
      </c>
      <c r="D82" s="7">
        <f ca="1">IF($B82 = 1 + N("Presidente"),
    127,
    IF($B82 = 2 + N("Vice-Presidente"),
        72,
        IF($B82 = 3 + N("Secretária bilíngue"),
            13,
            RANDBETWEEN(5,COUNT(Name!$A:$A) + 1)
        )
    )
)</f>
        <v>76</v>
      </c>
      <c r="E82" s="7" t="str">
        <f ca="1" xml:space="preserve">
VLOOKUP(
  $D82,
  Name!$A:$B,
  2,
  FALSE
)
&amp; " " &amp;
IF($B82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Bruna Castro Esposito</v>
      </c>
      <c r="F82" s="7">
        <v>2</v>
      </c>
      <c r="G82" s="7" cm="1">
        <f t="array" aca="1" ref="G82" ca="1">INDEX(States!$B:$B,RANDBETWEEN(2,COUNTA(States!$A:$A)),1)</f>
        <v>18</v>
      </c>
      <c r="H82" s="7" t="str">
        <f ca="1">VLOOKUP($D82,Name!$A:$C,3,FALSE)</f>
        <v>F</v>
      </c>
      <c r="I82" s="7" cm="1">
        <f t="array" aca="1" ref="I82" ca="1">INDEX('Marital status'!$A:$A,RANDBETWEEN(2,COUNTA('Marital status'!$A:$A)),1)</f>
        <v>5</v>
      </c>
      <c r="J82" s="7">
        <f t="shared" ca="1" si="15"/>
        <v>2</v>
      </c>
      <c r="K82" s="8">
        <f t="shared" ca="1" si="16"/>
        <v>35960</v>
      </c>
      <c r="L82" s="6">
        <f t="shared" ca="1" si="17"/>
        <v>4</v>
      </c>
      <c r="M82" s="7">
        <f ca="1" xml:space="preserve">
  IF(OR($N82 = 2, $N82 = 3, $N82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82" s="6">
        <f t="shared" ca="1" si="18"/>
        <v>7</v>
      </c>
      <c r="O82" s="6" t="e">
        <f t="shared" ca="1" si="19"/>
        <v>#N/A</v>
      </c>
      <c r="P82" s="8">
        <f t="shared" ca="1" si="20"/>
        <v>41347</v>
      </c>
      <c r="Q82" s="6">
        <f ca="1">RANDBETWEEN(2,COUNTA('Recruitment source'!$A:$A))</f>
        <v>4</v>
      </c>
      <c r="R82" s="8" t="e">
        <f t="shared" ca="1" si="21"/>
        <v>#N/A</v>
      </c>
      <c r="S82" s="6" t="e">
        <f t="shared" ca="1" si="22"/>
        <v>#N/A</v>
      </c>
      <c r="T82" s="6">
        <f t="shared" ca="1" si="12"/>
        <v>4</v>
      </c>
      <c r="U82" s="1">
        <f t="shared" ca="1" si="23"/>
        <v>1005</v>
      </c>
    </row>
    <row r="83" spans="1:21" x14ac:dyDescent="0.2">
      <c r="A83" s="7" cm="1">
        <f t="array" aca="1" ref="A83" ca="1">INDEX(Companies!$A:$A,RANDBETWEEN(2,COUNTA(Companies!$A:$A)),1)</f>
        <v>2</v>
      </c>
      <c r="B83" s="5">
        <f t="shared" si="13"/>
        <v>82</v>
      </c>
      <c r="C83" s="6">
        <f t="shared" ca="1" si="14"/>
        <v>1</v>
      </c>
      <c r="D83" s="7">
        <f ca="1">IF($B83 = 1 + N("Presidente"),
    127,
    IF($B83 = 2 + N("Vice-Presidente"),
        72,
        IF($B83 = 3 + N("Secretária bilíngue"),
            13,
            RANDBETWEEN(5,COUNT(Name!$A:$A) + 1)
        )
    )
)</f>
        <v>280</v>
      </c>
      <c r="E83" s="7" t="str">
        <f ca="1" xml:space="preserve">
VLOOKUP(
  $D83,
  Name!$A:$B,
  2,
  FALSE
)
&amp; " " &amp;
IF($B83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Marianna Pedroso Anunciação</v>
      </c>
      <c r="F83" s="7">
        <v>2</v>
      </c>
      <c r="G83" s="7" cm="1">
        <f t="array" aca="1" ref="G83" ca="1">INDEX(States!$B:$B,RANDBETWEEN(2,COUNTA(States!$A:$A)),1)</f>
        <v>13</v>
      </c>
      <c r="H83" s="7" t="str">
        <f ca="1">VLOOKUP($D83,Name!$A:$C,3,FALSE)</f>
        <v>F</v>
      </c>
      <c r="I83" s="7" cm="1">
        <f t="array" aca="1" ref="I83" ca="1">INDEX('Marital status'!$A:$A,RANDBETWEEN(2,COUNTA('Marital status'!$A:$A)),1)</f>
        <v>2</v>
      </c>
      <c r="J83" s="7">
        <f t="shared" ca="1" si="15"/>
        <v>2</v>
      </c>
      <c r="K83" s="8">
        <f t="shared" ca="1" si="16"/>
        <v>34416</v>
      </c>
      <c r="L83" s="6">
        <f t="shared" ca="1" si="17"/>
        <v>4</v>
      </c>
      <c r="M83" s="7">
        <f ca="1" xml:space="preserve">
  IF(OR($N83 = 2, $N83 = 3, $N83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83" s="6">
        <f t="shared" ca="1" si="18"/>
        <v>8</v>
      </c>
      <c r="O83" s="6">
        <f t="shared" ca="1" si="19"/>
        <v>2</v>
      </c>
      <c r="P83" s="8">
        <f t="shared" ca="1" si="20"/>
        <v>38444</v>
      </c>
      <c r="Q83" s="6">
        <f ca="1">RANDBETWEEN(2,COUNTA('Recruitment source'!$A:$A))</f>
        <v>12</v>
      </c>
      <c r="R83" s="8" t="e">
        <f t="shared" ca="1" si="21"/>
        <v>#N/A</v>
      </c>
      <c r="S83" s="6" t="e">
        <f t="shared" ca="1" si="22"/>
        <v>#N/A</v>
      </c>
      <c r="T83" s="6">
        <f t="shared" ca="1" si="12"/>
        <v>2</v>
      </c>
      <c r="U83" s="1">
        <f t="shared" ca="1" si="23"/>
        <v>2080</v>
      </c>
    </row>
    <row r="84" spans="1:21" x14ac:dyDescent="0.2">
      <c r="A84" s="7" cm="1">
        <f t="array" aca="1" ref="A84" ca="1">INDEX(Companies!$A:$A,RANDBETWEEN(2,COUNTA(Companies!$A:$A)),1)</f>
        <v>2</v>
      </c>
      <c r="B84" s="5">
        <f t="shared" si="13"/>
        <v>83</v>
      </c>
      <c r="C84" s="6">
        <f t="shared" ca="1" si="14"/>
        <v>1</v>
      </c>
      <c r="D84" s="7">
        <f ca="1">IF($B84 = 1 + N("Presidente"),
    127,
    IF($B84 = 2 + N("Vice-Presidente"),
        72,
        IF($B84 = 3 + N("Secretária bilíngue"),
            13,
            RANDBETWEEN(5,COUNT(Name!$A:$A) + 1)
        )
    )
)</f>
        <v>189</v>
      </c>
      <c r="E84" s="7" t="str">
        <f ca="1" xml:space="preserve">
VLOOKUP(
  $D84,
  Name!$A:$B,
  2,
  FALSE
)
&amp; " " &amp;
IF($B84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Luccas Reis Carneiro</v>
      </c>
      <c r="F84" s="7">
        <v>2</v>
      </c>
      <c r="G84" s="7" cm="1">
        <f t="array" aca="1" ref="G84" ca="1">INDEX(States!$B:$B,RANDBETWEEN(2,COUNTA(States!$A:$A)),1)</f>
        <v>4</v>
      </c>
      <c r="H84" s="7" t="str">
        <f ca="1">VLOOKUP($D84,Name!$A:$C,3,FALSE)</f>
        <v>M</v>
      </c>
      <c r="I84" s="7" cm="1">
        <f t="array" aca="1" ref="I84" ca="1">INDEX('Marital status'!$A:$A,RANDBETWEEN(2,COUNTA('Marital status'!$A:$A)),1)</f>
        <v>2</v>
      </c>
      <c r="J84" s="7">
        <f t="shared" ca="1" si="15"/>
        <v>3</v>
      </c>
      <c r="K84" s="8">
        <f t="shared" ca="1" si="16"/>
        <v>35285</v>
      </c>
      <c r="L84" s="6">
        <f t="shared" ca="1" si="17"/>
        <v>4</v>
      </c>
      <c r="M84" s="7">
        <f ca="1" xml:space="preserve">
  IF(OR($N84 = 2, $N84 = 3, $N84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84" s="6">
        <f t="shared" ca="1" si="18"/>
        <v>7</v>
      </c>
      <c r="O84" s="6" t="e">
        <f t="shared" ca="1" si="19"/>
        <v>#N/A</v>
      </c>
      <c r="P84" s="8">
        <f t="shared" ca="1" si="20"/>
        <v>42004</v>
      </c>
      <c r="Q84" s="6">
        <f ca="1">RANDBETWEEN(2,COUNTA('Recruitment source'!$A:$A))</f>
        <v>4</v>
      </c>
      <c r="R84" s="8" t="e">
        <f t="shared" ca="1" si="21"/>
        <v>#N/A</v>
      </c>
      <c r="S84" s="6" t="e">
        <f t="shared" ca="1" si="22"/>
        <v>#N/A</v>
      </c>
      <c r="T84" s="6">
        <f t="shared" ca="1" si="12"/>
        <v>4</v>
      </c>
      <c r="U84" s="1">
        <f t="shared" ca="1" si="23"/>
        <v>1005</v>
      </c>
    </row>
    <row r="85" spans="1:21" x14ac:dyDescent="0.2">
      <c r="A85" s="7" cm="1">
        <f t="array" aca="1" ref="A85" ca="1">INDEX(Companies!$A:$A,RANDBETWEEN(2,COUNTA(Companies!$A:$A)),1)</f>
        <v>2</v>
      </c>
      <c r="B85" s="5">
        <f t="shared" si="13"/>
        <v>84</v>
      </c>
      <c r="C85" s="6">
        <f t="shared" ca="1" si="14"/>
        <v>1</v>
      </c>
      <c r="D85" s="7">
        <f ca="1">IF($B85 = 1 + N("Presidente"),
    127,
    IF($B85 = 2 + N("Vice-Presidente"),
        72,
        IF($B85 = 3 + N("Secretária bilíngue"),
            13,
            RANDBETWEEN(5,COUNT(Name!$A:$A) + 1)
        )
    )
)</f>
        <v>267</v>
      </c>
      <c r="E85" s="7" t="str">
        <f ca="1" xml:space="preserve">
VLOOKUP(
  $D85,
  Name!$A:$B,
  2,
  FALSE
)
&amp; " " &amp;
IF($B85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Heloísa Amor Pedrosa</v>
      </c>
      <c r="F85" s="7">
        <v>2</v>
      </c>
      <c r="G85" s="7" cm="1">
        <f t="array" aca="1" ref="G85" ca="1">INDEX(States!$B:$B,RANDBETWEEN(2,COUNTA(States!$A:$A)),1)</f>
        <v>8</v>
      </c>
      <c r="H85" s="7" t="str">
        <f ca="1">VLOOKUP($D85,Name!$A:$C,3,FALSE)</f>
        <v>F</v>
      </c>
      <c r="I85" s="7" cm="1">
        <f t="array" aca="1" ref="I85" ca="1">INDEX('Marital status'!$A:$A,RANDBETWEEN(2,COUNTA('Marital status'!$A:$A)),1)</f>
        <v>5</v>
      </c>
      <c r="J85" s="7">
        <f t="shared" ca="1" si="15"/>
        <v>2</v>
      </c>
      <c r="K85" s="8">
        <f t="shared" ca="1" si="16"/>
        <v>33087</v>
      </c>
      <c r="L85" s="6">
        <f t="shared" ca="1" si="17"/>
        <v>5</v>
      </c>
      <c r="M85" s="7">
        <f ca="1" xml:space="preserve">
  IF(OR($N85 = 2, $N85 = 3, $N85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85" s="6">
        <f t="shared" ca="1" si="18"/>
        <v>8</v>
      </c>
      <c r="O85" s="6">
        <f t="shared" ca="1" si="19"/>
        <v>3</v>
      </c>
      <c r="P85" s="8">
        <f t="shared" ca="1" si="20"/>
        <v>37964</v>
      </c>
      <c r="Q85" s="6">
        <f ca="1">RANDBETWEEN(2,COUNTA('Recruitment source'!$A:$A))</f>
        <v>2</v>
      </c>
      <c r="R85" s="8" t="e">
        <f t="shared" ca="1" si="21"/>
        <v>#N/A</v>
      </c>
      <c r="S85" s="6" t="e">
        <f t="shared" ca="1" si="22"/>
        <v>#N/A</v>
      </c>
      <c r="T85" s="6">
        <f t="shared" ca="1" si="12"/>
        <v>4</v>
      </c>
      <c r="U85" s="1">
        <f t="shared" ca="1" si="23"/>
        <v>2000</v>
      </c>
    </row>
    <row r="86" spans="1:21" x14ac:dyDescent="0.2">
      <c r="A86" s="7" cm="1">
        <f t="array" aca="1" ref="A86" ca="1">INDEX(Companies!$A:$A,RANDBETWEEN(2,COUNTA(Companies!$A:$A)),1)</f>
        <v>2</v>
      </c>
      <c r="B86" s="5">
        <f t="shared" si="13"/>
        <v>85</v>
      </c>
      <c r="C86" s="6">
        <f t="shared" ca="1" si="14"/>
        <v>1</v>
      </c>
      <c r="D86" s="7">
        <f ca="1">IF($B86 = 1 + N("Presidente"),
    127,
    IF($B86 = 2 + N("Vice-Presidente"),
        72,
        IF($B86 = 3 + N("Secretária bilíngue"),
            13,
            RANDBETWEEN(5,COUNT(Name!$A:$A) + 1)
        )
    )
)</f>
        <v>134</v>
      </c>
      <c r="E86" s="7" t="str">
        <f ca="1" xml:space="preserve">
VLOOKUP(
  $D86,
  Name!$A:$B,
  2,
  FALSE
)
&amp; " " &amp;
IF($B86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Eva Ferreira Leone</v>
      </c>
      <c r="F86" s="7">
        <v>2</v>
      </c>
      <c r="G86" s="7" cm="1">
        <f t="array" aca="1" ref="G86" ca="1">INDEX(States!$B:$B,RANDBETWEEN(2,COUNTA(States!$A:$A)),1)</f>
        <v>7</v>
      </c>
      <c r="H86" s="7" t="str">
        <f ca="1">VLOOKUP($D86,Name!$A:$C,3,FALSE)</f>
        <v>F</v>
      </c>
      <c r="I86" s="7" cm="1">
        <f t="array" aca="1" ref="I86" ca="1">INDEX('Marital status'!$A:$A,RANDBETWEEN(2,COUNTA('Marital status'!$A:$A)),1)</f>
        <v>2</v>
      </c>
      <c r="J86" s="7">
        <f t="shared" ca="1" si="15"/>
        <v>2</v>
      </c>
      <c r="K86" s="8">
        <f t="shared" ca="1" si="16"/>
        <v>33226</v>
      </c>
      <c r="L86" s="6">
        <f t="shared" ca="1" si="17"/>
        <v>4</v>
      </c>
      <c r="M86" s="7">
        <f ca="1" xml:space="preserve">
  IF(OR($N86 = 2, $N86 = 3, $N86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86" s="6">
        <f t="shared" ca="1" si="18"/>
        <v>7</v>
      </c>
      <c r="O86" s="6" t="e">
        <f t="shared" ca="1" si="19"/>
        <v>#N/A</v>
      </c>
      <c r="P86" s="8">
        <f t="shared" ca="1" si="20"/>
        <v>40170</v>
      </c>
      <c r="Q86" s="6">
        <f ca="1">RANDBETWEEN(2,COUNTA('Recruitment source'!$A:$A))</f>
        <v>4</v>
      </c>
      <c r="R86" s="8" t="e">
        <f t="shared" ca="1" si="21"/>
        <v>#N/A</v>
      </c>
      <c r="S86" s="6" t="e">
        <f t="shared" ca="1" si="22"/>
        <v>#N/A</v>
      </c>
      <c r="T86" s="6">
        <f t="shared" ca="1" si="12"/>
        <v>2</v>
      </c>
      <c r="U86" s="1">
        <f t="shared" ca="1" si="23"/>
        <v>1005</v>
      </c>
    </row>
    <row r="87" spans="1:21" x14ac:dyDescent="0.2">
      <c r="A87" s="7" cm="1">
        <f t="array" aca="1" ref="A87" ca="1">INDEX(Companies!$A:$A,RANDBETWEEN(2,COUNTA(Companies!$A:$A)),1)</f>
        <v>2</v>
      </c>
      <c r="B87" s="5">
        <f t="shared" si="13"/>
        <v>86</v>
      </c>
      <c r="C87" s="6">
        <f t="shared" ca="1" si="14"/>
        <v>1</v>
      </c>
      <c r="D87" s="7">
        <f ca="1">IF($B87 = 1 + N("Presidente"),
    127,
    IF($B87 = 2 + N("Vice-Presidente"),
        72,
        IF($B87 = 3 + N("Secretária bilíngue"),
            13,
            RANDBETWEEN(5,COUNT(Name!$A:$A) + 1)
        )
    )
)</f>
        <v>300</v>
      </c>
      <c r="E87" s="7" t="str">
        <f ca="1" xml:space="preserve">
VLOOKUP(
  $D87,
  Name!$A:$B,
  2,
  FALSE
)
&amp; " " &amp;
IF($B87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Muricy Albuquerque Monteiro</v>
      </c>
      <c r="F87" s="7">
        <v>2</v>
      </c>
      <c r="G87" s="7" cm="1">
        <f t="array" aca="1" ref="G87" ca="1">INDEX(States!$B:$B,RANDBETWEEN(2,COUNTA(States!$A:$A)),1)</f>
        <v>21</v>
      </c>
      <c r="H87" s="7" t="str">
        <f ca="1">VLOOKUP($D87,Name!$A:$C,3,FALSE)</f>
        <v>M</v>
      </c>
      <c r="I87" s="7" cm="1">
        <f t="array" aca="1" ref="I87" ca="1">INDEX('Marital status'!$A:$A,RANDBETWEEN(2,COUNTA('Marital status'!$A:$A)),1)</f>
        <v>5</v>
      </c>
      <c r="J87" s="7">
        <f t="shared" ca="1" si="15"/>
        <v>2</v>
      </c>
      <c r="K87" s="8">
        <f t="shared" ca="1" si="16"/>
        <v>32544</v>
      </c>
      <c r="L87" s="6">
        <f t="shared" ca="1" si="17"/>
        <v>5</v>
      </c>
      <c r="M87" s="7">
        <f ca="1" xml:space="preserve">
  IF(OR($N87 = 2, $N87 = 3, $N87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87" s="6">
        <f t="shared" ca="1" si="18"/>
        <v>8</v>
      </c>
      <c r="O87" s="6">
        <f t="shared" ca="1" si="19"/>
        <v>3</v>
      </c>
      <c r="P87" s="8">
        <f t="shared" ca="1" si="20"/>
        <v>43448</v>
      </c>
      <c r="Q87" s="6">
        <f ca="1">RANDBETWEEN(2,COUNTA('Recruitment source'!$A:$A))</f>
        <v>7</v>
      </c>
      <c r="R87" s="8" t="e">
        <f t="shared" ca="1" si="21"/>
        <v>#N/A</v>
      </c>
      <c r="S87" s="6" t="e">
        <f t="shared" ca="1" si="22"/>
        <v>#N/A</v>
      </c>
      <c r="T87" s="6">
        <f t="shared" ca="1" si="12"/>
        <v>3</v>
      </c>
      <c r="U87" s="1">
        <f t="shared" ca="1" si="23"/>
        <v>2000</v>
      </c>
    </row>
    <row r="88" spans="1:21" x14ac:dyDescent="0.2">
      <c r="A88" s="7" cm="1">
        <f t="array" aca="1" ref="A88" ca="1">INDEX(Companies!$A:$A,RANDBETWEEN(2,COUNTA(Companies!$A:$A)),1)</f>
        <v>2</v>
      </c>
      <c r="B88" s="5">
        <f t="shared" si="13"/>
        <v>87</v>
      </c>
      <c r="C88" s="6">
        <f t="shared" ca="1" si="14"/>
        <v>1</v>
      </c>
      <c r="D88" s="7">
        <f ca="1">IF($B88 = 1 + N("Presidente"),
    127,
    IF($B88 = 2 + N("Vice-Presidente"),
        72,
        IF($B88 = 3 + N("Secretária bilíngue"),
            13,
            RANDBETWEEN(5,COUNT(Name!$A:$A) + 1)
        )
    )
)</f>
        <v>341</v>
      </c>
      <c r="E88" s="7" t="str">
        <f ca="1" xml:space="preserve">
VLOOKUP(
  $D88,
  Name!$A:$B,
  2,
  FALSE
)
&amp; " " &amp;
IF($B88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Theo Morais Rizzo</v>
      </c>
      <c r="F88" s="7">
        <v>2</v>
      </c>
      <c r="G88" s="7" cm="1">
        <f t="array" aca="1" ref="G88" ca="1">INDEX(States!$B:$B,RANDBETWEEN(2,COUNTA(States!$A:$A)),1)</f>
        <v>9</v>
      </c>
      <c r="H88" s="7" t="str">
        <f ca="1">VLOOKUP($D88,Name!$A:$C,3,FALSE)</f>
        <v>M</v>
      </c>
      <c r="I88" s="7" cm="1">
        <f t="array" aca="1" ref="I88" ca="1">INDEX('Marital status'!$A:$A,RANDBETWEEN(2,COUNTA('Marital status'!$A:$A)),1)</f>
        <v>3</v>
      </c>
      <c r="J88" s="7">
        <f t="shared" ca="1" si="15"/>
        <v>4</v>
      </c>
      <c r="K88" s="8">
        <f t="shared" ca="1" si="16"/>
        <v>24040</v>
      </c>
      <c r="L88" s="6">
        <f t="shared" ca="1" si="17"/>
        <v>4</v>
      </c>
      <c r="M88" s="7">
        <f ca="1" xml:space="preserve">
  IF(OR($N88 = 2, $N88 = 3, $N88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88" s="6">
        <f t="shared" ca="1" si="18"/>
        <v>6</v>
      </c>
      <c r="O88" s="6" t="e">
        <f t="shared" ca="1" si="19"/>
        <v>#N/A</v>
      </c>
      <c r="P88" s="8">
        <f t="shared" ca="1" si="20"/>
        <v>38552</v>
      </c>
      <c r="Q88" s="6">
        <f ca="1">RANDBETWEEN(2,COUNTA('Recruitment source'!$A:$A))</f>
        <v>7</v>
      </c>
      <c r="R88" s="8" t="e">
        <f t="shared" ca="1" si="21"/>
        <v>#N/A</v>
      </c>
      <c r="S88" s="6" t="e">
        <f t="shared" ca="1" si="22"/>
        <v>#N/A</v>
      </c>
      <c r="T88" s="6">
        <f t="shared" ca="1" si="12"/>
        <v>5</v>
      </c>
      <c r="U88" s="1">
        <f t="shared" ca="1" si="23"/>
        <v>805</v>
      </c>
    </row>
    <row r="89" spans="1:21" x14ac:dyDescent="0.2">
      <c r="A89" s="7" cm="1">
        <f t="array" aca="1" ref="A89" ca="1">INDEX(Companies!$A:$A,RANDBETWEEN(2,COUNTA(Companies!$A:$A)),1)</f>
        <v>2</v>
      </c>
      <c r="B89" s="5">
        <f t="shared" si="13"/>
        <v>88</v>
      </c>
      <c r="C89" s="6">
        <f t="shared" ca="1" si="14"/>
        <v>1</v>
      </c>
      <c r="D89" s="7">
        <f ca="1">IF($B89 = 1 + N("Presidente"),
    127,
    IF($B89 = 2 + N("Vice-Presidente"),
        72,
        IF($B89 = 3 + N("Secretária bilíngue"),
            13,
            RANDBETWEEN(5,COUNT(Name!$A:$A) + 1)
        )
    )
)</f>
        <v>30</v>
      </c>
      <c r="E89" s="7" t="str">
        <f ca="1" xml:space="preserve">
VLOOKUP(
  $D89,
  Name!$A:$B,
  2,
  FALSE
)
&amp; " " &amp;
IF($B89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Clara Carneiro Barroso</v>
      </c>
      <c r="F89" s="7">
        <v>2</v>
      </c>
      <c r="G89" s="7" cm="1">
        <f t="array" aca="1" ref="G89" ca="1">INDEX(States!$B:$B,RANDBETWEEN(2,COUNTA(States!$A:$A)),1)</f>
        <v>6</v>
      </c>
      <c r="H89" s="7" t="str">
        <f ca="1">VLOOKUP($D89,Name!$A:$C,3,FALSE)</f>
        <v>F</v>
      </c>
      <c r="I89" s="7" cm="1">
        <f t="array" aca="1" ref="I89" ca="1">INDEX('Marital status'!$A:$A,RANDBETWEEN(2,COUNTA('Marital status'!$A:$A)),1)</f>
        <v>6</v>
      </c>
      <c r="J89" s="7">
        <f t="shared" ca="1" si="15"/>
        <v>2</v>
      </c>
      <c r="K89" s="8">
        <f t="shared" ca="1" si="16"/>
        <v>32460</v>
      </c>
      <c r="L89" s="6">
        <f t="shared" ca="1" si="17"/>
        <v>5</v>
      </c>
      <c r="M89" s="7">
        <f ca="1" xml:space="preserve">
  IF(OR($N89 = 2, $N89 = 3, $N89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89" s="6">
        <f t="shared" ca="1" si="18"/>
        <v>8</v>
      </c>
      <c r="O89" s="6">
        <f t="shared" ca="1" si="19"/>
        <v>4</v>
      </c>
      <c r="P89" s="8">
        <f t="shared" ca="1" si="20"/>
        <v>37494</v>
      </c>
      <c r="Q89" s="6">
        <f ca="1">RANDBETWEEN(2,COUNTA('Recruitment source'!$A:$A))</f>
        <v>2</v>
      </c>
      <c r="R89" s="8" t="e">
        <f t="shared" ca="1" si="21"/>
        <v>#N/A</v>
      </c>
      <c r="S89" s="6" t="e">
        <f t="shared" ca="1" si="22"/>
        <v>#N/A</v>
      </c>
      <c r="T89" s="6">
        <f t="shared" ca="1" si="12"/>
        <v>4</v>
      </c>
      <c r="U89" s="1">
        <f t="shared" ca="1" si="23"/>
        <v>2000</v>
      </c>
    </row>
    <row r="90" spans="1:21" x14ac:dyDescent="0.2">
      <c r="A90" s="7" cm="1">
        <f t="array" aca="1" ref="A90" ca="1">INDEX(Companies!$A:$A,RANDBETWEEN(2,COUNTA(Companies!$A:$A)),1)</f>
        <v>2</v>
      </c>
      <c r="B90" s="5">
        <f t="shared" si="13"/>
        <v>89</v>
      </c>
      <c r="C90" s="6">
        <f t="shared" ca="1" si="14"/>
        <v>1</v>
      </c>
      <c r="D90" s="7">
        <f ca="1">IF($B90 = 1 + N("Presidente"),
    127,
    IF($B90 = 2 + N("Vice-Presidente"),
        72,
        IF($B90 = 3 + N("Secretária bilíngue"),
            13,
            RANDBETWEEN(5,COUNT(Name!$A:$A) + 1)
        )
    )
)</f>
        <v>23</v>
      </c>
      <c r="E90" s="7" t="str">
        <f ca="1" xml:space="preserve">
VLOOKUP(
  $D90,
  Name!$A:$B,
  2,
  FALSE
)
&amp; " " &amp;
IF($B90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Amanda Bragança Ildelfonso</v>
      </c>
      <c r="F90" s="7">
        <v>2</v>
      </c>
      <c r="G90" s="7" cm="1">
        <f t="array" aca="1" ref="G90" ca="1">INDEX(States!$B:$B,RANDBETWEEN(2,COUNTA(States!$A:$A)),1)</f>
        <v>15</v>
      </c>
      <c r="H90" s="7" t="str">
        <f ca="1">VLOOKUP($D90,Name!$A:$C,3,FALSE)</f>
        <v>F</v>
      </c>
      <c r="I90" s="7" cm="1">
        <f t="array" aca="1" ref="I90" ca="1">INDEX('Marital status'!$A:$A,RANDBETWEEN(2,COUNTA('Marital status'!$A:$A)),1)</f>
        <v>4</v>
      </c>
      <c r="J90" s="7">
        <f t="shared" ca="1" si="15"/>
        <v>2</v>
      </c>
      <c r="K90" s="8">
        <f t="shared" ca="1" si="16"/>
        <v>31849</v>
      </c>
      <c r="L90" s="6">
        <f t="shared" ca="1" si="17"/>
        <v>4</v>
      </c>
      <c r="M90" s="7">
        <f ca="1" xml:space="preserve">
  IF(OR($N90 = 2, $N90 = 3, $N90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90" s="6">
        <f t="shared" ca="1" si="18"/>
        <v>7</v>
      </c>
      <c r="O90" s="6" t="e">
        <f t="shared" ca="1" si="19"/>
        <v>#N/A</v>
      </c>
      <c r="P90" s="8">
        <f t="shared" ca="1" si="20"/>
        <v>41656</v>
      </c>
      <c r="Q90" s="6">
        <f ca="1">RANDBETWEEN(2,COUNTA('Recruitment source'!$A:$A))</f>
        <v>7</v>
      </c>
      <c r="R90" s="8" t="e">
        <f t="shared" ca="1" si="21"/>
        <v>#N/A</v>
      </c>
      <c r="S90" s="6" t="e">
        <f t="shared" ca="1" si="22"/>
        <v>#N/A</v>
      </c>
      <c r="T90" s="6">
        <f t="shared" ca="1" si="12"/>
        <v>3</v>
      </c>
      <c r="U90" s="1">
        <f t="shared" ca="1" si="23"/>
        <v>1005</v>
      </c>
    </row>
    <row r="91" spans="1:21" x14ac:dyDescent="0.2">
      <c r="A91" s="7" cm="1">
        <f t="array" aca="1" ref="A91" ca="1">INDEX(Companies!$A:$A,RANDBETWEEN(2,COUNTA(Companies!$A:$A)),1)</f>
        <v>2</v>
      </c>
      <c r="B91" s="5">
        <f t="shared" si="13"/>
        <v>90</v>
      </c>
      <c r="C91" s="6">
        <f t="shared" ca="1" si="14"/>
        <v>1</v>
      </c>
      <c r="D91" s="7">
        <f ca="1">IF($B91 = 1 + N("Presidente"),
    127,
    IF($B91 = 2 + N("Vice-Presidente"),
        72,
        IF($B91 = 3 + N("Secretária bilíngue"),
            13,
            RANDBETWEEN(5,COUNT(Name!$A:$A) + 1)
        )
    )
)</f>
        <v>176</v>
      </c>
      <c r="E91" s="7" t="str">
        <f ca="1" xml:space="preserve">
VLOOKUP(
  $D91,
  Name!$A:$B,
  2,
  FALSE
)
&amp; " " &amp;
IF($B91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Isabelle Barros Gonçalves</v>
      </c>
      <c r="F91" s="7">
        <v>2</v>
      </c>
      <c r="G91" s="7" cm="1">
        <f t="array" aca="1" ref="G91" ca="1">INDEX(States!$B:$B,RANDBETWEEN(2,COUNTA(States!$A:$A)),1)</f>
        <v>2</v>
      </c>
      <c r="H91" s="7" t="str">
        <f ca="1">VLOOKUP($D91,Name!$A:$C,3,FALSE)</f>
        <v>F</v>
      </c>
      <c r="I91" s="7" cm="1">
        <f t="array" aca="1" ref="I91" ca="1">INDEX('Marital status'!$A:$A,RANDBETWEEN(2,COUNTA('Marital status'!$A:$A)),1)</f>
        <v>6</v>
      </c>
      <c r="J91" s="7">
        <f t="shared" ca="1" si="15"/>
        <v>3</v>
      </c>
      <c r="K91" s="8">
        <f t="shared" ca="1" si="16"/>
        <v>33518</v>
      </c>
      <c r="L91" s="6">
        <f t="shared" ca="1" si="17"/>
        <v>4</v>
      </c>
      <c r="M91" s="7">
        <f ca="1" xml:space="preserve">
  IF(OR($N91 = 2, $N91 = 3, $N91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91" s="6">
        <f t="shared" ca="1" si="18"/>
        <v>8</v>
      </c>
      <c r="O91" s="6">
        <f t="shared" ca="1" si="19"/>
        <v>4</v>
      </c>
      <c r="P91" s="8">
        <f t="shared" ca="1" si="20"/>
        <v>37217</v>
      </c>
      <c r="Q91" s="6">
        <f ca="1">RANDBETWEEN(2,COUNTA('Recruitment source'!$A:$A))</f>
        <v>4</v>
      </c>
      <c r="R91" s="8" t="e">
        <f t="shared" ca="1" si="21"/>
        <v>#N/A</v>
      </c>
      <c r="S91" s="6" t="e">
        <f t="shared" ca="1" si="22"/>
        <v>#N/A</v>
      </c>
      <c r="T91" s="6">
        <f t="shared" ca="1" si="12"/>
        <v>3</v>
      </c>
      <c r="U91" s="1">
        <f t="shared" ca="1" si="23"/>
        <v>2000</v>
      </c>
    </row>
    <row r="92" spans="1:21" x14ac:dyDescent="0.2">
      <c r="A92" s="7" cm="1">
        <f t="array" aca="1" ref="A92" ca="1">INDEX(Companies!$A:$A,RANDBETWEEN(2,COUNTA(Companies!$A:$A)),1)</f>
        <v>2</v>
      </c>
      <c r="B92" s="5">
        <f t="shared" si="13"/>
        <v>91</v>
      </c>
      <c r="C92" s="6">
        <f t="shared" ca="1" si="14"/>
        <v>1</v>
      </c>
      <c r="D92" s="7">
        <f ca="1">IF($B92 = 1 + N("Presidente"),
    127,
    IF($B92 = 2 + N("Vice-Presidente"),
        72,
        IF($B92 = 3 + N("Secretária bilíngue"),
            13,
            RANDBETWEEN(5,COUNT(Name!$A:$A) + 1)
        )
    )
)</f>
        <v>21</v>
      </c>
      <c r="E92" s="7" t="str">
        <f ca="1" xml:space="preserve">
VLOOKUP(
  $D92,
  Name!$A:$B,
  2,
  FALSE
)
&amp; " " &amp;
IF($B92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Allana Cardozo Ferreira</v>
      </c>
      <c r="F92" s="7">
        <v>2</v>
      </c>
      <c r="G92" s="7" cm="1">
        <f t="array" aca="1" ref="G92" ca="1">INDEX(States!$B:$B,RANDBETWEEN(2,COUNTA(States!$A:$A)),1)</f>
        <v>9</v>
      </c>
      <c r="H92" s="7" t="str">
        <f ca="1">VLOOKUP($D92,Name!$A:$C,3,FALSE)</f>
        <v>F</v>
      </c>
      <c r="I92" s="7" cm="1">
        <f t="array" aca="1" ref="I92" ca="1">INDEX('Marital status'!$A:$A,RANDBETWEEN(2,COUNTA('Marital status'!$A:$A)),1)</f>
        <v>5</v>
      </c>
      <c r="J92" s="7">
        <f t="shared" ca="1" si="15"/>
        <v>2</v>
      </c>
      <c r="K92" s="8">
        <f t="shared" ca="1" si="16"/>
        <v>32239</v>
      </c>
      <c r="L92" s="6">
        <f t="shared" ca="1" si="17"/>
        <v>4</v>
      </c>
      <c r="M92" s="7">
        <f ca="1" xml:space="preserve">
  IF(OR($N92 = 2, $N92 = 3, $N92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92" s="6">
        <f t="shared" ca="1" si="18"/>
        <v>6</v>
      </c>
      <c r="O92" s="6" t="e">
        <f t="shared" ca="1" si="19"/>
        <v>#N/A</v>
      </c>
      <c r="P92" s="8">
        <f t="shared" ca="1" si="20"/>
        <v>36192</v>
      </c>
      <c r="Q92" s="6">
        <f ca="1">RANDBETWEEN(2,COUNTA('Recruitment source'!$A:$A))</f>
        <v>11</v>
      </c>
      <c r="R92" s="8" t="e">
        <f t="shared" ca="1" si="21"/>
        <v>#N/A</v>
      </c>
      <c r="S92" s="6" t="e">
        <f t="shared" ca="1" si="22"/>
        <v>#N/A</v>
      </c>
      <c r="T92" s="6">
        <f t="shared" ca="1" si="12"/>
        <v>2</v>
      </c>
      <c r="U92" s="1">
        <f t="shared" ca="1" si="23"/>
        <v>805</v>
      </c>
    </row>
    <row r="93" spans="1:21" x14ac:dyDescent="0.2">
      <c r="A93" s="7" cm="1">
        <f t="array" aca="1" ref="A93" ca="1">INDEX(Companies!$A:$A,RANDBETWEEN(2,COUNTA(Companies!$A:$A)),1)</f>
        <v>2</v>
      </c>
      <c r="B93" s="5">
        <f t="shared" si="13"/>
        <v>92</v>
      </c>
      <c r="C93" s="6">
        <f t="shared" ca="1" si="14"/>
        <v>1</v>
      </c>
      <c r="D93" s="7">
        <f ca="1">IF($B93 = 1 + N("Presidente"),
    127,
    IF($B93 = 2 + N("Vice-Presidente"),
        72,
        IF($B93 = 3 + N("Secretária bilíngue"),
            13,
            RANDBETWEEN(5,COUNT(Name!$A:$A) + 1)
        )
    )
)</f>
        <v>201</v>
      </c>
      <c r="E93" s="7" t="str">
        <f ca="1" xml:space="preserve">
VLOOKUP(
  $D93,
  Name!$A:$B,
  2,
  FALSE
)
&amp; " " &amp;
IF($B93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Júlia Sousa Auth</v>
      </c>
      <c r="F93" s="7">
        <v>2</v>
      </c>
      <c r="G93" s="7" cm="1">
        <f t="array" aca="1" ref="G93" ca="1">INDEX(States!$B:$B,RANDBETWEEN(2,COUNTA(States!$A:$A)),1)</f>
        <v>11</v>
      </c>
      <c r="H93" s="7" t="str">
        <f ca="1">VLOOKUP($D93,Name!$A:$C,3,FALSE)</f>
        <v>F</v>
      </c>
      <c r="I93" s="7" cm="1">
        <f t="array" aca="1" ref="I93" ca="1">INDEX('Marital status'!$A:$A,RANDBETWEEN(2,COUNTA('Marital status'!$A:$A)),1)</f>
        <v>5</v>
      </c>
      <c r="J93" s="7">
        <f t="shared" ca="1" si="15"/>
        <v>2</v>
      </c>
      <c r="K93" s="8">
        <f t="shared" ca="1" si="16"/>
        <v>35900</v>
      </c>
      <c r="L93" s="6">
        <f t="shared" ca="1" si="17"/>
        <v>5</v>
      </c>
      <c r="M93" s="7">
        <f ca="1" xml:space="preserve">
  IF(OR($N93 = 2, $N93 = 3, $N93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93" s="6">
        <f t="shared" ca="1" si="18"/>
        <v>8</v>
      </c>
      <c r="O93" s="6">
        <f t="shared" ca="1" si="19"/>
        <v>4</v>
      </c>
      <c r="P93" s="8">
        <f t="shared" ca="1" si="20"/>
        <v>42666</v>
      </c>
      <c r="Q93" s="6">
        <f ca="1">RANDBETWEEN(2,COUNTA('Recruitment source'!$A:$A))</f>
        <v>3</v>
      </c>
      <c r="R93" s="8" t="e">
        <f t="shared" ca="1" si="21"/>
        <v>#N/A</v>
      </c>
      <c r="S93" s="6" t="e">
        <f t="shared" ca="1" si="22"/>
        <v>#N/A</v>
      </c>
      <c r="T93" s="6">
        <f t="shared" ca="1" si="12"/>
        <v>5</v>
      </c>
      <c r="U93" s="1">
        <f t="shared" ca="1" si="23"/>
        <v>2000</v>
      </c>
    </row>
    <row r="94" spans="1:21" x14ac:dyDescent="0.2">
      <c r="A94" s="7" cm="1">
        <f t="array" aca="1" ref="A94" ca="1">INDEX(Companies!$A:$A,RANDBETWEEN(2,COUNTA(Companies!$A:$A)),1)</f>
        <v>2</v>
      </c>
      <c r="B94" s="5">
        <f t="shared" si="13"/>
        <v>93</v>
      </c>
      <c r="C94" s="6">
        <f t="shared" ca="1" si="14"/>
        <v>1</v>
      </c>
      <c r="D94" s="7">
        <f ca="1">IF($B94 = 1 + N("Presidente"),
    127,
    IF($B94 = 2 + N("Vice-Presidente"),
        72,
        IF($B94 = 3 + N("Secretária bilíngue"),
            13,
            RANDBETWEEN(5,COUNT(Name!$A:$A) + 1)
        )
    )
)</f>
        <v>239</v>
      </c>
      <c r="E94" s="7" t="str">
        <f ca="1" xml:space="preserve">
VLOOKUP(
  $D94,
  Name!$A:$B,
  2,
  FALSE
)
&amp; " " &amp;
IF($B94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Lucas Gabriel Serra Andrioli</v>
      </c>
      <c r="F94" s="7">
        <v>2</v>
      </c>
      <c r="G94" s="7" cm="1">
        <f t="array" aca="1" ref="G94" ca="1">INDEX(States!$B:$B,RANDBETWEEN(2,COUNTA(States!$A:$A)),1)</f>
        <v>9</v>
      </c>
      <c r="H94" s="7" t="str">
        <f ca="1">VLOOKUP($D94,Name!$A:$C,3,FALSE)</f>
        <v>M</v>
      </c>
      <c r="I94" s="7" cm="1">
        <f t="array" aca="1" ref="I94" ca="1">INDEX('Marital status'!$A:$A,RANDBETWEEN(2,COUNTA('Marital status'!$A:$A)),1)</f>
        <v>2</v>
      </c>
      <c r="J94" s="7">
        <f t="shared" ca="1" si="15"/>
        <v>2</v>
      </c>
      <c r="K94" s="8">
        <f t="shared" ca="1" si="16"/>
        <v>29452</v>
      </c>
      <c r="L94" s="6">
        <f t="shared" ca="1" si="17"/>
        <v>4</v>
      </c>
      <c r="M94" s="7">
        <f ca="1" xml:space="preserve">
  IF(OR($N94 = 2, $N94 = 3, $N94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94" s="6">
        <f t="shared" ca="1" si="18"/>
        <v>6</v>
      </c>
      <c r="O94" s="6" t="e">
        <f t="shared" ca="1" si="19"/>
        <v>#N/A</v>
      </c>
      <c r="P94" s="8">
        <f t="shared" ca="1" si="20"/>
        <v>39252</v>
      </c>
      <c r="Q94" s="6">
        <f ca="1">RANDBETWEEN(2,COUNTA('Recruitment source'!$A:$A))</f>
        <v>4</v>
      </c>
      <c r="R94" s="8" t="e">
        <f t="shared" ca="1" si="21"/>
        <v>#N/A</v>
      </c>
      <c r="S94" s="6" t="e">
        <f t="shared" ca="1" si="22"/>
        <v>#N/A</v>
      </c>
      <c r="T94" s="6">
        <f t="shared" ca="1" si="12"/>
        <v>2</v>
      </c>
      <c r="U94" s="1">
        <f t="shared" ca="1" si="23"/>
        <v>805</v>
      </c>
    </row>
    <row r="95" spans="1:21" x14ac:dyDescent="0.2">
      <c r="A95" s="7" cm="1">
        <f t="array" aca="1" ref="A95" ca="1">INDEX(Companies!$A:$A,RANDBETWEEN(2,COUNTA(Companies!$A:$A)),1)</f>
        <v>2</v>
      </c>
      <c r="B95" s="5">
        <f t="shared" si="13"/>
        <v>94</v>
      </c>
      <c r="C95" s="6">
        <f t="shared" ca="1" si="14"/>
        <v>1</v>
      </c>
      <c r="D95" s="7">
        <f ca="1">IF($B95 = 1 + N("Presidente"),
    127,
    IF($B95 = 2 + N("Vice-Presidente"),
        72,
        IF($B95 = 3 + N("Secretária bilíngue"),
            13,
            RANDBETWEEN(5,COUNT(Name!$A:$A) + 1)
        )
    )
)</f>
        <v>99</v>
      </c>
      <c r="E95" s="7" t="str">
        <f ca="1" xml:space="preserve">
VLOOKUP(
  $D95,
  Name!$A:$B,
  2,
  FALSE
)
&amp; " " &amp;
IF($B95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Cloe Souza Auth</v>
      </c>
      <c r="F95" s="7">
        <v>2</v>
      </c>
      <c r="G95" s="7" cm="1">
        <f t="array" aca="1" ref="G95" ca="1">INDEX(States!$B:$B,RANDBETWEEN(2,COUNTA(States!$A:$A)),1)</f>
        <v>4</v>
      </c>
      <c r="H95" s="7" t="str">
        <f ca="1">VLOOKUP($D95,Name!$A:$C,3,FALSE)</f>
        <v>F</v>
      </c>
      <c r="I95" s="7" cm="1">
        <f t="array" aca="1" ref="I95" ca="1">INDEX('Marital status'!$A:$A,RANDBETWEEN(2,COUNTA('Marital status'!$A:$A)),1)</f>
        <v>2</v>
      </c>
      <c r="J95" s="7">
        <f t="shared" ca="1" si="15"/>
        <v>5</v>
      </c>
      <c r="K95" s="8">
        <f t="shared" ca="1" si="16"/>
        <v>35444</v>
      </c>
      <c r="L95" s="6">
        <f t="shared" ca="1" si="17"/>
        <v>5</v>
      </c>
      <c r="M95" s="7">
        <f ca="1" xml:space="preserve">
  IF(OR($N95 = 2, $N95 = 3, $N95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95" s="6">
        <f t="shared" ca="1" si="18"/>
        <v>8</v>
      </c>
      <c r="O95" s="6">
        <f t="shared" ca="1" si="19"/>
        <v>2</v>
      </c>
      <c r="P95" s="8">
        <f t="shared" ca="1" si="20"/>
        <v>40820</v>
      </c>
      <c r="Q95" s="6">
        <f ca="1">RANDBETWEEN(2,COUNTA('Recruitment source'!$A:$A))</f>
        <v>7</v>
      </c>
      <c r="R95" s="8" t="e">
        <f t="shared" ca="1" si="21"/>
        <v>#N/A</v>
      </c>
      <c r="S95" s="6" t="e">
        <f t="shared" ca="1" si="22"/>
        <v>#N/A</v>
      </c>
      <c r="T95" s="6">
        <f t="shared" ca="1" si="12"/>
        <v>2</v>
      </c>
      <c r="U95" s="1">
        <f t="shared" ca="1" si="23"/>
        <v>2080</v>
      </c>
    </row>
    <row r="96" spans="1:21" x14ac:dyDescent="0.2">
      <c r="A96" s="7" cm="1">
        <f t="array" aca="1" ref="A96" ca="1">INDEX(Companies!$A:$A,RANDBETWEEN(2,COUNTA(Companies!$A:$A)),1)</f>
        <v>2</v>
      </c>
      <c r="B96" s="5">
        <f t="shared" si="13"/>
        <v>95</v>
      </c>
      <c r="C96" s="6">
        <f t="shared" ca="1" si="14"/>
        <v>1</v>
      </c>
      <c r="D96" s="7">
        <f ca="1">IF($B96 = 1 + N("Presidente"),
    127,
    IF($B96 = 2 + N("Vice-Presidente"),
        72,
        IF($B96 = 3 + N("Secretária bilíngue"),
            13,
            RANDBETWEEN(5,COUNT(Name!$A:$A) + 1)
        )
    )
)</f>
        <v>79</v>
      </c>
      <c r="E96" s="7" t="str">
        <f ca="1" xml:space="preserve">
VLOOKUP(
  $D96,
  Name!$A:$B,
  2,
  FALSE
)
&amp; " " &amp;
IF($B96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Byanca Lopes Poeta</v>
      </c>
      <c r="F96" s="7">
        <v>2</v>
      </c>
      <c r="G96" s="7" cm="1">
        <f t="array" aca="1" ref="G96" ca="1">INDEX(States!$B:$B,RANDBETWEEN(2,COUNTA(States!$A:$A)),1)</f>
        <v>17</v>
      </c>
      <c r="H96" s="7" t="str">
        <f ca="1">VLOOKUP($D96,Name!$A:$C,3,FALSE)</f>
        <v>F</v>
      </c>
      <c r="I96" s="7" cm="1">
        <f t="array" aca="1" ref="I96" ca="1">INDEX('Marital status'!$A:$A,RANDBETWEEN(2,COUNTA('Marital status'!$A:$A)),1)</f>
        <v>5</v>
      </c>
      <c r="J96" s="7">
        <f t="shared" ca="1" si="15"/>
        <v>2</v>
      </c>
      <c r="K96" s="8">
        <f t="shared" ca="1" si="16"/>
        <v>27816</v>
      </c>
      <c r="L96" s="6">
        <f t="shared" ca="1" si="17"/>
        <v>4</v>
      </c>
      <c r="M96" s="7">
        <f ca="1" xml:space="preserve">
  IF(OR($N96 = 2, $N96 = 3, $N96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96" s="6">
        <f t="shared" ca="1" si="18"/>
        <v>6</v>
      </c>
      <c r="O96" s="6" t="e">
        <f t="shared" ca="1" si="19"/>
        <v>#N/A</v>
      </c>
      <c r="P96" s="8">
        <f t="shared" ca="1" si="20"/>
        <v>39722</v>
      </c>
      <c r="Q96" s="6">
        <f ca="1">RANDBETWEEN(2,COUNTA('Recruitment source'!$A:$A))</f>
        <v>9</v>
      </c>
      <c r="R96" s="8" t="e">
        <f t="shared" ca="1" si="21"/>
        <v>#N/A</v>
      </c>
      <c r="S96" s="6" t="e">
        <f t="shared" ca="1" si="22"/>
        <v>#N/A</v>
      </c>
      <c r="T96" s="6">
        <f t="shared" ca="1" si="12"/>
        <v>5</v>
      </c>
      <c r="U96" s="1">
        <f t="shared" ca="1" si="23"/>
        <v>805</v>
      </c>
    </row>
    <row r="97" spans="1:21" x14ac:dyDescent="0.2">
      <c r="A97" s="7" cm="1">
        <f t="array" aca="1" ref="A97" ca="1">INDEX(Companies!$A:$A,RANDBETWEEN(2,COUNTA(Companies!$A:$A)),1)</f>
        <v>2</v>
      </c>
      <c r="B97" s="5">
        <f t="shared" si="13"/>
        <v>96</v>
      </c>
      <c r="C97" s="6">
        <f t="shared" ca="1" si="14"/>
        <v>1</v>
      </c>
      <c r="D97" s="7">
        <f ca="1">IF($B97 = 1 + N("Presidente"),
    127,
    IF($B97 = 2 + N("Vice-Presidente"),
        72,
        IF($B97 = 3 + N("Secretária bilíngue"),
            13,
            RANDBETWEEN(5,COUNT(Name!$A:$A) + 1)
        )
    )
)</f>
        <v>338</v>
      </c>
      <c r="E97" s="7" t="str">
        <f ca="1" xml:space="preserve">
VLOOKUP(
  $D97,
  Name!$A:$B,
  2,
  FALSE
)
&amp; " " &amp;
IF($B97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Sophia Seixas Alcantara</v>
      </c>
      <c r="F97" s="7">
        <v>2</v>
      </c>
      <c r="G97" s="7" cm="1">
        <f t="array" aca="1" ref="G97" ca="1">INDEX(States!$B:$B,RANDBETWEEN(2,COUNTA(States!$A:$A)),1)</f>
        <v>14</v>
      </c>
      <c r="H97" s="7" t="str">
        <f ca="1">VLOOKUP($D97,Name!$A:$C,3,FALSE)</f>
        <v>F</v>
      </c>
      <c r="I97" s="7" cm="1">
        <f t="array" aca="1" ref="I97" ca="1">INDEX('Marital status'!$A:$A,RANDBETWEEN(2,COUNTA('Marital status'!$A:$A)),1)</f>
        <v>4</v>
      </c>
      <c r="J97" s="7">
        <f t="shared" ca="1" si="15"/>
        <v>2</v>
      </c>
      <c r="K97" s="8">
        <f t="shared" ca="1" si="16"/>
        <v>35531</v>
      </c>
      <c r="L97" s="6">
        <f t="shared" ca="1" si="17"/>
        <v>4</v>
      </c>
      <c r="M97" s="7">
        <f ca="1" xml:space="preserve">
  IF(OR($N97 = 2, $N97 = 3, $N97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97" s="6">
        <f t="shared" ca="1" si="18"/>
        <v>8</v>
      </c>
      <c r="O97" s="6">
        <f t="shared" ca="1" si="19"/>
        <v>4</v>
      </c>
      <c r="P97" s="8">
        <f t="shared" ca="1" si="20"/>
        <v>43894</v>
      </c>
      <c r="Q97" s="6">
        <f ca="1">RANDBETWEEN(2,COUNTA('Recruitment source'!$A:$A))</f>
        <v>7</v>
      </c>
      <c r="R97" s="8" t="e">
        <f t="shared" ca="1" si="21"/>
        <v>#N/A</v>
      </c>
      <c r="S97" s="6" t="e">
        <f t="shared" ca="1" si="22"/>
        <v>#N/A</v>
      </c>
      <c r="T97" s="6">
        <f t="shared" ca="1" si="12"/>
        <v>5</v>
      </c>
      <c r="U97" s="1">
        <f t="shared" ca="1" si="23"/>
        <v>2080</v>
      </c>
    </row>
    <row r="98" spans="1:21" x14ac:dyDescent="0.2">
      <c r="A98" s="7" cm="1">
        <f t="array" aca="1" ref="A98" ca="1">INDEX(Companies!$A:$A,RANDBETWEEN(2,COUNTA(Companies!$A:$A)),1)</f>
        <v>2</v>
      </c>
      <c r="B98" s="5">
        <f t="shared" si="13"/>
        <v>97</v>
      </c>
      <c r="C98" s="6">
        <f t="shared" ca="1" si="14"/>
        <v>1</v>
      </c>
      <c r="D98" s="7">
        <f ca="1">IF($B98 = 1 + N("Presidente"),
    127,
    IF($B98 = 2 + N("Vice-Presidente"),
        72,
        IF($B98 = 3 + N("Secretária bilíngue"),
            13,
            RANDBETWEEN(5,COUNT(Name!$A:$A) + 1)
        )
    )
)</f>
        <v>145</v>
      </c>
      <c r="E98" s="7" t="str">
        <f ca="1" xml:space="preserve">
VLOOKUP(
  $D98,
  Name!$A:$B,
  2,
  FALSE
)
&amp; " " &amp;
IF($B98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Francisca Esteves Medeiros</v>
      </c>
      <c r="F98" s="7">
        <v>2</v>
      </c>
      <c r="G98" s="7" cm="1">
        <f t="array" aca="1" ref="G98" ca="1">INDEX(States!$B:$B,RANDBETWEEN(2,COUNTA(States!$A:$A)),1)</f>
        <v>7</v>
      </c>
      <c r="H98" s="7" t="str">
        <f ca="1">VLOOKUP($D98,Name!$A:$C,3,FALSE)</f>
        <v>F</v>
      </c>
      <c r="I98" s="7" cm="1">
        <f t="array" aca="1" ref="I98" ca="1">INDEX('Marital status'!$A:$A,RANDBETWEEN(2,COUNTA('Marital status'!$A:$A)),1)</f>
        <v>2</v>
      </c>
      <c r="J98" s="7">
        <f t="shared" ca="1" si="15"/>
        <v>3</v>
      </c>
      <c r="K98" s="8">
        <f t="shared" ca="1" si="16"/>
        <v>21334</v>
      </c>
      <c r="L98" s="6">
        <f t="shared" ca="1" si="17"/>
        <v>4</v>
      </c>
      <c r="M98" s="7">
        <f ca="1" xml:space="preserve">
  IF(OR($N98 = 2, $N98 = 3, $N98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98" s="6">
        <f t="shared" ca="1" si="18"/>
        <v>6</v>
      </c>
      <c r="O98" s="6" t="e">
        <f t="shared" ca="1" si="19"/>
        <v>#N/A</v>
      </c>
      <c r="P98" s="8">
        <f t="shared" ca="1" si="20"/>
        <v>43063</v>
      </c>
      <c r="Q98" s="6">
        <f ca="1">RANDBETWEEN(2,COUNTA('Recruitment source'!$A:$A))</f>
        <v>5</v>
      </c>
      <c r="R98" s="8" t="e">
        <f t="shared" ca="1" si="21"/>
        <v>#N/A</v>
      </c>
      <c r="S98" s="6" t="e">
        <f t="shared" ca="1" si="22"/>
        <v>#N/A</v>
      </c>
      <c r="T98" s="6">
        <f t="shared" ca="1" si="12"/>
        <v>4</v>
      </c>
      <c r="U98" s="1">
        <f t="shared" ca="1" si="23"/>
        <v>805</v>
      </c>
    </row>
    <row r="99" spans="1:21" x14ac:dyDescent="0.2">
      <c r="A99" s="7" cm="1">
        <f t="array" aca="1" ref="A99" ca="1">INDEX(Companies!$A:$A,RANDBETWEEN(2,COUNTA(Companies!$A:$A)),1)</f>
        <v>2</v>
      </c>
      <c r="B99" s="5">
        <f t="shared" si="13"/>
        <v>98</v>
      </c>
      <c r="C99" s="6">
        <f t="shared" ca="1" si="14"/>
        <v>1</v>
      </c>
      <c r="D99" s="7">
        <f ca="1">IF($B99 = 1 + N("Presidente"),
    127,
    IF($B99 = 2 + N("Vice-Presidente"),
        72,
        IF($B99 = 3 + N("Secretária bilíngue"),
            13,
            RANDBETWEEN(5,COUNT(Name!$A:$A) + 1)
        )
    )
)</f>
        <v>238</v>
      </c>
      <c r="E99" s="7" t="str">
        <f ca="1" xml:space="preserve">
VLOOKUP(
  $D99,
  Name!$A:$B,
  2,
  FALSE
)
&amp; " " &amp;
IF($B99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Lucas Andrade Abranches</v>
      </c>
      <c r="F99" s="7">
        <v>2</v>
      </c>
      <c r="G99" s="7" cm="1">
        <f t="array" aca="1" ref="G99" ca="1">INDEX(States!$B:$B,RANDBETWEEN(2,COUNTA(States!$A:$A)),1)</f>
        <v>17</v>
      </c>
      <c r="H99" s="7" t="str">
        <f ca="1">VLOOKUP($D99,Name!$A:$C,3,FALSE)</f>
        <v>M</v>
      </c>
      <c r="I99" s="7" cm="1">
        <f t="array" aca="1" ref="I99" ca="1">INDEX('Marital status'!$A:$A,RANDBETWEEN(2,COUNTA('Marital status'!$A:$A)),1)</f>
        <v>3</v>
      </c>
      <c r="J99" s="7">
        <f t="shared" ca="1" si="15"/>
        <v>4</v>
      </c>
      <c r="K99" s="8">
        <f t="shared" ca="1" si="16"/>
        <v>33663</v>
      </c>
      <c r="L99" s="6">
        <f t="shared" ca="1" si="17"/>
        <v>4</v>
      </c>
      <c r="M99" s="7">
        <f ca="1" xml:space="preserve">
  IF(OR($N99 = 2, $N99 = 3, $N99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99" s="6">
        <f t="shared" ca="1" si="18"/>
        <v>8</v>
      </c>
      <c r="O99" s="6">
        <f t="shared" ca="1" si="19"/>
        <v>3</v>
      </c>
      <c r="P99" s="8">
        <f t="shared" ca="1" si="20"/>
        <v>36989</v>
      </c>
      <c r="Q99" s="6">
        <f ca="1">RANDBETWEEN(2,COUNTA('Recruitment source'!$A:$A))</f>
        <v>6</v>
      </c>
      <c r="R99" s="8" t="e">
        <f t="shared" ca="1" si="21"/>
        <v>#N/A</v>
      </c>
      <c r="S99" s="6" t="e">
        <f t="shared" ca="1" si="22"/>
        <v>#N/A</v>
      </c>
      <c r="T99" s="6">
        <f t="shared" ca="1" si="12"/>
        <v>5</v>
      </c>
      <c r="U99" s="1">
        <f t="shared" ca="1" si="23"/>
        <v>2000</v>
      </c>
    </row>
    <row r="100" spans="1:21" x14ac:dyDescent="0.2">
      <c r="A100" s="7" cm="1">
        <f t="array" aca="1" ref="A100" ca="1">INDEX(Companies!$A:$A,RANDBETWEEN(2,COUNTA(Companies!$A:$A)),1)</f>
        <v>2</v>
      </c>
      <c r="B100" s="5">
        <f t="shared" si="13"/>
        <v>99</v>
      </c>
      <c r="C100" s="6">
        <f t="shared" ca="1" si="14"/>
        <v>1</v>
      </c>
      <c r="D100" s="7">
        <f ca="1">IF($B100 = 1 + N("Presidente"),
    127,
    IF($B100 = 2 + N("Vice-Presidente"),
        72,
        IF($B100 = 3 + N("Secretária bilíngue"),
            13,
            RANDBETWEEN(5,COUNT(Name!$A:$A) + 1)
        )
    )
)</f>
        <v>304</v>
      </c>
      <c r="E100" s="7" t="str">
        <f ca="1" xml:space="preserve">
VLOOKUP(
  $D100,
  Name!$A:$B,
  2,
  FALSE
)
&amp; " " &amp;
IF($B100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Natanael Greco Camacho</v>
      </c>
      <c r="F100" s="7">
        <v>2</v>
      </c>
      <c r="G100" s="7" cm="1">
        <f t="array" aca="1" ref="G100" ca="1">INDEX(States!$B:$B,RANDBETWEEN(2,COUNTA(States!$A:$A)),1)</f>
        <v>13</v>
      </c>
      <c r="H100" s="7" t="str">
        <f ca="1">VLOOKUP($D100,Name!$A:$C,3,FALSE)</f>
        <v>M</v>
      </c>
      <c r="I100" s="7" cm="1">
        <f t="array" aca="1" ref="I100" ca="1">INDEX('Marital status'!$A:$A,RANDBETWEEN(2,COUNTA('Marital status'!$A:$A)),1)</f>
        <v>5</v>
      </c>
      <c r="J100" s="7">
        <f t="shared" ca="1" si="15"/>
        <v>2</v>
      </c>
      <c r="K100" s="8">
        <f t="shared" ca="1" si="16"/>
        <v>19960</v>
      </c>
      <c r="L100" s="6">
        <f t="shared" ca="1" si="17"/>
        <v>4</v>
      </c>
      <c r="M100" s="7">
        <f ca="1" xml:space="preserve">
  IF(OR($N100 = 2, $N100 = 3, $N100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00" s="6">
        <f t="shared" ca="1" si="18"/>
        <v>6</v>
      </c>
      <c r="O100" s="6" t="e">
        <f t="shared" ca="1" si="19"/>
        <v>#N/A</v>
      </c>
      <c r="P100" s="8">
        <f t="shared" ca="1" si="20"/>
        <v>41101</v>
      </c>
      <c r="Q100" s="6">
        <f ca="1">RANDBETWEEN(2,COUNTA('Recruitment source'!$A:$A))</f>
        <v>11</v>
      </c>
      <c r="R100" s="8" t="e">
        <f t="shared" ca="1" si="21"/>
        <v>#N/A</v>
      </c>
      <c r="S100" s="6" t="e">
        <f t="shared" ca="1" si="22"/>
        <v>#N/A</v>
      </c>
      <c r="T100" s="6">
        <f t="shared" ca="1" si="12"/>
        <v>4</v>
      </c>
      <c r="U100" s="1">
        <f t="shared" ca="1" si="23"/>
        <v>805</v>
      </c>
    </row>
    <row r="101" spans="1:21" x14ac:dyDescent="0.2">
      <c r="A101" s="7" cm="1">
        <f t="array" aca="1" ref="A101" ca="1">INDEX(Companies!$A:$A,RANDBETWEEN(2,COUNTA(Companies!$A:$A)),1)</f>
        <v>2</v>
      </c>
      <c r="B101" s="5">
        <f t="shared" si="13"/>
        <v>100</v>
      </c>
      <c r="C101" s="6">
        <f t="shared" ca="1" si="14"/>
        <v>1</v>
      </c>
      <c r="D101" s="7">
        <f ca="1">IF($B101 = 1 + N("Presidente"),
    127,
    IF($B101 = 2 + N("Vice-Presidente"),
        72,
        IF($B101 = 3 + N("Secretária bilíngue"),
            13,
            RANDBETWEEN(5,COUNT(Name!$A:$A) + 1)
        )
    )
)</f>
        <v>308</v>
      </c>
      <c r="E101" s="7" t="str">
        <f ca="1" xml:space="preserve">
VLOOKUP(
  $D101,
  Name!$A:$B,
  2,
  FALSE
)
&amp; " " &amp;
IF($B101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Noah Gomes Figo</v>
      </c>
      <c r="F101" s="7">
        <v>2</v>
      </c>
      <c r="G101" s="7" cm="1">
        <f t="array" aca="1" ref="G101" ca="1">INDEX(States!$B:$B,RANDBETWEEN(2,COUNTA(States!$A:$A)),1)</f>
        <v>18</v>
      </c>
      <c r="H101" s="7" t="str">
        <f ca="1">VLOOKUP($D101,Name!$A:$C,3,FALSE)</f>
        <v>M</v>
      </c>
      <c r="I101" s="7" cm="1">
        <f t="array" aca="1" ref="I101" ca="1">INDEX('Marital status'!$A:$A,RANDBETWEEN(2,COUNTA('Marital status'!$A:$A)),1)</f>
        <v>4</v>
      </c>
      <c r="J101" s="7">
        <f t="shared" ca="1" si="15"/>
        <v>2</v>
      </c>
      <c r="K101" s="8">
        <f t="shared" ca="1" si="16"/>
        <v>38213</v>
      </c>
      <c r="L101" s="6">
        <f t="shared" ca="1" si="17"/>
        <v>4</v>
      </c>
      <c r="M101" s="7">
        <f ca="1" xml:space="preserve">
  IF(OR($N101 = 2, $N101 = 3, $N101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01" s="6">
        <f t="shared" ca="1" si="18"/>
        <v>8</v>
      </c>
      <c r="O101" s="6">
        <f t="shared" ca="1" si="19"/>
        <v>3</v>
      </c>
      <c r="P101" s="8">
        <f t="shared" ca="1" si="20"/>
        <v>44838</v>
      </c>
      <c r="Q101" s="6">
        <f ca="1">RANDBETWEEN(2,COUNTA('Recruitment source'!$A:$A))</f>
        <v>4</v>
      </c>
      <c r="R101" s="8" t="e">
        <f t="shared" ca="1" si="21"/>
        <v>#N/A</v>
      </c>
      <c r="S101" s="6" t="e">
        <f t="shared" ca="1" si="22"/>
        <v>#N/A</v>
      </c>
      <c r="T101" s="6">
        <f t="shared" ca="1" si="12"/>
        <v>2</v>
      </c>
      <c r="U101" s="1">
        <f t="shared" ca="1" si="23"/>
        <v>2080</v>
      </c>
    </row>
    <row r="102" spans="1:21" x14ac:dyDescent="0.2">
      <c r="A102" s="7" cm="1">
        <f t="array" aca="1" ref="A102" ca="1">INDEX(Companies!$A:$A,RANDBETWEEN(2,COUNTA(Companies!$A:$A)),1)</f>
        <v>2</v>
      </c>
      <c r="B102" s="5">
        <f t="shared" si="13"/>
        <v>101</v>
      </c>
      <c r="C102" s="6">
        <f t="shared" ca="1" si="14"/>
        <v>1</v>
      </c>
      <c r="D102" s="7">
        <f ca="1">IF($B102 = 1 + N("Presidente"),
    127,
    IF($B102 = 2 + N("Vice-Presidente"),
        72,
        IF($B102 = 3 + N("Secretária bilíngue"),
            13,
            RANDBETWEEN(5,COUNT(Name!$A:$A) + 1)
        )
    )
)</f>
        <v>80</v>
      </c>
      <c r="E102" s="7" t="str">
        <f ca="1" xml:space="preserve">
VLOOKUP(
  $D102,
  Name!$A:$B,
  2,
  FALSE
)
&amp; " " &amp;
IF($B102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Byatriz Paulista Andrioli</v>
      </c>
      <c r="F102" s="7">
        <v>2</v>
      </c>
      <c r="G102" s="7" cm="1">
        <f t="array" aca="1" ref="G102" ca="1">INDEX(States!$B:$B,RANDBETWEEN(2,COUNTA(States!$A:$A)),1)</f>
        <v>21</v>
      </c>
      <c r="H102" s="7" t="str">
        <f ca="1">VLOOKUP($D102,Name!$A:$C,3,FALSE)</f>
        <v>F</v>
      </c>
      <c r="I102" s="7" cm="1">
        <f t="array" aca="1" ref="I102" ca="1">INDEX('Marital status'!$A:$A,RANDBETWEEN(2,COUNTA('Marital status'!$A:$A)),1)</f>
        <v>3</v>
      </c>
      <c r="J102" s="7">
        <f t="shared" ca="1" si="15"/>
        <v>2</v>
      </c>
      <c r="K102" s="8">
        <f t="shared" ca="1" si="16"/>
        <v>31718</v>
      </c>
      <c r="L102" s="6">
        <f t="shared" ca="1" si="17"/>
        <v>4</v>
      </c>
      <c r="M102" s="7">
        <f ca="1" xml:space="preserve">
  IF(OR($N102 = 2, $N102 = 3, $N102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02" s="6">
        <f t="shared" ca="1" si="18"/>
        <v>6</v>
      </c>
      <c r="O102" s="6" t="e">
        <f t="shared" ca="1" si="19"/>
        <v>#N/A</v>
      </c>
      <c r="P102" s="8">
        <f t="shared" ca="1" si="20"/>
        <v>41252</v>
      </c>
      <c r="Q102" s="6">
        <f ca="1">RANDBETWEEN(2,COUNTA('Recruitment source'!$A:$A))</f>
        <v>5</v>
      </c>
      <c r="R102" s="8" t="e">
        <f t="shared" ca="1" si="21"/>
        <v>#N/A</v>
      </c>
      <c r="S102" s="6" t="e">
        <f t="shared" ca="1" si="22"/>
        <v>#N/A</v>
      </c>
      <c r="T102" s="6">
        <f t="shared" ca="1" si="12"/>
        <v>3</v>
      </c>
      <c r="U102" s="1">
        <f t="shared" ca="1" si="23"/>
        <v>805</v>
      </c>
    </row>
    <row r="103" spans="1:21" x14ac:dyDescent="0.2">
      <c r="A103" s="7" cm="1">
        <f t="array" aca="1" ref="A103" ca="1">INDEX(Companies!$A:$A,RANDBETWEEN(2,COUNTA(Companies!$A:$A)),1)</f>
        <v>2</v>
      </c>
      <c r="B103" s="5">
        <f t="shared" si="13"/>
        <v>102</v>
      </c>
      <c r="C103" s="6">
        <f t="shared" ca="1" si="14"/>
        <v>1</v>
      </c>
      <c r="D103" s="7">
        <f ca="1">IF($B103 = 1 + N("Presidente"),
    127,
    IF($B103 = 2 + N("Vice-Presidente"),
        72,
        IF($B103 = 3 + N("Secretária bilíngue"),
            13,
            RANDBETWEEN(5,COUNT(Name!$A:$A) + 1)
        )
    )
)</f>
        <v>336</v>
      </c>
      <c r="E103" s="7" t="str">
        <f ca="1" xml:space="preserve">
VLOOKUP(
  $D103,
  Name!$A:$B,
  2,
  FALSE
)
&amp; " " &amp;
IF($B103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Samuel Salvador Moreira</v>
      </c>
      <c r="F103" s="7">
        <v>2</v>
      </c>
      <c r="G103" s="7" cm="1">
        <f t="array" aca="1" ref="G103" ca="1">INDEX(States!$B:$B,RANDBETWEEN(2,COUNTA(States!$A:$A)),1)</f>
        <v>18</v>
      </c>
      <c r="H103" s="7" t="str">
        <f ca="1">VLOOKUP($D103,Name!$A:$C,3,FALSE)</f>
        <v>M</v>
      </c>
      <c r="I103" s="7" cm="1">
        <f t="array" aca="1" ref="I103" ca="1">INDEX('Marital status'!$A:$A,RANDBETWEEN(2,COUNTA('Marital status'!$A:$A)),1)</f>
        <v>6</v>
      </c>
      <c r="J103" s="7">
        <f t="shared" ca="1" si="15"/>
        <v>2</v>
      </c>
      <c r="K103" s="8">
        <f t="shared" ca="1" si="16"/>
        <v>34904</v>
      </c>
      <c r="L103" s="6">
        <f t="shared" ca="1" si="17"/>
        <v>5</v>
      </c>
      <c r="M103" s="7">
        <f ca="1" xml:space="preserve">
  IF(OR($N103 = 2, $N103 = 3, $N103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03" s="6">
        <f t="shared" ca="1" si="18"/>
        <v>8</v>
      </c>
      <c r="O103" s="6">
        <f t="shared" ca="1" si="19"/>
        <v>4</v>
      </c>
      <c r="P103" s="8">
        <f t="shared" ca="1" si="20"/>
        <v>42374</v>
      </c>
      <c r="Q103" s="6">
        <f ca="1">RANDBETWEEN(2,COUNTA('Recruitment source'!$A:$A))</f>
        <v>10</v>
      </c>
      <c r="R103" s="8" t="e">
        <f t="shared" ca="1" si="21"/>
        <v>#N/A</v>
      </c>
      <c r="S103" s="6" t="e">
        <f t="shared" ca="1" si="22"/>
        <v>#N/A</v>
      </c>
      <c r="T103" s="6">
        <f t="shared" ca="1" si="12"/>
        <v>4</v>
      </c>
      <c r="U103" s="1">
        <f t="shared" ca="1" si="23"/>
        <v>2100</v>
      </c>
    </row>
    <row r="104" spans="1:21" x14ac:dyDescent="0.2">
      <c r="A104" s="7" cm="1">
        <f t="array" aca="1" ref="A104" ca="1">INDEX(Companies!$A:$A,RANDBETWEEN(2,COUNTA(Companies!$A:$A)),1)</f>
        <v>2</v>
      </c>
      <c r="B104" s="5">
        <f t="shared" si="13"/>
        <v>103</v>
      </c>
      <c r="C104" s="6">
        <f t="shared" ca="1" si="14"/>
        <v>1</v>
      </c>
      <c r="D104" s="7">
        <f ca="1">IF($B104 = 1 + N("Presidente"),
    127,
    IF($B104 = 2 + N("Vice-Presidente"),
        72,
        IF($B104 = 3 + N("Secretária bilíngue"),
            13,
            RANDBETWEEN(5,COUNT(Name!$A:$A) + 1)
        )
    )
)</f>
        <v>225</v>
      </c>
      <c r="E104" s="7" t="str">
        <f ca="1" xml:space="preserve">
VLOOKUP(
  $D104,
  Name!$A:$B,
  2,
  FALSE
)
&amp; " " &amp;
IF($B104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Levi Azeredo Negrão</v>
      </c>
      <c r="F104" s="7">
        <v>2</v>
      </c>
      <c r="G104" s="7" cm="1">
        <f t="array" aca="1" ref="G104" ca="1">INDEX(States!$B:$B,RANDBETWEEN(2,COUNTA(States!$A:$A)),1)</f>
        <v>19</v>
      </c>
      <c r="H104" s="7" t="str">
        <f ca="1">VLOOKUP($D104,Name!$A:$C,3,FALSE)</f>
        <v>M</v>
      </c>
      <c r="I104" s="7" cm="1">
        <f t="array" aca="1" ref="I104" ca="1">INDEX('Marital status'!$A:$A,RANDBETWEEN(2,COUNTA('Marital status'!$A:$A)),1)</f>
        <v>4</v>
      </c>
      <c r="J104" s="7">
        <f t="shared" ca="1" si="15"/>
        <v>2</v>
      </c>
      <c r="K104" s="8">
        <f t="shared" ca="1" si="16"/>
        <v>24535</v>
      </c>
      <c r="L104" s="6">
        <f t="shared" ca="1" si="17"/>
        <v>4</v>
      </c>
      <c r="M104" s="7">
        <f ca="1" xml:space="preserve">
  IF(OR($N104 = 2, $N104 = 3, $N104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04" s="6">
        <f t="shared" ca="1" si="18"/>
        <v>6</v>
      </c>
      <c r="O104" s="6" t="e">
        <f t="shared" ca="1" si="19"/>
        <v>#N/A</v>
      </c>
      <c r="P104" s="8">
        <f t="shared" ca="1" si="20"/>
        <v>39542</v>
      </c>
      <c r="Q104" s="6">
        <f ca="1">RANDBETWEEN(2,COUNTA('Recruitment source'!$A:$A))</f>
        <v>3</v>
      </c>
      <c r="R104" s="8" t="e">
        <f t="shared" ca="1" si="21"/>
        <v>#N/A</v>
      </c>
      <c r="S104" s="6" t="e">
        <f t="shared" ca="1" si="22"/>
        <v>#N/A</v>
      </c>
      <c r="T104" s="6">
        <f t="shared" ca="1" si="12"/>
        <v>4</v>
      </c>
      <c r="U104" s="1">
        <f t="shared" ca="1" si="23"/>
        <v>805</v>
      </c>
    </row>
    <row r="105" spans="1:21" x14ac:dyDescent="0.2">
      <c r="A105" s="7" cm="1">
        <f t="array" aca="1" ref="A105" ca="1">INDEX(Companies!$A:$A,RANDBETWEEN(2,COUNTA(Companies!$A:$A)),1)</f>
        <v>2</v>
      </c>
      <c r="B105" s="5">
        <f t="shared" si="13"/>
        <v>104</v>
      </c>
      <c r="C105" s="6">
        <f t="shared" ca="1" si="14"/>
        <v>1</v>
      </c>
      <c r="D105" s="7">
        <f ca="1">IF($B105 = 1 + N("Presidente"),
    127,
    IF($B105 = 2 + N("Vice-Presidente"),
        72,
        IF($B105 = 3 + N("Secretária bilíngue"),
            13,
            RANDBETWEEN(5,COUNT(Name!$A:$A) + 1)
        )
    )
)</f>
        <v>225</v>
      </c>
      <c r="E105" s="7" t="str">
        <f ca="1" xml:space="preserve">
VLOOKUP(
  $D105,
  Name!$A:$B,
  2,
  FALSE
)
&amp; " " &amp;
IF($B105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Levi Moretti Conti</v>
      </c>
      <c r="F105" s="7">
        <v>2</v>
      </c>
      <c r="G105" s="7" cm="1">
        <f t="array" aca="1" ref="G105" ca="1">INDEX(States!$B:$B,RANDBETWEEN(2,COUNTA(States!$A:$A)),1)</f>
        <v>11</v>
      </c>
      <c r="H105" s="7" t="str">
        <f ca="1">VLOOKUP($D105,Name!$A:$C,3,FALSE)</f>
        <v>M</v>
      </c>
      <c r="I105" s="7" cm="1">
        <f t="array" aca="1" ref="I105" ca="1">INDEX('Marital status'!$A:$A,RANDBETWEEN(2,COUNTA('Marital status'!$A:$A)),1)</f>
        <v>4</v>
      </c>
      <c r="J105" s="7">
        <f t="shared" ca="1" si="15"/>
        <v>3</v>
      </c>
      <c r="K105" s="8">
        <f t="shared" ca="1" si="16"/>
        <v>37022</v>
      </c>
      <c r="L105" s="6">
        <f t="shared" ca="1" si="17"/>
        <v>5</v>
      </c>
      <c r="M105" s="7">
        <f ca="1" xml:space="preserve">
  IF(OR($N105 = 2, $N105 = 3, $N105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05" s="6">
        <f t="shared" ca="1" si="18"/>
        <v>8</v>
      </c>
      <c r="O105" s="6">
        <f t="shared" ca="1" si="19"/>
        <v>4</v>
      </c>
      <c r="P105" s="8">
        <f t="shared" ca="1" si="20"/>
        <v>39086</v>
      </c>
      <c r="Q105" s="6">
        <f ca="1">RANDBETWEEN(2,COUNTA('Recruitment source'!$A:$A))</f>
        <v>7</v>
      </c>
      <c r="R105" s="8" t="e">
        <f t="shared" ca="1" si="21"/>
        <v>#N/A</v>
      </c>
      <c r="S105" s="6" t="e">
        <f t="shared" ca="1" si="22"/>
        <v>#N/A</v>
      </c>
      <c r="T105" s="6">
        <f t="shared" ca="1" si="12"/>
        <v>5</v>
      </c>
      <c r="U105" s="1">
        <f t="shared" ca="1" si="23"/>
        <v>2000</v>
      </c>
    </row>
    <row r="106" spans="1:21" x14ac:dyDescent="0.2">
      <c r="A106" s="7" cm="1">
        <f t="array" aca="1" ref="A106" ca="1">INDEX(Companies!$A:$A,RANDBETWEEN(2,COUNTA(Companies!$A:$A)),1)</f>
        <v>2</v>
      </c>
      <c r="B106" s="5">
        <f t="shared" si="13"/>
        <v>105</v>
      </c>
      <c r="C106" s="6">
        <f t="shared" ca="1" si="14"/>
        <v>1</v>
      </c>
      <c r="D106" s="7">
        <f ca="1">IF($B106 = 1 + N("Presidente"),
    127,
    IF($B106 = 2 + N("Vice-Presidente"),
        72,
        IF($B106 = 3 + N("Secretária bilíngue"),
            13,
            RANDBETWEEN(5,COUNT(Name!$A:$A) + 1)
        )
    )
)</f>
        <v>278</v>
      </c>
      <c r="E106" s="7" t="str">
        <f ca="1" xml:space="preserve">
VLOOKUP(
  $D106,
  Name!$A:$B,
  2,
  FALSE
)
&amp; " " &amp;
IF($B106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Mariana Teixeira Abranches</v>
      </c>
      <c r="F106" s="7">
        <v>2</v>
      </c>
      <c r="G106" s="7" cm="1">
        <f t="array" aca="1" ref="G106" ca="1">INDEX(States!$B:$B,RANDBETWEEN(2,COUNTA(States!$A:$A)),1)</f>
        <v>8</v>
      </c>
      <c r="H106" s="7" t="str">
        <f ca="1">VLOOKUP($D106,Name!$A:$C,3,FALSE)</f>
        <v>F</v>
      </c>
      <c r="I106" s="7" cm="1">
        <f t="array" aca="1" ref="I106" ca="1">INDEX('Marital status'!$A:$A,RANDBETWEEN(2,COUNTA('Marital status'!$A:$A)),1)</f>
        <v>6</v>
      </c>
      <c r="J106" s="7">
        <f t="shared" ca="1" si="15"/>
        <v>2</v>
      </c>
      <c r="K106" s="8">
        <f t="shared" ca="1" si="16"/>
        <v>33030</v>
      </c>
      <c r="L106" s="6">
        <f t="shared" ca="1" si="17"/>
        <v>4</v>
      </c>
      <c r="M106" s="7">
        <f ca="1" xml:space="preserve">
  IF(OR($N106 = 2, $N106 = 3, $N106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06" s="6">
        <f t="shared" ca="1" si="18"/>
        <v>7</v>
      </c>
      <c r="O106" s="6" t="e">
        <f t="shared" ca="1" si="19"/>
        <v>#N/A</v>
      </c>
      <c r="P106" s="8">
        <f t="shared" ca="1" si="20"/>
        <v>40382</v>
      </c>
      <c r="Q106" s="6">
        <f ca="1">RANDBETWEEN(2,COUNTA('Recruitment source'!$A:$A))</f>
        <v>7</v>
      </c>
      <c r="R106" s="8" t="e">
        <f t="shared" ca="1" si="21"/>
        <v>#N/A</v>
      </c>
      <c r="S106" s="6" t="e">
        <f t="shared" ca="1" si="22"/>
        <v>#N/A</v>
      </c>
      <c r="T106" s="6">
        <f t="shared" ca="1" si="12"/>
        <v>3</v>
      </c>
      <c r="U106" s="1">
        <f t="shared" ca="1" si="23"/>
        <v>1005</v>
      </c>
    </row>
    <row r="107" spans="1:21" x14ac:dyDescent="0.2">
      <c r="A107" s="7" cm="1">
        <f t="array" aca="1" ref="A107" ca="1">INDEX(Companies!$A:$A,RANDBETWEEN(2,COUNTA(Companies!$A:$A)),1)</f>
        <v>2</v>
      </c>
      <c r="B107" s="5">
        <f t="shared" si="13"/>
        <v>106</v>
      </c>
      <c r="C107" s="6">
        <f t="shared" ca="1" si="14"/>
        <v>1</v>
      </c>
      <c r="D107" s="7">
        <f ca="1">IF($B107 = 1 + N("Presidente"),
    127,
    IF($B107 = 2 + N("Vice-Presidente"),
        72,
        IF($B107 = 3 + N("Secretária bilíngue"),
            13,
            RANDBETWEEN(5,COUNT(Name!$A:$A) + 1)
        )
    )
)</f>
        <v>198</v>
      </c>
      <c r="E107" s="7" t="str">
        <f ca="1" xml:space="preserve">
VLOOKUP(
  $D107,
  Name!$A:$B,
  2,
  FALSE
)
&amp; " " &amp;
IF($B107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Emanuel Gomes Badu</v>
      </c>
      <c r="F107" s="7">
        <v>2</v>
      </c>
      <c r="G107" s="7" cm="1">
        <f t="array" aca="1" ref="G107" ca="1">INDEX(States!$B:$B,RANDBETWEEN(2,COUNTA(States!$A:$A)),1)</f>
        <v>16</v>
      </c>
      <c r="H107" s="7" t="str">
        <f ca="1">VLOOKUP($D107,Name!$A:$C,3,FALSE)</f>
        <v>M</v>
      </c>
      <c r="I107" s="7" cm="1">
        <f t="array" aca="1" ref="I107" ca="1">INDEX('Marital status'!$A:$A,RANDBETWEEN(2,COUNTA('Marital status'!$A:$A)),1)</f>
        <v>2</v>
      </c>
      <c r="J107" s="7">
        <f t="shared" ca="1" si="15"/>
        <v>2</v>
      </c>
      <c r="K107" s="8">
        <f t="shared" ca="1" si="16"/>
        <v>38093</v>
      </c>
      <c r="L107" s="6">
        <f t="shared" ca="1" si="17"/>
        <v>4</v>
      </c>
      <c r="M107" s="7">
        <f ca="1" xml:space="preserve">
  IF(OR($N107 = 2, $N107 = 3, $N107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07" s="6">
        <f t="shared" ca="1" si="18"/>
        <v>8</v>
      </c>
      <c r="O107" s="6">
        <f t="shared" ca="1" si="19"/>
        <v>4</v>
      </c>
      <c r="P107" s="8">
        <f t="shared" ca="1" si="20"/>
        <v>44838</v>
      </c>
      <c r="Q107" s="6">
        <f ca="1">RANDBETWEEN(2,COUNTA('Recruitment source'!$A:$A))</f>
        <v>7</v>
      </c>
      <c r="R107" s="8" t="e">
        <f t="shared" ca="1" si="21"/>
        <v>#N/A</v>
      </c>
      <c r="S107" s="6" t="e">
        <f t="shared" ca="1" si="22"/>
        <v>#N/A</v>
      </c>
      <c r="T107" s="6">
        <f t="shared" ca="1" si="12"/>
        <v>3</v>
      </c>
      <c r="U107" s="1">
        <f t="shared" ca="1" si="23"/>
        <v>2000</v>
      </c>
    </row>
    <row r="108" spans="1:21" x14ac:dyDescent="0.2">
      <c r="A108" s="7" cm="1">
        <f t="array" aca="1" ref="A108" ca="1">INDEX(Companies!$A:$A,RANDBETWEEN(2,COUNTA(Companies!$A:$A)),1)</f>
        <v>2</v>
      </c>
      <c r="B108" s="5">
        <f t="shared" si="13"/>
        <v>107</v>
      </c>
      <c r="C108" s="6">
        <f t="shared" ca="1" si="14"/>
        <v>1</v>
      </c>
      <c r="D108" s="7">
        <f ca="1">IF($B108 = 1 + N("Presidente"),
    127,
    IF($B108 = 2 + N("Vice-Presidente"),
        72,
        IF($B108 = 3 + N("Secretária bilíngue"),
            13,
            RANDBETWEEN(5,COUNT(Name!$A:$A) + 1)
        )
    )
)</f>
        <v>100</v>
      </c>
      <c r="E108" s="7" t="str">
        <f ca="1" xml:space="preserve">
VLOOKUP(
  $D108,
  Name!$A:$B,
  2,
  FALSE
)
&amp; " " &amp;
IF($B108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Cristóvão Moretti Faria</v>
      </c>
      <c r="F108" s="7">
        <v>2</v>
      </c>
      <c r="G108" s="7" cm="1">
        <f t="array" aca="1" ref="G108" ca="1">INDEX(States!$B:$B,RANDBETWEEN(2,COUNTA(States!$A:$A)),1)</f>
        <v>11</v>
      </c>
      <c r="H108" s="7" t="str">
        <f ca="1">VLOOKUP($D108,Name!$A:$C,3,FALSE)</f>
        <v>M</v>
      </c>
      <c r="I108" s="7" cm="1">
        <f t="array" aca="1" ref="I108" ca="1">INDEX('Marital status'!$A:$A,RANDBETWEEN(2,COUNTA('Marital status'!$A:$A)),1)</f>
        <v>3</v>
      </c>
      <c r="J108" s="7">
        <f t="shared" ca="1" si="15"/>
        <v>2</v>
      </c>
      <c r="K108" s="8">
        <f t="shared" ca="1" si="16"/>
        <v>30377</v>
      </c>
      <c r="L108" s="6">
        <f t="shared" ca="1" si="17"/>
        <v>4</v>
      </c>
      <c r="M108" s="7">
        <f ca="1" xml:space="preserve">
  IF(OR($N108 = 2, $N108 = 3, $N108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08" s="6">
        <f t="shared" ca="1" si="18"/>
        <v>7</v>
      </c>
      <c r="O108" s="6" t="e">
        <f t="shared" ca="1" si="19"/>
        <v>#N/A</v>
      </c>
      <c r="P108" s="8">
        <f t="shared" ca="1" si="20"/>
        <v>39341</v>
      </c>
      <c r="Q108" s="6">
        <f ca="1">RANDBETWEEN(2,COUNTA('Recruitment source'!$A:$A))</f>
        <v>10</v>
      </c>
      <c r="R108" s="8" t="e">
        <f t="shared" ca="1" si="21"/>
        <v>#N/A</v>
      </c>
      <c r="S108" s="6" t="e">
        <f t="shared" ca="1" si="22"/>
        <v>#N/A</v>
      </c>
      <c r="T108" s="6">
        <f t="shared" ca="1" si="12"/>
        <v>4</v>
      </c>
      <c r="U108" s="1">
        <f t="shared" ca="1" si="23"/>
        <v>1005</v>
      </c>
    </row>
    <row r="109" spans="1:21" x14ac:dyDescent="0.2">
      <c r="A109" s="7" cm="1">
        <f t="array" aca="1" ref="A109" ca="1">INDEX(Companies!$A:$A,RANDBETWEEN(2,COUNTA(Companies!$A:$A)),1)</f>
        <v>2</v>
      </c>
      <c r="B109" s="5">
        <f t="shared" si="13"/>
        <v>108</v>
      </c>
      <c r="C109" s="6">
        <f t="shared" ca="1" si="14"/>
        <v>1</v>
      </c>
      <c r="D109" s="7">
        <f ca="1">IF($B109 = 1 + N("Presidente"),
    127,
    IF($B109 = 2 + N("Vice-Presidente"),
        72,
        IF($B109 = 3 + N("Secretária bilíngue"),
            13,
            RANDBETWEEN(5,COUNT(Name!$A:$A) + 1)
        )
    )
)</f>
        <v>153</v>
      </c>
      <c r="E109" s="7" t="str">
        <f ca="1" xml:space="preserve">
VLOOKUP(
  $D109,
  Name!$A:$B,
  2,
  FALSE
)
&amp; " " &amp;
IF($B109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Giovana Pedroso Bragança</v>
      </c>
      <c r="F109" s="7">
        <v>2</v>
      </c>
      <c r="G109" s="7" cm="1">
        <f t="array" aca="1" ref="G109" ca="1">INDEX(States!$B:$B,RANDBETWEEN(2,COUNTA(States!$A:$A)),1)</f>
        <v>3</v>
      </c>
      <c r="H109" s="7" t="str">
        <f ca="1">VLOOKUP($D109,Name!$A:$C,3,FALSE)</f>
        <v>F</v>
      </c>
      <c r="I109" s="7" cm="1">
        <f t="array" aca="1" ref="I109" ca="1">INDEX('Marital status'!$A:$A,RANDBETWEEN(2,COUNTA('Marital status'!$A:$A)),1)</f>
        <v>3</v>
      </c>
      <c r="J109" s="7">
        <f t="shared" ca="1" si="15"/>
        <v>2</v>
      </c>
      <c r="K109" s="8">
        <f t="shared" ca="1" si="16"/>
        <v>38186</v>
      </c>
      <c r="L109" s="6">
        <f t="shared" ca="1" si="17"/>
        <v>5</v>
      </c>
      <c r="M109" s="7">
        <f ca="1" xml:space="preserve">
  IF(OR($N109 = 2, $N109 = 3, $N109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09" s="6">
        <f t="shared" ca="1" si="18"/>
        <v>8</v>
      </c>
      <c r="O109" s="6">
        <f t="shared" ca="1" si="19"/>
        <v>2</v>
      </c>
      <c r="P109" s="8">
        <f t="shared" ca="1" si="20"/>
        <v>44838</v>
      </c>
      <c r="Q109" s="6">
        <f ca="1">RANDBETWEEN(2,COUNTA('Recruitment source'!$A:$A))</f>
        <v>10</v>
      </c>
      <c r="R109" s="8" t="e">
        <f t="shared" ca="1" si="21"/>
        <v>#N/A</v>
      </c>
      <c r="S109" s="6" t="e">
        <f t="shared" ca="1" si="22"/>
        <v>#N/A</v>
      </c>
      <c r="T109" s="6">
        <f t="shared" ca="1" si="12"/>
        <v>3</v>
      </c>
      <c r="U109" s="1">
        <f t="shared" ca="1" si="23"/>
        <v>2000</v>
      </c>
    </row>
    <row r="110" spans="1:21" x14ac:dyDescent="0.2">
      <c r="A110" s="7" cm="1">
        <f t="array" aca="1" ref="A110" ca="1">INDEX(Companies!$A:$A,RANDBETWEEN(2,COUNTA(Companies!$A:$A)),1)</f>
        <v>2</v>
      </c>
      <c r="B110" s="5">
        <f t="shared" si="13"/>
        <v>109</v>
      </c>
      <c r="C110" s="6">
        <f t="shared" ca="1" si="14"/>
        <v>1</v>
      </c>
      <c r="D110" s="7">
        <f ca="1">IF($B110 = 1 + N("Presidente"),
    127,
    IF($B110 = 2 + N("Vice-Presidente"),
        72,
        IF($B110 = 3 + N("Secretária bilíngue"),
            13,
            RANDBETWEEN(5,COUNT(Name!$A:$A) + 1)
        )
    )
)</f>
        <v>250</v>
      </c>
      <c r="E110" s="7" t="str">
        <f ca="1" xml:space="preserve">
VLOOKUP(
  $D110,
  Name!$A:$B,
  2,
  FALSE
)
&amp; " " &amp;
IF($B110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Madalena Furtado Fernandes</v>
      </c>
      <c r="F110" s="7">
        <v>2</v>
      </c>
      <c r="G110" s="7" cm="1">
        <f t="array" aca="1" ref="G110" ca="1">INDEX(States!$B:$B,RANDBETWEEN(2,COUNTA(States!$A:$A)),1)</f>
        <v>15</v>
      </c>
      <c r="H110" s="7" t="str">
        <f ca="1">VLOOKUP($D110,Name!$A:$C,3,FALSE)</f>
        <v>F</v>
      </c>
      <c r="I110" s="7" cm="1">
        <f t="array" aca="1" ref="I110" ca="1">INDEX('Marital status'!$A:$A,RANDBETWEEN(2,COUNTA('Marital status'!$A:$A)),1)</f>
        <v>6</v>
      </c>
      <c r="J110" s="7">
        <f t="shared" ca="1" si="15"/>
        <v>4</v>
      </c>
      <c r="K110" s="8">
        <f t="shared" ca="1" si="16"/>
        <v>31083</v>
      </c>
      <c r="L110" s="6">
        <f t="shared" ca="1" si="17"/>
        <v>4</v>
      </c>
      <c r="M110" s="7">
        <f ca="1" xml:space="preserve">
  IF(OR($N110 = 2, $N110 = 3, $N110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10" s="6">
        <f t="shared" ca="1" si="18"/>
        <v>7</v>
      </c>
      <c r="O110" s="6" t="e">
        <f t="shared" ca="1" si="19"/>
        <v>#N/A</v>
      </c>
      <c r="P110" s="8">
        <f t="shared" ca="1" si="20"/>
        <v>38975</v>
      </c>
      <c r="Q110" s="6">
        <f ca="1">RANDBETWEEN(2,COUNTA('Recruitment source'!$A:$A))</f>
        <v>12</v>
      </c>
      <c r="R110" s="8" t="e">
        <f t="shared" ca="1" si="21"/>
        <v>#N/A</v>
      </c>
      <c r="S110" s="6" t="e">
        <f t="shared" ca="1" si="22"/>
        <v>#N/A</v>
      </c>
      <c r="T110" s="6">
        <f t="shared" ca="1" si="12"/>
        <v>2</v>
      </c>
      <c r="U110" s="1">
        <f t="shared" ca="1" si="23"/>
        <v>1085</v>
      </c>
    </row>
    <row r="111" spans="1:21" x14ac:dyDescent="0.2">
      <c r="A111" s="7" cm="1">
        <f t="array" aca="1" ref="A111" ca="1">INDEX(Companies!$A:$A,RANDBETWEEN(2,COUNTA(Companies!$A:$A)),1)</f>
        <v>2</v>
      </c>
      <c r="B111" s="5">
        <f t="shared" si="13"/>
        <v>110</v>
      </c>
      <c r="C111" s="6">
        <f t="shared" ca="1" si="14"/>
        <v>0</v>
      </c>
      <c r="D111" s="7">
        <f ca="1">IF($B111 = 1 + N("Presidente"),
    127,
    IF($B111 = 2 + N("Vice-Presidente"),
        72,
        IF($B111 = 3 + N("Secretária bilíngue"),
            13,
            RANDBETWEEN(5,COUNT(Name!$A:$A) + 1)
        )
    )
)</f>
        <v>192</v>
      </c>
      <c r="E111" s="7" t="str">
        <f ca="1" xml:space="preserve">
VLOOKUP(
  $D111,
  Name!$A:$B,
  2,
  FALSE
)
&amp; " " &amp;
IF($B111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Pedro Pellegrini Moraes</v>
      </c>
      <c r="F111" s="7">
        <v>2</v>
      </c>
      <c r="G111" s="7" cm="1">
        <f t="array" aca="1" ref="G111" ca="1">INDEX(States!$B:$B,RANDBETWEEN(2,COUNTA(States!$A:$A)),1)</f>
        <v>18</v>
      </c>
      <c r="H111" s="7" t="str">
        <f ca="1">VLOOKUP($D111,Name!$A:$C,3,FALSE)</f>
        <v>M</v>
      </c>
      <c r="I111" s="7" cm="1">
        <f t="array" aca="1" ref="I111" ca="1">INDEX('Marital status'!$A:$A,RANDBETWEEN(2,COUNTA('Marital status'!$A:$A)),1)</f>
        <v>2</v>
      </c>
      <c r="J111" s="7">
        <f t="shared" ca="1" si="15"/>
        <v>2</v>
      </c>
      <c r="K111" s="8">
        <f t="shared" ca="1" si="16"/>
        <v>36156</v>
      </c>
      <c r="L111" s="6">
        <f t="shared" ca="1" si="17"/>
        <v>4</v>
      </c>
      <c r="M111" s="7">
        <f ca="1" xml:space="preserve">
  IF(OR($N111 = 2, $N111 = 3, $N111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11" s="6">
        <f t="shared" ca="1" si="18"/>
        <v>8</v>
      </c>
      <c r="O111" s="6">
        <f t="shared" ca="1" si="19"/>
        <v>3</v>
      </c>
      <c r="P111" s="8">
        <f t="shared" ca="1" si="20"/>
        <v>38095</v>
      </c>
      <c r="Q111" s="6">
        <f ca="1">RANDBETWEEN(2,COUNTA('Recruitment source'!$A:$A))</f>
        <v>6</v>
      </c>
      <c r="R111" s="8">
        <f t="shared" ca="1" si="21"/>
        <v>39010</v>
      </c>
      <c r="S111" s="6">
        <f t="shared" ca="1" si="22"/>
        <v>5</v>
      </c>
      <c r="T111" s="6">
        <f t="shared" ca="1" si="12"/>
        <v>1</v>
      </c>
      <c r="U111" s="1">
        <f t="shared" ca="1" si="23"/>
        <v>2080</v>
      </c>
    </row>
    <row r="112" spans="1:21" x14ac:dyDescent="0.2">
      <c r="A112" s="7" cm="1">
        <f t="array" aca="1" ref="A112" ca="1">INDEX(Companies!$A:$A,RANDBETWEEN(2,COUNTA(Companies!$A:$A)),1)</f>
        <v>2</v>
      </c>
      <c r="B112" s="5">
        <f t="shared" si="13"/>
        <v>111</v>
      </c>
      <c r="C112" s="6">
        <f t="shared" ca="1" si="14"/>
        <v>1</v>
      </c>
      <c r="D112" s="7">
        <f ca="1">IF($B112 = 1 + N("Presidente"),
    127,
    IF($B112 = 2 + N("Vice-Presidente"),
        72,
        IF($B112 = 3 + N("Secretária bilíngue"),
            13,
            RANDBETWEEN(5,COUNT(Name!$A:$A) + 1)
        )
    )
)</f>
        <v>225</v>
      </c>
      <c r="E112" s="7" t="str">
        <f ca="1" xml:space="preserve">
VLOOKUP(
  $D112,
  Name!$A:$B,
  2,
  FALSE
)
&amp; " " &amp;
IF($B112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Levi Sacramento Almeida</v>
      </c>
      <c r="F112" s="7">
        <v>2</v>
      </c>
      <c r="G112" s="7" cm="1">
        <f t="array" aca="1" ref="G112" ca="1">INDEX(States!$B:$B,RANDBETWEEN(2,COUNTA(States!$A:$A)),1)</f>
        <v>18</v>
      </c>
      <c r="H112" s="7" t="str">
        <f ca="1">VLOOKUP($D112,Name!$A:$C,3,FALSE)</f>
        <v>M</v>
      </c>
      <c r="I112" s="7" cm="1">
        <f t="array" aca="1" ref="I112" ca="1">INDEX('Marital status'!$A:$A,RANDBETWEEN(2,COUNTA('Marital status'!$A:$A)),1)</f>
        <v>4</v>
      </c>
      <c r="J112" s="7">
        <f t="shared" ca="1" si="15"/>
        <v>3</v>
      </c>
      <c r="K112" s="8">
        <f t="shared" ca="1" si="16"/>
        <v>18788</v>
      </c>
      <c r="L112" s="6">
        <f t="shared" ca="1" si="17"/>
        <v>4</v>
      </c>
      <c r="M112" s="7">
        <f ca="1" xml:space="preserve">
  IF(OR($N112 = 2, $N112 = 3, $N112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12" s="6">
        <f t="shared" ca="1" si="18"/>
        <v>6</v>
      </c>
      <c r="O112" s="6" t="e">
        <f t="shared" ca="1" si="19"/>
        <v>#N/A</v>
      </c>
      <c r="P112" s="8">
        <f t="shared" ca="1" si="20"/>
        <v>44274</v>
      </c>
      <c r="Q112" s="6">
        <f ca="1">RANDBETWEEN(2,COUNTA('Recruitment source'!$A:$A))</f>
        <v>5</v>
      </c>
      <c r="R112" s="8" t="e">
        <f t="shared" ca="1" si="21"/>
        <v>#N/A</v>
      </c>
      <c r="S112" s="6" t="e">
        <f t="shared" ca="1" si="22"/>
        <v>#N/A</v>
      </c>
      <c r="T112" s="6">
        <f t="shared" ca="1" si="12"/>
        <v>4</v>
      </c>
      <c r="U112" s="1">
        <f t="shared" ca="1" si="23"/>
        <v>885</v>
      </c>
    </row>
    <row r="113" spans="1:21" x14ac:dyDescent="0.2">
      <c r="A113" s="7" cm="1">
        <f t="array" aca="1" ref="A113" ca="1">INDEX(Companies!$A:$A,RANDBETWEEN(2,COUNTA(Companies!$A:$A)),1)</f>
        <v>2</v>
      </c>
      <c r="B113" s="5">
        <f t="shared" si="13"/>
        <v>112</v>
      </c>
      <c r="C113" s="6">
        <f t="shared" ca="1" si="14"/>
        <v>1</v>
      </c>
      <c r="D113" s="7">
        <f ca="1">IF($B113 = 1 + N("Presidente"),
    127,
    IF($B113 = 2 + N("Vice-Presidente"),
        72,
        IF($B113 = 3 + N("Secretária bilíngue"),
            13,
            RANDBETWEEN(5,COUNT(Name!$A:$A) + 1)
        )
    )
)</f>
        <v>357</v>
      </c>
      <c r="E113" s="7" t="str">
        <f ca="1" xml:space="preserve">
VLOOKUP(
  $D113,
  Name!$A:$B,
  2,
  FALSE
)
&amp; " " &amp;
IF($B113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Vinicios Camargo Figo</v>
      </c>
      <c r="F113" s="7">
        <v>2</v>
      </c>
      <c r="G113" s="7" cm="1">
        <f t="array" aca="1" ref="G113" ca="1">INDEX(States!$B:$B,RANDBETWEEN(2,COUNTA(States!$A:$A)),1)</f>
        <v>21</v>
      </c>
      <c r="H113" s="7" t="str">
        <f ca="1">VLOOKUP($D113,Name!$A:$C,3,FALSE)</f>
        <v>M</v>
      </c>
      <c r="I113" s="7" cm="1">
        <f t="array" aca="1" ref="I113" ca="1">INDEX('Marital status'!$A:$A,RANDBETWEEN(2,COUNTA('Marital status'!$A:$A)),1)</f>
        <v>2</v>
      </c>
      <c r="J113" s="7">
        <f t="shared" ca="1" si="15"/>
        <v>2</v>
      </c>
      <c r="K113" s="8">
        <f t="shared" ca="1" si="16"/>
        <v>36594</v>
      </c>
      <c r="L113" s="6">
        <f t="shared" ca="1" si="17"/>
        <v>4</v>
      </c>
      <c r="M113" s="7">
        <f ca="1" xml:space="preserve">
  IF(OR($N113 = 2, $N113 = 3, $N113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13" s="6">
        <f t="shared" ca="1" si="18"/>
        <v>8</v>
      </c>
      <c r="O113" s="6">
        <f t="shared" ca="1" si="19"/>
        <v>2</v>
      </c>
      <c r="P113" s="8">
        <f t="shared" ca="1" si="20"/>
        <v>37331</v>
      </c>
      <c r="Q113" s="6">
        <f ca="1">RANDBETWEEN(2,COUNTA('Recruitment source'!$A:$A))</f>
        <v>3</v>
      </c>
      <c r="R113" s="8" t="e">
        <f t="shared" ca="1" si="21"/>
        <v>#N/A</v>
      </c>
      <c r="S113" s="6" t="e">
        <f t="shared" ca="1" si="22"/>
        <v>#N/A</v>
      </c>
      <c r="T113" s="6">
        <f t="shared" ca="1" si="12"/>
        <v>5</v>
      </c>
      <c r="U113" s="1">
        <f t="shared" ca="1" si="23"/>
        <v>2000</v>
      </c>
    </row>
    <row r="114" spans="1:21" x14ac:dyDescent="0.2">
      <c r="A114" s="7" cm="1">
        <f t="array" aca="1" ref="A114" ca="1">INDEX(Companies!$A:$A,RANDBETWEEN(2,COUNTA(Companies!$A:$A)),1)</f>
        <v>2</v>
      </c>
      <c r="B114" s="5">
        <f t="shared" si="13"/>
        <v>113</v>
      </c>
      <c r="C114" s="6">
        <f t="shared" ca="1" si="14"/>
        <v>1</v>
      </c>
      <c r="D114" s="7">
        <f ca="1">IF($B114 = 1 + N("Presidente"),
    127,
    IF($B114 = 2 + N("Vice-Presidente"),
        72,
        IF($B114 = 3 + N("Secretária bilíngue"),
            13,
            RANDBETWEEN(5,COUNT(Name!$A:$A) + 1)
        )
    )
)</f>
        <v>106</v>
      </c>
      <c r="E114" s="7" t="str">
        <f ca="1" xml:space="preserve">
VLOOKUP(
  $D114,
  Name!$A:$B,
  2,
  FALSE
)
&amp; " " &amp;
IF($B114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Lucas Cândido Costa</v>
      </c>
      <c r="F114" s="7">
        <v>2</v>
      </c>
      <c r="G114" s="7" cm="1">
        <f t="array" aca="1" ref="G114" ca="1">INDEX(States!$B:$B,RANDBETWEEN(2,COUNTA(States!$A:$A)),1)</f>
        <v>16</v>
      </c>
      <c r="H114" s="7" t="str">
        <f ca="1">VLOOKUP($D114,Name!$A:$C,3,FALSE)</f>
        <v>M</v>
      </c>
      <c r="I114" s="7" cm="1">
        <f t="array" aca="1" ref="I114" ca="1">INDEX('Marital status'!$A:$A,RANDBETWEEN(2,COUNTA('Marital status'!$A:$A)),1)</f>
        <v>6</v>
      </c>
      <c r="J114" s="7">
        <f t="shared" ca="1" si="15"/>
        <v>5</v>
      </c>
      <c r="K114" s="8">
        <f t="shared" ca="1" si="16"/>
        <v>33403</v>
      </c>
      <c r="L114" s="6">
        <f t="shared" ca="1" si="17"/>
        <v>4</v>
      </c>
      <c r="M114" s="7">
        <f ca="1" xml:space="preserve">
  IF(OR($N114 = 2, $N114 = 3, $N114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14" s="6">
        <f t="shared" ca="1" si="18"/>
        <v>7</v>
      </c>
      <c r="O114" s="6" t="e">
        <f t="shared" ca="1" si="19"/>
        <v>#N/A</v>
      </c>
      <c r="P114" s="8">
        <f t="shared" ca="1" si="20"/>
        <v>40191</v>
      </c>
      <c r="Q114" s="6">
        <f ca="1">RANDBETWEEN(2,COUNTA('Recruitment source'!$A:$A))</f>
        <v>5</v>
      </c>
      <c r="R114" s="8" t="e">
        <f t="shared" ca="1" si="21"/>
        <v>#N/A</v>
      </c>
      <c r="S114" s="6" t="e">
        <f t="shared" ca="1" si="22"/>
        <v>#N/A</v>
      </c>
      <c r="T114" s="6">
        <f t="shared" ca="1" si="12"/>
        <v>2</v>
      </c>
      <c r="U114" s="1">
        <f t="shared" ca="1" si="23"/>
        <v>1005</v>
      </c>
    </row>
    <row r="115" spans="1:21" x14ac:dyDescent="0.2">
      <c r="A115" s="7" cm="1">
        <f t="array" aca="1" ref="A115" ca="1">INDEX(Companies!$A:$A,RANDBETWEEN(2,COUNTA(Companies!$A:$A)),1)</f>
        <v>2</v>
      </c>
      <c r="B115" s="5">
        <f t="shared" si="13"/>
        <v>114</v>
      </c>
      <c r="C115" s="6">
        <f t="shared" ca="1" si="14"/>
        <v>1</v>
      </c>
      <c r="D115" s="7">
        <f ca="1">IF($B115 = 1 + N("Presidente"),
    127,
    IF($B115 = 2 + N("Vice-Presidente"),
        72,
        IF($B115 = 3 + N("Secretária bilíngue"),
            13,
            RANDBETWEEN(5,COUNT(Name!$A:$A) + 1)
        )
    )
)</f>
        <v>250</v>
      </c>
      <c r="E115" s="7" t="str">
        <f ca="1" xml:space="preserve">
VLOOKUP(
  $D115,
  Name!$A:$B,
  2,
  FALSE
)
&amp; " " &amp;
IF($B115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Madalena Serra Pellegrini</v>
      </c>
      <c r="F115" s="7">
        <v>2</v>
      </c>
      <c r="G115" s="7" cm="1">
        <f t="array" aca="1" ref="G115" ca="1">INDEX(States!$B:$B,RANDBETWEEN(2,COUNTA(States!$A:$A)),1)</f>
        <v>4</v>
      </c>
      <c r="H115" s="7" t="str">
        <f ca="1">VLOOKUP($D115,Name!$A:$C,3,FALSE)</f>
        <v>F</v>
      </c>
      <c r="I115" s="7" cm="1">
        <f t="array" aca="1" ref="I115" ca="1">INDEX('Marital status'!$A:$A,RANDBETWEEN(2,COUNTA('Marital status'!$A:$A)),1)</f>
        <v>5</v>
      </c>
      <c r="J115" s="7">
        <f t="shared" ca="1" si="15"/>
        <v>2</v>
      </c>
      <c r="K115" s="8">
        <f t="shared" ca="1" si="16"/>
        <v>36415</v>
      </c>
      <c r="L115" s="6">
        <f t="shared" ca="1" si="17"/>
        <v>4</v>
      </c>
      <c r="M115" s="7">
        <f ca="1" xml:space="preserve">
  IF(OR($N115 = 2, $N115 = 3, $N115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15" s="6">
        <f t="shared" ca="1" si="18"/>
        <v>8</v>
      </c>
      <c r="O115" s="6">
        <f t="shared" ca="1" si="19"/>
        <v>2</v>
      </c>
      <c r="P115" s="8">
        <f t="shared" ca="1" si="20"/>
        <v>44606</v>
      </c>
      <c r="Q115" s="6">
        <f ca="1">RANDBETWEEN(2,COUNTA('Recruitment source'!$A:$A))</f>
        <v>10</v>
      </c>
      <c r="R115" s="8" t="e">
        <f t="shared" ca="1" si="21"/>
        <v>#N/A</v>
      </c>
      <c r="S115" s="6" t="e">
        <f t="shared" ca="1" si="22"/>
        <v>#N/A</v>
      </c>
      <c r="T115" s="6">
        <f t="shared" ca="1" si="12"/>
        <v>4</v>
      </c>
      <c r="U115" s="1">
        <f t="shared" ca="1" si="23"/>
        <v>2000</v>
      </c>
    </row>
    <row r="116" spans="1:21" x14ac:dyDescent="0.2">
      <c r="A116" s="7" cm="1">
        <f t="array" aca="1" ref="A116" ca="1">INDEX(Companies!$A:$A,RANDBETWEEN(2,COUNTA(Companies!$A:$A)),1)</f>
        <v>2</v>
      </c>
      <c r="B116" s="5">
        <f t="shared" si="13"/>
        <v>115</v>
      </c>
      <c r="C116" s="6">
        <f t="shared" ca="1" si="14"/>
        <v>1</v>
      </c>
      <c r="D116" s="7">
        <f ca="1">IF($B116 = 1 + N("Presidente"),
    127,
    IF($B116 = 2 + N("Vice-Presidente"),
        72,
        IF($B116 = 3 + N("Secretária bilíngue"),
            13,
            RANDBETWEEN(5,COUNT(Name!$A:$A) + 1)
        )
    )
)</f>
        <v>20</v>
      </c>
      <c r="E116" s="7" t="str">
        <f ca="1" xml:space="preserve">
VLOOKUP(
  $D116,
  Name!$A:$B,
  2,
  FALSE
)
&amp; " " &amp;
IF($B116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Alini Cunha Negrão</v>
      </c>
      <c r="F116" s="7">
        <v>2</v>
      </c>
      <c r="G116" s="7" cm="1">
        <f t="array" aca="1" ref="G116" ca="1">INDEX(States!$B:$B,RANDBETWEEN(2,COUNTA(States!$A:$A)),1)</f>
        <v>15</v>
      </c>
      <c r="H116" s="7" t="str">
        <f ca="1">VLOOKUP($D116,Name!$A:$C,3,FALSE)</f>
        <v>F</v>
      </c>
      <c r="I116" s="7" cm="1">
        <f t="array" aca="1" ref="I116" ca="1">INDEX('Marital status'!$A:$A,RANDBETWEEN(2,COUNTA('Marital status'!$A:$A)),1)</f>
        <v>3</v>
      </c>
      <c r="J116" s="7">
        <f t="shared" ca="1" si="15"/>
        <v>2</v>
      </c>
      <c r="K116" s="8">
        <f t="shared" ca="1" si="16"/>
        <v>34850</v>
      </c>
      <c r="L116" s="6">
        <f t="shared" ca="1" si="17"/>
        <v>4</v>
      </c>
      <c r="M116" s="7">
        <f ca="1" xml:space="preserve">
  IF(OR($N116 = 2, $N116 = 3, $N116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16" s="6">
        <f t="shared" ca="1" si="18"/>
        <v>7</v>
      </c>
      <c r="O116" s="6" t="e">
        <f t="shared" ca="1" si="19"/>
        <v>#N/A</v>
      </c>
      <c r="P116" s="8">
        <f t="shared" ca="1" si="20"/>
        <v>40427</v>
      </c>
      <c r="Q116" s="6">
        <f ca="1">RANDBETWEEN(2,COUNTA('Recruitment source'!$A:$A))</f>
        <v>6</v>
      </c>
      <c r="R116" s="8" t="e">
        <f t="shared" ca="1" si="21"/>
        <v>#N/A</v>
      </c>
      <c r="S116" s="6" t="e">
        <f t="shared" ca="1" si="22"/>
        <v>#N/A</v>
      </c>
      <c r="T116" s="6">
        <f t="shared" ca="1" si="12"/>
        <v>2</v>
      </c>
      <c r="U116" s="1">
        <f t="shared" ca="1" si="23"/>
        <v>1085</v>
      </c>
    </row>
    <row r="117" spans="1:21" x14ac:dyDescent="0.2">
      <c r="A117" s="7" cm="1">
        <f t="array" aca="1" ref="A117" ca="1">INDEX(Companies!$A:$A,RANDBETWEEN(2,COUNTA(Companies!$A:$A)),1)</f>
        <v>2</v>
      </c>
      <c r="B117" s="5">
        <f t="shared" si="13"/>
        <v>116</v>
      </c>
      <c r="C117" s="6">
        <f t="shared" ca="1" si="14"/>
        <v>1</v>
      </c>
      <c r="D117" s="7">
        <f ca="1">IF($B117 = 1 + N("Presidente"),
    127,
    IF($B117 = 2 + N("Vice-Presidente"),
        72,
        IF($B117 = 3 + N("Secretária bilíngue"),
            13,
            RANDBETWEEN(5,COUNT(Name!$A:$A) + 1)
        )
    )
)</f>
        <v>49</v>
      </c>
      <c r="E117" s="7" t="str">
        <f ca="1" xml:space="preserve">
VLOOKUP(
  $D117,
  Name!$A:$B,
  2,
  FALSE
)
&amp; " " &amp;
IF($B117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Anthony Gabriel Vieira Rossi</v>
      </c>
      <c r="F117" s="7">
        <v>2</v>
      </c>
      <c r="G117" s="7" cm="1">
        <f t="array" aca="1" ref="G117" ca="1">INDEX(States!$B:$B,RANDBETWEEN(2,COUNTA(States!$A:$A)),1)</f>
        <v>15</v>
      </c>
      <c r="H117" s="7" t="str">
        <f ca="1">VLOOKUP($D117,Name!$A:$C,3,FALSE)</f>
        <v>M</v>
      </c>
      <c r="I117" s="7" cm="1">
        <f t="array" aca="1" ref="I117" ca="1">INDEX('Marital status'!$A:$A,RANDBETWEEN(2,COUNTA('Marital status'!$A:$A)),1)</f>
        <v>3</v>
      </c>
      <c r="J117" s="7">
        <f t="shared" ca="1" si="15"/>
        <v>2</v>
      </c>
      <c r="K117" s="8">
        <f t="shared" ca="1" si="16"/>
        <v>37205</v>
      </c>
      <c r="L117" s="6">
        <f t="shared" ca="1" si="17"/>
        <v>4</v>
      </c>
      <c r="M117" s="7">
        <f ca="1" xml:space="preserve">
  IF(OR($N117 = 2, $N117 = 3, $N117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17" s="6">
        <f t="shared" ca="1" si="18"/>
        <v>8</v>
      </c>
      <c r="O117" s="6">
        <f t="shared" ca="1" si="19"/>
        <v>2</v>
      </c>
      <c r="P117" s="8">
        <f t="shared" ca="1" si="20"/>
        <v>38395</v>
      </c>
      <c r="Q117" s="6">
        <f ca="1">RANDBETWEEN(2,COUNTA('Recruitment source'!$A:$A))</f>
        <v>9</v>
      </c>
      <c r="R117" s="8" t="e">
        <f t="shared" ca="1" si="21"/>
        <v>#N/A</v>
      </c>
      <c r="S117" s="6" t="e">
        <f t="shared" ca="1" si="22"/>
        <v>#N/A</v>
      </c>
      <c r="T117" s="6">
        <f t="shared" ca="1" si="12"/>
        <v>2</v>
      </c>
      <c r="U117" s="1">
        <f t="shared" ca="1" si="23"/>
        <v>2080</v>
      </c>
    </row>
    <row r="118" spans="1:21" x14ac:dyDescent="0.2">
      <c r="A118" s="7" cm="1">
        <f t="array" aca="1" ref="A118" ca="1">INDEX(Companies!$A:$A,RANDBETWEEN(2,COUNTA(Companies!$A:$A)),1)</f>
        <v>2</v>
      </c>
      <c r="B118" s="5">
        <f t="shared" si="13"/>
        <v>117</v>
      </c>
      <c r="C118" s="6">
        <f t="shared" ca="1" si="14"/>
        <v>1</v>
      </c>
      <c r="D118" s="7">
        <f ca="1">IF($B118 = 1 + N("Presidente"),
    127,
    IF($B118 = 2 + N("Vice-Presidente"),
        72,
        IF($B118 = 3 + N("Secretária bilíngue"),
            13,
            RANDBETWEEN(5,COUNT(Name!$A:$A) + 1)
        )
    )
)</f>
        <v>151</v>
      </c>
      <c r="E118" s="7" t="str">
        <f ca="1" xml:space="preserve">
VLOOKUP(
  $D118,
  Name!$A:$B,
  2,
  FALSE
)
&amp; " " &amp;
IF($B118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Gabrielly Saragoça Borba</v>
      </c>
      <c r="F118" s="7">
        <v>2</v>
      </c>
      <c r="G118" s="7" cm="1">
        <f t="array" aca="1" ref="G118" ca="1">INDEX(States!$B:$B,RANDBETWEEN(2,COUNTA(States!$A:$A)),1)</f>
        <v>10</v>
      </c>
      <c r="H118" s="7" t="str">
        <f ca="1">VLOOKUP($D118,Name!$A:$C,3,FALSE)</f>
        <v>F</v>
      </c>
      <c r="I118" s="7" cm="1">
        <f t="array" aca="1" ref="I118" ca="1">INDEX('Marital status'!$A:$A,RANDBETWEEN(2,COUNTA('Marital status'!$A:$A)),1)</f>
        <v>4</v>
      </c>
      <c r="J118" s="7">
        <f t="shared" ca="1" si="15"/>
        <v>2</v>
      </c>
      <c r="K118" s="8">
        <f t="shared" ca="1" si="16"/>
        <v>23830</v>
      </c>
      <c r="L118" s="6">
        <f t="shared" ca="1" si="17"/>
        <v>4</v>
      </c>
      <c r="M118" s="7">
        <f ca="1" xml:space="preserve">
  IF(OR($N118 = 2, $N118 = 3, $N118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18" s="6">
        <f t="shared" ca="1" si="18"/>
        <v>6</v>
      </c>
      <c r="O118" s="6" t="e">
        <f t="shared" ca="1" si="19"/>
        <v>#N/A</v>
      </c>
      <c r="P118" s="8">
        <f t="shared" ca="1" si="20"/>
        <v>39953</v>
      </c>
      <c r="Q118" s="6">
        <f ca="1">RANDBETWEEN(2,COUNTA('Recruitment source'!$A:$A))</f>
        <v>7</v>
      </c>
      <c r="R118" s="8" t="e">
        <f t="shared" ca="1" si="21"/>
        <v>#N/A</v>
      </c>
      <c r="S118" s="6" t="e">
        <f t="shared" ca="1" si="22"/>
        <v>#N/A</v>
      </c>
      <c r="T118" s="6">
        <f t="shared" ca="1" si="12"/>
        <v>2</v>
      </c>
      <c r="U118" s="1">
        <f t="shared" ca="1" si="23"/>
        <v>885</v>
      </c>
    </row>
    <row r="119" spans="1:21" x14ac:dyDescent="0.2">
      <c r="A119" s="7" cm="1">
        <f t="array" aca="1" ref="A119" ca="1">INDEX(Companies!$A:$A,RANDBETWEEN(2,COUNTA(Companies!$A:$A)),1)</f>
        <v>2</v>
      </c>
      <c r="B119" s="5">
        <f t="shared" si="13"/>
        <v>118</v>
      </c>
      <c r="C119" s="6">
        <f t="shared" ca="1" si="14"/>
        <v>1</v>
      </c>
      <c r="D119" s="7">
        <f ca="1">IF($B119 = 1 + N("Presidente"),
    127,
    IF($B119 = 2 + N("Vice-Presidente"),
        72,
        IF($B119 = 3 + N("Secretária bilíngue"),
            13,
            RANDBETWEEN(5,COUNT(Name!$A:$A) + 1)
        )
    )
)</f>
        <v>106</v>
      </c>
      <c r="E119" s="7" t="str">
        <f ca="1" xml:space="preserve">
VLOOKUP(
  $D119,
  Name!$A:$B,
  2,
  FALSE
)
&amp; " " &amp;
IF($B119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Lucas Costa Battaglia</v>
      </c>
      <c r="F119" s="7">
        <v>2</v>
      </c>
      <c r="G119" s="7" cm="1">
        <f t="array" aca="1" ref="G119" ca="1">INDEX(States!$B:$B,RANDBETWEEN(2,COUNTA(States!$A:$A)),1)</f>
        <v>6</v>
      </c>
      <c r="H119" s="7" t="str">
        <f ca="1">VLOOKUP($D119,Name!$A:$C,3,FALSE)</f>
        <v>M</v>
      </c>
      <c r="I119" s="7" cm="1">
        <f t="array" aca="1" ref="I119" ca="1">INDEX('Marital status'!$A:$A,RANDBETWEEN(2,COUNTA('Marital status'!$A:$A)),1)</f>
        <v>4</v>
      </c>
      <c r="J119" s="7">
        <f t="shared" ca="1" si="15"/>
        <v>3</v>
      </c>
      <c r="K119" s="8">
        <f t="shared" ca="1" si="16"/>
        <v>33775</v>
      </c>
      <c r="L119" s="6">
        <f t="shared" ca="1" si="17"/>
        <v>4</v>
      </c>
      <c r="M119" s="7">
        <f ca="1" xml:space="preserve">
  IF(OR($N119 = 2, $N119 = 3, $N119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19" s="6">
        <f t="shared" ca="1" si="18"/>
        <v>8</v>
      </c>
      <c r="O119" s="6">
        <f t="shared" ca="1" si="19"/>
        <v>3</v>
      </c>
      <c r="P119" s="8">
        <f t="shared" ca="1" si="20"/>
        <v>42953</v>
      </c>
      <c r="Q119" s="6">
        <f ca="1">RANDBETWEEN(2,COUNTA('Recruitment source'!$A:$A))</f>
        <v>8</v>
      </c>
      <c r="R119" s="8" t="e">
        <f t="shared" ca="1" si="21"/>
        <v>#N/A</v>
      </c>
      <c r="S119" s="6" t="e">
        <f t="shared" ca="1" si="22"/>
        <v>#N/A</v>
      </c>
      <c r="T119" s="6">
        <f t="shared" ca="1" si="12"/>
        <v>4</v>
      </c>
      <c r="U119" s="1">
        <f t="shared" ca="1" si="23"/>
        <v>2080</v>
      </c>
    </row>
    <row r="120" spans="1:21" x14ac:dyDescent="0.2">
      <c r="A120" s="7" cm="1">
        <f t="array" aca="1" ref="A120" ca="1">INDEX(Companies!$A:$A,RANDBETWEEN(2,COUNTA(Companies!$A:$A)),1)</f>
        <v>2</v>
      </c>
      <c r="B120" s="5">
        <f t="shared" si="13"/>
        <v>119</v>
      </c>
      <c r="C120" s="6">
        <f t="shared" ca="1" si="14"/>
        <v>1</v>
      </c>
      <c r="D120" s="7">
        <f ca="1">IF($B120 = 1 + N("Presidente"),
    127,
    IF($B120 = 2 + N("Vice-Presidente"),
        72,
        IF($B120 = 3 + N("Secretária bilíngue"),
            13,
            RANDBETWEEN(5,COUNT(Name!$A:$A) + 1)
        )
    )
)</f>
        <v>50</v>
      </c>
      <c r="E120" s="7" t="str">
        <f ca="1" xml:space="preserve">
VLOOKUP(
  $D120,
  Name!$A:$B,
  2,
  FALSE
)
&amp; " " &amp;
IF($B120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Antonella Santoro Badu</v>
      </c>
      <c r="F120" s="7">
        <v>2</v>
      </c>
      <c r="G120" s="7" cm="1">
        <f t="array" aca="1" ref="G120" ca="1">INDEX(States!$B:$B,RANDBETWEEN(2,COUNTA(States!$A:$A)),1)</f>
        <v>2</v>
      </c>
      <c r="H120" s="7" t="str">
        <f ca="1">VLOOKUP($D120,Name!$A:$C,3,FALSE)</f>
        <v>F</v>
      </c>
      <c r="I120" s="7" cm="1">
        <f t="array" aca="1" ref="I120" ca="1">INDEX('Marital status'!$A:$A,RANDBETWEEN(2,COUNTA('Marital status'!$A:$A)),1)</f>
        <v>4</v>
      </c>
      <c r="J120" s="7">
        <f t="shared" ca="1" si="15"/>
        <v>2</v>
      </c>
      <c r="K120" s="8">
        <f t="shared" ca="1" si="16"/>
        <v>25284</v>
      </c>
      <c r="L120" s="6">
        <f t="shared" ca="1" si="17"/>
        <v>4</v>
      </c>
      <c r="M120" s="7">
        <f ca="1" xml:space="preserve">
  IF(OR($N120 = 2, $N120 = 3, $N120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20" s="6">
        <f t="shared" ca="1" si="18"/>
        <v>6</v>
      </c>
      <c r="O120" s="6" t="e">
        <f t="shared" ca="1" si="19"/>
        <v>#N/A</v>
      </c>
      <c r="P120" s="8">
        <f t="shared" ca="1" si="20"/>
        <v>43265</v>
      </c>
      <c r="Q120" s="6">
        <f ca="1">RANDBETWEEN(2,COUNTA('Recruitment source'!$A:$A))</f>
        <v>4</v>
      </c>
      <c r="R120" s="8" t="e">
        <f t="shared" ca="1" si="21"/>
        <v>#N/A</v>
      </c>
      <c r="S120" s="6" t="e">
        <f t="shared" ca="1" si="22"/>
        <v>#N/A</v>
      </c>
      <c r="T120" s="6">
        <f t="shared" ca="1" si="12"/>
        <v>5</v>
      </c>
      <c r="U120" s="1">
        <f t="shared" ca="1" si="23"/>
        <v>805</v>
      </c>
    </row>
    <row r="121" spans="1:21" x14ac:dyDescent="0.2">
      <c r="A121" s="7" cm="1">
        <f t="array" aca="1" ref="A121" ca="1">INDEX(Companies!$A:$A,RANDBETWEEN(2,COUNTA(Companies!$A:$A)),1)</f>
        <v>2</v>
      </c>
      <c r="B121" s="5">
        <f t="shared" si="13"/>
        <v>120</v>
      </c>
      <c r="C121" s="6">
        <f t="shared" ca="1" si="14"/>
        <v>1</v>
      </c>
      <c r="D121" s="7">
        <f ca="1">IF($B121 = 1 + N("Presidente"),
    127,
    IF($B121 = 2 + N("Vice-Presidente"),
        72,
        IF($B121 = 3 + N("Secretária bilíngue"),
            13,
            RANDBETWEEN(5,COUNT(Name!$A:$A) + 1)
        )
    )
)</f>
        <v>311</v>
      </c>
      <c r="E121" s="7" t="str">
        <f ca="1" xml:space="preserve">
VLOOKUP(
  $D121,
  Name!$A:$B,
  2,
  FALSE
)
&amp; " " &amp;
IF($B121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Olívia Borges Negreiros</v>
      </c>
      <c r="F121" s="7">
        <v>2</v>
      </c>
      <c r="G121" s="7" cm="1">
        <f t="array" aca="1" ref="G121" ca="1">INDEX(States!$B:$B,RANDBETWEEN(2,COUNTA(States!$A:$A)),1)</f>
        <v>15</v>
      </c>
      <c r="H121" s="7" t="str">
        <f ca="1">VLOOKUP($D121,Name!$A:$C,3,FALSE)</f>
        <v>F</v>
      </c>
      <c r="I121" s="7" cm="1">
        <f t="array" aca="1" ref="I121" ca="1">INDEX('Marital status'!$A:$A,RANDBETWEEN(2,COUNTA('Marital status'!$A:$A)),1)</f>
        <v>6</v>
      </c>
      <c r="J121" s="7">
        <f t="shared" ca="1" si="15"/>
        <v>4</v>
      </c>
      <c r="K121" s="8">
        <f t="shared" ca="1" si="16"/>
        <v>37215</v>
      </c>
      <c r="L121" s="6">
        <f t="shared" ca="1" si="17"/>
        <v>5</v>
      </c>
      <c r="M121" s="7">
        <f ca="1" xml:space="preserve">
  IF(OR($N121 = 2, $N121 = 3, $N121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21" s="6">
        <f t="shared" ca="1" si="18"/>
        <v>8</v>
      </c>
      <c r="O121" s="6">
        <f t="shared" ca="1" si="19"/>
        <v>2</v>
      </c>
      <c r="P121" s="8">
        <f t="shared" ca="1" si="20"/>
        <v>40319</v>
      </c>
      <c r="Q121" s="6">
        <f ca="1">RANDBETWEEN(2,COUNTA('Recruitment source'!$A:$A))</f>
        <v>8</v>
      </c>
      <c r="R121" s="8" t="e">
        <f t="shared" ca="1" si="21"/>
        <v>#N/A</v>
      </c>
      <c r="S121" s="6" t="e">
        <f t="shared" ca="1" si="22"/>
        <v>#N/A</v>
      </c>
      <c r="T121" s="6">
        <f t="shared" ca="1" si="12"/>
        <v>2</v>
      </c>
      <c r="U121" s="1">
        <f t="shared" ca="1" si="23"/>
        <v>2000</v>
      </c>
    </row>
    <row r="122" spans="1:21" x14ac:dyDescent="0.2">
      <c r="A122" s="7" cm="1">
        <f t="array" aca="1" ref="A122" ca="1">INDEX(Companies!$A:$A,RANDBETWEEN(2,COUNTA(Companies!$A:$A)),1)</f>
        <v>2</v>
      </c>
      <c r="B122" s="5">
        <f t="shared" si="13"/>
        <v>121</v>
      </c>
      <c r="C122" s="6">
        <f t="shared" ca="1" si="14"/>
        <v>1</v>
      </c>
      <c r="D122" s="7">
        <f ca="1">IF($B122 = 1 + N("Presidente"),
    127,
    IF($B122 = 2 + N("Vice-Presidente"),
        72,
        IF($B122 = 3 + N("Secretária bilíngue"),
            13,
            RANDBETWEEN(5,COUNT(Name!$A:$A) + 1)
        )
    )
)</f>
        <v>92</v>
      </c>
      <c r="E122" s="7" t="str">
        <f ca="1" xml:space="preserve">
VLOOKUP(
  $D122,
  Name!$A:$B,
  2,
  FALSE
)
&amp; " " &amp;
IF($B122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Cecília Santana Negreiros</v>
      </c>
      <c r="F122" s="7">
        <v>2</v>
      </c>
      <c r="G122" s="7" cm="1">
        <f t="array" aca="1" ref="G122" ca="1">INDEX(States!$B:$B,RANDBETWEEN(2,COUNTA(States!$A:$A)),1)</f>
        <v>9</v>
      </c>
      <c r="H122" s="7" t="str">
        <f ca="1">VLOOKUP($D122,Name!$A:$C,3,FALSE)</f>
        <v>F</v>
      </c>
      <c r="I122" s="7" cm="1">
        <f t="array" aca="1" ref="I122" ca="1">INDEX('Marital status'!$A:$A,RANDBETWEEN(2,COUNTA('Marital status'!$A:$A)),1)</f>
        <v>3</v>
      </c>
      <c r="J122" s="7">
        <f t="shared" ca="1" si="15"/>
        <v>2</v>
      </c>
      <c r="K122" s="8">
        <f t="shared" ca="1" si="16"/>
        <v>23137</v>
      </c>
      <c r="L122" s="6">
        <f t="shared" ca="1" si="17"/>
        <v>4</v>
      </c>
      <c r="M122" s="7">
        <f ca="1" xml:space="preserve">
  IF(OR($N122 = 2, $N122 = 3, $N122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22" s="6">
        <f t="shared" ca="1" si="18"/>
        <v>6</v>
      </c>
      <c r="O122" s="6" t="e">
        <f t="shared" ca="1" si="19"/>
        <v>#N/A</v>
      </c>
      <c r="P122" s="8">
        <f t="shared" ca="1" si="20"/>
        <v>38870</v>
      </c>
      <c r="Q122" s="6">
        <f ca="1">RANDBETWEEN(2,COUNTA('Recruitment source'!$A:$A))</f>
        <v>11</v>
      </c>
      <c r="R122" s="8" t="e">
        <f t="shared" ca="1" si="21"/>
        <v>#N/A</v>
      </c>
      <c r="S122" s="6" t="e">
        <f t="shared" ca="1" si="22"/>
        <v>#N/A</v>
      </c>
      <c r="T122" s="6">
        <f t="shared" ca="1" si="12"/>
        <v>3</v>
      </c>
      <c r="U122" s="1">
        <f t="shared" ca="1" si="23"/>
        <v>805</v>
      </c>
    </row>
    <row r="123" spans="1:21" x14ac:dyDescent="0.2">
      <c r="A123" s="7" cm="1">
        <f t="array" aca="1" ref="A123" ca="1">INDEX(Companies!$A:$A,RANDBETWEEN(2,COUNTA(Companies!$A:$A)),1)</f>
        <v>2</v>
      </c>
      <c r="B123" s="5">
        <f t="shared" si="13"/>
        <v>122</v>
      </c>
      <c r="C123" s="6">
        <f t="shared" ca="1" si="14"/>
        <v>1</v>
      </c>
      <c r="D123" s="7">
        <f ca="1">IF($B123 = 1 + N("Presidente"),
    127,
    IF($B123 = 2 + N("Vice-Presidente"),
        72,
        IF($B123 = 3 + N("Secretária bilíngue"),
            13,
            RANDBETWEEN(5,COUNT(Name!$A:$A) + 1)
        )
    )
)</f>
        <v>41</v>
      </c>
      <c r="E123" s="7" t="str">
        <f ca="1" xml:space="preserve">
VLOOKUP(
  $D123,
  Name!$A:$B,
  2,
  FALSE
)
&amp; " " &amp;
IF($B123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Ane Caroline Medeiros Morais</v>
      </c>
      <c r="F123" s="7">
        <v>2</v>
      </c>
      <c r="G123" s="7" cm="1">
        <f t="array" aca="1" ref="G123" ca="1">INDEX(States!$B:$B,RANDBETWEEN(2,COUNTA(States!$A:$A)),1)</f>
        <v>20</v>
      </c>
      <c r="H123" s="7" t="str">
        <f ca="1">VLOOKUP($D123,Name!$A:$C,3,FALSE)</f>
        <v>F</v>
      </c>
      <c r="I123" s="7" cm="1">
        <f t="array" aca="1" ref="I123" ca="1">INDEX('Marital status'!$A:$A,RANDBETWEEN(2,COUNTA('Marital status'!$A:$A)),1)</f>
        <v>2</v>
      </c>
      <c r="J123" s="7">
        <f t="shared" ca="1" si="15"/>
        <v>2</v>
      </c>
      <c r="K123" s="8">
        <f t="shared" ca="1" si="16"/>
        <v>33934</v>
      </c>
      <c r="L123" s="6">
        <f t="shared" ca="1" si="17"/>
        <v>5</v>
      </c>
      <c r="M123" s="7">
        <f ca="1" xml:space="preserve">
  IF(OR($N123 = 2, $N123 = 3, $N123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23" s="6">
        <f t="shared" ca="1" si="18"/>
        <v>8</v>
      </c>
      <c r="O123" s="6">
        <f t="shared" ca="1" si="19"/>
        <v>2</v>
      </c>
      <c r="P123" s="8">
        <f t="shared" ca="1" si="20"/>
        <v>36653</v>
      </c>
      <c r="Q123" s="6">
        <f ca="1">RANDBETWEEN(2,COUNTA('Recruitment source'!$A:$A))</f>
        <v>9</v>
      </c>
      <c r="R123" s="8" t="e">
        <f t="shared" ca="1" si="21"/>
        <v>#N/A</v>
      </c>
      <c r="S123" s="6" t="e">
        <f t="shared" ca="1" si="22"/>
        <v>#N/A</v>
      </c>
      <c r="T123" s="6">
        <f t="shared" ca="1" si="12"/>
        <v>5</v>
      </c>
      <c r="U123" s="1">
        <f t="shared" ca="1" si="23"/>
        <v>2000</v>
      </c>
    </row>
    <row r="124" spans="1:21" x14ac:dyDescent="0.2">
      <c r="A124" s="7" cm="1">
        <f t="array" aca="1" ref="A124" ca="1">INDEX(Companies!$A:$A,RANDBETWEEN(2,COUNTA(Companies!$A:$A)),1)</f>
        <v>2</v>
      </c>
      <c r="B124" s="5">
        <f t="shared" si="13"/>
        <v>123</v>
      </c>
      <c r="C124" s="6">
        <f t="shared" ca="1" si="14"/>
        <v>1</v>
      </c>
      <c r="D124" s="7">
        <f ca="1">IF($B124 = 1 + N("Presidente"),
    127,
    IF($B124 = 2 + N("Vice-Presidente"),
        72,
        IF($B124 = 3 + N("Secretária bilíngue"),
            13,
            RANDBETWEEN(5,COUNT(Name!$A:$A) + 1)
        )
    )
)</f>
        <v>333</v>
      </c>
      <c r="E124" s="7" t="str">
        <f ca="1" xml:space="preserve">
VLOOKUP(
  $D124,
  Name!$A:$B,
  2,
  FALSE
)
&amp; " " &amp;
IF($B124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Ruan Moura Alencar</v>
      </c>
      <c r="F124" s="7">
        <v>2</v>
      </c>
      <c r="G124" s="7" cm="1">
        <f t="array" aca="1" ref="G124" ca="1">INDEX(States!$B:$B,RANDBETWEEN(2,COUNTA(States!$A:$A)),1)</f>
        <v>5</v>
      </c>
      <c r="H124" s="7" t="str">
        <f ca="1">VLOOKUP($D124,Name!$A:$C,3,FALSE)</f>
        <v>M</v>
      </c>
      <c r="I124" s="7" cm="1">
        <f t="array" aca="1" ref="I124" ca="1">INDEX('Marital status'!$A:$A,RANDBETWEEN(2,COUNTA('Marital status'!$A:$A)),1)</f>
        <v>6</v>
      </c>
      <c r="J124" s="7">
        <f t="shared" ca="1" si="15"/>
        <v>2</v>
      </c>
      <c r="K124" s="8">
        <f t="shared" ca="1" si="16"/>
        <v>30921</v>
      </c>
      <c r="L124" s="6">
        <f t="shared" ca="1" si="17"/>
        <v>4</v>
      </c>
      <c r="M124" s="7">
        <f ca="1" xml:space="preserve">
  IF(OR($N124 = 2, $N124 = 3, $N124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24" s="6">
        <f t="shared" ca="1" si="18"/>
        <v>7</v>
      </c>
      <c r="O124" s="6" t="e">
        <f t="shared" ca="1" si="19"/>
        <v>#N/A</v>
      </c>
      <c r="P124" s="8">
        <f t="shared" ca="1" si="20"/>
        <v>44513</v>
      </c>
      <c r="Q124" s="6">
        <f ca="1">RANDBETWEEN(2,COUNTA('Recruitment source'!$A:$A))</f>
        <v>3</v>
      </c>
      <c r="R124" s="8" t="e">
        <f t="shared" ca="1" si="21"/>
        <v>#N/A</v>
      </c>
      <c r="S124" s="6" t="e">
        <f t="shared" ca="1" si="22"/>
        <v>#N/A</v>
      </c>
      <c r="T124" s="6">
        <f t="shared" ca="1" si="12"/>
        <v>5</v>
      </c>
      <c r="U124" s="1">
        <f t="shared" ca="1" si="23"/>
        <v>1005</v>
      </c>
    </row>
    <row r="125" spans="1:21" x14ac:dyDescent="0.2">
      <c r="A125" s="7" cm="1">
        <f t="array" aca="1" ref="A125" ca="1">INDEX(Companies!$A:$A,RANDBETWEEN(2,COUNTA(Companies!$A:$A)),1)</f>
        <v>2</v>
      </c>
      <c r="B125" s="5">
        <f t="shared" si="13"/>
        <v>124</v>
      </c>
      <c r="C125" s="6">
        <f t="shared" ca="1" si="14"/>
        <v>1</v>
      </c>
      <c r="D125" s="7">
        <f ca="1">IF($B125 = 1 + N("Presidente"),
    127,
    IF($B125 = 2 + N("Vice-Presidente"),
        72,
        IF($B125 = 3 + N("Secretária bilíngue"),
            13,
            RANDBETWEEN(5,COUNT(Name!$A:$A) + 1)
        )
    )
)</f>
        <v>268</v>
      </c>
      <c r="E125" s="7" t="str">
        <f ca="1" xml:space="preserve">
VLOOKUP(
  $D125,
  Name!$A:$B,
  2,
  FALSE
)
&amp; " " &amp;
IF($B125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Isis Marques Campos</v>
      </c>
      <c r="F125" s="7">
        <v>2</v>
      </c>
      <c r="G125" s="7" cm="1">
        <f t="array" aca="1" ref="G125" ca="1">INDEX(States!$B:$B,RANDBETWEEN(2,COUNTA(States!$A:$A)),1)</f>
        <v>17</v>
      </c>
      <c r="H125" s="7" t="str">
        <f ca="1">VLOOKUP($D125,Name!$A:$C,3,FALSE)</f>
        <v>F</v>
      </c>
      <c r="I125" s="7" cm="1">
        <f t="array" aca="1" ref="I125" ca="1">INDEX('Marital status'!$A:$A,RANDBETWEEN(2,COUNTA('Marital status'!$A:$A)),1)</f>
        <v>2</v>
      </c>
      <c r="J125" s="7">
        <f t="shared" ca="1" si="15"/>
        <v>2</v>
      </c>
      <c r="K125" s="8">
        <f t="shared" ca="1" si="16"/>
        <v>35044</v>
      </c>
      <c r="L125" s="6">
        <f t="shared" ca="1" si="17"/>
        <v>5</v>
      </c>
      <c r="M125" s="7">
        <f ca="1" xml:space="preserve">
  IF(OR($N125 = 2, $N125 = 3, $N125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25" s="6">
        <f t="shared" ca="1" si="18"/>
        <v>8</v>
      </c>
      <c r="O125" s="6">
        <f t="shared" ca="1" si="19"/>
        <v>4</v>
      </c>
      <c r="P125" s="8">
        <f t="shared" ca="1" si="20"/>
        <v>39207</v>
      </c>
      <c r="Q125" s="6">
        <f ca="1">RANDBETWEEN(2,COUNTA('Recruitment source'!$A:$A))</f>
        <v>8</v>
      </c>
      <c r="R125" s="8" t="e">
        <f t="shared" ca="1" si="21"/>
        <v>#N/A</v>
      </c>
      <c r="S125" s="6" t="e">
        <f t="shared" ca="1" si="22"/>
        <v>#N/A</v>
      </c>
      <c r="T125" s="6">
        <f t="shared" ca="1" si="12"/>
        <v>2</v>
      </c>
      <c r="U125" s="1">
        <f t="shared" ca="1" si="23"/>
        <v>2000</v>
      </c>
    </row>
    <row r="126" spans="1:21" x14ac:dyDescent="0.2">
      <c r="A126" s="7" cm="1">
        <f t="array" aca="1" ref="A126" ca="1">INDEX(Companies!$A:$A,RANDBETWEEN(2,COUNTA(Companies!$A:$A)),1)</f>
        <v>2</v>
      </c>
      <c r="B126" s="5">
        <f t="shared" si="13"/>
        <v>125</v>
      </c>
      <c r="C126" s="6">
        <f t="shared" ca="1" si="14"/>
        <v>1</v>
      </c>
      <c r="D126" s="7">
        <f ca="1">IF($B126 = 1 + N("Presidente"),
    127,
    IF($B126 = 2 + N("Vice-Presidente"),
        72,
        IF($B126 = 3 + N("Secretária bilíngue"),
            13,
            RANDBETWEEN(5,COUNT(Name!$A:$A) + 1)
        )
    )
)</f>
        <v>286</v>
      </c>
      <c r="E126" s="7" t="str">
        <f ca="1" xml:space="preserve">
VLOOKUP(
  $D126,
  Name!$A:$B,
  2,
  FALSE
)
&amp; " " &amp;
IF($B126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Mateus Pereira Tavares</v>
      </c>
      <c r="F126" s="7">
        <v>2</v>
      </c>
      <c r="G126" s="7" cm="1">
        <f t="array" aca="1" ref="G126" ca="1">INDEX(States!$B:$B,RANDBETWEEN(2,COUNTA(States!$A:$A)),1)</f>
        <v>2</v>
      </c>
      <c r="H126" s="7" t="str">
        <f ca="1">VLOOKUP($D126,Name!$A:$C,3,FALSE)</f>
        <v>M</v>
      </c>
      <c r="I126" s="7" cm="1">
        <f t="array" aca="1" ref="I126" ca="1">INDEX('Marital status'!$A:$A,RANDBETWEEN(2,COUNTA('Marital status'!$A:$A)),1)</f>
        <v>4</v>
      </c>
      <c r="J126" s="7">
        <f t="shared" ca="1" si="15"/>
        <v>3</v>
      </c>
      <c r="K126" s="8">
        <f t="shared" ca="1" si="16"/>
        <v>31144</v>
      </c>
      <c r="L126" s="6">
        <f t="shared" ca="1" si="17"/>
        <v>4</v>
      </c>
      <c r="M126" s="7">
        <f ca="1" xml:space="preserve">
  IF(OR($N126 = 2, $N126 = 3, $N126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26" s="6">
        <f t="shared" ca="1" si="18"/>
        <v>7</v>
      </c>
      <c r="O126" s="6" t="e">
        <f t="shared" ca="1" si="19"/>
        <v>#N/A</v>
      </c>
      <c r="P126" s="8">
        <f t="shared" ca="1" si="20"/>
        <v>42617</v>
      </c>
      <c r="Q126" s="6">
        <f ca="1">RANDBETWEEN(2,COUNTA('Recruitment source'!$A:$A))</f>
        <v>4</v>
      </c>
      <c r="R126" s="8" t="e">
        <f t="shared" ca="1" si="21"/>
        <v>#N/A</v>
      </c>
      <c r="S126" s="6" t="e">
        <f t="shared" ca="1" si="22"/>
        <v>#N/A</v>
      </c>
      <c r="T126" s="6">
        <f t="shared" ca="1" si="12"/>
        <v>5</v>
      </c>
      <c r="U126" s="1">
        <f t="shared" ca="1" si="23"/>
        <v>1085</v>
      </c>
    </row>
    <row r="127" spans="1:21" x14ac:dyDescent="0.2">
      <c r="A127" s="7" cm="1">
        <f t="array" aca="1" ref="A127" ca="1">INDEX(Companies!$A:$A,RANDBETWEEN(2,COUNTA(Companies!$A:$A)),1)</f>
        <v>2</v>
      </c>
      <c r="B127" s="5">
        <f t="shared" si="13"/>
        <v>126</v>
      </c>
      <c r="C127" s="6">
        <f t="shared" ca="1" si="14"/>
        <v>1</v>
      </c>
      <c r="D127" s="7">
        <f ca="1">IF($B127 = 1 + N("Presidente"),
    127,
    IF($B127 = 2 + N("Vice-Presidente"),
        72,
        IF($B127 = 3 + N("Secretária bilíngue"),
            13,
            RANDBETWEEN(5,COUNT(Name!$A:$A) + 1)
        )
    )
)</f>
        <v>339</v>
      </c>
      <c r="E127" s="7" t="str">
        <f ca="1" xml:space="preserve">
VLOOKUP(
  $D127,
  Name!$A:$B,
  2,
  FALSE
)
&amp; " " &amp;
IF($B127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Sophie dos Santos Padrão</v>
      </c>
      <c r="F127" s="7">
        <v>2</v>
      </c>
      <c r="G127" s="7" cm="1">
        <f t="array" aca="1" ref="G127" ca="1">INDEX(States!$B:$B,RANDBETWEEN(2,COUNTA(States!$A:$A)),1)</f>
        <v>4</v>
      </c>
      <c r="H127" s="7" t="str">
        <f ca="1">VLOOKUP($D127,Name!$A:$C,3,FALSE)</f>
        <v>F</v>
      </c>
      <c r="I127" s="7" cm="1">
        <f t="array" aca="1" ref="I127" ca="1">INDEX('Marital status'!$A:$A,RANDBETWEEN(2,COUNTA('Marital status'!$A:$A)),1)</f>
        <v>4</v>
      </c>
      <c r="J127" s="7">
        <f t="shared" ca="1" si="15"/>
        <v>2</v>
      </c>
      <c r="K127" s="8">
        <f t="shared" ca="1" si="16"/>
        <v>37640</v>
      </c>
      <c r="L127" s="6">
        <f t="shared" ca="1" si="17"/>
        <v>4</v>
      </c>
      <c r="M127" s="7">
        <f ca="1" xml:space="preserve">
  IF(OR($N127 = 2, $N127 = 3, $N127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27" s="6">
        <f t="shared" ca="1" si="18"/>
        <v>8</v>
      </c>
      <c r="O127" s="6">
        <f t="shared" ca="1" si="19"/>
        <v>3</v>
      </c>
      <c r="P127" s="8">
        <f t="shared" ca="1" si="20"/>
        <v>40813</v>
      </c>
      <c r="Q127" s="6">
        <f ca="1">RANDBETWEEN(2,COUNTA('Recruitment source'!$A:$A))</f>
        <v>8</v>
      </c>
      <c r="R127" s="8" t="e">
        <f t="shared" ca="1" si="21"/>
        <v>#N/A</v>
      </c>
      <c r="S127" s="6" t="e">
        <f t="shared" ca="1" si="22"/>
        <v>#N/A</v>
      </c>
      <c r="T127" s="6">
        <f t="shared" ca="1" si="12"/>
        <v>3</v>
      </c>
      <c r="U127" s="1">
        <f t="shared" ca="1" si="23"/>
        <v>2000</v>
      </c>
    </row>
    <row r="128" spans="1:21" x14ac:dyDescent="0.2">
      <c r="A128" s="7" cm="1">
        <f t="array" aca="1" ref="A128" ca="1">INDEX(Companies!$A:$A,RANDBETWEEN(2,COUNTA(Companies!$A:$A)),1)</f>
        <v>2</v>
      </c>
      <c r="B128" s="5">
        <f t="shared" si="13"/>
        <v>127</v>
      </c>
      <c r="C128" s="6">
        <f t="shared" ca="1" si="14"/>
        <v>1</v>
      </c>
      <c r="D128" s="7">
        <f ca="1">IF($B128 = 1 + N("Presidente"),
    127,
    IF($B128 = 2 + N("Vice-Presidente"),
        72,
        IF($B128 = 3 + N("Secretária bilíngue"),
            13,
            RANDBETWEEN(5,COUNT(Name!$A:$A) + 1)
        )
    )
)</f>
        <v>296</v>
      </c>
      <c r="E128" s="7" t="str">
        <f ca="1" xml:space="preserve">
VLOOKUP(
  $D128,
  Name!$A:$B,
  2,
  FALSE
)
&amp; " " &amp;
IF($B128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 Henrique Rocha Vieira</v>
      </c>
      <c r="F128" s="7">
        <v>2</v>
      </c>
      <c r="G128" s="7" cm="1">
        <f t="array" aca="1" ref="G128" ca="1">INDEX(States!$B:$B,RANDBETWEEN(2,COUNTA(States!$A:$A)),1)</f>
        <v>5</v>
      </c>
      <c r="H128" s="7" t="str">
        <f ca="1">VLOOKUP($D128,Name!$A:$C,3,FALSE)</f>
        <v>M</v>
      </c>
      <c r="I128" s="7" cm="1">
        <f t="array" aca="1" ref="I128" ca="1">INDEX('Marital status'!$A:$A,RANDBETWEEN(2,COUNTA('Marital status'!$A:$A)),1)</f>
        <v>2</v>
      </c>
      <c r="J128" s="7">
        <f t="shared" ca="1" si="15"/>
        <v>2</v>
      </c>
      <c r="K128" s="8">
        <f t="shared" ca="1" si="16"/>
        <v>29082</v>
      </c>
      <c r="L128" s="6">
        <f t="shared" ca="1" si="17"/>
        <v>4</v>
      </c>
      <c r="M128" s="7">
        <f ca="1" xml:space="preserve">
  IF(OR($N128 = 2, $N128 = 3, $N128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28" s="6">
        <f t="shared" ca="1" si="18"/>
        <v>6</v>
      </c>
      <c r="O128" s="6" t="e">
        <f t="shared" ca="1" si="19"/>
        <v>#N/A</v>
      </c>
      <c r="P128" s="8">
        <f t="shared" ca="1" si="20"/>
        <v>37536</v>
      </c>
      <c r="Q128" s="6">
        <f ca="1">RANDBETWEEN(2,COUNTA('Recruitment source'!$A:$A))</f>
        <v>4</v>
      </c>
      <c r="R128" s="8" t="e">
        <f t="shared" ca="1" si="21"/>
        <v>#N/A</v>
      </c>
      <c r="S128" s="6" t="e">
        <f t="shared" ca="1" si="22"/>
        <v>#N/A</v>
      </c>
      <c r="T128" s="6">
        <f t="shared" ca="1" si="12"/>
        <v>4</v>
      </c>
      <c r="U128" s="1">
        <f t="shared" ca="1" si="23"/>
        <v>805</v>
      </c>
    </row>
    <row r="129" spans="1:21" x14ac:dyDescent="0.2">
      <c r="A129" s="7" cm="1">
        <f t="array" aca="1" ref="A129" ca="1">INDEX(Companies!$A:$A,RANDBETWEEN(2,COUNTA(Companies!$A:$A)),1)</f>
        <v>2</v>
      </c>
      <c r="B129" s="5">
        <f t="shared" si="13"/>
        <v>128</v>
      </c>
      <c r="C129" s="6">
        <f t="shared" ca="1" si="14"/>
        <v>1</v>
      </c>
      <c r="D129" s="7">
        <f ca="1">IF($B129 = 1 + N("Presidente"),
    127,
    IF($B129 = 2 + N("Vice-Presidente"),
        72,
        IF($B129 = 3 + N("Secretária bilíngue"),
            13,
            RANDBETWEEN(5,COUNT(Name!$A:$A) + 1)
        )
    )
)</f>
        <v>102</v>
      </c>
      <c r="E129" s="7" t="str">
        <f ca="1" xml:space="preserve">
VLOOKUP(
  $D129,
  Name!$A:$B,
  2,
  FALSE
)
&amp; " " &amp;
IF($B129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Danilo Cunha Machado</v>
      </c>
      <c r="F129" s="7">
        <v>2</v>
      </c>
      <c r="G129" s="7" cm="1">
        <f t="array" aca="1" ref="G129" ca="1">INDEX(States!$B:$B,RANDBETWEEN(2,COUNTA(States!$A:$A)),1)</f>
        <v>17</v>
      </c>
      <c r="H129" s="7" t="str">
        <f ca="1">VLOOKUP($D129,Name!$A:$C,3,FALSE)</f>
        <v>M</v>
      </c>
      <c r="I129" s="7" cm="1">
        <f t="array" aca="1" ref="I129" ca="1">INDEX('Marital status'!$A:$A,RANDBETWEEN(2,COUNTA('Marital status'!$A:$A)),1)</f>
        <v>5</v>
      </c>
      <c r="J129" s="7">
        <f t="shared" ca="1" si="15"/>
        <v>2</v>
      </c>
      <c r="K129" s="8">
        <f t="shared" ca="1" si="16"/>
        <v>35571</v>
      </c>
      <c r="L129" s="6">
        <f t="shared" ca="1" si="17"/>
        <v>5</v>
      </c>
      <c r="M129" s="7">
        <f ca="1" xml:space="preserve">
  IF(OR($N129 = 2, $N129 = 3, $N129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29" s="6">
        <f t="shared" ca="1" si="18"/>
        <v>8</v>
      </c>
      <c r="O129" s="6">
        <f t="shared" ca="1" si="19"/>
        <v>2</v>
      </c>
      <c r="P129" s="8">
        <f t="shared" ca="1" si="20"/>
        <v>40481</v>
      </c>
      <c r="Q129" s="6">
        <f ca="1">RANDBETWEEN(2,COUNTA('Recruitment source'!$A:$A))</f>
        <v>8</v>
      </c>
      <c r="R129" s="8" t="e">
        <f t="shared" ca="1" si="21"/>
        <v>#N/A</v>
      </c>
      <c r="S129" s="6" t="e">
        <f t="shared" ca="1" si="22"/>
        <v>#N/A</v>
      </c>
      <c r="T129" s="6">
        <f t="shared" ca="1" si="12"/>
        <v>3</v>
      </c>
      <c r="U129" s="1">
        <f t="shared" ca="1" si="23"/>
        <v>2100</v>
      </c>
    </row>
    <row r="130" spans="1:21" x14ac:dyDescent="0.2">
      <c r="A130" s="7" cm="1">
        <f t="array" aca="1" ref="A130" ca="1">INDEX(Companies!$A:$A,RANDBETWEEN(2,COUNTA(Companies!$A:$A)),1)</f>
        <v>2</v>
      </c>
      <c r="B130" s="5">
        <f t="shared" si="13"/>
        <v>129</v>
      </c>
      <c r="C130" s="6">
        <f t="shared" ca="1" si="14"/>
        <v>1</v>
      </c>
      <c r="D130" s="7">
        <f ca="1">IF($B130 = 1 + N("Presidente"),
    127,
    IF($B130 = 2 + N("Vice-Presidente"),
        72,
        IF($B130 = 3 + N("Secretária bilíngue"),
            13,
            RANDBETWEEN(5,COUNT(Name!$A:$A) + 1)
        )
    )
)</f>
        <v>204</v>
      </c>
      <c r="E130" s="7" t="str">
        <f ca="1" xml:space="preserve">
VLOOKUP(
  $D130,
  Name!$A:$B,
  2,
  FALSE
)
&amp; " " &amp;
IF($B130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Júlio Sacramento Miranda</v>
      </c>
      <c r="F130" s="7">
        <v>2</v>
      </c>
      <c r="G130" s="7" cm="1">
        <f t="array" aca="1" ref="G130" ca="1">INDEX(States!$B:$B,RANDBETWEEN(2,COUNTA(States!$A:$A)),1)</f>
        <v>18</v>
      </c>
      <c r="H130" s="7" t="str">
        <f ca="1">VLOOKUP($D130,Name!$A:$C,3,FALSE)</f>
        <v>M</v>
      </c>
      <c r="I130" s="7" cm="1">
        <f t="array" aca="1" ref="I130" ca="1">INDEX('Marital status'!$A:$A,RANDBETWEEN(2,COUNTA('Marital status'!$A:$A)),1)</f>
        <v>4</v>
      </c>
      <c r="J130" s="7">
        <f t="shared" ca="1" si="15"/>
        <v>2</v>
      </c>
      <c r="K130" s="8">
        <f t="shared" ca="1" si="16"/>
        <v>32573</v>
      </c>
      <c r="L130" s="6">
        <f t="shared" ca="1" si="17"/>
        <v>4</v>
      </c>
      <c r="M130" s="7">
        <f ca="1" xml:space="preserve">
  IF(OR($N130 = 2, $N130 = 3, $N130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30" s="6">
        <f t="shared" ca="1" si="18"/>
        <v>6</v>
      </c>
      <c r="O130" s="6" t="e">
        <f t="shared" ca="1" si="19"/>
        <v>#N/A</v>
      </c>
      <c r="P130" s="8">
        <f t="shared" ca="1" si="20"/>
        <v>36900</v>
      </c>
      <c r="Q130" s="6">
        <f ca="1">RANDBETWEEN(2,COUNTA('Recruitment source'!$A:$A))</f>
        <v>4</v>
      </c>
      <c r="R130" s="8" t="e">
        <f t="shared" ca="1" si="21"/>
        <v>#N/A</v>
      </c>
      <c r="S130" s="6" t="e">
        <f t="shared" ca="1" si="22"/>
        <v>#N/A</v>
      </c>
      <c r="T130" s="6">
        <f t="shared" ref="T130:T193" ca="1" si="24" xml:space="preserve">
IF(
 ISNA($R130),
 IF(
   $N130 = 2,
   5,
   IF(
     OR($N130=3,$N130=4,$N130=5),
     RANDBETWEEN(4,5),
     IF(
       OR($N130=11,$N130=12),
       RANDBETWEEN(3,5),
       RANDBETWEEN(2,5)
     )
   )
 ),
 RANDBETWEEN(1,3)
)</f>
        <v>4</v>
      </c>
      <c r="U130" s="1">
        <f t="shared" ca="1" si="23"/>
        <v>805</v>
      </c>
    </row>
    <row r="131" spans="1:21" x14ac:dyDescent="0.2">
      <c r="A131" s="7" cm="1">
        <f t="array" aca="1" ref="A131" ca="1">INDEX(Companies!$A:$A,RANDBETWEEN(2,COUNTA(Companies!$A:$A)),1)</f>
        <v>2</v>
      </c>
      <c r="B131" s="5">
        <f t="shared" ref="B131:B194" si="25">ROW() - 1</f>
        <v>130</v>
      </c>
      <c r="C131" s="6">
        <f t="shared" ref="C131:C194" ca="1" si="26">IF(ISNA($R131),1,0)</f>
        <v>1</v>
      </c>
      <c r="D131" s="7">
        <f ca="1">IF($B131 = 1 + N("Presidente"),
    127,
    IF($B131 = 2 + N("Vice-Presidente"),
        72,
        IF($B131 = 3 + N("Secretária bilíngue"),
            13,
            RANDBETWEEN(5,COUNT(Name!$A:$A) + 1)
        )
    )
)</f>
        <v>250</v>
      </c>
      <c r="E131" s="7" t="str">
        <f ca="1" xml:space="preserve">
VLOOKUP(
  $D131,
  Name!$A:$B,
  2,
  FALSE
)
&amp; " " &amp;
IF($B131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Madalena Pimentel Martins</v>
      </c>
      <c r="F131" s="7">
        <v>2</v>
      </c>
      <c r="G131" s="7" cm="1">
        <f t="array" aca="1" ref="G131" ca="1">INDEX(States!$B:$B,RANDBETWEEN(2,COUNTA(States!$A:$A)),1)</f>
        <v>18</v>
      </c>
      <c r="H131" s="7" t="str">
        <f ca="1">VLOOKUP($D131,Name!$A:$C,3,FALSE)</f>
        <v>F</v>
      </c>
      <c r="I131" s="7" cm="1">
        <f t="array" aca="1" ref="I131" ca="1">INDEX('Marital status'!$A:$A,RANDBETWEEN(2,COUNTA('Marital status'!$A:$A)),1)</f>
        <v>3</v>
      </c>
      <c r="J131" s="7">
        <f t="shared" ref="J131:J194" ca="1" si="27" xml:space="preserve">
IF(AND($N131 &gt;= 2, $N131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131" s="8">
        <f t="shared" ref="K131:K194" ca="1" si="28" xml:space="preserve">
IF($N131 = 5 + N("CEO"),
    TODAY() - 16340,
    IF($N131 = 8 + N("Secretary"),
        RANDBETWEEN(TODAY() - 12418.5, TODAY()-6574.5),
        IF(OR($N131 = 7, $N131 = 14),
            RANDBETWEEN(TODAY() - 16071, TODAY() - 8766),
            IF(OR($N131 = 13, $N131 = 12, $N131 = 11),
                RANDBETWEEN(TODAY() - 27393.75, TODAY() - 12783.75),
                RANDBETWEEN(TODAY() - 27393.75, TODAY()-10957.5)
            )
        )
    )
)</f>
        <v>35688</v>
      </c>
      <c r="L131" s="6">
        <f t="shared" ref="L131:L194" ca="1" si="29" xml:space="preserve">
IF(OR($N131 = 2, $N131 = 3) + N("Se for presidente ou vice-presidente"),
    7 + N("Doutor"),
    IF($N131 = 4 + N("Se for diretor"),
        RANDBETWEEN(5,7) + N("Graduate school or Master’s degree or Doctorate"),
        IF($N131 = 11 + N("Se for gerente"),
            RANDBETWEEN(4,6) + N("Undergraduate degree or Graduate school or Master’s degree"),
            IF(AND($N131 &gt;= 8, $N131 &lt;= 10) + N("If coordinator or specialist or analyst"),
                RANDBETWEEN(4,5),
                4
            )
        )
    )
)</f>
        <v>5</v>
      </c>
      <c r="M131" s="7">
        <f ca="1" xml:space="preserve">
  IF(OR($N131 = 2, $N131 = 3, $N131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31" s="6">
        <f t="shared" ref="N131:N194" ca="1" si="30" xml:space="preserve">
IF($B131 = 1 + N("Se matrícula for 1"),
  2 + N("Presidente"),
  IF($B131 = 2 + N("Se matrícula for 2"),
    3 + N("Vice-presidente"),
    IF($B131 = 3 + N("Se matrícula for 3"),
      5 + N("Secretária bilíngue"),
      IF(AND($B131 &gt;= 4, $B131 &lt;=14),
        4 + N("Diretor"),
        IF(AND($B131 &gt;= 15, $B131 &lt;= 25),
          11 + N("Manager"),
          IF(AND($B131 &gt;= 26, $B131 &lt;= 36),
            10 + N("Coordinador"),
            IF(AND($B131 &gt;= 37, $B131 &lt;= 47),
              9 + N("Especialista"),
                IF(MOD($B131,2) = 0,
                  8 + N("Analista"),
                  RANDBETWEEN(6,7) + N("Estagiário ou Trainee")
                )
            )
          )
        )
      )
    )
  )
)</f>
        <v>8</v>
      </c>
      <c r="O131" s="6">
        <f t="shared" ref="O131:O194" ca="1" si="31" xml:space="preserve">
IF($N131 =8 + N("Analyst"),
    RANDBETWEEN(2, 4) + N("Jr, Pleno, Sr"),
    NA()
)</f>
        <v>4</v>
      </c>
      <c r="P131" s="8">
        <f t="shared" ref="P131:P194" ca="1" si="32" xml:space="preserve">
IF(
   $N131=2 + N("Presidente"),
   36161,
   IF(
       OR(
         $N131=3 + N("Vice-Presidente"),
         $N131=4 + N("Diretor"),
         $N131=5 + N("Secretária bilíngue")
       ),
       RANDBETWEEN(36161,36411),
       IF(
         ((TODAY() - $K131) / 365) &lt; 19,
         TODAY(),
         RANDBETWEEN(36161,TODAY())
       )
   )
)</f>
        <v>39864</v>
      </c>
      <c r="Q131" s="6">
        <f ca="1">RANDBETWEEN(2,COUNTA('Recruitment source'!$A:$A))</f>
        <v>9</v>
      </c>
      <c r="R131" s="8" t="e">
        <f t="shared" ref="R131:R194" ca="1" si="33" xml:space="preserve">
IF(MOD(
     ROW(),111
   )=0,
   RANDBETWEEN($P131 + 1,TODAY() - 1),NA()
)</f>
        <v>#N/A</v>
      </c>
      <c r="S131" s="6" t="e">
        <f t="shared" ref="S131:S194" ca="1" si="34" xml:space="preserve">
IF(
  ISNA(R131),
  NA(),
  RANDBETWEEN(2,IF($H131="F",10,9))
)</f>
        <v>#N/A</v>
      </c>
      <c r="T131" s="6">
        <f t="shared" ca="1" si="24"/>
        <v>2</v>
      </c>
      <c r="U131" s="1">
        <f t="shared" ref="U131:U194" ca="1" si="35" xml:space="preserve">
IF($N131 = 2 + N("Presidente"),
    25000,
    IF($N131 = 3 + N("Vice-presidente"),
        23000,
        IF(OR($N131 = 5, $N131= 10, $N131 = 9) + N("Secretária bilíngue ou coordenador ou especialista"),
            8000,
            IF($N131 = 4 + N("Diretor"),
                15000,
                IF($N131 = 11 + N("Gerente"),
                    12000,
                    IF($N131 = 6 + N("Estagiário"),
                        805,
                        IF($N131 = 7 + N("Trainee"),
                            1005,
                            IF($N131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IF($L131 = 7,
  100,
  IF($L131 = 8,
    200,
    IF($L131 = 9,
      300,
      IF($L131 = 10,
        400,
        0
      )
    )
  )
)
+
N("Adicional no salário por área")
+
IF($M131 = 14 + N("Tecnologia da Informação"),
  120,
  IF($M131 = 16 + N("Vendas"),
    110,
    IF($M131 = 15 + N("Jurídico"),
      100,
      IF(OR($M131 = 8, $M131 = 9, $M131 = 11) + N("Recursos humanos ou comercial ou comunicação e marketing"),
        80,
        0
      )
    )
  )
)
+
N("Adicionando pegadinha")
+
IF(AND($M131 = 13, $N131 = 8) + N("Se for de vendas e analista"),
  IF($J131 = 2,
    50,
    0
  )
  +
  IF($H131 = "M",
    50,
    0
  ),
  0
)</f>
        <v>2000</v>
      </c>
    </row>
    <row r="132" spans="1:21" x14ac:dyDescent="0.2">
      <c r="A132" s="7" cm="1">
        <f t="array" aca="1" ref="A132" ca="1">INDEX(Companies!$A:$A,RANDBETWEEN(2,COUNTA(Companies!$A:$A)),1)</f>
        <v>2</v>
      </c>
      <c r="B132" s="5">
        <f t="shared" si="25"/>
        <v>131</v>
      </c>
      <c r="C132" s="6">
        <f t="shared" ca="1" si="26"/>
        <v>1</v>
      </c>
      <c r="D132" s="7">
        <f ca="1">IF($B132 = 1 + N("Presidente"),
    127,
    IF($B132 = 2 + N("Vice-Presidente"),
        72,
        IF($B132 = 3 + N("Secretária bilíngue"),
            13,
            RANDBETWEEN(5,COUNT(Name!$A:$A) + 1)
        )
    )
)</f>
        <v>308</v>
      </c>
      <c r="E132" s="7" t="str">
        <f ca="1" xml:space="preserve">
VLOOKUP(
  $D132,
  Name!$A:$B,
  2,
  FALSE
)
&amp; " " &amp;
IF($B132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Noah Coelho Santana</v>
      </c>
      <c r="F132" s="7">
        <v>2</v>
      </c>
      <c r="G132" s="7" cm="1">
        <f t="array" aca="1" ref="G132" ca="1">INDEX(States!$B:$B,RANDBETWEEN(2,COUNTA(States!$A:$A)),1)</f>
        <v>10</v>
      </c>
      <c r="H132" s="7" t="str">
        <f ca="1">VLOOKUP($D132,Name!$A:$C,3,FALSE)</f>
        <v>M</v>
      </c>
      <c r="I132" s="7" cm="1">
        <f t="array" aca="1" ref="I132" ca="1">INDEX('Marital status'!$A:$A,RANDBETWEEN(2,COUNTA('Marital status'!$A:$A)),1)</f>
        <v>5</v>
      </c>
      <c r="J132" s="7">
        <f t="shared" ca="1" si="27"/>
        <v>4</v>
      </c>
      <c r="K132" s="8">
        <f t="shared" ca="1" si="28"/>
        <v>30299</v>
      </c>
      <c r="L132" s="6">
        <f t="shared" ca="1" si="29"/>
        <v>4</v>
      </c>
      <c r="M132" s="7">
        <f ca="1" xml:space="preserve">
  IF(OR($N132 = 2, $N132 = 3, $N132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32" s="6">
        <f t="shared" ca="1" si="30"/>
        <v>6</v>
      </c>
      <c r="O132" s="6" t="e">
        <f t="shared" ca="1" si="31"/>
        <v>#N/A</v>
      </c>
      <c r="P132" s="8">
        <f t="shared" ca="1" si="32"/>
        <v>44273</v>
      </c>
      <c r="Q132" s="6">
        <f ca="1">RANDBETWEEN(2,COUNTA('Recruitment source'!$A:$A))</f>
        <v>7</v>
      </c>
      <c r="R132" s="8" t="e">
        <f t="shared" ca="1" si="33"/>
        <v>#N/A</v>
      </c>
      <c r="S132" s="6" t="e">
        <f t="shared" ca="1" si="34"/>
        <v>#N/A</v>
      </c>
      <c r="T132" s="6">
        <f t="shared" ca="1" si="24"/>
        <v>3</v>
      </c>
      <c r="U132" s="1">
        <f t="shared" ca="1" si="35"/>
        <v>805</v>
      </c>
    </row>
    <row r="133" spans="1:21" x14ac:dyDescent="0.2">
      <c r="A133" s="7" cm="1">
        <f t="array" aca="1" ref="A133" ca="1">INDEX(Companies!$A:$A,RANDBETWEEN(2,COUNTA(Companies!$A:$A)),1)</f>
        <v>2</v>
      </c>
      <c r="B133" s="5">
        <f t="shared" si="25"/>
        <v>132</v>
      </c>
      <c r="C133" s="6">
        <f t="shared" ca="1" si="26"/>
        <v>1</v>
      </c>
      <c r="D133" s="7">
        <f ca="1">IF($B133 = 1 + N("Presidente"),
    127,
    IF($B133 = 2 + N("Vice-Presidente"),
        72,
        IF($B133 = 3 + N("Secretária bilíngue"),
            13,
            RANDBETWEEN(5,COUNT(Name!$A:$A) + 1)
        )
    )
)</f>
        <v>105</v>
      </c>
      <c r="E133" s="7" t="str">
        <f ca="1" xml:space="preserve">
VLOOKUP(
  $D133,
  Name!$A:$B,
  2,
  FALSE
)
&amp; " " &amp;
IF($B133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Barbosa Gallo</v>
      </c>
      <c r="F133" s="7">
        <v>2</v>
      </c>
      <c r="G133" s="7" cm="1">
        <f t="array" aca="1" ref="G133" ca="1">INDEX(States!$B:$B,RANDBETWEEN(2,COUNTA(States!$A:$A)),1)</f>
        <v>15</v>
      </c>
      <c r="H133" s="7" t="str">
        <f ca="1">VLOOKUP($D133,Name!$A:$C,3,FALSE)</f>
        <v>M</v>
      </c>
      <c r="I133" s="7" cm="1">
        <f t="array" aca="1" ref="I133" ca="1">INDEX('Marital status'!$A:$A,RANDBETWEEN(2,COUNTA('Marital status'!$A:$A)),1)</f>
        <v>2</v>
      </c>
      <c r="J133" s="7">
        <f t="shared" ca="1" si="27"/>
        <v>5</v>
      </c>
      <c r="K133" s="8">
        <f t="shared" ca="1" si="28"/>
        <v>37171</v>
      </c>
      <c r="L133" s="6">
        <f t="shared" ca="1" si="29"/>
        <v>4</v>
      </c>
      <c r="M133" s="7">
        <f ca="1" xml:space="preserve">
  IF(OR($N133 = 2, $N133 = 3, $N133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33" s="6">
        <f t="shared" ca="1" si="30"/>
        <v>8</v>
      </c>
      <c r="O133" s="6">
        <f t="shared" ca="1" si="31"/>
        <v>4</v>
      </c>
      <c r="P133" s="8">
        <f t="shared" ca="1" si="32"/>
        <v>36767</v>
      </c>
      <c r="Q133" s="6">
        <f ca="1">RANDBETWEEN(2,COUNTA('Recruitment source'!$A:$A))</f>
        <v>5</v>
      </c>
      <c r="R133" s="8" t="e">
        <f t="shared" ca="1" si="33"/>
        <v>#N/A</v>
      </c>
      <c r="S133" s="6" t="e">
        <f t="shared" ca="1" si="34"/>
        <v>#N/A</v>
      </c>
      <c r="T133" s="6">
        <f t="shared" ca="1" si="24"/>
        <v>5</v>
      </c>
      <c r="U133" s="1">
        <f t="shared" ca="1" si="35"/>
        <v>2050</v>
      </c>
    </row>
    <row r="134" spans="1:21" x14ac:dyDescent="0.2">
      <c r="A134" s="7" cm="1">
        <f t="array" aca="1" ref="A134" ca="1">INDEX(Companies!$A:$A,RANDBETWEEN(2,COUNTA(Companies!$A:$A)),1)</f>
        <v>2</v>
      </c>
      <c r="B134" s="5">
        <f t="shared" si="25"/>
        <v>133</v>
      </c>
      <c r="C134" s="6">
        <f t="shared" ca="1" si="26"/>
        <v>1</v>
      </c>
      <c r="D134" s="7">
        <f ca="1">IF($B134 = 1 + N("Presidente"),
    127,
    IF($B134 = 2 + N("Vice-Presidente"),
        72,
        IF($B134 = 3 + N("Secretária bilíngue"),
            13,
            RANDBETWEEN(5,COUNT(Name!$A:$A) + 1)
        )
    )
)</f>
        <v>51</v>
      </c>
      <c r="E134" s="7" t="str">
        <f ca="1" xml:space="preserve">
VLOOKUP(
  $D134,
  Name!$A:$B,
  2,
  FALSE
)
&amp; " " &amp;
IF($B134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Antônia Freitas Bispo</v>
      </c>
      <c r="F134" s="7">
        <v>2</v>
      </c>
      <c r="G134" s="7" cm="1">
        <f t="array" aca="1" ref="G134" ca="1">INDEX(States!$B:$B,RANDBETWEEN(2,COUNTA(States!$A:$A)),1)</f>
        <v>20</v>
      </c>
      <c r="H134" s="7" t="str">
        <f ca="1">VLOOKUP($D134,Name!$A:$C,3,FALSE)</f>
        <v>F</v>
      </c>
      <c r="I134" s="7" cm="1">
        <f t="array" aca="1" ref="I134" ca="1">INDEX('Marital status'!$A:$A,RANDBETWEEN(2,COUNTA('Marital status'!$A:$A)),1)</f>
        <v>5</v>
      </c>
      <c r="J134" s="7">
        <f t="shared" ca="1" si="27"/>
        <v>2</v>
      </c>
      <c r="K134" s="8">
        <f t="shared" ca="1" si="28"/>
        <v>27685</v>
      </c>
      <c r="L134" s="6">
        <f t="shared" ca="1" si="29"/>
        <v>4</v>
      </c>
      <c r="M134" s="7">
        <f ca="1" xml:space="preserve">
  IF(OR($N134 = 2, $N134 = 3, $N134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34" s="6">
        <f t="shared" ca="1" si="30"/>
        <v>6</v>
      </c>
      <c r="O134" s="6" t="e">
        <f t="shared" ca="1" si="31"/>
        <v>#N/A</v>
      </c>
      <c r="P134" s="8">
        <f t="shared" ca="1" si="32"/>
        <v>44480</v>
      </c>
      <c r="Q134" s="6">
        <f ca="1">RANDBETWEEN(2,COUNTA('Recruitment source'!$A:$A))</f>
        <v>7</v>
      </c>
      <c r="R134" s="8" t="e">
        <f t="shared" ca="1" si="33"/>
        <v>#N/A</v>
      </c>
      <c r="S134" s="6" t="e">
        <f t="shared" ca="1" si="34"/>
        <v>#N/A</v>
      </c>
      <c r="T134" s="6">
        <f t="shared" ca="1" si="24"/>
        <v>5</v>
      </c>
      <c r="U134" s="1">
        <f t="shared" ca="1" si="35"/>
        <v>805</v>
      </c>
    </row>
    <row r="135" spans="1:21" x14ac:dyDescent="0.2">
      <c r="A135" s="7" cm="1">
        <f t="array" aca="1" ref="A135" ca="1">INDEX(Companies!$A:$A,RANDBETWEEN(2,COUNTA(Companies!$A:$A)),1)</f>
        <v>2</v>
      </c>
      <c r="B135" s="5">
        <f t="shared" si="25"/>
        <v>134</v>
      </c>
      <c r="C135" s="6">
        <f t="shared" ca="1" si="26"/>
        <v>1</v>
      </c>
      <c r="D135" s="7">
        <f ca="1">IF($B135 = 1 + N("Presidente"),
    127,
    IF($B135 = 2 + N("Vice-Presidente"),
        72,
        IF($B135 = 3 + N("Secretária bilíngue"),
            13,
            RANDBETWEEN(5,COUNT(Name!$A:$A) + 1)
        )
    )
)</f>
        <v>287</v>
      </c>
      <c r="E135" s="7" t="str">
        <f ca="1" xml:space="preserve">
VLOOKUP(
  $D135,
  Name!$A:$B,
  2,
  FALSE
)
&amp; " " &amp;
IF($B135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Matheus Ribeiro Lima</v>
      </c>
      <c r="F135" s="7">
        <v>2</v>
      </c>
      <c r="G135" s="7" cm="1">
        <f t="array" aca="1" ref="G135" ca="1">INDEX(States!$B:$B,RANDBETWEEN(2,COUNTA(States!$A:$A)),1)</f>
        <v>3</v>
      </c>
      <c r="H135" s="7" t="str">
        <f ca="1">VLOOKUP($D135,Name!$A:$C,3,FALSE)</f>
        <v>M</v>
      </c>
      <c r="I135" s="7" cm="1">
        <f t="array" aca="1" ref="I135" ca="1">INDEX('Marital status'!$A:$A,RANDBETWEEN(2,COUNTA('Marital status'!$A:$A)),1)</f>
        <v>6</v>
      </c>
      <c r="J135" s="7">
        <f t="shared" ca="1" si="27"/>
        <v>2</v>
      </c>
      <c r="K135" s="8">
        <f t="shared" ca="1" si="28"/>
        <v>36412</v>
      </c>
      <c r="L135" s="6">
        <f t="shared" ca="1" si="29"/>
        <v>4</v>
      </c>
      <c r="M135" s="7">
        <f ca="1" xml:space="preserve">
  IF(OR($N135 = 2, $N135 = 3, $N135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35" s="6">
        <f t="shared" ca="1" si="30"/>
        <v>8</v>
      </c>
      <c r="O135" s="6">
        <f t="shared" ca="1" si="31"/>
        <v>3</v>
      </c>
      <c r="P135" s="8">
        <f t="shared" ca="1" si="32"/>
        <v>37535</v>
      </c>
      <c r="Q135" s="6">
        <f ca="1">RANDBETWEEN(2,COUNTA('Recruitment source'!$A:$A))</f>
        <v>8</v>
      </c>
      <c r="R135" s="8" t="e">
        <f t="shared" ca="1" si="33"/>
        <v>#N/A</v>
      </c>
      <c r="S135" s="6" t="e">
        <f t="shared" ca="1" si="34"/>
        <v>#N/A</v>
      </c>
      <c r="T135" s="6">
        <f t="shared" ca="1" si="24"/>
        <v>5</v>
      </c>
      <c r="U135" s="1">
        <f t="shared" ca="1" si="35"/>
        <v>2000</v>
      </c>
    </row>
    <row r="136" spans="1:21" x14ac:dyDescent="0.2">
      <c r="A136" s="7" cm="1">
        <f t="array" aca="1" ref="A136" ca="1">INDEX(Companies!$A:$A,RANDBETWEEN(2,COUNTA(Companies!$A:$A)),1)</f>
        <v>2</v>
      </c>
      <c r="B136" s="5">
        <f t="shared" si="25"/>
        <v>135</v>
      </c>
      <c r="C136" s="6">
        <f t="shared" ca="1" si="26"/>
        <v>1</v>
      </c>
      <c r="D136" s="7">
        <f ca="1">IF($B136 = 1 + N("Presidente"),
    127,
    IF($B136 = 2 + N("Vice-Presidente"),
        72,
        IF($B136 = 3 + N("Secretária bilíngue"),
            13,
            RANDBETWEEN(5,COUNT(Name!$A:$A) + 1)
        )
    )
)</f>
        <v>246</v>
      </c>
      <c r="E136" s="7" t="str">
        <f ca="1" xml:space="preserve">
VLOOKUP(
  $D136,
  Name!$A:$B,
  2,
  FALSE
)
&amp; " " &amp;
IF($B136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Miguel Santana Tavarez</v>
      </c>
      <c r="F136" s="7">
        <v>2</v>
      </c>
      <c r="G136" s="7" cm="1">
        <f t="array" aca="1" ref="G136" ca="1">INDEX(States!$B:$B,RANDBETWEEN(2,COUNTA(States!$A:$A)),1)</f>
        <v>14</v>
      </c>
      <c r="H136" s="7" t="str">
        <f ca="1">VLOOKUP($D136,Name!$A:$C,3,FALSE)</f>
        <v>M</v>
      </c>
      <c r="I136" s="7" cm="1">
        <f t="array" aca="1" ref="I136" ca="1">INDEX('Marital status'!$A:$A,RANDBETWEEN(2,COUNTA('Marital status'!$A:$A)),1)</f>
        <v>3</v>
      </c>
      <c r="J136" s="7">
        <f t="shared" ca="1" si="27"/>
        <v>2</v>
      </c>
      <c r="K136" s="8">
        <f t="shared" ca="1" si="28"/>
        <v>31166</v>
      </c>
      <c r="L136" s="6">
        <f t="shared" ca="1" si="29"/>
        <v>4</v>
      </c>
      <c r="M136" s="7">
        <f ca="1" xml:space="preserve">
  IF(OR($N136 = 2, $N136 = 3, $N136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36" s="6">
        <f t="shared" ca="1" si="30"/>
        <v>7</v>
      </c>
      <c r="O136" s="6" t="e">
        <f t="shared" ca="1" si="31"/>
        <v>#N/A</v>
      </c>
      <c r="P136" s="8">
        <f t="shared" ca="1" si="32"/>
        <v>38986</v>
      </c>
      <c r="Q136" s="6">
        <f ca="1">RANDBETWEEN(2,COUNTA('Recruitment source'!$A:$A))</f>
        <v>2</v>
      </c>
      <c r="R136" s="8" t="e">
        <f t="shared" ca="1" si="33"/>
        <v>#N/A</v>
      </c>
      <c r="S136" s="6" t="e">
        <f t="shared" ca="1" si="34"/>
        <v>#N/A</v>
      </c>
      <c r="T136" s="6">
        <f t="shared" ca="1" si="24"/>
        <v>2</v>
      </c>
      <c r="U136" s="1">
        <f t="shared" ca="1" si="35"/>
        <v>1005</v>
      </c>
    </row>
    <row r="137" spans="1:21" x14ac:dyDescent="0.2">
      <c r="A137" s="7" cm="1">
        <f t="array" aca="1" ref="A137" ca="1">INDEX(Companies!$A:$A,RANDBETWEEN(2,COUNTA(Companies!$A:$A)),1)</f>
        <v>2</v>
      </c>
      <c r="B137" s="5">
        <f t="shared" si="25"/>
        <v>136</v>
      </c>
      <c r="C137" s="6">
        <f t="shared" ca="1" si="26"/>
        <v>1</v>
      </c>
      <c r="D137" s="7">
        <f ca="1">IF($B137 = 1 + N("Presidente"),
    127,
    IF($B137 = 2 + N("Vice-Presidente"),
        72,
        IF($B137 = 3 + N("Secretária bilíngue"),
            13,
            RANDBETWEEN(5,COUNT(Name!$A:$A) + 1)
        )
    )
)</f>
        <v>157</v>
      </c>
      <c r="E137" s="7" t="str">
        <f ca="1" xml:space="preserve">
VLOOKUP(
  $D137,
  Name!$A:$B,
  2,
  FALSE
)
&amp; " " &amp;
IF($B137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Guilherme Rangel Noronha</v>
      </c>
      <c r="F137" s="7">
        <v>2</v>
      </c>
      <c r="G137" s="7" cm="1">
        <f t="array" aca="1" ref="G137" ca="1">INDEX(States!$B:$B,RANDBETWEEN(2,COUNTA(States!$A:$A)),1)</f>
        <v>4</v>
      </c>
      <c r="H137" s="7" t="str">
        <f ca="1">VLOOKUP($D137,Name!$A:$C,3,FALSE)</f>
        <v>M</v>
      </c>
      <c r="I137" s="7" cm="1">
        <f t="array" aca="1" ref="I137" ca="1">INDEX('Marital status'!$A:$A,RANDBETWEEN(2,COUNTA('Marital status'!$A:$A)),1)</f>
        <v>4</v>
      </c>
      <c r="J137" s="7">
        <f t="shared" ca="1" si="27"/>
        <v>2</v>
      </c>
      <c r="K137" s="8">
        <f t="shared" ca="1" si="28"/>
        <v>37490</v>
      </c>
      <c r="L137" s="6">
        <f t="shared" ca="1" si="29"/>
        <v>5</v>
      </c>
      <c r="M137" s="7">
        <f ca="1" xml:space="preserve">
  IF(OR($N137 = 2, $N137 = 3, $N137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37" s="6">
        <f t="shared" ca="1" si="30"/>
        <v>8</v>
      </c>
      <c r="O137" s="6">
        <f t="shared" ca="1" si="31"/>
        <v>2</v>
      </c>
      <c r="P137" s="8">
        <f t="shared" ca="1" si="32"/>
        <v>39333</v>
      </c>
      <c r="Q137" s="6">
        <f ca="1">RANDBETWEEN(2,COUNTA('Recruitment source'!$A:$A))</f>
        <v>9</v>
      </c>
      <c r="R137" s="8" t="e">
        <f t="shared" ca="1" si="33"/>
        <v>#N/A</v>
      </c>
      <c r="S137" s="6" t="e">
        <f t="shared" ca="1" si="34"/>
        <v>#N/A</v>
      </c>
      <c r="T137" s="6">
        <f t="shared" ca="1" si="24"/>
        <v>5</v>
      </c>
      <c r="U137" s="1">
        <f t="shared" ca="1" si="35"/>
        <v>2000</v>
      </c>
    </row>
    <row r="138" spans="1:21" x14ac:dyDescent="0.2">
      <c r="A138" s="7" cm="1">
        <f t="array" aca="1" ref="A138" ca="1">INDEX(Companies!$A:$A,RANDBETWEEN(2,COUNTA(Companies!$A:$A)),1)</f>
        <v>2</v>
      </c>
      <c r="B138" s="5">
        <f t="shared" si="25"/>
        <v>137</v>
      </c>
      <c r="C138" s="6">
        <f t="shared" ca="1" si="26"/>
        <v>1</v>
      </c>
      <c r="D138" s="7">
        <f ca="1">IF($B138 = 1 + N("Presidente"),
    127,
    IF($B138 = 2 + N("Vice-Presidente"),
        72,
        IF($B138 = 3 + N("Secretária bilíngue"),
            13,
            RANDBETWEEN(5,COUNT(Name!$A:$A) + 1)
        )
    )
)</f>
        <v>123</v>
      </c>
      <c r="E138" s="7" t="str">
        <f ca="1" xml:space="preserve">
VLOOKUP(
  $D138,
  Name!$A:$B,
  2,
  FALSE
)
&amp; " " &amp;
IF($B138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Emanuelly Leite Pedroso</v>
      </c>
      <c r="F138" s="7">
        <v>2</v>
      </c>
      <c r="G138" s="7" cm="1">
        <f t="array" aca="1" ref="G138" ca="1">INDEX(States!$B:$B,RANDBETWEEN(2,COUNTA(States!$A:$A)),1)</f>
        <v>11</v>
      </c>
      <c r="H138" s="7" t="str">
        <f ca="1">VLOOKUP($D138,Name!$A:$C,3,FALSE)</f>
        <v>F</v>
      </c>
      <c r="I138" s="7" cm="1">
        <f t="array" aca="1" ref="I138" ca="1">INDEX('Marital status'!$A:$A,RANDBETWEEN(2,COUNTA('Marital status'!$A:$A)),1)</f>
        <v>6</v>
      </c>
      <c r="J138" s="7">
        <f t="shared" ca="1" si="27"/>
        <v>2</v>
      </c>
      <c r="K138" s="8">
        <f t="shared" ca="1" si="28"/>
        <v>27875</v>
      </c>
      <c r="L138" s="6">
        <f t="shared" ca="1" si="29"/>
        <v>4</v>
      </c>
      <c r="M138" s="7">
        <f ca="1" xml:space="preserve">
  IF(OR($N138 = 2, $N138 = 3, $N138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38" s="6">
        <f t="shared" ca="1" si="30"/>
        <v>6</v>
      </c>
      <c r="O138" s="6" t="e">
        <f t="shared" ca="1" si="31"/>
        <v>#N/A</v>
      </c>
      <c r="P138" s="8">
        <f t="shared" ca="1" si="32"/>
        <v>36215</v>
      </c>
      <c r="Q138" s="6">
        <f ca="1">RANDBETWEEN(2,COUNTA('Recruitment source'!$A:$A))</f>
        <v>4</v>
      </c>
      <c r="R138" s="8" t="e">
        <f t="shared" ca="1" si="33"/>
        <v>#N/A</v>
      </c>
      <c r="S138" s="6" t="e">
        <f t="shared" ca="1" si="34"/>
        <v>#N/A</v>
      </c>
      <c r="T138" s="6">
        <f t="shared" ca="1" si="24"/>
        <v>3</v>
      </c>
      <c r="U138" s="1">
        <f t="shared" ca="1" si="35"/>
        <v>885</v>
      </c>
    </row>
    <row r="139" spans="1:21" x14ac:dyDescent="0.2">
      <c r="A139" s="7" cm="1">
        <f t="array" aca="1" ref="A139" ca="1">INDEX(Companies!$A:$A,RANDBETWEEN(2,COUNTA(Companies!$A:$A)),1)</f>
        <v>2</v>
      </c>
      <c r="B139" s="5">
        <f t="shared" si="25"/>
        <v>138</v>
      </c>
      <c r="C139" s="6">
        <f t="shared" ca="1" si="26"/>
        <v>1</v>
      </c>
      <c r="D139" s="7">
        <f ca="1">IF($B139 = 1 + N("Presidente"),
    127,
    IF($B139 = 2 + N("Vice-Presidente"),
        72,
        IF($B139 = 3 + N("Secretária bilíngue"),
            13,
            RANDBETWEEN(5,COUNT(Name!$A:$A) + 1)
        )
    )
)</f>
        <v>8</v>
      </c>
      <c r="E139" s="7" t="str">
        <f ca="1" xml:space="preserve">
VLOOKUP(
  $D139,
  Name!$A:$B,
  2,
  FALSE
)
&amp; " " &amp;
IF($B139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Adélia Morato Alvaregna</v>
      </c>
      <c r="F139" s="7">
        <v>2</v>
      </c>
      <c r="G139" s="7" cm="1">
        <f t="array" aca="1" ref="G139" ca="1">INDEX(States!$B:$B,RANDBETWEEN(2,COUNTA(States!$A:$A)),1)</f>
        <v>13</v>
      </c>
      <c r="H139" s="7" t="str">
        <f ca="1">VLOOKUP($D139,Name!$A:$C,3,FALSE)</f>
        <v>F</v>
      </c>
      <c r="I139" s="7" cm="1">
        <f t="array" aca="1" ref="I139" ca="1">INDEX('Marital status'!$A:$A,RANDBETWEEN(2,COUNTA('Marital status'!$A:$A)),1)</f>
        <v>3</v>
      </c>
      <c r="J139" s="7">
        <f t="shared" ca="1" si="27"/>
        <v>2</v>
      </c>
      <c r="K139" s="8">
        <f t="shared" ca="1" si="28"/>
        <v>33874</v>
      </c>
      <c r="L139" s="6">
        <f t="shared" ca="1" si="29"/>
        <v>4</v>
      </c>
      <c r="M139" s="7">
        <f ca="1" xml:space="preserve">
  IF(OR($N139 = 2, $N139 = 3, $N139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39" s="6">
        <f t="shared" ca="1" si="30"/>
        <v>8</v>
      </c>
      <c r="O139" s="6">
        <f t="shared" ca="1" si="31"/>
        <v>2</v>
      </c>
      <c r="P139" s="8">
        <f t="shared" ca="1" si="32"/>
        <v>43852</v>
      </c>
      <c r="Q139" s="6">
        <f ca="1">RANDBETWEEN(2,COUNTA('Recruitment source'!$A:$A))</f>
        <v>10</v>
      </c>
      <c r="R139" s="8" t="e">
        <f t="shared" ca="1" si="33"/>
        <v>#N/A</v>
      </c>
      <c r="S139" s="6" t="e">
        <f t="shared" ca="1" si="34"/>
        <v>#N/A</v>
      </c>
      <c r="T139" s="6">
        <f t="shared" ca="1" si="24"/>
        <v>5</v>
      </c>
      <c r="U139" s="1">
        <f t="shared" ca="1" si="35"/>
        <v>2000</v>
      </c>
    </row>
    <row r="140" spans="1:21" x14ac:dyDescent="0.2">
      <c r="A140" s="7" cm="1">
        <f t="array" aca="1" ref="A140" ca="1">INDEX(Companies!$A:$A,RANDBETWEEN(2,COUNTA(Companies!$A:$A)),1)</f>
        <v>2</v>
      </c>
      <c r="B140" s="5">
        <f t="shared" si="25"/>
        <v>139</v>
      </c>
      <c r="C140" s="6">
        <f t="shared" ca="1" si="26"/>
        <v>1</v>
      </c>
      <c r="D140" s="7">
        <f ca="1">IF($B140 = 1 + N("Presidente"),
    127,
    IF($B140 = 2 + N("Vice-Presidente"),
        72,
        IF($B140 = 3 + N("Secretária bilíngue"),
            13,
            RANDBETWEEN(5,COUNT(Name!$A:$A) + 1)
        )
    )
)</f>
        <v>85</v>
      </c>
      <c r="E140" s="7" t="str">
        <f ca="1" xml:space="preserve">
VLOOKUP(
  $D140,
  Name!$A:$B,
  2,
  FALSE
)
&amp; " " &amp;
IF($B140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Carlos Eduardo Botelho Sá</v>
      </c>
      <c r="F140" s="7">
        <v>2</v>
      </c>
      <c r="G140" s="7" cm="1">
        <f t="array" aca="1" ref="G140" ca="1">INDEX(States!$B:$B,RANDBETWEEN(2,COUNTA(States!$A:$A)),1)</f>
        <v>14</v>
      </c>
      <c r="H140" s="7" t="str">
        <f ca="1">VLOOKUP($D140,Name!$A:$C,3,FALSE)</f>
        <v>M</v>
      </c>
      <c r="I140" s="7" cm="1">
        <f t="array" aca="1" ref="I140" ca="1">INDEX('Marital status'!$A:$A,RANDBETWEEN(2,COUNTA('Marital status'!$A:$A)),1)</f>
        <v>5</v>
      </c>
      <c r="J140" s="7">
        <f t="shared" ca="1" si="27"/>
        <v>3</v>
      </c>
      <c r="K140" s="8">
        <f t="shared" ca="1" si="28"/>
        <v>24098</v>
      </c>
      <c r="L140" s="6">
        <f t="shared" ca="1" si="29"/>
        <v>4</v>
      </c>
      <c r="M140" s="7">
        <f ca="1" xml:space="preserve">
  IF(OR($N140 = 2, $N140 = 3, $N140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40" s="6">
        <f t="shared" ca="1" si="30"/>
        <v>6</v>
      </c>
      <c r="O140" s="6" t="e">
        <f t="shared" ca="1" si="31"/>
        <v>#N/A</v>
      </c>
      <c r="P140" s="8">
        <f t="shared" ca="1" si="32"/>
        <v>42107</v>
      </c>
      <c r="Q140" s="6">
        <f ca="1">RANDBETWEEN(2,COUNTA('Recruitment source'!$A:$A))</f>
        <v>4</v>
      </c>
      <c r="R140" s="8" t="e">
        <f t="shared" ca="1" si="33"/>
        <v>#N/A</v>
      </c>
      <c r="S140" s="6" t="e">
        <f t="shared" ca="1" si="34"/>
        <v>#N/A</v>
      </c>
      <c r="T140" s="6">
        <f t="shared" ca="1" si="24"/>
        <v>2</v>
      </c>
      <c r="U140" s="1">
        <f t="shared" ca="1" si="35"/>
        <v>805</v>
      </c>
    </row>
    <row r="141" spans="1:21" x14ac:dyDescent="0.2">
      <c r="A141" s="7" cm="1">
        <f t="array" aca="1" ref="A141" ca="1">INDEX(Companies!$A:$A,RANDBETWEEN(2,COUNTA(Companies!$A:$A)),1)</f>
        <v>2</v>
      </c>
      <c r="B141" s="5">
        <f t="shared" si="25"/>
        <v>140</v>
      </c>
      <c r="C141" s="6">
        <f t="shared" ca="1" si="26"/>
        <v>1</v>
      </c>
      <c r="D141" s="7">
        <f ca="1">IF($B141 = 1 + N("Presidente"),
    127,
    IF($B141 = 2 + N("Vice-Presidente"),
        72,
        IF($B141 = 3 + N("Secretária bilíngue"),
            13,
            RANDBETWEEN(5,COUNT(Name!$A:$A) + 1)
        )
    )
)</f>
        <v>283</v>
      </c>
      <c r="E141" s="7" t="str">
        <f ca="1" xml:space="preserve">
VLOOKUP(
  $D141,
  Name!$A:$B,
  2,
  FALSE
)
&amp; " " &amp;
IF($B141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Marta Galli Longo</v>
      </c>
      <c r="F141" s="7">
        <v>2</v>
      </c>
      <c r="G141" s="7" cm="1">
        <f t="array" aca="1" ref="G141" ca="1">INDEX(States!$B:$B,RANDBETWEEN(2,COUNTA(States!$A:$A)),1)</f>
        <v>2</v>
      </c>
      <c r="H141" s="7" t="str">
        <f ca="1">VLOOKUP($D141,Name!$A:$C,3,FALSE)</f>
        <v>F</v>
      </c>
      <c r="I141" s="7" cm="1">
        <f t="array" aca="1" ref="I141" ca="1">INDEX('Marital status'!$A:$A,RANDBETWEEN(2,COUNTA('Marital status'!$A:$A)),1)</f>
        <v>4</v>
      </c>
      <c r="J141" s="7">
        <f t="shared" ca="1" si="27"/>
        <v>2</v>
      </c>
      <c r="K141" s="8">
        <f t="shared" ca="1" si="28"/>
        <v>36202</v>
      </c>
      <c r="L141" s="6">
        <f t="shared" ca="1" si="29"/>
        <v>4</v>
      </c>
      <c r="M141" s="7">
        <f ca="1" xml:space="preserve">
  IF(OR($N141 = 2, $N141 = 3, $N141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41" s="6">
        <f t="shared" ca="1" si="30"/>
        <v>8</v>
      </c>
      <c r="O141" s="6">
        <f t="shared" ca="1" si="31"/>
        <v>3</v>
      </c>
      <c r="P141" s="8">
        <f t="shared" ca="1" si="32"/>
        <v>43303</v>
      </c>
      <c r="Q141" s="6">
        <f ca="1">RANDBETWEEN(2,COUNTA('Recruitment source'!$A:$A))</f>
        <v>4</v>
      </c>
      <c r="R141" s="8" t="e">
        <f t="shared" ca="1" si="33"/>
        <v>#N/A</v>
      </c>
      <c r="S141" s="6" t="e">
        <f t="shared" ca="1" si="34"/>
        <v>#N/A</v>
      </c>
      <c r="T141" s="6">
        <f t="shared" ca="1" si="24"/>
        <v>5</v>
      </c>
      <c r="U141" s="1">
        <f t="shared" ca="1" si="35"/>
        <v>2080</v>
      </c>
    </row>
    <row r="142" spans="1:21" x14ac:dyDescent="0.2">
      <c r="A142" s="7" cm="1">
        <f t="array" aca="1" ref="A142" ca="1">INDEX(Companies!$A:$A,RANDBETWEEN(2,COUNTA(Companies!$A:$A)),1)</f>
        <v>2</v>
      </c>
      <c r="B142" s="5">
        <f t="shared" si="25"/>
        <v>141</v>
      </c>
      <c r="C142" s="6">
        <f t="shared" ca="1" si="26"/>
        <v>1</v>
      </c>
      <c r="D142" s="7">
        <f ca="1">IF($B142 = 1 + N("Presidente"),
    127,
    IF($B142 = 2 + N("Vice-Presidente"),
        72,
        IF($B142 = 3 + N("Secretária bilíngue"),
            13,
            RANDBETWEEN(5,COUNT(Name!$A:$A) + 1)
        )
    )
)</f>
        <v>146</v>
      </c>
      <c r="E142" s="7" t="str">
        <f ca="1" xml:space="preserve">
VLOOKUP(
  $D142,
  Name!$A:$B,
  2,
  FALSE
)
&amp; " " &amp;
IF($B142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Francisco Veiga Ricci</v>
      </c>
      <c r="F142" s="7">
        <v>2</v>
      </c>
      <c r="G142" s="7" cm="1">
        <f t="array" aca="1" ref="G142" ca="1">INDEX(States!$B:$B,RANDBETWEEN(2,COUNTA(States!$A:$A)),1)</f>
        <v>7</v>
      </c>
      <c r="H142" s="7" t="str">
        <f ca="1">VLOOKUP($D142,Name!$A:$C,3,FALSE)</f>
        <v>M</v>
      </c>
      <c r="I142" s="7" cm="1">
        <f t="array" aca="1" ref="I142" ca="1">INDEX('Marital status'!$A:$A,RANDBETWEEN(2,COUNTA('Marital status'!$A:$A)),1)</f>
        <v>3</v>
      </c>
      <c r="J142" s="7">
        <f t="shared" ca="1" si="27"/>
        <v>2</v>
      </c>
      <c r="K142" s="8">
        <f t="shared" ca="1" si="28"/>
        <v>34243</v>
      </c>
      <c r="L142" s="6">
        <f t="shared" ca="1" si="29"/>
        <v>4</v>
      </c>
      <c r="M142" s="7">
        <f ca="1" xml:space="preserve">
  IF(OR($N142 = 2, $N142 = 3, $N142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42" s="6">
        <f t="shared" ca="1" si="30"/>
        <v>7</v>
      </c>
      <c r="O142" s="6" t="e">
        <f t="shared" ca="1" si="31"/>
        <v>#N/A</v>
      </c>
      <c r="P142" s="8">
        <f t="shared" ca="1" si="32"/>
        <v>40424</v>
      </c>
      <c r="Q142" s="6">
        <f ca="1">RANDBETWEEN(2,COUNTA('Recruitment source'!$A:$A))</f>
        <v>6</v>
      </c>
      <c r="R142" s="8" t="e">
        <f t="shared" ca="1" si="33"/>
        <v>#N/A</v>
      </c>
      <c r="S142" s="6" t="e">
        <f t="shared" ca="1" si="34"/>
        <v>#N/A</v>
      </c>
      <c r="T142" s="6">
        <f t="shared" ca="1" si="24"/>
        <v>2</v>
      </c>
      <c r="U142" s="1">
        <f t="shared" ca="1" si="35"/>
        <v>1005</v>
      </c>
    </row>
    <row r="143" spans="1:21" x14ac:dyDescent="0.2">
      <c r="A143" s="7" cm="1">
        <f t="array" aca="1" ref="A143" ca="1">INDEX(Companies!$A:$A,RANDBETWEEN(2,COUNTA(Companies!$A:$A)),1)</f>
        <v>2</v>
      </c>
      <c r="B143" s="5">
        <f t="shared" si="25"/>
        <v>142</v>
      </c>
      <c r="C143" s="6">
        <f t="shared" ca="1" si="26"/>
        <v>1</v>
      </c>
      <c r="D143" s="7">
        <f ca="1">IF($B143 = 1 + N("Presidente"),
    127,
    IF($B143 = 2 + N("Vice-Presidente"),
        72,
        IF($B143 = 3 + N("Secretária bilíngue"),
            13,
            RANDBETWEEN(5,COUNT(Name!$A:$A) + 1)
        )
    )
)</f>
        <v>203</v>
      </c>
      <c r="E143" s="7" t="str">
        <f ca="1" xml:space="preserve">
VLOOKUP(
  $D143,
  Name!$A:$B,
  2,
  FALSE
)
&amp; " " &amp;
IF($B143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Juliana Pinto Zil</v>
      </c>
      <c r="F143" s="7">
        <v>2</v>
      </c>
      <c r="G143" s="7" cm="1">
        <f t="array" aca="1" ref="G143" ca="1">INDEX(States!$B:$B,RANDBETWEEN(2,COUNTA(States!$A:$A)),1)</f>
        <v>18</v>
      </c>
      <c r="H143" s="7" t="str">
        <f ca="1">VLOOKUP($D143,Name!$A:$C,3,FALSE)</f>
        <v>F</v>
      </c>
      <c r="I143" s="7" cm="1">
        <f t="array" aca="1" ref="I143" ca="1">INDEX('Marital status'!$A:$A,RANDBETWEEN(2,COUNTA('Marital status'!$A:$A)),1)</f>
        <v>3</v>
      </c>
      <c r="J143" s="7">
        <f t="shared" ca="1" si="27"/>
        <v>4</v>
      </c>
      <c r="K143" s="8">
        <f t="shared" ca="1" si="28"/>
        <v>35299</v>
      </c>
      <c r="L143" s="6">
        <f t="shared" ca="1" si="29"/>
        <v>4</v>
      </c>
      <c r="M143" s="7">
        <f ca="1" xml:space="preserve">
  IF(OR($N143 = 2, $N143 = 3, $N143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43" s="6">
        <f t="shared" ca="1" si="30"/>
        <v>8</v>
      </c>
      <c r="O143" s="6">
        <f t="shared" ca="1" si="31"/>
        <v>2</v>
      </c>
      <c r="P143" s="8">
        <f t="shared" ca="1" si="32"/>
        <v>43182</v>
      </c>
      <c r="Q143" s="6">
        <f ca="1">RANDBETWEEN(2,COUNTA('Recruitment source'!$A:$A))</f>
        <v>10</v>
      </c>
      <c r="R143" s="8" t="e">
        <f t="shared" ca="1" si="33"/>
        <v>#N/A</v>
      </c>
      <c r="S143" s="6" t="e">
        <f t="shared" ca="1" si="34"/>
        <v>#N/A</v>
      </c>
      <c r="T143" s="6">
        <f t="shared" ca="1" si="24"/>
        <v>3</v>
      </c>
      <c r="U143" s="1">
        <f t="shared" ca="1" si="35"/>
        <v>2000</v>
      </c>
    </row>
    <row r="144" spans="1:21" x14ac:dyDescent="0.2">
      <c r="A144" s="7" cm="1">
        <f t="array" aca="1" ref="A144" ca="1">INDEX(Companies!$A:$A,RANDBETWEEN(2,COUNTA(Companies!$A:$A)),1)</f>
        <v>2</v>
      </c>
      <c r="B144" s="5">
        <f t="shared" si="25"/>
        <v>143</v>
      </c>
      <c r="C144" s="6">
        <f t="shared" ca="1" si="26"/>
        <v>1</v>
      </c>
      <c r="D144" s="7">
        <f ca="1">IF($B144 = 1 + N("Presidente"),
    127,
    IF($B144 = 2 + N("Vice-Presidente"),
        72,
        IF($B144 = 3 + N("Secretária bilíngue"),
            13,
            RANDBETWEEN(5,COUNT(Name!$A:$A) + 1)
        )
    )
)</f>
        <v>253</v>
      </c>
      <c r="E144" s="7" t="str">
        <f ca="1" xml:space="preserve">
VLOOKUP(
  $D144,
  Name!$A:$B,
  2,
  FALSE
)
&amp; " " &amp;
IF($B144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Malu Alvaregna Gonçalves</v>
      </c>
      <c r="F144" s="7">
        <v>2</v>
      </c>
      <c r="G144" s="7" cm="1">
        <f t="array" aca="1" ref="G144" ca="1">INDEX(States!$B:$B,RANDBETWEEN(2,COUNTA(States!$A:$A)),1)</f>
        <v>18</v>
      </c>
      <c r="H144" s="7" t="str">
        <f ca="1">VLOOKUP($D144,Name!$A:$C,3,FALSE)</f>
        <v>F</v>
      </c>
      <c r="I144" s="7" cm="1">
        <f t="array" aca="1" ref="I144" ca="1">INDEX('Marital status'!$A:$A,RANDBETWEEN(2,COUNTA('Marital status'!$A:$A)),1)</f>
        <v>3</v>
      </c>
      <c r="J144" s="7">
        <f t="shared" ca="1" si="27"/>
        <v>2</v>
      </c>
      <c r="K144" s="8">
        <f t="shared" ca="1" si="28"/>
        <v>23215</v>
      </c>
      <c r="L144" s="6">
        <f t="shared" ca="1" si="29"/>
        <v>4</v>
      </c>
      <c r="M144" s="7">
        <f ca="1" xml:space="preserve">
  IF(OR($N144 = 2, $N144 = 3, $N144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44" s="6">
        <f t="shared" ca="1" si="30"/>
        <v>6</v>
      </c>
      <c r="O144" s="6" t="e">
        <f t="shared" ca="1" si="31"/>
        <v>#N/A</v>
      </c>
      <c r="P144" s="8">
        <f t="shared" ca="1" si="32"/>
        <v>41586</v>
      </c>
      <c r="Q144" s="6">
        <f ca="1">RANDBETWEEN(2,COUNTA('Recruitment source'!$A:$A))</f>
        <v>11</v>
      </c>
      <c r="R144" s="8" t="e">
        <f t="shared" ca="1" si="33"/>
        <v>#N/A</v>
      </c>
      <c r="S144" s="6" t="e">
        <f t="shared" ca="1" si="34"/>
        <v>#N/A</v>
      </c>
      <c r="T144" s="6">
        <f t="shared" ca="1" si="24"/>
        <v>3</v>
      </c>
      <c r="U144" s="1">
        <f t="shared" ca="1" si="35"/>
        <v>885</v>
      </c>
    </row>
    <row r="145" spans="1:21" x14ac:dyDescent="0.2">
      <c r="A145" s="7" cm="1">
        <f t="array" aca="1" ref="A145" ca="1">INDEX(Companies!$A:$A,RANDBETWEEN(2,COUNTA(Companies!$A:$A)),1)</f>
        <v>2</v>
      </c>
      <c r="B145" s="5">
        <f t="shared" si="25"/>
        <v>144</v>
      </c>
      <c r="C145" s="6">
        <f t="shared" ca="1" si="26"/>
        <v>1</v>
      </c>
      <c r="D145" s="7">
        <f ca="1">IF($B145 = 1 + N("Presidente"),
    127,
    IF($B145 = 2 + N("Vice-Presidente"),
        72,
        IF($B145 = 3 + N("Secretária bilíngue"),
            13,
            RANDBETWEEN(5,COUNT(Name!$A:$A) + 1)
        )
    )
)</f>
        <v>202</v>
      </c>
      <c r="E145" s="7" t="str">
        <f ca="1" xml:space="preserve">
VLOOKUP(
  $D145,
  Name!$A:$B,
  2,
  FALSE
)
&amp; " " &amp;
IF($B145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Júlia Clara Giordano Borges</v>
      </c>
      <c r="F145" s="7">
        <v>2</v>
      </c>
      <c r="G145" s="7" cm="1">
        <f t="array" aca="1" ref="G145" ca="1">INDEX(States!$B:$B,RANDBETWEEN(2,COUNTA(States!$A:$A)),1)</f>
        <v>15</v>
      </c>
      <c r="H145" s="7" t="str">
        <f ca="1">VLOOKUP($D145,Name!$A:$C,3,FALSE)</f>
        <v>F</v>
      </c>
      <c r="I145" s="7" cm="1">
        <f t="array" aca="1" ref="I145" ca="1">INDEX('Marital status'!$A:$A,RANDBETWEEN(2,COUNTA('Marital status'!$A:$A)),1)</f>
        <v>3</v>
      </c>
      <c r="J145" s="7">
        <f t="shared" ca="1" si="27"/>
        <v>2</v>
      </c>
      <c r="K145" s="8">
        <f t="shared" ca="1" si="28"/>
        <v>37925</v>
      </c>
      <c r="L145" s="6">
        <f t="shared" ca="1" si="29"/>
        <v>4</v>
      </c>
      <c r="M145" s="7">
        <f ca="1" xml:space="preserve">
  IF(OR($N145 = 2, $N145 = 3, $N145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45" s="6">
        <f t="shared" ca="1" si="30"/>
        <v>8</v>
      </c>
      <c r="O145" s="6">
        <f t="shared" ca="1" si="31"/>
        <v>2</v>
      </c>
      <c r="P145" s="8">
        <f t="shared" ca="1" si="32"/>
        <v>44838</v>
      </c>
      <c r="Q145" s="6">
        <f ca="1">RANDBETWEEN(2,COUNTA('Recruitment source'!$A:$A))</f>
        <v>6</v>
      </c>
      <c r="R145" s="8" t="e">
        <f t="shared" ca="1" si="33"/>
        <v>#N/A</v>
      </c>
      <c r="S145" s="6" t="e">
        <f t="shared" ca="1" si="34"/>
        <v>#N/A</v>
      </c>
      <c r="T145" s="6">
        <f t="shared" ca="1" si="24"/>
        <v>2</v>
      </c>
      <c r="U145" s="1">
        <f t="shared" ca="1" si="35"/>
        <v>2000</v>
      </c>
    </row>
    <row r="146" spans="1:21" x14ac:dyDescent="0.2">
      <c r="A146" s="7" cm="1">
        <f t="array" aca="1" ref="A146" ca="1">INDEX(Companies!$A:$A,RANDBETWEEN(2,COUNTA(Companies!$A:$A)),1)</f>
        <v>2</v>
      </c>
      <c r="B146" s="5">
        <f t="shared" si="25"/>
        <v>145</v>
      </c>
      <c r="C146" s="6">
        <f t="shared" ca="1" si="26"/>
        <v>1</v>
      </c>
      <c r="D146" s="7">
        <f ca="1">IF($B146 = 1 + N("Presidente"),
    127,
    IF($B146 = 2 + N("Vice-Presidente"),
        72,
        IF($B146 = 3 + N("Secretária bilíngue"),
            13,
            RANDBETWEEN(5,COUNT(Name!$A:$A) + 1)
        )
    )
)</f>
        <v>348</v>
      </c>
      <c r="E146" s="7" t="str">
        <f ca="1" xml:space="preserve">
VLOOKUP(
  $D146,
  Name!$A:$B,
  2,
  FALSE
)
&amp; " " &amp;
IF($B146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Vagner Moraes Aguiar</v>
      </c>
      <c r="F146" s="7">
        <v>2</v>
      </c>
      <c r="G146" s="7" cm="1">
        <f t="array" aca="1" ref="G146" ca="1">INDEX(States!$B:$B,RANDBETWEEN(2,COUNTA(States!$A:$A)),1)</f>
        <v>19</v>
      </c>
      <c r="H146" s="7" t="str">
        <f ca="1">VLOOKUP($D146,Name!$A:$C,3,FALSE)</f>
        <v>M</v>
      </c>
      <c r="I146" s="7" cm="1">
        <f t="array" aca="1" ref="I146" ca="1">INDEX('Marital status'!$A:$A,RANDBETWEEN(2,COUNTA('Marital status'!$A:$A)),1)</f>
        <v>6</v>
      </c>
      <c r="J146" s="7">
        <f t="shared" ca="1" si="27"/>
        <v>2</v>
      </c>
      <c r="K146" s="8">
        <f t="shared" ca="1" si="28"/>
        <v>31783</v>
      </c>
      <c r="L146" s="6">
        <f t="shared" ca="1" si="29"/>
        <v>4</v>
      </c>
      <c r="M146" s="7">
        <f ca="1" xml:space="preserve">
  IF(OR($N146 = 2, $N146 = 3, $N146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46" s="6">
        <f t="shared" ca="1" si="30"/>
        <v>7</v>
      </c>
      <c r="O146" s="6" t="e">
        <f t="shared" ca="1" si="31"/>
        <v>#N/A</v>
      </c>
      <c r="P146" s="8">
        <f t="shared" ca="1" si="32"/>
        <v>44216</v>
      </c>
      <c r="Q146" s="6">
        <f ca="1">RANDBETWEEN(2,COUNTA('Recruitment source'!$A:$A))</f>
        <v>4</v>
      </c>
      <c r="R146" s="8" t="e">
        <f t="shared" ca="1" si="33"/>
        <v>#N/A</v>
      </c>
      <c r="S146" s="6" t="e">
        <f t="shared" ca="1" si="34"/>
        <v>#N/A</v>
      </c>
      <c r="T146" s="6">
        <f t="shared" ca="1" si="24"/>
        <v>2</v>
      </c>
      <c r="U146" s="1">
        <f t="shared" ca="1" si="35"/>
        <v>1085</v>
      </c>
    </row>
    <row r="147" spans="1:21" x14ac:dyDescent="0.2">
      <c r="A147" s="7" cm="1">
        <f t="array" aca="1" ref="A147" ca="1">INDEX(Companies!$A:$A,RANDBETWEEN(2,COUNTA(Companies!$A:$A)),1)</f>
        <v>2</v>
      </c>
      <c r="B147" s="5">
        <f t="shared" si="25"/>
        <v>146</v>
      </c>
      <c r="C147" s="6">
        <f t="shared" ca="1" si="26"/>
        <v>1</v>
      </c>
      <c r="D147" s="7">
        <f ca="1">IF($B147 = 1 + N("Presidente"),
    127,
    IF($B147 = 2 + N("Vice-Presidente"),
        72,
        IF($B147 = 3 + N("Secretária bilíngue"),
            13,
            RANDBETWEEN(5,COUNT(Name!$A:$A) + 1)
        )
    )
)</f>
        <v>270</v>
      </c>
      <c r="E147" s="7" t="str">
        <f ca="1" xml:space="preserve">
VLOOKUP(
  $D147,
  Name!$A:$B,
  2,
  FALSE
)
&amp; " " &amp;
IF($B147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Laura dos Santos Alcantara</v>
      </c>
      <c r="F147" s="7">
        <v>2</v>
      </c>
      <c r="G147" s="7" cm="1">
        <f t="array" aca="1" ref="G147" ca="1">INDEX(States!$B:$B,RANDBETWEEN(2,COUNTA(States!$A:$A)),1)</f>
        <v>8</v>
      </c>
      <c r="H147" s="7" t="str">
        <f ca="1">VLOOKUP($D147,Name!$A:$C,3,FALSE)</f>
        <v>F</v>
      </c>
      <c r="I147" s="7" cm="1">
        <f t="array" aca="1" ref="I147" ca="1">INDEX('Marital status'!$A:$A,RANDBETWEEN(2,COUNTA('Marital status'!$A:$A)),1)</f>
        <v>4</v>
      </c>
      <c r="J147" s="7">
        <f t="shared" ca="1" si="27"/>
        <v>3</v>
      </c>
      <c r="K147" s="8">
        <f t="shared" ca="1" si="28"/>
        <v>32849</v>
      </c>
      <c r="L147" s="6">
        <f t="shared" ca="1" si="29"/>
        <v>5</v>
      </c>
      <c r="M147" s="7">
        <f ca="1" xml:space="preserve">
  IF(OR($N147 = 2, $N147 = 3, $N147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47" s="6">
        <f t="shared" ca="1" si="30"/>
        <v>8</v>
      </c>
      <c r="O147" s="6">
        <f t="shared" ca="1" si="31"/>
        <v>2</v>
      </c>
      <c r="P147" s="8">
        <f t="shared" ca="1" si="32"/>
        <v>43006</v>
      </c>
      <c r="Q147" s="6">
        <f ca="1">RANDBETWEEN(2,COUNTA('Recruitment source'!$A:$A))</f>
        <v>6</v>
      </c>
      <c r="R147" s="8" t="e">
        <f t="shared" ca="1" si="33"/>
        <v>#N/A</v>
      </c>
      <c r="S147" s="6" t="e">
        <f t="shared" ca="1" si="34"/>
        <v>#N/A</v>
      </c>
      <c r="T147" s="6">
        <f t="shared" ca="1" si="24"/>
        <v>4</v>
      </c>
      <c r="U147" s="1">
        <f t="shared" ca="1" si="35"/>
        <v>2000</v>
      </c>
    </row>
    <row r="148" spans="1:21" x14ac:dyDescent="0.2">
      <c r="A148" s="7" cm="1">
        <f t="array" aca="1" ref="A148" ca="1">INDEX(Companies!$A:$A,RANDBETWEEN(2,COUNTA(Companies!$A:$A)),1)</f>
        <v>2</v>
      </c>
      <c r="B148" s="5">
        <f t="shared" si="25"/>
        <v>147</v>
      </c>
      <c r="C148" s="6">
        <f t="shared" ca="1" si="26"/>
        <v>1</v>
      </c>
      <c r="D148" s="7">
        <f ca="1">IF($B148 = 1 + N("Presidente"),
    127,
    IF($B148 = 2 + N("Vice-Presidente"),
        72,
        IF($B148 = 3 + N("Secretária bilíngue"),
            13,
            RANDBETWEEN(5,COUNT(Name!$A:$A) + 1)
        )
    )
)</f>
        <v>109</v>
      </c>
      <c r="E148" s="7" t="str">
        <f ca="1" xml:space="preserve">
VLOOKUP(
  $D148,
  Name!$A:$B,
  2,
  FALSE
)
&amp; " " &amp;
IF($B148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Luiz Abranches Faro</v>
      </c>
      <c r="F148" s="7">
        <v>2</v>
      </c>
      <c r="G148" s="7" cm="1">
        <f t="array" aca="1" ref="G148" ca="1">INDEX(States!$B:$B,RANDBETWEEN(2,COUNTA(States!$A:$A)),1)</f>
        <v>4</v>
      </c>
      <c r="H148" s="7" t="str">
        <f ca="1">VLOOKUP($D148,Name!$A:$C,3,FALSE)</f>
        <v>M</v>
      </c>
      <c r="I148" s="7" cm="1">
        <f t="array" aca="1" ref="I148" ca="1">INDEX('Marital status'!$A:$A,RANDBETWEEN(2,COUNTA('Marital status'!$A:$A)),1)</f>
        <v>4</v>
      </c>
      <c r="J148" s="7">
        <f t="shared" ca="1" si="27"/>
        <v>2</v>
      </c>
      <c r="K148" s="8">
        <f t="shared" ca="1" si="28"/>
        <v>28845</v>
      </c>
      <c r="L148" s="6">
        <f t="shared" ca="1" si="29"/>
        <v>4</v>
      </c>
      <c r="M148" s="7">
        <f ca="1" xml:space="preserve">
  IF(OR($N148 = 2, $N148 = 3, $N148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48" s="6">
        <f t="shared" ca="1" si="30"/>
        <v>7</v>
      </c>
      <c r="O148" s="6" t="e">
        <f t="shared" ca="1" si="31"/>
        <v>#N/A</v>
      </c>
      <c r="P148" s="8">
        <f t="shared" ca="1" si="32"/>
        <v>37477</v>
      </c>
      <c r="Q148" s="6">
        <f ca="1">RANDBETWEEN(2,COUNTA('Recruitment source'!$A:$A))</f>
        <v>3</v>
      </c>
      <c r="R148" s="8" t="e">
        <f t="shared" ca="1" si="33"/>
        <v>#N/A</v>
      </c>
      <c r="S148" s="6" t="e">
        <f t="shared" ca="1" si="34"/>
        <v>#N/A</v>
      </c>
      <c r="T148" s="6">
        <f t="shared" ca="1" si="24"/>
        <v>4</v>
      </c>
      <c r="U148" s="1">
        <f t="shared" ca="1" si="35"/>
        <v>1085</v>
      </c>
    </row>
    <row r="149" spans="1:21" x14ac:dyDescent="0.2">
      <c r="A149" s="7" cm="1">
        <f t="array" aca="1" ref="A149" ca="1">INDEX(Companies!$A:$A,RANDBETWEEN(2,COUNTA(Companies!$A:$A)),1)</f>
        <v>2</v>
      </c>
      <c r="B149" s="5">
        <f t="shared" si="25"/>
        <v>148</v>
      </c>
      <c r="C149" s="6">
        <f t="shared" ca="1" si="26"/>
        <v>1</v>
      </c>
      <c r="D149" s="7">
        <f ca="1">IF($B149 = 1 + N("Presidente"),
    127,
    IF($B149 = 2 + N("Vice-Presidente"),
        72,
        IF($B149 = 3 + N("Secretária bilíngue"),
            13,
            RANDBETWEEN(5,COUNT(Name!$A:$A) + 1)
        )
    )
)</f>
        <v>258</v>
      </c>
      <c r="E149" s="7" t="str">
        <f ca="1" xml:space="preserve">
VLOOKUP(
  $D149,
  Name!$A:$B,
  2,
  FALSE
)
&amp; " " &amp;
IF($B149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Alice Barreto Pasquim</v>
      </c>
      <c r="F149" s="7">
        <v>2</v>
      </c>
      <c r="G149" s="7" cm="1">
        <f t="array" aca="1" ref="G149" ca="1">INDEX(States!$B:$B,RANDBETWEEN(2,COUNTA(States!$A:$A)),1)</f>
        <v>18</v>
      </c>
      <c r="H149" s="7" t="str">
        <f ca="1">VLOOKUP($D149,Name!$A:$C,3,FALSE)</f>
        <v>F</v>
      </c>
      <c r="I149" s="7" cm="1">
        <f t="array" aca="1" ref="I149" ca="1">INDEX('Marital status'!$A:$A,RANDBETWEEN(2,COUNTA('Marital status'!$A:$A)),1)</f>
        <v>3</v>
      </c>
      <c r="J149" s="7">
        <f t="shared" ca="1" si="27"/>
        <v>2</v>
      </c>
      <c r="K149" s="8">
        <f t="shared" ca="1" si="28"/>
        <v>33094</v>
      </c>
      <c r="L149" s="6">
        <f t="shared" ca="1" si="29"/>
        <v>5</v>
      </c>
      <c r="M149" s="7">
        <f ca="1" xml:space="preserve">
  IF(OR($N149 = 2, $N149 = 3, $N149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49" s="6">
        <f t="shared" ca="1" si="30"/>
        <v>8</v>
      </c>
      <c r="O149" s="6">
        <f t="shared" ca="1" si="31"/>
        <v>2</v>
      </c>
      <c r="P149" s="8">
        <f t="shared" ca="1" si="32"/>
        <v>40369</v>
      </c>
      <c r="Q149" s="6">
        <f ca="1">RANDBETWEEN(2,COUNTA('Recruitment source'!$A:$A))</f>
        <v>11</v>
      </c>
      <c r="R149" s="8" t="e">
        <f t="shared" ca="1" si="33"/>
        <v>#N/A</v>
      </c>
      <c r="S149" s="6" t="e">
        <f t="shared" ca="1" si="34"/>
        <v>#N/A</v>
      </c>
      <c r="T149" s="6">
        <f t="shared" ca="1" si="24"/>
        <v>4</v>
      </c>
      <c r="U149" s="1">
        <f t="shared" ca="1" si="35"/>
        <v>2000</v>
      </c>
    </row>
    <row r="150" spans="1:21" x14ac:dyDescent="0.2">
      <c r="A150" s="7" cm="1">
        <f t="array" aca="1" ref="A150" ca="1">INDEX(Companies!$A:$A,RANDBETWEEN(2,COUNTA(Companies!$A:$A)),1)</f>
        <v>2</v>
      </c>
      <c r="B150" s="5">
        <f t="shared" si="25"/>
        <v>149</v>
      </c>
      <c r="C150" s="6">
        <f t="shared" ca="1" si="26"/>
        <v>1</v>
      </c>
      <c r="D150" s="7">
        <f ca="1">IF($B150 = 1 + N("Presidente"),
    127,
    IF($B150 = 2 + N("Vice-Presidente"),
        72,
        IF($B150 = 3 + N("Secretária bilíngue"),
            13,
            RANDBETWEEN(5,COUNT(Name!$A:$A) + 1)
        )
    )
)</f>
        <v>155</v>
      </c>
      <c r="E150" s="7" t="str">
        <f ca="1" xml:space="preserve">
VLOOKUP(
  $D150,
  Name!$A:$B,
  2,
  FALSE
)
&amp; " " &amp;
IF($B150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Gloria Coelho Lombardi</v>
      </c>
      <c r="F150" s="7">
        <v>2</v>
      </c>
      <c r="G150" s="7" cm="1">
        <f t="array" aca="1" ref="G150" ca="1">INDEX(States!$B:$B,RANDBETWEEN(2,COUNTA(States!$A:$A)),1)</f>
        <v>20</v>
      </c>
      <c r="H150" s="7" t="str">
        <f ca="1">VLOOKUP($D150,Name!$A:$C,3,FALSE)</f>
        <v>F</v>
      </c>
      <c r="I150" s="7" cm="1">
        <f t="array" aca="1" ref="I150" ca="1">INDEX('Marital status'!$A:$A,RANDBETWEEN(2,COUNTA('Marital status'!$A:$A)),1)</f>
        <v>4</v>
      </c>
      <c r="J150" s="7">
        <f t="shared" ca="1" si="27"/>
        <v>2</v>
      </c>
      <c r="K150" s="8">
        <f t="shared" ca="1" si="28"/>
        <v>18489</v>
      </c>
      <c r="L150" s="6">
        <f t="shared" ca="1" si="29"/>
        <v>4</v>
      </c>
      <c r="M150" s="7">
        <f ca="1" xml:space="preserve">
  IF(OR($N150 = 2, $N150 = 3, $N150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50" s="6">
        <f t="shared" ca="1" si="30"/>
        <v>6</v>
      </c>
      <c r="O150" s="6" t="e">
        <f t="shared" ca="1" si="31"/>
        <v>#N/A</v>
      </c>
      <c r="P150" s="8">
        <f t="shared" ca="1" si="32"/>
        <v>43692</v>
      </c>
      <c r="Q150" s="6">
        <f ca="1">RANDBETWEEN(2,COUNTA('Recruitment source'!$A:$A))</f>
        <v>4</v>
      </c>
      <c r="R150" s="8" t="e">
        <f t="shared" ca="1" si="33"/>
        <v>#N/A</v>
      </c>
      <c r="S150" s="6" t="e">
        <f t="shared" ca="1" si="34"/>
        <v>#N/A</v>
      </c>
      <c r="T150" s="6">
        <f t="shared" ca="1" si="24"/>
        <v>5</v>
      </c>
      <c r="U150" s="1">
        <f t="shared" ca="1" si="35"/>
        <v>885</v>
      </c>
    </row>
    <row r="151" spans="1:21" x14ac:dyDescent="0.2">
      <c r="A151" s="7" cm="1">
        <f t="array" aca="1" ref="A151" ca="1">INDEX(Companies!$A:$A,RANDBETWEEN(2,COUNTA(Companies!$A:$A)),1)</f>
        <v>2</v>
      </c>
      <c r="B151" s="5">
        <f t="shared" si="25"/>
        <v>150</v>
      </c>
      <c r="C151" s="6">
        <f t="shared" ca="1" si="26"/>
        <v>1</v>
      </c>
      <c r="D151" s="7">
        <f ca="1">IF($B151 = 1 + N("Presidente"),
    127,
    IF($B151 = 2 + N("Vice-Presidente"),
        72,
        IF($B151 = 3 + N("Secretária bilíngue"),
            13,
            RANDBETWEEN(5,COUNT(Name!$A:$A) + 1)
        )
    )
)</f>
        <v>164</v>
      </c>
      <c r="E151" s="7" t="str">
        <f ca="1" xml:space="preserve">
VLOOKUP(
  $D151,
  Name!$A:$B,
  2,
  FALSE
)
&amp; " " &amp;
IF($B151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Heloísa Helena Leone Siqueira</v>
      </c>
      <c r="F151" s="7">
        <v>2</v>
      </c>
      <c r="G151" s="7" cm="1">
        <f t="array" aca="1" ref="G151" ca="1">INDEX(States!$B:$B,RANDBETWEEN(2,COUNTA(States!$A:$A)),1)</f>
        <v>3</v>
      </c>
      <c r="H151" s="7" t="str">
        <f ca="1">VLOOKUP($D151,Name!$A:$C,3,FALSE)</f>
        <v>F</v>
      </c>
      <c r="I151" s="7" cm="1">
        <f t="array" aca="1" ref="I151" ca="1">INDEX('Marital status'!$A:$A,RANDBETWEEN(2,COUNTA('Marital status'!$A:$A)),1)</f>
        <v>6</v>
      </c>
      <c r="J151" s="7">
        <f t="shared" ca="1" si="27"/>
        <v>2</v>
      </c>
      <c r="K151" s="8">
        <f t="shared" ca="1" si="28"/>
        <v>33054</v>
      </c>
      <c r="L151" s="6">
        <f t="shared" ca="1" si="29"/>
        <v>5</v>
      </c>
      <c r="M151" s="7">
        <f ca="1" xml:space="preserve">
  IF(OR($N151 = 2, $N151 = 3, $N151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51" s="6">
        <f t="shared" ca="1" si="30"/>
        <v>8</v>
      </c>
      <c r="O151" s="6">
        <f t="shared" ca="1" si="31"/>
        <v>3</v>
      </c>
      <c r="P151" s="8">
        <f t="shared" ca="1" si="32"/>
        <v>43900</v>
      </c>
      <c r="Q151" s="6">
        <f ca="1">RANDBETWEEN(2,COUNTA('Recruitment source'!$A:$A))</f>
        <v>2</v>
      </c>
      <c r="R151" s="8" t="e">
        <f t="shared" ca="1" si="33"/>
        <v>#N/A</v>
      </c>
      <c r="S151" s="6" t="e">
        <f t="shared" ca="1" si="34"/>
        <v>#N/A</v>
      </c>
      <c r="T151" s="6">
        <f t="shared" ca="1" si="24"/>
        <v>3</v>
      </c>
      <c r="U151" s="1">
        <f t="shared" ca="1" si="35"/>
        <v>2080</v>
      </c>
    </row>
    <row r="152" spans="1:21" x14ac:dyDescent="0.2">
      <c r="A152" s="7" cm="1">
        <f t="array" aca="1" ref="A152" ca="1">INDEX(Companies!$A:$A,RANDBETWEEN(2,COUNTA(Companies!$A:$A)),1)</f>
        <v>2</v>
      </c>
      <c r="B152" s="5">
        <f t="shared" si="25"/>
        <v>151</v>
      </c>
      <c r="C152" s="6">
        <f t="shared" ca="1" si="26"/>
        <v>1</v>
      </c>
      <c r="D152" s="7">
        <f ca="1">IF($B152 = 1 + N("Presidente"),
    127,
    IF($B152 = 2 + N("Vice-Presidente"),
        72,
        IF($B152 = 3 + N("Secretária bilíngue"),
            13,
            RANDBETWEEN(5,COUNT(Name!$A:$A) + 1)
        )
    )
)</f>
        <v>17</v>
      </c>
      <c r="E152" s="7" t="str">
        <f ca="1" xml:space="preserve">
VLOOKUP(
  $D152,
  Name!$A:$B,
  2,
  FALSE
)
&amp; " " &amp;
IF($B152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Alicia Caruso Pellegrini</v>
      </c>
      <c r="F152" s="7">
        <v>2</v>
      </c>
      <c r="G152" s="7" cm="1">
        <f t="array" aca="1" ref="G152" ca="1">INDEX(States!$B:$B,RANDBETWEEN(2,COUNTA(States!$A:$A)),1)</f>
        <v>21</v>
      </c>
      <c r="H152" s="7" t="str">
        <f ca="1">VLOOKUP($D152,Name!$A:$C,3,FALSE)</f>
        <v>F</v>
      </c>
      <c r="I152" s="7" cm="1">
        <f t="array" aca="1" ref="I152" ca="1">INDEX('Marital status'!$A:$A,RANDBETWEEN(2,COUNTA('Marital status'!$A:$A)),1)</f>
        <v>2</v>
      </c>
      <c r="J152" s="7">
        <f t="shared" ca="1" si="27"/>
        <v>5</v>
      </c>
      <c r="K152" s="8">
        <f t="shared" ca="1" si="28"/>
        <v>32871</v>
      </c>
      <c r="L152" s="6">
        <f t="shared" ca="1" si="29"/>
        <v>4</v>
      </c>
      <c r="M152" s="7">
        <f ca="1" xml:space="preserve">
  IF(OR($N152 = 2, $N152 = 3, $N152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52" s="6">
        <f t="shared" ca="1" si="30"/>
        <v>7</v>
      </c>
      <c r="O152" s="6" t="e">
        <f t="shared" ca="1" si="31"/>
        <v>#N/A</v>
      </c>
      <c r="P152" s="8">
        <f t="shared" ca="1" si="32"/>
        <v>40412</v>
      </c>
      <c r="Q152" s="6">
        <f ca="1">RANDBETWEEN(2,COUNTA('Recruitment source'!$A:$A))</f>
        <v>9</v>
      </c>
      <c r="R152" s="8" t="e">
        <f t="shared" ca="1" si="33"/>
        <v>#N/A</v>
      </c>
      <c r="S152" s="6" t="e">
        <f t="shared" ca="1" si="34"/>
        <v>#N/A</v>
      </c>
      <c r="T152" s="6">
        <f t="shared" ca="1" si="24"/>
        <v>5</v>
      </c>
      <c r="U152" s="1">
        <f t="shared" ca="1" si="35"/>
        <v>1005</v>
      </c>
    </row>
    <row r="153" spans="1:21" x14ac:dyDescent="0.2">
      <c r="A153" s="7" cm="1">
        <f t="array" aca="1" ref="A153" ca="1">INDEX(Companies!$A:$A,RANDBETWEEN(2,COUNTA(Companies!$A:$A)),1)</f>
        <v>2</v>
      </c>
      <c r="B153" s="5">
        <f t="shared" si="25"/>
        <v>152</v>
      </c>
      <c r="C153" s="6">
        <f t="shared" ca="1" si="26"/>
        <v>1</v>
      </c>
      <c r="D153" s="7">
        <f ca="1">IF($B153 = 1 + N("Presidente"),
    127,
    IF($B153 = 2 + N("Vice-Presidente"),
        72,
        IF($B153 = 3 + N("Secretária bilíngue"),
            13,
            RANDBETWEEN(5,COUNT(Name!$A:$A) + 1)
        )
    )
)</f>
        <v>223</v>
      </c>
      <c r="E153" s="7" t="str">
        <f ca="1" xml:space="preserve">
VLOOKUP(
  $D153,
  Name!$A:$B,
  2,
  FALSE
)
&amp; " " &amp;
IF($B153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Leonardo Gonçalves Resende</v>
      </c>
      <c r="F153" s="7">
        <v>2</v>
      </c>
      <c r="G153" s="7" cm="1">
        <f t="array" aca="1" ref="G153" ca="1">INDEX(States!$B:$B,RANDBETWEEN(2,COUNTA(States!$A:$A)),1)</f>
        <v>11</v>
      </c>
      <c r="H153" s="7" t="str">
        <f ca="1">VLOOKUP($D153,Name!$A:$C,3,FALSE)</f>
        <v>M</v>
      </c>
      <c r="I153" s="7" cm="1">
        <f t="array" aca="1" ref="I153" ca="1">INDEX('Marital status'!$A:$A,RANDBETWEEN(2,COUNTA('Marital status'!$A:$A)),1)</f>
        <v>3</v>
      </c>
      <c r="J153" s="7">
        <f t="shared" ca="1" si="27"/>
        <v>2</v>
      </c>
      <c r="K153" s="8">
        <f t="shared" ca="1" si="28"/>
        <v>33794</v>
      </c>
      <c r="L153" s="6">
        <f t="shared" ca="1" si="29"/>
        <v>5</v>
      </c>
      <c r="M153" s="7">
        <f ca="1" xml:space="preserve">
  IF(OR($N153 = 2, $N153 = 3, $N153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53" s="6">
        <f t="shared" ca="1" si="30"/>
        <v>8</v>
      </c>
      <c r="O153" s="6">
        <f t="shared" ca="1" si="31"/>
        <v>4</v>
      </c>
      <c r="P153" s="8">
        <f t="shared" ca="1" si="32"/>
        <v>40633</v>
      </c>
      <c r="Q153" s="6">
        <f ca="1">RANDBETWEEN(2,COUNTA('Recruitment source'!$A:$A))</f>
        <v>5</v>
      </c>
      <c r="R153" s="8" t="e">
        <f t="shared" ca="1" si="33"/>
        <v>#N/A</v>
      </c>
      <c r="S153" s="6" t="e">
        <f t="shared" ca="1" si="34"/>
        <v>#N/A</v>
      </c>
      <c r="T153" s="6">
        <f t="shared" ca="1" si="24"/>
        <v>5</v>
      </c>
      <c r="U153" s="1">
        <f t="shared" ca="1" si="35"/>
        <v>2000</v>
      </c>
    </row>
    <row r="154" spans="1:21" x14ac:dyDescent="0.2">
      <c r="A154" s="7" cm="1">
        <f t="array" aca="1" ref="A154" ca="1">INDEX(Companies!$A:$A,RANDBETWEEN(2,COUNTA(Companies!$A:$A)),1)</f>
        <v>2</v>
      </c>
      <c r="B154" s="5">
        <f t="shared" si="25"/>
        <v>153</v>
      </c>
      <c r="C154" s="6">
        <f t="shared" ca="1" si="26"/>
        <v>1</v>
      </c>
      <c r="D154" s="7">
        <f ca="1">IF($B154 = 1 + N("Presidente"),
    127,
    IF($B154 = 2 + N("Vice-Presidente"),
        72,
        IF($B154 = 3 + N("Secretária bilíngue"),
            13,
            RANDBETWEEN(5,COUNT(Name!$A:$A) + 1)
        )
    )
)</f>
        <v>86</v>
      </c>
      <c r="E154" s="7" t="str">
        <f ca="1" xml:space="preserve">
VLOOKUP(
  $D154,
  Name!$A:$B,
  2,
  FALSE
)
&amp; " " &amp;
IF($B154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Carolina Sá Botelho</v>
      </c>
      <c r="F154" s="7">
        <v>2</v>
      </c>
      <c r="G154" s="7" cm="1">
        <f t="array" aca="1" ref="G154" ca="1">INDEX(States!$B:$B,RANDBETWEEN(2,COUNTA(States!$A:$A)),1)</f>
        <v>9</v>
      </c>
      <c r="H154" s="7" t="str">
        <f ca="1">VLOOKUP($D154,Name!$A:$C,3,FALSE)</f>
        <v>F</v>
      </c>
      <c r="I154" s="7" cm="1">
        <f t="array" aca="1" ref="I154" ca="1">INDEX('Marital status'!$A:$A,RANDBETWEEN(2,COUNTA('Marital status'!$A:$A)),1)</f>
        <v>5</v>
      </c>
      <c r="J154" s="7">
        <f t="shared" ca="1" si="27"/>
        <v>4</v>
      </c>
      <c r="K154" s="8">
        <f t="shared" ca="1" si="28"/>
        <v>35157</v>
      </c>
      <c r="L154" s="6">
        <f t="shared" ca="1" si="29"/>
        <v>4</v>
      </c>
      <c r="M154" s="7">
        <f ca="1" xml:space="preserve">
  IF(OR($N154 = 2, $N154 = 3, $N154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54" s="6">
        <f t="shared" ca="1" si="30"/>
        <v>7</v>
      </c>
      <c r="O154" s="6" t="e">
        <f t="shared" ca="1" si="31"/>
        <v>#N/A</v>
      </c>
      <c r="P154" s="8">
        <f t="shared" ca="1" si="32"/>
        <v>37728</v>
      </c>
      <c r="Q154" s="6">
        <f ca="1">RANDBETWEEN(2,COUNTA('Recruitment source'!$A:$A))</f>
        <v>2</v>
      </c>
      <c r="R154" s="8" t="e">
        <f t="shared" ca="1" si="33"/>
        <v>#N/A</v>
      </c>
      <c r="S154" s="6" t="e">
        <f t="shared" ca="1" si="34"/>
        <v>#N/A</v>
      </c>
      <c r="T154" s="6">
        <f t="shared" ca="1" si="24"/>
        <v>2</v>
      </c>
      <c r="U154" s="1">
        <f t="shared" ca="1" si="35"/>
        <v>1005</v>
      </c>
    </row>
    <row r="155" spans="1:21" x14ac:dyDescent="0.2">
      <c r="A155" s="7" cm="1">
        <f t="array" aca="1" ref="A155" ca="1">INDEX(Companies!$A:$A,RANDBETWEEN(2,COUNTA(Companies!$A:$A)),1)</f>
        <v>2</v>
      </c>
      <c r="B155" s="5">
        <f t="shared" si="25"/>
        <v>154</v>
      </c>
      <c r="C155" s="6">
        <f t="shared" ca="1" si="26"/>
        <v>1</v>
      </c>
      <c r="D155" s="7">
        <f ca="1">IF($B155 = 1 + N("Presidente"),
    127,
    IF($B155 = 2 + N("Vice-Presidente"),
        72,
        IF($B155 = 3 + N("Secretária bilíngue"),
            13,
            RANDBETWEEN(5,COUNT(Name!$A:$A) + 1)
        )
    )
)</f>
        <v>307</v>
      </c>
      <c r="E155" s="7" t="str">
        <f ca="1" xml:space="preserve">
VLOOKUP(
  $D155,
  Name!$A:$B,
  2,
  FALSE
)
&amp; " " &amp;
IF($B155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Nicole Ildelfonso Gomes</v>
      </c>
      <c r="F155" s="7">
        <v>2</v>
      </c>
      <c r="G155" s="7" cm="1">
        <f t="array" aca="1" ref="G155" ca="1">INDEX(States!$B:$B,RANDBETWEEN(2,COUNTA(States!$A:$A)),1)</f>
        <v>6</v>
      </c>
      <c r="H155" s="7" t="str">
        <f ca="1">VLOOKUP($D155,Name!$A:$C,3,FALSE)</f>
        <v>F</v>
      </c>
      <c r="I155" s="7" cm="1">
        <f t="array" aca="1" ref="I155" ca="1">INDEX('Marital status'!$A:$A,RANDBETWEEN(2,COUNTA('Marital status'!$A:$A)),1)</f>
        <v>2</v>
      </c>
      <c r="J155" s="7">
        <f t="shared" ca="1" si="27"/>
        <v>2</v>
      </c>
      <c r="K155" s="8">
        <f t="shared" ca="1" si="28"/>
        <v>35937</v>
      </c>
      <c r="L155" s="6">
        <f t="shared" ca="1" si="29"/>
        <v>4</v>
      </c>
      <c r="M155" s="7">
        <f ca="1" xml:space="preserve">
  IF(OR($N155 = 2, $N155 = 3, $N155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55" s="6">
        <f t="shared" ca="1" si="30"/>
        <v>8</v>
      </c>
      <c r="O155" s="6">
        <f t="shared" ca="1" si="31"/>
        <v>4</v>
      </c>
      <c r="P155" s="8">
        <f t="shared" ca="1" si="32"/>
        <v>42042</v>
      </c>
      <c r="Q155" s="6">
        <f ca="1">RANDBETWEEN(2,COUNTA('Recruitment source'!$A:$A))</f>
        <v>10</v>
      </c>
      <c r="R155" s="8" t="e">
        <f t="shared" ca="1" si="33"/>
        <v>#N/A</v>
      </c>
      <c r="S155" s="6" t="e">
        <f t="shared" ca="1" si="34"/>
        <v>#N/A</v>
      </c>
      <c r="T155" s="6">
        <f t="shared" ca="1" si="24"/>
        <v>5</v>
      </c>
      <c r="U155" s="1">
        <f t="shared" ca="1" si="35"/>
        <v>2080</v>
      </c>
    </row>
    <row r="156" spans="1:21" x14ac:dyDescent="0.2">
      <c r="A156" s="7" cm="1">
        <f t="array" aca="1" ref="A156" ca="1">INDEX(Companies!$A:$A,RANDBETWEEN(2,COUNTA(Companies!$A:$A)),1)</f>
        <v>2</v>
      </c>
      <c r="B156" s="5">
        <f t="shared" si="25"/>
        <v>155</v>
      </c>
      <c r="C156" s="6">
        <f t="shared" ca="1" si="26"/>
        <v>1</v>
      </c>
      <c r="D156" s="7">
        <f ca="1">IF($B156 = 1 + N("Presidente"),
    127,
    IF($B156 = 2 + N("Vice-Presidente"),
        72,
        IF($B156 = 3 + N("Secretária bilíngue"),
            13,
            RANDBETWEEN(5,COUNT(Name!$A:$A) + 1)
        )
    )
)</f>
        <v>78</v>
      </c>
      <c r="E156" s="7" t="str">
        <f ca="1" xml:space="preserve">
VLOOKUP(
  $D156,
  Name!$A:$B,
  2,
  FALSE
)
&amp; " " &amp;
IF($B156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Bryan Pellegrini Auth</v>
      </c>
      <c r="F156" s="7">
        <v>2</v>
      </c>
      <c r="G156" s="7" cm="1">
        <f t="array" aca="1" ref="G156" ca="1">INDEX(States!$B:$B,RANDBETWEEN(2,COUNTA(States!$A:$A)),1)</f>
        <v>11</v>
      </c>
      <c r="H156" s="7" t="str">
        <f ca="1">VLOOKUP($D156,Name!$A:$C,3,FALSE)</f>
        <v>M</v>
      </c>
      <c r="I156" s="7" cm="1">
        <f t="array" aca="1" ref="I156" ca="1">INDEX('Marital status'!$A:$A,RANDBETWEEN(2,COUNTA('Marital status'!$A:$A)),1)</f>
        <v>6</v>
      </c>
      <c r="J156" s="7">
        <f t="shared" ca="1" si="27"/>
        <v>2</v>
      </c>
      <c r="K156" s="8">
        <f t="shared" ca="1" si="28"/>
        <v>33099</v>
      </c>
      <c r="L156" s="6">
        <f t="shared" ca="1" si="29"/>
        <v>4</v>
      </c>
      <c r="M156" s="7">
        <f ca="1" xml:space="preserve">
  IF(OR($N156 = 2, $N156 = 3, $N156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56" s="6">
        <f t="shared" ca="1" si="30"/>
        <v>6</v>
      </c>
      <c r="O156" s="6" t="e">
        <f t="shared" ca="1" si="31"/>
        <v>#N/A</v>
      </c>
      <c r="P156" s="8">
        <f t="shared" ca="1" si="32"/>
        <v>38185</v>
      </c>
      <c r="Q156" s="6">
        <f ca="1">RANDBETWEEN(2,COUNTA('Recruitment source'!$A:$A))</f>
        <v>9</v>
      </c>
      <c r="R156" s="8" t="e">
        <f t="shared" ca="1" si="33"/>
        <v>#N/A</v>
      </c>
      <c r="S156" s="6" t="e">
        <f t="shared" ca="1" si="34"/>
        <v>#N/A</v>
      </c>
      <c r="T156" s="6">
        <f t="shared" ca="1" si="24"/>
        <v>2</v>
      </c>
      <c r="U156" s="1">
        <f t="shared" ca="1" si="35"/>
        <v>805</v>
      </c>
    </row>
    <row r="157" spans="1:21" x14ac:dyDescent="0.2">
      <c r="A157" s="7" cm="1">
        <f t="array" aca="1" ref="A157" ca="1">INDEX(Companies!$A:$A,RANDBETWEEN(2,COUNTA(Companies!$A:$A)),1)</f>
        <v>2</v>
      </c>
      <c r="B157" s="5">
        <f t="shared" si="25"/>
        <v>156</v>
      </c>
      <c r="C157" s="6">
        <f t="shared" ca="1" si="26"/>
        <v>1</v>
      </c>
      <c r="D157" s="7">
        <f ca="1">IF($B157 = 1 + N("Presidente"),
    127,
    IF($B157 = 2 + N("Vice-Presidente"),
        72,
        IF($B157 = 3 + N("Secretária bilíngue"),
            13,
            RANDBETWEEN(5,COUNT(Name!$A:$A) + 1)
        )
    )
)</f>
        <v>69</v>
      </c>
      <c r="E157" s="7" t="str">
        <f ca="1" xml:space="preserve">
VLOOKUP(
  $D157,
  Name!$A:$B,
  2,
  FALSE
)
&amp; " " &amp;
IF($B157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Benjamin Negreiros Melo</v>
      </c>
      <c r="F157" s="7">
        <v>2</v>
      </c>
      <c r="G157" s="7" cm="1">
        <f t="array" aca="1" ref="G157" ca="1">INDEX(States!$B:$B,RANDBETWEEN(2,COUNTA(States!$A:$A)),1)</f>
        <v>9</v>
      </c>
      <c r="H157" s="7" t="str">
        <f ca="1">VLOOKUP($D157,Name!$A:$C,3,FALSE)</f>
        <v>M</v>
      </c>
      <c r="I157" s="7" cm="1">
        <f t="array" aca="1" ref="I157" ca="1">INDEX('Marital status'!$A:$A,RANDBETWEEN(2,COUNTA('Marital status'!$A:$A)),1)</f>
        <v>4</v>
      </c>
      <c r="J157" s="7">
        <f t="shared" ca="1" si="27"/>
        <v>2</v>
      </c>
      <c r="K157" s="8">
        <f t="shared" ca="1" si="28"/>
        <v>35724</v>
      </c>
      <c r="L157" s="6">
        <f t="shared" ca="1" si="29"/>
        <v>4</v>
      </c>
      <c r="M157" s="7">
        <f ca="1" xml:space="preserve">
  IF(OR($N157 = 2, $N157 = 3, $N157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57" s="6">
        <f t="shared" ca="1" si="30"/>
        <v>8</v>
      </c>
      <c r="O157" s="6">
        <f t="shared" ca="1" si="31"/>
        <v>3</v>
      </c>
      <c r="P157" s="8">
        <f t="shared" ca="1" si="32"/>
        <v>40558</v>
      </c>
      <c r="Q157" s="6">
        <f ca="1">RANDBETWEEN(2,COUNTA('Recruitment source'!$A:$A))</f>
        <v>3</v>
      </c>
      <c r="R157" s="8" t="e">
        <f t="shared" ca="1" si="33"/>
        <v>#N/A</v>
      </c>
      <c r="S157" s="6" t="e">
        <f t="shared" ca="1" si="34"/>
        <v>#N/A</v>
      </c>
      <c r="T157" s="6">
        <f t="shared" ca="1" si="24"/>
        <v>2</v>
      </c>
      <c r="U157" s="1">
        <f t="shared" ca="1" si="35"/>
        <v>2000</v>
      </c>
    </row>
    <row r="158" spans="1:21" x14ac:dyDescent="0.2">
      <c r="A158" s="7" cm="1">
        <f t="array" aca="1" ref="A158" ca="1">INDEX(Companies!$A:$A,RANDBETWEEN(2,COUNTA(Companies!$A:$A)),1)</f>
        <v>2</v>
      </c>
      <c r="B158" s="5">
        <f t="shared" si="25"/>
        <v>157</v>
      </c>
      <c r="C158" s="6">
        <f t="shared" ca="1" si="26"/>
        <v>1</v>
      </c>
      <c r="D158" s="7">
        <f ca="1">IF($B158 = 1 + N("Presidente"),
    127,
    IF($B158 = 2 + N("Vice-Presidente"),
        72,
        IF($B158 = 3 + N("Secretária bilíngue"),
            13,
            RANDBETWEEN(5,COUNT(Name!$A:$A) + 1)
        )
    )
)</f>
        <v>223</v>
      </c>
      <c r="E158" s="7" t="str">
        <f ca="1" xml:space="preserve">
VLOOKUP(
  $D158,
  Name!$A:$B,
  2,
  FALSE
)
&amp; " " &amp;
IF($B158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Leonardo Negrão Fontana</v>
      </c>
      <c r="F158" s="7">
        <v>2</v>
      </c>
      <c r="G158" s="7" cm="1">
        <f t="array" aca="1" ref="G158" ca="1">INDEX(States!$B:$B,RANDBETWEEN(2,COUNTA(States!$A:$A)),1)</f>
        <v>3</v>
      </c>
      <c r="H158" s="7" t="str">
        <f ca="1">VLOOKUP($D158,Name!$A:$C,3,FALSE)</f>
        <v>M</v>
      </c>
      <c r="I158" s="7" cm="1">
        <f t="array" aca="1" ref="I158" ca="1">INDEX('Marital status'!$A:$A,RANDBETWEEN(2,COUNTA('Marital status'!$A:$A)),1)</f>
        <v>2</v>
      </c>
      <c r="J158" s="7">
        <f t="shared" ca="1" si="27"/>
        <v>2</v>
      </c>
      <c r="K158" s="8">
        <f t="shared" ca="1" si="28"/>
        <v>29520</v>
      </c>
      <c r="L158" s="6">
        <f t="shared" ca="1" si="29"/>
        <v>4</v>
      </c>
      <c r="M158" s="7">
        <f ca="1" xml:space="preserve">
  IF(OR($N158 = 2, $N158 = 3, $N158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58" s="6">
        <f t="shared" ca="1" si="30"/>
        <v>7</v>
      </c>
      <c r="O158" s="6" t="e">
        <f t="shared" ca="1" si="31"/>
        <v>#N/A</v>
      </c>
      <c r="P158" s="8">
        <f t="shared" ca="1" si="32"/>
        <v>38638</v>
      </c>
      <c r="Q158" s="6">
        <f ca="1">RANDBETWEEN(2,COUNTA('Recruitment source'!$A:$A))</f>
        <v>6</v>
      </c>
      <c r="R158" s="8" t="e">
        <f t="shared" ca="1" si="33"/>
        <v>#N/A</v>
      </c>
      <c r="S158" s="6" t="e">
        <f t="shared" ca="1" si="34"/>
        <v>#N/A</v>
      </c>
      <c r="T158" s="6">
        <f t="shared" ca="1" si="24"/>
        <v>2</v>
      </c>
      <c r="U158" s="1">
        <f t="shared" ca="1" si="35"/>
        <v>1005</v>
      </c>
    </row>
    <row r="159" spans="1:21" x14ac:dyDescent="0.2">
      <c r="A159" s="7" cm="1">
        <f t="array" aca="1" ref="A159" ca="1">INDEX(Companies!$A:$A,RANDBETWEEN(2,COUNTA(Companies!$A:$A)),1)</f>
        <v>2</v>
      </c>
      <c r="B159" s="5">
        <f t="shared" si="25"/>
        <v>158</v>
      </c>
      <c r="C159" s="6">
        <f t="shared" ca="1" si="26"/>
        <v>1</v>
      </c>
      <c r="D159" s="7">
        <f ca="1">IF($B159 = 1 + N("Presidente"),
    127,
    IF($B159 = 2 + N("Vice-Presidente"),
        72,
        IF($B159 = 3 + N("Secretária bilíngue"),
            13,
            RANDBETWEEN(5,COUNT(Name!$A:$A) + 1)
        )
    )
)</f>
        <v>139</v>
      </c>
      <c r="E159" s="7" t="str">
        <f ca="1" xml:space="preserve">
VLOOKUP(
  $D159,
  Name!$A:$B,
  2,
  FALSE
)
&amp; " " &amp;
IF($B159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Mariano Greco Fontana</v>
      </c>
      <c r="F159" s="7">
        <v>2</v>
      </c>
      <c r="G159" s="7" cm="1">
        <f t="array" aca="1" ref="G159" ca="1">INDEX(States!$B:$B,RANDBETWEEN(2,COUNTA(States!$A:$A)),1)</f>
        <v>9</v>
      </c>
      <c r="H159" s="7" t="str">
        <f ca="1">VLOOKUP($D159,Name!$A:$C,3,FALSE)</f>
        <v>M</v>
      </c>
      <c r="I159" s="7" cm="1">
        <f t="array" aca="1" ref="I159" ca="1">INDEX('Marital status'!$A:$A,RANDBETWEEN(2,COUNTA('Marital status'!$A:$A)),1)</f>
        <v>4</v>
      </c>
      <c r="J159" s="7">
        <f t="shared" ca="1" si="27"/>
        <v>2</v>
      </c>
      <c r="K159" s="8">
        <f t="shared" ca="1" si="28"/>
        <v>35600</v>
      </c>
      <c r="L159" s="6">
        <f t="shared" ca="1" si="29"/>
        <v>5</v>
      </c>
      <c r="M159" s="7">
        <f ca="1" xml:space="preserve">
  IF(OR($N159 = 2, $N159 = 3, $N159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59" s="6">
        <f t="shared" ca="1" si="30"/>
        <v>8</v>
      </c>
      <c r="O159" s="6">
        <f t="shared" ca="1" si="31"/>
        <v>4</v>
      </c>
      <c r="P159" s="8">
        <f t="shared" ca="1" si="32"/>
        <v>36523</v>
      </c>
      <c r="Q159" s="6">
        <f ca="1">RANDBETWEEN(2,COUNTA('Recruitment source'!$A:$A))</f>
        <v>9</v>
      </c>
      <c r="R159" s="8" t="e">
        <f t="shared" ca="1" si="33"/>
        <v>#N/A</v>
      </c>
      <c r="S159" s="6" t="e">
        <f t="shared" ca="1" si="34"/>
        <v>#N/A</v>
      </c>
      <c r="T159" s="6">
        <f t="shared" ca="1" si="24"/>
        <v>5</v>
      </c>
      <c r="U159" s="1">
        <f t="shared" ca="1" si="35"/>
        <v>2000</v>
      </c>
    </row>
    <row r="160" spans="1:21" x14ac:dyDescent="0.2">
      <c r="A160" s="7" cm="1">
        <f t="array" aca="1" ref="A160" ca="1">INDEX(Companies!$A:$A,RANDBETWEEN(2,COUNTA(Companies!$A:$A)),1)</f>
        <v>2</v>
      </c>
      <c r="B160" s="5">
        <f t="shared" si="25"/>
        <v>159</v>
      </c>
      <c r="C160" s="6">
        <f t="shared" ca="1" si="26"/>
        <v>1</v>
      </c>
      <c r="D160" s="7">
        <f ca="1">IF($B160 = 1 + N("Presidente"),
    127,
    IF($B160 = 2 + N("Vice-Presidente"),
        72,
        IF($B160 = 3 + N("Secretária bilíngue"),
            13,
            RANDBETWEEN(5,COUNT(Name!$A:$A) + 1)
        )
    )
)</f>
        <v>287</v>
      </c>
      <c r="E160" s="7" t="str">
        <f ca="1" xml:space="preserve">
VLOOKUP(
  $D160,
  Name!$A:$B,
  2,
  FALSE
)
&amp; " " &amp;
IF($B160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Matheus Santoro Amor</v>
      </c>
      <c r="F160" s="7">
        <v>2</v>
      </c>
      <c r="G160" s="7" cm="1">
        <f t="array" aca="1" ref="G160" ca="1">INDEX(States!$B:$B,RANDBETWEEN(2,COUNTA(States!$A:$A)),1)</f>
        <v>12</v>
      </c>
      <c r="H160" s="7" t="str">
        <f ca="1">VLOOKUP($D160,Name!$A:$C,3,FALSE)</f>
        <v>M</v>
      </c>
      <c r="I160" s="7" cm="1">
        <f t="array" aca="1" ref="I160" ca="1">INDEX('Marital status'!$A:$A,RANDBETWEEN(2,COUNTA('Marital status'!$A:$A)),1)</f>
        <v>5</v>
      </c>
      <c r="J160" s="7">
        <f t="shared" ca="1" si="27"/>
        <v>2</v>
      </c>
      <c r="K160" s="8">
        <f t="shared" ca="1" si="28"/>
        <v>35935</v>
      </c>
      <c r="L160" s="6">
        <f t="shared" ca="1" si="29"/>
        <v>4</v>
      </c>
      <c r="M160" s="7">
        <f ca="1" xml:space="preserve">
  IF(OR($N160 = 2, $N160 = 3, $N160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60" s="6">
        <f t="shared" ca="1" si="30"/>
        <v>7</v>
      </c>
      <c r="O160" s="6" t="e">
        <f t="shared" ca="1" si="31"/>
        <v>#N/A</v>
      </c>
      <c r="P160" s="8">
        <f t="shared" ca="1" si="32"/>
        <v>44421</v>
      </c>
      <c r="Q160" s="6">
        <f ca="1">RANDBETWEEN(2,COUNTA('Recruitment source'!$A:$A))</f>
        <v>5</v>
      </c>
      <c r="R160" s="8" t="e">
        <f t="shared" ca="1" si="33"/>
        <v>#N/A</v>
      </c>
      <c r="S160" s="6" t="e">
        <f t="shared" ca="1" si="34"/>
        <v>#N/A</v>
      </c>
      <c r="T160" s="6">
        <f t="shared" ca="1" si="24"/>
        <v>3</v>
      </c>
      <c r="U160" s="1">
        <f t="shared" ca="1" si="35"/>
        <v>1005</v>
      </c>
    </row>
    <row r="161" spans="1:21" x14ac:dyDescent="0.2">
      <c r="A161" s="7" cm="1">
        <f t="array" aca="1" ref="A161" ca="1">INDEX(Companies!$A:$A,RANDBETWEEN(2,COUNTA(Companies!$A:$A)),1)</f>
        <v>2</v>
      </c>
      <c r="B161" s="5">
        <f t="shared" si="25"/>
        <v>160</v>
      </c>
      <c r="C161" s="6">
        <f t="shared" ca="1" si="26"/>
        <v>1</v>
      </c>
      <c r="D161" s="7">
        <f ca="1">IF($B161 = 1 + N("Presidente"),
    127,
    IF($B161 = 2 + N("Vice-Presidente"),
        72,
        IF($B161 = 3 + N("Secretária bilíngue"),
            13,
            RANDBETWEEN(5,COUNT(Name!$A:$A) + 1)
        )
    )
)</f>
        <v>329</v>
      </c>
      <c r="E161" s="7" t="str">
        <f ca="1" xml:space="preserve">
VLOOKUP(
  $D161,
  Name!$A:$B,
  2,
  FALSE
)
&amp; " " &amp;
IF($B161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Rebeca dos Santos Ramos</v>
      </c>
      <c r="F161" s="7">
        <v>2</v>
      </c>
      <c r="G161" s="7" cm="1">
        <f t="array" aca="1" ref="G161" ca="1">INDEX(States!$B:$B,RANDBETWEEN(2,COUNTA(States!$A:$A)),1)</f>
        <v>11</v>
      </c>
      <c r="H161" s="7" t="str">
        <f ca="1">VLOOKUP($D161,Name!$A:$C,3,FALSE)</f>
        <v>F</v>
      </c>
      <c r="I161" s="7" cm="1">
        <f t="array" aca="1" ref="I161" ca="1">INDEX('Marital status'!$A:$A,RANDBETWEEN(2,COUNTA('Marital status'!$A:$A)),1)</f>
        <v>4</v>
      </c>
      <c r="J161" s="7">
        <f t="shared" ca="1" si="27"/>
        <v>3</v>
      </c>
      <c r="K161" s="8">
        <f t="shared" ca="1" si="28"/>
        <v>36125</v>
      </c>
      <c r="L161" s="6">
        <f t="shared" ca="1" si="29"/>
        <v>4</v>
      </c>
      <c r="M161" s="7">
        <f ca="1" xml:space="preserve">
  IF(OR($N161 = 2, $N161 = 3, $N161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61" s="6">
        <f t="shared" ca="1" si="30"/>
        <v>8</v>
      </c>
      <c r="O161" s="6">
        <f t="shared" ca="1" si="31"/>
        <v>4</v>
      </c>
      <c r="P161" s="8">
        <f t="shared" ca="1" si="32"/>
        <v>40249</v>
      </c>
      <c r="Q161" s="6">
        <f ca="1">RANDBETWEEN(2,COUNTA('Recruitment source'!$A:$A))</f>
        <v>6</v>
      </c>
      <c r="R161" s="8" t="e">
        <f t="shared" ca="1" si="33"/>
        <v>#N/A</v>
      </c>
      <c r="S161" s="6" t="e">
        <f t="shared" ca="1" si="34"/>
        <v>#N/A</v>
      </c>
      <c r="T161" s="6">
        <f t="shared" ca="1" si="24"/>
        <v>5</v>
      </c>
      <c r="U161" s="1">
        <f t="shared" ca="1" si="35"/>
        <v>2000</v>
      </c>
    </row>
    <row r="162" spans="1:21" x14ac:dyDescent="0.2">
      <c r="A162" s="7" cm="1">
        <f t="array" aca="1" ref="A162" ca="1">INDEX(Companies!$A:$A,RANDBETWEEN(2,COUNTA(Companies!$A:$A)),1)</f>
        <v>2</v>
      </c>
      <c r="B162" s="5">
        <f t="shared" si="25"/>
        <v>161</v>
      </c>
      <c r="C162" s="6">
        <f t="shared" ca="1" si="26"/>
        <v>1</v>
      </c>
      <c r="D162" s="7">
        <f ca="1">IF($B162 = 1 + N("Presidente"),
    127,
    IF($B162 = 2 + N("Vice-Presidente"),
        72,
        IF($B162 = 3 + N("Secretária bilíngue"),
            13,
            RANDBETWEEN(5,COUNT(Name!$A:$A) + 1)
        )
    )
)</f>
        <v>259</v>
      </c>
      <c r="E162" s="7" t="str">
        <f ca="1" xml:space="preserve">
VLOOKUP(
  $D162,
  Name!$A:$B,
  2,
  FALSE
)
&amp; " " &amp;
IF($B162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Carolina Teixeira Morais</v>
      </c>
      <c r="F162" s="7">
        <v>2</v>
      </c>
      <c r="G162" s="7" cm="1">
        <f t="array" aca="1" ref="G162" ca="1">INDEX(States!$B:$B,RANDBETWEEN(2,COUNTA(States!$A:$A)),1)</f>
        <v>18</v>
      </c>
      <c r="H162" s="7" t="str">
        <f ca="1">VLOOKUP($D162,Name!$A:$C,3,FALSE)</f>
        <v>F</v>
      </c>
      <c r="I162" s="7" cm="1">
        <f t="array" aca="1" ref="I162" ca="1">INDEX('Marital status'!$A:$A,RANDBETWEEN(2,COUNTA('Marital status'!$A:$A)),1)</f>
        <v>3</v>
      </c>
      <c r="J162" s="7">
        <f t="shared" ca="1" si="27"/>
        <v>2</v>
      </c>
      <c r="K162" s="8">
        <f t="shared" ca="1" si="28"/>
        <v>19806</v>
      </c>
      <c r="L162" s="6">
        <f t="shared" ca="1" si="29"/>
        <v>4</v>
      </c>
      <c r="M162" s="7">
        <f ca="1" xml:space="preserve">
  IF(OR($N162 = 2, $N162 = 3, $N162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62" s="6">
        <f t="shared" ca="1" si="30"/>
        <v>6</v>
      </c>
      <c r="O162" s="6" t="e">
        <f t="shared" ca="1" si="31"/>
        <v>#N/A</v>
      </c>
      <c r="P162" s="8">
        <f t="shared" ca="1" si="32"/>
        <v>41399</v>
      </c>
      <c r="Q162" s="6">
        <f ca="1">RANDBETWEEN(2,COUNTA('Recruitment source'!$A:$A))</f>
        <v>12</v>
      </c>
      <c r="R162" s="8" t="e">
        <f t="shared" ca="1" si="33"/>
        <v>#N/A</v>
      </c>
      <c r="S162" s="6" t="e">
        <f t="shared" ca="1" si="34"/>
        <v>#N/A</v>
      </c>
      <c r="T162" s="6">
        <f t="shared" ca="1" si="24"/>
        <v>4</v>
      </c>
      <c r="U162" s="1">
        <f t="shared" ca="1" si="35"/>
        <v>805</v>
      </c>
    </row>
    <row r="163" spans="1:21" x14ac:dyDescent="0.2">
      <c r="A163" s="7" cm="1">
        <f t="array" aca="1" ref="A163" ca="1">INDEX(Companies!$A:$A,RANDBETWEEN(2,COUNTA(Companies!$A:$A)),1)</f>
        <v>2</v>
      </c>
      <c r="B163" s="5">
        <f t="shared" si="25"/>
        <v>162</v>
      </c>
      <c r="C163" s="6">
        <f t="shared" ca="1" si="26"/>
        <v>1</v>
      </c>
      <c r="D163" s="7">
        <f ca="1">IF($B163 = 1 + N("Presidente"),
    127,
    IF($B163 = 2 + N("Vice-Presidente"),
        72,
        IF($B163 = 3 + N("Secretária bilíngue"),
            13,
            RANDBETWEEN(5,COUNT(Name!$A:$A) + 1)
        )
    )
)</f>
        <v>59</v>
      </c>
      <c r="E163" s="7" t="str">
        <f ca="1" xml:space="preserve">
VLOOKUP(
  $D163,
  Name!$A:$B,
  2,
  FALSE
)
&amp; " " &amp;
IF($B163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Artur Farias Alvarenga</v>
      </c>
      <c r="F163" s="7">
        <v>2</v>
      </c>
      <c r="G163" s="7" cm="1">
        <f t="array" aca="1" ref="G163" ca="1">INDEX(States!$B:$B,RANDBETWEEN(2,COUNTA(States!$A:$A)),1)</f>
        <v>7</v>
      </c>
      <c r="H163" s="7" t="str">
        <f ca="1">VLOOKUP($D163,Name!$A:$C,3,FALSE)</f>
        <v>M</v>
      </c>
      <c r="I163" s="7" cm="1">
        <f t="array" aca="1" ref="I163" ca="1">INDEX('Marital status'!$A:$A,RANDBETWEEN(2,COUNTA('Marital status'!$A:$A)),1)</f>
        <v>5</v>
      </c>
      <c r="J163" s="7">
        <f t="shared" ca="1" si="27"/>
        <v>2</v>
      </c>
      <c r="K163" s="8">
        <f t="shared" ca="1" si="28"/>
        <v>37249</v>
      </c>
      <c r="L163" s="6">
        <f t="shared" ca="1" si="29"/>
        <v>4</v>
      </c>
      <c r="M163" s="7">
        <f ca="1" xml:space="preserve">
  IF(OR($N163 = 2, $N163 = 3, $N163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63" s="6">
        <f t="shared" ca="1" si="30"/>
        <v>8</v>
      </c>
      <c r="O163" s="6">
        <f t="shared" ca="1" si="31"/>
        <v>3</v>
      </c>
      <c r="P163" s="8">
        <f t="shared" ca="1" si="32"/>
        <v>41830</v>
      </c>
      <c r="Q163" s="6">
        <f ca="1">RANDBETWEEN(2,COUNTA('Recruitment source'!$A:$A))</f>
        <v>10</v>
      </c>
      <c r="R163" s="8" t="e">
        <f t="shared" ca="1" si="33"/>
        <v>#N/A</v>
      </c>
      <c r="S163" s="6" t="e">
        <f t="shared" ca="1" si="34"/>
        <v>#N/A</v>
      </c>
      <c r="T163" s="6">
        <f t="shared" ca="1" si="24"/>
        <v>4</v>
      </c>
      <c r="U163" s="1">
        <f t="shared" ca="1" si="35"/>
        <v>2000</v>
      </c>
    </row>
    <row r="164" spans="1:21" x14ac:dyDescent="0.2">
      <c r="A164" s="7" cm="1">
        <f t="array" aca="1" ref="A164" ca="1">INDEX(Companies!$A:$A,RANDBETWEEN(2,COUNTA(Companies!$A:$A)),1)</f>
        <v>2</v>
      </c>
      <c r="B164" s="5">
        <f t="shared" si="25"/>
        <v>163</v>
      </c>
      <c r="C164" s="6">
        <f t="shared" ca="1" si="26"/>
        <v>1</v>
      </c>
      <c r="D164" s="7">
        <f ca="1">IF($B164 = 1 + N("Presidente"),
    127,
    IF($B164 = 2 + N("Vice-Presidente"),
        72,
        IF($B164 = 3 + N("Secretária bilíngue"),
            13,
            RANDBETWEEN(5,COUNT(Name!$A:$A) + 1)
        )
    )
)</f>
        <v>62</v>
      </c>
      <c r="E164" s="7" t="str">
        <f ca="1" xml:space="preserve">
VLOOKUP(
  $D164,
  Name!$A:$B,
  2,
  FALSE
)
&amp; " " &amp;
IF($B164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Aurora Frois Cabral</v>
      </c>
      <c r="F164" s="7">
        <v>2</v>
      </c>
      <c r="G164" s="7" cm="1">
        <f t="array" aca="1" ref="G164" ca="1">INDEX(States!$B:$B,RANDBETWEEN(2,COUNTA(States!$A:$A)),1)</f>
        <v>19</v>
      </c>
      <c r="H164" s="7" t="str">
        <f ca="1">VLOOKUP($D164,Name!$A:$C,3,FALSE)</f>
        <v>F</v>
      </c>
      <c r="I164" s="7" cm="1">
        <f t="array" aca="1" ref="I164" ca="1">INDEX('Marital status'!$A:$A,RANDBETWEEN(2,COUNTA('Marital status'!$A:$A)),1)</f>
        <v>3</v>
      </c>
      <c r="J164" s="7">
        <f t="shared" ca="1" si="27"/>
        <v>2</v>
      </c>
      <c r="K164" s="8">
        <f t="shared" ca="1" si="28"/>
        <v>17780</v>
      </c>
      <c r="L164" s="6">
        <f t="shared" ca="1" si="29"/>
        <v>4</v>
      </c>
      <c r="M164" s="7">
        <f ca="1" xml:space="preserve">
  IF(OR($N164 = 2, $N164 = 3, $N164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64" s="6">
        <f t="shared" ca="1" si="30"/>
        <v>6</v>
      </c>
      <c r="O164" s="6" t="e">
        <f t="shared" ca="1" si="31"/>
        <v>#N/A</v>
      </c>
      <c r="P164" s="8">
        <f t="shared" ca="1" si="32"/>
        <v>42225</v>
      </c>
      <c r="Q164" s="6">
        <f ca="1">RANDBETWEEN(2,COUNTA('Recruitment source'!$A:$A))</f>
        <v>9</v>
      </c>
      <c r="R164" s="8" t="e">
        <f t="shared" ca="1" si="33"/>
        <v>#N/A</v>
      </c>
      <c r="S164" s="6" t="e">
        <f t="shared" ca="1" si="34"/>
        <v>#N/A</v>
      </c>
      <c r="T164" s="6">
        <f t="shared" ca="1" si="24"/>
        <v>2</v>
      </c>
      <c r="U164" s="1">
        <f t="shared" ca="1" si="35"/>
        <v>885</v>
      </c>
    </row>
    <row r="165" spans="1:21" x14ac:dyDescent="0.2">
      <c r="A165" s="7" cm="1">
        <f t="array" aca="1" ref="A165" ca="1">INDEX(Companies!$A:$A,RANDBETWEEN(2,COUNTA(Companies!$A:$A)),1)</f>
        <v>2</v>
      </c>
      <c r="B165" s="5">
        <f t="shared" si="25"/>
        <v>164</v>
      </c>
      <c r="C165" s="6">
        <f t="shared" ca="1" si="26"/>
        <v>1</v>
      </c>
      <c r="D165" s="7">
        <f ca="1">IF($B165 = 1 + N("Presidente"),
    127,
    IF($B165 = 2 + N("Vice-Presidente"),
        72,
        IF($B165 = 3 + N("Secretária bilíngue"),
            13,
            RANDBETWEEN(5,COUNT(Name!$A:$A) + 1)
        )
    )
)</f>
        <v>79</v>
      </c>
      <c r="E165" s="7" t="str">
        <f ca="1" xml:space="preserve">
VLOOKUP(
  $D165,
  Name!$A:$B,
  2,
  FALSE
)
&amp; " " &amp;
IF($B165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Byanca Aleluia Barboza</v>
      </c>
      <c r="F165" s="7">
        <v>2</v>
      </c>
      <c r="G165" s="7" cm="1">
        <f t="array" aca="1" ref="G165" ca="1">INDEX(States!$B:$B,RANDBETWEEN(2,COUNTA(States!$A:$A)),1)</f>
        <v>4</v>
      </c>
      <c r="H165" s="7" t="str">
        <f ca="1">VLOOKUP($D165,Name!$A:$C,3,FALSE)</f>
        <v>F</v>
      </c>
      <c r="I165" s="7" cm="1">
        <f t="array" aca="1" ref="I165" ca="1">INDEX('Marital status'!$A:$A,RANDBETWEEN(2,COUNTA('Marital status'!$A:$A)),1)</f>
        <v>5</v>
      </c>
      <c r="J165" s="7">
        <f t="shared" ca="1" si="27"/>
        <v>4</v>
      </c>
      <c r="K165" s="8">
        <f t="shared" ca="1" si="28"/>
        <v>37595</v>
      </c>
      <c r="L165" s="6">
        <f t="shared" ca="1" si="29"/>
        <v>4</v>
      </c>
      <c r="M165" s="7">
        <f ca="1" xml:space="preserve">
  IF(OR($N165 = 2, $N165 = 3, $N165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65" s="6">
        <f t="shared" ca="1" si="30"/>
        <v>8</v>
      </c>
      <c r="O165" s="6">
        <f t="shared" ca="1" si="31"/>
        <v>3</v>
      </c>
      <c r="P165" s="8">
        <f t="shared" ca="1" si="32"/>
        <v>36714</v>
      </c>
      <c r="Q165" s="6">
        <f ca="1">RANDBETWEEN(2,COUNTA('Recruitment source'!$A:$A))</f>
        <v>5</v>
      </c>
      <c r="R165" s="8" t="e">
        <f t="shared" ca="1" si="33"/>
        <v>#N/A</v>
      </c>
      <c r="S165" s="6" t="e">
        <f t="shared" ca="1" si="34"/>
        <v>#N/A</v>
      </c>
      <c r="T165" s="6">
        <f t="shared" ca="1" si="24"/>
        <v>2</v>
      </c>
      <c r="U165" s="1">
        <f t="shared" ca="1" si="35"/>
        <v>2080</v>
      </c>
    </row>
    <row r="166" spans="1:21" x14ac:dyDescent="0.2">
      <c r="A166" s="7" cm="1">
        <f t="array" aca="1" ref="A166" ca="1">INDEX(Companies!$A:$A,RANDBETWEEN(2,COUNTA(Companies!$A:$A)),1)</f>
        <v>2</v>
      </c>
      <c r="B166" s="5">
        <f t="shared" si="25"/>
        <v>165</v>
      </c>
      <c r="C166" s="6">
        <f t="shared" ca="1" si="26"/>
        <v>1</v>
      </c>
      <c r="D166" s="7">
        <f ca="1">IF($B166 = 1 + N("Presidente"),
    127,
    IF($B166 = 2 + N("Vice-Presidente"),
        72,
        IF($B166 = 3 + N("Secretária bilíngue"),
            13,
            RANDBETWEEN(5,COUNT(Name!$A:$A) + 1)
        )
    )
)</f>
        <v>213</v>
      </c>
      <c r="E166" s="7" t="str">
        <f ca="1" xml:space="preserve">
VLOOKUP(
  $D166,
  Name!$A:$B,
  2,
  FALSE
)
&amp; " " &amp;
IF($B166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Kelvin Mazza Simões</v>
      </c>
      <c r="F166" s="7">
        <v>2</v>
      </c>
      <c r="G166" s="7" cm="1">
        <f t="array" aca="1" ref="G166" ca="1">INDEX(States!$B:$B,RANDBETWEEN(2,COUNTA(States!$A:$A)),1)</f>
        <v>5</v>
      </c>
      <c r="H166" s="7" t="str">
        <f ca="1">VLOOKUP($D166,Name!$A:$C,3,FALSE)</f>
        <v>M</v>
      </c>
      <c r="I166" s="7" cm="1">
        <f t="array" aca="1" ref="I166" ca="1">INDEX('Marital status'!$A:$A,RANDBETWEEN(2,COUNTA('Marital status'!$A:$A)),1)</f>
        <v>5</v>
      </c>
      <c r="J166" s="7">
        <f t="shared" ca="1" si="27"/>
        <v>2</v>
      </c>
      <c r="K166" s="8">
        <f t="shared" ca="1" si="28"/>
        <v>21952</v>
      </c>
      <c r="L166" s="6">
        <f t="shared" ca="1" si="29"/>
        <v>4</v>
      </c>
      <c r="M166" s="7">
        <f ca="1" xml:space="preserve">
  IF(OR($N166 = 2, $N166 = 3, $N166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66" s="6">
        <f t="shared" ca="1" si="30"/>
        <v>6</v>
      </c>
      <c r="O166" s="6" t="e">
        <f t="shared" ca="1" si="31"/>
        <v>#N/A</v>
      </c>
      <c r="P166" s="8">
        <f t="shared" ca="1" si="32"/>
        <v>39233</v>
      </c>
      <c r="Q166" s="6">
        <f ca="1">RANDBETWEEN(2,COUNTA('Recruitment source'!$A:$A))</f>
        <v>6</v>
      </c>
      <c r="R166" s="8" t="e">
        <f t="shared" ca="1" si="33"/>
        <v>#N/A</v>
      </c>
      <c r="S166" s="6" t="e">
        <f t="shared" ca="1" si="34"/>
        <v>#N/A</v>
      </c>
      <c r="T166" s="6">
        <f t="shared" ca="1" si="24"/>
        <v>2</v>
      </c>
      <c r="U166" s="1">
        <f t="shared" ca="1" si="35"/>
        <v>805</v>
      </c>
    </row>
    <row r="167" spans="1:21" x14ac:dyDescent="0.2">
      <c r="A167" s="7" cm="1">
        <f t="array" aca="1" ref="A167" ca="1">INDEX(Companies!$A:$A,RANDBETWEEN(2,COUNTA(Companies!$A:$A)),1)</f>
        <v>2</v>
      </c>
      <c r="B167" s="5">
        <f t="shared" si="25"/>
        <v>166</v>
      </c>
      <c r="C167" s="6">
        <f t="shared" ca="1" si="26"/>
        <v>1</v>
      </c>
      <c r="D167" s="7">
        <f ca="1">IF($B167 = 1 + N("Presidente"),
    127,
    IF($B167 = 2 + N("Vice-Presidente"),
        72,
        IF($B167 = 3 + N("Secretária bilíngue"),
            13,
            RANDBETWEEN(5,COUNT(Name!$A:$A) + 1)
        )
    )
)</f>
        <v>186</v>
      </c>
      <c r="E167" s="7" t="str">
        <f ca="1" xml:space="preserve">
VLOOKUP(
  $D167,
  Name!$A:$B,
  2,
  FALSE
)
&amp; " " &amp;
IF($B167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Gabriel Cardoso Esposito</v>
      </c>
      <c r="F167" s="7">
        <v>2</v>
      </c>
      <c r="G167" s="7" cm="1">
        <f t="array" aca="1" ref="G167" ca="1">INDEX(States!$B:$B,RANDBETWEEN(2,COUNTA(States!$A:$A)),1)</f>
        <v>11</v>
      </c>
      <c r="H167" s="7" t="str">
        <f ca="1">VLOOKUP($D167,Name!$A:$C,3,FALSE)</f>
        <v>M</v>
      </c>
      <c r="I167" s="7" cm="1">
        <f t="array" aca="1" ref="I167" ca="1">INDEX('Marital status'!$A:$A,RANDBETWEEN(2,COUNTA('Marital status'!$A:$A)),1)</f>
        <v>4</v>
      </c>
      <c r="J167" s="7">
        <f t="shared" ca="1" si="27"/>
        <v>2</v>
      </c>
      <c r="K167" s="8">
        <f t="shared" ca="1" si="28"/>
        <v>32890</v>
      </c>
      <c r="L167" s="6">
        <f t="shared" ca="1" si="29"/>
        <v>5</v>
      </c>
      <c r="M167" s="7">
        <f ca="1" xml:space="preserve">
  IF(OR($N167 = 2, $N167 = 3, $N167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67" s="6">
        <f t="shared" ca="1" si="30"/>
        <v>8</v>
      </c>
      <c r="O167" s="6">
        <f t="shared" ca="1" si="31"/>
        <v>4</v>
      </c>
      <c r="P167" s="8">
        <f t="shared" ca="1" si="32"/>
        <v>41644</v>
      </c>
      <c r="Q167" s="6">
        <f ca="1">RANDBETWEEN(2,COUNTA('Recruitment source'!$A:$A))</f>
        <v>9</v>
      </c>
      <c r="R167" s="8" t="e">
        <f t="shared" ca="1" si="33"/>
        <v>#N/A</v>
      </c>
      <c r="S167" s="6" t="e">
        <f t="shared" ca="1" si="34"/>
        <v>#N/A</v>
      </c>
      <c r="T167" s="6">
        <f t="shared" ca="1" si="24"/>
        <v>3</v>
      </c>
      <c r="U167" s="1">
        <f t="shared" ca="1" si="35"/>
        <v>2000</v>
      </c>
    </row>
    <row r="168" spans="1:21" x14ac:dyDescent="0.2">
      <c r="A168" s="7" cm="1">
        <f t="array" aca="1" ref="A168" ca="1">INDEX(Companies!$A:$A,RANDBETWEEN(2,COUNTA(Companies!$A:$A)),1)</f>
        <v>2</v>
      </c>
      <c r="B168" s="5">
        <f t="shared" si="25"/>
        <v>167</v>
      </c>
      <c r="C168" s="6">
        <f t="shared" ca="1" si="26"/>
        <v>1</v>
      </c>
      <c r="D168" s="7">
        <f ca="1">IF($B168 = 1 + N("Presidente"),
    127,
    IF($B168 = 2 + N("Vice-Presidente"),
        72,
        IF($B168 = 3 + N("Secretária bilíngue"),
            13,
            RANDBETWEEN(5,COUNT(Name!$A:$A) + 1)
        )
    )
)</f>
        <v>106</v>
      </c>
      <c r="E168" s="7" t="str">
        <f ca="1" xml:space="preserve">
VLOOKUP(
  $D168,
  Name!$A:$B,
  2,
  FALSE
)
&amp; " " &amp;
IF($B168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Lucas Almeida Longo</v>
      </c>
      <c r="F168" s="7">
        <v>2</v>
      </c>
      <c r="G168" s="7" cm="1">
        <f t="array" aca="1" ref="G168" ca="1">INDEX(States!$B:$B,RANDBETWEEN(2,COUNTA(States!$A:$A)),1)</f>
        <v>20</v>
      </c>
      <c r="H168" s="7" t="str">
        <f ca="1">VLOOKUP($D168,Name!$A:$C,3,FALSE)</f>
        <v>M</v>
      </c>
      <c r="I168" s="7" cm="1">
        <f t="array" aca="1" ref="I168" ca="1">INDEX('Marital status'!$A:$A,RANDBETWEEN(2,COUNTA('Marital status'!$A:$A)),1)</f>
        <v>5</v>
      </c>
      <c r="J168" s="7">
        <f t="shared" ca="1" si="27"/>
        <v>3</v>
      </c>
      <c r="K168" s="8">
        <f t="shared" ca="1" si="28"/>
        <v>33798</v>
      </c>
      <c r="L168" s="6">
        <f t="shared" ca="1" si="29"/>
        <v>4</v>
      </c>
      <c r="M168" s="7">
        <f ca="1" xml:space="preserve">
  IF(OR($N168 = 2, $N168 = 3, $N168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68" s="6">
        <f t="shared" ca="1" si="30"/>
        <v>7</v>
      </c>
      <c r="O168" s="6" t="e">
        <f t="shared" ca="1" si="31"/>
        <v>#N/A</v>
      </c>
      <c r="P168" s="8">
        <f t="shared" ca="1" si="32"/>
        <v>41182</v>
      </c>
      <c r="Q168" s="6">
        <f ca="1">RANDBETWEEN(2,COUNTA('Recruitment source'!$A:$A))</f>
        <v>3</v>
      </c>
      <c r="R168" s="8" t="e">
        <f t="shared" ca="1" si="33"/>
        <v>#N/A</v>
      </c>
      <c r="S168" s="6" t="e">
        <f t="shared" ca="1" si="34"/>
        <v>#N/A</v>
      </c>
      <c r="T168" s="6">
        <f t="shared" ca="1" si="24"/>
        <v>3</v>
      </c>
      <c r="U168" s="1">
        <f t="shared" ca="1" si="35"/>
        <v>1085</v>
      </c>
    </row>
    <row r="169" spans="1:21" x14ac:dyDescent="0.2">
      <c r="A169" s="7" cm="1">
        <f t="array" aca="1" ref="A169" ca="1">INDEX(Companies!$A:$A,RANDBETWEEN(2,COUNTA(Companies!$A:$A)),1)</f>
        <v>2</v>
      </c>
      <c r="B169" s="5">
        <f t="shared" si="25"/>
        <v>168</v>
      </c>
      <c r="C169" s="6">
        <f t="shared" ca="1" si="26"/>
        <v>1</v>
      </c>
      <c r="D169" s="7">
        <f ca="1">IF($B169 = 1 + N("Presidente"),
    127,
    IF($B169 = 2 + N("Vice-Presidente"),
        72,
        IF($B169 = 3 + N("Secretária bilíngue"),
            13,
            RANDBETWEEN(5,COUNT(Name!$A:$A) + 1)
        )
    )
)</f>
        <v>220</v>
      </c>
      <c r="E169" s="7" t="str">
        <f ca="1" xml:space="preserve">
VLOOKUP(
  $D169,
  Name!$A:$B,
  2,
  FALSE
)
&amp; " " &amp;
IF($B169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Laura Pinheiro Leitão</v>
      </c>
      <c r="F169" s="7">
        <v>2</v>
      </c>
      <c r="G169" s="7" cm="1">
        <f t="array" aca="1" ref="G169" ca="1">INDEX(States!$B:$B,RANDBETWEEN(2,COUNTA(States!$A:$A)),1)</f>
        <v>14</v>
      </c>
      <c r="H169" s="7" t="str">
        <f ca="1">VLOOKUP($D169,Name!$A:$C,3,FALSE)</f>
        <v>F</v>
      </c>
      <c r="I169" s="7" cm="1">
        <f t="array" aca="1" ref="I169" ca="1">INDEX('Marital status'!$A:$A,RANDBETWEEN(2,COUNTA('Marital status'!$A:$A)),1)</f>
        <v>4</v>
      </c>
      <c r="J169" s="7">
        <f t="shared" ca="1" si="27"/>
        <v>2</v>
      </c>
      <c r="K169" s="8">
        <f t="shared" ca="1" si="28"/>
        <v>33830</v>
      </c>
      <c r="L169" s="6">
        <f t="shared" ca="1" si="29"/>
        <v>5</v>
      </c>
      <c r="M169" s="7">
        <f ca="1" xml:space="preserve">
  IF(OR($N169 = 2, $N169 = 3, $N169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69" s="6">
        <f t="shared" ca="1" si="30"/>
        <v>8</v>
      </c>
      <c r="O169" s="6">
        <f t="shared" ca="1" si="31"/>
        <v>3</v>
      </c>
      <c r="P169" s="8">
        <f t="shared" ca="1" si="32"/>
        <v>43021</v>
      </c>
      <c r="Q169" s="6">
        <f ca="1">RANDBETWEEN(2,COUNTA('Recruitment source'!$A:$A))</f>
        <v>8</v>
      </c>
      <c r="R169" s="8" t="e">
        <f t="shared" ca="1" si="33"/>
        <v>#N/A</v>
      </c>
      <c r="S169" s="6" t="e">
        <f t="shared" ca="1" si="34"/>
        <v>#N/A</v>
      </c>
      <c r="T169" s="6">
        <f t="shared" ca="1" si="24"/>
        <v>2</v>
      </c>
      <c r="U169" s="1">
        <f t="shared" ca="1" si="35"/>
        <v>2080</v>
      </c>
    </row>
    <row r="170" spans="1:21" x14ac:dyDescent="0.2">
      <c r="A170" s="7" cm="1">
        <f t="array" aca="1" ref="A170" ca="1">INDEX(Companies!$A:$A,RANDBETWEEN(2,COUNTA(Companies!$A:$A)),1)</f>
        <v>2</v>
      </c>
      <c r="B170" s="5">
        <f t="shared" si="25"/>
        <v>169</v>
      </c>
      <c r="C170" s="6">
        <f t="shared" ca="1" si="26"/>
        <v>1</v>
      </c>
      <c r="D170" s="7">
        <f ca="1">IF($B170 = 1 + N("Presidente"),
    127,
    IF($B170 = 2 + N("Vice-Presidente"),
        72,
        IF($B170 = 3 + N("Secretária bilíngue"),
            13,
            RANDBETWEEN(5,COUNT(Name!$A:$A) + 1)
        )
    )
)</f>
        <v>352</v>
      </c>
      <c r="E170" s="7" t="str">
        <f ca="1" xml:space="preserve">
VLOOKUP(
  $D170,
  Name!$A:$B,
  2,
  FALSE
)
&amp; " " &amp;
IF($B170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Vicent Faria Holanda</v>
      </c>
      <c r="F170" s="7">
        <v>2</v>
      </c>
      <c r="G170" s="7" cm="1">
        <f t="array" aca="1" ref="G170" ca="1">INDEX(States!$B:$B,RANDBETWEEN(2,COUNTA(States!$A:$A)),1)</f>
        <v>17</v>
      </c>
      <c r="H170" s="7" t="str">
        <f ca="1">VLOOKUP($D170,Name!$A:$C,3,FALSE)</f>
        <v>M</v>
      </c>
      <c r="I170" s="7" cm="1">
        <f t="array" aca="1" ref="I170" ca="1">INDEX('Marital status'!$A:$A,RANDBETWEEN(2,COUNTA('Marital status'!$A:$A)),1)</f>
        <v>2</v>
      </c>
      <c r="J170" s="7">
        <f t="shared" ca="1" si="27"/>
        <v>2</v>
      </c>
      <c r="K170" s="8">
        <f t="shared" ca="1" si="28"/>
        <v>35457</v>
      </c>
      <c r="L170" s="6">
        <f t="shared" ca="1" si="29"/>
        <v>4</v>
      </c>
      <c r="M170" s="7">
        <f ca="1" xml:space="preserve">
  IF(OR($N170 = 2, $N170 = 3, $N170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70" s="6">
        <f t="shared" ca="1" si="30"/>
        <v>7</v>
      </c>
      <c r="O170" s="6" t="e">
        <f t="shared" ca="1" si="31"/>
        <v>#N/A</v>
      </c>
      <c r="P170" s="8">
        <f t="shared" ca="1" si="32"/>
        <v>38361</v>
      </c>
      <c r="Q170" s="6">
        <f ca="1">RANDBETWEEN(2,COUNTA('Recruitment source'!$A:$A))</f>
        <v>12</v>
      </c>
      <c r="R170" s="8" t="e">
        <f t="shared" ca="1" si="33"/>
        <v>#N/A</v>
      </c>
      <c r="S170" s="6" t="e">
        <f t="shared" ca="1" si="34"/>
        <v>#N/A</v>
      </c>
      <c r="T170" s="6">
        <f t="shared" ca="1" si="24"/>
        <v>3</v>
      </c>
      <c r="U170" s="1">
        <f t="shared" ca="1" si="35"/>
        <v>1005</v>
      </c>
    </row>
    <row r="171" spans="1:21" x14ac:dyDescent="0.2">
      <c r="A171" s="7" cm="1">
        <f t="array" aca="1" ref="A171" ca="1">INDEX(Companies!$A:$A,RANDBETWEEN(2,COUNTA(Companies!$A:$A)),1)</f>
        <v>2</v>
      </c>
      <c r="B171" s="5">
        <f t="shared" si="25"/>
        <v>170</v>
      </c>
      <c r="C171" s="6">
        <f t="shared" ca="1" si="26"/>
        <v>1</v>
      </c>
      <c r="D171" s="7">
        <f ca="1">IF($B171 = 1 + N("Presidente"),
    127,
    IF($B171 = 2 + N("Vice-Presidente"),
        72,
        IF($B171 = 3 + N("Secretária bilíngue"),
            13,
            RANDBETWEEN(5,COUNT(Name!$A:$A) + 1)
        )
    )
)</f>
        <v>267</v>
      </c>
      <c r="E171" s="7" t="str">
        <f ca="1" xml:space="preserve">
VLOOKUP(
  $D171,
  Name!$A:$B,
  2,
  FALSE
)
&amp; " " &amp;
IF($B171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Heloísa Castro Esteves</v>
      </c>
      <c r="F171" s="7">
        <v>2</v>
      </c>
      <c r="G171" s="7" cm="1">
        <f t="array" aca="1" ref="G171" ca="1">INDEX(States!$B:$B,RANDBETWEEN(2,COUNTA(States!$A:$A)),1)</f>
        <v>3</v>
      </c>
      <c r="H171" s="7" t="str">
        <f ca="1">VLOOKUP($D171,Name!$A:$C,3,FALSE)</f>
        <v>F</v>
      </c>
      <c r="I171" s="7" cm="1">
        <f t="array" aca="1" ref="I171" ca="1">INDEX('Marital status'!$A:$A,RANDBETWEEN(2,COUNTA('Marital status'!$A:$A)),1)</f>
        <v>6</v>
      </c>
      <c r="J171" s="7">
        <f t="shared" ca="1" si="27"/>
        <v>5</v>
      </c>
      <c r="K171" s="8">
        <f t="shared" ca="1" si="28"/>
        <v>33933</v>
      </c>
      <c r="L171" s="6">
        <f t="shared" ca="1" si="29"/>
        <v>4</v>
      </c>
      <c r="M171" s="7">
        <f ca="1" xml:space="preserve">
  IF(OR($N171 = 2, $N171 = 3, $N171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71" s="6">
        <f t="shared" ca="1" si="30"/>
        <v>8</v>
      </c>
      <c r="O171" s="6">
        <f t="shared" ca="1" si="31"/>
        <v>4</v>
      </c>
      <c r="P171" s="8">
        <f t="shared" ca="1" si="32"/>
        <v>43762</v>
      </c>
      <c r="Q171" s="6">
        <f ca="1">RANDBETWEEN(2,COUNTA('Recruitment source'!$A:$A))</f>
        <v>12</v>
      </c>
      <c r="R171" s="8" t="e">
        <f t="shared" ca="1" si="33"/>
        <v>#N/A</v>
      </c>
      <c r="S171" s="6" t="e">
        <f t="shared" ca="1" si="34"/>
        <v>#N/A</v>
      </c>
      <c r="T171" s="6">
        <f t="shared" ca="1" si="24"/>
        <v>5</v>
      </c>
      <c r="U171" s="1">
        <f t="shared" ca="1" si="35"/>
        <v>2000</v>
      </c>
    </row>
    <row r="172" spans="1:21" x14ac:dyDescent="0.2">
      <c r="A172" s="7" cm="1">
        <f t="array" aca="1" ref="A172" ca="1">INDEX(Companies!$A:$A,RANDBETWEEN(2,COUNTA(Companies!$A:$A)),1)</f>
        <v>2</v>
      </c>
      <c r="B172" s="5">
        <f t="shared" si="25"/>
        <v>171</v>
      </c>
      <c r="C172" s="6">
        <f t="shared" ca="1" si="26"/>
        <v>1</v>
      </c>
      <c r="D172" s="7">
        <f ca="1">IF($B172 = 1 + N("Presidente"),
    127,
    IF($B172 = 2 + N("Vice-Presidente"),
        72,
        IF($B172 = 3 + N("Secretária bilíngue"),
            13,
            RANDBETWEEN(5,COUNT(Name!$A:$A) + 1)
        )
    )
)</f>
        <v>173</v>
      </c>
      <c r="E172" s="7" t="str">
        <f ca="1" xml:space="preserve">
VLOOKUP(
  $D172,
  Name!$A:$B,
  2,
  FALSE
)
&amp; " " &amp;
IF($B172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Isaac Araújo Cândido</v>
      </c>
      <c r="F172" s="7">
        <v>2</v>
      </c>
      <c r="G172" s="7" cm="1">
        <f t="array" aca="1" ref="G172" ca="1">INDEX(States!$B:$B,RANDBETWEEN(2,COUNTA(States!$A:$A)),1)</f>
        <v>9</v>
      </c>
      <c r="H172" s="7" t="str">
        <f ca="1">VLOOKUP($D172,Name!$A:$C,3,FALSE)</f>
        <v>M</v>
      </c>
      <c r="I172" s="7" cm="1">
        <f t="array" aca="1" ref="I172" ca="1">INDEX('Marital status'!$A:$A,RANDBETWEEN(2,COUNTA('Marital status'!$A:$A)),1)</f>
        <v>4</v>
      </c>
      <c r="J172" s="7">
        <f t="shared" ca="1" si="27"/>
        <v>2</v>
      </c>
      <c r="K172" s="8">
        <f t="shared" ca="1" si="28"/>
        <v>32928</v>
      </c>
      <c r="L172" s="6">
        <f t="shared" ca="1" si="29"/>
        <v>4</v>
      </c>
      <c r="M172" s="7">
        <f ca="1" xml:space="preserve">
  IF(OR($N172 = 2, $N172 = 3, $N172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72" s="6">
        <f t="shared" ca="1" si="30"/>
        <v>7</v>
      </c>
      <c r="O172" s="6" t="e">
        <f t="shared" ca="1" si="31"/>
        <v>#N/A</v>
      </c>
      <c r="P172" s="8">
        <f t="shared" ca="1" si="32"/>
        <v>38511</v>
      </c>
      <c r="Q172" s="6">
        <f ca="1">RANDBETWEEN(2,COUNTA('Recruitment source'!$A:$A))</f>
        <v>10</v>
      </c>
      <c r="R172" s="8" t="e">
        <f t="shared" ca="1" si="33"/>
        <v>#N/A</v>
      </c>
      <c r="S172" s="6" t="e">
        <f t="shared" ca="1" si="34"/>
        <v>#N/A</v>
      </c>
      <c r="T172" s="6">
        <f t="shared" ca="1" si="24"/>
        <v>2</v>
      </c>
      <c r="U172" s="1">
        <f t="shared" ca="1" si="35"/>
        <v>1085</v>
      </c>
    </row>
    <row r="173" spans="1:21" x14ac:dyDescent="0.2">
      <c r="A173" s="7" cm="1">
        <f t="array" aca="1" ref="A173" ca="1">INDEX(Companies!$A:$A,RANDBETWEEN(2,COUNTA(Companies!$A:$A)),1)</f>
        <v>2</v>
      </c>
      <c r="B173" s="5">
        <f t="shared" si="25"/>
        <v>172</v>
      </c>
      <c r="C173" s="6">
        <f t="shared" ca="1" si="26"/>
        <v>1</v>
      </c>
      <c r="D173" s="7">
        <f ca="1">IF($B173 = 1 + N("Presidente"),
    127,
    IF($B173 = 2 + N("Vice-Presidente"),
        72,
        IF($B173 = 3 + N("Secretária bilíngue"),
            13,
            RANDBETWEEN(5,COUNT(Name!$A:$A) + 1)
        )
    )
)</f>
        <v>192</v>
      </c>
      <c r="E173" s="7" t="str">
        <f ca="1" xml:space="preserve">
VLOOKUP(
  $D173,
  Name!$A:$B,
  2,
  FALSE
)
&amp; " " &amp;
IF($B173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Pedro Freitas Vaz</v>
      </c>
      <c r="F173" s="7">
        <v>2</v>
      </c>
      <c r="G173" s="7" cm="1">
        <f t="array" aca="1" ref="G173" ca="1">INDEX(States!$B:$B,RANDBETWEEN(2,COUNTA(States!$A:$A)),1)</f>
        <v>15</v>
      </c>
      <c r="H173" s="7" t="str">
        <f ca="1">VLOOKUP($D173,Name!$A:$C,3,FALSE)</f>
        <v>M</v>
      </c>
      <c r="I173" s="7" cm="1">
        <f t="array" aca="1" ref="I173" ca="1">INDEX('Marital status'!$A:$A,RANDBETWEEN(2,COUNTA('Marital status'!$A:$A)),1)</f>
        <v>3</v>
      </c>
      <c r="J173" s="7">
        <f t="shared" ca="1" si="27"/>
        <v>2</v>
      </c>
      <c r="K173" s="8">
        <f t="shared" ca="1" si="28"/>
        <v>36758</v>
      </c>
      <c r="L173" s="6">
        <f t="shared" ca="1" si="29"/>
        <v>5</v>
      </c>
      <c r="M173" s="7">
        <f ca="1" xml:space="preserve">
  IF(OR($N173 = 2, $N173 = 3, $N173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73" s="6">
        <f t="shared" ca="1" si="30"/>
        <v>8</v>
      </c>
      <c r="O173" s="6">
        <f t="shared" ca="1" si="31"/>
        <v>2</v>
      </c>
      <c r="P173" s="8">
        <f t="shared" ca="1" si="32"/>
        <v>42529</v>
      </c>
      <c r="Q173" s="6">
        <f ca="1">RANDBETWEEN(2,COUNTA('Recruitment source'!$A:$A))</f>
        <v>10</v>
      </c>
      <c r="R173" s="8" t="e">
        <f t="shared" ca="1" si="33"/>
        <v>#N/A</v>
      </c>
      <c r="S173" s="6" t="e">
        <f t="shared" ca="1" si="34"/>
        <v>#N/A</v>
      </c>
      <c r="T173" s="6">
        <f t="shared" ca="1" si="24"/>
        <v>5</v>
      </c>
      <c r="U173" s="1">
        <f t="shared" ca="1" si="35"/>
        <v>2000</v>
      </c>
    </row>
    <row r="174" spans="1:21" x14ac:dyDescent="0.2">
      <c r="A174" s="7" cm="1">
        <f t="array" aca="1" ref="A174" ca="1">INDEX(Companies!$A:$A,RANDBETWEEN(2,COUNTA(Companies!$A:$A)),1)</f>
        <v>2</v>
      </c>
      <c r="B174" s="5">
        <f t="shared" si="25"/>
        <v>173</v>
      </c>
      <c r="C174" s="6">
        <f t="shared" ca="1" si="26"/>
        <v>1</v>
      </c>
      <c r="D174" s="7">
        <f ca="1">IF($B174 = 1 + N("Presidente"),
    127,
    IF($B174 = 2 + N("Vice-Presidente"),
        72,
        IF($B174 = 3 + N("Secretária bilíngue"),
            13,
            RANDBETWEEN(5,COUNT(Name!$A:$A) + 1)
        )
    )
)</f>
        <v>32</v>
      </c>
      <c r="E174" s="7" t="str">
        <f ca="1" xml:space="preserve">
VLOOKUP(
  $D174,
  Name!$A:$B,
  2,
  FALSE
)
&amp; " " &amp;
IF($B174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Laura Resende Farias</v>
      </c>
      <c r="F174" s="7">
        <v>2</v>
      </c>
      <c r="G174" s="7" cm="1">
        <f t="array" aca="1" ref="G174" ca="1">INDEX(States!$B:$B,RANDBETWEEN(2,COUNTA(States!$A:$A)),1)</f>
        <v>3</v>
      </c>
      <c r="H174" s="7" t="str">
        <f ca="1">VLOOKUP($D174,Name!$A:$C,3,FALSE)</f>
        <v>F</v>
      </c>
      <c r="I174" s="7" cm="1">
        <f t="array" aca="1" ref="I174" ca="1">INDEX('Marital status'!$A:$A,RANDBETWEEN(2,COUNTA('Marital status'!$A:$A)),1)</f>
        <v>3</v>
      </c>
      <c r="J174" s="7">
        <f t="shared" ca="1" si="27"/>
        <v>2</v>
      </c>
      <c r="K174" s="8">
        <f t="shared" ca="1" si="28"/>
        <v>28865</v>
      </c>
      <c r="L174" s="6">
        <f t="shared" ca="1" si="29"/>
        <v>4</v>
      </c>
      <c r="M174" s="7">
        <f ca="1" xml:space="preserve">
  IF(OR($N174 = 2, $N174 = 3, $N174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74" s="6">
        <f t="shared" ca="1" si="30"/>
        <v>7</v>
      </c>
      <c r="O174" s="6" t="e">
        <f t="shared" ca="1" si="31"/>
        <v>#N/A</v>
      </c>
      <c r="P174" s="8">
        <f t="shared" ca="1" si="32"/>
        <v>39677</v>
      </c>
      <c r="Q174" s="6">
        <f ca="1">RANDBETWEEN(2,COUNTA('Recruitment source'!$A:$A))</f>
        <v>6</v>
      </c>
      <c r="R174" s="8" t="e">
        <f t="shared" ca="1" si="33"/>
        <v>#N/A</v>
      </c>
      <c r="S174" s="6" t="e">
        <f t="shared" ca="1" si="34"/>
        <v>#N/A</v>
      </c>
      <c r="T174" s="6">
        <f t="shared" ca="1" si="24"/>
        <v>2</v>
      </c>
      <c r="U174" s="1">
        <f t="shared" ca="1" si="35"/>
        <v>1005</v>
      </c>
    </row>
    <row r="175" spans="1:21" x14ac:dyDescent="0.2">
      <c r="A175" s="7" cm="1">
        <f t="array" aca="1" ref="A175" ca="1">INDEX(Companies!$A:$A,RANDBETWEEN(2,COUNTA(Companies!$A:$A)),1)</f>
        <v>2</v>
      </c>
      <c r="B175" s="5">
        <f t="shared" si="25"/>
        <v>174</v>
      </c>
      <c r="C175" s="6">
        <f t="shared" ca="1" si="26"/>
        <v>1</v>
      </c>
      <c r="D175" s="7">
        <f ca="1">IF($B175 = 1 + N("Presidente"),
    127,
    IF($B175 = 2 + N("Vice-Presidente"),
        72,
        IF($B175 = 3 + N("Secretária bilíngue"),
            13,
            RANDBETWEEN(5,COUNT(Name!$A:$A) + 1)
        )
    )
)</f>
        <v>270</v>
      </c>
      <c r="E175" s="7" t="str">
        <f ca="1" xml:space="preserve">
VLOOKUP(
  $D175,
  Name!$A:$B,
  2,
  FALSE
)
&amp; " " &amp;
IF($B175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Laura Alvim Freitas</v>
      </c>
      <c r="F175" s="7">
        <v>2</v>
      </c>
      <c r="G175" s="7" cm="1">
        <f t="array" aca="1" ref="G175" ca="1">INDEX(States!$B:$B,RANDBETWEEN(2,COUNTA(States!$A:$A)),1)</f>
        <v>16</v>
      </c>
      <c r="H175" s="7" t="str">
        <f ca="1">VLOOKUP($D175,Name!$A:$C,3,FALSE)</f>
        <v>F</v>
      </c>
      <c r="I175" s="7" cm="1">
        <f t="array" aca="1" ref="I175" ca="1">INDEX('Marital status'!$A:$A,RANDBETWEEN(2,COUNTA('Marital status'!$A:$A)),1)</f>
        <v>4</v>
      </c>
      <c r="J175" s="7">
        <f t="shared" ca="1" si="27"/>
        <v>3</v>
      </c>
      <c r="K175" s="8">
        <f t="shared" ca="1" si="28"/>
        <v>35578</v>
      </c>
      <c r="L175" s="6">
        <f t="shared" ca="1" si="29"/>
        <v>4</v>
      </c>
      <c r="M175" s="7">
        <f ca="1" xml:space="preserve">
  IF(OR($N175 = 2, $N175 = 3, $N175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75" s="6">
        <f t="shared" ca="1" si="30"/>
        <v>8</v>
      </c>
      <c r="O175" s="6">
        <f t="shared" ca="1" si="31"/>
        <v>3</v>
      </c>
      <c r="P175" s="8">
        <f t="shared" ca="1" si="32"/>
        <v>42154</v>
      </c>
      <c r="Q175" s="6">
        <f ca="1">RANDBETWEEN(2,COUNTA('Recruitment source'!$A:$A))</f>
        <v>3</v>
      </c>
      <c r="R175" s="8" t="e">
        <f t="shared" ca="1" si="33"/>
        <v>#N/A</v>
      </c>
      <c r="S175" s="6" t="e">
        <f t="shared" ca="1" si="34"/>
        <v>#N/A</v>
      </c>
      <c r="T175" s="6">
        <f t="shared" ca="1" si="24"/>
        <v>2</v>
      </c>
      <c r="U175" s="1">
        <f t="shared" ca="1" si="35"/>
        <v>2000</v>
      </c>
    </row>
    <row r="176" spans="1:21" x14ac:dyDescent="0.2">
      <c r="A176" s="7" cm="1">
        <f t="array" aca="1" ref="A176" ca="1">INDEX(Companies!$A:$A,RANDBETWEEN(2,COUNTA(Companies!$A:$A)),1)</f>
        <v>2</v>
      </c>
      <c r="B176" s="5">
        <f t="shared" si="25"/>
        <v>175</v>
      </c>
      <c r="C176" s="6">
        <f t="shared" ca="1" si="26"/>
        <v>1</v>
      </c>
      <c r="D176" s="7">
        <f ca="1">IF($B176 = 1 + N("Presidente"),
    127,
    IF($B176 = 2 + N("Vice-Presidente"),
        72,
        IF($B176 = 3 + N("Secretária bilíngue"),
            13,
            RANDBETWEEN(5,COUNT(Name!$A:$A) + 1)
        )
    )
)</f>
        <v>95</v>
      </c>
      <c r="E176" s="7" t="str">
        <f ca="1" xml:space="preserve">
VLOOKUP(
  $D176,
  Name!$A:$B,
  2,
  FALSE
)
&amp; " " &amp;
IF($B176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Clarice Lombardi Batista</v>
      </c>
      <c r="F176" s="7">
        <v>2</v>
      </c>
      <c r="G176" s="7" cm="1">
        <f t="array" aca="1" ref="G176" ca="1">INDEX(States!$B:$B,RANDBETWEEN(2,COUNTA(States!$A:$A)),1)</f>
        <v>4</v>
      </c>
      <c r="H176" s="7" t="str">
        <f ca="1">VLOOKUP($D176,Name!$A:$C,3,FALSE)</f>
        <v>F</v>
      </c>
      <c r="I176" s="7" cm="1">
        <f t="array" aca="1" ref="I176" ca="1">INDEX('Marital status'!$A:$A,RANDBETWEEN(2,COUNTA('Marital status'!$A:$A)),1)</f>
        <v>5</v>
      </c>
      <c r="J176" s="7">
        <f t="shared" ca="1" si="27"/>
        <v>4</v>
      </c>
      <c r="K176" s="8">
        <f t="shared" ca="1" si="28"/>
        <v>31026</v>
      </c>
      <c r="L176" s="6">
        <f t="shared" ca="1" si="29"/>
        <v>4</v>
      </c>
      <c r="M176" s="7">
        <f ca="1" xml:space="preserve">
  IF(OR($N176 = 2, $N176 = 3, $N176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76" s="6">
        <f t="shared" ca="1" si="30"/>
        <v>7</v>
      </c>
      <c r="O176" s="6" t="e">
        <f t="shared" ca="1" si="31"/>
        <v>#N/A</v>
      </c>
      <c r="P176" s="8">
        <f t="shared" ca="1" si="32"/>
        <v>36481</v>
      </c>
      <c r="Q176" s="6">
        <f ca="1">RANDBETWEEN(2,COUNTA('Recruitment source'!$A:$A))</f>
        <v>3</v>
      </c>
      <c r="R176" s="8" t="e">
        <f t="shared" ca="1" si="33"/>
        <v>#N/A</v>
      </c>
      <c r="S176" s="6" t="e">
        <f t="shared" ca="1" si="34"/>
        <v>#N/A</v>
      </c>
      <c r="T176" s="6">
        <f t="shared" ca="1" si="24"/>
        <v>2</v>
      </c>
      <c r="U176" s="1">
        <f t="shared" ca="1" si="35"/>
        <v>1085</v>
      </c>
    </row>
    <row r="177" spans="1:21" x14ac:dyDescent="0.2">
      <c r="A177" s="7" cm="1">
        <f t="array" aca="1" ref="A177" ca="1">INDEX(Companies!$A:$A,RANDBETWEEN(2,COUNTA(Companies!$A:$A)),1)</f>
        <v>2</v>
      </c>
      <c r="B177" s="5">
        <f t="shared" si="25"/>
        <v>176</v>
      </c>
      <c r="C177" s="6">
        <f t="shared" ca="1" si="26"/>
        <v>1</v>
      </c>
      <c r="D177" s="7">
        <f ca="1">IF($B177 = 1 + N("Presidente"),
    127,
    IF($B177 = 2 + N("Vice-Presidente"),
        72,
        IF($B177 = 3 + N("Secretária bilíngue"),
            13,
            RANDBETWEEN(5,COUNT(Name!$A:$A) + 1)
        )
    )
)</f>
        <v>242</v>
      </c>
      <c r="E177" s="7" t="str">
        <f ca="1" xml:space="preserve">
VLOOKUP(
  $D177,
  Name!$A:$B,
  2,
  FALSE
)
&amp; " " &amp;
IF($B177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Luisa Leitão Alvaregna</v>
      </c>
      <c r="F177" s="7">
        <v>2</v>
      </c>
      <c r="G177" s="7" cm="1">
        <f t="array" aca="1" ref="G177" ca="1">INDEX(States!$B:$B,RANDBETWEEN(2,COUNTA(States!$A:$A)),1)</f>
        <v>18</v>
      </c>
      <c r="H177" s="7" t="str">
        <f ca="1">VLOOKUP($D177,Name!$A:$C,3,FALSE)</f>
        <v>F</v>
      </c>
      <c r="I177" s="7" cm="1">
        <f t="array" aca="1" ref="I177" ca="1">INDEX('Marital status'!$A:$A,RANDBETWEEN(2,COUNTA('Marital status'!$A:$A)),1)</f>
        <v>4</v>
      </c>
      <c r="J177" s="7">
        <f t="shared" ca="1" si="27"/>
        <v>2</v>
      </c>
      <c r="K177" s="8">
        <f t="shared" ca="1" si="28"/>
        <v>32701</v>
      </c>
      <c r="L177" s="6">
        <f t="shared" ca="1" si="29"/>
        <v>4</v>
      </c>
      <c r="M177" s="7">
        <f ca="1" xml:space="preserve">
  IF(OR($N177 = 2, $N177 = 3, $N177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77" s="6">
        <f t="shared" ca="1" si="30"/>
        <v>8</v>
      </c>
      <c r="O177" s="6">
        <f t="shared" ca="1" si="31"/>
        <v>4</v>
      </c>
      <c r="P177" s="8">
        <f t="shared" ca="1" si="32"/>
        <v>39257</v>
      </c>
      <c r="Q177" s="6">
        <f ca="1">RANDBETWEEN(2,COUNTA('Recruitment source'!$A:$A))</f>
        <v>12</v>
      </c>
      <c r="R177" s="8" t="e">
        <f t="shared" ca="1" si="33"/>
        <v>#N/A</v>
      </c>
      <c r="S177" s="6" t="e">
        <f t="shared" ca="1" si="34"/>
        <v>#N/A</v>
      </c>
      <c r="T177" s="6">
        <f t="shared" ca="1" si="24"/>
        <v>2</v>
      </c>
      <c r="U177" s="1">
        <f t="shared" ca="1" si="35"/>
        <v>2080</v>
      </c>
    </row>
    <row r="178" spans="1:21" x14ac:dyDescent="0.2">
      <c r="A178" s="7" cm="1">
        <f t="array" aca="1" ref="A178" ca="1">INDEX(Companies!$A:$A,RANDBETWEEN(2,COUNTA(Companies!$A:$A)),1)</f>
        <v>2</v>
      </c>
      <c r="B178" s="5">
        <f t="shared" si="25"/>
        <v>177</v>
      </c>
      <c r="C178" s="6">
        <f t="shared" ca="1" si="26"/>
        <v>1</v>
      </c>
      <c r="D178" s="7">
        <f ca="1">IF($B178 = 1 + N("Presidente"),
    127,
    IF($B178 = 2 + N("Vice-Presidente"),
        72,
        IF($B178 = 3 + N("Secretária bilíngue"),
            13,
            RANDBETWEEN(5,COUNT(Name!$A:$A) + 1)
        )
    )
)</f>
        <v>262</v>
      </c>
      <c r="E178" s="7" t="str">
        <f ca="1" xml:space="preserve">
VLOOKUP(
  $D178,
  Name!$A:$B,
  2,
  FALSE
)
&amp; " " &amp;
IF($B178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Eduarda Ferrão Luz</v>
      </c>
      <c r="F178" s="7">
        <v>2</v>
      </c>
      <c r="G178" s="7" cm="1">
        <f t="array" aca="1" ref="G178" ca="1">INDEX(States!$B:$B,RANDBETWEEN(2,COUNTA(States!$A:$A)),1)</f>
        <v>18</v>
      </c>
      <c r="H178" s="7" t="str">
        <f ca="1">VLOOKUP($D178,Name!$A:$C,3,FALSE)</f>
        <v>F</v>
      </c>
      <c r="I178" s="7" cm="1">
        <f t="array" aca="1" ref="I178" ca="1">INDEX('Marital status'!$A:$A,RANDBETWEEN(2,COUNTA('Marital status'!$A:$A)),1)</f>
        <v>4</v>
      </c>
      <c r="J178" s="7">
        <f t="shared" ca="1" si="27"/>
        <v>2</v>
      </c>
      <c r="K178" s="8">
        <f t="shared" ca="1" si="28"/>
        <v>32303</v>
      </c>
      <c r="L178" s="6">
        <f t="shared" ca="1" si="29"/>
        <v>4</v>
      </c>
      <c r="M178" s="7">
        <f ca="1" xml:space="preserve">
  IF(OR($N178 = 2, $N178 = 3, $N178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78" s="6">
        <f t="shared" ca="1" si="30"/>
        <v>7</v>
      </c>
      <c r="O178" s="6" t="e">
        <f t="shared" ca="1" si="31"/>
        <v>#N/A</v>
      </c>
      <c r="P178" s="8">
        <f t="shared" ca="1" si="32"/>
        <v>36609</v>
      </c>
      <c r="Q178" s="6">
        <f ca="1">RANDBETWEEN(2,COUNTA('Recruitment source'!$A:$A))</f>
        <v>7</v>
      </c>
      <c r="R178" s="8" t="e">
        <f t="shared" ca="1" si="33"/>
        <v>#N/A</v>
      </c>
      <c r="S178" s="6" t="e">
        <f t="shared" ca="1" si="34"/>
        <v>#N/A</v>
      </c>
      <c r="T178" s="6">
        <f t="shared" ca="1" si="24"/>
        <v>2</v>
      </c>
      <c r="U178" s="1">
        <f t="shared" ca="1" si="35"/>
        <v>1005</v>
      </c>
    </row>
    <row r="179" spans="1:21" x14ac:dyDescent="0.2">
      <c r="A179" s="7" cm="1">
        <f t="array" aca="1" ref="A179" ca="1">INDEX(Companies!$A:$A,RANDBETWEEN(2,COUNTA(Companies!$A:$A)),1)</f>
        <v>2</v>
      </c>
      <c r="B179" s="5">
        <f t="shared" si="25"/>
        <v>178</v>
      </c>
      <c r="C179" s="6">
        <f t="shared" ca="1" si="26"/>
        <v>1</v>
      </c>
      <c r="D179" s="7">
        <f ca="1">IF($B179 = 1 + N("Presidente"),
    127,
    IF($B179 = 2 + N("Vice-Presidente"),
        72,
        IF($B179 = 3 + N("Secretária bilíngue"),
            13,
            RANDBETWEEN(5,COUNT(Name!$A:$A) + 1)
        )
    )
)</f>
        <v>333</v>
      </c>
      <c r="E179" s="7" t="str">
        <f ca="1" xml:space="preserve">
VLOOKUP(
  $D179,
  Name!$A:$B,
  2,
  FALSE
)
&amp; " " &amp;
IF($B179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Ruan Holanda Rinaldi</v>
      </c>
      <c r="F179" s="7">
        <v>2</v>
      </c>
      <c r="G179" s="7" cm="1">
        <f t="array" aca="1" ref="G179" ca="1">INDEX(States!$B:$B,RANDBETWEEN(2,COUNTA(States!$A:$A)),1)</f>
        <v>13</v>
      </c>
      <c r="H179" s="7" t="str">
        <f ca="1">VLOOKUP($D179,Name!$A:$C,3,FALSE)</f>
        <v>M</v>
      </c>
      <c r="I179" s="7" cm="1">
        <f t="array" aca="1" ref="I179" ca="1">INDEX('Marital status'!$A:$A,RANDBETWEEN(2,COUNTA('Marital status'!$A:$A)),1)</f>
        <v>4</v>
      </c>
      <c r="J179" s="7">
        <f t="shared" ca="1" si="27"/>
        <v>2</v>
      </c>
      <c r="K179" s="8">
        <f t="shared" ca="1" si="28"/>
        <v>36380</v>
      </c>
      <c r="L179" s="6">
        <f t="shared" ca="1" si="29"/>
        <v>5</v>
      </c>
      <c r="M179" s="7">
        <f ca="1" xml:space="preserve">
  IF(OR($N179 = 2, $N179 = 3, $N179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79" s="6">
        <f t="shared" ca="1" si="30"/>
        <v>8</v>
      </c>
      <c r="O179" s="6">
        <f t="shared" ca="1" si="31"/>
        <v>4</v>
      </c>
      <c r="P179" s="8">
        <f t="shared" ca="1" si="32"/>
        <v>40353</v>
      </c>
      <c r="Q179" s="6">
        <f ca="1">RANDBETWEEN(2,COUNTA('Recruitment source'!$A:$A))</f>
        <v>12</v>
      </c>
      <c r="R179" s="8" t="e">
        <f t="shared" ca="1" si="33"/>
        <v>#N/A</v>
      </c>
      <c r="S179" s="6" t="e">
        <f t="shared" ca="1" si="34"/>
        <v>#N/A</v>
      </c>
      <c r="T179" s="6">
        <f t="shared" ca="1" si="24"/>
        <v>2</v>
      </c>
      <c r="U179" s="1">
        <f t="shared" ca="1" si="35"/>
        <v>2000</v>
      </c>
    </row>
    <row r="180" spans="1:21" x14ac:dyDescent="0.2">
      <c r="A180" s="7" cm="1">
        <f t="array" aca="1" ref="A180" ca="1">INDEX(Companies!$A:$A,RANDBETWEEN(2,COUNTA(Companies!$A:$A)),1)</f>
        <v>2</v>
      </c>
      <c r="B180" s="5">
        <f t="shared" si="25"/>
        <v>179</v>
      </c>
      <c r="C180" s="6">
        <f t="shared" ca="1" si="26"/>
        <v>1</v>
      </c>
      <c r="D180" s="7">
        <f ca="1">IF($B180 = 1 + N("Presidente"),
    127,
    IF($B180 = 2 + N("Vice-Presidente"),
        72,
        IF($B180 = 3 + N("Secretária bilíngue"),
            13,
            RANDBETWEEN(5,COUNT(Name!$A:$A) + 1)
        )
    )
)</f>
        <v>190</v>
      </c>
      <c r="E180" s="7" t="str">
        <f ca="1" xml:space="preserve">
VLOOKUP(
  $D180,
  Name!$A:$B,
  2,
  FALSE
)
&amp; " " &amp;
IF($B180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Miguel Santos Barreto</v>
      </c>
      <c r="F180" s="7">
        <v>2</v>
      </c>
      <c r="G180" s="7" cm="1">
        <f t="array" aca="1" ref="G180" ca="1">INDEX(States!$B:$B,RANDBETWEEN(2,COUNTA(States!$A:$A)),1)</f>
        <v>20</v>
      </c>
      <c r="H180" s="7" t="str">
        <f ca="1">VLOOKUP($D180,Name!$A:$C,3,FALSE)</f>
        <v>M</v>
      </c>
      <c r="I180" s="7" cm="1">
        <f t="array" aca="1" ref="I180" ca="1">INDEX('Marital status'!$A:$A,RANDBETWEEN(2,COUNTA('Marital status'!$A:$A)),1)</f>
        <v>3</v>
      </c>
      <c r="J180" s="7">
        <f t="shared" ca="1" si="27"/>
        <v>2</v>
      </c>
      <c r="K180" s="8">
        <f t="shared" ca="1" si="28"/>
        <v>29435</v>
      </c>
      <c r="L180" s="6">
        <f t="shared" ca="1" si="29"/>
        <v>4</v>
      </c>
      <c r="M180" s="7">
        <f ca="1" xml:space="preserve">
  IF(OR($N180 = 2, $N180 = 3, $N180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80" s="6">
        <f t="shared" ca="1" si="30"/>
        <v>7</v>
      </c>
      <c r="O180" s="6" t="e">
        <f t="shared" ca="1" si="31"/>
        <v>#N/A</v>
      </c>
      <c r="P180" s="8">
        <f t="shared" ca="1" si="32"/>
        <v>42632</v>
      </c>
      <c r="Q180" s="6">
        <f ca="1">RANDBETWEEN(2,COUNTA('Recruitment source'!$A:$A))</f>
        <v>5</v>
      </c>
      <c r="R180" s="8" t="e">
        <f t="shared" ca="1" si="33"/>
        <v>#N/A</v>
      </c>
      <c r="S180" s="6" t="e">
        <f t="shared" ca="1" si="34"/>
        <v>#N/A</v>
      </c>
      <c r="T180" s="6">
        <f t="shared" ca="1" si="24"/>
        <v>5</v>
      </c>
      <c r="U180" s="1">
        <f t="shared" ca="1" si="35"/>
        <v>1005</v>
      </c>
    </row>
    <row r="181" spans="1:21" x14ac:dyDescent="0.2">
      <c r="A181" s="7" cm="1">
        <f t="array" aca="1" ref="A181" ca="1">INDEX(Companies!$A:$A,RANDBETWEEN(2,COUNTA(Companies!$A:$A)),1)</f>
        <v>2</v>
      </c>
      <c r="B181" s="5">
        <f t="shared" si="25"/>
        <v>180</v>
      </c>
      <c r="C181" s="6">
        <f t="shared" ca="1" si="26"/>
        <v>1</v>
      </c>
      <c r="D181" s="7">
        <f ca="1">IF($B181 = 1 + N("Presidente"),
    127,
    IF($B181 = 2 + N("Vice-Presidente"),
        72,
        IF($B181 = 3 + N("Secretária bilíngue"),
            13,
            RANDBETWEEN(5,COUNT(Name!$A:$A) + 1)
        )
    )
)</f>
        <v>67</v>
      </c>
      <c r="E181" s="7" t="str">
        <f ca="1" xml:space="preserve">
VLOOKUP(
  $D181,
  Name!$A:$B,
  2,
  FALSE
)
&amp; " " &amp;
IF($B181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Beatriz Longo Andrioli</v>
      </c>
      <c r="F181" s="7">
        <v>2</v>
      </c>
      <c r="G181" s="7" cm="1">
        <f t="array" aca="1" ref="G181" ca="1">INDEX(States!$B:$B,RANDBETWEEN(2,COUNTA(States!$A:$A)),1)</f>
        <v>12</v>
      </c>
      <c r="H181" s="7" t="str">
        <f ca="1">VLOOKUP($D181,Name!$A:$C,3,FALSE)</f>
        <v>F</v>
      </c>
      <c r="I181" s="7" cm="1">
        <f t="array" aca="1" ref="I181" ca="1">INDEX('Marital status'!$A:$A,RANDBETWEEN(2,COUNTA('Marital status'!$A:$A)),1)</f>
        <v>2</v>
      </c>
      <c r="J181" s="7">
        <f t="shared" ca="1" si="27"/>
        <v>2</v>
      </c>
      <c r="K181" s="8">
        <f t="shared" ca="1" si="28"/>
        <v>37914</v>
      </c>
      <c r="L181" s="6">
        <f t="shared" ca="1" si="29"/>
        <v>5</v>
      </c>
      <c r="M181" s="7">
        <f ca="1" xml:space="preserve">
  IF(OR($N181 = 2, $N181 = 3, $N181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81" s="6">
        <f t="shared" ca="1" si="30"/>
        <v>8</v>
      </c>
      <c r="O181" s="6">
        <f t="shared" ca="1" si="31"/>
        <v>2</v>
      </c>
      <c r="P181" s="8">
        <f t="shared" ca="1" si="32"/>
        <v>44838</v>
      </c>
      <c r="Q181" s="6">
        <f ca="1">RANDBETWEEN(2,COUNTA('Recruitment source'!$A:$A))</f>
        <v>10</v>
      </c>
      <c r="R181" s="8" t="e">
        <f t="shared" ca="1" si="33"/>
        <v>#N/A</v>
      </c>
      <c r="S181" s="6" t="e">
        <f t="shared" ca="1" si="34"/>
        <v>#N/A</v>
      </c>
      <c r="T181" s="6">
        <f t="shared" ca="1" si="24"/>
        <v>5</v>
      </c>
      <c r="U181" s="1">
        <f t="shared" ca="1" si="35"/>
        <v>2080</v>
      </c>
    </row>
    <row r="182" spans="1:21" x14ac:dyDescent="0.2">
      <c r="A182" s="7" cm="1">
        <f t="array" aca="1" ref="A182" ca="1">INDEX(Companies!$A:$A,RANDBETWEEN(2,COUNTA(Companies!$A:$A)),1)</f>
        <v>2</v>
      </c>
      <c r="B182" s="5">
        <f t="shared" si="25"/>
        <v>181</v>
      </c>
      <c r="C182" s="6">
        <f t="shared" ca="1" si="26"/>
        <v>1</v>
      </c>
      <c r="D182" s="7">
        <f ca="1">IF($B182 = 1 + N("Presidente"),
    127,
    IF($B182 = 2 + N("Vice-Presidente"),
        72,
        IF($B182 = 3 + N("Secretária bilíngue"),
            13,
            RANDBETWEEN(5,COUNT(Name!$A:$A) + 1)
        )
    )
)</f>
        <v>71</v>
      </c>
      <c r="E182" s="7" t="str">
        <f ca="1" xml:space="preserve">
VLOOKUP(
  $D182,
  Name!$A:$B,
  2,
  FALSE
)
&amp; " " &amp;
IF($B182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Bernardo Camacho Tavarez</v>
      </c>
      <c r="F182" s="7">
        <v>2</v>
      </c>
      <c r="G182" s="7" cm="1">
        <f t="array" aca="1" ref="G182" ca="1">INDEX(States!$B:$B,RANDBETWEEN(2,COUNTA(States!$A:$A)),1)</f>
        <v>16</v>
      </c>
      <c r="H182" s="7" t="str">
        <f ca="1">VLOOKUP($D182,Name!$A:$C,3,FALSE)</f>
        <v>M</v>
      </c>
      <c r="I182" s="7" cm="1">
        <f t="array" aca="1" ref="I182" ca="1">INDEX('Marital status'!$A:$A,RANDBETWEEN(2,COUNTA('Marital status'!$A:$A)),1)</f>
        <v>5</v>
      </c>
      <c r="J182" s="7">
        <f t="shared" ca="1" si="27"/>
        <v>3</v>
      </c>
      <c r="K182" s="8">
        <f t="shared" ca="1" si="28"/>
        <v>27851</v>
      </c>
      <c r="L182" s="6">
        <f t="shared" ca="1" si="29"/>
        <v>4</v>
      </c>
      <c r="M182" s="7">
        <f ca="1" xml:space="preserve">
  IF(OR($N182 = 2, $N182 = 3, $N182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82" s="6">
        <f t="shared" ca="1" si="30"/>
        <v>6</v>
      </c>
      <c r="O182" s="6" t="e">
        <f t="shared" ca="1" si="31"/>
        <v>#N/A</v>
      </c>
      <c r="P182" s="8">
        <f t="shared" ca="1" si="32"/>
        <v>38504</v>
      </c>
      <c r="Q182" s="6">
        <f ca="1">RANDBETWEEN(2,COUNTA('Recruitment source'!$A:$A))</f>
        <v>5</v>
      </c>
      <c r="R182" s="8" t="e">
        <f t="shared" ca="1" si="33"/>
        <v>#N/A</v>
      </c>
      <c r="S182" s="6" t="e">
        <f t="shared" ca="1" si="34"/>
        <v>#N/A</v>
      </c>
      <c r="T182" s="6">
        <f t="shared" ca="1" si="24"/>
        <v>4</v>
      </c>
      <c r="U182" s="1">
        <f t="shared" ca="1" si="35"/>
        <v>805</v>
      </c>
    </row>
    <row r="183" spans="1:21" x14ac:dyDescent="0.2">
      <c r="A183" s="7" cm="1">
        <f t="array" aca="1" ref="A183" ca="1">INDEX(Companies!$A:$A,RANDBETWEEN(2,COUNTA(Companies!$A:$A)),1)</f>
        <v>2</v>
      </c>
      <c r="B183" s="5">
        <f t="shared" si="25"/>
        <v>182</v>
      </c>
      <c r="C183" s="6">
        <f t="shared" ca="1" si="26"/>
        <v>1</v>
      </c>
      <c r="D183" s="7">
        <f ca="1">IF($B183 = 1 + N("Presidente"),
    127,
    IF($B183 = 2 + N("Vice-Presidente"),
        72,
        IF($B183 = 3 + N("Secretária bilíngue"),
            13,
            RANDBETWEEN(5,COUNT(Name!$A:$A) + 1)
        )
    )
)</f>
        <v>66</v>
      </c>
      <c r="E183" s="7" t="str">
        <f ca="1" xml:space="preserve">
VLOOKUP(
  $D183,
  Name!$A:$B,
  2,
  FALSE
)
&amp; " " &amp;
IF($B183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Bartolomeo de Oliveira Teixeira</v>
      </c>
      <c r="F183" s="7">
        <v>2</v>
      </c>
      <c r="G183" s="7" cm="1">
        <f t="array" aca="1" ref="G183" ca="1">INDEX(States!$B:$B,RANDBETWEEN(2,COUNTA(States!$A:$A)),1)</f>
        <v>10</v>
      </c>
      <c r="H183" s="7" t="str">
        <f ca="1">VLOOKUP($D183,Name!$A:$C,3,FALSE)</f>
        <v>M</v>
      </c>
      <c r="I183" s="7" cm="1">
        <f t="array" aca="1" ref="I183" ca="1">INDEX('Marital status'!$A:$A,RANDBETWEEN(2,COUNTA('Marital status'!$A:$A)),1)</f>
        <v>5</v>
      </c>
      <c r="J183" s="7">
        <f t="shared" ca="1" si="27"/>
        <v>2</v>
      </c>
      <c r="K183" s="8">
        <f t="shared" ca="1" si="28"/>
        <v>36553</v>
      </c>
      <c r="L183" s="6">
        <f t="shared" ca="1" si="29"/>
        <v>4</v>
      </c>
      <c r="M183" s="7">
        <f ca="1" xml:space="preserve">
  IF(OR($N183 = 2, $N183 = 3, $N183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83" s="6">
        <f t="shared" ca="1" si="30"/>
        <v>8</v>
      </c>
      <c r="O183" s="6">
        <f t="shared" ca="1" si="31"/>
        <v>3</v>
      </c>
      <c r="P183" s="8">
        <f t="shared" ca="1" si="32"/>
        <v>42842</v>
      </c>
      <c r="Q183" s="6">
        <f ca="1">RANDBETWEEN(2,COUNTA('Recruitment source'!$A:$A))</f>
        <v>5</v>
      </c>
      <c r="R183" s="8" t="e">
        <f t="shared" ca="1" si="33"/>
        <v>#N/A</v>
      </c>
      <c r="S183" s="6" t="e">
        <f t="shared" ca="1" si="34"/>
        <v>#N/A</v>
      </c>
      <c r="T183" s="6">
        <f t="shared" ca="1" si="24"/>
        <v>2</v>
      </c>
      <c r="U183" s="1">
        <f t="shared" ca="1" si="35"/>
        <v>2000</v>
      </c>
    </row>
    <row r="184" spans="1:21" x14ac:dyDescent="0.2">
      <c r="A184" s="7" cm="1">
        <f t="array" aca="1" ref="A184" ca="1">INDEX(Companies!$A:$A,RANDBETWEEN(2,COUNTA(Companies!$A:$A)),1)</f>
        <v>2</v>
      </c>
      <c r="B184" s="5">
        <f t="shared" si="25"/>
        <v>183</v>
      </c>
      <c r="C184" s="6">
        <f t="shared" ca="1" si="26"/>
        <v>1</v>
      </c>
      <c r="D184" s="7">
        <f ca="1">IF($B184 = 1 + N("Presidente"),
    127,
    IF($B184 = 2 + N("Vice-Presidente"),
        72,
        IF($B184 = 3 + N("Secretária bilíngue"),
            13,
            RANDBETWEEN(5,COUNT(Name!$A:$A) + 1)
        )
    )
)</f>
        <v>140</v>
      </c>
      <c r="E184" s="7" t="str">
        <f ca="1" xml:space="preserve">
VLOOKUP(
  $D184,
  Name!$A:$B,
  2,
  FALSE
)
&amp; " " &amp;
IF($B184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Manuel Alves Aguiar</v>
      </c>
      <c r="F184" s="7">
        <v>2</v>
      </c>
      <c r="G184" s="7" cm="1">
        <f t="array" aca="1" ref="G184" ca="1">INDEX(States!$B:$B,RANDBETWEEN(2,COUNTA(States!$A:$A)),1)</f>
        <v>17</v>
      </c>
      <c r="H184" s="7" t="str">
        <f ca="1">VLOOKUP($D184,Name!$A:$C,3,FALSE)</f>
        <v>M</v>
      </c>
      <c r="I184" s="7" cm="1">
        <f t="array" aca="1" ref="I184" ca="1">INDEX('Marital status'!$A:$A,RANDBETWEEN(2,COUNTA('Marital status'!$A:$A)),1)</f>
        <v>4</v>
      </c>
      <c r="J184" s="7">
        <f t="shared" ca="1" si="27"/>
        <v>2</v>
      </c>
      <c r="K184" s="8">
        <f t="shared" ca="1" si="28"/>
        <v>29707</v>
      </c>
      <c r="L184" s="6">
        <f t="shared" ca="1" si="29"/>
        <v>4</v>
      </c>
      <c r="M184" s="7">
        <f ca="1" xml:space="preserve">
  IF(OR($N184 = 2, $N184 = 3, $N184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84" s="6">
        <f t="shared" ca="1" si="30"/>
        <v>7</v>
      </c>
      <c r="O184" s="6" t="e">
        <f t="shared" ca="1" si="31"/>
        <v>#N/A</v>
      </c>
      <c r="P184" s="8">
        <f t="shared" ca="1" si="32"/>
        <v>39470</v>
      </c>
      <c r="Q184" s="6">
        <f ca="1">RANDBETWEEN(2,COUNTA('Recruitment source'!$A:$A))</f>
        <v>5</v>
      </c>
      <c r="R184" s="8" t="e">
        <f t="shared" ca="1" si="33"/>
        <v>#N/A</v>
      </c>
      <c r="S184" s="6" t="e">
        <f t="shared" ca="1" si="34"/>
        <v>#N/A</v>
      </c>
      <c r="T184" s="6">
        <f t="shared" ca="1" si="24"/>
        <v>3</v>
      </c>
      <c r="U184" s="1">
        <f t="shared" ca="1" si="35"/>
        <v>1005</v>
      </c>
    </row>
    <row r="185" spans="1:21" x14ac:dyDescent="0.2">
      <c r="A185" s="7" cm="1">
        <f t="array" aca="1" ref="A185" ca="1">INDEX(Companies!$A:$A,RANDBETWEEN(2,COUNTA(Companies!$A:$A)),1)</f>
        <v>2</v>
      </c>
      <c r="B185" s="5">
        <f t="shared" si="25"/>
        <v>184</v>
      </c>
      <c r="C185" s="6">
        <f t="shared" ca="1" si="26"/>
        <v>1</v>
      </c>
      <c r="D185" s="7">
        <f ca="1">IF($B185 = 1 + N("Presidente"),
    127,
    IF($B185 = 2 + N("Vice-Presidente"),
        72,
        IF($B185 = 3 + N("Secretária bilíngue"),
            13,
            RANDBETWEEN(5,COUNT(Name!$A:$A) + 1)
        )
    )
)</f>
        <v>218</v>
      </c>
      <c r="E185" s="7" t="str">
        <f ca="1" xml:space="preserve">
VLOOKUP(
  $D185,
  Name!$A:$B,
  2,
  FALSE
)
&amp; " " &amp;
IF($B185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Larisa Chaves Borba</v>
      </c>
      <c r="F185" s="7">
        <v>2</v>
      </c>
      <c r="G185" s="7" cm="1">
        <f t="array" aca="1" ref="G185" ca="1">INDEX(States!$B:$B,RANDBETWEEN(2,COUNTA(States!$A:$A)),1)</f>
        <v>8</v>
      </c>
      <c r="H185" s="7" t="str">
        <f ca="1">VLOOKUP($D185,Name!$A:$C,3,FALSE)</f>
        <v>F</v>
      </c>
      <c r="I185" s="7" cm="1">
        <f t="array" aca="1" ref="I185" ca="1">INDEX('Marital status'!$A:$A,RANDBETWEEN(2,COUNTA('Marital status'!$A:$A)),1)</f>
        <v>2</v>
      </c>
      <c r="J185" s="7">
        <f t="shared" ca="1" si="27"/>
        <v>2</v>
      </c>
      <c r="K185" s="8">
        <f t="shared" ca="1" si="28"/>
        <v>34673</v>
      </c>
      <c r="L185" s="6">
        <f t="shared" ca="1" si="29"/>
        <v>4</v>
      </c>
      <c r="M185" s="7">
        <f ca="1" xml:space="preserve">
  IF(OR($N185 = 2, $N185 = 3, $N185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85" s="6">
        <f t="shared" ca="1" si="30"/>
        <v>8</v>
      </c>
      <c r="O185" s="6">
        <f t="shared" ca="1" si="31"/>
        <v>2</v>
      </c>
      <c r="P185" s="8">
        <f t="shared" ca="1" si="32"/>
        <v>37488</v>
      </c>
      <c r="Q185" s="6">
        <f ca="1">RANDBETWEEN(2,COUNTA('Recruitment source'!$A:$A))</f>
        <v>7</v>
      </c>
      <c r="R185" s="8" t="e">
        <f t="shared" ca="1" si="33"/>
        <v>#N/A</v>
      </c>
      <c r="S185" s="6" t="e">
        <f t="shared" ca="1" si="34"/>
        <v>#N/A</v>
      </c>
      <c r="T185" s="6">
        <f t="shared" ca="1" si="24"/>
        <v>2</v>
      </c>
      <c r="U185" s="1">
        <f t="shared" ca="1" si="35"/>
        <v>2050</v>
      </c>
    </row>
    <row r="186" spans="1:21" x14ac:dyDescent="0.2">
      <c r="A186" s="7" cm="1">
        <f t="array" aca="1" ref="A186" ca="1">INDEX(Companies!$A:$A,RANDBETWEEN(2,COUNTA(Companies!$A:$A)),1)</f>
        <v>2</v>
      </c>
      <c r="B186" s="5">
        <f t="shared" si="25"/>
        <v>185</v>
      </c>
      <c r="C186" s="6">
        <f t="shared" ca="1" si="26"/>
        <v>1</v>
      </c>
      <c r="D186" s="7">
        <f ca="1">IF($B186 = 1 + N("Presidente"),
    127,
    IF($B186 = 2 + N("Vice-Presidente"),
        72,
        IF($B186 = 3 + N("Secretária bilíngue"),
            13,
            RANDBETWEEN(5,COUNT(Name!$A:$A) + 1)
        )
    )
)</f>
        <v>359</v>
      </c>
      <c r="E186" s="7" t="str">
        <f ca="1" xml:space="preserve">
VLOOKUP(
  $D186,
  Name!$A:$B,
  2,
  FALSE
)
&amp; " " &amp;
IF($B186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Vitor Aragão Luz</v>
      </c>
      <c r="F186" s="7">
        <v>2</v>
      </c>
      <c r="G186" s="7" cm="1">
        <f t="array" aca="1" ref="G186" ca="1">INDEX(States!$B:$B,RANDBETWEEN(2,COUNTA(States!$A:$A)),1)</f>
        <v>16</v>
      </c>
      <c r="H186" s="7" t="str">
        <f ca="1">VLOOKUP($D186,Name!$A:$C,3,FALSE)</f>
        <v>M</v>
      </c>
      <c r="I186" s="7" cm="1">
        <f t="array" aca="1" ref="I186" ca="1">INDEX('Marital status'!$A:$A,RANDBETWEEN(2,COUNTA('Marital status'!$A:$A)),1)</f>
        <v>3</v>
      </c>
      <c r="J186" s="7">
        <f t="shared" ca="1" si="27"/>
        <v>2</v>
      </c>
      <c r="K186" s="8">
        <f t="shared" ca="1" si="28"/>
        <v>20316</v>
      </c>
      <c r="L186" s="6">
        <f t="shared" ca="1" si="29"/>
        <v>4</v>
      </c>
      <c r="M186" s="7">
        <f ca="1" xml:space="preserve">
  IF(OR($N186 = 2, $N186 = 3, $N186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86" s="6">
        <f t="shared" ca="1" si="30"/>
        <v>6</v>
      </c>
      <c r="O186" s="6" t="e">
        <f t="shared" ca="1" si="31"/>
        <v>#N/A</v>
      </c>
      <c r="P186" s="8">
        <f t="shared" ca="1" si="32"/>
        <v>37845</v>
      </c>
      <c r="Q186" s="6">
        <f ca="1">RANDBETWEEN(2,COUNTA('Recruitment source'!$A:$A))</f>
        <v>11</v>
      </c>
      <c r="R186" s="8" t="e">
        <f t="shared" ca="1" si="33"/>
        <v>#N/A</v>
      </c>
      <c r="S186" s="6" t="e">
        <f t="shared" ca="1" si="34"/>
        <v>#N/A</v>
      </c>
      <c r="T186" s="6">
        <f t="shared" ca="1" si="24"/>
        <v>5</v>
      </c>
      <c r="U186" s="1">
        <f t="shared" ca="1" si="35"/>
        <v>805</v>
      </c>
    </row>
    <row r="187" spans="1:21" x14ac:dyDescent="0.2">
      <c r="A187" s="7" cm="1">
        <f t="array" aca="1" ref="A187" ca="1">INDEX(Companies!$A:$A,RANDBETWEEN(2,COUNTA(Companies!$A:$A)),1)</f>
        <v>2</v>
      </c>
      <c r="B187" s="5">
        <f t="shared" si="25"/>
        <v>186</v>
      </c>
      <c r="C187" s="6">
        <f t="shared" ca="1" si="26"/>
        <v>1</v>
      </c>
      <c r="D187" s="7">
        <f ca="1">IF($B187 = 1 + N("Presidente"),
    127,
    IF($B187 = 2 + N("Vice-Presidente"),
        72,
        IF($B187 = 3 + N("Secretária bilíngue"),
            13,
            RANDBETWEEN(5,COUNT(Name!$A:$A) + 1)
        )
    )
)</f>
        <v>327</v>
      </c>
      <c r="E187" s="7" t="str">
        <f ca="1" xml:space="preserve">
VLOOKUP(
  $D187,
  Name!$A:$B,
  2,
  FALSE
)
&amp; " " &amp;
IF($B187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Raquel Moraes Alvim</v>
      </c>
      <c r="F187" s="7">
        <v>2</v>
      </c>
      <c r="G187" s="7" cm="1">
        <f t="array" aca="1" ref="G187" ca="1">INDEX(States!$B:$B,RANDBETWEEN(2,COUNTA(States!$A:$A)),1)</f>
        <v>19</v>
      </c>
      <c r="H187" s="7" t="str">
        <f ca="1">VLOOKUP($D187,Name!$A:$C,3,FALSE)</f>
        <v>F</v>
      </c>
      <c r="I187" s="7" cm="1">
        <f t="array" aca="1" ref="I187" ca="1">INDEX('Marital status'!$A:$A,RANDBETWEEN(2,COUNTA('Marital status'!$A:$A)),1)</f>
        <v>6</v>
      </c>
      <c r="J187" s="7">
        <f t="shared" ca="1" si="27"/>
        <v>4</v>
      </c>
      <c r="K187" s="8">
        <f t="shared" ca="1" si="28"/>
        <v>33557</v>
      </c>
      <c r="L187" s="6">
        <f t="shared" ca="1" si="29"/>
        <v>5</v>
      </c>
      <c r="M187" s="7">
        <f ca="1" xml:space="preserve">
  IF(OR($N187 = 2, $N187 = 3, $N187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87" s="6">
        <f t="shared" ca="1" si="30"/>
        <v>8</v>
      </c>
      <c r="O187" s="6">
        <f t="shared" ca="1" si="31"/>
        <v>2</v>
      </c>
      <c r="P187" s="8">
        <f t="shared" ca="1" si="32"/>
        <v>37436</v>
      </c>
      <c r="Q187" s="6">
        <f ca="1">RANDBETWEEN(2,COUNTA('Recruitment source'!$A:$A))</f>
        <v>10</v>
      </c>
      <c r="R187" s="8" t="e">
        <f t="shared" ca="1" si="33"/>
        <v>#N/A</v>
      </c>
      <c r="S187" s="6" t="e">
        <f t="shared" ca="1" si="34"/>
        <v>#N/A</v>
      </c>
      <c r="T187" s="6">
        <f t="shared" ca="1" si="24"/>
        <v>2</v>
      </c>
      <c r="U187" s="1">
        <f t="shared" ca="1" si="35"/>
        <v>2080</v>
      </c>
    </row>
    <row r="188" spans="1:21" x14ac:dyDescent="0.2">
      <c r="A188" s="7" cm="1">
        <f t="array" aca="1" ref="A188" ca="1">INDEX(Companies!$A:$A,RANDBETWEEN(2,COUNTA(Companies!$A:$A)),1)</f>
        <v>2</v>
      </c>
      <c r="B188" s="5">
        <f t="shared" si="25"/>
        <v>187</v>
      </c>
      <c r="C188" s="6">
        <f t="shared" ca="1" si="26"/>
        <v>1</v>
      </c>
      <c r="D188" s="7">
        <f ca="1">IF($B188 = 1 + N("Presidente"),
    127,
    IF($B188 = 2 + N("Vice-Presidente"),
        72,
        IF($B188 = 3 + N("Secretária bilíngue"),
            13,
            RANDBETWEEN(5,COUNT(Name!$A:$A) + 1)
        )
    )
)</f>
        <v>315</v>
      </c>
      <c r="E188" s="7" t="str">
        <f ca="1" xml:space="preserve">
VLOOKUP(
  $D188,
  Name!$A:$B,
  2,
  FALSE
)
&amp; " " &amp;
IF($B188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Peter Gonçalves Rinaldi</v>
      </c>
      <c r="F188" s="7">
        <v>2</v>
      </c>
      <c r="G188" s="7" cm="1">
        <f t="array" aca="1" ref="G188" ca="1">INDEX(States!$B:$B,RANDBETWEEN(2,COUNTA(States!$A:$A)),1)</f>
        <v>19</v>
      </c>
      <c r="H188" s="7" t="str">
        <f ca="1">VLOOKUP($D188,Name!$A:$C,3,FALSE)</f>
        <v>M</v>
      </c>
      <c r="I188" s="7" cm="1">
        <f t="array" aca="1" ref="I188" ca="1">INDEX('Marital status'!$A:$A,RANDBETWEEN(2,COUNTA('Marital status'!$A:$A)),1)</f>
        <v>4</v>
      </c>
      <c r="J188" s="7">
        <f t="shared" ca="1" si="27"/>
        <v>2</v>
      </c>
      <c r="K188" s="8">
        <f t="shared" ca="1" si="28"/>
        <v>34498</v>
      </c>
      <c r="L188" s="6">
        <f t="shared" ca="1" si="29"/>
        <v>4</v>
      </c>
      <c r="M188" s="7">
        <f ca="1" xml:space="preserve">
  IF(OR($N188 = 2, $N188 = 3, $N188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88" s="6">
        <f t="shared" ca="1" si="30"/>
        <v>7</v>
      </c>
      <c r="O188" s="6" t="e">
        <f t="shared" ca="1" si="31"/>
        <v>#N/A</v>
      </c>
      <c r="P188" s="8">
        <f t="shared" ca="1" si="32"/>
        <v>43925</v>
      </c>
      <c r="Q188" s="6">
        <f ca="1">RANDBETWEEN(2,COUNTA('Recruitment source'!$A:$A))</f>
        <v>5</v>
      </c>
      <c r="R188" s="8" t="e">
        <f t="shared" ca="1" si="33"/>
        <v>#N/A</v>
      </c>
      <c r="S188" s="6" t="e">
        <f t="shared" ca="1" si="34"/>
        <v>#N/A</v>
      </c>
      <c r="T188" s="6">
        <f t="shared" ca="1" si="24"/>
        <v>5</v>
      </c>
      <c r="U188" s="1">
        <f t="shared" ca="1" si="35"/>
        <v>1005</v>
      </c>
    </row>
    <row r="189" spans="1:21" x14ac:dyDescent="0.2">
      <c r="A189" s="7" cm="1">
        <f t="array" aca="1" ref="A189" ca="1">INDEX(Companies!$A:$A,RANDBETWEEN(2,COUNTA(Companies!$A:$A)),1)</f>
        <v>2</v>
      </c>
      <c r="B189" s="5">
        <f t="shared" si="25"/>
        <v>188</v>
      </c>
      <c r="C189" s="6">
        <f t="shared" ca="1" si="26"/>
        <v>1</v>
      </c>
      <c r="D189" s="7">
        <f ca="1">IF($B189 = 1 + N("Presidente"),
    127,
    IF($B189 = 2 + N("Vice-Presidente"),
        72,
        IF($B189 = 3 + N("Secretária bilíngue"),
            13,
            RANDBETWEEN(5,COUNT(Name!$A:$A) + 1)
        )
    )
)</f>
        <v>297</v>
      </c>
      <c r="E189" s="7" t="str">
        <f ca="1" xml:space="preserve">
VLOOKUP(
  $D189,
  Name!$A:$B,
  2,
  FALSE
)
&amp; " " &amp;
IF($B189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Miguelito Garcia Sacramento</v>
      </c>
      <c r="F189" s="7">
        <v>2</v>
      </c>
      <c r="G189" s="7" cm="1">
        <f t="array" aca="1" ref="G189" ca="1">INDEX(States!$B:$B,RANDBETWEEN(2,COUNTA(States!$A:$A)),1)</f>
        <v>12</v>
      </c>
      <c r="H189" s="7" t="str">
        <f ca="1">VLOOKUP($D189,Name!$A:$C,3,FALSE)</f>
        <v>M</v>
      </c>
      <c r="I189" s="7" cm="1">
        <f t="array" aca="1" ref="I189" ca="1">INDEX('Marital status'!$A:$A,RANDBETWEEN(2,COUNTA('Marital status'!$A:$A)),1)</f>
        <v>5</v>
      </c>
      <c r="J189" s="7">
        <f t="shared" ca="1" si="27"/>
        <v>3</v>
      </c>
      <c r="K189" s="8">
        <f t="shared" ca="1" si="28"/>
        <v>32739</v>
      </c>
      <c r="L189" s="6">
        <f t="shared" ca="1" si="29"/>
        <v>4</v>
      </c>
      <c r="M189" s="7">
        <f ca="1" xml:space="preserve">
  IF(OR($N189 = 2, $N189 = 3, $N189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89" s="6">
        <f t="shared" ca="1" si="30"/>
        <v>8</v>
      </c>
      <c r="O189" s="6">
        <f t="shared" ca="1" si="31"/>
        <v>2</v>
      </c>
      <c r="P189" s="8">
        <f t="shared" ca="1" si="32"/>
        <v>43461</v>
      </c>
      <c r="Q189" s="6">
        <f ca="1">RANDBETWEEN(2,COUNTA('Recruitment source'!$A:$A))</f>
        <v>8</v>
      </c>
      <c r="R189" s="8" t="e">
        <f t="shared" ca="1" si="33"/>
        <v>#N/A</v>
      </c>
      <c r="S189" s="6" t="e">
        <f t="shared" ca="1" si="34"/>
        <v>#N/A</v>
      </c>
      <c r="T189" s="6">
        <f t="shared" ca="1" si="24"/>
        <v>3</v>
      </c>
      <c r="U189" s="1">
        <f t="shared" ca="1" si="35"/>
        <v>2000</v>
      </c>
    </row>
    <row r="190" spans="1:21" x14ac:dyDescent="0.2">
      <c r="A190" s="7" cm="1">
        <f t="array" aca="1" ref="A190" ca="1">INDEX(Companies!$A:$A,RANDBETWEEN(2,COUNTA(Companies!$A:$A)),1)</f>
        <v>2</v>
      </c>
      <c r="B190" s="5">
        <f t="shared" si="25"/>
        <v>189</v>
      </c>
      <c r="C190" s="6">
        <f t="shared" ca="1" si="26"/>
        <v>1</v>
      </c>
      <c r="D190" s="7">
        <f ca="1">IF($B190 = 1 + N("Presidente"),
    127,
    IF($B190 = 2 + N("Vice-Presidente"),
        72,
        IF($B190 = 3 + N("Secretária bilíngue"),
            13,
            RANDBETWEEN(5,COUNT(Name!$A:$A) + 1)
        )
    )
)</f>
        <v>232</v>
      </c>
      <c r="E190" s="7" t="str">
        <f ca="1" xml:space="preserve">
VLOOKUP(
  $D190,
  Name!$A:$B,
  2,
  FALSE
)
&amp; " " &amp;
IF($B190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Lorenzo Andrade Araújo</v>
      </c>
      <c r="F190" s="7">
        <v>2</v>
      </c>
      <c r="G190" s="7" cm="1">
        <f t="array" aca="1" ref="G190" ca="1">INDEX(States!$B:$B,RANDBETWEEN(2,COUNTA(States!$A:$A)),1)</f>
        <v>21</v>
      </c>
      <c r="H190" s="7" t="str">
        <f ca="1">VLOOKUP($D190,Name!$A:$C,3,FALSE)</f>
        <v>M</v>
      </c>
      <c r="I190" s="7" cm="1">
        <f t="array" aca="1" ref="I190" ca="1">INDEX('Marital status'!$A:$A,RANDBETWEEN(2,COUNTA('Marital status'!$A:$A)),1)</f>
        <v>4</v>
      </c>
      <c r="J190" s="7">
        <f t="shared" ca="1" si="27"/>
        <v>5</v>
      </c>
      <c r="K190" s="8">
        <f t="shared" ca="1" si="28"/>
        <v>31584</v>
      </c>
      <c r="L190" s="6">
        <f t="shared" ca="1" si="29"/>
        <v>4</v>
      </c>
      <c r="M190" s="7">
        <f ca="1" xml:space="preserve">
  IF(OR($N190 = 2, $N190 = 3, $N190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90" s="6">
        <f t="shared" ca="1" si="30"/>
        <v>7</v>
      </c>
      <c r="O190" s="6" t="e">
        <f t="shared" ca="1" si="31"/>
        <v>#N/A</v>
      </c>
      <c r="P190" s="8">
        <f t="shared" ca="1" si="32"/>
        <v>39834</v>
      </c>
      <c r="Q190" s="6">
        <f ca="1">RANDBETWEEN(2,COUNTA('Recruitment source'!$A:$A))</f>
        <v>12</v>
      </c>
      <c r="R190" s="8" t="e">
        <f t="shared" ca="1" si="33"/>
        <v>#N/A</v>
      </c>
      <c r="S190" s="6" t="e">
        <f t="shared" ca="1" si="34"/>
        <v>#N/A</v>
      </c>
      <c r="T190" s="6">
        <f t="shared" ca="1" si="24"/>
        <v>3</v>
      </c>
      <c r="U190" s="1">
        <f t="shared" ca="1" si="35"/>
        <v>1005</v>
      </c>
    </row>
    <row r="191" spans="1:21" x14ac:dyDescent="0.2">
      <c r="A191" s="7" cm="1">
        <f t="array" aca="1" ref="A191" ca="1">INDEX(Companies!$A:$A,RANDBETWEEN(2,COUNTA(Companies!$A:$A)),1)</f>
        <v>2</v>
      </c>
      <c r="B191" s="5">
        <f t="shared" si="25"/>
        <v>190</v>
      </c>
      <c r="C191" s="6">
        <f t="shared" ca="1" si="26"/>
        <v>1</v>
      </c>
      <c r="D191" s="7">
        <f ca="1">IF($B191 = 1 + N("Presidente"),
    127,
    IF($B191 = 2 + N("Vice-Presidente"),
        72,
        IF($B191 = 3 + N("Secretária bilíngue"),
            13,
            RANDBETWEEN(5,COUNT(Name!$A:$A) + 1)
        )
    )
)</f>
        <v>319</v>
      </c>
      <c r="E191" s="7" t="str">
        <f ca="1" xml:space="preserve">
VLOOKUP(
  $D191,
  Name!$A:$B,
  2,
  FALSE
)
&amp; " " &amp;
IF($B191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Miguel Campos Ricci</v>
      </c>
      <c r="F191" s="7">
        <v>2</v>
      </c>
      <c r="G191" s="7" cm="1">
        <f t="array" aca="1" ref="G191" ca="1">INDEX(States!$B:$B,RANDBETWEEN(2,COUNTA(States!$A:$A)),1)</f>
        <v>12</v>
      </c>
      <c r="H191" s="7" t="str">
        <f ca="1">VLOOKUP($D191,Name!$A:$C,3,FALSE)</f>
        <v>M</v>
      </c>
      <c r="I191" s="7" cm="1">
        <f t="array" aca="1" ref="I191" ca="1">INDEX('Marital status'!$A:$A,RANDBETWEEN(2,COUNTA('Marital status'!$A:$A)),1)</f>
        <v>5</v>
      </c>
      <c r="J191" s="7">
        <f t="shared" ca="1" si="27"/>
        <v>2</v>
      </c>
      <c r="K191" s="8">
        <f t="shared" ca="1" si="28"/>
        <v>36662</v>
      </c>
      <c r="L191" s="6">
        <f t="shared" ca="1" si="29"/>
        <v>5</v>
      </c>
      <c r="M191" s="7">
        <f ca="1" xml:space="preserve">
  IF(OR($N191 = 2, $N191 = 3, $N191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91" s="6">
        <f t="shared" ca="1" si="30"/>
        <v>8</v>
      </c>
      <c r="O191" s="6">
        <f t="shared" ca="1" si="31"/>
        <v>3</v>
      </c>
      <c r="P191" s="8">
        <f t="shared" ca="1" si="32"/>
        <v>44211</v>
      </c>
      <c r="Q191" s="6">
        <f ca="1">RANDBETWEEN(2,COUNTA('Recruitment source'!$A:$A))</f>
        <v>6</v>
      </c>
      <c r="R191" s="8" t="e">
        <f t="shared" ca="1" si="33"/>
        <v>#N/A</v>
      </c>
      <c r="S191" s="6" t="e">
        <f t="shared" ca="1" si="34"/>
        <v>#N/A</v>
      </c>
      <c r="T191" s="6">
        <f t="shared" ca="1" si="24"/>
        <v>3</v>
      </c>
      <c r="U191" s="1">
        <f t="shared" ca="1" si="35"/>
        <v>2000</v>
      </c>
    </row>
    <row r="192" spans="1:21" x14ac:dyDescent="0.2">
      <c r="A192" s="7" cm="1">
        <f t="array" aca="1" ref="A192" ca="1">INDEX(Companies!$A:$A,RANDBETWEEN(2,COUNTA(Companies!$A:$A)),1)</f>
        <v>2</v>
      </c>
      <c r="B192" s="5">
        <f t="shared" si="25"/>
        <v>191</v>
      </c>
      <c r="C192" s="6">
        <f t="shared" ca="1" si="26"/>
        <v>1</v>
      </c>
      <c r="D192" s="7">
        <f ca="1">IF($B192 = 1 + N("Presidente"),
    127,
    IF($B192 = 2 + N("Vice-Presidente"),
        72,
        IF($B192 = 3 + N("Secretária bilíngue"),
            13,
            RANDBETWEEN(5,COUNT(Name!$A:$A) + 1)
        )
    )
)</f>
        <v>96</v>
      </c>
      <c r="E192" s="7" t="str">
        <f ca="1" xml:space="preserve">
VLOOKUP(
  $D192,
  Name!$A:$B,
  2,
  FALSE
)
&amp; " " &amp;
IF($B192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Clarisse Faria Alvaregna</v>
      </c>
      <c r="F192" s="7">
        <v>2</v>
      </c>
      <c r="G192" s="7" cm="1">
        <f t="array" aca="1" ref="G192" ca="1">INDEX(States!$B:$B,RANDBETWEEN(2,COUNTA(States!$A:$A)),1)</f>
        <v>15</v>
      </c>
      <c r="H192" s="7" t="str">
        <f ca="1">VLOOKUP($D192,Name!$A:$C,3,FALSE)</f>
        <v>F</v>
      </c>
      <c r="I192" s="7" cm="1">
        <f t="array" aca="1" ref="I192" ca="1">INDEX('Marital status'!$A:$A,RANDBETWEEN(2,COUNTA('Marital status'!$A:$A)),1)</f>
        <v>4</v>
      </c>
      <c r="J192" s="7">
        <f t="shared" ca="1" si="27"/>
        <v>2</v>
      </c>
      <c r="K192" s="8">
        <f t="shared" ca="1" si="28"/>
        <v>34068</v>
      </c>
      <c r="L192" s="6">
        <f t="shared" ca="1" si="29"/>
        <v>4</v>
      </c>
      <c r="M192" s="7">
        <f ca="1" xml:space="preserve">
  IF(OR($N192 = 2, $N192 = 3, $N192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92" s="6">
        <f t="shared" ca="1" si="30"/>
        <v>7</v>
      </c>
      <c r="O192" s="6" t="e">
        <f t="shared" ca="1" si="31"/>
        <v>#N/A</v>
      </c>
      <c r="P192" s="8">
        <f t="shared" ca="1" si="32"/>
        <v>41178</v>
      </c>
      <c r="Q192" s="6">
        <f ca="1">RANDBETWEEN(2,COUNTA('Recruitment source'!$A:$A))</f>
        <v>12</v>
      </c>
      <c r="R192" s="8" t="e">
        <f t="shared" ca="1" si="33"/>
        <v>#N/A</v>
      </c>
      <c r="S192" s="6" t="e">
        <f t="shared" ca="1" si="34"/>
        <v>#N/A</v>
      </c>
      <c r="T192" s="6">
        <f t="shared" ca="1" si="24"/>
        <v>4</v>
      </c>
      <c r="U192" s="1">
        <f t="shared" ca="1" si="35"/>
        <v>1005</v>
      </c>
    </row>
    <row r="193" spans="1:21" x14ac:dyDescent="0.2">
      <c r="A193" s="7" cm="1">
        <f t="array" aca="1" ref="A193" ca="1">INDEX(Companies!$A:$A,RANDBETWEEN(2,COUNTA(Companies!$A:$A)),1)</f>
        <v>2</v>
      </c>
      <c r="B193" s="5">
        <f t="shared" si="25"/>
        <v>192</v>
      </c>
      <c r="C193" s="6">
        <f t="shared" ca="1" si="26"/>
        <v>1</v>
      </c>
      <c r="D193" s="7">
        <f ca="1">IF($B193 = 1 + N("Presidente"),
    127,
    IF($B193 = 2 + N("Vice-Presidente"),
        72,
        IF($B193 = 3 + N("Secretária bilíngue"),
            13,
            RANDBETWEEN(5,COUNT(Name!$A:$A) + 1)
        )
    )
)</f>
        <v>162</v>
      </c>
      <c r="E193" s="7" t="str">
        <f ca="1" xml:space="preserve">
VLOOKUP(
  $D193,
  Name!$A:$B,
  2,
  FALSE
)
&amp; " " &amp;
IF($B193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Helena Andrade Duarte</v>
      </c>
      <c r="F193" s="7">
        <v>2</v>
      </c>
      <c r="G193" s="7" cm="1">
        <f t="array" aca="1" ref="G193" ca="1">INDEX(States!$B:$B,RANDBETWEEN(2,COUNTA(States!$A:$A)),1)</f>
        <v>19</v>
      </c>
      <c r="H193" s="7" t="str">
        <f ca="1">VLOOKUP($D193,Name!$A:$C,3,FALSE)</f>
        <v>F</v>
      </c>
      <c r="I193" s="7" cm="1">
        <f t="array" aca="1" ref="I193" ca="1">INDEX('Marital status'!$A:$A,RANDBETWEEN(2,COUNTA('Marital status'!$A:$A)),1)</f>
        <v>3</v>
      </c>
      <c r="J193" s="7">
        <f t="shared" ca="1" si="27"/>
        <v>2</v>
      </c>
      <c r="K193" s="8">
        <f t="shared" ca="1" si="28"/>
        <v>33915</v>
      </c>
      <c r="L193" s="6">
        <f t="shared" ca="1" si="29"/>
        <v>5</v>
      </c>
      <c r="M193" s="7">
        <f ca="1" xml:space="preserve">
  IF(OR($N193 = 2, $N193 = 3, $N193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93" s="6">
        <f t="shared" ca="1" si="30"/>
        <v>8</v>
      </c>
      <c r="O193" s="6">
        <f t="shared" ca="1" si="31"/>
        <v>3</v>
      </c>
      <c r="P193" s="8">
        <f t="shared" ca="1" si="32"/>
        <v>36400</v>
      </c>
      <c r="Q193" s="6">
        <f ca="1">RANDBETWEEN(2,COUNTA('Recruitment source'!$A:$A))</f>
        <v>6</v>
      </c>
      <c r="R193" s="8" t="e">
        <f t="shared" ca="1" si="33"/>
        <v>#N/A</v>
      </c>
      <c r="S193" s="6" t="e">
        <f t="shared" ca="1" si="34"/>
        <v>#N/A</v>
      </c>
      <c r="T193" s="6">
        <f t="shared" ca="1" si="24"/>
        <v>4</v>
      </c>
      <c r="U193" s="1">
        <f t="shared" ca="1" si="35"/>
        <v>2000</v>
      </c>
    </row>
    <row r="194" spans="1:21" x14ac:dyDescent="0.2">
      <c r="A194" s="7" cm="1">
        <f t="array" aca="1" ref="A194" ca="1">INDEX(Companies!$A:$A,RANDBETWEEN(2,COUNTA(Companies!$A:$A)),1)</f>
        <v>2</v>
      </c>
      <c r="B194" s="5">
        <f t="shared" si="25"/>
        <v>193</v>
      </c>
      <c r="C194" s="6">
        <f t="shared" ca="1" si="26"/>
        <v>1</v>
      </c>
      <c r="D194" s="7">
        <f ca="1">IF($B194 = 1 + N("Presidente"),
    127,
    IF($B194 = 2 + N("Vice-Presidente"),
        72,
        IF($B194 = 3 + N("Secretária bilíngue"),
            13,
            RANDBETWEEN(5,COUNT(Name!$A:$A) + 1)
        )
    )
)</f>
        <v>360</v>
      </c>
      <c r="E194" s="7" t="str">
        <f ca="1" xml:space="preserve">
VLOOKUP(
  $D194,
  Name!$A:$B,
  2,
  FALSE
)
&amp; " " &amp;
IF($B194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Vitória Fernandes Colombo</v>
      </c>
      <c r="F194" s="7">
        <v>2</v>
      </c>
      <c r="G194" s="7" cm="1">
        <f t="array" aca="1" ref="G194" ca="1">INDEX(States!$B:$B,RANDBETWEEN(2,COUNTA(States!$A:$A)),1)</f>
        <v>13</v>
      </c>
      <c r="H194" s="7" t="str">
        <f ca="1">VLOOKUP($D194,Name!$A:$C,3,FALSE)</f>
        <v>F</v>
      </c>
      <c r="I194" s="7" cm="1">
        <f t="array" aca="1" ref="I194" ca="1">INDEX('Marital status'!$A:$A,RANDBETWEEN(2,COUNTA('Marital status'!$A:$A)),1)</f>
        <v>3</v>
      </c>
      <c r="J194" s="7">
        <f t="shared" ca="1" si="27"/>
        <v>2</v>
      </c>
      <c r="K194" s="8">
        <f t="shared" ca="1" si="28"/>
        <v>25787</v>
      </c>
      <c r="L194" s="6">
        <f t="shared" ca="1" si="29"/>
        <v>4</v>
      </c>
      <c r="M194" s="7">
        <f ca="1" xml:space="preserve">
  IF(OR($N194 = 2, $N194 = 3, $N194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94" s="6">
        <f t="shared" ca="1" si="30"/>
        <v>6</v>
      </c>
      <c r="O194" s="6" t="e">
        <f t="shared" ca="1" si="31"/>
        <v>#N/A</v>
      </c>
      <c r="P194" s="8">
        <f t="shared" ca="1" si="32"/>
        <v>39892</v>
      </c>
      <c r="Q194" s="6">
        <f ca="1">RANDBETWEEN(2,COUNTA('Recruitment source'!$A:$A))</f>
        <v>5</v>
      </c>
      <c r="R194" s="8" t="e">
        <f t="shared" ca="1" si="33"/>
        <v>#N/A</v>
      </c>
      <c r="S194" s="6" t="e">
        <f t="shared" ca="1" si="34"/>
        <v>#N/A</v>
      </c>
      <c r="T194" s="6">
        <f t="shared" ref="T194:T257" ca="1" si="36" xml:space="preserve">
IF(
 ISNA($R194),
 IF(
   $N194 = 2,
   5,
   IF(
     OR($N194=3,$N194=4,$N194=5),
     RANDBETWEEN(4,5),
     IF(
       OR($N194=11,$N194=12),
       RANDBETWEEN(3,5),
       RANDBETWEEN(2,5)
     )
   )
 ),
 RANDBETWEEN(1,3)
)</f>
        <v>5</v>
      </c>
      <c r="U194" s="1">
        <f t="shared" ca="1" si="35"/>
        <v>805</v>
      </c>
    </row>
    <row r="195" spans="1:21" x14ac:dyDescent="0.2">
      <c r="A195" s="7" cm="1">
        <f t="array" aca="1" ref="A195" ca="1">INDEX(Companies!$A:$A,RANDBETWEEN(2,COUNTA(Companies!$A:$A)),1)</f>
        <v>2</v>
      </c>
      <c r="B195" s="5">
        <f t="shared" ref="B195:B258" si="37">ROW() - 1</f>
        <v>194</v>
      </c>
      <c r="C195" s="6">
        <f t="shared" ref="C195:C258" ca="1" si="38">IF(ISNA($R195),1,0)</f>
        <v>1</v>
      </c>
      <c r="D195" s="7">
        <f ca="1">IF($B195 = 1 + N("Presidente"),
    127,
    IF($B195 = 2 + N("Vice-Presidente"),
        72,
        IF($B195 = 3 + N("Secretária bilíngue"),
            13,
            RANDBETWEEN(5,COUNT(Name!$A:$A) + 1)
        )
    )
)</f>
        <v>193</v>
      </c>
      <c r="E195" s="7" t="str">
        <f ca="1" xml:space="preserve">
VLOOKUP(
  $D195,
  Name!$A:$B,
  2,
  FALSE
)
&amp; " " &amp;
IF($B195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Victor Pinheiro Aguiar</v>
      </c>
      <c r="F195" s="7">
        <v>2</v>
      </c>
      <c r="G195" s="7" cm="1">
        <f t="array" aca="1" ref="G195" ca="1">INDEX(States!$B:$B,RANDBETWEEN(2,COUNTA(States!$A:$A)),1)</f>
        <v>16</v>
      </c>
      <c r="H195" s="7" t="str">
        <f ca="1">VLOOKUP($D195,Name!$A:$C,3,FALSE)</f>
        <v>M</v>
      </c>
      <c r="I195" s="7" cm="1">
        <f t="array" aca="1" ref="I195" ca="1">INDEX('Marital status'!$A:$A,RANDBETWEEN(2,COUNTA('Marital status'!$A:$A)),1)</f>
        <v>4</v>
      </c>
      <c r="J195" s="7">
        <f t="shared" ref="J195:J258" ca="1" si="39" xml:space="preserve">
IF(AND($N195 &gt;= 2, $N195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195" s="8">
        <f t="shared" ref="K195:K258" ca="1" si="40" xml:space="preserve">
IF($N195 = 5 + N("CEO"),
    TODAY() - 16340,
    IF($N195 = 8 + N("Secretary"),
        RANDBETWEEN(TODAY() - 12418.5, TODAY()-6574.5),
        IF(OR($N195 = 7, $N195 = 14),
            RANDBETWEEN(TODAY() - 16071, TODAY() - 8766),
            IF(OR($N195 = 13, $N195 = 12, $N195 = 11),
                RANDBETWEEN(TODAY() - 27393.75, TODAY() - 12783.75),
                RANDBETWEEN(TODAY() - 27393.75, TODAY()-10957.5)
            )
        )
    )
)</f>
        <v>37296</v>
      </c>
      <c r="L195" s="6">
        <f t="shared" ref="L195:L258" ca="1" si="41" xml:space="preserve">
IF(OR($N195 = 2, $N195 = 3) + N("Se for presidente ou vice-presidente"),
    7 + N("Doutor"),
    IF($N195 = 4 + N("Se for diretor"),
        RANDBETWEEN(5,7) + N("Graduate school or Master’s degree or Doctorate"),
        IF($N195 = 11 + N("Se for gerente"),
            RANDBETWEEN(4,6) + N("Undergraduate degree or Graduate school or Master’s degree"),
            IF(AND($N195 &gt;= 8, $N195 &lt;= 10) + N("If coordinator or specialist or analyst"),
                RANDBETWEEN(4,5),
                4
            )
        )
    )
)</f>
        <v>5</v>
      </c>
      <c r="M195" s="7">
        <f ca="1" xml:space="preserve">
  IF(OR($N195 = 2, $N195 = 3, $N195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95" s="6">
        <f t="shared" ref="N195:N258" ca="1" si="42" xml:space="preserve">
IF($B195 = 1 + N("Se matrícula for 1"),
  2 + N("Presidente"),
  IF($B195 = 2 + N("Se matrícula for 2"),
    3 + N("Vice-presidente"),
    IF($B195 = 3 + N("Se matrícula for 3"),
      5 + N("Secretária bilíngue"),
      IF(AND($B195 &gt;= 4, $B195 &lt;=14),
        4 + N("Diretor"),
        IF(AND($B195 &gt;= 15, $B195 &lt;= 25),
          11 + N("Manager"),
          IF(AND($B195 &gt;= 26, $B195 &lt;= 36),
            10 + N("Coordinador"),
            IF(AND($B195 &gt;= 37, $B195 &lt;= 47),
              9 + N("Especialista"),
                IF(MOD($B195,2) = 0,
                  8 + N("Analista"),
                  RANDBETWEEN(6,7) + N("Estagiário ou Trainee")
                )
            )
          )
        )
      )
    )
  )
)</f>
        <v>8</v>
      </c>
      <c r="O195" s="6">
        <f t="shared" ref="O195:O258" ca="1" si="43" xml:space="preserve">
IF($N195 =8 + N("Analyst"),
    RANDBETWEEN(2, 4) + N("Jr, Pleno, Sr"),
    NA()
)</f>
        <v>2</v>
      </c>
      <c r="P195" s="8">
        <f t="shared" ref="P195:P258" ca="1" si="44" xml:space="preserve">
IF(
   $N195=2 + N("Presidente"),
   36161,
   IF(
       OR(
         $N195=3 + N("Vice-Presidente"),
         $N195=4 + N("Diretor"),
         $N195=5 + N("Secretária bilíngue")
       ),
       RANDBETWEEN(36161,36411),
       IF(
         ((TODAY() - $K195) / 365) &lt; 19,
         TODAY(),
         RANDBETWEEN(36161,TODAY())
       )
   )
)</f>
        <v>40817</v>
      </c>
      <c r="Q195" s="6">
        <f ca="1">RANDBETWEEN(2,COUNTA('Recruitment source'!$A:$A))</f>
        <v>9</v>
      </c>
      <c r="R195" s="8" t="e">
        <f t="shared" ref="R195:R258" ca="1" si="45" xml:space="preserve">
IF(MOD(
     ROW(),111
   )=0,
   RANDBETWEEN($P195 + 1,TODAY() - 1),NA()
)</f>
        <v>#N/A</v>
      </c>
      <c r="S195" s="6" t="e">
        <f t="shared" ref="S195:S258" ca="1" si="46" xml:space="preserve">
IF(
  ISNA(R195),
  NA(),
  RANDBETWEEN(2,IF($H195="F",10,9))
)</f>
        <v>#N/A</v>
      </c>
      <c r="T195" s="6">
        <f t="shared" ca="1" si="36"/>
        <v>5</v>
      </c>
      <c r="U195" s="1">
        <f t="shared" ref="U195:U258" ca="1" si="47" xml:space="preserve">
IF($N195 = 2 + N("Presidente"),
    25000,
    IF($N195 = 3 + N("Vice-presidente"),
        23000,
        IF(OR($N195 = 5, $N195= 10, $N195 = 9) + N("Secretária bilíngue ou coordenador ou especialista"),
            8000,
            IF($N195 = 4 + N("Diretor"),
                15000,
                IF($N195 = 11 + N("Gerente"),
                    12000,
                    IF($N195 = 6 + N("Estagiário"),
                        805,
                        IF($N195 = 7 + N("Trainee"),
                            1005,
                            IF($N195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IF($L195 = 7,
  100,
  IF($L195 = 8,
    200,
    IF($L195 = 9,
      300,
      IF($L195 = 10,
        400,
        0
      )
    )
  )
)
+
N("Adicional no salário por área")
+
IF($M195 = 14 + N("Tecnologia da Informação"),
  120,
  IF($M195 = 16 + N("Vendas"),
    110,
    IF($M195 = 15 + N("Jurídico"),
      100,
      IF(OR($M195 = 8, $M195 = 9, $M195 = 11) + N("Recursos humanos ou comercial ou comunicação e marketing"),
        80,
        0
      )
    )
  )
)
+
N("Adicionando pegadinha")
+
IF(AND($M195 = 13, $N195 = 8) + N("Se for de vendas e analista"),
  IF($J195 = 2,
    50,
    0
  )
  +
  IF($H195 = "M",
    50,
    0
  ),
  0
)</f>
        <v>2000</v>
      </c>
    </row>
    <row r="196" spans="1:21" x14ac:dyDescent="0.2">
      <c r="A196" s="7" cm="1">
        <f t="array" aca="1" ref="A196" ca="1">INDEX(Companies!$A:$A,RANDBETWEEN(2,COUNTA(Companies!$A:$A)),1)</f>
        <v>2</v>
      </c>
      <c r="B196" s="5">
        <f t="shared" si="37"/>
        <v>195</v>
      </c>
      <c r="C196" s="6">
        <f t="shared" ca="1" si="38"/>
        <v>1</v>
      </c>
      <c r="D196" s="7">
        <f ca="1">IF($B196 = 1 + N("Presidente"),
    127,
    IF($B196 = 2 + N("Vice-Presidente"),
        72,
        IF($B196 = 3 + N("Secretária bilíngue"),
            13,
            RANDBETWEEN(5,COUNT(Name!$A:$A) + 1)
        )
    )
)</f>
        <v>162</v>
      </c>
      <c r="E196" s="7" t="str">
        <f ca="1" xml:space="preserve">
VLOOKUP(
  $D196,
  Name!$A:$B,
  2,
  FALSE
)
&amp; " " &amp;
IF($B196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Helena Zil Trindade</v>
      </c>
      <c r="F196" s="7">
        <v>2</v>
      </c>
      <c r="G196" s="7" cm="1">
        <f t="array" aca="1" ref="G196" ca="1">INDEX(States!$B:$B,RANDBETWEEN(2,COUNTA(States!$A:$A)),1)</f>
        <v>13</v>
      </c>
      <c r="H196" s="7" t="str">
        <f ca="1">VLOOKUP($D196,Name!$A:$C,3,FALSE)</f>
        <v>F</v>
      </c>
      <c r="I196" s="7" cm="1">
        <f t="array" aca="1" ref="I196" ca="1">INDEX('Marital status'!$A:$A,RANDBETWEEN(2,COUNTA('Marital status'!$A:$A)),1)</f>
        <v>2</v>
      </c>
      <c r="J196" s="7">
        <f t="shared" ca="1" si="39"/>
        <v>3</v>
      </c>
      <c r="K196" s="8">
        <f t="shared" ca="1" si="40"/>
        <v>19148</v>
      </c>
      <c r="L196" s="6">
        <f t="shared" ca="1" si="41"/>
        <v>4</v>
      </c>
      <c r="M196" s="7">
        <f ca="1" xml:space="preserve">
  IF(OR($N196 = 2, $N196 = 3, $N196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96" s="6">
        <f t="shared" ca="1" si="42"/>
        <v>6</v>
      </c>
      <c r="O196" s="6" t="e">
        <f t="shared" ca="1" si="43"/>
        <v>#N/A</v>
      </c>
      <c r="P196" s="8">
        <f t="shared" ca="1" si="44"/>
        <v>37503</v>
      </c>
      <c r="Q196" s="6">
        <f ca="1">RANDBETWEEN(2,COUNTA('Recruitment source'!$A:$A))</f>
        <v>10</v>
      </c>
      <c r="R196" s="8" t="e">
        <f t="shared" ca="1" si="45"/>
        <v>#N/A</v>
      </c>
      <c r="S196" s="6" t="e">
        <f t="shared" ca="1" si="46"/>
        <v>#N/A</v>
      </c>
      <c r="T196" s="6">
        <f t="shared" ca="1" si="36"/>
        <v>2</v>
      </c>
      <c r="U196" s="1">
        <f t="shared" ca="1" si="47"/>
        <v>805</v>
      </c>
    </row>
    <row r="197" spans="1:21" x14ac:dyDescent="0.2">
      <c r="A197" s="7" cm="1">
        <f t="array" aca="1" ref="A197" ca="1">INDEX(Companies!$A:$A,RANDBETWEEN(2,COUNTA(Companies!$A:$A)),1)</f>
        <v>2</v>
      </c>
      <c r="B197" s="5">
        <f t="shared" si="37"/>
        <v>196</v>
      </c>
      <c r="C197" s="6">
        <f t="shared" ca="1" si="38"/>
        <v>1</v>
      </c>
      <c r="D197" s="7">
        <f ca="1">IF($B197 = 1 + N("Presidente"),
    127,
    IF($B197 = 2 + N("Vice-Presidente"),
        72,
        IF($B197 = 3 + N("Secretária bilíngue"),
            13,
            RANDBETWEEN(5,COUNT(Name!$A:$A) + 1)
        )
    )
)</f>
        <v>198</v>
      </c>
      <c r="E197" s="7" t="str">
        <f ca="1" xml:space="preserve">
VLOOKUP(
  $D197,
  Name!$A:$B,
  2,
  FALSE
)
&amp; " " &amp;
IF($B197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Emanuel Malafaia Camacho</v>
      </c>
      <c r="F197" s="7">
        <v>2</v>
      </c>
      <c r="G197" s="7" cm="1">
        <f t="array" aca="1" ref="G197" ca="1">INDEX(States!$B:$B,RANDBETWEEN(2,COUNTA(States!$A:$A)),1)</f>
        <v>8</v>
      </c>
      <c r="H197" s="7" t="str">
        <f ca="1">VLOOKUP($D197,Name!$A:$C,3,FALSE)</f>
        <v>M</v>
      </c>
      <c r="I197" s="7" cm="1">
        <f t="array" aca="1" ref="I197" ca="1">INDEX('Marital status'!$A:$A,RANDBETWEEN(2,COUNTA('Marital status'!$A:$A)),1)</f>
        <v>2</v>
      </c>
      <c r="J197" s="7">
        <f t="shared" ca="1" si="39"/>
        <v>2</v>
      </c>
      <c r="K197" s="8">
        <f t="shared" ca="1" si="40"/>
        <v>36444</v>
      </c>
      <c r="L197" s="6">
        <f t="shared" ca="1" si="41"/>
        <v>5</v>
      </c>
      <c r="M197" s="7">
        <f ca="1" xml:space="preserve">
  IF(OR($N197 = 2, $N197 = 3, $N197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97" s="6">
        <f t="shared" ca="1" si="42"/>
        <v>8</v>
      </c>
      <c r="O197" s="6">
        <f t="shared" ca="1" si="43"/>
        <v>2</v>
      </c>
      <c r="P197" s="8">
        <f t="shared" ca="1" si="44"/>
        <v>37553</v>
      </c>
      <c r="Q197" s="6">
        <f ca="1">RANDBETWEEN(2,COUNTA('Recruitment source'!$A:$A))</f>
        <v>6</v>
      </c>
      <c r="R197" s="8" t="e">
        <f t="shared" ca="1" si="45"/>
        <v>#N/A</v>
      </c>
      <c r="S197" s="6" t="e">
        <f t="shared" ca="1" si="46"/>
        <v>#N/A</v>
      </c>
      <c r="T197" s="6">
        <f t="shared" ca="1" si="36"/>
        <v>4</v>
      </c>
      <c r="U197" s="1">
        <f t="shared" ca="1" si="47"/>
        <v>2080</v>
      </c>
    </row>
    <row r="198" spans="1:21" x14ac:dyDescent="0.2">
      <c r="A198" s="7" cm="1">
        <f t="array" aca="1" ref="A198" ca="1">INDEX(Companies!$A:$A,RANDBETWEEN(2,COUNTA(Companies!$A:$A)),1)</f>
        <v>2</v>
      </c>
      <c r="B198" s="5">
        <f t="shared" si="37"/>
        <v>197</v>
      </c>
      <c r="C198" s="6">
        <f t="shared" ca="1" si="38"/>
        <v>1</v>
      </c>
      <c r="D198" s="7">
        <f ca="1">IF($B198 = 1 + N("Presidente"),
    127,
    IF($B198 = 2 + N("Vice-Presidente"),
        72,
        IF($B198 = 3 + N("Secretária bilíngue"),
            13,
            RANDBETWEEN(5,COUNT(Name!$A:$A) + 1)
        )
    )
)</f>
        <v>81</v>
      </c>
      <c r="E198" s="7" t="str">
        <f ca="1" xml:space="preserve">
VLOOKUP(
  $D198,
  Name!$A:$B,
  2,
  FALSE
)
&amp; " " &amp;
IF($B198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Caio Barreto Ricci</v>
      </c>
      <c r="F198" s="7">
        <v>2</v>
      </c>
      <c r="G198" s="7" cm="1">
        <f t="array" aca="1" ref="G198" ca="1">INDEX(States!$B:$B,RANDBETWEEN(2,COUNTA(States!$A:$A)),1)</f>
        <v>6</v>
      </c>
      <c r="H198" s="7" t="str">
        <f ca="1">VLOOKUP($D198,Name!$A:$C,3,FALSE)</f>
        <v>M</v>
      </c>
      <c r="I198" s="7" cm="1">
        <f t="array" aca="1" ref="I198" ca="1">INDEX('Marital status'!$A:$A,RANDBETWEEN(2,COUNTA('Marital status'!$A:$A)),1)</f>
        <v>2</v>
      </c>
      <c r="J198" s="7">
        <f t="shared" ca="1" si="39"/>
        <v>4</v>
      </c>
      <c r="K198" s="8">
        <f t="shared" ca="1" si="40"/>
        <v>33705</v>
      </c>
      <c r="L198" s="6">
        <f t="shared" ca="1" si="41"/>
        <v>4</v>
      </c>
      <c r="M198" s="7">
        <f ca="1" xml:space="preserve">
  IF(OR($N198 = 2, $N198 = 3, $N198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98" s="6">
        <f t="shared" ca="1" si="42"/>
        <v>6</v>
      </c>
      <c r="O198" s="6" t="e">
        <f t="shared" ca="1" si="43"/>
        <v>#N/A</v>
      </c>
      <c r="P198" s="8">
        <f t="shared" ca="1" si="44"/>
        <v>39631</v>
      </c>
      <c r="Q198" s="6">
        <f ca="1">RANDBETWEEN(2,COUNTA('Recruitment source'!$A:$A))</f>
        <v>4</v>
      </c>
      <c r="R198" s="8" t="e">
        <f t="shared" ca="1" si="45"/>
        <v>#N/A</v>
      </c>
      <c r="S198" s="6" t="e">
        <f t="shared" ca="1" si="46"/>
        <v>#N/A</v>
      </c>
      <c r="T198" s="6">
        <f t="shared" ca="1" si="36"/>
        <v>4</v>
      </c>
      <c r="U198" s="1">
        <f t="shared" ca="1" si="47"/>
        <v>805</v>
      </c>
    </row>
    <row r="199" spans="1:21" x14ac:dyDescent="0.2">
      <c r="A199" s="7" cm="1">
        <f t="array" aca="1" ref="A199" ca="1">INDEX(Companies!$A:$A,RANDBETWEEN(2,COUNTA(Companies!$A:$A)),1)</f>
        <v>2</v>
      </c>
      <c r="B199" s="5">
        <f t="shared" si="37"/>
        <v>198</v>
      </c>
      <c r="C199" s="6">
        <f t="shared" ca="1" si="38"/>
        <v>1</v>
      </c>
      <c r="D199" s="7">
        <f ca="1">IF($B199 = 1 + N("Presidente"),
    127,
    IF($B199 = 2 + N("Vice-Presidente"),
        72,
        IF($B199 = 3 + N("Secretária bilíngue"),
            13,
            RANDBETWEEN(5,COUNT(Name!$A:$A) + 1)
        )
    )
)</f>
        <v>339</v>
      </c>
      <c r="E199" s="7" t="str">
        <f ca="1" xml:space="preserve">
VLOOKUP(
  $D199,
  Name!$A:$B,
  2,
  FALSE
)
&amp; " " &amp;
IF($B199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Sophie Dantas Pinto</v>
      </c>
      <c r="F199" s="7">
        <v>2</v>
      </c>
      <c r="G199" s="7" cm="1">
        <f t="array" aca="1" ref="G199" ca="1">INDEX(States!$B:$B,RANDBETWEEN(2,COUNTA(States!$A:$A)),1)</f>
        <v>5</v>
      </c>
      <c r="H199" s="7" t="str">
        <f ca="1">VLOOKUP($D199,Name!$A:$C,3,FALSE)</f>
        <v>F</v>
      </c>
      <c r="I199" s="7" cm="1">
        <f t="array" aca="1" ref="I199" ca="1">INDEX('Marital status'!$A:$A,RANDBETWEEN(2,COUNTA('Marital status'!$A:$A)),1)</f>
        <v>5</v>
      </c>
      <c r="J199" s="7">
        <f t="shared" ca="1" si="39"/>
        <v>2</v>
      </c>
      <c r="K199" s="8">
        <f t="shared" ca="1" si="40"/>
        <v>33029</v>
      </c>
      <c r="L199" s="6">
        <f t="shared" ca="1" si="41"/>
        <v>4</v>
      </c>
      <c r="M199" s="7">
        <f ca="1" xml:space="preserve">
  IF(OR($N199 = 2, $N199 = 3, $N199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99" s="6">
        <f t="shared" ca="1" si="42"/>
        <v>8</v>
      </c>
      <c r="O199" s="6">
        <f t="shared" ca="1" si="43"/>
        <v>4</v>
      </c>
      <c r="P199" s="8">
        <f t="shared" ca="1" si="44"/>
        <v>42245</v>
      </c>
      <c r="Q199" s="6">
        <f ca="1">RANDBETWEEN(2,COUNTA('Recruitment source'!$A:$A))</f>
        <v>2</v>
      </c>
      <c r="R199" s="8" t="e">
        <f t="shared" ca="1" si="45"/>
        <v>#N/A</v>
      </c>
      <c r="S199" s="6" t="e">
        <f t="shared" ca="1" si="46"/>
        <v>#N/A</v>
      </c>
      <c r="T199" s="6">
        <f t="shared" ca="1" si="36"/>
        <v>3</v>
      </c>
      <c r="U199" s="1">
        <f t="shared" ca="1" si="47"/>
        <v>2000</v>
      </c>
    </row>
    <row r="200" spans="1:21" x14ac:dyDescent="0.2">
      <c r="A200" s="7" cm="1">
        <f t="array" aca="1" ref="A200" ca="1">INDEX(Companies!$A:$A,RANDBETWEEN(2,COUNTA(Companies!$A:$A)),1)</f>
        <v>2</v>
      </c>
      <c r="B200" s="5">
        <f t="shared" si="37"/>
        <v>199</v>
      </c>
      <c r="C200" s="6">
        <f t="shared" ca="1" si="38"/>
        <v>1</v>
      </c>
      <c r="D200" s="7">
        <f ca="1">IF($B200 = 1 + N("Presidente"),
    127,
    IF($B200 = 2 + N("Vice-Presidente"),
        72,
        IF($B200 = 3 + N("Secretária bilíngue"),
            13,
            RANDBETWEEN(5,COUNT(Name!$A:$A) + 1)
        )
    )
)</f>
        <v>331</v>
      </c>
      <c r="E200" s="7" t="str">
        <f ca="1" xml:space="preserve">
VLOOKUP(
  $D200,
  Name!$A:$B,
  2,
  FALSE
)
&amp; " " &amp;
IF($B200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Renato Caminha Auth</v>
      </c>
      <c r="F200" s="7">
        <v>2</v>
      </c>
      <c r="G200" s="7" cm="1">
        <f t="array" aca="1" ref="G200" ca="1">INDEX(States!$B:$B,RANDBETWEEN(2,COUNTA(States!$A:$A)),1)</f>
        <v>9</v>
      </c>
      <c r="H200" s="7" t="str">
        <f ca="1">VLOOKUP($D200,Name!$A:$C,3,FALSE)</f>
        <v>M</v>
      </c>
      <c r="I200" s="7" cm="1">
        <f t="array" aca="1" ref="I200" ca="1">INDEX('Marital status'!$A:$A,RANDBETWEEN(2,COUNTA('Marital status'!$A:$A)),1)</f>
        <v>4</v>
      </c>
      <c r="J200" s="7">
        <f t="shared" ca="1" si="39"/>
        <v>2</v>
      </c>
      <c r="K200" s="8">
        <f t="shared" ca="1" si="40"/>
        <v>32355</v>
      </c>
      <c r="L200" s="6">
        <f t="shared" ca="1" si="41"/>
        <v>4</v>
      </c>
      <c r="M200" s="7">
        <f ca="1" xml:space="preserve">
  IF(OR($N200 = 2, $N200 = 3, $N200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200" s="6">
        <f t="shared" ca="1" si="42"/>
        <v>7</v>
      </c>
      <c r="O200" s="6" t="e">
        <f t="shared" ca="1" si="43"/>
        <v>#N/A</v>
      </c>
      <c r="P200" s="8">
        <f t="shared" ca="1" si="44"/>
        <v>41320</v>
      </c>
      <c r="Q200" s="6">
        <f ca="1">RANDBETWEEN(2,COUNTA('Recruitment source'!$A:$A))</f>
        <v>4</v>
      </c>
      <c r="R200" s="8" t="e">
        <f t="shared" ca="1" si="45"/>
        <v>#N/A</v>
      </c>
      <c r="S200" s="6" t="e">
        <f t="shared" ca="1" si="46"/>
        <v>#N/A</v>
      </c>
      <c r="T200" s="6">
        <f t="shared" ca="1" si="36"/>
        <v>3</v>
      </c>
      <c r="U200" s="1">
        <f t="shared" ca="1" si="47"/>
        <v>1005</v>
      </c>
    </row>
    <row r="201" spans="1:21" x14ac:dyDescent="0.2">
      <c r="A201" s="7" cm="1">
        <f t="array" aca="1" ref="A201" ca="1">INDEX(Companies!$A:$A,RANDBETWEEN(2,COUNTA(Companies!$A:$A)),1)</f>
        <v>2</v>
      </c>
      <c r="B201" s="5">
        <f t="shared" si="37"/>
        <v>200</v>
      </c>
      <c r="C201" s="6">
        <f t="shared" ca="1" si="38"/>
        <v>1</v>
      </c>
      <c r="D201" s="7">
        <f ca="1">IF($B201 = 1 + N("Presidente"),
    127,
    IF($B201 = 2 + N("Vice-Presidente"),
        72,
        IF($B201 = 3 + N("Secretária bilíngue"),
            13,
            RANDBETWEEN(5,COUNT(Name!$A:$A) + 1)
        )
    )
)</f>
        <v>159</v>
      </c>
      <c r="E201" s="7" t="str">
        <f ca="1" xml:space="preserve">
VLOOKUP(
  $D201,
  Name!$A:$B,
  2,
  FALSE
)
&amp; " " &amp;
IF($B201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Gustavo Luz Evangelista</v>
      </c>
      <c r="F201" s="7">
        <v>2</v>
      </c>
      <c r="G201" s="7" cm="1">
        <f t="array" aca="1" ref="G201" ca="1">INDEX(States!$B:$B,RANDBETWEEN(2,COUNTA(States!$A:$A)),1)</f>
        <v>21</v>
      </c>
      <c r="H201" s="7" t="str">
        <f ca="1">VLOOKUP($D201,Name!$A:$C,3,FALSE)</f>
        <v>M</v>
      </c>
      <c r="I201" s="7" cm="1">
        <f t="array" aca="1" ref="I201" ca="1">INDEX('Marital status'!$A:$A,RANDBETWEEN(2,COUNTA('Marital status'!$A:$A)),1)</f>
        <v>5</v>
      </c>
      <c r="J201" s="7">
        <f t="shared" ca="1" si="39"/>
        <v>2</v>
      </c>
      <c r="K201" s="8">
        <f t="shared" ca="1" si="40"/>
        <v>37188</v>
      </c>
      <c r="L201" s="6">
        <f t="shared" ca="1" si="41"/>
        <v>4</v>
      </c>
      <c r="M201" s="7">
        <f ca="1" xml:space="preserve">
  IF(OR($N201 = 2, $N201 = 3, $N201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201" s="6">
        <f t="shared" ca="1" si="42"/>
        <v>8</v>
      </c>
      <c r="O201" s="6">
        <f t="shared" ca="1" si="43"/>
        <v>4</v>
      </c>
      <c r="P201" s="8">
        <f t="shared" ca="1" si="44"/>
        <v>40004</v>
      </c>
      <c r="Q201" s="6">
        <f ca="1">RANDBETWEEN(2,COUNTA('Recruitment source'!$A:$A))</f>
        <v>6</v>
      </c>
      <c r="R201" s="8" t="e">
        <f t="shared" ca="1" si="45"/>
        <v>#N/A</v>
      </c>
      <c r="S201" s="6" t="e">
        <f t="shared" ca="1" si="46"/>
        <v>#N/A</v>
      </c>
      <c r="T201" s="6">
        <f t="shared" ca="1" si="36"/>
        <v>3</v>
      </c>
      <c r="U201" s="1">
        <f t="shared" ca="1" si="47"/>
        <v>2000</v>
      </c>
    </row>
    <row r="202" spans="1:21" x14ac:dyDescent="0.2">
      <c r="A202" s="7" cm="1">
        <f t="array" aca="1" ref="A202" ca="1">INDEX(Companies!$A:$A,RANDBETWEEN(2,COUNTA(Companies!$A:$A)),1)</f>
        <v>2</v>
      </c>
      <c r="B202" s="5">
        <f t="shared" si="37"/>
        <v>201</v>
      </c>
      <c r="C202" s="6">
        <f t="shared" ca="1" si="38"/>
        <v>1</v>
      </c>
      <c r="D202" s="7">
        <f ca="1">IF($B202 = 1 + N("Presidente"),
    127,
    IF($B202 = 2 + N("Vice-Presidente"),
        72,
        IF($B202 = 3 + N("Secretária bilíngue"),
            13,
            RANDBETWEEN(5,COUNT(Name!$A:$A) + 1)
        )
    )
)</f>
        <v>176</v>
      </c>
      <c r="E202" s="7" t="str">
        <f ca="1" xml:space="preserve">
VLOOKUP(
  $D202,
  Name!$A:$B,
  2,
  FALSE
)
&amp; " " &amp;
IF($B202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Isabelle Castro Figo</v>
      </c>
      <c r="F202" s="7">
        <v>2</v>
      </c>
      <c r="G202" s="7" cm="1">
        <f t="array" aca="1" ref="G202" ca="1">INDEX(States!$B:$B,RANDBETWEEN(2,COUNTA(States!$A:$A)),1)</f>
        <v>3</v>
      </c>
      <c r="H202" s="7" t="str">
        <f ca="1">VLOOKUP($D202,Name!$A:$C,3,FALSE)</f>
        <v>F</v>
      </c>
      <c r="I202" s="7" cm="1">
        <f t="array" aca="1" ref="I202" ca="1">INDEX('Marital status'!$A:$A,RANDBETWEEN(2,COUNTA('Marital status'!$A:$A)),1)</f>
        <v>4</v>
      </c>
      <c r="J202" s="7">
        <f t="shared" ca="1" si="39"/>
        <v>2</v>
      </c>
      <c r="K202" s="8">
        <f t="shared" ca="1" si="40"/>
        <v>35834</v>
      </c>
      <c r="L202" s="6">
        <f t="shared" ca="1" si="41"/>
        <v>4</v>
      </c>
      <c r="M202" s="7">
        <f ca="1" xml:space="preserve">
  IF(OR($N202 = 2, $N202 = 3, $N202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202" s="6">
        <f t="shared" ca="1" si="42"/>
        <v>7</v>
      </c>
      <c r="O202" s="6" t="e">
        <f t="shared" ca="1" si="43"/>
        <v>#N/A</v>
      </c>
      <c r="P202" s="8">
        <f t="shared" ca="1" si="44"/>
        <v>43580</v>
      </c>
      <c r="Q202" s="6">
        <f ca="1">RANDBETWEEN(2,COUNTA('Recruitment source'!$A:$A))</f>
        <v>12</v>
      </c>
      <c r="R202" s="8" t="e">
        <f t="shared" ca="1" si="45"/>
        <v>#N/A</v>
      </c>
      <c r="S202" s="6" t="e">
        <f t="shared" ca="1" si="46"/>
        <v>#N/A</v>
      </c>
      <c r="T202" s="6">
        <f t="shared" ca="1" si="36"/>
        <v>5</v>
      </c>
      <c r="U202" s="1">
        <f t="shared" ca="1" si="47"/>
        <v>1005</v>
      </c>
    </row>
    <row r="203" spans="1:21" x14ac:dyDescent="0.2">
      <c r="A203" s="7" cm="1">
        <f t="array" aca="1" ref="A203" ca="1">INDEX(Companies!$A:$A,RANDBETWEEN(2,COUNTA(Companies!$A:$A)),1)</f>
        <v>2</v>
      </c>
      <c r="B203" s="5">
        <f t="shared" si="37"/>
        <v>202</v>
      </c>
      <c r="C203" s="6">
        <f t="shared" ca="1" si="38"/>
        <v>1</v>
      </c>
      <c r="D203" s="7">
        <f ca="1">IF($B203 = 1 + N("Presidente"),
    127,
    IF($B203 = 2 + N("Vice-Presidente"),
        72,
        IF($B203 = 3 + N("Secretária bilíngue"),
            13,
            RANDBETWEEN(5,COUNT(Name!$A:$A) + 1)
        )
    )
)</f>
        <v>134</v>
      </c>
      <c r="E203" s="7" t="str">
        <f ca="1" xml:space="preserve">
VLOOKUP(
  $D203,
  Name!$A:$B,
  2,
  FALSE
)
&amp; " " &amp;
IF($B203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Eva Sousa Pinheiro</v>
      </c>
      <c r="F203" s="7">
        <v>2</v>
      </c>
      <c r="G203" s="7" cm="1">
        <f t="array" aca="1" ref="G203" ca="1">INDEX(States!$B:$B,RANDBETWEEN(2,COUNTA(States!$A:$A)),1)</f>
        <v>16</v>
      </c>
      <c r="H203" s="7" t="str">
        <f ca="1">VLOOKUP($D203,Name!$A:$C,3,FALSE)</f>
        <v>F</v>
      </c>
      <c r="I203" s="7" cm="1">
        <f t="array" aca="1" ref="I203" ca="1">INDEX('Marital status'!$A:$A,RANDBETWEEN(2,COUNTA('Marital status'!$A:$A)),1)</f>
        <v>3</v>
      </c>
      <c r="J203" s="7">
        <f t="shared" ca="1" si="39"/>
        <v>3</v>
      </c>
      <c r="K203" s="8">
        <f t="shared" ca="1" si="40"/>
        <v>36308</v>
      </c>
      <c r="L203" s="6">
        <f t="shared" ca="1" si="41"/>
        <v>5</v>
      </c>
      <c r="M203" s="7">
        <f ca="1" xml:space="preserve">
  IF(OR($N203 = 2, $N203 = 3, $N203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203" s="6">
        <f t="shared" ca="1" si="42"/>
        <v>8</v>
      </c>
      <c r="O203" s="6">
        <f t="shared" ca="1" si="43"/>
        <v>2</v>
      </c>
      <c r="P203" s="8">
        <f t="shared" ca="1" si="44"/>
        <v>38730</v>
      </c>
      <c r="Q203" s="6">
        <f ca="1">RANDBETWEEN(2,COUNTA('Recruitment source'!$A:$A))</f>
        <v>5</v>
      </c>
      <c r="R203" s="8" t="e">
        <f t="shared" ca="1" si="45"/>
        <v>#N/A</v>
      </c>
      <c r="S203" s="6" t="e">
        <f t="shared" ca="1" si="46"/>
        <v>#N/A</v>
      </c>
      <c r="T203" s="6">
        <f t="shared" ca="1" si="36"/>
        <v>3</v>
      </c>
      <c r="U203" s="1">
        <f t="shared" ca="1" si="47"/>
        <v>2000</v>
      </c>
    </row>
    <row r="204" spans="1:21" x14ac:dyDescent="0.2">
      <c r="A204" s="7" cm="1">
        <f t="array" aca="1" ref="A204" ca="1">INDEX(Companies!$A:$A,RANDBETWEEN(2,COUNTA(Companies!$A:$A)),1)</f>
        <v>2</v>
      </c>
      <c r="B204" s="5">
        <f t="shared" si="37"/>
        <v>203</v>
      </c>
      <c r="C204" s="6">
        <f t="shared" ca="1" si="38"/>
        <v>1</v>
      </c>
      <c r="D204" s="7">
        <f ca="1">IF($B204 = 1 + N("Presidente"),
    127,
    IF($B204 = 2 + N("Vice-Presidente"),
        72,
        IF($B204 = 3 + N("Secretária bilíngue"),
            13,
            RANDBETWEEN(5,COUNT(Name!$A:$A) + 1)
        )
    )
)</f>
        <v>285</v>
      </c>
      <c r="E204" s="7" t="str">
        <f ca="1" xml:space="preserve">
VLOOKUP(
  $D204,
  Name!$A:$B,
  2,
  FALSE
)
&amp; " " &amp;
IF($B204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Martin Silva Melo</v>
      </c>
      <c r="F204" s="7">
        <v>2</v>
      </c>
      <c r="G204" s="7" cm="1">
        <f t="array" aca="1" ref="G204" ca="1">INDEX(States!$B:$B,RANDBETWEEN(2,COUNTA(States!$A:$A)),1)</f>
        <v>19</v>
      </c>
      <c r="H204" s="7" t="str">
        <f ca="1">VLOOKUP($D204,Name!$A:$C,3,FALSE)</f>
        <v>M</v>
      </c>
      <c r="I204" s="7" cm="1">
        <f t="array" aca="1" ref="I204" ca="1">INDEX('Marital status'!$A:$A,RANDBETWEEN(2,COUNTA('Marital status'!$A:$A)),1)</f>
        <v>2</v>
      </c>
      <c r="J204" s="7">
        <f t="shared" ca="1" si="39"/>
        <v>2</v>
      </c>
      <c r="K204" s="8">
        <f t="shared" ca="1" si="40"/>
        <v>17777</v>
      </c>
      <c r="L204" s="6">
        <f t="shared" ca="1" si="41"/>
        <v>4</v>
      </c>
      <c r="M204" s="7">
        <f ca="1" xml:space="preserve">
  IF(OR($N204 = 2, $N204 = 3, $N204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204" s="6">
        <f t="shared" ca="1" si="42"/>
        <v>6</v>
      </c>
      <c r="O204" s="6" t="e">
        <f t="shared" ca="1" si="43"/>
        <v>#N/A</v>
      </c>
      <c r="P204" s="8">
        <f t="shared" ca="1" si="44"/>
        <v>43830</v>
      </c>
      <c r="Q204" s="6">
        <f ca="1">RANDBETWEEN(2,COUNTA('Recruitment source'!$A:$A))</f>
        <v>5</v>
      </c>
      <c r="R204" s="8" t="e">
        <f t="shared" ca="1" si="45"/>
        <v>#N/A</v>
      </c>
      <c r="S204" s="6" t="e">
        <f t="shared" ca="1" si="46"/>
        <v>#N/A</v>
      </c>
      <c r="T204" s="6">
        <f t="shared" ca="1" si="36"/>
        <v>3</v>
      </c>
      <c r="U204" s="1">
        <f t="shared" ca="1" si="47"/>
        <v>805</v>
      </c>
    </row>
    <row r="205" spans="1:21" x14ac:dyDescent="0.2">
      <c r="A205" s="7" cm="1">
        <f t="array" aca="1" ref="A205" ca="1">INDEX(Companies!$A:$A,RANDBETWEEN(2,COUNTA(Companies!$A:$A)),1)</f>
        <v>2</v>
      </c>
      <c r="B205" s="5">
        <f t="shared" si="37"/>
        <v>204</v>
      </c>
      <c r="C205" s="6">
        <f t="shared" ca="1" si="38"/>
        <v>1</v>
      </c>
      <c r="D205" s="7">
        <f ca="1">IF($B205 = 1 + N("Presidente"),
    127,
    IF($B205 = 2 + N("Vice-Presidente"),
        72,
        IF($B205 = 3 + N("Secretária bilíngue"),
            13,
            RANDBETWEEN(5,COUNT(Name!$A:$A) + 1)
        )
    )
)</f>
        <v>123</v>
      </c>
      <c r="E205" s="7" t="str">
        <f ca="1" xml:space="preserve">
VLOOKUP(
  $D205,
  Name!$A:$B,
  2,
  FALSE
)
&amp; " " &amp;
IF($B205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Emanuelly sobrenome Abranches</v>
      </c>
      <c r="F205" s="7">
        <v>2</v>
      </c>
      <c r="G205" s="7" cm="1">
        <f t="array" aca="1" ref="G205" ca="1">INDEX(States!$B:$B,RANDBETWEEN(2,COUNTA(States!$A:$A)),1)</f>
        <v>7</v>
      </c>
      <c r="H205" s="7" t="str">
        <f ca="1">VLOOKUP($D205,Name!$A:$C,3,FALSE)</f>
        <v>F</v>
      </c>
      <c r="I205" s="7" cm="1">
        <f t="array" aca="1" ref="I205" ca="1">INDEX('Marital status'!$A:$A,RANDBETWEEN(2,COUNTA('Marital status'!$A:$A)),1)</f>
        <v>6</v>
      </c>
      <c r="J205" s="7">
        <f t="shared" ca="1" si="39"/>
        <v>2</v>
      </c>
      <c r="K205" s="8">
        <f t="shared" ca="1" si="40"/>
        <v>34650</v>
      </c>
      <c r="L205" s="6">
        <f t="shared" ca="1" si="41"/>
        <v>4</v>
      </c>
      <c r="M205" s="7">
        <f ca="1" xml:space="preserve">
  IF(OR($N205 = 2, $N205 = 3, $N205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205" s="6">
        <f t="shared" ca="1" si="42"/>
        <v>8</v>
      </c>
      <c r="O205" s="6">
        <f t="shared" ca="1" si="43"/>
        <v>4</v>
      </c>
      <c r="P205" s="8">
        <f t="shared" ca="1" si="44"/>
        <v>41717</v>
      </c>
      <c r="Q205" s="6">
        <f ca="1">RANDBETWEEN(2,COUNTA('Recruitment source'!$A:$A))</f>
        <v>4</v>
      </c>
      <c r="R205" s="8" t="e">
        <f t="shared" ca="1" si="45"/>
        <v>#N/A</v>
      </c>
      <c r="S205" s="6" t="e">
        <f t="shared" ca="1" si="46"/>
        <v>#N/A</v>
      </c>
      <c r="T205" s="6">
        <f t="shared" ca="1" si="36"/>
        <v>5</v>
      </c>
      <c r="U205" s="1">
        <f t="shared" ca="1" si="47"/>
        <v>2000</v>
      </c>
    </row>
    <row r="206" spans="1:21" x14ac:dyDescent="0.2">
      <c r="A206" s="7" cm="1">
        <f t="array" aca="1" ref="A206" ca="1">INDEX(Companies!$A:$A,RANDBETWEEN(2,COUNTA(Companies!$A:$A)),1)</f>
        <v>2</v>
      </c>
      <c r="B206" s="5">
        <f t="shared" si="37"/>
        <v>205</v>
      </c>
      <c r="C206" s="6">
        <f t="shared" ca="1" si="38"/>
        <v>1</v>
      </c>
      <c r="D206" s="7">
        <f ca="1">IF($B206 = 1 + N("Presidente"),
    127,
    IF($B206 = 2 + N("Vice-Presidente"),
        72,
        IF($B206 = 3 + N("Secretária bilíngue"),
            13,
            RANDBETWEEN(5,COUNT(Name!$A:$A) + 1)
        )
    )
)</f>
        <v>295</v>
      </c>
      <c r="E206" s="7" t="str">
        <f ca="1" xml:space="preserve">
VLOOKUP(
  $D206,
  Name!$A:$B,
  2,
  FALSE
)
&amp; " " &amp;
IF($B206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 Braga Rodrigues</v>
      </c>
      <c r="F206" s="7">
        <v>2</v>
      </c>
      <c r="G206" s="7" cm="1">
        <f t="array" aca="1" ref="G206" ca="1">INDEX(States!$B:$B,RANDBETWEEN(2,COUNTA(States!$A:$A)),1)</f>
        <v>4</v>
      </c>
      <c r="H206" s="7" t="str">
        <f ca="1">VLOOKUP($D206,Name!$A:$C,3,FALSE)</f>
        <v>M</v>
      </c>
      <c r="I206" s="7" cm="1">
        <f t="array" aca="1" ref="I206" ca="1">INDEX('Marital status'!$A:$A,RANDBETWEEN(2,COUNTA('Marital status'!$A:$A)),1)</f>
        <v>4</v>
      </c>
      <c r="J206" s="7">
        <f t="shared" ca="1" si="39"/>
        <v>2</v>
      </c>
      <c r="K206" s="8">
        <f t="shared" ca="1" si="40"/>
        <v>29528</v>
      </c>
      <c r="L206" s="6">
        <f t="shared" ca="1" si="41"/>
        <v>4</v>
      </c>
      <c r="M206" s="7">
        <f ca="1" xml:space="preserve">
  IF(OR($N206 = 2, $N206 = 3, $N206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206" s="6">
        <f t="shared" ca="1" si="42"/>
        <v>7</v>
      </c>
      <c r="O206" s="6" t="e">
        <f t="shared" ca="1" si="43"/>
        <v>#N/A</v>
      </c>
      <c r="P206" s="8">
        <f t="shared" ca="1" si="44"/>
        <v>42754</v>
      </c>
      <c r="Q206" s="6">
        <f ca="1">RANDBETWEEN(2,COUNTA('Recruitment source'!$A:$A))</f>
        <v>8</v>
      </c>
      <c r="R206" s="8" t="e">
        <f t="shared" ca="1" si="45"/>
        <v>#N/A</v>
      </c>
      <c r="S206" s="6" t="e">
        <f t="shared" ca="1" si="46"/>
        <v>#N/A</v>
      </c>
      <c r="T206" s="6">
        <f t="shared" ca="1" si="36"/>
        <v>3</v>
      </c>
      <c r="U206" s="1">
        <f t="shared" ca="1" si="47"/>
        <v>1085</v>
      </c>
    </row>
    <row r="207" spans="1:21" x14ac:dyDescent="0.2">
      <c r="A207" s="7" cm="1">
        <f t="array" aca="1" ref="A207" ca="1">INDEX(Companies!$A:$A,RANDBETWEEN(2,COUNTA(Companies!$A:$A)),1)</f>
        <v>2</v>
      </c>
      <c r="B207" s="5">
        <f t="shared" si="37"/>
        <v>206</v>
      </c>
      <c r="C207" s="6">
        <f t="shared" ca="1" si="38"/>
        <v>1</v>
      </c>
      <c r="D207" s="7">
        <f ca="1">IF($B207 = 1 + N("Presidente"),
    127,
    IF($B207 = 2 + N("Vice-Presidente"),
        72,
        IF($B207 = 3 + N("Secretária bilíngue"),
            13,
            RANDBETWEEN(5,COUNT(Name!$A:$A) + 1)
        )
    )
)</f>
        <v>184</v>
      </c>
      <c r="E207" s="7" t="str">
        <f ca="1" xml:space="preserve">
VLOOKUP(
  $D207,
  Name!$A:$B,
  2,
  FALSE
)
&amp; " " &amp;
IF($B207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Joanna Tavarez Ildelfonso</v>
      </c>
      <c r="F207" s="7">
        <v>2</v>
      </c>
      <c r="G207" s="7" cm="1">
        <f t="array" aca="1" ref="G207" ca="1">INDEX(States!$B:$B,RANDBETWEEN(2,COUNTA(States!$A:$A)),1)</f>
        <v>9</v>
      </c>
      <c r="H207" s="7" t="str">
        <f ca="1">VLOOKUP($D207,Name!$A:$C,3,FALSE)</f>
        <v>F</v>
      </c>
      <c r="I207" s="7" cm="1">
        <f t="array" aca="1" ref="I207" ca="1">INDEX('Marital status'!$A:$A,RANDBETWEEN(2,COUNTA('Marital status'!$A:$A)),1)</f>
        <v>3</v>
      </c>
      <c r="J207" s="7">
        <f t="shared" ca="1" si="39"/>
        <v>2</v>
      </c>
      <c r="K207" s="8">
        <f t="shared" ca="1" si="40"/>
        <v>36126</v>
      </c>
      <c r="L207" s="6">
        <f t="shared" ca="1" si="41"/>
        <v>5</v>
      </c>
      <c r="M207" s="7">
        <f ca="1" xml:space="preserve">
  IF(OR($N207 = 2, $N207 = 3, $N207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207" s="6">
        <f t="shared" ca="1" si="42"/>
        <v>8</v>
      </c>
      <c r="O207" s="6">
        <f t="shared" ca="1" si="43"/>
        <v>2</v>
      </c>
      <c r="P207" s="8">
        <f t="shared" ca="1" si="44"/>
        <v>36687</v>
      </c>
      <c r="Q207" s="6">
        <f ca="1">RANDBETWEEN(2,COUNTA('Recruitment source'!$A:$A))</f>
        <v>12</v>
      </c>
      <c r="R207" s="8" t="e">
        <f t="shared" ca="1" si="45"/>
        <v>#N/A</v>
      </c>
      <c r="S207" s="6" t="e">
        <f t="shared" ca="1" si="46"/>
        <v>#N/A</v>
      </c>
      <c r="T207" s="6">
        <f t="shared" ca="1" si="36"/>
        <v>4</v>
      </c>
      <c r="U207" s="1">
        <f t="shared" ca="1" si="47"/>
        <v>2000</v>
      </c>
    </row>
    <row r="208" spans="1:21" x14ac:dyDescent="0.2">
      <c r="A208" s="7" cm="1">
        <f t="array" aca="1" ref="A208" ca="1">INDEX(Companies!$A:$A,RANDBETWEEN(2,COUNTA(Companies!$A:$A)),1)</f>
        <v>2</v>
      </c>
      <c r="B208" s="5">
        <f t="shared" si="37"/>
        <v>207</v>
      </c>
      <c r="C208" s="6">
        <f t="shared" ca="1" si="38"/>
        <v>1</v>
      </c>
      <c r="D208" s="7">
        <f ca="1">IF($B208 = 1 + N("Presidente"),
    127,
    IF($B208 = 2 + N("Vice-Presidente"),
        72,
        IF($B208 = 3 + N("Secretária bilíngue"),
            13,
            RANDBETWEEN(5,COUNT(Name!$A:$A) + 1)
        )
    )
)</f>
        <v>267</v>
      </c>
      <c r="E208" s="7" t="str">
        <f ca="1" xml:space="preserve">
VLOOKUP(
  $D208,
  Name!$A:$B,
  2,
  FALSE
)
&amp; " " &amp;
IF($B208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Heloísa Pimentel Leitão</v>
      </c>
      <c r="F208" s="7">
        <v>2</v>
      </c>
      <c r="G208" s="7" cm="1">
        <f t="array" aca="1" ref="G208" ca="1">INDEX(States!$B:$B,RANDBETWEEN(2,COUNTA(States!$A:$A)),1)</f>
        <v>3</v>
      </c>
      <c r="H208" s="7" t="str">
        <f ca="1">VLOOKUP($D208,Name!$A:$C,3,FALSE)</f>
        <v>F</v>
      </c>
      <c r="I208" s="7" cm="1">
        <f t="array" aca="1" ref="I208" ca="1">INDEX('Marital status'!$A:$A,RANDBETWEEN(2,COUNTA('Marital status'!$A:$A)),1)</f>
        <v>4</v>
      </c>
      <c r="J208" s="7">
        <f t="shared" ca="1" si="39"/>
        <v>2</v>
      </c>
      <c r="K208" s="8">
        <f t="shared" ca="1" si="40"/>
        <v>19262</v>
      </c>
      <c r="L208" s="6">
        <f t="shared" ca="1" si="41"/>
        <v>4</v>
      </c>
      <c r="M208" s="7">
        <f ca="1" xml:space="preserve">
  IF(OR($N208 = 2, $N208 = 3, $N208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208" s="6">
        <f t="shared" ca="1" si="42"/>
        <v>6</v>
      </c>
      <c r="O208" s="6" t="e">
        <f t="shared" ca="1" si="43"/>
        <v>#N/A</v>
      </c>
      <c r="P208" s="8">
        <f t="shared" ca="1" si="44"/>
        <v>42809</v>
      </c>
      <c r="Q208" s="6">
        <f ca="1">RANDBETWEEN(2,COUNTA('Recruitment source'!$A:$A))</f>
        <v>9</v>
      </c>
      <c r="R208" s="8" t="e">
        <f t="shared" ca="1" si="45"/>
        <v>#N/A</v>
      </c>
      <c r="S208" s="6" t="e">
        <f t="shared" ca="1" si="46"/>
        <v>#N/A</v>
      </c>
      <c r="T208" s="6">
        <f t="shared" ca="1" si="36"/>
        <v>3</v>
      </c>
      <c r="U208" s="1">
        <f t="shared" ca="1" si="47"/>
        <v>805</v>
      </c>
    </row>
    <row r="209" spans="1:21" x14ac:dyDescent="0.2">
      <c r="A209" s="7" cm="1">
        <f t="array" aca="1" ref="A209" ca="1">INDEX(Companies!$A:$A,RANDBETWEEN(2,COUNTA(Companies!$A:$A)),1)</f>
        <v>2</v>
      </c>
      <c r="B209" s="5">
        <f t="shared" si="37"/>
        <v>208</v>
      </c>
      <c r="C209" s="6">
        <f t="shared" ca="1" si="38"/>
        <v>1</v>
      </c>
      <c r="D209" s="7">
        <f ca="1">IF($B209 = 1 + N("Presidente"),
    127,
    IF($B209 = 2 + N("Vice-Presidente"),
        72,
        IF($B209 = 3 + N("Secretária bilíngue"),
            13,
            RANDBETWEEN(5,COUNT(Name!$A:$A) + 1)
        )
    )
)</f>
        <v>218</v>
      </c>
      <c r="E209" s="7" t="str">
        <f ca="1" xml:space="preserve">
VLOOKUP(
  $D209,
  Name!$A:$B,
  2,
  FALSE
)
&amp; " " &amp;
IF($B209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Larisa Morais Galli</v>
      </c>
      <c r="F209" s="7">
        <v>2</v>
      </c>
      <c r="G209" s="7" cm="1">
        <f t="array" aca="1" ref="G209" ca="1">INDEX(States!$B:$B,RANDBETWEEN(2,COUNTA(States!$A:$A)),1)</f>
        <v>11</v>
      </c>
      <c r="H209" s="7" t="str">
        <f ca="1">VLOOKUP($D209,Name!$A:$C,3,FALSE)</f>
        <v>F</v>
      </c>
      <c r="I209" s="7" cm="1">
        <f t="array" aca="1" ref="I209" ca="1">INDEX('Marital status'!$A:$A,RANDBETWEEN(2,COUNTA('Marital status'!$A:$A)),1)</f>
        <v>2</v>
      </c>
      <c r="J209" s="7">
        <f t="shared" ca="1" si="39"/>
        <v>5</v>
      </c>
      <c r="K209" s="8">
        <f t="shared" ca="1" si="40"/>
        <v>34230</v>
      </c>
      <c r="L209" s="6">
        <f t="shared" ca="1" si="41"/>
        <v>4</v>
      </c>
      <c r="M209" s="7">
        <f ca="1" xml:space="preserve">
  IF(OR($N209 = 2, $N209 = 3, $N209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209" s="6">
        <f t="shared" ca="1" si="42"/>
        <v>8</v>
      </c>
      <c r="O209" s="6">
        <f t="shared" ca="1" si="43"/>
        <v>3</v>
      </c>
      <c r="P209" s="8">
        <f t="shared" ca="1" si="44"/>
        <v>38443</v>
      </c>
      <c r="Q209" s="6">
        <f ca="1">RANDBETWEEN(2,COUNTA('Recruitment source'!$A:$A))</f>
        <v>9</v>
      </c>
      <c r="R209" s="8" t="e">
        <f t="shared" ca="1" si="45"/>
        <v>#N/A</v>
      </c>
      <c r="S209" s="6" t="e">
        <f t="shared" ca="1" si="46"/>
        <v>#N/A</v>
      </c>
      <c r="T209" s="6">
        <f t="shared" ca="1" si="36"/>
        <v>4</v>
      </c>
      <c r="U209" s="1">
        <f t="shared" ca="1" si="47"/>
        <v>2080</v>
      </c>
    </row>
    <row r="210" spans="1:21" x14ac:dyDescent="0.2">
      <c r="A210" s="7" cm="1">
        <f t="array" aca="1" ref="A210" ca="1">INDEX(Companies!$A:$A,RANDBETWEEN(2,COUNTA(Companies!$A:$A)),1)</f>
        <v>2</v>
      </c>
      <c r="B210" s="5">
        <f t="shared" si="37"/>
        <v>209</v>
      </c>
      <c r="C210" s="6">
        <f t="shared" ca="1" si="38"/>
        <v>1</v>
      </c>
      <c r="D210" s="7">
        <f ca="1">IF($B210 = 1 + N("Presidente"),
    127,
    IF($B210 = 2 + N("Vice-Presidente"),
        72,
        IF($B210 = 3 + N("Secretária bilíngue"),
            13,
            RANDBETWEEN(5,COUNT(Name!$A:$A) + 1)
        )
    )
)</f>
        <v>189</v>
      </c>
      <c r="E210" s="7" t="str">
        <f ca="1" xml:space="preserve">
VLOOKUP(
  $D210,
  Name!$A:$B,
  2,
  FALSE
)
&amp; " " &amp;
IF($B210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Luccas Luz Cabral</v>
      </c>
      <c r="F210" s="7">
        <v>2</v>
      </c>
      <c r="G210" s="7" cm="1">
        <f t="array" aca="1" ref="G210" ca="1">INDEX(States!$B:$B,RANDBETWEEN(2,COUNTA(States!$A:$A)),1)</f>
        <v>15</v>
      </c>
      <c r="H210" s="7" t="str">
        <f ca="1">VLOOKUP($D210,Name!$A:$C,3,FALSE)</f>
        <v>M</v>
      </c>
      <c r="I210" s="7" cm="1">
        <f t="array" aca="1" ref="I210" ca="1">INDEX('Marital status'!$A:$A,RANDBETWEEN(2,COUNTA('Marital status'!$A:$A)),1)</f>
        <v>2</v>
      </c>
      <c r="J210" s="7">
        <f t="shared" ca="1" si="39"/>
        <v>3</v>
      </c>
      <c r="K210" s="8">
        <f t="shared" ca="1" si="40"/>
        <v>35543</v>
      </c>
      <c r="L210" s="6">
        <f t="shared" ca="1" si="41"/>
        <v>4</v>
      </c>
      <c r="M210" s="7">
        <f ca="1" xml:space="preserve">
  IF(OR($N210 = 2, $N210 = 3, $N210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210" s="6">
        <f t="shared" ca="1" si="42"/>
        <v>7</v>
      </c>
      <c r="O210" s="6" t="e">
        <f t="shared" ca="1" si="43"/>
        <v>#N/A</v>
      </c>
      <c r="P210" s="8">
        <f t="shared" ca="1" si="44"/>
        <v>43983</v>
      </c>
      <c r="Q210" s="6">
        <f ca="1">RANDBETWEEN(2,COUNTA('Recruitment source'!$A:$A))</f>
        <v>10</v>
      </c>
      <c r="R210" s="8" t="e">
        <f t="shared" ca="1" si="45"/>
        <v>#N/A</v>
      </c>
      <c r="S210" s="6" t="e">
        <f t="shared" ca="1" si="46"/>
        <v>#N/A</v>
      </c>
      <c r="T210" s="6">
        <f t="shared" ca="1" si="36"/>
        <v>5</v>
      </c>
      <c r="U210" s="1">
        <f t="shared" ca="1" si="47"/>
        <v>1005</v>
      </c>
    </row>
    <row r="211" spans="1:21" x14ac:dyDescent="0.2">
      <c r="A211" s="7" cm="1">
        <f t="array" aca="1" ref="A211" ca="1">INDEX(Companies!$A:$A,RANDBETWEEN(2,COUNTA(Companies!$A:$A)),1)</f>
        <v>2</v>
      </c>
      <c r="B211" s="5">
        <f t="shared" si="37"/>
        <v>210</v>
      </c>
      <c r="C211" s="6">
        <f t="shared" ca="1" si="38"/>
        <v>1</v>
      </c>
      <c r="D211" s="7">
        <f ca="1">IF($B211 = 1 + N("Presidente"),
    127,
    IF($B211 = 2 + N("Vice-Presidente"),
        72,
        IF($B211 = 3 + N("Secretária bilíngue"),
            13,
            RANDBETWEEN(5,COUNT(Name!$A:$A) + 1)
        )
    )
)</f>
        <v>237</v>
      </c>
      <c r="E211" s="7" t="str">
        <f ca="1" xml:space="preserve">
VLOOKUP(
  $D211,
  Name!$A:$B,
  2,
  FALSE
)
&amp; " " &amp;
IF($B211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Luanna Testa Fontana</v>
      </c>
      <c r="F211" s="7">
        <v>2</v>
      </c>
      <c r="G211" s="7" cm="1">
        <f t="array" aca="1" ref="G211" ca="1">INDEX(States!$B:$B,RANDBETWEEN(2,COUNTA(States!$A:$A)),1)</f>
        <v>16</v>
      </c>
      <c r="H211" s="7" t="str">
        <f ca="1">VLOOKUP($D211,Name!$A:$C,3,FALSE)</f>
        <v>F</v>
      </c>
      <c r="I211" s="7" cm="1">
        <f t="array" aca="1" ref="I211" ca="1">INDEX('Marital status'!$A:$A,RANDBETWEEN(2,COUNTA('Marital status'!$A:$A)),1)</f>
        <v>5</v>
      </c>
      <c r="J211" s="7">
        <f t="shared" ca="1" si="39"/>
        <v>2</v>
      </c>
      <c r="K211" s="8">
        <f t="shared" ca="1" si="40"/>
        <v>36479</v>
      </c>
      <c r="L211" s="6">
        <f t="shared" ca="1" si="41"/>
        <v>4</v>
      </c>
      <c r="M211" s="7">
        <f ca="1" xml:space="preserve">
  IF(OR($N211 = 2, $N211 = 3, $N211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211" s="6">
        <f t="shared" ca="1" si="42"/>
        <v>8</v>
      </c>
      <c r="O211" s="6">
        <f t="shared" ca="1" si="43"/>
        <v>3</v>
      </c>
      <c r="P211" s="8">
        <f t="shared" ca="1" si="44"/>
        <v>42277</v>
      </c>
      <c r="Q211" s="6">
        <f ca="1">RANDBETWEEN(2,COUNTA('Recruitment source'!$A:$A))</f>
        <v>5</v>
      </c>
      <c r="R211" s="8" t="e">
        <f t="shared" ca="1" si="45"/>
        <v>#N/A</v>
      </c>
      <c r="S211" s="6" t="e">
        <f t="shared" ca="1" si="46"/>
        <v>#N/A</v>
      </c>
      <c r="T211" s="6">
        <f t="shared" ca="1" si="36"/>
        <v>2</v>
      </c>
      <c r="U211" s="1">
        <f t="shared" ca="1" si="47"/>
        <v>2000</v>
      </c>
    </row>
    <row r="212" spans="1:21" x14ac:dyDescent="0.2">
      <c r="A212" s="7" cm="1">
        <f t="array" aca="1" ref="A212" ca="1">INDEX(Companies!$A:$A,RANDBETWEEN(2,COUNTA(Companies!$A:$A)),1)</f>
        <v>2</v>
      </c>
      <c r="B212" s="5">
        <f t="shared" si="37"/>
        <v>211</v>
      </c>
      <c r="C212" s="6">
        <f t="shared" ca="1" si="38"/>
        <v>1</v>
      </c>
      <c r="D212" s="7">
        <f ca="1">IF($B212 = 1 + N("Presidente"),
    127,
    IF($B212 = 2 + N("Vice-Presidente"),
        72,
        IF($B212 = 3 + N("Secretária bilíngue"),
            13,
            RANDBETWEEN(5,COUNT(Name!$A:$A) + 1)
        )
    )
)</f>
        <v>13</v>
      </c>
      <c r="E212" s="7" t="str">
        <f ca="1" xml:space="preserve">
VLOOKUP(
  $D212,
  Name!$A:$B,
  2,
  FALSE
)
&amp; " " &amp;
IF($B212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Alessandra Cardozo Vieira</v>
      </c>
      <c r="F212" s="7">
        <v>2</v>
      </c>
      <c r="G212" s="7" cm="1">
        <f t="array" aca="1" ref="G212" ca="1">INDEX(States!$B:$B,RANDBETWEEN(2,COUNTA(States!$A:$A)),1)</f>
        <v>12</v>
      </c>
      <c r="H212" s="7" t="str">
        <f ca="1">VLOOKUP($D212,Name!$A:$C,3,FALSE)</f>
        <v>F</v>
      </c>
      <c r="I212" s="7" cm="1">
        <f t="array" aca="1" ref="I212" ca="1">INDEX('Marital status'!$A:$A,RANDBETWEEN(2,COUNTA('Marital status'!$A:$A)),1)</f>
        <v>3</v>
      </c>
      <c r="J212" s="7">
        <f t="shared" ca="1" si="39"/>
        <v>2</v>
      </c>
      <c r="K212" s="8">
        <f t="shared" ca="1" si="40"/>
        <v>25013</v>
      </c>
      <c r="L212" s="6">
        <f t="shared" ca="1" si="41"/>
        <v>4</v>
      </c>
      <c r="M212" s="7">
        <f ca="1" xml:space="preserve">
  IF(OR($N212 = 2, $N212 = 3, $N212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212" s="6">
        <f t="shared" ca="1" si="42"/>
        <v>6</v>
      </c>
      <c r="O212" s="6" t="e">
        <f t="shared" ca="1" si="43"/>
        <v>#N/A</v>
      </c>
      <c r="P212" s="8">
        <f t="shared" ca="1" si="44"/>
        <v>39220</v>
      </c>
      <c r="Q212" s="6">
        <f ca="1">RANDBETWEEN(2,COUNTA('Recruitment source'!$A:$A))</f>
        <v>3</v>
      </c>
      <c r="R212" s="8" t="e">
        <f t="shared" ca="1" si="45"/>
        <v>#N/A</v>
      </c>
      <c r="S212" s="6" t="e">
        <f t="shared" ca="1" si="46"/>
        <v>#N/A</v>
      </c>
      <c r="T212" s="6">
        <f t="shared" ca="1" si="36"/>
        <v>3</v>
      </c>
      <c r="U212" s="1">
        <f t="shared" ca="1" si="47"/>
        <v>805</v>
      </c>
    </row>
    <row r="213" spans="1:21" x14ac:dyDescent="0.2">
      <c r="A213" s="7" cm="1">
        <f t="array" aca="1" ref="A213" ca="1">INDEX(Companies!$A:$A,RANDBETWEEN(2,COUNTA(Companies!$A:$A)),1)</f>
        <v>2</v>
      </c>
      <c r="B213" s="5">
        <f t="shared" si="37"/>
        <v>212</v>
      </c>
      <c r="C213" s="6">
        <f t="shared" ca="1" si="38"/>
        <v>1</v>
      </c>
      <c r="D213" s="7">
        <f ca="1">IF($B213 = 1 + N("Presidente"),
    127,
    IF($B213 = 2 + N("Vice-Presidente"),
        72,
        IF($B213 = 3 + N("Secretária bilíngue"),
            13,
            RANDBETWEEN(5,COUNT(Name!$A:$A) + 1)
        )
    )
)</f>
        <v>53</v>
      </c>
      <c r="E213" s="7" t="str">
        <f ca="1" xml:space="preserve">
VLOOKUP(
  $D213,
  Name!$A:$B,
  2,
  FALSE
)
&amp; " " &amp;
IF($B213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Aquiles Holanda Pereira</v>
      </c>
      <c r="F213" s="7">
        <v>2</v>
      </c>
      <c r="G213" s="7" cm="1">
        <f t="array" aca="1" ref="G213" ca="1">INDEX(States!$B:$B,RANDBETWEEN(2,COUNTA(States!$A:$A)),1)</f>
        <v>2</v>
      </c>
      <c r="H213" s="7" t="str">
        <f ca="1">VLOOKUP($D213,Name!$A:$C,3,FALSE)</f>
        <v>M</v>
      </c>
      <c r="I213" s="7" cm="1">
        <f t="array" aca="1" ref="I213" ca="1">INDEX('Marital status'!$A:$A,RANDBETWEEN(2,COUNTA('Marital status'!$A:$A)),1)</f>
        <v>4</v>
      </c>
      <c r="J213" s="7">
        <f t="shared" ca="1" si="39"/>
        <v>2</v>
      </c>
      <c r="K213" s="8">
        <f t="shared" ca="1" si="40"/>
        <v>35787</v>
      </c>
      <c r="L213" s="6">
        <f t="shared" ca="1" si="41"/>
        <v>4</v>
      </c>
      <c r="M213" s="7">
        <f ca="1" xml:space="preserve">
  IF(OR($N213 = 2, $N213 = 3, $N213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213" s="6">
        <f t="shared" ca="1" si="42"/>
        <v>8</v>
      </c>
      <c r="O213" s="6">
        <f t="shared" ca="1" si="43"/>
        <v>2</v>
      </c>
      <c r="P213" s="8">
        <f t="shared" ca="1" si="44"/>
        <v>39241</v>
      </c>
      <c r="Q213" s="6">
        <f ca="1">RANDBETWEEN(2,COUNTA('Recruitment source'!$A:$A))</f>
        <v>9</v>
      </c>
      <c r="R213" s="8" t="e">
        <f t="shared" ca="1" si="45"/>
        <v>#N/A</v>
      </c>
      <c r="S213" s="6" t="e">
        <f t="shared" ca="1" si="46"/>
        <v>#N/A</v>
      </c>
      <c r="T213" s="6">
        <f t="shared" ca="1" si="36"/>
        <v>5</v>
      </c>
      <c r="U213" s="1">
        <f t="shared" ca="1" si="47"/>
        <v>2000</v>
      </c>
    </row>
    <row r="214" spans="1:21" x14ac:dyDescent="0.2">
      <c r="A214" s="7" cm="1">
        <f t="array" aca="1" ref="A214" ca="1">INDEX(Companies!$A:$A,RANDBETWEEN(2,COUNTA(Companies!$A:$A)),1)</f>
        <v>2</v>
      </c>
      <c r="B214" s="5">
        <f t="shared" si="37"/>
        <v>213</v>
      </c>
      <c r="C214" s="6">
        <f t="shared" ca="1" si="38"/>
        <v>1</v>
      </c>
      <c r="D214" s="7">
        <f ca="1">IF($B214 = 1 + N("Presidente"),
    127,
    IF($B214 = 2 + N("Vice-Presidente"),
        72,
        IF($B214 = 3 + N("Secretária bilíngue"),
            13,
            RANDBETWEEN(5,COUNT(Name!$A:$A) + 1)
        )
    )
)</f>
        <v>51</v>
      </c>
      <c r="E214" s="7" t="str">
        <f ca="1" xml:space="preserve">
VLOOKUP(
  $D214,
  Name!$A:$B,
  2,
  FALSE
)
&amp; " " &amp;
IF($B214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Antônia Soares Arruda</v>
      </c>
      <c r="F214" s="7">
        <v>2</v>
      </c>
      <c r="G214" s="7" cm="1">
        <f t="array" aca="1" ref="G214" ca="1">INDEX(States!$B:$B,RANDBETWEEN(2,COUNTA(States!$A:$A)),1)</f>
        <v>12</v>
      </c>
      <c r="H214" s="7" t="str">
        <f ca="1">VLOOKUP($D214,Name!$A:$C,3,FALSE)</f>
        <v>F</v>
      </c>
      <c r="I214" s="7" cm="1">
        <f t="array" aca="1" ref="I214" ca="1">INDEX('Marital status'!$A:$A,RANDBETWEEN(2,COUNTA('Marital status'!$A:$A)),1)</f>
        <v>2</v>
      </c>
      <c r="J214" s="7">
        <f t="shared" ca="1" si="39"/>
        <v>2</v>
      </c>
      <c r="K214" s="8">
        <f t="shared" ca="1" si="40"/>
        <v>31479</v>
      </c>
      <c r="L214" s="6">
        <f t="shared" ca="1" si="41"/>
        <v>4</v>
      </c>
      <c r="M214" s="7">
        <f ca="1" xml:space="preserve">
  IF(OR($N214 = 2, $N214 = 3, $N214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214" s="6">
        <f t="shared" ca="1" si="42"/>
        <v>6</v>
      </c>
      <c r="O214" s="6" t="e">
        <f t="shared" ca="1" si="43"/>
        <v>#N/A</v>
      </c>
      <c r="P214" s="8">
        <f t="shared" ca="1" si="44"/>
        <v>40058</v>
      </c>
      <c r="Q214" s="6">
        <f ca="1">RANDBETWEEN(2,COUNTA('Recruitment source'!$A:$A))</f>
        <v>9</v>
      </c>
      <c r="R214" s="8" t="e">
        <f t="shared" ca="1" si="45"/>
        <v>#N/A</v>
      </c>
      <c r="S214" s="6" t="e">
        <f t="shared" ca="1" si="46"/>
        <v>#N/A</v>
      </c>
      <c r="T214" s="6">
        <f t="shared" ca="1" si="36"/>
        <v>4</v>
      </c>
      <c r="U214" s="1">
        <f t="shared" ca="1" si="47"/>
        <v>805</v>
      </c>
    </row>
    <row r="215" spans="1:21" x14ac:dyDescent="0.2">
      <c r="A215" s="7" cm="1">
        <f t="array" aca="1" ref="A215" ca="1">INDEX(Companies!$A:$A,RANDBETWEEN(2,COUNTA(Companies!$A:$A)),1)</f>
        <v>2</v>
      </c>
      <c r="B215" s="5">
        <f t="shared" si="37"/>
        <v>214</v>
      </c>
      <c r="C215" s="6">
        <f t="shared" ca="1" si="38"/>
        <v>1</v>
      </c>
      <c r="D215" s="7">
        <f ca="1">IF($B215 = 1 + N("Presidente"),
    127,
    IF($B215 = 2 + N("Vice-Presidente"),
        72,
        IF($B215 = 3 + N("Secretária bilíngue"),
            13,
            RANDBETWEEN(5,COUNT(Name!$A:$A) + 1)
        )
    )
)</f>
        <v>205</v>
      </c>
      <c r="E215" s="7" t="str">
        <f ca="1" xml:space="preserve">
VLOOKUP(
  $D215,
  Name!$A:$B,
  2,
  FALSE
)
&amp; " " &amp;
IF($B215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Kaique Rizzo Dantas</v>
      </c>
      <c r="F215" s="7">
        <v>2</v>
      </c>
      <c r="G215" s="7" cm="1">
        <f t="array" aca="1" ref="G215" ca="1">INDEX(States!$B:$B,RANDBETWEEN(2,COUNTA(States!$A:$A)),1)</f>
        <v>17</v>
      </c>
      <c r="H215" s="7" t="str">
        <f ca="1">VLOOKUP($D215,Name!$A:$C,3,FALSE)</f>
        <v>M</v>
      </c>
      <c r="I215" s="7" cm="1">
        <f t="array" aca="1" ref="I215" ca="1">INDEX('Marital status'!$A:$A,RANDBETWEEN(2,COUNTA('Marital status'!$A:$A)),1)</f>
        <v>6</v>
      </c>
      <c r="J215" s="7">
        <f t="shared" ca="1" si="39"/>
        <v>2</v>
      </c>
      <c r="K215" s="8">
        <f t="shared" ca="1" si="40"/>
        <v>35842</v>
      </c>
      <c r="L215" s="6">
        <f t="shared" ca="1" si="41"/>
        <v>4</v>
      </c>
      <c r="M215" s="7">
        <f ca="1" xml:space="preserve">
  IF(OR($N215 = 2, $N215 = 3, $N215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215" s="6">
        <f t="shared" ca="1" si="42"/>
        <v>8</v>
      </c>
      <c r="O215" s="6">
        <f t="shared" ca="1" si="43"/>
        <v>4</v>
      </c>
      <c r="P215" s="8">
        <f t="shared" ca="1" si="44"/>
        <v>42529</v>
      </c>
      <c r="Q215" s="6">
        <f ca="1">RANDBETWEEN(2,COUNTA('Recruitment source'!$A:$A))</f>
        <v>6</v>
      </c>
      <c r="R215" s="8" t="e">
        <f t="shared" ca="1" si="45"/>
        <v>#N/A</v>
      </c>
      <c r="S215" s="6" t="e">
        <f t="shared" ca="1" si="46"/>
        <v>#N/A</v>
      </c>
      <c r="T215" s="6">
        <f t="shared" ca="1" si="36"/>
        <v>4</v>
      </c>
      <c r="U215" s="1">
        <f t="shared" ca="1" si="47"/>
        <v>2080</v>
      </c>
    </row>
    <row r="216" spans="1:21" x14ac:dyDescent="0.2">
      <c r="A216" s="7" cm="1">
        <f t="array" aca="1" ref="A216" ca="1">INDEX(Companies!$A:$A,RANDBETWEEN(2,COUNTA(Companies!$A:$A)),1)</f>
        <v>2</v>
      </c>
      <c r="B216" s="5">
        <f t="shared" si="37"/>
        <v>215</v>
      </c>
      <c r="C216" s="6">
        <f t="shared" ca="1" si="38"/>
        <v>1</v>
      </c>
      <c r="D216" s="7">
        <f ca="1">IF($B216 = 1 + N("Presidente"),
    127,
    IF($B216 = 2 + N("Vice-Presidente"),
        72,
        IF($B216 = 3 + N("Secretária bilíngue"),
            13,
            RANDBETWEEN(5,COUNT(Name!$A:$A) + 1)
        )
    )
)</f>
        <v>51</v>
      </c>
      <c r="E216" s="7" t="str">
        <f ca="1" xml:space="preserve">
VLOOKUP(
  $D216,
  Name!$A:$B,
  2,
  FALSE
)
&amp; " " &amp;
IF($B216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Antônia Alvaregna Morais</v>
      </c>
      <c r="F216" s="7">
        <v>2</v>
      </c>
      <c r="G216" s="7" cm="1">
        <f t="array" aca="1" ref="G216" ca="1">INDEX(States!$B:$B,RANDBETWEEN(2,COUNTA(States!$A:$A)),1)</f>
        <v>13</v>
      </c>
      <c r="H216" s="7" t="str">
        <f ca="1">VLOOKUP($D216,Name!$A:$C,3,FALSE)</f>
        <v>F</v>
      </c>
      <c r="I216" s="7" cm="1">
        <f t="array" aca="1" ref="I216" ca="1">INDEX('Marital status'!$A:$A,RANDBETWEEN(2,COUNTA('Marital status'!$A:$A)),1)</f>
        <v>5</v>
      </c>
      <c r="J216" s="7">
        <f t="shared" ca="1" si="39"/>
        <v>2</v>
      </c>
      <c r="K216" s="8">
        <f t="shared" ca="1" si="40"/>
        <v>20483</v>
      </c>
      <c r="L216" s="6">
        <f t="shared" ca="1" si="41"/>
        <v>4</v>
      </c>
      <c r="M216" s="7">
        <f ca="1" xml:space="preserve">
  IF(OR($N216 = 2, $N216 = 3, $N216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216" s="6">
        <f t="shared" ca="1" si="42"/>
        <v>6</v>
      </c>
      <c r="O216" s="6" t="e">
        <f t="shared" ca="1" si="43"/>
        <v>#N/A</v>
      </c>
      <c r="P216" s="8">
        <f t="shared" ca="1" si="44"/>
        <v>39261</v>
      </c>
      <c r="Q216" s="6">
        <f ca="1">RANDBETWEEN(2,COUNTA('Recruitment source'!$A:$A))</f>
        <v>9</v>
      </c>
      <c r="R216" s="8" t="e">
        <f t="shared" ca="1" si="45"/>
        <v>#N/A</v>
      </c>
      <c r="S216" s="6" t="e">
        <f t="shared" ca="1" si="46"/>
        <v>#N/A</v>
      </c>
      <c r="T216" s="6">
        <f t="shared" ca="1" si="36"/>
        <v>2</v>
      </c>
      <c r="U216" s="1">
        <f t="shared" ca="1" si="47"/>
        <v>805</v>
      </c>
    </row>
    <row r="217" spans="1:21" x14ac:dyDescent="0.2">
      <c r="A217" s="7" cm="1">
        <f t="array" aca="1" ref="A217" ca="1">INDEX(Companies!$A:$A,RANDBETWEEN(2,COUNTA(Companies!$A:$A)),1)</f>
        <v>2</v>
      </c>
      <c r="B217" s="5">
        <f t="shared" si="37"/>
        <v>216</v>
      </c>
      <c r="C217" s="6">
        <f t="shared" ca="1" si="38"/>
        <v>1</v>
      </c>
      <c r="D217" s="7">
        <f ca="1">IF($B217 = 1 + N("Presidente"),
    127,
    IF($B217 = 2 + N("Vice-Presidente"),
        72,
        IF($B217 = 3 + N("Secretária bilíngue"),
            13,
            RANDBETWEEN(5,COUNT(Name!$A:$A) + 1)
        )
    )
)</f>
        <v>229</v>
      </c>
      <c r="E217" s="7" t="str">
        <f ca="1" xml:space="preserve">
VLOOKUP(
  $D217,
  Name!$A:$B,
  2,
  FALSE
)
&amp; " " &amp;
IF($B217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Liz Aguiar Camões</v>
      </c>
      <c r="F217" s="7">
        <v>2</v>
      </c>
      <c r="G217" s="7" cm="1">
        <f t="array" aca="1" ref="G217" ca="1">INDEX(States!$B:$B,RANDBETWEEN(2,COUNTA(States!$A:$A)),1)</f>
        <v>16</v>
      </c>
      <c r="H217" s="7" t="str">
        <f ca="1">VLOOKUP($D217,Name!$A:$C,3,FALSE)</f>
        <v>F</v>
      </c>
      <c r="I217" s="7" cm="1">
        <f t="array" aca="1" ref="I217" ca="1">INDEX('Marital status'!$A:$A,RANDBETWEEN(2,COUNTA('Marital status'!$A:$A)),1)</f>
        <v>6</v>
      </c>
      <c r="J217" s="7">
        <f t="shared" ca="1" si="39"/>
        <v>3</v>
      </c>
      <c r="K217" s="8">
        <f t="shared" ca="1" si="40"/>
        <v>35147</v>
      </c>
      <c r="L217" s="6">
        <f t="shared" ca="1" si="41"/>
        <v>4</v>
      </c>
      <c r="M217" s="7">
        <f ca="1" xml:space="preserve">
  IF(OR($N217 = 2, $N217 = 3, $N217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217" s="6">
        <f t="shared" ca="1" si="42"/>
        <v>8</v>
      </c>
      <c r="O217" s="6">
        <f t="shared" ca="1" si="43"/>
        <v>3</v>
      </c>
      <c r="P217" s="8">
        <f t="shared" ca="1" si="44"/>
        <v>42948</v>
      </c>
      <c r="Q217" s="6">
        <f ca="1">RANDBETWEEN(2,COUNTA('Recruitment source'!$A:$A))</f>
        <v>9</v>
      </c>
      <c r="R217" s="8" t="e">
        <f t="shared" ca="1" si="45"/>
        <v>#N/A</v>
      </c>
      <c r="S217" s="6" t="e">
        <f t="shared" ca="1" si="46"/>
        <v>#N/A</v>
      </c>
      <c r="T217" s="6">
        <f t="shared" ca="1" si="36"/>
        <v>2</v>
      </c>
      <c r="U217" s="1">
        <f t="shared" ca="1" si="47"/>
        <v>2000</v>
      </c>
    </row>
    <row r="218" spans="1:21" x14ac:dyDescent="0.2">
      <c r="A218" s="7" cm="1">
        <f t="array" aca="1" ref="A218" ca="1">INDEX(Companies!$A:$A,RANDBETWEEN(2,COUNTA(Companies!$A:$A)),1)</f>
        <v>2</v>
      </c>
      <c r="B218" s="5">
        <f t="shared" si="37"/>
        <v>217</v>
      </c>
      <c r="C218" s="6">
        <f t="shared" ca="1" si="38"/>
        <v>1</v>
      </c>
      <c r="D218" s="7">
        <f ca="1">IF($B218 = 1 + N("Presidente"),
    127,
    IF($B218 = 2 + N("Vice-Presidente"),
        72,
        IF($B218 = 3 + N("Secretária bilíngue"),
            13,
            RANDBETWEEN(5,COUNT(Name!$A:$A) + 1)
        )
    )
)</f>
        <v>174</v>
      </c>
      <c r="E218" s="7" t="str">
        <f ca="1" xml:space="preserve">
VLOOKUP(
  $D218,
  Name!$A:$B,
  2,
  FALSE
)
&amp; " " &amp;
IF($B218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 Araújo Trindade</v>
      </c>
      <c r="F218" s="7">
        <v>2</v>
      </c>
      <c r="G218" s="7" cm="1">
        <f t="array" aca="1" ref="G218" ca="1">INDEX(States!$B:$B,RANDBETWEEN(2,COUNTA(States!$A:$A)),1)</f>
        <v>5</v>
      </c>
      <c r="H218" s="7" t="str">
        <f ca="1">VLOOKUP($D218,Name!$A:$C,3,FALSE)</f>
        <v>F</v>
      </c>
      <c r="I218" s="7" cm="1">
        <f t="array" aca="1" ref="I218" ca="1">INDEX('Marital status'!$A:$A,RANDBETWEEN(2,COUNTA('Marital status'!$A:$A)),1)</f>
        <v>6</v>
      </c>
      <c r="J218" s="7">
        <f t="shared" ca="1" si="39"/>
        <v>2</v>
      </c>
      <c r="K218" s="8">
        <f t="shared" ca="1" si="40"/>
        <v>33549</v>
      </c>
      <c r="L218" s="6">
        <f t="shared" ca="1" si="41"/>
        <v>4</v>
      </c>
      <c r="M218" s="7">
        <f ca="1" xml:space="preserve">
  IF(OR($N218 = 2, $N218 = 3, $N218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218" s="6">
        <f t="shared" ca="1" si="42"/>
        <v>6</v>
      </c>
      <c r="O218" s="6" t="e">
        <f t="shared" ca="1" si="43"/>
        <v>#N/A</v>
      </c>
      <c r="P218" s="8">
        <f t="shared" ca="1" si="44"/>
        <v>41634</v>
      </c>
      <c r="Q218" s="6">
        <f ca="1">RANDBETWEEN(2,COUNTA('Recruitment source'!$A:$A))</f>
        <v>11</v>
      </c>
      <c r="R218" s="8" t="e">
        <f t="shared" ca="1" si="45"/>
        <v>#N/A</v>
      </c>
      <c r="S218" s="6" t="e">
        <f t="shared" ca="1" si="46"/>
        <v>#N/A</v>
      </c>
      <c r="T218" s="6">
        <f t="shared" ca="1" si="36"/>
        <v>3</v>
      </c>
      <c r="U218" s="1">
        <f t="shared" ca="1" si="47"/>
        <v>805</v>
      </c>
    </row>
    <row r="219" spans="1:21" x14ac:dyDescent="0.2">
      <c r="A219" s="7" cm="1">
        <f t="array" aca="1" ref="A219" ca="1">INDEX(Companies!$A:$A,RANDBETWEEN(2,COUNTA(Companies!$A:$A)),1)</f>
        <v>2</v>
      </c>
      <c r="B219" s="5">
        <f t="shared" si="37"/>
        <v>218</v>
      </c>
      <c r="C219" s="6">
        <f t="shared" ca="1" si="38"/>
        <v>1</v>
      </c>
      <c r="D219" s="7">
        <f ca="1">IF($B219 = 1 + N("Presidente"),
    127,
    IF($B219 = 2 + N("Vice-Presidente"),
        72,
        IF($B219 = 3 + N("Secretária bilíngue"),
            13,
            RANDBETWEEN(5,COUNT(Name!$A:$A) + 1)
        )
    )
)</f>
        <v>205</v>
      </c>
      <c r="E219" s="7" t="str">
        <f ca="1" xml:space="preserve">
VLOOKUP(
  $D219,
  Name!$A:$B,
  2,
  FALSE
)
&amp; " " &amp;
IF($B219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Kaique Cardozo Leite</v>
      </c>
      <c r="F219" s="7">
        <v>2</v>
      </c>
      <c r="G219" s="7" cm="1">
        <f t="array" aca="1" ref="G219" ca="1">INDEX(States!$B:$B,RANDBETWEEN(2,COUNTA(States!$A:$A)),1)</f>
        <v>12</v>
      </c>
      <c r="H219" s="7" t="str">
        <f ca="1">VLOOKUP($D219,Name!$A:$C,3,FALSE)</f>
        <v>M</v>
      </c>
      <c r="I219" s="7" cm="1">
        <f t="array" aca="1" ref="I219" ca="1">INDEX('Marital status'!$A:$A,RANDBETWEEN(2,COUNTA('Marital status'!$A:$A)),1)</f>
        <v>6</v>
      </c>
      <c r="J219" s="7">
        <f t="shared" ca="1" si="39"/>
        <v>2</v>
      </c>
      <c r="K219" s="8">
        <f t="shared" ca="1" si="40"/>
        <v>33629</v>
      </c>
      <c r="L219" s="6">
        <f t="shared" ca="1" si="41"/>
        <v>5</v>
      </c>
      <c r="M219" s="7">
        <f ca="1" xml:space="preserve">
  IF(OR($N219 = 2, $N219 = 3, $N219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219" s="6">
        <f t="shared" ca="1" si="42"/>
        <v>8</v>
      </c>
      <c r="O219" s="6">
        <f t="shared" ca="1" si="43"/>
        <v>4</v>
      </c>
      <c r="P219" s="8">
        <f t="shared" ca="1" si="44"/>
        <v>37839</v>
      </c>
      <c r="Q219" s="6">
        <f ca="1">RANDBETWEEN(2,COUNTA('Recruitment source'!$A:$A))</f>
        <v>9</v>
      </c>
      <c r="R219" s="8" t="e">
        <f t="shared" ca="1" si="45"/>
        <v>#N/A</v>
      </c>
      <c r="S219" s="6" t="e">
        <f t="shared" ca="1" si="46"/>
        <v>#N/A</v>
      </c>
      <c r="T219" s="6">
        <f t="shared" ca="1" si="36"/>
        <v>4</v>
      </c>
      <c r="U219" s="1">
        <f t="shared" ca="1" si="47"/>
        <v>2000</v>
      </c>
    </row>
    <row r="220" spans="1:21" x14ac:dyDescent="0.2">
      <c r="A220" s="7" cm="1">
        <f t="array" aca="1" ref="A220" ca="1">INDEX(Companies!$A:$A,RANDBETWEEN(2,COUNTA(Companies!$A:$A)),1)</f>
        <v>2</v>
      </c>
      <c r="B220" s="5">
        <f t="shared" si="37"/>
        <v>219</v>
      </c>
      <c r="C220" s="6">
        <f t="shared" ca="1" si="38"/>
        <v>1</v>
      </c>
      <c r="D220" s="7">
        <f ca="1">IF($B220 = 1 + N("Presidente"),
    127,
    IF($B220 = 2 + N("Vice-Presidente"),
        72,
        IF($B220 = 3 + N("Secretária bilíngue"),
            13,
            RANDBETWEEN(5,COUNT(Name!$A:$A) + 1)
        )
    )
)</f>
        <v>133</v>
      </c>
      <c r="E220" s="7" t="str">
        <f ca="1" xml:space="preserve">
VLOOKUP(
  $D220,
  Name!$A:$B,
  2,
  FALSE
)
&amp; " " &amp;
IF($B220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Esther Batista Holanda</v>
      </c>
      <c r="F220" s="7">
        <v>2</v>
      </c>
      <c r="G220" s="7" cm="1">
        <f t="array" aca="1" ref="G220" ca="1">INDEX(States!$B:$B,RANDBETWEEN(2,COUNTA(States!$A:$A)),1)</f>
        <v>13</v>
      </c>
      <c r="H220" s="7" t="str">
        <f ca="1">VLOOKUP($D220,Name!$A:$C,3,FALSE)</f>
        <v>F</v>
      </c>
      <c r="I220" s="7" cm="1">
        <f t="array" aca="1" ref="I220" ca="1">INDEX('Marital status'!$A:$A,RANDBETWEEN(2,COUNTA('Marital status'!$A:$A)),1)</f>
        <v>6</v>
      </c>
      <c r="J220" s="7">
        <f t="shared" ca="1" si="39"/>
        <v>4</v>
      </c>
      <c r="K220" s="8">
        <f t="shared" ca="1" si="40"/>
        <v>28927</v>
      </c>
      <c r="L220" s="6">
        <f t="shared" ca="1" si="41"/>
        <v>4</v>
      </c>
      <c r="M220" s="7">
        <f ca="1" xml:space="preserve">
  IF(OR($N220 = 2, $N220 = 3, $N220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220" s="6">
        <f t="shared" ca="1" si="42"/>
        <v>7</v>
      </c>
      <c r="O220" s="6" t="e">
        <f t="shared" ca="1" si="43"/>
        <v>#N/A</v>
      </c>
      <c r="P220" s="8">
        <f t="shared" ca="1" si="44"/>
        <v>42856</v>
      </c>
      <c r="Q220" s="6">
        <f ca="1">RANDBETWEEN(2,COUNTA('Recruitment source'!$A:$A))</f>
        <v>10</v>
      </c>
      <c r="R220" s="8" t="e">
        <f t="shared" ca="1" si="45"/>
        <v>#N/A</v>
      </c>
      <c r="S220" s="6" t="e">
        <f t="shared" ca="1" si="46"/>
        <v>#N/A</v>
      </c>
      <c r="T220" s="6">
        <f t="shared" ca="1" si="36"/>
        <v>2</v>
      </c>
      <c r="U220" s="1">
        <f t="shared" ca="1" si="47"/>
        <v>1005</v>
      </c>
    </row>
    <row r="221" spans="1:21" x14ac:dyDescent="0.2">
      <c r="A221" s="7" cm="1">
        <f t="array" aca="1" ref="A221" ca="1">INDEX(Companies!$A:$A,RANDBETWEEN(2,COUNTA(Companies!$A:$A)),1)</f>
        <v>2</v>
      </c>
      <c r="B221" s="5">
        <f t="shared" si="37"/>
        <v>220</v>
      </c>
      <c r="C221" s="6">
        <f t="shared" ca="1" si="38"/>
        <v>1</v>
      </c>
      <c r="D221" s="7">
        <f ca="1">IF($B221 = 1 + N("Presidente"),
    127,
    IF($B221 = 2 + N("Vice-Presidente"),
        72,
        IF($B221 = 3 + N("Secretária bilíngue"),
            13,
            RANDBETWEEN(5,COUNT(Name!$A:$A) + 1)
        )
    )
)</f>
        <v>285</v>
      </c>
      <c r="E221" s="7" t="str">
        <f ca="1" xml:space="preserve">
VLOOKUP(
  $D221,
  Name!$A:$B,
  2,
  FALSE
)
&amp; " " &amp;
IF($B221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Martin Negrão Ricci</v>
      </c>
      <c r="F221" s="7">
        <v>2</v>
      </c>
      <c r="G221" s="7" cm="1">
        <f t="array" aca="1" ref="G221" ca="1">INDEX(States!$B:$B,RANDBETWEEN(2,COUNTA(States!$A:$A)),1)</f>
        <v>15</v>
      </c>
      <c r="H221" s="7" t="str">
        <f ca="1">VLOOKUP($D221,Name!$A:$C,3,FALSE)</f>
        <v>M</v>
      </c>
      <c r="I221" s="7" cm="1">
        <f t="array" aca="1" ref="I221" ca="1">INDEX('Marital status'!$A:$A,RANDBETWEEN(2,COUNTA('Marital status'!$A:$A)),1)</f>
        <v>4</v>
      </c>
      <c r="J221" s="7">
        <f t="shared" ca="1" si="39"/>
        <v>2</v>
      </c>
      <c r="K221" s="8">
        <f t="shared" ca="1" si="40"/>
        <v>32477</v>
      </c>
      <c r="L221" s="6">
        <f t="shared" ca="1" si="41"/>
        <v>4</v>
      </c>
      <c r="M221" s="7">
        <f ca="1" xml:space="preserve">
  IF(OR($N221 = 2, $N221 = 3, $N221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221" s="6">
        <f t="shared" ca="1" si="42"/>
        <v>8</v>
      </c>
      <c r="O221" s="6">
        <f t="shared" ca="1" si="43"/>
        <v>4</v>
      </c>
      <c r="P221" s="8">
        <f t="shared" ca="1" si="44"/>
        <v>42119</v>
      </c>
      <c r="Q221" s="6">
        <f ca="1">RANDBETWEEN(2,COUNTA('Recruitment source'!$A:$A))</f>
        <v>12</v>
      </c>
      <c r="R221" s="8" t="e">
        <f t="shared" ca="1" si="45"/>
        <v>#N/A</v>
      </c>
      <c r="S221" s="6" t="e">
        <f t="shared" ca="1" si="46"/>
        <v>#N/A</v>
      </c>
      <c r="T221" s="6">
        <f t="shared" ca="1" si="36"/>
        <v>4</v>
      </c>
      <c r="U221" s="1">
        <f t="shared" ca="1" si="47"/>
        <v>2080</v>
      </c>
    </row>
    <row r="222" spans="1:21" x14ac:dyDescent="0.2">
      <c r="A222" s="7" cm="1">
        <f t="array" aca="1" ref="A222" ca="1">INDEX(Companies!$A:$A,RANDBETWEEN(2,COUNTA(Companies!$A:$A)),1)</f>
        <v>2</v>
      </c>
      <c r="B222" s="5">
        <f t="shared" si="37"/>
        <v>221</v>
      </c>
      <c r="C222" s="6">
        <f t="shared" ca="1" si="38"/>
        <v>0</v>
      </c>
      <c r="D222" s="7">
        <f ca="1">IF($B222 = 1 + N("Presidente"),
    127,
    IF($B222 = 2 + N("Vice-Presidente"),
        72,
        IF($B222 = 3 + N("Secretária bilíngue"),
            13,
            RANDBETWEEN(5,COUNT(Name!$A:$A) + 1)
        )
    )
)</f>
        <v>256</v>
      </c>
      <c r="E222" s="7" t="str">
        <f ca="1" xml:space="preserve">
VLOOKUP(
  $D222,
  Name!$A:$B,
  2,
  FALSE
)
&amp; " " &amp;
IF($B222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Marcelo Camacho Gouveia</v>
      </c>
      <c r="F222" s="7">
        <v>2</v>
      </c>
      <c r="G222" s="7" cm="1">
        <f t="array" aca="1" ref="G222" ca="1">INDEX(States!$B:$B,RANDBETWEEN(2,COUNTA(States!$A:$A)),1)</f>
        <v>19</v>
      </c>
      <c r="H222" s="7" t="str">
        <f ca="1">VLOOKUP($D222,Name!$A:$C,3,FALSE)</f>
        <v>M</v>
      </c>
      <c r="I222" s="7" cm="1">
        <f t="array" aca="1" ref="I222" ca="1">INDEX('Marital status'!$A:$A,RANDBETWEEN(2,COUNTA('Marital status'!$A:$A)),1)</f>
        <v>5</v>
      </c>
      <c r="J222" s="7">
        <f t="shared" ca="1" si="39"/>
        <v>2</v>
      </c>
      <c r="K222" s="8">
        <f t="shared" ca="1" si="40"/>
        <v>34980</v>
      </c>
      <c r="L222" s="6">
        <f t="shared" ca="1" si="41"/>
        <v>4</v>
      </c>
      <c r="M222" s="7">
        <f ca="1" xml:space="preserve">
  IF(OR($N222 = 2, $N222 = 3, $N222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222" s="6">
        <f t="shared" ca="1" si="42"/>
        <v>7</v>
      </c>
      <c r="O222" s="6" t="e">
        <f t="shared" ca="1" si="43"/>
        <v>#N/A</v>
      </c>
      <c r="P222" s="8">
        <f t="shared" ca="1" si="44"/>
        <v>38467</v>
      </c>
      <c r="Q222" s="6">
        <f ca="1">RANDBETWEEN(2,COUNTA('Recruitment source'!$A:$A))</f>
        <v>6</v>
      </c>
      <c r="R222" s="8">
        <f t="shared" ca="1" si="45"/>
        <v>44802</v>
      </c>
      <c r="S222" s="6">
        <f t="shared" ca="1" si="46"/>
        <v>8</v>
      </c>
      <c r="T222" s="6">
        <f t="shared" ca="1" si="36"/>
        <v>3</v>
      </c>
      <c r="U222" s="1">
        <f t="shared" ca="1" si="47"/>
        <v>1005</v>
      </c>
    </row>
    <row r="223" spans="1:21" x14ac:dyDescent="0.2">
      <c r="A223" s="7" cm="1">
        <f t="array" aca="1" ref="A223" ca="1">INDEX(Companies!$A:$A,RANDBETWEEN(2,COUNTA(Companies!$A:$A)),1)</f>
        <v>2</v>
      </c>
      <c r="B223" s="5">
        <f t="shared" si="37"/>
        <v>222</v>
      </c>
      <c r="C223" s="6">
        <f t="shared" ca="1" si="38"/>
        <v>1</v>
      </c>
      <c r="D223" s="7">
        <f ca="1">IF($B223 = 1 + N("Presidente"),
    127,
    IF($B223 = 2 + N("Vice-Presidente"),
        72,
        IF($B223 = 3 + N("Secretária bilíngue"),
            13,
            RANDBETWEEN(5,COUNT(Name!$A:$A) + 1)
        )
    )
)</f>
        <v>158</v>
      </c>
      <c r="E223" s="7" t="str">
        <f ca="1" xml:space="preserve">
VLOOKUP(
  $D223,
  Name!$A:$B,
  2,
  FALSE
)
&amp; " " &amp;
IF($B223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Guilherme Augusto Duarte Alvarenga</v>
      </c>
      <c r="F223" s="7">
        <v>2</v>
      </c>
      <c r="G223" s="7" cm="1">
        <f t="array" aca="1" ref="G223" ca="1">INDEX(States!$B:$B,RANDBETWEEN(2,COUNTA(States!$A:$A)),1)</f>
        <v>6</v>
      </c>
      <c r="H223" s="7" t="str">
        <f ca="1">VLOOKUP($D223,Name!$A:$C,3,FALSE)</f>
        <v>M</v>
      </c>
      <c r="I223" s="7" cm="1">
        <f t="array" aca="1" ref="I223" ca="1">INDEX('Marital status'!$A:$A,RANDBETWEEN(2,COUNTA('Marital status'!$A:$A)),1)</f>
        <v>4</v>
      </c>
      <c r="J223" s="7">
        <f t="shared" ca="1" si="39"/>
        <v>2</v>
      </c>
      <c r="K223" s="8">
        <f t="shared" ca="1" si="40"/>
        <v>37709</v>
      </c>
      <c r="L223" s="6">
        <f t="shared" ca="1" si="41"/>
        <v>4</v>
      </c>
      <c r="M223" s="7">
        <f ca="1" xml:space="preserve">
  IF(OR($N223 = 2, $N223 = 3, $N223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223" s="6">
        <f t="shared" ca="1" si="42"/>
        <v>8</v>
      </c>
      <c r="O223" s="6">
        <f t="shared" ca="1" si="43"/>
        <v>2</v>
      </c>
      <c r="P223" s="8">
        <f t="shared" ca="1" si="44"/>
        <v>41743</v>
      </c>
      <c r="Q223" s="6">
        <f ca="1">RANDBETWEEN(2,COUNTA('Recruitment source'!$A:$A))</f>
        <v>10</v>
      </c>
      <c r="R223" s="8" t="e">
        <f t="shared" ca="1" si="45"/>
        <v>#N/A</v>
      </c>
      <c r="S223" s="6" t="e">
        <f t="shared" ca="1" si="46"/>
        <v>#N/A</v>
      </c>
      <c r="T223" s="6">
        <f t="shared" ca="1" si="36"/>
        <v>5</v>
      </c>
      <c r="U223" s="1">
        <f t="shared" ca="1" si="47"/>
        <v>2080</v>
      </c>
    </row>
    <row r="224" spans="1:21" x14ac:dyDescent="0.2">
      <c r="A224" s="7" cm="1">
        <f t="array" aca="1" ref="A224" ca="1">INDEX(Companies!$A:$A,RANDBETWEEN(2,COUNTA(Companies!$A:$A)),1)</f>
        <v>2</v>
      </c>
      <c r="B224" s="5">
        <f t="shared" si="37"/>
        <v>223</v>
      </c>
      <c r="C224" s="6">
        <f t="shared" ca="1" si="38"/>
        <v>1</v>
      </c>
      <c r="D224" s="7">
        <f ca="1">IF($B224 = 1 + N("Presidente"),
    127,
    IF($B224 = 2 + N("Vice-Presidente"),
        72,
        IF($B224 = 3 + N("Secretária bilíngue"),
            13,
            RANDBETWEEN(5,COUNT(Name!$A:$A) + 1)
        )
    )
)</f>
        <v>210</v>
      </c>
      <c r="E224" s="7" t="str">
        <f ca="1" xml:space="preserve">
VLOOKUP(
  $D224,
  Name!$A:$B,
  2,
  FALSE
)
&amp; " " &amp;
IF($B224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Kauã Cunha Lombardi</v>
      </c>
      <c r="F224" s="7">
        <v>2</v>
      </c>
      <c r="G224" s="7" cm="1">
        <f t="array" aca="1" ref="G224" ca="1">INDEX(States!$B:$B,RANDBETWEEN(2,COUNTA(States!$A:$A)),1)</f>
        <v>2</v>
      </c>
      <c r="H224" s="7" t="str">
        <f ca="1">VLOOKUP($D224,Name!$A:$C,3,FALSE)</f>
        <v>M</v>
      </c>
      <c r="I224" s="7" cm="1">
        <f t="array" aca="1" ref="I224" ca="1">INDEX('Marital status'!$A:$A,RANDBETWEEN(2,COUNTA('Marital status'!$A:$A)),1)</f>
        <v>5</v>
      </c>
      <c r="J224" s="7">
        <f t="shared" ca="1" si="39"/>
        <v>3</v>
      </c>
      <c r="K224" s="8">
        <f t="shared" ca="1" si="40"/>
        <v>30835</v>
      </c>
      <c r="L224" s="6">
        <f t="shared" ca="1" si="41"/>
        <v>4</v>
      </c>
      <c r="M224" s="7">
        <f ca="1" xml:space="preserve">
  IF(OR($N224 = 2, $N224 = 3, $N224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224" s="6">
        <f t="shared" ca="1" si="42"/>
        <v>6</v>
      </c>
      <c r="O224" s="6" t="e">
        <f t="shared" ca="1" si="43"/>
        <v>#N/A</v>
      </c>
      <c r="P224" s="8">
        <f t="shared" ca="1" si="44"/>
        <v>44165</v>
      </c>
      <c r="Q224" s="6">
        <f ca="1">RANDBETWEEN(2,COUNTA('Recruitment source'!$A:$A))</f>
        <v>10</v>
      </c>
      <c r="R224" s="8" t="e">
        <f t="shared" ca="1" si="45"/>
        <v>#N/A</v>
      </c>
      <c r="S224" s="6" t="e">
        <f t="shared" ca="1" si="46"/>
        <v>#N/A</v>
      </c>
      <c r="T224" s="6">
        <f t="shared" ca="1" si="36"/>
        <v>3</v>
      </c>
      <c r="U224" s="1">
        <f t="shared" ca="1" si="47"/>
        <v>805</v>
      </c>
    </row>
    <row r="225" spans="1:21" x14ac:dyDescent="0.2">
      <c r="A225" s="7" cm="1">
        <f t="array" aca="1" ref="A225" ca="1">INDEX(Companies!$A:$A,RANDBETWEEN(2,COUNTA(Companies!$A:$A)),1)</f>
        <v>2</v>
      </c>
      <c r="B225" s="5">
        <f t="shared" si="37"/>
        <v>224</v>
      </c>
      <c r="C225" s="6">
        <f t="shared" ca="1" si="38"/>
        <v>1</v>
      </c>
      <c r="D225" s="7">
        <f ca="1">IF($B225 = 1 + N("Presidente"),
    127,
    IF($B225 = 2 + N("Vice-Presidente"),
        72,
        IF($B225 = 3 + N("Secretária bilíngue"),
            13,
            RANDBETWEEN(5,COUNT(Name!$A:$A) + 1)
        )
    )
)</f>
        <v>137</v>
      </c>
      <c r="E225" s="7" t="str">
        <f ca="1" xml:space="preserve">
VLOOKUP(
  $D225,
  Name!$A:$B,
  2,
  FALSE
)
&amp; " " &amp;
IF($B225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Fernanda Pinto Testa</v>
      </c>
      <c r="F225" s="7">
        <v>2</v>
      </c>
      <c r="G225" s="7" cm="1">
        <f t="array" aca="1" ref="G225" ca="1">INDEX(States!$B:$B,RANDBETWEEN(2,COUNTA(States!$A:$A)),1)</f>
        <v>15</v>
      </c>
      <c r="H225" s="7" t="str">
        <f ca="1">VLOOKUP($D225,Name!$A:$C,3,FALSE)</f>
        <v>F</v>
      </c>
      <c r="I225" s="7" cm="1">
        <f t="array" aca="1" ref="I225" ca="1">INDEX('Marital status'!$A:$A,RANDBETWEEN(2,COUNTA('Marital status'!$A:$A)),1)</f>
        <v>3</v>
      </c>
      <c r="J225" s="7">
        <f t="shared" ca="1" si="39"/>
        <v>2</v>
      </c>
      <c r="K225" s="8">
        <f t="shared" ca="1" si="40"/>
        <v>38104</v>
      </c>
      <c r="L225" s="6">
        <f t="shared" ca="1" si="41"/>
        <v>4</v>
      </c>
      <c r="M225" s="7">
        <f ca="1" xml:space="preserve">
  IF(OR($N225 = 2, $N225 = 3, $N225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225" s="6">
        <f t="shared" ca="1" si="42"/>
        <v>8</v>
      </c>
      <c r="O225" s="6">
        <f t="shared" ca="1" si="43"/>
        <v>3</v>
      </c>
      <c r="P225" s="8">
        <f t="shared" ca="1" si="44"/>
        <v>44838</v>
      </c>
      <c r="Q225" s="6">
        <f ca="1">RANDBETWEEN(2,COUNTA('Recruitment source'!$A:$A))</f>
        <v>5</v>
      </c>
      <c r="R225" s="8" t="e">
        <f t="shared" ca="1" si="45"/>
        <v>#N/A</v>
      </c>
      <c r="S225" s="6" t="e">
        <f t="shared" ca="1" si="46"/>
        <v>#N/A</v>
      </c>
      <c r="T225" s="6">
        <f t="shared" ca="1" si="36"/>
        <v>4</v>
      </c>
      <c r="U225" s="1">
        <f t="shared" ca="1" si="47"/>
        <v>2050</v>
      </c>
    </row>
    <row r="226" spans="1:21" x14ac:dyDescent="0.2">
      <c r="A226" s="7" cm="1">
        <f t="array" aca="1" ref="A226" ca="1">INDEX(Companies!$A:$A,RANDBETWEEN(2,COUNTA(Companies!$A:$A)),1)</f>
        <v>2</v>
      </c>
      <c r="B226" s="5">
        <f t="shared" si="37"/>
        <v>225</v>
      </c>
      <c r="C226" s="6">
        <f t="shared" ca="1" si="38"/>
        <v>1</v>
      </c>
      <c r="D226" s="7">
        <f ca="1">IF($B226 = 1 + N("Presidente"),
    127,
    IF($B226 = 2 + N("Vice-Presidente"),
        72,
        IF($B226 = 3 + N("Secretária bilíngue"),
            13,
            RANDBETWEEN(5,COUNT(Name!$A:$A) + 1)
        )
    )
)</f>
        <v>164</v>
      </c>
      <c r="E226" s="7" t="str">
        <f ca="1" xml:space="preserve">
VLOOKUP(
  $D226,
  Name!$A:$B,
  2,
  FALSE
)
&amp; " " &amp;
IF($B226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Heloísa Helena Abranches Sousa</v>
      </c>
      <c r="F226" s="7">
        <v>2</v>
      </c>
      <c r="G226" s="7" cm="1">
        <f t="array" aca="1" ref="G226" ca="1">INDEX(States!$B:$B,RANDBETWEEN(2,COUNTA(States!$A:$A)),1)</f>
        <v>20</v>
      </c>
      <c r="H226" s="7" t="str">
        <f ca="1">VLOOKUP($D226,Name!$A:$C,3,FALSE)</f>
        <v>F</v>
      </c>
      <c r="I226" s="7" cm="1">
        <f t="array" aca="1" ref="I226" ca="1">INDEX('Marital status'!$A:$A,RANDBETWEEN(2,COUNTA('Marital status'!$A:$A)),1)</f>
        <v>4</v>
      </c>
      <c r="J226" s="7">
        <f t="shared" ca="1" si="39"/>
        <v>2</v>
      </c>
      <c r="K226" s="8">
        <f t="shared" ca="1" si="40"/>
        <v>30830</v>
      </c>
      <c r="L226" s="6">
        <f t="shared" ca="1" si="41"/>
        <v>4</v>
      </c>
      <c r="M226" s="7">
        <f ca="1" xml:space="preserve">
  IF(OR($N226 = 2, $N226 = 3, $N226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226" s="6">
        <f t="shared" ca="1" si="42"/>
        <v>7</v>
      </c>
      <c r="O226" s="6" t="e">
        <f t="shared" ca="1" si="43"/>
        <v>#N/A</v>
      </c>
      <c r="P226" s="8">
        <f t="shared" ca="1" si="44"/>
        <v>43248</v>
      </c>
      <c r="Q226" s="6">
        <f ca="1">RANDBETWEEN(2,COUNTA('Recruitment source'!$A:$A))</f>
        <v>11</v>
      </c>
      <c r="R226" s="8" t="e">
        <f t="shared" ca="1" si="45"/>
        <v>#N/A</v>
      </c>
      <c r="S226" s="6" t="e">
        <f t="shared" ca="1" si="46"/>
        <v>#N/A</v>
      </c>
      <c r="T226" s="6">
        <f t="shared" ca="1" si="36"/>
        <v>2</v>
      </c>
      <c r="U226" s="1">
        <f t="shared" ca="1" si="47"/>
        <v>1085</v>
      </c>
    </row>
    <row r="227" spans="1:21" x14ac:dyDescent="0.2">
      <c r="A227" s="7" cm="1">
        <f t="array" aca="1" ref="A227" ca="1">INDEX(Companies!$A:$A,RANDBETWEEN(2,COUNTA(Companies!$A:$A)),1)</f>
        <v>2</v>
      </c>
      <c r="B227" s="5">
        <f t="shared" si="37"/>
        <v>226</v>
      </c>
      <c r="C227" s="6">
        <f t="shared" ca="1" si="38"/>
        <v>1</v>
      </c>
      <c r="D227" s="7">
        <f ca="1">IF($B227 = 1 + N("Presidente"),
    127,
    IF($B227 = 2 + N("Vice-Presidente"),
        72,
        IF($B227 = 3 + N("Secretária bilíngue"),
            13,
            RANDBETWEEN(5,COUNT(Name!$A:$A) + 1)
        )
    )
)</f>
        <v>14</v>
      </c>
      <c r="E227" s="7" t="str">
        <f ca="1" xml:space="preserve">
VLOOKUP(
  $D227,
  Name!$A:$B,
  2,
  FALSE
)
&amp; " " &amp;
IF($B227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Alexander de Oliveira Reis</v>
      </c>
      <c r="F227" s="7">
        <v>2</v>
      </c>
      <c r="G227" s="7" cm="1">
        <f t="array" aca="1" ref="G227" ca="1">INDEX(States!$B:$B,RANDBETWEEN(2,COUNTA(States!$A:$A)),1)</f>
        <v>14</v>
      </c>
      <c r="H227" s="7" t="str">
        <f ca="1">VLOOKUP($D227,Name!$A:$C,3,FALSE)</f>
        <v>M</v>
      </c>
      <c r="I227" s="7" cm="1">
        <f t="array" aca="1" ref="I227" ca="1">INDEX('Marital status'!$A:$A,RANDBETWEEN(2,COUNTA('Marital status'!$A:$A)),1)</f>
        <v>2</v>
      </c>
      <c r="J227" s="7">
        <f t="shared" ca="1" si="39"/>
        <v>2</v>
      </c>
      <c r="K227" s="8">
        <f t="shared" ca="1" si="40"/>
        <v>37085</v>
      </c>
      <c r="L227" s="6">
        <f t="shared" ca="1" si="41"/>
        <v>5</v>
      </c>
      <c r="M227" s="7">
        <f ca="1" xml:space="preserve">
  IF(OR($N227 = 2, $N227 = 3, $N227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227" s="6">
        <f t="shared" ca="1" si="42"/>
        <v>8</v>
      </c>
      <c r="O227" s="6">
        <f t="shared" ca="1" si="43"/>
        <v>2</v>
      </c>
      <c r="P227" s="8">
        <f t="shared" ca="1" si="44"/>
        <v>41074</v>
      </c>
      <c r="Q227" s="6">
        <f ca="1">RANDBETWEEN(2,COUNTA('Recruitment source'!$A:$A))</f>
        <v>11</v>
      </c>
      <c r="R227" s="8" t="e">
        <f t="shared" ca="1" si="45"/>
        <v>#N/A</v>
      </c>
      <c r="S227" s="6" t="e">
        <f t="shared" ca="1" si="46"/>
        <v>#N/A</v>
      </c>
      <c r="T227" s="6">
        <f t="shared" ca="1" si="36"/>
        <v>3</v>
      </c>
      <c r="U227" s="1">
        <f t="shared" ca="1" si="47"/>
        <v>2000</v>
      </c>
    </row>
    <row r="228" spans="1:21" x14ac:dyDescent="0.2">
      <c r="A228" s="7" cm="1">
        <f t="array" aca="1" ref="A228" ca="1">INDEX(Companies!$A:$A,RANDBETWEEN(2,COUNTA(Companies!$A:$A)),1)</f>
        <v>2</v>
      </c>
      <c r="B228" s="5">
        <f t="shared" si="37"/>
        <v>227</v>
      </c>
      <c r="C228" s="6">
        <f t="shared" ca="1" si="38"/>
        <v>1</v>
      </c>
      <c r="D228" s="7">
        <f ca="1">IF($B228 = 1 + N("Presidente"),
    127,
    IF($B228 = 2 + N("Vice-Presidente"),
        72,
        IF($B228 = 3 + N("Secretária bilíngue"),
            13,
            RANDBETWEEN(5,COUNT(Name!$A:$A) + 1)
        )
    )
)</f>
        <v>40</v>
      </c>
      <c r="E228" s="7" t="str">
        <f ca="1" xml:space="preserve">
VLOOKUP(
  $D228,
  Name!$A:$B,
  2,
  FALSE
)
&amp; " " &amp;
IF($B228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André Silva de Oliveira</v>
      </c>
      <c r="F228" s="7">
        <v>2</v>
      </c>
      <c r="G228" s="7" cm="1">
        <f t="array" aca="1" ref="G228" ca="1">INDEX(States!$B:$B,RANDBETWEEN(2,COUNTA(States!$A:$A)),1)</f>
        <v>6</v>
      </c>
      <c r="H228" s="7" t="str">
        <f ca="1">VLOOKUP($D228,Name!$A:$C,3,FALSE)</f>
        <v>M</v>
      </c>
      <c r="I228" s="7" cm="1">
        <f t="array" aca="1" ref="I228" ca="1">INDEX('Marital status'!$A:$A,RANDBETWEEN(2,COUNTA('Marital status'!$A:$A)),1)</f>
        <v>2</v>
      </c>
      <c r="J228" s="7">
        <f t="shared" ca="1" si="39"/>
        <v>5</v>
      </c>
      <c r="K228" s="8">
        <f t="shared" ca="1" si="40"/>
        <v>20639</v>
      </c>
      <c r="L228" s="6">
        <f t="shared" ca="1" si="41"/>
        <v>4</v>
      </c>
      <c r="M228" s="7">
        <f ca="1" xml:space="preserve">
  IF(OR($N228 = 2, $N228 = 3, $N228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228" s="6">
        <f t="shared" ca="1" si="42"/>
        <v>6</v>
      </c>
      <c r="O228" s="6" t="e">
        <f t="shared" ca="1" si="43"/>
        <v>#N/A</v>
      </c>
      <c r="P228" s="8">
        <f t="shared" ca="1" si="44"/>
        <v>41591</v>
      </c>
      <c r="Q228" s="6">
        <f ca="1">RANDBETWEEN(2,COUNTA('Recruitment source'!$A:$A))</f>
        <v>3</v>
      </c>
      <c r="R228" s="8" t="e">
        <f t="shared" ca="1" si="45"/>
        <v>#N/A</v>
      </c>
      <c r="S228" s="6" t="e">
        <f t="shared" ca="1" si="46"/>
        <v>#N/A</v>
      </c>
      <c r="T228" s="6">
        <f t="shared" ca="1" si="36"/>
        <v>2</v>
      </c>
      <c r="U228" s="1">
        <f t="shared" ca="1" si="47"/>
        <v>805</v>
      </c>
    </row>
    <row r="229" spans="1:21" x14ac:dyDescent="0.2">
      <c r="A229" s="7" cm="1">
        <f t="array" aca="1" ref="A229" ca="1">INDEX(Companies!$A:$A,RANDBETWEEN(2,COUNTA(Companies!$A:$A)),1)</f>
        <v>2</v>
      </c>
      <c r="B229" s="5">
        <f t="shared" si="37"/>
        <v>228</v>
      </c>
      <c r="C229" s="6">
        <f t="shared" ca="1" si="38"/>
        <v>1</v>
      </c>
      <c r="D229" s="7">
        <f ca="1">IF($B229 = 1 + N("Presidente"),
    127,
    IF($B229 = 2 + N("Vice-Presidente"),
        72,
        IF($B229 = 3 + N("Secretária bilíngue"),
            13,
            RANDBETWEEN(5,COUNT(Name!$A:$A) + 1)
        )
    )
)</f>
        <v>123</v>
      </c>
      <c r="E229" s="7" t="str">
        <f ca="1" xml:space="preserve">
VLOOKUP(
  $D229,
  Name!$A:$B,
  2,
  FALSE
)
&amp; " " &amp;
IF($B229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Emanuelly Alvim Faro</v>
      </c>
      <c r="F229" s="7">
        <v>2</v>
      </c>
      <c r="G229" s="7" cm="1">
        <f t="array" aca="1" ref="G229" ca="1">INDEX(States!$B:$B,RANDBETWEEN(2,COUNTA(States!$A:$A)),1)</f>
        <v>8</v>
      </c>
      <c r="H229" s="7" t="str">
        <f ca="1">VLOOKUP($D229,Name!$A:$C,3,FALSE)</f>
        <v>F</v>
      </c>
      <c r="I229" s="7" cm="1">
        <f t="array" aca="1" ref="I229" ca="1">INDEX('Marital status'!$A:$A,RANDBETWEEN(2,COUNTA('Marital status'!$A:$A)),1)</f>
        <v>6</v>
      </c>
      <c r="J229" s="7">
        <f t="shared" ca="1" si="39"/>
        <v>2</v>
      </c>
      <c r="K229" s="8">
        <f t="shared" ca="1" si="40"/>
        <v>35673</v>
      </c>
      <c r="L229" s="6">
        <f t="shared" ca="1" si="41"/>
        <v>5</v>
      </c>
      <c r="M229" s="7">
        <f ca="1" xml:space="preserve">
  IF(OR($N229 = 2, $N229 = 3, $N229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229" s="6">
        <f t="shared" ca="1" si="42"/>
        <v>8</v>
      </c>
      <c r="O229" s="6">
        <f t="shared" ca="1" si="43"/>
        <v>3</v>
      </c>
      <c r="P229" s="8">
        <f t="shared" ca="1" si="44"/>
        <v>41163</v>
      </c>
      <c r="Q229" s="6">
        <f ca="1">RANDBETWEEN(2,COUNTA('Recruitment source'!$A:$A))</f>
        <v>8</v>
      </c>
      <c r="R229" s="8" t="e">
        <f t="shared" ca="1" si="45"/>
        <v>#N/A</v>
      </c>
      <c r="S229" s="6" t="e">
        <f t="shared" ca="1" si="46"/>
        <v>#N/A</v>
      </c>
      <c r="T229" s="6">
        <f t="shared" ca="1" si="36"/>
        <v>2</v>
      </c>
      <c r="U229" s="1">
        <f t="shared" ca="1" si="47"/>
        <v>2000</v>
      </c>
    </row>
    <row r="230" spans="1:21" x14ac:dyDescent="0.2">
      <c r="A230" s="7" cm="1">
        <f t="array" aca="1" ref="A230" ca="1">INDEX(Companies!$A:$A,RANDBETWEEN(2,COUNTA(Companies!$A:$A)),1)</f>
        <v>2</v>
      </c>
      <c r="B230" s="5">
        <f t="shared" si="37"/>
        <v>229</v>
      </c>
      <c r="C230" s="6">
        <f t="shared" ca="1" si="38"/>
        <v>1</v>
      </c>
      <c r="D230" s="7">
        <f ca="1">IF($B230 = 1 + N("Presidente"),
    127,
    IF($B230 = 2 + N("Vice-Presidente"),
        72,
        IF($B230 = 3 + N("Secretária bilíngue"),
            13,
            RANDBETWEEN(5,COUNT(Name!$A:$A) + 1)
        )
    )
)</f>
        <v>285</v>
      </c>
      <c r="E230" s="7" t="str">
        <f ca="1" xml:space="preserve">
VLOOKUP(
  $D230,
  Name!$A:$B,
  2,
  FALSE
)
&amp; " " &amp;
IF($B230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Martin Esposito Ferrari</v>
      </c>
      <c r="F230" s="7">
        <v>2</v>
      </c>
      <c r="G230" s="7" cm="1">
        <f t="array" aca="1" ref="G230" ca="1">INDEX(States!$B:$B,RANDBETWEEN(2,COUNTA(States!$A:$A)),1)</f>
        <v>10</v>
      </c>
      <c r="H230" s="7" t="str">
        <f ca="1">VLOOKUP($D230,Name!$A:$C,3,FALSE)</f>
        <v>M</v>
      </c>
      <c r="I230" s="7" cm="1">
        <f t="array" aca="1" ref="I230" ca="1">INDEX('Marital status'!$A:$A,RANDBETWEEN(2,COUNTA('Marital status'!$A:$A)),1)</f>
        <v>4</v>
      </c>
      <c r="J230" s="7">
        <f t="shared" ca="1" si="39"/>
        <v>2</v>
      </c>
      <c r="K230" s="8">
        <f t="shared" ca="1" si="40"/>
        <v>30288</v>
      </c>
      <c r="L230" s="6">
        <f t="shared" ca="1" si="41"/>
        <v>4</v>
      </c>
      <c r="M230" s="7">
        <f ca="1" xml:space="preserve">
  IF(OR($N230 = 2, $N230 = 3, $N230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230" s="6">
        <f t="shared" ca="1" si="42"/>
        <v>7</v>
      </c>
      <c r="O230" s="6" t="e">
        <f t="shared" ca="1" si="43"/>
        <v>#N/A</v>
      </c>
      <c r="P230" s="8">
        <f t="shared" ca="1" si="44"/>
        <v>39611</v>
      </c>
      <c r="Q230" s="6">
        <f ca="1">RANDBETWEEN(2,COUNTA('Recruitment source'!$A:$A))</f>
        <v>12</v>
      </c>
      <c r="R230" s="8" t="e">
        <f t="shared" ca="1" si="45"/>
        <v>#N/A</v>
      </c>
      <c r="S230" s="6" t="e">
        <f t="shared" ca="1" si="46"/>
        <v>#N/A</v>
      </c>
      <c r="T230" s="6">
        <f t="shared" ca="1" si="36"/>
        <v>4</v>
      </c>
      <c r="U230" s="1">
        <f t="shared" ca="1" si="47"/>
        <v>1005</v>
      </c>
    </row>
    <row r="231" spans="1:21" x14ac:dyDescent="0.2">
      <c r="A231" s="7" cm="1">
        <f t="array" aca="1" ref="A231" ca="1">INDEX(Companies!$A:$A,RANDBETWEEN(2,COUNTA(Companies!$A:$A)),1)</f>
        <v>2</v>
      </c>
      <c r="B231" s="5">
        <f t="shared" si="37"/>
        <v>230</v>
      </c>
      <c r="C231" s="6">
        <f t="shared" ca="1" si="38"/>
        <v>1</v>
      </c>
      <c r="D231" s="7">
        <f ca="1">IF($B231 = 1 + N("Presidente"),
    127,
    IF($B231 = 2 + N("Vice-Presidente"),
        72,
        IF($B231 = 3 + N("Secretária bilíngue"),
            13,
            RANDBETWEEN(5,COUNT(Name!$A:$A) + 1)
        )
    )
)</f>
        <v>143</v>
      </c>
      <c r="E231" s="7" t="str">
        <f ca="1" xml:space="preserve">
VLOOKUP(
  $D231,
  Name!$A:$B,
  2,
  FALSE
)
&amp; " " &amp;
IF($B231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Flavio Pedroso Nunes</v>
      </c>
      <c r="F231" s="7">
        <v>2</v>
      </c>
      <c r="G231" s="7" cm="1">
        <f t="array" aca="1" ref="G231" ca="1">INDEX(States!$B:$B,RANDBETWEEN(2,COUNTA(States!$A:$A)),1)</f>
        <v>14</v>
      </c>
      <c r="H231" s="7" t="str">
        <f ca="1">VLOOKUP($D231,Name!$A:$C,3,FALSE)</f>
        <v>M</v>
      </c>
      <c r="I231" s="7" cm="1">
        <f t="array" aca="1" ref="I231" ca="1">INDEX('Marital status'!$A:$A,RANDBETWEEN(2,COUNTA('Marital status'!$A:$A)),1)</f>
        <v>2</v>
      </c>
      <c r="J231" s="7">
        <f t="shared" ca="1" si="39"/>
        <v>4</v>
      </c>
      <c r="K231" s="8">
        <f t="shared" ca="1" si="40"/>
        <v>32519</v>
      </c>
      <c r="L231" s="6">
        <f t="shared" ca="1" si="41"/>
        <v>5</v>
      </c>
      <c r="M231" s="7">
        <f ca="1" xml:space="preserve">
  IF(OR($N231 = 2, $N231 = 3, $N231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231" s="6">
        <f t="shared" ca="1" si="42"/>
        <v>8</v>
      </c>
      <c r="O231" s="6">
        <f t="shared" ca="1" si="43"/>
        <v>2</v>
      </c>
      <c r="P231" s="8">
        <f t="shared" ca="1" si="44"/>
        <v>40762</v>
      </c>
      <c r="Q231" s="6">
        <f ca="1">RANDBETWEEN(2,COUNTA('Recruitment source'!$A:$A))</f>
        <v>9</v>
      </c>
      <c r="R231" s="8" t="e">
        <f t="shared" ca="1" si="45"/>
        <v>#N/A</v>
      </c>
      <c r="S231" s="6" t="e">
        <f t="shared" ca="1" si="46"/>
        <v>#N/A</v>
      </c>
      <c r="T231" s="6">
        <f t="shared" ca="1" si="36"/>
        <v>2</v>
      </c>
      <c r="U231" s="1">
        <f t="shared" ca="1" si="47"/>
        <v>2000</v>
      </c>
    </row>
    <row r="232" spans="1:21" x14ac:dyDescent="0.2">
      <c r="A232" s="7" cm="1">
        <f t="array" aca="1" ref="A232" ca="1">INDEX(Companies!$A:$A,RANDBETWEEN(2,COUNTA(Companies!$A:$A)),1)</f>
        <v>2</v>
      </c>
      <c r="B232" s="5">
        <f t="shared" si="37"/>
        <v>231</v>
      </c>
      <c r="C232" s="6">
        <f t="shared" ca="1" si="38"/>
        <v>1</v>
      </c>
      <c r="D232" s="7">
        <f ca="1">IF($B232 = 1 + N("Presidente"),
    127,
    IF($B232 = 2 + N("Vice-Presidente"),
        72,
        IF($B232 = 3 + N("Secretária bilíngue"),
            13,
            RANDBETWEEN(5,COUNT(Name!$A:$A) + 1)
        )
    )
)</f>
        <v>357</v>
      </c>
      <c r="E232" s="7" t="str">
        <f ca="1" xml:space="preserve">
VLOOKUP(
  $D232,
  Name!$A:$B,
  2,
  FALSE
)
&amp; " " &amp;
IF($B232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Vinicios Noronha Rinaldi</v>
      </c>
      <c r="F232" s="7">
        <v>2</v>
      </c>
      <c r="G232" s="7" cm="1">
        <f t="array" aca="1" ref="G232" ca="1">INDEX(States!$B:$B,RANDBETWEEN(2,COUNTA(States!$A:$A)),1)</f>
        <v>11</v>
      </c>
      <c r="H232" s="7" t="str">
        <f ca="1">VLOOKUP($D232,Name!$A:$C,3,FALSE)</f>
        <v>M</v>
      </c>
      <c r="I232" s="7" cm="1">
        <f t="array" aca="1" ref="I232" ca="1">INDEX('Marital status'!$A:$A,RANDBETWEEN(2,COUNTA('Marital status'!$A:$A)),1)</f>
        <v>4</v>
      </c>
      <c r="J232" s="7">
        <f t="shared" ca="1" si="39"/>
        <v>2</v>
      </c>
      <c r="K232" s="8">
        <f t="shared" ca="1" si="40"/>
        <v>35735</v>
      </c>
      <c r="L232" s="6">
        <f t="shared" ca="1" si="41"/>
        <v>4</v>
      </c>
      <c r="M232" s="7">
        <f ca="1" xml:space="preserve">
  IF(OR($N232 = 2, $N232 = 3, $N232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232" s="6">
        <f t="shared" ca="1" si="42"/>
        <v>7</v>
      </c>
      <c r="O232" s="6" t="e">
        <f t="shared" ca="1" si="43"/>
        <v>#N/A</v>
      </c>
      <c r="P232" s="8">
        <f t="shared" ca="1" si="44"/>
        <v>43744</v>
      </c>
      <c r="Q232" s="6">
        <f ca="1">RANDBETWEEN(2,COUNTA('Recruitment source'!$A:$A))</f>
        <v>12</v>
      </c>
      <c r="R232" s="8" t="e">
        <f t="shared" ca="1" si="45"/>
        <v>#N/A</v>
      </c>
      <c r="S232" s="6" t="e">
        <f t="shared" ca="1" si="46"/>
        <v>#N/A</v>
      </c>
      <c r="T232" s="6">
        <f t="shared" ca="1" si="36"/>
        <v>3</v>
      </c>
      <c r="U232" s="1">
        <f t="shared" ca="1" si="47"/>
        <v>1005</v>
      </c>
    </row>
    <row r="233" spans="1:21" x14ac:dyDescent="0.2">
      <c r="A233" s="7" cm="1">
        <f t="array" aca="1" ref="A233" ca="1">INDEX(Companies!$A:$A,RANDBETWEEN(2,COUNTA(Companies!$A:$A)),1)</f>
        <v>2</v>
      </c>
      <c r="B233" s="5">
        <f t="shared" si="37"/>
        <v>232</v>
      </c>
      <c r="C233" s="6">
        <f t="shared" ca="1" si="38"/>
        <v>1</v>
      </c>
      <c r="D233" s="7">
        <f ca="1">IF($B233 = 1 + N("Presidente"),
    127,
    IF($B233 = 2 + N("Vice-Presidente"),
        72,
        IF($B233 = 3 + N("Secretária bilíngue"),
            13,
            RANDBETWEEN(5,COUNT(Name!$A:$A) + 1)
        )
    )
)</f>
        <v>264</v>
      </c>
      <c r="E233" s="7" t="str">
        <f ca="1" xml:space="preserve">
VLOOKUP(
  $D233,
  Name!$A:$B,
  2,
  FALSE
)
&amp; " " &amp;
IF($B233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Flor Zil Lombardi</v>
      </c>
      <c r="F233" s="7">
        <v>2</v>
      </c>
      <c r="G233" s="7" cm="1">
        <f t="array" aca="1" ref="G233" ca="1">INDEX(States!$B:$B,RANDBETWEEN(2,COUNTA(States!$A:$A)),1)</f>
        <v>6</v>
      </c>
      <c r="H233" s="7" t="str">
        <f ca="1">VLOOKUP($D233,Name!$A:$C,3,FALSE)</f>
        <v>F</v>
      </c>
      <c r="I233" s="7" cm="1">
        <f t="array" aca="1" ref="I233" ca="1">INDEX('Marital status'!$A:$A,RANDBETWEEN(2,COUNTA('Marital status'!$A:$A)),1)</f>
        <v>3</v>
      </c>
      <c r="J233" s="7">
        <f t="shared" ca="1" si="39"/>
        <v>2</v>
      </c>
      <c r="K233" s="8">
        <f t="shared" ca="1" si="40"/>
        <v>37662</v>
      </c>
      <c r="L233" s="6">
        <f t="shared" ca="1" si="41"/>
        <v>4</v>
      </c>
      <c r="M233" s="7">
        <f ca="1" xml:space="preserve">
  IF(OR($N233 = 2, $N233 = 3, $N233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233" s="6">
        <f t="shared" ca="1" si="42"/>
        <v>8</v>
      </c>
      <c r="O233" s="6">
        <f t="shared" ca="1" si="43"/>
        <v>3</v>
      </c>
      <c r="P233" s="8">
        <f t="shared" ca="1" si="44"/>
        <v>39574</v>
      </c>
      <c r="Q233" s="6">
        <f ca="1">RANDBETWEEN(2,COUNTA('Recruitment source'!$A:$A))</f>
        <v>12</v>
      </c>
      <c r="R233" s="8" t="e">
        <f t="shared" ca="1" si="45"/>
        <v>#N/A</v>
      </c>
      <c r="S233" s="6" t="e">
        <f t="shared" ca="1" si="46"/>
        <v>#N/A</v>
      </c>
      <c r="T233" s="6">
        <f t="shared" ca="1" si="36"/>
        <v>3</v>
      </c>
      <c r="U233" s="1">
        <f t="shared" ca="1" si="47"/>
        <v>2000</v>
      </c>
    </row>
    <row r="234" spans="1:21" x14ac:dyDescent="0.2">
      <c r="A234" s="7" cm="1">
        <f t="array" aca="1" ref="A234" ca="1">INDEX(Companies!$A:$A,RANDBETWEEN(2,COUNTA(Companies!$A:$A)),1)</f>
        <v>2</v>
      </c>
      <c r="B234" s="5">
        <f t="shared" si="37"/>
        <v>233</v>
      </c>
      <c r="C234" s="6">
        <f t="shared" ca="1" si="38"/>
        <v>1</v>
      </c>
      <c r="D234" s="7">
        <f ca="1">IF($B234 = 1 + N("Presidente"),
    127,
    IF($B234 = 2 + N("Vice-Presidente"),
        72,
        IF($B234 = 3 + N("Secretária bilíngue"),
            13,
            RANDBETWEEN(5,COUNT(Name!$A:$A) + 1)
        )
    )
)</f>
        <v>240</v>
      </c>
      <c r="E234" s="7" t="str">
        <f ca="1" xml:space="preserve">
VLOOKUP(
  $D234,
  Name!$A:$B,
  2,
  FALSE
)
&amp; " " &amp;
IF($B234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Lucca Galli Nascimento</v>
      </c>
      <c r="F234" s="7">
        <v>2</v>
      </c>
      <c r="G234" s="7" cm="1">
        <f t="array" aca="1" ref="G234" ca="1">INDEX(States!$B:$B,RANDBETWEEN(2,COUNTA(States!$A:$A)),1)</f>
        <v>21</v>
      </c>
      <c r="H234" s="7" t="str">
        <f ca="1">VLOOKUP($D234,Name!$A:$C,3,FALSE)</f>
        <v>M</v>
      </c>
      <c r="I234" s="7" cm="1">
        <f t="array" aca="1" ref="I234" ca="1">INDEX('Marital status'!$A:$A,RANDBETWEEN(2,COUNTA('Marital status'!$A:$A)),1)</f>
        <v>3</v>
      </c>
      <c r="J234" s="7">
        <f t="shared" ca="1" si="39"/>
        <v>2</v>
      </c>
      <c r="K234" s="8">
        <f t="shared" ca="1" si="40"/>
        <v>31590</v>
      </c>
      <c r="L234" s="6">
        <f t="shared" ca="1" si="41"/>
        <v>4</v>
      </c>
      <c r="M234" s="7">
        <f ca="1" xml:space="preserve">
  IF(OR($N234 = 2, $N234 = 3, $N234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234" s="6">
        <f t="shared" ca="1" si="42"/>
        <v>7</v>
      </c>
      <c r="O234" s="6" t="e">
        <f t="shared" ca="1" si="43"/>
        <v>#N/A</v>
      </c>
      <c r="P234" s="8">
        <f t="shared" ca="1" si="44"/>
        <v>43936</v>
      </c>
      <c r="Q234" s="6">
        <f ca="1">RANDBETWEEN(2,COUNTA('Recruitment source'!$A:$A))</f>
        <v>8</v>
      </c>
      <c r="R234" s="8" t="e">
        <f t="shared" ca="1" si="45"/>
        <v>#N/A</v>
      </c>
      <c r="S234" s="6" t="e">
        <f t="shared" ca="1" si="46"/>
        <v>#N/A</v>
      </c>
      <c r="T234" s="6">
        <f t="shared" ca="1" si="36"/>
        <v>5</v>
      </c>
      <c r="U234" s="1">
        <f t="shared" ca="1" si="47"/>
        <v>1005</v>
      </c>
    </row>
    <row r="235" spans="1:21" x14ac:dyDescent="0.2">
      <c r="A235" s="7" cm="1">
        <f t="array" aca="1" ref="A235" ca="1">INDEX(Companies!$A:$A,RANDBETWEEN(2,COUNTA(Companies!$A:$A)),1)</f>
        <v>2</v>
      </c>
      <c r="B235" s="5">
        <f t="shared" si="37"/>
        <v>234</v>
      </c>
      <c r="C235" s="6">
        <f t="shared" ca="1" si="38"/>
        <v>1</v>
      </c>
      <c r="D235" s="7">
        <f ca="1">IF($B235 = 1 + N("Presidente"),
    127,
    IF($B235 = 2 + N("Vice-Presidente"),
        72,
        IF($B235 = 3 + N("Secretária bilíngue"),
            13,
            RANDBETWEEN(5,COUNT(Name!$A:$A) + 1)
        )
    )
)</f>
        <v>165</v>
      </c>
      <c r="E235" s="7" t="str">
        <f ca="1" xml:space="preserve">
VLOOKUP(
  $D235,
  Name!$A:$B,
  2,
  FALSE
)
&amp; " " &amp;
IF($B235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Heloise Figo Figo</v>
      </c>
      <c r="F235" s="7">
        <v>2</v>
      </c>
      <c r="G235" s="7" cm="1">
        <f t="array" aca="1" ref="G235" ca="1">INDEX(States!$B:$B,RANDBETWEEN(2,COUNTA(States!$A:$A)),1)</f>
        <v>2</v>
      </c>
      <c r="H235" s="7" t="str">
        <f ca="1">VLOOKUP($D235,Name!$A:$C,3,FALSE)</f>
        <v>F</v>
      </c>
      <c r="I235" s="7" cm="1">
        <f t="array" aca="1" ref="I235" ca="1">INDEX('Marital status'!$A:$A,RANDBETWEEN(2,COUNTA('Marital status'!$A:$A)),1)</f>
        <v>6</v>
      </c>
      <c r="J235" s="7">
        <f t="shared" ca="1" si="39"/>
        <v>2</v>
      </c>
      <c r="K235" s="8">
        <f t="shared" ca="1" si="40"/>
        <v>34909</v>
      </c>
      <c r="L235" s="6">
        <f t="shared" ca="1" si="41"/>
        <v>5</v>
      </c>
      <c r="M235" s="7">
        <f ca="1" xml:space="preserve">
  IF(OR($N235 = 2, $N235 = 3, $N235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235" s="6">
        <f t="shared" ca="1" si="42"/>
        <v>8</v>
      </c>
      <c r="O235" s="6">
        <f t="shared" ca="1" si="43"/>
        <v>2</v>
      </c>
      <c r="P235" s="8">
        <f t="shared" ca="1" si="44"/>
        <v>44060</v>
      </c>
      <c r="Q235" s="6">
        <f ca="1">RANDBETWEEN(2,COUNTA('Recruitment source'!$A:$A))</f>
        <v>4</v>
      </c>
      <c r="R235" s="8" t="e">
        <f t="shared" ca="1" si="45"/>
        <v>#N/A</v>
      </c>
      <c r="S235" s="6" t="e">
        <f t="shared" ca="1" si="46"/>
        <v>#N/A</v>
      </c>
      <c r="T235" s="6">
        <f t="shared" ca="1" si="36"/>
        <v>5</v>
      </c>
      <c r="U235" s="1">
        <f t="shared" ca="1" si="47"/>
        <v>2080</v>
      </c>
    </row>
    <row r="236" spans="1:21" x14ac:dyDescent="0.2">
      <c r="A236" s="7" cm="1">
        <f t="array" aca="1" ref="A236" ca="1">INDEX(Companies!$A:$A,RANDBETWEEN(2,COUNTA(Companies!$A:$A)),1)</f>
        <v>2</v>
      </c>
      <c r="B236" s="5">
        <f t="shared" si="37"/>
        <v>235</v>
      </c>
      <c r="C236" s="6">
        <f t="shared" ca="1" si="38"/>
        <v>1</v>
      </c>
      <c r="D236" s="7">
        <f ca="1">IF($B236 = 1 + N("Presidente"),
    127,
    IF($B236 = 2 + N("Vice-Presidente"),
        72,
        IF($B236 = 3 + N("Secretária bilíngue"),
            13,
            RANDBETWEEN(5,COUNT(Name!$A:$A) + 1)
        )
    )
)</f>
        <v>26</v>
      </c>
      <c r="E236" s="7" t="str">
        <f ca="1" xml:space="preserve">
VLOOKUP(
  $D236,
  Name!$A:$B,
  2,
  FALSE
)
&amp; " " &amp;
IF($B236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Beatriz de Oliveira Tavarez</v>
      </c>
      <c r="F236" s="7">
        <v>2</v>
      </c>
      <c r="G236" s="7" cm="1">
        <f t="array" aca="1" ref="G236" ca="1">INDEX(States!$B:$B,RANDBETWEEN(2,COUNTA(States!$A:$A)),1)</f>
        <v>2</v>
      </c>
      <c r="H236" s="7" t="str">
        <f ca="1">VLOOKUP($D236,Name!$A:$C,3,FALSE)</f>
        <v>F</v>
      </c>
      <c r="I236" s="7" cm="1">
        <f t="array" aca="1" ref="I236" ca="1">INDEX('Marital status'!$A:$A,RANDBETWEEN(2,COUNTA('Marital status'!$A:$A)),1)</f>
        <v>5</v>
      </c>
      <c r="J236" s="7">
        <f t="shared" ca="1" si="39"/>
        <v>2</v>
      </c>
      <c r="K236" s="8">
        <f t="shared" ca="1" si="40"/>
        <v>32792</v>
      </c>
      <c r="L236" s="6">
        <f t="shared" ca="1" si="41"/>
        <v>4</v>
      </c>
      <c r="M236" s="7">
        <f ca="1" xml:space="preserve">
  IF(OR($N236 = 2, $N236 = 3, $N236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236" s="6">
        <f t="shared" ca="1" si="42"/>
        <v>7</v>
      </c>
      <c r="O236" s="6" t="e">
        <f t="shared" ca="1" si="43"/>
        <v>#N/A</v>
      </c>
      <c r="P236" s="8">
        <f t="shared" ca="1" si="44"/>
        <v>39407</v>
      </c>
      <c r="Q236" s="6">
        <f ca="1">RANDBETWEEN(2,COUNTA('Recruitment source'!$A:$A))</f>
        <v>6</v>
      </c>
      <c r="R236" s="8" t="e">
        <f t="shared" ca="1" si="45"/>
        <v>#N/A</v>
      </c>
      <c r="S236" s="6" t="e">
        <f t="shared" ca="1" si="46"/>
        <v>#N/A</v>
      </c>
      <c r="T236" s="6">
        <f t="shared" ca="1" si="36"/>
        <v>5</v>
      </c>
      <c r="U236" s="1">
        <f t="shared" ca="1" si="47"/>
        <v>1005</v>
      </c>
    </row>
    <row r="237" spans="1:21" x14ac:dyDescent="0.2">
      <c r="A237" s="7" cm="1">
        <f t="array" aca="1" ref="A237" ca="1">INDEX(Companies!$A:$A,RANDBETWEEN(2,COUNTA(Companies!$A:$A)),1)</f>
        <v>2</v>
      </c>
      <c r="B237" s="5">
        <f t="shared" si="37"/>
        <v>236</v>
      </c>
      <c r="C237" s="6">
        <f t="shared" ca="1" si="38"/>
        <v>1</v>
      </c>
      <c r="D237" s="7">
        <f ca="1">IF($B237 = 1 + N("Presidente"),
    127,
    IF($B237 = 2 + N("Vice-Presidente"),
        72,
        IF($B237 = 3 + N("Secretária bilíngue"),
            13,
            RANDBETWEEN(5,COUNT(Name!$A:$A) + 1)
        )
    )
)</f>
        <v>54</v>
      </c>
      <c r="E237" s="7" t="str">
        <f ca="1" xml:space="preserve">
VLOOKUP(
  $D237,
  Name!$A:$B,
  2,
  FALSE
)
&amp; " " &amp;
IF($B237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Ariela Negrão Romano</v>
      </c>
      <c r="F237" s="7">
        <v>2</v>
      </c>
      <c r="G237" s="7" cm="1">
        <f t="array" aca="1" ref="G237" ca="1">INDEX(States!$B:$B,RANDBETWEEN(2,COUNTA(States!$A:$A)),1)</f>
        <v>3</v>
      </c>
      <c r="H237" s="7" t="str">
        <f ca="1">VLOOKUP($D237,Name!$A:$C,3,FALSE)</f>
        <v>F</v>
      </c>
      <c r="I237" s="7" cm="1">
        <f t="array" aca="1" ref="I237" ca="1">INDEX('Marital status'!$A:$A,RANDBETWEEN(2,COUNTA('Marital status'!$A:$A)),1)</f>
        <v>3</v>
      </c>
      <c r="J237" s="7">
        <f t="shared" ca="1" si="39"/>
        <v>2</v>
      </c>
      <c r="K237" s="8">
        <f t="shared" ca="1" si="40"/>
        <v>37890</v>
      </c>
      <c r="L237" s="6">
        <f t="shared" ca="1" si="41"/>
        <v>4</v>
      </c>
      <c r="M237" s="7">
        <f ca="1" xml:space="preserve">
  IF(OR($N237 = 2, $N237 = 3, $N237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237" s="6">
        <f t="shared" ca="1" si="42"/>
        <v>8</v>
      </c>
      <c r="O237" s="6">
        <f t="shared" ca="1" si="43"/>
        <v>3</v>
      </c>
      <c r="P237" s="8">
        <f t="shared" ca="1" si="44"/>
        <v>41600</v>
      </c>
      <c r="Q237" s="6">
        <f ca="1">RANDBETWEEN(2,COUNTA('Recruitment source'!$A:$A))</f>
        <v>8</v>
      </c>
      <c r="R237" s="8" t="e">
        <f t="shared" ca="1" si="45"/>
        <v>#N/A</v>
      </c>
      <c r="S237" s="6" t="e">
        <f t="shared" ca="1" si="46"/>
        <v>#N/A</v>
      </c>
      <c r="T237" s="6">
        <f t="shared" ca="1" si="36"/>
        <v>3</v>
      </c>
      <c r="U237" s="1">
        <f t="shared" ca="1" si="47"/>
        <v>2080</v>
      </c>
    </row>
    <row r="238" spans="1:21" x14ac:dyDescent="0.2">
      <c r="A238" s="7" cm="1">
        <f t="array" aca="1" ref="A238" ca="1">INDEX(Companies!$A:$A,RANDBETWEEN(2,COUNTA(Companies!$A:$A)),1)</f>
        <v>2</v>
      </c>
      <c r="B238" s="5">
        <f t="shared" si="37"/>
        <v>237</v>
      </c>
      <c r="C238" s="6">
        <f t="shared" ca="1" si="38"/>
        <v>1</v>
      </c>
      <c r="D238" s="7">
        <f ca="1">IF($B238 = 1 + N("Presidente"),
    127,
    IF($B238 = 2 + N("Vice-Presidente"),
        72,
        IF($B238 = 3 + N("Secretária bilíngue"),
            13,
            RANDBETWEEN(5,COUNT(Name!$A:$A) + 1)
        )
    )
)</f>
        <v>310</v>
      </c>
      <c r="E238" s="7" t="str">
        <f ca="1" xml:space="preserve">
VLOOKUP(
  $D238,
  Name!$A:$B,
  2,
  FALSE
)
&amp; " " &amp;
IF($B238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Oliver Cardoso Borba</v>
      </c>
      <c r="F238" s="7">
        <v>2</v>
      </c>
      <c r="G238" s="7" cm="1">
        <f t="array" aca="1" ref="G238" ca="1">INDEX(States!$B:$B,RANDBETWEEN(2,COUNTA(States!$A:$A)),1)</f>
        <v>5</v>
      </c>
      <c r="H238" s="7" t="str">
        <f ca="1">VLOOKUP($D238,Name!$A:$C,3,FALSE)</f>
        <v>M</v>
      </c>
      <c r="I238" s="7" cm="1">
        <f t="array" aca="1" ref="I238" ca="1">INDEX('Marital status'!$A:$A,RANDBETWEEN(2,COUNTA('Marital status'!$A:$A)),1)</f>
        <v>6</v>
      </c>
      <c r="J238" s="7">
        <f t="shared" ca="1" si="39"/>
        <v>3</v>
      </c>
      <c r="K238" s="8">
        <f t="shared" ca="1" si="40"/>
        <v>33000</v>
      </c>
      <c r="L238" s="6">
        <f t="shared" ca="1" si="41"/>
        <v>4</v>
      </c>
      <c r="M238" s="7">
        <f ca="1" xml:space="preserve">
  IF(OR($N238 = 2, $N238 = 3, $N238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238" s="6">
        <f t="shared" ca="1" si="42"/>
        <v>7</v>
      </c>
      <c r="O238" s="6" t="e">
        <f t="shared" ca="1" si="43"/>
        <v>#N/A</v>
      </c>
      <c r="P238" s="8">
        <f t="shared" ca="1" si="44"/>
        <v>38621</v>
      </c>
      <c r="Q238" s="6">
        <f ca="1">RANDBETWEEN(2,COUNTA('Recruitment source'!$A:$A))</f>
        <v>12</v>
      </c>
      <c r="R238" s="8" t="e">
        <f t="shared" ca="1" si="45"/>
        <v>#N/A</v>
      </c>
      <c r="S238" s="6" t="e">
        <f t="shared" ca="1" si="46"/>
        <v>#N/A</v>
      </c>
      <c r="T238" s="6">
        <f t="shared" ca="1" si="36"/>
        <v>5</v>
      </c>
      <c r="U238" s="1">
        <f t="shared" ca="1" si="47"/>
        <v>1005</v>
      </c>
    </row>
    <row r="239" spans="1:21" x14ac:dyDescent="0.2">
      <c r="A239" s="7" cm="1">
        <f t="array" aca="1" ref="A239" ca="1">INDEX(Companies!$A:$A,RANDBETWEEN(2,COUNTA(Companies!$A:$A)),1)</f>
        <v>2</v>
      </c>
      <c r="B239" s="5">
        <f t="shared" si="37"/>
        <v>238</v>
      </c>
      <c r="C239" s="6">
        <f t="shared" ca="1" si="38"/>
        <v>1</v>
      </c>
      <c r="D239" s="7">
        <f ca="1">IF($B239 = 1 + N("Presidente"),
    127,
    IF($B239 = 2 + N("Vice-Presidente"),
        72,
        IF($B239 = 3 + N("Secretária bilíngue"),
            13,
            RANDBETWEEN(5,COUNT(Name!$A:$A) + 1)
        )
    )
)</f>
        <v>185</v>
      </c>
      <c r="E239" s="7" t="str">
        <f ca="1" xml:space="preserve">
VLOOKUP(
  $D239,
  Name!$A:$B,
  2,
  FALSE
)
&amp; " " &amp;
IF($B239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Resende Alves</v>
      </c>
      <c r="F239" s="7">
        <v>2</v>
      </c>
      <c r="G239" s="7" cm="1">
        <f t="array" aca="1" ref="G239" ca="1">INDEX(States!$B:$B,RANDBETWEEN(2,COUNTA(States!$A:$A)),1)</f>
        <v>9</v>
      </c>
      <c r="H239" s="7" t="str">
        <f ca="1">VLOOKUP($D239,Name!$A:$C,3,FALSE)</f>
        <v>M</v>
      </c>
      <c r="I239" s="7" cm="1">
        <f t="array" aca="1" ref="I239" ca="1">INDEX('Marital status'!$A:$A,RANDBETWEEN(2,COUNTA('Marital status'!$A:$A)),1)</f>
        <v>3</v>
      </c>
      <c r="J239" s="7">
        <f t="shared" ca="1" si="39"/>
        <v>2</v>
      </c>
      <c r="K239" s="8">
        <f t="shared" ca="1" si="40"/>
        <v>37293</v>
      </c>
      <c r="L239" s="6">
        <f t="shared" ca="1" si="41"/>
        <v>4</v>
      </c>
      <c r="M239" s="7">
        <f ca="1" xml:space="preserve">
  IF(OR($N239 = 2, $N239 = 3, $N239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239" s="6">
        <f t="shared" ca="1" si="42"/>
        <v>8</v>
      </c>
      <c r="O239" s="6">
        <f t="shared" ca="1" si="43"/>
        <v>3</v>
      </c>
      <c r="P239" s="8">
        <f t="shared" ca="1" si="44"/>
        <v>41699</v>
      </c>
      <c r="Q239" s="6">
        <f ca="1">RANDBETWEEN(2,COUNTA('Recruitment source'!$A:$A))</f>
        <v>12</v>
      </c>
      <c r="R239" s="8" t="e">
        <f t="shared" ca="1" si="45"/>
        <v>#N/A</v>
      </c>
      <c r="S239" s="6" t="e">
        <f t="shared" ca="1" si="46"/>
        <v>#N/A</v>
      </c>
      <c r="T239" s="6">
        <f t="shared" ca="1" si="36"/>
        <v>4</v>
      </c>
      <c r="U239" s="1">
        <f t="shared" ca="1" si="47"/>
        <v>2000</v>
      </c>
    </row>
    <row r="240" spans="1:21" x14ac:dyDescent="0.2">
      <c r="A240" s="7" cm="1">
        <f t="array" aca="1" ref="A240" ca="1">INDEX(Companies!$A:$A,RANDBETWEEN(2,COUNTA(Companies!$A:$A)),1)</f>
        <v>2</v>
      </c>
      <c r="B240" s="5">
        <f t="shared" si="37"/>
        <v>239</v>
      </c>
      <c r="C240" s="6">
        <f t="shared" ca="1" si="38"/>
        <v>1</v>
      </c>
      <c r="D240" s="7">
        <f ca="1">IF($B240 = 1 + N("Presidente"),
    127,
    IF($B240 = 2 + N("Vice-Presidente"),
        72,
        IF($B240 = 3 + N("Secretária bilíngue"),
            13,
            RANDBETWEEN(5,COUNT(Name!$A:$A) + 1)
        )
    )
)</f>
        <v>127</v>
      </c>
      <c r="E240" s="7" t="str">
        <f ca="1" xml:space="preserve">
VLOOKUP(
  $D240,
  Name!$A:$B,
  2,
  FALSE
)
&amp; " " &amp;
IF($B240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Enzo Rangel Brasão</v>
      </c>
      <c r="F240" s="7">
        <v>2</v>
      </c>
      <c r="G240" s="7" cm="1">
        <f t="array" aca="1" ref="G240" ca="1">INDEX(States!$B:$B,RANDBETWEEN(2,COUNTA(States!$A:$A)),1)</f>
        <v>15</v>
      </c>
      <c r="H240" s="7" t="str">
        <f ca="1">VLOOKUP($D240,Name!$A:$C,3,FALSE)</f>
        <v>M</v>
      </c>
      <c r="I240" s="7" cm="1">
        <f t="array" aca="1" ref="I240" ca="1">INDEX('Marital status'!$A:$A,RANDBETWEEN(2,COUNTA('Marital status'!$A:$A)),1)</f>
        <v>3</v>
      </c>
      <c r="J240" s="7">
        <f t="shared" ca="1" si="39"/>
        <v>2</v>
      </c>
      <c r="K240" s="8">
        <f t="shared" ca="1" si="40"/>
        <v>21099</v>
      </c>
      <c r="L240" s="6">
        <f t="shared" ca="1" si="41"/>
        <v>4</v>
      </c>
      <c r="M240" s="7">
        <f ca="1" xml:space="preserve">
  IF(OR($N240 = 2, $N240 = 3, $N240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240" s="6">
        <f t="shared" ca="1" si="42"/>
        <v>6</v>
      </c>
      <c r="O240" s="6" t="e">
        <f t="shared" ca="1" si="43"/>
        <v>#N/A</v>
      </c>
      <c r="P240" s="8">
        <f t="shared" ca="1" si="44"/>
        <v>36276</v>
      </c>
      <c r="Q240" s="6">
        <f ca="1">RANDBETWEEN(2,COUNTA('Recruitment source'!$A:$A))</f>
        <v>12</v>
      </c>
      <c r="R240" s="8" t="e">
        <f t="shared" ca="1" si="45"/>
        <v>#N/A</v>
      </c>
      <c r="S240" s="6" t="e">
        <f t="shared" ca="1" si="46"/>
        <v>#N/A</v>
      </c>
      <c r="T240" s="6">
        <f t="shared" ca="1" si="36"/>
        <v>5</v>
      </c>
      <c r="U240" s="1">
        <f t="shared" ca="1" si="47"/>
        <v>805</v>
      </c>
    </row>
    <row r="241" spans="1:21" x14ac:dyDescent="0.2">
      <c r="A241" s="7" cm="1">
        <f t="array" aca="1" ref="A241" ca="1">INDEX(Companies!$A:$A,RANDBETWEEN(2,COUNTA(Companies!$A:$A)),1)</f>
        <v>2</v>
      </c>
      <c r="B241" s="5">
        <f t="shared" si="37"/>
        <v>240</v>
      </c>
      <c r="C241" s="6">
        <f t="shared" ca="1" si="38"/>
        <v>1</v>
      </c>
      <c r="D241" s="7">
        <f ca="1">IF($B241 = 1 + N("Presidente"),
    127,
    IF($B241 = 2 + N("Vice-Presidente"),
        72,
        IF($B241 = 3 + N("Secretária bilíngue"),
            13,
            RANDBETWEEN(5,COUNT(Name!$A:$A) + 1)
        )
    )
)</f>
        <v>170</v>
      </c>
      <c r="E241" s="7" t="str">
        <f ca="1" xml:space="preserve">
VLOOKUP(
  $D241,
  Name!$A:$B,
  2,
  FALSE
)
&amp; " " &amp;
IF($B241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Iara Ildelfonso Pinheiro</v>
      </c>
      <c r="F241" s="7">
        <v>2</v>
      </c>
      <c r="G241" s="7" cm="1">
        <f t="array" aca="1" ref="G241" ca="1">INDEX(States!$B:$B,RANDBETWEEN(2,COUNTA(States!$A:$A)),1)</f>
        <v>18</v>
      </c>
      <c r="H241" s="7" t="str">
        <f ca="1">VLOOKUP($D241,Name!$A:$C,3,FALSE)</f>
        <v>F</v>
      </c>
      <c r="I241" s="7" cm="1">
        <f t="array" aca="1" ref="I241" ca="1">INDEX('Marital status'!$A:$A,RANDBETWEEN(2,COUNTA('Marital status'!$A:$A)),1)</f>
        <v>5</v>
      </c>
      <c r="J241" s="7">
        <f t="shared" ca="1" si="39"/>
        <v>2</v>
      </c>
      <c r="K241" s="8">
        <f t="shared" ca="1" si="40"/>
        <v>36924</v>
      </c>
      <c r="L241" s="6">
        <f t="shared" ca="1" si="41"/>
        <v>5</v>
      </c>
      <c r="M241" s="7">
        <f ca="1" xml:space="preserve">
  IF(OR($N241 = 2, $N241 = 3, $N241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241" s="6">
        <f t="shared" ca="1" si="42"/>
        <v>8</v>
      </c>
      <c r="O241" s="6">
        <f t="shared" ca="1" si="43"/>
        <v>3</v>
      </c>
      <c r="P241" s="8">
        <f t="shared" ca="1" si="44"/>
        <v>43362</v>
      </c>
      <c r="Q241" s="6">
        <f ca="1">RANDBETWEEN(2,COUNTA('Recruitment source'!$A:$A))</f>
        <v>12</v>
      </c>
      <c r="R241" s="8" t="e">
        <f t="shared" ca="1" si="45"/>
        <v>#N/A</v>
      </c>
      <c r="S241" s="6" t="e">
        <f t="shared" ca="1" si="46"/>
        <v>#N/A</v>
      </c>
      <c r="T241" s="6">
        <f t="shared" ca="1" si="36"/>
        <v>5</v>
      </c>
      <c r="U241" s="1">
        <f t="shared" ca="1" si="47"/>
        <v>2080</v>
      </c>
    </row>
    <row r="242" spans="1:21" x14ac:dyDescent="0.2">
      <c r="A242" s="7" cm="1">
        <f t="array" aca="1" ref="A242" ca="1">INDEX(Companies!$A:$A,RANDBETWEEN(2,COUNTA(Companies!$A:$A)),1)</f>
        <v>2</v>
      </c>
      <c r="B242" s="5">
        <f t="shared" si="37"/>
        <v>241</v>
      </c>
      <c r="C242" s="6">
        <f t="shared" ca="1" si="38"/>
        <v>1</v>
      </c>
      <c r="D242" s="7">
        <f ca="1">IF($B242 = 1 + N("Presidente"),
    127,
    IF($B242 = 2 + N("Vice-Presidente"),
        72,
        IF($B242 = 3 + N("Secretária bilíngue"),
            13,
            RANDBETWEEN(5,COUNT(Name!$A:$A) + 1)
        )
    )
)</f>
        <v>52</v>
      </c>
      <c r="E242" s="7" t="str">
        <f ca="1" xml:space="preserve">
VLOOKUP(
  $D242,
  Name!$A:$B,
  2,
  FALSE
)
&amp; " " &amp;
IF($B242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Antônio Mancini Coelho</v>
      </c>
      <c r="F242" s="7">
        <v>2</v>
      </c>
      <c r="G242" s="7" cm="1">
        <f t="array" aca="1" ref="G242" ca="1">INDEX(States!$B:$B,RANDBETWEEN(2,COUNTA(States!$A:$A)),1)</f>
        <v>18</v>
      </c>
      <c r="H242" s="7" t="str">
        <f ca="1">VLOOKUP($D242,Name!$A:$C,3,FALSE)</f>
        <v>M</v>
      </c>
      <c r="I242" s="7" cm="1">
        <f t="array" aca="1" ref="I242" ca="1">INDEX('Marital status'!$A:$A,RANDBETWEEN(2,COUNTA('Marital status'!$A:$A)),1)</f>
        <v>2</v>
      </c>
      <c r="J242" s="7">
        <f t="shared" ca="1" si="39"/>
        <v>4</v>
      </c>
      <c r="K242" s="8">
        <f t="shared" ca="1" si="40"/>
        <v>33696</v>
      </c>
      <c r="L242" s="6">
        <f t="shared" ca="1" si="41"/>
        <v>4</v>
      </c>
      <c r="M242" s="7">
        <f ca="1" xml:space="preserve">
  IF(OR($N242 = 2, $N242 = 3, $N242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242" s="6">
        <f t="shared" ca="1" si="42"/>
        <v>7</v>
      </c>
      <c r="O242" s="6" t="e">
        <f t="shared" ca="1" si="43"/>
        <v>#N/A</v>
      </c>
      <c r="P242" s="8">
        <f t="shared" ca="1" si="44"/>
        <v>36563</v>
      </c>
      <c r="Q242" s="6">
        <f ca="1">RANDBETWEEN(2,COUNTA('Recruitment source'!$A:$A))</f>
        <v>12</v>
      </c>
      <c r="R242" s="8" t="e">
        <f t="shared" ca="1" si="45"/>
        <v>#N/A</v>
      </c>
      <c r="S242" s="6" t="e">
        <f t="shared" ca="1" si="46"/>
        <v>#N/A</v>
      </c>
      <c r="T242" s="6">
        <f t="shared" ca="1" si="36"/>
        <v>4</v>
      </c>
      <c r="U242" s="1">
        <f t="shared" ca="1" si="47"/>
        <v>1085</v>
      </c>
    </row>
    <row r="243" spans="1:21" x14ac:dyDescent="0.2">
      <c r="A243" s="7" cm="1">
        <f t="array" aca="1" ref="A243" ca="1">INDEX(Companies!$A:$A,RANDBETWEEN(2,COUNTA(Companies!$A:$A)),1)</f>
        <v>2</v>
      </c>
      <c r="B243" s="5">
        <f t="shared" si="37"/>
        <v>242</v>
      </c>
      <c r="C243" s="6">
        <f t="shared" ca="1" si="38"/>
        <v>1</v>
      </c>
      <c r="D243" s="7">
        <f ca="1">IF($B243 = 1 + N("Presidente"),
    127,
    IF($B243 = 2 + N("Vice-Presidente"),
        72,
        IF($B243 = 3 + N("Secretária bilíngue"),
            13,
            RANDBETWEEN(5,COUNT(Name!$A:$A) + 1)
        )
    )
)</f>
        <v>261</v>
      </c>
      <c r="E243" s="7" t="str">
        <f ca="1" xml:space="preserve">
VLOOKUP(
  $D243,
  Name!$A:$B,
  2,
  FALSE
)
&amp; " " &amp;
IF($B243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Clara Lombardi Giordano</v>
      </c>
      <c r="F243" s="7">
        <v>2</v>
      </c>
      <c r="G243" s="7" cm="1">
        <f t="array" aca="1" ref="G243" ca="1">INDEX(States!$B:$B,RANDBETWEEN(2,COUNTA(States!$A:$A)),1)</f>
        <v>10</v>
      </c>
      <c r="H243" s="7" t="str">
        <f ca="1">VLOOKUP($D243,Name!$A:$C,3,FALSE)</f>
        <v>F</v>
      </c>
      <c r="I243" s="7" cm="1">
        <f t="array" aca="1" ref="I243" ca="1">INDEX('Marital status'!$A:$A,RANDBETWEEN(2,COUNTA('Marital status'!$A:$A)),1)</f>
        <v>5</v>
      </c>
      <c r="J243" s="7">
        <f t="shared" ca="1" si="39"/>
        <v>2</v>
      </c>
      <c r="K243" s="8">
        <f t="shared" ca="1" si="40"/>
        <v>34727</v>
      </c>
      <c r="L243" s="6">
        <f t="shared" ca="1" si="41"/>
        <v>4</v>
      </c>
      <c r="M243" s="7">
        <f ca="1" xml:space="preserve">
  IF(OR($N243 = 2, $N243 = 3, $N243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243" s="6">
        <f t="shared" ca="1" si="42"/>
        <v>8</v>
      </c>
      <c r="O243" s="6">
        <f t="shared" ca="1" si="43"/>
        <v>2</v>
      </c>
      <c r="P243" s="8">
        <f t="shared" ca="1" si="44"/>
        <v>43554</v>
      </c>
      <c r="Q243" s="6">
        <f ca="1">RANDBETWEEN(2,COUNTA('Recruitment source'!$A:$A))</f>
        <v>7</v>
      </c>
      <c r="R243" s="8" t="e">
        <f t="shared" ca="1" si="45"/>
        <v>#N/A</v>
      </c>
      <c r="S243" s="6" t="e">
        <f t="shared" ca="1" si="46"/>
        <v>#N/A</v>
      </c>
      <c r="T243" s="6">
        <f t="shared" ca="1" si="36"/>
        <v>3</v>
      </c>
      <c r="U243" s="1">
        <f t="shared" ca="1" si="47"/>
        <v>2000</v>
      </c>
    </row>
    <row r="244" spans="1:21" x14ac:dyDescent="0.2">
      <c r="A244" s="7" cm="1">
        <f t="array" aca="1" ref="A244" ca="1">INDEX(Companies!$A:$A,RANDBETWEEN(2,COUNTA(Companies!$A:$A)),1)</f>
        <v>2</v>
      </c>
      <c r="B244" s="5">
        <f t="shared" si="37"/>
        <v>243</v>
      </c>
      <c r="C244" s="6">
        <f t="shared" ca="1" si="38"/>
        <v>1</v>
      </c>
      <c r="D244" s="7">
        <f ca="1">IF($B244 = 1 + N("Presidente"),
    127,
    IF($B244 = 2 + N("Vice-Presidente"),
        72,
        IF($B244 = 3 + N("Secretária bilíngue"),
            13,
            RANDBETWEEN(5,COUNT(Name!$A:$A) + 1)
        )
    )
)</f>
        <v>190</v>
      </c>
      <c r="E244" s="7" t="str">
        <f ca="1" xml:space="preserve">
VLOOKUP(
  $D244,
  Name!$A:$B,
  2,
  FALSE
)
&amp; " " &amp;
IF($B244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Miguel Soares Aleluia</v>
      </c>
      <c r="F244" s="7">
        <v>2</v>
      </c>
      <c r="G244" s="7" cm="1">
        <f t="array" aca="1" ref="G244" ca="1">INDEX(States!$B:$B,RANDBETWEEN(2,COUNTA(States!$A:$A)),1)</f>
        <v>17</v>
      </c>
      <c r="H244" s="7" t="str">
        <f ca="1">VLOOKUP($D244,Name!$A:$C,3,FALSE)</f>
        <v>M</v>
      </c>
      <c r="I244" s="7" cm="1">
        <f t="array" aca="1" ref="I244" ca="1">INDEX('Marital status'!$A:$A,RANDBETWEEN(2,COUNTA('Marital status'!$A:$A)),1)</f>
        <v>5</v>
      </c>
      <c r="J244" s="7">
        <f t="shared" ca="1" si="39"/>
        <v>2</v>
      </c>
      <c r="K244" s="8">
        <f t="shared" ca="1" si="40"/>
        <v>19157</v>
      </c>
      <c r="L244" s="6">
        <f t="shared" ca="1" si="41"/>
        <v>4</v>
      </c>
      <c r="M244" s="7">
        <f ca="1" xml:space="preserve">
  IF(OR($N244 = 2, $N244 = 3, $N244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244" s="6">
        <f t="shared" ca="1" si="42"/>
        <v>6</v>
      </c>
      <c r="O244" s="6" t="e">
        <f t="shared" ca="1" si="43"/>
        <v>#N/A</v>
      </c>
      <c r="P244" s="8">
        <f t="shared" ca="1" si="44"/>
        <v>37920</v>
      </c>
      <c r="Q244" s="6">
        <f ca="1">RANDBETWEEN(2,COUNTA('Recruitment source'!$A:$A))</f>
        <v>4</v>
      </c>
      <c r="R244" s="8" t="e">
        <f t="shared" ca="1" si="45"/>
        <v>#N/A</v>
      </c>
      <c r="S244" s="6" t="e">
        <f t="shared" ca="1" si="46"/>
        <v>#N/A</v>
      </c>
      <c r="T244" s="6">
        <f t="shared" ca="1" si="36"/>
        <v>4</v>
      </c>
      <c r="U244" s="1">
        <f t="shared" ca="1" si="47"/>
        <v>885</v>
      </c>
    </row>
    <row r="245" spans="1:21" x14ac:dyDescent="0.2">
      <c r="A245" s="7" cm="1">
        <f t="array" aca="1" ref="A245" ca="1">INDEX(Companies!$A:$A,RANDBETWEEN(2,COUNTA(Companies!$A:$A)),1)</f>
        <v>2</v>
      </c>
      <c r="B245" s="5">
        <f t="shared" si="37"/>
        <v>244</v>
      </c>
      <c r="C245" s="6">
        <f t="shared" ca="1" si="38"/>
        <v>1</v>
      </c>
      <c r="D245" s="7">
        <f ca="1">IF($B245 = 1 + N("Presidente"),
    127,
    IF($B245 = 2 + N("Vice-Presidente"),
        72,
        IF($B245 = 3 + N("Secretária bilíngue"),
            13,
            RANDBETWEEN(5,COUNT(Name!$A:$A) + 1)
        )
    )
)</f>
        <v>284</v>
      </c>
      <c r="E245" s="7" t="str">
        <f ca="1" xml:space="preserve">
VLOOKUP(
  $D245,
  Name!$A:$B,
  2,
  FALSE
)
&amp; " " &amp;
IF($B245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Martim Morato Mello</v>
      </c>
      <c r="F245" s="7">
        <v>2</v>
      </c>
      <c r="G245" s="7" cm="1">
        <f t="array" aca="1" ref="G245" ca="1">INDEX(States!$B:$B,RANDBETWEEN(2,COUNTA(States!$A:$A)),1)</f>
        <v>19</v>
      </c>
      <c r="H245" s="7" t="str">
        <f ca="1">VLOOKUP($D245,Name!$A:$C,3,FALSE)</f>
        <v>M</v>
      </c>
      <c r="I245" s="7" cm="1">
        <f t="array" aca="1" ref="I245" ca="1">INDEX('Marital status'!$A:$A,RANDBETWEEN(2,COUNTA('Marital status'!$A:$A)),1)</f>
        <v>5</v>
      </c>
      <c r="J245" s="7">
        <f t="shared" ca="1" si="39"/>
        <v>3</v>
      </c>
      <c r="K245" s="8">
        <f t="shared" ca="1" si="40"/>
        <v>32789</v>
      </c>
      <c r="L245" s="6">
        <f t="shared" ca="1" si="41"/>
        <v>5</v>
      </c>
      <c r="M245" s="7">
        <f ca="1" xml:space="preserve">
  IF(OR($N245 = 2, $N245 = 3, $N245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245" s="6">
        <f t="shared" ca="1" si="42"/>
        <v>8</v>
      </c>
      <c r="O245" s="6">
        <f t="shared" ca="1" si="43"/>
        <v>2</v>
      </c>
      <c r="P245" s="8">
        <f t="shared" ca="1" si="44"/>
        <v>44091</v>
      </c>
      <c r="Q245" s="6">
        <f ca="1">RANDBETWEEN(2,COUNTA('Recruitment source'!$A:$A))</f>
        <v>6</v>
      </c>
      <c r="R245" s="8" t="e">
        <f t="shared" ca="1" si="45"/>
        <v>#N/A</v>
      </c>
      <c r="S245" s="6" t="e">
        <f t="shared" ca="1" si="46"/>
        <v>#N/A</v>
      </c>
      <c r="T245" s="6">
        <f t="shared" ca="1" si="36"/>
        <v>2</v>
      </c>
      <c r="U245" s="1">
        <f t="shared" ca="1" si="47"/>
        <v>2080</v>
      </c>
    </row>
    <row r="246" spans="1:21" x14ac:dyDescent="0.2">
      <c r="A246" s="7" cm="1">
        <f t="array" aca="1" ref="A246" ca="1">INDEX(Companies!$A:$A,RANDBETWEEN(2,COUNTA(Companies!$A:$A)),1)</f>
        <v>2</v>
      </c>
      <c r="B246" s="5">
        <f t="shared" si="37"/>
        <v>245</v>
      </c>
      <c r="C246" s="6">
        <f t="shared" ca="1" si="38"/>
        <v>1</v>
      </c>
      <c r="D246" s="7">
        <f ca="1">IF($B246 = 1 + N("Presidente"),
    127,
    IF($B246 = 2 + N("Vice-Presidente"),
        72,
        IF($B246 = 3 + N("Secretária bilíngue"),
            13,
            RANDBETWEEN(5,COUNT(Name!$A:$A) + 1)
        )
    )
)</f>
        <v>236</v>
      </c>
      <c r="E246" s="7" t="str">
        <f ca="1" xml:space="preserve">
VLOOKUP(
  $D246,
  Name!$A:$B,
  2,
  FALSE
)
&amp; " " &amp;
IF($B246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Luana Paulista Fernandes</v>
      </c>
      <c r="F246" s="7">
        <v>2</v>
      </c>
      <c r="G246" s="7" cm="1">
        <f t="array" aca="1" ref="G246" ca="1">INDEX(States!$B:$B,RANDBETWEEN(2,COUNTA(States!$A:$A)),1)</f>
        <v>10</v>
      </c>
      <c r="H246" s="7" t="str">
        <f ca="1">VLOOKUP($D246,Name!$A:$C,3,FALSE)</f>
        <v>F</v>
      </c>
      <c r="I246" s="7" cm="1">
        <f t="array" aca="1" ref="I246" ca="1">INDEX('Marital status'!$A:$A,RANDBETWEEN(2,COUNTA('Marital status'!$A:$A)),1)</f>
        <v>2</v>
      </c>
      <c r="J246" s="7">
        <f t="shared" ca="1" si="39"/>
        <v>2</v>
      </c>
      <c r="K246" s="8">
        <f t="shared" ca="1" si="40"/>
        <v>31656</v>
      </c>
      <c r="L246" s="6">
        <f t="shared" ca="1" si="41"/>
        <v>4</v>
      </c>
      <c r="M246" s="7">
        <f ca="1" xml:space="preserve">
  IF(OR($N246 = 2, $N246 = 3, $N246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246" s="6">
        <f t="shared" ca="1" si="42"/>
        <v>7</v>
      </c>
      <c r="O246" s="6" t="e">
        <f t="shared" ca="1" si="43"/>
        <v>#N/A</v>
      </c>
      <c r="P246" s="8">
        <f t="shared" ca="1" si="44"/>
        <v>40590</v>
      </c>
      <c r="Q246" s="6">
        <f ca="1">RANDBETWEEN(2,COUNTA('Recruitment source'!$A:$A))</f>
        <v>5</v>
      </c>
      <c r="R246" s="8" t="e">
        <f t="shared" ca="1" si="45"/>
        <v>#N/A</v>
      </c>
      <c r="S246" s="6" t="e">
        <f t="shared" ca="1" si="46"/>
        <v>#N/A</v>
      </c>
      <c r="T246" s="6">
        <f t="shared" ca="1" si="36"/>
        <v>2</v>
      </c>
      <c r="U246" s="1">
        <f t="shared" ca="1" si="47"/>
        <v>1085</v>
      </c>
    </row>
    <row r="247" spans="1:21" x14ac:dyDescent="0.2">
      <c r="A247" s="7" cm="1">
        <f t="array" aca="1" ref="A247" ca="1">INDEX(Companies!$A:$A,RANDBETWEEN(2,COUNTA(Companies!$A:$A)),1)</f>
        <v>2</v>
      </c>
      <c r="B247" s="5">
        <f t="shared" si="37"/>
        <v>246</v>
      </c>
      <c r="C247" s="6">
        <f t="shared" ca="1" si="38"/>
        <v>1</v>
      </c>
      <c r="D247" s="7">
        <f ca="1">IF($B247 = 1 + N("Presidente"),
    127,
    IF($B247 = 2 + N("Vice-Presidente"),
        72,
        IF($B247 = 3 + N("Secretária bilíngue"),
            13,
            RANDBETWEEN(5,COUNT(Name!$A:$A) + 1)
        )
    )
)</f>
        <v>57</v>
      </c>
      <c r="E247" s="7" t="str">
        <f ca="1" xml:space="preserve">
VLOOKUP(
  $D247,
  Name!$A:$B,
  2,
  FALSE
)
&amp; " " &amp;
IF($B247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Henrique Mendes Reis</v>
      </c>
      <c r="F247" s="7">
        <v>2</v>
      </c>
      <c r="G247" s="7" cm="1">
        <f t="array" aca="1" ref="G247" ca="1">INDEX(States!$B:$B,RANDBETWEEN(2,COUNTA(States!$A:$A)),1)</f>
        <v>5</v>
      </c>
      <c r="H247" s="7" t="str">
        <f ca="1">VLOOKUP($D247,Name!$A:$C,3,FALSE)</f>
        <v>M</v>
      </c>
      <c r="I247" s="7" cm="1">
        <f t="array" aca="1" ref="I247" ca="1">INDEX('Marital status'!$A:$A,RANDBETWEEN(2,COUNTA('Marital status'!$A:$A)),1)</f>
        <v>4</v>
      </c>
      <c r="J247" s="7">
        <f t="shared" ca="1" si="39"/>
        <v>5</v>
      </c>
      <c r="K247" s="8">
        <f t="shared" ca="1" si="40"/>
        <v>37454</v>
      </c>
      <c r="L247" s="6">
        <f t="shared" ca="1" si="41"/>
        <v>4</v>
      </c>
      <c r="M247" s="7">
        <f ca="1" xml:space="preserve">
  IF(OR($N247 = 2, $N247 = 3, $N247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247" s="6">
        <f t="shared" ca="1" si="42"/>
        <v>8</v>
      </c>
      <c r="O247" s="6">
        <f t="shared" ca="1" si="43"/>
        <v>4</v>
      </c>
      <c r="P247" s="8">
        <f t="shared" ca="1" si="44"/>
        <v>37778</v>
      </c>
      <c r="Q247" s="6">
        <f ca="1">RANDBETWEEN(2,COUNTA('Recruitment source'!$A:$A))</f>
        <v>2</v>
      </c>
      <c r="R247" s="8" t="e">
        <f t="shared" ca="1" si="45"/>
        <v>#N/A</v>
      </c>
      <c r="S247" s="6" t="e">
        <f t="shared" ca="1" si="46"/>
        <v>#N/A</v>
      </c>
      <c r="T247" s="6">
        <f t="shared" ca="1" si="36"/>
        <v>5</v>
      </c>
      <c r="U247" s="1">
        <f t="shared" ca="1" si="47"/>
        <v>2080</v>
      </c>
    </row>
    <row r="248" spans="1:21" x14ac:dyDescent="0.2">
      <c r="A248" s="7" cm="1">
        <f t="array" aca="1" ref="A248" ca="1">INDEX(Companies!$A:$A,RANDBETWEEN(2,COUNTA(Companies!$A:$A)),1)</f>
        <v>2</v>
      </c>
      <c r="B248" s="5">
        <f t="shared" si="37"/>
        <v>247</v>
      </c>
      <c r="C248" s="6">
        <f t="shared" ca="1" si="38"/>
        <v>1</v>
      </c>
      <c r="D248" s="7">
        <f ca="1">IF($B248 = 1 + N("Presidente"),
    127,
    IF($B248 = 2 + N("Vice-Presidente"),
        72,
        IF($B248 = 3 + N("Secretária bilíngue"),
            13,
            RANDBETWEEN(5,COUNT(Name!$A:$A) + 1)
        )
    )
)</f>
        <v>161</v>
      </c>
      <c r="E248" s="7" t="str">
        <f ca="1" xml:space="preserve">
VLOOKUP(
  $D248,
  Name!$A:$B,
  2,
  FALSE
)
&amp; " " &amp;
IF($B248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Heitor Pimentel Fontana</v>
      </c>
      <c r="F248" s="7">
        <v>2</v>
      </c>
      <c r="G248" s="7" cm="1">
        <f t="array" aca="1" ref="G248" ca="1">INDEX(States!$B:$B,RANDBETWEEN(2,COUNTA(States!$A:$A)),1)</f>
        <v>2</v>
      </c>
      <c r="H248" s="7" t="str">
        <f ca="1">VLOOKUP($D248,Name!$A:$C,3,FALSE)</f>
        <v>M</v>
      </c>
      <c r="I248" s="7" cm="1">
        <f t="array" aca="1" ref="I248" ca="1">INDEX('Marital status'!$A:$A,RANDBETWEEN(2,COUNTA('Marital status'!$A:$A)),1)</f>
        <v>6</v>
      </c>
      <c r="J248" s="7">
        <f t="shared" ca="1" si="39"/>
        <v>2</v>
      </c>
      <c r="K248" s="8">
        <f t="shared" ca="1" si="40"/>
        <v>32473</v>
      </c>
      <c r="L248" s="6">
        <f t="shared" ca="1" si="41"/>
        <v>4</v>
      </c>
      <c r="M248" s="7">
        <f ca="1" xml:space="preserve">
  IF(OR($N248 = 2, $N248 = 3, $N248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248" s="6">
        <f t="shared" ca="1" si="42"/>
        <v>6</v>
      </c>
      <c r="O248" s="6" t="e">
        <f t="shared" ca="1" si="43"/>
        <v>#N/A</v>
      </c>
      <c r="P248" s="8">
        <f t="shared" ca="1" si="44"/>
        <v>39356</v>
      </c>
      <c r="Q248" s="6">
        <f ca="1">RANDBETWEEN(2,COUNTA('Recruitment source'!$A:$A))</f>
        <v>2</v>
      </c>
      <c r="R248" s="8" t="e">
        <f t="shared" ca="1" si="45"/>
        <v>#N/A</v>
      </c>
      <c r="S248" s="6" t="e">
        <f t="shared" ca="1" si="46"/>
        <v>#N/A</v>
      </c>
      <c r="T248" s="6">
        <f t="shared" ca="1" si="36"/>
        <v>2</v>
      </c>
      <c r="U248" s="1">
        <f t="shared" ca="1" si="47"/>
        <v>805</v>
      </c>
    </row>
    <row r="249" spans="1:21" x14ac:dyDescent="0.2">
      <c r="A249" s="7" cm="1">
        <f t="array" aca="1" ref="A249" ca="1">INDEX(Companies!$A:$A,RANDBETWEEN(2,COUNTA(Companies!$A:$A)),1)</f>
        <v>2</v>
      </c>
      <c r="B249" s="5">
        <f t="shared" si="37"/>
        <v>248</v>
      </c>
      <c r="C249" s="6">
        <f t="shared" ca="1" si="38"/>
        <v>1</v>
      </c>
      <c r="D249" s="7">
        <f ca="1">IF($B249 = 1 + N("Presidente"),
    127,
    IF($B249 = 2 + N("Vice-Presidente"),
        72,
        IF($B249 = 3 + N("Secretária bilíngue"),
            13,
            RANDBETWEEN(5,COUNT(Name!$A:$A) + 1)
        )
    )
)</f>
        <v>293</v>
      </c>
      <c r="E249" s="7" t="str">
        <f ca="1" xml:space="preserve">
VLOOKUP(
  $D249,
  Name!$A:$B,
  2,
  FALSE
)
&amp; " " &amp;
IF($B249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Michael Ferrari Aguiar</v>
      </c>
      <c r="F249" s="7">
        <v>2</v>
      </c>
      <c r="G249" s="7" cm="1">
        <f t="array" aca="1" ref="G249" ca="1">INDEX(States!$B:$B,RANDBETWEEN(2,COUNTA(States!$A:$A)),1)</f>
        <v>7</v>
      </c>
      <c r="H249" s="7" t="str">
        <f ca="1">VLOOKUP($D249,Name!$A:$C,3,FALSE)</f>
        <v>M</v>
      </c>
      <c r="I249" s="7" cm="1">
        <f t="array" aca="1" ref="I249" ca="1">INDEX('Marital status'!$A:$A,RANDBETWEEN(2,COUNTA('Marital status'!$A:$A)),1)</f>
        <v>3</v>
      </c>
      <c r="J249" s="7">
        <f t="shared" ca="1" si="39"/>
        <v>2</v>
      </c>
      <c r="K249" s="8">
        <f t="shared" ca="1" si="40"/>
        <v>33116</v>
      </c>
      <c r="L249" s="6">
        <f t="shared" ca="1" si="41"/>
        <v>5</v>
      </c>
      <c r="M249" s="7">
        <f ca="1" xml:space="preserve">
  IF(OR($N249 = 2, $N249 = 3, $N249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249" s="6">
        <f t="shared" ca="1" si="42"/>
        <v>8</v>
      </c>
      <c r="O249" s="6">
        <f t="shared" ca="1" si="43"/>
        <v>2</v>
      </c>
      <c r="P249" s="8">
        <f t="shared" ca="1" si="44"/>
        <v>39829</v>
      </c>
      <c r="Q249" s="6">
        <f ca="1">RANDBETWEEN(2,COUNTA('Recruitment source'!$A:$A))</f>
        <v>6</v>
      </c>
      <c r="R249" s="8" t="e">
        <f t="shared" ca="1" si="45"/>
        <v>#N/A</v>
      </c>
      <c r="S249" s="6" t="e">
        <f t="shared" ca="1" si="46"/>
        <v>#N/A</v>
      </c>
      <c r="T249" s="6">
        <f t="shared" ca="1" si="36"/>
        <v>2</v>
      </c>
      <c r="U249" s="1">
        <f t="shared" ca="1" si="47"/>
        <v>2000</v>
      </c>
    </row>
    <row r="250" spans="1:21" x14ac:dyDescent="0.2">
      <c r="A250" s="7" cm="1">
        <f t="array" aca="1" ref="A250" ca="1">INDEX(Companies!$A:$A,RANDBETWEEN(2,COUNTA(Companies!$A:$A)),1)</f>
        <v>2</v>
      </c>
      <c r="B250" s="5">
        <f t="shared" si="37"/>
        <v>249</v>
      </c>
      <c r="C250" s="6">
        <f t="shared" ca="1" si="38"/>
        <v>1</v>
      </c>
      <c r="D250" s="7">
        <f ca="1">IF($B250 = 1 + N("Presidente"),
    127,
    IF($B250 = 2 + N("Vice-Presidente"),
        72,
        IF($B250 = 3 + N("Secretária bilíngue"),
            13,
            RANDBETWEEN(5,COUNT(Name!$A:$A) + 1)
        )
    )
)</f>
        <v>107</v>
      </c>
      <c r="E250" s="7" t="str">
        <f ca="1" xml:space="preserve">
VLOOKUP(
  $D250,
  Name!$A:$B,
  2,
  FALSE
)
&amp; " " &amp;
IF($B250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Lucca Barros Paulista</v>
      </c>
      <c r="F250" s="7">
        <v>2</v>
      </c>
      <c r="G250" s="7" cm="1">
        <f t="array" aca="1" ref="G250" ca="1">INDEX(States!$B:$B,RANDBETWEEN(2,COUNTA(States!$A:$A)),1)</f>
        <v>13</v>
      </c>
      <c r="H250" s="7" t="str">
        <f ca="1">VLOOKUP($D250,Name!$A:$C,3,FALSE)</f>
        <v>M</v>
      </c>
      <c r="I250" s="7" cm="1">
        <f t="array" aca="1" ref="I250" ca="1">INDEX('Marital status'!$A:$A,RANDBETWEEN(2,COUNTA('Marital status'!$A:$A)),1)</f>
        <v>3</v>
      </c>
      <c r="J250" s="7">
        <f t="shared" ca="1" si="39"/>
        <v>2</v>
      </c>
      <c r="K250" s="8">
        <f t="shared" ca="1" si="40"/>
        <v>32615</v>
      </c>
      <c r="L250" s="6">
        <f t="shared" ca="1" si="41"/>
        <v>4</v>
      </c>
      <c r="M250" s="7">
        <f ca="1" xml:space="preserve">
  IF(OR($N250 = 2, $N250 = 3, $N250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250" s="6">
        <f t="shared" ca="1" si="42"/>
        <v>7</v>
      </c>
      <c r="O250" s="6" t="e">
        <f t="shared" ca="1" si="43"/>
        <v>#N/A</v>
      </c>
      <c r="P250" s="8">
        <f t="shared" ca="1" si="44"/>
        <v>42303</v>
      </c>
      <c r="Q250" s="6">
        <f ca="1">RANDBETWEEN(2,COUNTA('Recruitment source'!$A:$A))</f>
        <v>10</v>
      </c>
      <c r="R250" s="8" t="e">
        <f t="shared" ca="1" si="45"/>
        <v>#N/A</v>
      </c>
      <c r="S250" s="6" t="e">
        <f t="shared" ca="1" si="46"/>
        <v>#N/A</v>
      </c>
      <c r="T250" s="6">
        <f t="shared" ca="1" si="36"/>
        <v>3</v>
      </c>
      <c r="U250" s="1">
        <f t="shared" ca="1" si="47"/>
        <v>1005</v>
      </c>
    </row>
    <row r="251" spans="1:21" x14ac:dyDescent="0.2">
      <c r="A251" s="7" cm="1">
        <f t="array" aca="1" ref="A251" ca="1">INDEX(Companies!$A:$A,RANDBETWEEN(2,COUNTA(Companies!$A:$A)),1)</f>
        <v>2</v>
      </c>
      <c r="B251" s="5">
        <f t="shared" si="37"/>
        <v>250</v>
      </c>
      <c r="C251" s="6">
        <f t="shared" ca="1" si="38"/>
        <v>1</v>
      </c>
      <c r="D251" s="7">
        <f ca="1">IF($B251 = 1 + N("Presidente"),
    127,
    IF($B251 = 2 + N("Vice-Presidente"),
        72,
        IF($B251 = 3 + N("Secretária bilíngue"),
            13,
            RANDBETWEEN(5,COUNT(Name!$A:$A) + 1)
        )
    )
)</f>
        <v>328</v>
      </c>
      <c r="E251" s="7" t="str">
        <f ca="1" xml:space="preserve">
VLOOKUP(
  $D251,
  Name!$A:$B,
  2,
  FALSE
)
&amp; " " &amp;
IF($B251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Raul Costa Conti</v>
      </c>
      <c r="F251" s="7">
        <v>2</v>
      </c>
      <c r="G251" s="7" cm="1">
        <f t="array" aca="1" ref="G251" ca="1">INDEX(States!$B:$B,RANDBETWEEN(2,COUNTA(States!$A:$A)),1)</f>
        <v>16</v>
      </c>
      <c r="H251" s="7" t="str">
        <f ca="1">VLOOKUP($D251,Name!$A:$C,3,FALSE)</f>
        <v>M</v>
      </c>
      <c r="I251" s="7" cm="1">
        <f t="array" aca="1" ref="I251" ca="1">INDEX('Marital status'!$A:$A,RANDBETWEEN(2,COUNTA('Marital status'!$A:$A)),1)</f>
        <v>6</v>
      </c>
      <c r="J251" s="7">
        <f t="shared" ca="1" si="39"/>
        <v>2</v>
      </c>
      <c r="K251" s="8">
        <f t="shared" ca="1" si="40"/>
        <v>37871</v>
      </c>
      <c r="L251" s="6">
        <f t="shared" ca="1" si="41"/>
        <v>4</v>
      </c>
      <c r="M251" s="7">
        <f ca="1" xml:space="preserve">
  IF(OR($N251 = 2, $N251 = 3, $N251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251" s="6">
        <f t="shared" ca="1" si="42"/>
        <v>8</v>
      </c>
      <c r="O251" s="6">
        <f t="shared" ca="1" si="43"/>
        <v>2</v>
      </c>
      <c r="P251" s="8">
        <f t="shared" ca="1" si="44"/>
        <v>43184</v>
      </c>
      <c r="Q251" s="6">
        <f ca="1">RANDBETWEEN(2,COUNTA('Recruitment source'!$A:$A))</f>
        <v>11</v>
      </c>
      <c r="R251" s="8" t="e">
        <f t="shared" ca="1" si="45"/>
        <v>#N/A</v>
      </c>
      <c r="S251" s="6" t="e">
        <f t="shared" ca="1" si="46"/>
        <v>#N/A</v>
      </c>
      <c r="T251" s="6">
        <f t="shared" ca="1" si="36"/>
        <v>2</v>
      </c>
      <c r="U251" s="1">
        <f t="shared" ca="1" si="47"/>
        <v>2000</v>
      </c>
    </row>
    <row r="252" spans="1:21" x14ac:dyDescent="0.2">
      <c r="A252" s="7" cm="1">
        <f t="array" aca="1" ref="A252" ca="1">INDEX(Companies!$A:$A,RANDBETWEEN(2,COUNTA(Companies!$A:$A)),1)</f>
        <v>2</v>
      </c>
      <c r="B252" s="5">
        <f t="shared" si="37"/>
        <v>251</v>
      </c>
      <c r="C252" s="6">
        <f t="shared" ca="1" si="38"/>
        <v>1</v>
      </c>
      <c r="D252" s="7">
        <f ca="1">IF($B252 = 1 + N("Presidente"),
    127,
    IF($B252 = 2 + N("Vice-Presidente"),
        72,
        IF($B252 = 3 + N("Secretária bilíngue"),
            13,
            RANDBETWEEN(5,COUNT(Name!$A:$A) + 1)
        )
    )
)</f>
        <v>142</v>
      </c>
      <c r="E252" s="7" t="str">
        <f ca="1" xml:space="preserve">
VLOOKUP(
  $D252,
  Name!$A:$B,
  2,
  FALSE
)
&amp; " " &amp;
IF($B252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Flaviano de Oliveira Arruda</v>
      </c>
      <c r="F252" s="7">
        <v>2</v>
      </c>
      <c r="G252" s="7" cm="1">
        <f t="array" aca="1" ref="G252" ca="1">INDEX(States!$B:$B,RANDBETWEEN(2,COUNTA(States!$A:$A)),1)</f>
        <v>14</v>
      </c>
      <c r="H252" s="7" t="str">
        <f ca="1">VLOOKUP($D252,Name!$A:$C,3,FALSE)</f>
        <v>M</v>
      </c>
      <c r="I252" s="7" cm="1">
        <f t="array" aca="1" ref="I252" ca="1">INDEX('Marital status'!$A:$A,RANDBETWEEN(2,COUNTA('Marital status'!$A:$A)),1)</f>
        <v>5</v>
      </c>
      <c r="J252" s="7">
        <f t="shared" ca="1" si="39"/>
        <v>3</v>
      </c>
      <c r="K252" s="8">
        <f t="shared" ca="1" si="40"/>
        <v>26577</v>
      </c>
      <c r="L252" s="6">
        <f t="shared" ca="1" si="41"/>
        <v>4</v>
      </c>
      <c r="M252" s="7">
        <f ca="1" xml:space="preserve">
  IF(OR($N252 = 2, $N252 = 3, $N252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252" s="6">
        <f t="shared" ca="1" si="42"/>
        <v>6</v>
      </c>
      <c r="O252" s="6" t="e">
        <f t="shared" ca="1" si="43"/>
        <v>#N/A</v>
      </c>
      <c r="P252" s="8">
        <f t="shared" ca="1" si="44"/>
        <v>39103</v>
      </c>
      <c r="Q252" s="6">
        <f ca="1">RANDBETWEEN(2,COUNTA('Recruitment source'!$A:$A))</f>
        <v>10</v>
      </c>
      <c r="R252" s="8" t="e">
        <f t="shared" ca="1" si="45"/>
        <v>#N/A</v>
      </c>
      <c r="S252" s="6" t="e">
        <f t="shared" ca="1" si="46"/>
        <v>#N/A</v>
      </c>
      <c r="T252" s="6">
        <f t="shared" ca="1" si="36"/>
        <v>4</v>
      </c>
      <c r="U252" s="1">
        <f t="shared" ca="1" si="47"/>
        <v>885</v>
      </c>
    </row>
    <row r="253" spans="1:21" x14ac:dyDescent="0.2">
      <c r="A253" s="7" cm="1">
        <f t="array" aca="1" ref="A253" ca="1">INDEX(Companies!$A:$A,RANDBETWEEN(2,COUNTA(Companies!$A:$A)),1)</f>
        <v>2</v>
      </c>
      <c r="B253" s="5">
        <f t="shared" si="37"/>
        <v>252</v>
      </c>
      <c r="C253" s="6">
        <f t="shared" ca="1" si="38"/>
        <v>1</v>
      </c>
      <c r="D253" s="7">
        <f ca="1">IF($B253 = 1 + N("Presidente"),
    127,
    IF($B253 = 2 + N("Vice-Presidente"),
        72,
        IF($B253 = 3 + N("Secretária bilíngue"),
            13,
            RANDBETWEEN(5,COUNT(Name!$A:$A) + 1)
        )
    )
)</f>
        <v>209</v>
      </c>
      <c r="E253" s="7" t="str">
        <f ca="1" xml:space="preserve">
VLOOKUP(
  $D253,
  Name!$A:$B,
  2,
  FALSE
)
&amp; " " &amp;
IF($B253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Katerine Padrão Pimenta</v>
      </c>
      <c r="F253" s="7">
        <v>2</v>
      </c>
      <c r="G253" s="7" cm="1">
        <f t="array" aca="1" ref="G253" ca="1">INDEX(States!$B:$B,RANDBETWEEN(2,COUNTA(States!$A:$A)),1)</f>
        <v>9</v>
      </c>
      <c r="H253" s="7" t="str">
        <f ca="1">VLOOKUP($D253,Name!$A:$C,3,FALSE)</f>
        <v>F</v>
      </c>
      <c r="I253" s="7" cm="1">
        <f t="array" aca="1" ref="I253" ca="1">INDEX('Marital status'!$A:$A,RANDBETWEEN(2,COUNTA('Marital status'!$A:$A)),1)</f>
        <v>4</v>
      </c>
      <c r="J253" s="7">
        <f t="shared" ca="1" si="39"/>
        <v>4</v>
      </c>
      <c r="K253" s="8">
        <f t="shared" ca="1" si="40"/>
        <v>32987</v>
      </c>
      <c r="L253" s="6">
        <f t="shared" ca="1" si="41"/>
        <v>5</v>
      </c>
      <c r="M253" s="7">
        <f ca="1" xml:space="preserve">
  IF(OR($N253 = 2, $N253 = 3, $N253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253" s="6">
        <f t="shared" ca="1" si="42"/>
        <v>8</v>
      </c>
      <c r="O253" s="6">
        <f t="shared" ca="1" si="43"/>
        <v>2</v>
      </c>
      <c r="P253" s="8">
        <f t="shared" ca="1" si="44"/>
        <v>42347</v>
      </c>
      <c r="Q253" s="6">
        <f ca="1">RANDBETWEEN(2,COUNTA('Recruitment source'!$A:$A))</f>
        <v>9</v>
      </c>
      <c r="R253" s="8" t="e">
        <f t="shared" ca="1" si="45"/>
        <v>#N/A</v>
      </c>
      <c r="S253" s="6" t="e">
        <f t="shared" ca="1" si="46"/>
        <v>#N/A</v>
      </c>
      <c r="T253" s="6">
        <f t="shared" ca="1" si="36"/>
        <v>4</v>
      </c>
      <c r="U253" s="1">
        <f t="shared" ca="1" si="47"/>
        <v>2000</v>
      </c>
    </row>
    <row r="254" spans="1:21" x14ac:dyDescent="0.2">
      <c r="A254" s="7" cm="1">
        <f t="array" aca="1" ref="A254" ca="1">INDEX(Companies!$A:$A,RANDBETWEEN(2,COUNTA(Companies!$A:$A)),1)</f>
        <v>2</v>
      </c>
      <c r="B254" s="5">
        <f t="shared" si="37"/>
        <v>253</v>
      </c>
      <c r="C254" s="6">
        <f t="shared" ca="1" si="38"/>
        <v>1</v>
      </c>
      <c r="D254" s="7">
        <f ca="1">IF($B254 = 1 + N("Presidente"),
    127,
    IF($B254 = 2 + N("Vice-Presidente"),
        72,
        IF($B254 = 3 + N("Secretária bilíngue"),
            13,
            RANDBETWEEN(5,COUNT(Name!$A:$A) + 1)
        )
    )
)</f>
        <v>245</v>
      </c>
      <c r="E254" s="7" t="str">
        <f ca="1" xml:space="preserve">
VLOOKUP(
  $D254,
  Name!$A:$B,
  2,
  FALSE
)
&amp; " " &amp;
IF($B254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Henrique Siqueira Auth</v>
      </c>
      <c r="F254" s="7">
        <v>2</v>
      </c>
      <c r="G254" s="7" cm="1">
        <f t="array" aca="1" ref="G254" ca="1">INDEX(States!$B:$B,RANDBETWEEN(2,COUNTA(States!$A:$A)),1)</f>
        <v>13</v>
      </c>
      <c r="H254" s="7" t="str">
        <f ca="1">VLOOKUP($D254,Name!$A:$C,3,FALSE)</f>
        <v>M</v>
      </c>
      <c r="I254" s="7" cm="1">
        <f t="array" aca="1" ref="I254" ca="1">INDEX('Marital status'!$A:$A,RANDBETWEEN(2,COUNTA('Marital status'!$A:$A)),1)</f>
        <v>3</v>
      </c>
      <c r="J254" s="7">
        <f t="shared" ca="1" si="39"/>
        <v>2</v>
      </c>
      <c r="K254" s="8">
        <f t="shared" ca="1" si="40"/>
        <v>21403</v>
      </c>
      <c r="L254" s="6">
        <f t="shared" ca="1" si="41"/>
        <v>4</v>
      </c>
      <c r="M254" s="7">
        <f ca="1" xml:space="preserve">
  IF(OR($N254 = 2, $N254 = 3, $N254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254" s="6">
        <f t="shared" ca="1" si="42"/>
        <v>6</v>
      </c>
      <c r="O254" s="6" t="e">
        <f t="shared" ca="1" si="43"/>
        <v>#N/A</v>
      </c>
      <c r="P254" s="8">
        <f t="shared" ca="1" si="44"/>
        <v>37198</v>
      </c>
      <c r="Q254" s="6">
        <f ca="1">RANDBETWEEN(2,COUNTA('Recruitment source'!$A:$A))</f>
        <v>4</v>
      </c>
      <c r="R254" s="8" t="e">
        <f t="shared" ca="1" si="45"/>
        <v>#N/A</v>
      </c>
      <c r="S254" s="6" t="e">
        <f t="shared" ca="1" si="46"/>
        <v>#N/A</v>
      </c>
      <c r="T254" s="6">
        <f t="shared" ca="1" si="36"/>
        <v>3</v>
      </c>
      <c r="U254" s="1">
        <f t="shared" ca="1" si="47"/>
        <v>885</v>
      </c>
    </row>
    <row r="255" spans="1:21" x14ac:dyDescent="0.2">
      <c r="A255" s="7" cm="1">
        <f t="array" aca="1" ref="A255" ca="1">INDEX(Companies!$A:$A,RANDBETWEEN(2,COUNTA(Companies!$A:$A)),1)</f>
        <v>2</v>
      </c>
      <c r="B255" s="5">
        <f t="shared" si="37"/>
        <v>254</v>
      </c>
      <c r="C255" s="6">
        <f t="shared" ca="1" si="38"/>
        <v>1</v>
      </c>
      <c r="D255" s="7">
        <f ca="1">IF($B255 = 1 + N("Presidente"),
    127,
    IF($B255 = 2 + N("Vice-Presidente"),
        72,
        IF($B255 = 3 + N("Secretária bilíngue"),
            13,
            RANDBETWEEN(5,COUNT(Name!$A:$A) + 1)
        )
    )
)</f>
        <v>70</v>
      </c>
      <c r="E255" s="7" t="str">
        <f ca="1" xml:space="preserve">
VLOOKUP(
  $D255,
  Name!$A:$B,
  2,
  FALSE
)
&amp; " " &amp;
IF($B255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Bento Alvim Fernandes</v>
      </c>
      <c r="F255" s="7">
        <v>2</v>
      </c>
      <c r="G255" s="7" cm="1">
        <f t="array" aca="1" ref="G255" ca="1">INDEX(States!$B:$B,RANDBETWEEN(2,COUNTA(States!$A:$A)),1)</f>
        <v>14</v>
      </c>
      <c r="H255" s="7" t="str">
        <f ca="1">VLOOKUP($D255,Name!$A:$C,3,FALSE)</f>
        <v>M</v>
      </c>
      <c r="I255" s="7" cm="1">
        <f t="array" aca="1" ref="I255" ca="1">INDEX('Marital status'!$A:$A,RANDBETWEEN(2,COUNTA('Marital status'!$A:$A)),1)</f>
        <v>2</v>
      </c>
      <c r="J255" s="7">
        <f t="shared" ca="1" si="39"/>
        <v>2</v>
      </c>
      <c r="K255" s="8">
        <f t="shared" ca="1" si="40"/>
        <v>34133</v>
      </c>
      <c r="L255" s="6">
        <f t="shared" ca="1" si="41"/>
        <v>5</v>
      </c>
      <c r="M255" s="7">
        <f ca="1" xml:space="preserve">
  IF(OR($N255 = 2, $N255 = 3, $N255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255" s="6">
        <f t="shared" ca="1" si="42"/>
        <v>8</v>
      </c>
      <c r="O255" s="6">
        <f t="shared" ca="1" si="43"/>
        <v>3</v>
      </c>
      <c r="P255" s="8">
        <f t="shared" ca="1" si="44"/>
        <v>44322</v>
      </c>
      <c r="Q255" s="6">
        <f ca="1">RANDBETWEEN(2,COUNTA('Recruitment source'!$A:$A))</f>
        <v>8</v>
      </c>
      <c r="R255" s="8" t="e">
        <f t="shared" ca="1" si="45"/>
        <v>#N/A</v>
      </c>
      <c r="S255" s="6" t="e">
        <f t="shared" ca="1" si="46"/>
        <v>#N/A</v>
      </c>
      <c r="T255" s="6">
        <f t="shared" ca="1" si="36"/>
        <v>3</v>
      </c>
      <c r="U255" s="1">
        <f t="shared" ca="1" si="47"/>
        <v>2000</v>
      </c>
    </row>
    <row r="256" spans="1:21" x14ac:dyDescent="0.2">
      <c r="A256" s="7" cm="1">
        <f t="array" aca="1" ref="A256" ca="1">INDEX(Companies!$A:$A,RANDBETWEEN(2,COUNTA(Companies!$A:$A)),1)</f>
        <v>2</v>
      </c>
      <c r="B256" s="5">
        <f t="shared" si="37"/>
        <v>255</v>
      </c>
      <c r="C256" s="6">
        <f t="shared" ca="1" si="38"/>
        <v>1</v>
      </c>
      <c r="D256" s="7">
        <f ca="1">IF($B256 = 1 + N("Presidente"),
    127,
    IF($B256 = 2 + N("Vice-Presidente"),
        72,
        IF($B256 = 3 + N("Secretária bilíngue"),
            13,
            RANDBETWEEN(5,COUNT(Name!$A:$A) + 1)
        )
    )
)</f>
        <v>44</v>
      </c>
      <c r="E256" s="7" t="str">
        <f ca="1" xml:space="preserve">
VLOOKUP(
  $D256,
  Name!$A:$B,
  2,
  FALSE
)
&amp; " " &amp;
IF($B256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Carolina Farina Farina</v>
      </c>
      <c r="F256" s="7">
        <v>2</v>
      </c>
      <c r="G256" s="7" cm="1">
        <f t="array" aca="1" ref="G256" ca="1">INDEX(States!$B:$B,RANDBETWEEN(2,COUNTA(States!$A:$A)),1)</f>
        <v>19</v>
      </c>
      <c r="H256" s="7" t="str">
        <f ca="1">VLOOKUP($D256,Name!$A:$C,3,FALSE)</f>
        <v>F</v>
      </c>
      <c r="I256" s="7" cm="1">
        <f t="array" aca="1" ref="I256" ca="1">INDEX('Marital status'!$A:$A,RANDBETWEEN(2,COUNTA('Marital status'!$A:$A)),1)</f>
        <v>3</v>
      </c>
      <c r="J256" s="7">
        <f t="shared" ca="1" si="39"/>
        <v>2</v>
      </c>
      <c r="K256" s="8">
        <f t="shared" ca="1" si="40"/>
        <v>17781</v>
      </c>
      <c r="L256" s="6">
        <f t="shared" ca="1" si="41"/>
        <v>4</v>
      </c>
      <c r="M256" s="7">
        <f ca="1" xml:space="preserve">
  IF(OR($N256 = 2, $N256 = 3, $N256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256" s="6">
        <f t="shared" ca="1" si="42"/>
        <v>6</v>
      </c>
      <c r="O256" s="6" t="e">
        <f t="shared" ca="1" si="43"/>
        <v>#N/A</v>
      </c>
      <c r="P256" s="8">
        <f t="shared" ca="1" si="44"/>
        <v>42725</v>
      </c>
      <c r="Q256" s="6">
        <f ca="1">RANDBETWEEN(2,COUNTA('Recruitment source'!$A:$A))</f>
        <v>10</v>
      </c>
      <c r="R256" s="8" t="e">
        <f t="shared" ca="1" si="45"/>
        <v>#N/A</v>
      </c>
      <c r="S256" s="6" t="e">
        <f t="shared" ca="1" si="46"/>
        <v>#N/A</v>
      </c>
      <c r="T256" s="6">
        <f t="shared" ca="1" si="36"/>
        <v>3</v>
      </c>
      <c r="U256" s="1">
        <f t="shared" ca="1" si="47"/>
        <v>885</v>
      </c>
    </row>
    <row r="257" spans="1:21" x14ac:dyDescent="0.2">
      <c r="A257" s="7" cm="1">
        <f t="array" aca="1" ref="A257" ca="1">INDEX(Companies!$A:$A,RANDBETWEEN(2,COUNTA(Companies!$A:$A)),1)</f>
        <v>2</v>
      </c>
      <c r="B257" s="5">
        <f t="shared" si="37"/>
        <v>256</v>
      </c>
      <c r="C257" s="6">
        <f t="shared" ca="1" si="38"/>
        <v>1</v>
      </c>
      <c r="D257" s="7">
        <f ca="1">IF($B257 = 1 + N("Presidente"),
    127,
    IF($B257 = 2 + N("Vice-Presidente"),
        72,
        IF($B257 = 3 + N("Secretária bilíngue"),
            13,
            RANDBETWEEN(5,COUNT(Name!$A:$A) + 1)
        )
    )
)</f>
        <v>243</v>
      </c>
      <c r="E257" s="7" t="str">
        <f ca="1" xml:space="preserve">
VLOOKUP(
  $D257,
  Name!$A:$B,
  2,
  FALSE
)
&amp; " " &amp;
IF($B257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Felipe Moraes Noronha</v>
      </c>
      <c r="F257" s="7">
        <v>2</v>
      </c>
      <c r="G257" s="7" cm="1">
        <f t="array" aca="1" ref="G257" ca="1">INDEX(States!$B:$B,RANDBETWEEN(2,COUNTA(States!$A:$A)),1)</f>
        <v>18</v>
      </c>
      <c r="H257" s="7" t="str">
        <f ca="1">VLOOKUP($D257,Name!$A:$C,3,FALSE)</f>
        <v>M</v>
      </c>
      <c r="I257" s="7" cm="1">
        <f t="array" aca="1" ref="I257" ca="1">INDEX('Marital status'!$A:$A,RANDBETWEEN(2,COUNTA('Marital status'!$A:$A)),1)</f>
        <v>2</v>
      </c>
      <c r="J257" s="7">
        <f t="shared" ca="1" si="39"/>
        <v>2</v>
      </c>
      <c r="K257" s="8">
        <f t="shared" ca="1" si="40"/>
        <v>36298</v>
      </c>
      <c r="L257" s="6">
        <f t="shared" ca="1" si="41"/>
        <v>5</v>
      </c>
      <c r="M257" s="7">
        <f ca="1" xml:space="preserve">
  IF(OR($N257 = 2, $N257 = 3, $N257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257" s="6">
        <f t="shared" ca="1" si="42"/>
        <v>8</v>
      </c>
      <c r="O257" s="6">
        <f t="shared" ca="1" si="43"/>
        <v>2</v>
      </c>
      <c r="P257" s="8">
        <f t="shared" ca="1" si="44"/>
        <v>41193</v>
      </c>
      <c r="Q257" s="6">
        <f ca="1">RANDBETWEEN(2,COUNTA('Recruitment source'!$A:$A))</f>
        <v>9</v>
      </c>
      <c r="R257" s="8" t="e">
        <f t="shared" ca="1" si="45"/>
        <v>#N/A</v>
      </c>
      <c r="S257" s="6" t="e">
        <f t="shared" ca="1" si="46"/>
        <v>#N/A</v>
      </c>
      <c r="T257" s="6">
        <f t="shared" ca="1" si="36"/>
        <v>5</v>
      </c>
      <c r="U257" s="1">
        <f t="shared" ca="1" si="47"/>
        <v>2000</v>
      </c>
    </row>
    <row r="258" spans="1:21" x14ac:dyDescent="0.2">
      <c r="A258" s="7" cm="1">
        <f t="array" aca="1" ref="A258" ca="1">INDEX(Companies!$A:$A,RANDBETWEEN(2,COUNTA(Companies!$A:$A)),1)</f>
        <v>2</v>
      </c>
      <c r="B258" s="5">
        <f t="shared" si="37"/>
        <v>257</v>
      </c>
      <c r="C258" s="6">
        <f t="shared" ca="1" si="38"/>
        <v>1</v>
      </c>
      <c r="D258" s="7">
        <f ca="1">IF($B258 = 1 + N("Presidente"),
    127,
    IF($B258 = 2 + N("Vice-Presidente"),
        72,
        IF($B258 = 3 + N("Secretária bilíngue"),
            13,
            RANDBETWEEN(5,COUNT(Name!$A:$A) + 1)
        )
    )
)</f>
        <v>174</v>
      </c>
      <c r="E258" s="7" t="str">
        <f ca="1" xml:space="preserve">
VLOOKUP(
  $D258,
  Name!$A:$B,
  2,
  FALSE
)
&amp; " " &amp;
IF($B258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 Duarte Frasão</v>
      </c>
      <c r="F258" s="7">
        <v>2</v>
      </c>
      <c r="G258" s="7" cm="1">
        <f t="array" aca="1" ref="G258" ca="1">INDEX(States!$B:$B,RANDBETWEEN(2,COUNTA(States!$A:$A)),1)</f>
        <v>7</v>
      </c>
      <c r="H258" s="7" t="str">
        <f ca="1">VLOOKUP($D258,Name!$A:$C,3,FALSE)</f>
        <v>F</v>
      </c>
      <c r="I258" s="7" cm="1">
        <f t="array" aca="1" ref="I258" ca="1">INDEX('Marital status'!$A:$A,RANDBETWEEN(2,COUNTA('Marital status'!$A:$A)),1)</f>
        <v>4</v>
      </c>
      <c r="J258" s="7">
        <f t="shared" ca="1" si="39"/>
        <v>2</v>
      </c>
      <c r="K258" s="8">
        <f t="shared" ca="1" si="40"/>
        <v>32272</v>
      </c>
      <c r="L258" s="6">
        <f t="shared" ca="1" si="41"/>
        <v>4</v>
      </c>
      <c r="M258" s="7">
        <f ca="1" xml:space="preserve">
  IF(OR($N258 = 2, $N258 = 3, $N258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258" s="6">
        <f t="shared" ca="1" si="42"/>
        <v>6</v>
      </c>
      <c r="O258" s="6" t="e">
        <f t="shared" ca="1" si="43"/>
        <v>#N/A</v>
      </c>
      <c r="P258" s="8">
        <f t="shared" ca="1" si="44"/>
        <v>42073</v>
      </c>
      <c r="Q258" s="6">
        <f ca="1">RANDBETWEEN(2,COUNTA('Recruitment source'!$A:$A))</f>
        <v>5</v>
      </c>
      <c r="R258" s="8" t="e">
        <f t="shared" ca="1" si="45"/>
        <v>#N/A</v>
      </c>
      <c r="S258" s="6" t="e">
        <f t="shared" ca="1" si="46"/>
        <v>#N/A</v>
      </c>
      <c r="T258" s="6">
        <f t="shared" ref="T258:T321" ca="1" si="48" xml:space="preserve">
IF(
 ISNA($R258),
 IF(
   $N258 = 2,
   5,
   IF(
     OR($N258=3,$N258=4,$N258=5),
     RANDBETWEEN(4,5),
     IF(
       OR($N258=11,$N258=12),
       RANDBETWEEN(3,5),
       RANDBETWEEN(2,5)
     )
   )
 ),
 RANDBETWEEN(1,3)
)</f>
        <v>4</v>
      </c>
      <c r="U258" s="1">
        <f t="shared" ca="1" si="47"/>
        <v>805</v>
      </c>
    </row>
    <row r="259" spans="1:21" x14ac:dyDescent="0.2">
      <c r="A259" s="7" cm="1">
        <f t="array" aca="1" ref="A259" ca="1">INDEX(Companies!$A:$A,RANDBETWEEN(2,COUNTA(Companies!$A:$A)),1)</f>
        <v>2</v>
      </c>
      <c r="B259" s="5">
        <f t="shared" ref="B259:B322" si="49">ROW() - 1</f>
        <v>258</v>
      </c>
      <c r="C259" s="6">
        <f t="shared" ref="C259:C322" ca="1" si="50">IF(ISNA($R259),1,0)</f>
        <v>1</v>
      </c>
      <c r="D259" s="7">
        <f ca="1">IF($B259 = 1 + N("Presidente"),
    127,
    IF($B259 = 2 + N("Vice-Presidente"),
        72,
        IF($B259 = 3 + N("Secretária bilíngue"),
            13,
            RANDBETWEEN(5,COUNT(Name!$A:$A) + 1)
        )
    )
)</f>
        <v>89</v>
      </c>
      <c r="E259" s="7" t="str">
        <f ca="1" xml:space="preserve">
VLOOKUP(
  $D259,
  Name!$A:$B,
  2,
  FALSE
)
&amp; " " &amp;
IF($B259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Cauã Silva Galli</v>
      </c>
      <c r="F259" s="7">
        <v>2</v>
      </c>
      <c r="G259" s="7" cm="1">
        <f t="array" aca="1" ref="G259" ca="1">INDEX(States!$B:$B,RANDBETWEEN(2,COUNTA(States!$A:$A)),1)</f>
        <v>8</v>
      </c>
      <c r="H259" s="7" t="str">
        <f ca="1">VLOOKUP($D259,Name!$A:$C,3,FALSE)</f>
        <v>M</v>
      </c>
      <c r="I259" s="7" cm="1">
        <f t="array" aca="1" ref="I259" ca="1">INDEX('Marital status'!$A:$A,RANDBETWEEN(2,COUNTA('Marital status'!$A:$A)),1)</f>
        <v>2</v>
      </c>
      <c r="J259" s="7">
        <f t="shared" ref="J259:J322" ca="1" si="51" xml:space="preserve">
IF(AND($N259 &gt;= 2, $N259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3</v>
      </c>
      <c r="K259" s="8">
        <f t="shared" ref="K259:K322" ca="1" si="52" xml:space="preserve">
IF($N259 = 5 + N("CEO"),
    TODAY() - 16340,
    IF($N259 = 8 + N("Secretary"),
        RANDBETWEEN(TODAY() - 12418.5, TODAY()-6574.5),
        IF(OR($N259 = 7, $N259 = 14),
            RANDBETWEEN(TODAY() - 16071, TODAY() - 8766),
            IF(OR($N259 = 13, $N259 = 12, $N259 = 11),
                RANDBETWEEN(TODAY() - 27393.75, TODAY() - 12783.75),
                RANDBETWEEN(TODAY() - 27393.75, TODAY()-10957.5)
            )
        )
    )
)</f>
        <v>37944</v>
      </c>
      <c r="L259" s="6">
        <f t="shared" ref="L259:L322" ca="1" si="53" xml:space="preserve">
IF(OR($N259 = 2, $N259 = 3) + N("Se for presidente ou vice-presidente"),
    7 + N("Doutor"),
    IF($N259 = 4 + N("Se for diretor"),
        RANDBETWEEN(5,7) + N("Graduate school or Master’s degree or Doctorate"),
        IF($N259 = 11 + N("Se for gerente"),
            RANDBETWEEN(4,6) + N("Undergraduate degree or Graduate school or Master’s degree"),
            IF(AND($N259 &gt;= 8, $N259 &lt;= 10) + N("If coordinator or specialist or analyst"),
                RANDBETWEEN(4,5),
                4
            )
        )
    )
)</f>
        <v>5</v>
      </c>
      <c r="M259" s="7">
        <f ca="1" xml:space="preserve">
  IF(OR($N259 = 2, $N259 = 3, $N259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259" s="6">
        <f t="shared" ref="N259:N322" ca="1" si="54" xml:space="preserve">
IF($B259 = 1 + N("Se matrícula for 1"),
  2 + N("Presidente"),
  IF($B259 = 2 + N("Se matrícula for 2"),
    3 + N("Vice-presidente"),
    IF($B259 = 3 + N("Se matrícula for 3"),
      5 + N("Secretária bilíngue"),
      IF(AND($B259 &gt;= 4, $B259 &lt;=14),
        4 + N("Diretor"),
        IF(AND($B259 &gt;= 15, $B259 &lt;= 25),
          11 + N("Manager"),
          IF(AND($B259 &gt;= 26, $B259 &lt;= 36),
            10 + N("Coordinador"),
            IF(AND($B259 &gt;= 37, $B259 &lt;= 47),
              9 + N("Especialista"),
                IF(MOD($B259,2) = 0,
                  8 + N("Analista"),
                  RANDBETWEEN(6,7) + N("Estagiário ou Trainee")
                )
            )
          )
        )
      )
    )
  )
)</f>
        <v>8</v>
      </c>
      <c r="O259" s="6">
        <f t="shared" ref="O259:O322" ca="1" si="55" xml:space="preserve">
IF($N259 =8 + N("Analyst"),
    RANDBETWEEN(2, 4) + N("Jr, Pleno, Sr"),
    NA()
)</f>
        <v>4</v>
      </c>
      <c r="P259" s="8">
        <f t="shared" ref="P259:P322" ca="1" si="56" xml:space="preserve">
IF(
   $N259=2 + N("Presidente"),
   36161,
   IF(
       OR(
         $N259=3 + N("Vice-Presidente"),
         $N259=4 + N("Diretor"),
         $N259=5 + N("Secretária bilíngue")
       ),
       RANDBETWEEN(36161,36411),
       IF(
         ((TODAY() - $K259) / 365) &lt; 19,
         TODAY(),
         RANDBETWEEN(36161,TODAY())
       )
   )
)</f>
        <v>44838</v>
      </c>
      <c r="Q259" s="6">
        <f ca="1">RANDBETWEEN(2,COUNTA('Recruitment source'!$A:$A))</f>
        <v>2</v>
      </c>
      <c r="R259" s="8" t="e">
        <f t="shared" ref="R259:R322" ca="1" si="57" xml:space="preserve">
IF(MOD(
     ROW(),111
   )=0,
   RANDBETWEEN($P259 + 1,TODAY() - 1),NA()
)</f>
        <v>#N/A</v>
      </c>
      <c r="S259" s="6" t="e">
        <f t="shared" ref="S259:S322" ca="1" si="58" xml:space="preserve">
IF(
  ISNA(R259),
  NA(),
  RANDBETWEEN(2,IF($H259="F",10,9))
)</f>
        <v>#N/A</v>
      </c>
      <c r="T259" s="6">
        <f t="shared" ca="1" si="48"/>
        <v>5</v>
      </c>
      <c r="U259" s="1">
        <f t="shared" ref="U259:U322" ca="1" si="59" xml:space="preserve">
IF($N259 = 2 + N("Presidente"),
    25000,
    IF($N259 = 3 + N("Vice-presidente"),
        23000,
        IF(OR($N259 = 5, $N259= 10, $N259 = 9) + N("Secretária bilíngue ou coordenador ou especialista"),
            8000,
            IF($N259 = 4 + N("Diretor"),
                15000,
                IF($N259 = 11 + N("Gerente"),
                    12000,
                    IF($N259 = 6 + N("Estagiário"),
                        805,
                        IF($N259 = 7 + N("Trainee"),
                            1005,
                            IF($N259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IF($L259 = 7,
  100,
  IF($L259 = 8,
    200,
    IF($L259 = 9,
      300,
      IF($L259 = 10,
        400,
        0
      )
    )
  )
)
+
N("Adicional no salário por área")
+
IF($M259 = 14 + N("Tecnologia da Informação"),
  120,
  IF($M259 = 16 + N("Vendas"),
    110,
    IF($M259 = 15 + N("Jurídico"),
      100,
      IF(OR($M259 = 8, $M259 = 9, $M259 = 11) + N("Recursos humanos ou comercial ou comunicação e marketing"),
        80,
        0
      )
    )
  )
)
+
N("Adicionando pegadinha")
+
IF(AND($M259 = 13, $N259 = 8) + N("Se for de vendas e analista"),
  IF($J259 = 2,
    50,
    0
  )
  +
  IF($H259 = "M",
    50,
    0
  ),
  0
)</f>
        <v>2000</v>
      </c>
    </row>
    <row r="260" spans="1:21" x14ac:dyDescent="0.2">
      <c r="A260" s="7" cm="1">
        <f t="array" aca="1" ref="A260" ca="1">INDEX(Companies!$A:$A,RANDBETWEEN(2,COUNTA(Companies!$A:$A)),1)</f>
        <v>2</v>
      </c>
      <c r="B260" s="5">
        <f t="shared" si="49"/>
        <v>259</v>
      </c>
      <c r="C260" s="6">
        <f t="shared" ca="1" si="50"/>
        <v>1</v>
      </c>
      <c r="D260" s="7">
        <f ca="1">IF($B260 = 1 + N("Presidente"),
    127,
    IF($B260 = 2 + N("Vice-Presidente"),
        72,
        IF($B260 = 3 + N("Secretária bilíngue"),
            13,
            RANDBETWEEN(5,COUNT(Name!$A:$A) + 1)
        )
    )
)</f>
        <v>286</v>
      </c>
      <c r="E260" s="7" t="str">
        <f ca="1" xml:space="preserve">
VLOOKUP(
  $D260,
  Name!$A:$B,
  2,
  FALSE
)
&amp; " " &amp;
IF($B260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Mateus Sacramento Medeiros</v>
      </c>
      <c r="F260" s="7">
        <v>2</v>
      </c>
      <c r="G260" s="7" cm="1">
        <f t="array" aca="1" ref="G260" ca="1">INDEX(States!$B:$B,RANDBETWEEN(2,COUNTA(States!$A:$A)),1)</f>
        <v>19</v>
      </c>
      <c r="H260" s="7" t="str">
        <f ca="1">VLOOKUP($D260,Name!$A:$C,3,FALSE)</f>
        <v>M</v>
      </c>
      <c r="I260" s="7" cm="1">
        <f t="array" aca="1" ref="I260" ca="1">INDEX('Marital status'!$A:$A,RANDBETWEEN(2,COUNTA('Marital status'!$A:$A)),1)</f>
        <v>5</v>
      </c>
      <c r="J260" s="7">
        <f t="shared" ca="1" si="51"/>
        <v>2</v>
      </c>
      <c r="K260" s="8">
        <f t="shared" ca="1" si="52"/>
        <v>24055</v>
      </c>
      <c r="L260" s="6">
        <f t="shared" ca="1" si="53"/>
        <v>4</v>
      </c>
      <c r="M260" s="7">
        <f ca="1" xml:space="preserve">
  IF(OR($N260 = 2, $N260 = 3, $N260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260" s="6">
        <f t="shared" ca="1" si="54"/>
        <v>6</v>
      </c>
      <c r="O260" s="6" t="e">
        <f t="shared" ca="1" si="55"/>
        <v>#N/A</v>
      </c>
      <c r="P260" s="8">
        <f t="shared" ca="1" si="56"/>
        <v>39422</v>
      </c>
      <c r="Q260" s="6">
        <f ca="1">RANDBETWEEN(2,COUNTA('Recruitment source'!$A:$A))</f>
        <v>2</v>
      </c>
      <c r="R260" s="8" t="e">
        <f t="shared" ca="1" si="57"/>
        <v>#N/A</v>
      </c>
      <c r="S260" s="6" t="e">
        <f t="shared" ca="1" si="58"/>
        <v>#N/A</v>
      </c>
      <c r="T260" s="6">
        <f t="shared" ca="1" si="48"/>
        <v>2</v>
      </c>
      <c r="U260" s="1">
        <f t="shared" ca="1" si="59"/>
        <v>805</v>
      </c>
    </row>
    <row r="261" spans="1:21" x14ac:dyDescent="0.2">
      <c r="A261" s="7" cm="1">
        <f t="array" aca="1" ref="A261" ca="1">INDEX(Companies!$A:$A,RANDBETWEEN(2,COUNTA(Companies!$A:$A)),1)</f>
        <v>2</v>
      </c>
      <c r="B261" s="5">
        <f t="shared" si="49"/>
        <v>260</v>
      </c>
      <c r="C261" s="6">
        <f t="shared" ca="1" si="50"/>
        <v>1</v>
      </c>
      <c r="D261" s="7">
        <f ca="1">IF($B261 = 1 + N("Presidente"),
    127,
    IF($B261 = 2 + N("Vice-Presidente"),
        72,
        IF($B261 = 3 + N("Secretária bilíngue"),
            13,
            RANDBETWEEN(5,COUNT(Name!$A:$A) + 1)
        )
    )
)</f>
        <v>72</v>
      </c>
      <c r="E261" s="7" t="str">
        <f ca="1" xml:space="preserve">
VLOOKUP(
  $D261,
  Name!$A:$B,
  2,
  FALSE
)
&amp; " " &amp;
IF($B261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Bernnardo Colombo Frasão</v>
      </c>
      <c r="F261" s="7">
        <v>2</v>
      </c>
      <c r="G261" s="7" cm="1">
        <f t="array" aca="1" ref="G261" ca="1">INDEX(States!$B:$B,RANDBETWEEN(2,COUNTA(States!$A:$A)),1)</f>
        <v>10</v>
      </c>
      <c r="H261" s="7" t="str">
        <f ca="1">VLOOKUP($D261,Name!$A:$C,3,FALSE)</f>
        <v>M</v>
      </c>
      <c r="I261" s="7" cm="1">
        <f t="array" aca="1" ref="I261" ca="1">INDEX('Marital status'!$A:$A,RANDBETWEEN(2,COUNTA('Marital status'!$A:$A)),1)</f>
        <v>6</v>
      </c>
      <c r="J261" s="7">
        <f t="shared" ca="1" si="51"/>
        <v>2</v>
      </c>
      <c r="K261" s="8">
        <f t="shared" ca="1" si="52"/>
        <v>35018</v>
      </c>
      <c r="L261" s="6">
        <f t="shared" ca="1" si="53"/>
        <v>4</v>
      </c>
      <c r="M261" s="7">
        <f ca="1" xml:space="preserve">
  IF(OR($N261 = 2, $N261 = 3, $N261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261" s="6">
        <f t="shared" ca="1" si="54"/>
        <v>8</v>
      </c>
      <c r="O261" s="6">
        <f t="shared" ca="1" si="55"/>
        <v>3</v>
      </c>
      <c r="P261" s="8">
        <f t="shared" ca="1" si="56"/>
        <v>40175</v>
      </c>
      <c r="Q261" s="6">
        <f ca="1">RANDBETWEEN(2,COUNTA('Recruitment source'!$A:$A))</f>
        <v>10</v>
      </c>
      <c r="R261" s="8" t="e">
        <f t="shared" ca="1" si="57"/>
        <v>#N/A</v>
      </c>
      <c r="S261" s="6" t="e">
        <f t="shared" ca="1" si="58"/>
        <v>#N/A</v>
      </c>
      <c r="T261" s="6">
        <f t="shared" ca="1" si="48"/>
        <v>2</v>
      </c>
      <c r="U261" s="1">
        <f t="shared" ca="1" si="59"/>
        <v>2080</v>
      </c>
    </row>
    <row r="262" spans="1:21" x14ac:dyDescent="0.2">
      <c r="A262" s="7" cm="1">
        <f t="array" aca="1" ref="A262" ca="1">INDEX(Companies!$A:$A,RANDBETWEEN(2,COUNTA(Companies!$A:$A)),1)</f>
        <v>2</v>
      </c>
      <c r="B262" s="5">
        <f t="shared" si="49"/>
        <v>261</v>
      </c>
      <c r="C262" s="6">
        <f t="shared" ca="1" si="50"/>
        <v>1</v>
      </c>
      <c r="D262" s="7">
        <f ca="1">IF($B262 = 1 + N("Presidente"),
    127,
    IF($B262 = 2 + N("Vice-Presidente"),
        72,
        IF($B262 = 3 + N("Secretária bilíngue"),
            13,
            RANDBETWEEN(5,COUNT(Name!$A:$A) + 1)
        )
    )
)</f>
        <v>297</v>
      </c>
      <c r="E262" s="7" t="str">
        <f ca="1" xml:space="preserve">
VLOOKUP(
  $D262,
  Name!$A:$B,
  2,
  FALSE
)
&amp; " " &amp;
IF($B262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Miguelito Negreiros Conti</v>
      </c>
      <c r="F262" s="7">
        <v>2</v>
      </c>
      <c r="G262" s="7" cm="1">
        <f t="array" aca="1" ref="G262" ca="1">INDEX(States!$B:$B,RANDBETWEEN(2,COUNTA(States!$A:$A)),1)</f>
        <v>7</v>
      </c>
      <c r="H262" s="7" t="str">
        <f ca="1">VLOOKUP($D262,Name!$A:$C,3,FALSE)</f>
        <v>M</v>
      </c>
      <c r="I262" s="7" cm="1">
        <f t="array" aca="1" ref="I262" ca="1">INDEX('Marital status'!$A:$A,RANDBETWEEN(2,COUNTA('Marital status'!$A:$A)),1)</f>
        <v>4</v>
      </c>
      <c r="J262" s="7">
        <f t="shared" ca="1" si="51"/>
        <v>2</v>
      </c>
      <c r="K262" s="8">
        <f t="shared" ca="1" si="52"/>
        <v>34736</v>
      </c>
      <c r="L262" s="6">
        <f t="shared" ca="1" si="53"/>
        <v>4</v>
      </c>
      <c r="M262" s="7">
        <f ca="1" xml:space="preserve">
  IF(OR($N262 = 2, $N262 = 3, $N262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262" s="6">
        <f t="shared" ca="1" si="54"/>
        <v>7</v>
      </c>
      <c r="O262" s="6" t="e">
        <f t="shared" ca="1" si="55"/>
        <v>#N/A</v>
      </c>
      <c r="P262" s="8">
        <f t="shared" ca="1" si="56"/>
        <v>44701</v>
      </c>
      <c r="Q262" s="6">
        <f ca="1">RANDBETWEEN(2,COUNTA('Recruitment source'!$A:$A))</f>
        <v>5</v>
      </c>
      <c r="R262" s="8" t="e">
        <f t="shared" ca="1" si="57"/>
        <v>#N/A</v>
      </c>
      <c r="S262" s="6" t="e">
        <f t="shared" ca="1" si="58"/>
        <v>#N/A</v>
      </c>
      <c r="T262" s="6">
        <f t="shared" ca="1" si="48"/>
        <v>5</v>
      </c>
      <c r="U262" s="1">
        <f t="shared" ca="1" si="59"/>
        <v>1005</v>
      </c>
    </row>
    <row r="263" spans="1:21" x14ac:dyDescent="0.2">
      <c r="A263" s="7" cm="1">
        <f t="array" aca="1" ref="A263" ca="1">INDEX(Companies!$A:$A,RANDBETWEEN(2,COUNTA(Companies!$A:$A)),1)</f>
        <v>2</v>
      </c>
      <c r="B263" s="5">
        <f t="shared" si="49"/>
        <v>262</v>
      </c>
      <c r="C263" s="6">
        <f t="shared" ca="1" si="50"/>
        <v>1</v>
      </c>
      <c r="D263" s="7">
        <f ca="1">IF($B263 = 1 + N("Presidente"),
    127,
    IF($B263 = 2 + N("Vice-Presidente"),
        72,
        IF($B263 = 3 + N("Secretária bilíngue"),
            13,
            RANDBETWEEN(5,COUNT(Name!$A:$A) + 1)
        )
    )
)</f>
        <v>98</v>
      </c>
      <c r="E263" s="7" t="str">
        <f ca="1" xml:space="preserve">
VLOOKUP(
  $D263,
  Name!$A:$B,
  2,
  FALSE
)
&amp; " " &amp;
IF($B263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Claudio sobrenome Mazza</v>
      </c>
      <c r="F263" s="7">
        <v>2</v>
      </c>
      <c r="G263" s="7" cm="1">
        <f t="array" aca="1" ref="G263" ca="1">INDEX(States!$B:$B,RANDBETWEEN(2,COUNTA(States!$A:$A)),1)</f>
        <v>11</v>
      </c>
      <c r="H263" s="7" t="str">
        <f ca="1">VLOOKUP($D263,Name!$A:$C,3,FALSE)</f>
        <v>M</v>
      </c>
      <c r="I263" s="7" cm="1">
        <f t="array" aca="1" ref="I263" ca="1">INDEX('Marital status'!$A:$A,RANDBETWEEN(2,COUNTA('Marital status'!$A:$A)),1)</f>
        <v>6</v>
      </c>
      <c r="J263" s="7">
        <f t="shared" ca="1" si="51"/>
        <v>2</v>
      </c>
      <c r="K263" s="8">
        <f t="shared" ca="1" si="52"/>
        <v>32606</v>
      </c>
      <c r="L263" s="6">
        <f t="shared" ca="1" si="53"/>
        <v>5</v>
      </c>
      <c r="M263" s="7">
        <f ca="1" xml:space="preserve">
  IF(OR($N263 = 2, $N263 = 3, $N263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263" s="6">
        <f t="shared" ca="1" si="54"/>
        <v>8</v>
      </c>
      <c r="O263" s="6">
        <f t="shared" ca="1" si="55"/>
        <v>4</v>
      </c>
      <c r="P263" s="8">
        <f t="shared" ca="1" si="56"/>
        <v>39742</v>
      </c>
      <c r="Q263" s="6">
        <f ca="1">RANDBETWEEN(2,COUNTA('Recruitment source'!$A:$A))</f>
        <v>11</v>
      </c>
      <c r="R263" s="8" t="e">
        <f t="shared" ca="1" si="57"/>
        <v>#N/A</v>
      </c>
      <c r="S263" s="6" t="e">
        <f t="shared" ca="1" si="58"/>
        <v>#N/A</v>
      </c>
      <c r="T263" s="6">
        <f t="shared" ca="1" si="48"/>
        <v>4</v>
      </c>
      <c r="U263" s="1">
        <f t="shared" ca="1" si="59"/>
        <v>2000</v>
      </c>
    </row>
    <row r="264" spans="1:21" x14ac:dyDescent="0.2">
      <c r="A264" s="7" cm="1">
        <f t="array" aca="1" ref="A264" ca="1">INDEX(Companies!$A:$A,RANDBETWEEN(2,COUNTA(Companies!$A:$A)),1)</f>
        <v>2</v>
      </c>
      <c r="B264" s="5">
        <f t="shared" si="49"/>
        <v>263</v>
      </c>
      <c r="C264" s="6">
        <f t="shared" ca="1" si="50"/>
        <v>1</v>
      </c>
      <c r="D264" s="7">
        <f ca="1">IF($B264 = 1 + N("Presidente"),
    127,
    IF($B264 = 2 + N("Vice-Presidente"),
        72,
        IF($B264 = 3 + N("Secretária bilíngue"),
            13,
            RANDBETWEEN(5,COUNT(Name!$A:$A) + 1)
        )
    )
)</f>
        <v>299</v>
      </c>
      <c r="E264" s="7" t="str">
        <f ca="1" xml:space="preserve">
VLOOKUP(
  $D264,
  Name!$A:$B,
  2,
  FALSE
)
&amp; " " &amp;
IF($B264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Mirella Ferrão Badu</v>
      </c>
      <c r="F264" s="7">
        <v>2</v>
      </c>
      <c r="G264" s="7" cm="1">
        <f t="array" aca="1" ref="G264" ca="1">INDEX(States!$B:$B,RANDBETWEEN(2,COUNTA(States!$A:$A)),1)</f>
        <v>5</v>
      </c>
      <c r="H264" s="7" t="str">
        <f ca="1">VLOOKUP($D264,Name!$A:$C,3,FALSE)</f>
        <v>F</v>
      </c>
      <c r="I264" s="7" cm="1">
        <f t="array" aca="1" ref="I264" ca="1">INDEX('Marital status'!$A:$A,RANDBETWEEN(2,COUNTA('Marital status'!$A:$A)),1)</f>
        <v>6</v>
      </c>
      <c r="J264" s="7">
        <f t="shared" ca="1" si="51"/>
        <v>4</v>
      </c>
      <c r="K264" s="8">
        <f t="shared" ca="1" si="52"/>
        <v>35253</v>
      </c>
      <c r="L264" s="6">
        <f t="shared" ca="1" si="53"/>
        <v>4</v>
      </c>
      <c r="M264" s="7">
        <f ca="1" xml:space="preserve">
  IF(OR($N264 = 2, $N264 = 3, $N264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264" s="6">
        <f t="shared" ca="1" si="54"/>
        <v>7</v>
      </c>
      <c r="O264" s="6" t="e">
        <f t="shared" ca="1" si="55"/>
        <v>#N/A</v>
      </c>
      <c r="P264" s="8">
        <f t="shared" ca="1" si="56"/>
        <v>40551</v>
      </c>
      <c r="Q264" s="6">
        <f ca="1">RANDBETWEEN(2,COUNTA('Recruitment source'!$A:$A))</f>
        <v>4</v>
      </c>
      <c r="R264" s="8" t="e">
        <f t="shared" ca="1" si="57"/>
        <v>#N/A</v>
      </c>
      <c r="S264" s="6" t="e">
        <f t="shared" ca="1" si="58"/>
        <v>#N/A</v>
      </c>
      <c r="T264" s="6">
        <f t="shared" ca="1" si="48"/>
        <v>5</v>
      </c>
      <c r="U264" s="1">
        <f t="shared" ca="1" si="59"/>
        <v>1005</v>
      </c>
    </row>
    <row r="265" spans="1:21" x14ac:dyDescent="0.2">
      <c r="A265" s="7" cm="1">
        <f t="array" aca="1" ref="A265" ca="1">INDEX(Companies!$A:$A,RANDBETWEEN(2,COUNTA(Companies!$A:$A)),1)</f>
        <v>2</v>
      </c>
      <c r="B265" s="5">
        <f t="shared" si="49"/>
        <v>264</v>
      </c>
      <c r="C265" s="6">
        <f t="shared" ca="1" si="50"/>
        <v>1</v>
      </c>
      <c r="D265" s="7">
        <f ca="1">IF($B265 = 1 + N("Presidente"),
    127,
    IF($B265 = 2 + N("Vice-Presidente"),
        72,
        IF($B265 = 3 + N("Secretária bilíngue"),
            13,
            RANDBETWEEN(5,COUNT(Name!$A:$A) + 1)
        )
    )
)</f>
        <v>261</v>
      </c>
      <c r="E265" s="7" t="str">
        <f ca="1" xml:space="preserve">
VLOOKUP(
  $D265,
  Name!$A:$B,
  2,
  FALSE
)
&amp; " " &amp;
IF($B265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Clara Negrão Ferrari</v>
      </c>
      <c r="F265" s="7">
        <v>2</v>
      </c>
      <c r="G265" s="7" cm="1">
        <f t="array" aca="1" ref="G265" ca="1">INDEX(States!$B:$B,RANDBETWEEN(2,COUNTA(States!$A:$A)),1)</f>
        <v>15</v>
      </c>
      <c r="H265" s="7" t="str">
        <f ca="1">VLOOKUP($D265,Name!$A:$C,3,FALSE)</f>
        <v>F</v>
      </c>
      <c r="I265" s="7" cm="1">
        <f t="array" aca="1" ref="I265" ca="1">INDEX('Marital status'!$A:$A,RANDBETWEEN(2,COUNTA('Marital status'!$A:$A)),1)</f>
        <v>5</v>
      </c>
      <c r="J265" s="7">
        <f t="shared" ca="1" si="51"/>
        <v>2</v>
      </c>
      <c r="K265" s="8">
        <f t="shared" ca="1" si="52"/>
        <v>38245</v>
      </c>
      <c r="L265" s="6">
        <f t="shared" ca="1" si="53"/>
        <v>4</v>
      </c>
      <c r="M265" s="7">
        <f ca="1" xml:space="preserve">
  IF(OR($N265 = 2, $N265 = 3, $N265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265" s="6">
        <f t="shared" ca="1" si="54"/>
        <v>8</v>
      </c>
      <c r="O265" s="6">
        <f t="shared" ca="1" si="55"/>
        <v>3</v>
      </c>
      <c r="P265" s="8">
        <f t="shared" ca="1" si="56"/>
        <v>44838</v>
      </c>
      <c r="Q265" s="6">
        <f ca="1">RANDBETWEEN(2,COUNTA('Recruitment source'!$A:$A))</f>
        <v>8</v>
      </c>
      <c r="R265" s="8" t="e">
        <f t="shared" ca="1" si="57"/>
        <v>#N/A</v>
      </c>
      <c r="S265" s="6" t="e">
        <f t="shared" ca="1" si="58"/>
        <v>#N/A</v>
      </c>
      <c r="T265" s="6">
        <f t="shared" ca="1" si="48"/>
        <v>5</v>
      </c>
      <c r="U265" s="1">
        <f t="shared" ca="1" si="59"/>
        <v>2080</v>
      </c>
    </row>
    <row r="266" spans="1:21" x14ac:dyDescent="0.2">
      <c r="A266" s="7" cm="1">
        <f t="array" aca="1" ref="A266" ca="1">INDEX(Companies!$A:$A,RANDBETWEEN(2,COUNTA(Companies!$A:$A)),1)</f>
        <v>2</v>
      </c>
      <c r="B266" s="5">
        <f t="shared" si="49"/>
        <v>265</v>
      </c>
      <c r="C266" s="6">
        <f t="shared" ca="1" si="50"/>
        <v>1</v>
      </c>
      <c r="D266" s="7">
        <f ca="1">IF($B266 = 1 + N("Presidente"),
    127,
    IF($B266 = 2 + N("Vice-Presidente"),
        72,
        IF($B266 = 3 + N("Secretária bilíngue"),
            13,
            RANDBETWEEN(5,COUNT(Name!$A:$A) + 1)
        )
    )
)</f>
        <v>52</v>
      </c>
      <c r="E266" s="7" t="str">
        <f ca="1" xml:space="preserve">
VLOOKUP(
  $D266,
  Name!$A:$B,
  2,
  FALSE
)
&amp; " " &amp;
IF($B266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Antônio Morato Veiga</v>
      </c>
      <c r="F266" s="7">
        <v>2</v>
      </c>
      <c r="G266" s="7" cm="1">
        <f t="array" aca="1" ref="G266" ca="1">INDEX(States!$B:$B,RANDBETWEEN(2,COUNTA(States!$A:$A)),1)</f>
        <v>19</v>
      </c>
      <c r="H266" s="7" t="str">
        <f ca="1">VLOOKUP($D266,Name!$A:$C,3,FALSE)</f>
        <v>M</v>
      </c>
      <c r="I266" s="7" cm="1">
        <f t="array" aca="1" ref="I266" ca="1">INDEX('Marital status'!$A:$A,RANDBETWEEN(2,COUNTA('Marital status'!$A:$A)),1)</f>
        <v>6</v>
      </c>
      <c r="J266" s="7">
        <f t="shared" ca="1" si="51"/>
        <v>5</v>
      </c>
      <c r="K266" s="8">
        <f t="shared" ca="1" si="52"/>
        <v>31810</v>
      </c>
      <c r="L266" s="6">
        <f t="shared" ca="1" si="53"/>
        <v>4</v>
      </c>
      <c r="M266" s="7">
        <f ca="1" xml:space="preserve">
  IF(OR($N266 = 2, $N266 = 3, $N266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266" s="6">
        <f t="shared" ca="1" si="54"/>
        <v>7</v>
      </c>
      <c r="O266" s="6" t="e">
        <f t="shared" ca="1" si="55"/>
        <v>#N/A</v>
      </c>
      <c r="P266" s="8">
        <f t="shared" ca="1" si="56"/>
        <v>44588</v>
      </c>
      <c r="Q266" s="6">
        <f ca="1">RANDBETWEEN(2,COUNTA('Recruitment source'!$A:$A))</f>
        <v>11</v>
      </c>
      <c r="R266" s="8" t="e">
        <f t="shared" ca="1" si="57"/>
        <v>#N/A</v>
      </c>
      <c r="S266" s="6" t="e">
        <f t="shared" ca="1" si="58"/>
        <v>#N/A</v>
      </c>
      <c r="T266" s="6">
        <f t="shared" ca="1" si="48"/>
        <v>4</v>
      </c>
      <c r="U266" s="1">
        <f t="shared" ca="1" si="59"/>
        <v>1005</v>
      </c>
    </row>
    <row r="267" spans="1:21" x14ac:dyDescent="0.2">
      <c r="A267" s="7" cm="1">
        <f t="array" aca="1" ref="A267" ca="1">INDEX(Companies!$A:$A,RANDBETWEEN(2,COUNTA(Companies!$A:$A)),1)</f>
        <v>2</v>
      </c>
      <c r="B267" s="5">
        <f t="shared" si="49"/>
        <v>266</v>
      </c>
      <c r="C267" s="6">
        <f t="shared" ca="1" si="50"/>
        <v>1</v>
      </c>
      <c r="D267" s="7">
        <f ca="1">IF($B267 = 1 + N("Presidente"),
    127,
    IF($B267 = 2 + N("Vice-Presidente"),
        72,
        IF($B267 = 3 + N("Secretária bilíngue"),
            13,
            RANDBETWEEN(5,COUNT(Name!$A:$A) + 1)
        )
    )
)</f>
        <v>79</v>
      </c>
      <c r="E267" s="7" t="str">
        <f ca="1" xml:space="preserve">
VLOOKUP(
  $D267,
  Name!$A:$B,
  2,
  FALSE
)
&amp; " " &amp;
IF($B267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Byanca Romano Aragão</v>
      </c>
      <c r="F267" s="7">
        <v>2</v>
      </c>
      <c r="G267" s="7" cm="1">
        <f t="array" aca="1" ref="G267" ca="1">INDEX(States!$B:$B,RANDBETWEEN(2,COUNTA(States!$A:$A)),1)</f>
        <v>8</v>
      </c>
      <c r="H267" s="7" t="str">
        <f ca="1">VLOOKUP($D267,Name!$A:$C,3,FALSE)</f>
        <v>F</v>
      </c>
      <c r="I267" s="7" cm="1">
        <f t="array" aca="1" ref="I267" ca="1">INDEX('Marital status'!$A:$A,RANDBETWEEN(2,COUNTA('Marital status'!$A:$A)),1)</f>
        <v>6</v>
      </c>
      <c r="J267" s="7">
        <f t="shared" ca="1" si="51"/>
        <v>2</v>
      </c>
      <c r="K267" s="8">
        <f t="shared" ca="1" si="52"/>
        <v>33184</v>
      </c>
      <c r="L267" s="6">
        <f t="shared" ca="1" si="53"/>
        <v>4</v>
      </c>
      <c r="M267" s="7">
        <f ca="1" xml:space="preserve">
  IF(OR($N267 = 2, $N267 = 3, $N267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267" s="6">
        <f t="shared" ca="1" si="54"/>
        <v>8</v>
      </c>
      <c r="O267" s="6">
        <f t="shared" ca="1" si="55"/>
        <v>3</v>
      </c>
      <c r="P267" s="8">
        <f t="shared" ca="1" si="56"/>
        <v>39175</v>
      </c>
      <c r="Q267" s="6">
        <f ca="1">RANDBETWEEN(2,COUNTA('Recruitment source'!$A:$A))</f>
        <v>10</v>
      </c>
      <c r="R267" s="8" t="e">
        <f t="shared" ca="1" si="57"/>
        <v>#N/A</v>
      </c>
      <c r="S267" s="6" t="e">
        <f t="shared" ca="1" si="58"/>
        <v>#N/A</v>
      </c>
      <c r="T267" s="6">
        <f t="shared" ca="1" si="48"/>
        <v>5</v>
      </c>
      <c r="U267" s="1">
        <f t="shared" ca="1" si="59"/>
        <v>2000</v>
      </c>
    </row>
    <row r="268" spans="1:21" x14ac:dyDescent="0.2">
      <c r="A268" s="7" cm="1">
        <f t="array" aca="1" ref="A268" ca="1">INDEX(Companies!$A:$A,RANDBETWEEN(2,COUNTA(Companies!$A:$A)),1)</f>
        <v>2</v>
      </c>
      <c r="B268" s="5">
        <f t="shared" si="49"/>
        <v>267</v>
      </c>
      <c r="C268" s="6">
        <f t="shared" ca="1" si="50"/>
        <v>1</v>
      </c>
      <c r="D268" s="7">
        <f ca="1">IF($B268 = 1 + N("Presidente"),
    127,
    IF($B268 = 2 + N("Vice-Presidente"),
        72,
        IF($B268 = 3 + N("Secretária bilíngue"),
            13,
            RANDBETWEEN(5,COUNT(Name!$A:$A) + 1)
        )
    )
)</f>
        <v>92</v>
      </c>
      <c r="E268" s="7" t="str">
        <f ca="1" xml:space="preserve">
VLOOKUP(
  $D268,
  Name!$A:$B,
  2,
  FALSE
)
&amp; " " &amp;
IF($B268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Cecília Gallo Marino</v>
      </c>
      <c r="F268" s="7">
        <v>2</v>
      </c>
      <c r="G268" s="7" cm="1">
        <f t="array" aca="1" ref="G268" ca="1">INDEX(States!$B:$B,RANDBETWEEN(2,COUNTA(States!$A:$A)),1)</f>
        <v>7</v>
      </c>
      <c r="H268" s="7" t="str">
        <f ca="1">VLOOKUP($D268,Name!$A:$C,3,FALSE)</f>
        <v>F</v>
      </c>
      <c r="I268" s="7" cm="1">
        <f t="array" aca="1" ref="I268" ca="1">INDEX('Marital status'!$A:$A,RANDBETWEEN(2,COUNTA('Marital status'!$A:$A)),1)</f>
        <v>5</v>
      </c>
      <c r="J268" s="7">
        <f t="shared" ca="1" si="51"/>
        <v>2</v>
      </c>
      <c r="K268" s="8">
        <f t="shared" ca="1" si="52"/>
        <v>28069</v>
      </c>
      <c r="L268" s="6">
        <f t="shared" ca="1" si="53"/>
        <v>4</v>
      </c>
      <c r="M268" s="7">
        <f ca="1" xml:space="preserve">
  IF(OR($N268 = 2, $N268 = 3, $N268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268" s="6">
        <f t="shared" ca="1" si="54"/>
        <v>6</v>
      </c>
      <c r="O268" s="6" t="e">
        <f t="shared" ca="1" si="55"/>
        <v>#N/A</v>
      </c>
      <c r="P268" s="8">
        <f t="shared" ca="1" si="56"/>
        <v>41537</v>
      </c>
      <c r="Q268" s="6">
        <f ca="1">RANDBETWEEN(2,COUNTA('Recruitment source'!$A:$A))</f>
        <v>6</v>
      </c>
      <c r="R268" s="8" t="e">
        <f t="shared" ca="1" si="57"/>
        <v>#N/A</v>
      </c>
      <c r="S268" s="6" t="e">
        <f t="shared" ca="1" si="58"/>
        <v>#N/A</v>
      </c>
      <c r="T268" s="6">
        <f t="shared" ca="1" si="48"/>
        <v>2</v>
      </c>
      <c r="U268" s="1">
        <f t="shared" ca="1" si="59"/>
        <v>805</v>
      </c>
    </row>
    <row r="269" spans="1:21" x14ac:dyDescent="0.2">
      <c r="A269" s="7" cm="1">
        <f t="array" aca="1" ref="A269" ca="1">INDEX(Companies!$A:$A,RANDBETWEEN(2,COUNTA(Companies!$A:$A)),1)</f>
        <v>2</v>
      </c>
      <c r="B269" s="5">
        <f t="shared" si="49"/>
        <v>268</v>
      </c>
      <c r="C269" s="6">
        <f t="shared" ca="1" si="50"/>
        <v>1</v>
      </c>
      <c r="D269" s="7">
        <f ca="1">IF($B269 = 1 + N("Presidente"),
    127,
    IF($B269 = 2 + N("Vice-Presidente"),
        72,
        IF($B269 = 3 + N("Secretária bilíngue"),
            13,
            RANDBETWEEN(5,COUNT(Name!$A:$A) + 1)
        )
    )
)</f>
        <v>36</v>
      </c>
      <c r="E269" s="7" t="str">
        <f ca="1" xml:space="preserve">
VLOOKUP(
  $D269,
  Name!$A:$B,
  2,
  FALSE
)
&amp; " " &amp;
IF($B269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Sophia Farias Noronha</v>
      </c>
      <c r="F269" s="7">
        <v>2</v>
      </c>
      <c r="G269" s="7" cm="1">
        <f t="array" aca="1" ref="G269" ca="1">INDEX(States!$B:$B,RANDBETWEEN(2,COUNTA(States!$A:$A)),1)</f>
        <v>18</v>
      </c>
      <c r="H269" s="7" t="str">
        <f ca="1">VLOOKUP($D269,Name!$A:$C,3,FALSE)</f>
        <v>F</v>
      </c>
      <c r="I269" s="7" cm="1">
        <f t="array" aca="1" ref="I269" ca="1">INDEX('Marital status'!$A:$A,RANDBETWEEN(2,COUNTA('Marital status'!$A:$A)),1)</f>
        <v>6</v>
      </c>
      <c r="J269" s="7">
        <f t="shared" ca="1" si="51"/>
        <v>2</v>
      </c>
      <c r="K269" s="8">
        <f t="shared" ca="1" si="52"/>
        <v>37895</v>
      </c>
      <c r="L269" s="6">
        <f t="shared" ca="1" si="53"/>
        <v>4</v>
      </c>
      <c r="M269" s="7">
        <f ca="1" xml:space="preserve">
  IF(OR($N269 = 2, $N269 = 3, $N269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269" s="6">
        <f t="shared" ca="1" si="54"/>
        <v>8</v>
      </c>
      <c r="O269" s="6">
        <f t="shared" ca="1" si="55"/>
        <v>2</v>
      </c>
      <c r="P269" s="8">
        <f t="shared" ca="1" si="56"/>
        <v>36866</v>
      </c>
      <c r="Q269" s="6">
        <f ca="1">RANDBETWEEN(2,COUNTA('Recruitment source'!$A:$A))</f>
        <v>2</v>
      </c>
      <c r="R269" s="8" t="e">
        <f t="shared" ca="1" si="57"/>
        <v>#N/A</v>
      </c>
      <c r="S269" s="6" t="e">
        <f t="shared" ca="1" si="58"/>
        <v>#N/A</v>
      </c>
      <c r="T269" s="6">
        <f t="shared" ca="1" si="48"/>
        <v>2</v>
      </c>
      <c r="U269" s="1">
        <f t="shared" ca="1" si="59"/>
        <v>2000</v>
      </c>
    </row>
    <row r="270" spans="1:21" x14ac:dyDescent="0.2">
      <c r="A270" s="7" cm="1">
        <f t="array" aca="1" ref="A270" ca="1">INDEX(Companies!$A:$A,RANDBETWEEN(2,COUNTA(Companies!$A:$A)),1)</f>
        <v>2</v>
      </c>
      <c r="B270" s="5">
        <f t="shared" si="49"/>
        <v>269</v>
      </c>
      <c r="C270" s="6">
        <f t="shared" ca="1" si="50"/>
        <v>1</v>
      </c>
      <c r="D270" s="7">
        <f ca="1">IF($B270 = 1 + N("Presidente"),
    127,
    IF($B270 = 2 + N("Vice-Presidente"),
        72,
        IF($B270 = 3 + N("Secretária bilíngue"),
            13,
            RANDBETWEEN(5,COUNT(Name!$A:$A) + 1)
        )
    )
)</f>
        <v>97</v>
      </c>
      <c r="E270" s="7" t="str">
        <f ca="1" xml:space="preserve">
VLOOKUP(
  $D270,
  Name!$A:$B,
  2,
  FALSE
)
&amp; " " &amp;
IF($B270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Claudia Arruda Saragoça</v>
      </c>
      <c r="F270" s="7">
        <v>2</v>
      </c>
      <c r="G270" s="7" cm="1">
        <f t="array" aca="1" ref="G270" ca="1">INDEX(States!$B:$B,RANDBETWEEN(2,COUNTA(States!$A:$A)),1)</f>
        <v>2</v>
      </c>
      <c r="H270" s="7" t="str">
        <f ca="1">VLOOKUP($D270,Name!$A:$C,3,FALSE)</f>
        <v>F</v>
      </c>
      <c r="I270" s="7" cm="1">
        <f t="array" aca="1" ref="I270" ca="1">INDEX('Marital status'!$A:$A,RANDBETWEEN(2,COUNTA('Marital status'!$A:$A)),1)</f>
        <v>4</v>
      </c>
      <c r="J270" s="7">
        <f t="shared" ca="1" si="51"/>
        <v>2</v>
      </c>
      <c r="K270" s="8">
        <f t="shared" ca="1" si="52"/>
        <v>31566</v>
      </c>
      <c r="L270" s="6">
        <f t="shared" ca="1" si="53"/>
        <v>4</v>
      </c>
      <c r="M270" s="7">
        <f ca="1" xml:space="preserve">
  IF(OR($N270 = 2, $N270 = 3, $N270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270" s="6">
        <f t="shared" ca="1" si="54"/>
        <v>7</v>
      </c>
      <c r="O270" s="6" t="e">
        <f t="shared" ca="1" si="55"/>
        <v>#N/A</v>
      </c>
      <c r="P270" s="8">
        <f t="shared" ca="1" si="56"/>
        <v>42008</v>
      </c>
      <c r="Q270" s="6">
        <f ca="1">RANDBETWEEN(2,COUNTA('Recruitment source'!$A:$A))</f>
        <v>2</v>
      </c>
      <c r="R270" s="8" t="e">
        <f t="shared" ca="1" si="57"/>
        <v>#N/A</v>
      </c>
      <c r="S270" s="6" t="e">
        <f t="shared" ca="1" si="58"/>
        <v>#N/A</v>
      </c>
      <c r="T270" s="6">
        <f t="shared" ca="1" si="48"/>
        <v>3</v>
      </c>
      <c r="U270" s="1">
        <f t="shared" ca="1" si="59"/>
        <v>1085</v>
      </c>
    </row>
    <row r="271" spans="1:21" x14ac:dyDescent="0.2">
      <c r="A271" s="7" cm="1">
        <f t="array" aca="1" ref="A271" ca="1">INDEX(Companies!$A:$A,RANDBETWEEN(2,COUNTA(Companies!$A:$A)),1)</f>
        <v>2</v>
      </c>
      <c r="B271" s="5">
        <f t="shared" si="49"/>
        <v>270</v>
      </c>
      <c r="C271" s="6">
        <f t="shared" ca="1" si="50"/>
        <v>1</v>
      </c>
      <c r="D271" s="7">
        <f ca="1">IF($B271 = 1 + N("Presidente"),
    127,
    IF($B271 = 2 + N("Vice-Presidente"),
        72,
        IF($B271 = 3 + N("Secretária bilíngue"),
            13,
            RANDBETWEEN(5,COUNT(Name!$A:$A) + 1)
        )
    )
)</f>
        <v>358</v>
      </c>
      <c r="E271" s="7" t="str">
        <f ca="1" xml:space="preserve">
VLOOKUP(
  $D271,
  Name!$A:$B,
  2,
  FALSE
)
&amp; " " &amp;
IF($B271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Vinícius Brito Marino</v>
      </c>
      <c r="F271" s="7">
        <v>2</v>
      </c>
      <c r="G271" s="7" cm="1">
        <f t="array" aca="1" ref="G271" ca="1">INDEX(States!$B:$B,RANDBETWEEN(2,COUNTA(States!$A:$A)),1)</f>
        <v>16</v>
      </c>
      <c r="H271" s="7" t="str">
        <f ca="1">VLOOKUP($D271,Name!$A:$C,3,FALSE)</f>
        <v>M</v>
      </c>
      <c r="I271" s="7" cm="1">
        <f t="array" aca="1" ref="I271" ca="1">INDEX('Marital status'!$A:$A,RANDBETWEEN(2,COUNTA('Marital status'!$A:$A)),1)</f>
        <v>5</v>
      </c>
      <c r="J271" s="7">
        <f t="shared" ca="1" si="51"/>
        <v>2</v>
      </c>
      <c r="K271" s="8">
        <f t="shared" ca="1" si="52"/>
        <v>36969</v>
      </c>
      <c r="L271" s="6">
        <f t="shared" ca="1" si="53"/>
        <v>5</v>
      </c>
      <c r="M271" s="7">
        <f ca="1" xml:space="preserve">
  IF(OR($N271 = 2, $N271 = 3, $N271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271" s="6">
        <f t="shared" ca="1" si="54"/>
        <v>8</v>
      </c>
      <c r="O271" s="6">
        <f t="shared" ca="1" si="55"/>
        <v>2</v>
      </c>
      <c r="P271" s="8">
        <f t="shared" ca="1" si="56"/>
        <v>44283</v>
      </c>
      <c r="Q271" s="6">
        <f ca="1">RANDBETWEEN(2,COUNTA('Recruitment source'!$A:$A))</f>
        <v>2</v>
      </c>
      <c r="R271" s="8" t="e">
        <f t="shared" ca="1" si="57"/>
        <v>#N/A</v>
      </c>
      <c r="S271" s="6" t="e">
        <f t="shared" ca="1" si="58"/>
        <v>#N/A</v>
      </c>
      <c r="T271" s="6">
        <f t="shared" ca="1" si="48"/>
        <v>5</v>
      </c>
      <c r="U271" s="1">
        <f t="shared" ca="1" si="59"/>
        <v>2100</v>
      </c>
    </row>
    <row r="272" spans="1:21" x14ac:dyDescent="0.2">
      <c r="A272" s="7" cm="1">
        <f t="array" aca="1" ref="A272" ca="1">INDEX(Companies!$A:$A,RANDBETWEEN(2,COUNTA(Companies!$A:$A)),1)</f>
        <v>2</v>
      </c>
      <c r="B272" s="5">
        <f t="shared" si="49"/>
        <v>271</v>
      </c>
      <c r="C272" s="6">
        <f t="shared" ca="1" si="50"/>
        <v>1</v>
      </c>
      <c r="D272" s="7">
        <f ca="1">IF($B272 = 1 + N("Presidente"),
    127,
    IF($B272 = 2 + N("Vice-Presidente"),
        72,
        IF($B272 = 3 + N("Secretária bilíngue"),
            13,
            RANDBETWEEN(5,COUNT(Name!$A:$A) + 1)
        )
    )
)</f>
        <v>283</v>
      </c>
      <c r="E272" s="7" t="str">
        <f ca="1" xml:space="preserve">
VLOOKUP(
  $D272,
  Name!$A:$B,
  2,
  FALSE
)
&amp; " " &amp;
IF($B272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Marta Aguiar Furtado</v>
      </c>
      <c r="F272" s="7">
        <v>2</v>
      </c>
      <c r="G272" s="7" cm="1">
        <f t="array" aca="1" ref="G272" ca="1">INDEX(States!$B:$B,RANDBETWEEN(2,COUNTA(States!$A:$A)),1)</f>
        <v>21</v>
      </c>
      <c r="H272" s="7" t="str">
        <f ca="1">VLOOKUP($D272,Name!$A:$C,3,FALSE)</f>
        <v>F</v>
      </c>
      <c r="I272" s="7" cm="1">
        <f t="array" aca="1" ref="I272" ca="1">INDEX('Marital status'!$A:$A,RANDBETWEEN(2,COUNTA('Marital status'!$A:$A)),1)</f>
        <v>6</v>
      </c>
      <c r="J272" s="7">
        <f t="shared" ca="1" si="51"/>
        <v>2</v>
      </c>
      <c r="K272" s="8">
        <f t="shared" ca="1" si="52"/>
        <v>29370</v>
      </c>
      <c r="L272" s="6">
        <f t="shared" ca="1" si="53"/>
        <v>4</v>
      </c>
      <c r="M272" s="7">
        <f ca="1" xml:space="preserve">
  IF(OR($N272 = 2, $N272 = 3, $N272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272" s="6">
        <f t="shared" ca="1" si="54"/>
        <v>7</v>
      </c>
      <c r="O272" s="6" t="e">
        <f t="shared" ca="1" si="55"/>
        <v>#N/A</v>
      </c>
      <c r="P272" s="8">
        <f t="shared" ca="1" si="56"/>
        <v>39958</v>
      </c>
      <c r="Q272" s="6">
        <f ca="1">RANDBETWEEN(2,COUNTA('Recruitment source'!$A:$A))</f>
        <v>12</v>
      </c>
      <c r="R272" s="8" t="e">
        <f t="shared" ca="1" si="57"/>
        <v>#N/A</v>
      </c>
      <c r="S272" s="6" t="e">
        <f t="shared" ca="1" si="58"/>
        <v>#N/A</v>
      </c>
      <c r="T272" s="6">
        <f t="shared" ca="1" si="48"/>
        <v>3</v>
      </c>
      <c r="U272" s="1">
        <f t="shared" ca="1" si="59"/>
        <v>1005</v>
      </c>
    </row>
    <row r="273" spans="1:21" x14ac:dyDescent="0.2">
      <c r="A273" s="7" cm="1">
        <f t="array" aca="1" ref="A273" ca="1">INDEX(Companies!$A:$A,RANDBETWEEN(2,COUNTA(Companies!$A:$A)),1)</f>
        <v>2</v>
      </c>
      <c r="B273" s="5">
        <f t="shared" si="49"/>
        <v>272</v>
      </c>
      <c r="C273" s="6">
        <f t="shared" ca="1" si="50"/>
        <v>1</v>
      </c>
      <c r="D273" s="7">
        <f ca="1">IF($B273 = 1 + N("Presidente"),
    127,
    IF($B273 = 2 + N("Vice-Presidente"),
        72,
        IF($B273 = 3 + N("Secretária bilíngue"),
            13,
            RANDBETWEEN(5,COUNT(Name!$A:$A) + 1)
        )
    )
)</f>
        <v>165</v>
      </c>
      <c r="E273" s="7" t="str">
        <f ca="1" xml:space="preserve">
VLOOKUP(
  $D273,
  Name!$A:$B,
  2,
  FALSE
)
&amp; " " &amp;
IF($B273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Heloise Galli Barbosa</v>
      </c>
      <c r="F273" s="7">
        <v>2</v>
      </c>
      <c r="G273" s="7" cm="1">
        <f t="array" aca="1" ref="G273" ca="1">INDEX(States!$B:$B,RANDBETWEEN(2,COUNTA(States!$A:$A)),1)</f>
        <v>3</v>
      </c>
      <c r="H273" s="7" t="str">
        <f ca="1">VLOOKUP($D273,Name!$A:$C,3,FALSE)</f>
        <v>F</v>
      </c>
      <c r="I273" s="7" cm="1">
        <f t="array" aca="1" ref="I273" ca="1">INDEX('Marital status'!$A:$A,RANDBETWEEN(2,COUNTA('Marital status'!$A:$A)),1)</f>
        <v>4</v>
      </c>
      <c r="J273" s="7">
        <f t="shared" ca="1" si="51"/>
        <v>3</v>
      </c>
      <c r="K273" s="8">
        <f t="shared" ca="1" si="52"/>
        <v>34490</v>
      </c>
      <c r="L273" s="6">
        <f t="shared" ca="1" si="53"/>
        <v>5</v>
      </c>
      <c r="M273" s="7">
        <f ca="1" xml:space="preserve">
  IF(OR($N273 = 2, $N273 = 3, $N273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273" s="6">
        <f t="shared" ca="1" si="54"/>
        <v>8</v>
      </c>
      <c r="O273" s="6">
        <f t="shared" ca="1" si="55"/>
        <v>4</v>
      </c>
      <c r="P273" s="8">
        <f t="shared" ca="1" si="56"/>
        <v>43360</v>
      </c>
      <c r="Q273" s="6">
        <f ca="1">RANDBETWEEN(2,COUNTA('Recruitment source'!$A:$A))</f>
        <v>7</v>
      </c>
      <c r="R273" s="8" t="e">
        <f t="shared" ca="1" si="57"/>
        <v>#N/A</v>
      </c>
      <c r="S273" s="6" t="e">
        <f t="shared" ca="1" si="58"/>
        <v>#N/A</v>
      </c>
      <c r="T273" s="6">
        <f t="shared" ca="1" si="48"/>
        <v>5</v>
      </c>
      <c r="U273" s="1">
        <f t="shared" ca="1" si="59"/>
        <v>2000</v>
      </c>
    </row>
    <row r="274" spans="1:21" x14ac:dyDescent="0.2">
      <c r="A274" s="7" cm="1">
        <f t="array" aca="1" ref="A274" ca="1">INDEX(Companies!$A:$A,RANDBETWEEN(2,COUNTA(Companies!$A:$A)),1)</f>
        <v>2</v>
      </c>
      <c r="B274" s="5">
        <f t="shared" si="49"/>
        <v>273</v>
      </c>
      <c r="C274" s="6">
        <f t="shared" ca="1" si="50"/>
        <v>1</v>
      </c>
      <c r="D274" s="7">
        <f ca="1">IF($B274 = 1 + N("Presidente"),
    127,
    IF($B274 = 2 + N("Vice-Presidente"),
        72,
        IF($B274 = 3 + N("Secretária bilíngue"),
            13,
            RANDBETWEEN(5,COUNT(Name!$A:$A) + 1)
        )
    )
)</f>
        <v>107</v>
      </c>
      <c r="E274" s="7" t="str">
        <f ca="1" xml:space="preserve">
VLOOKUP(
  $D274,
  Name!$A:$B,
  2,
  FALSE
)
&amp; " " &amp;
IF($B274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Lucca Anunciação Arruda</v>
      </c>
      <c r="F274" s="7">
        <v>2</v>
      </c>
      <c r="G274" s="7" cm="1">
        <f t="array" aca="1" ref="G274" ca="1">INDEX(States!$B:$B,RANDBETWEEN(2,COUNTA(States!$A:$A)),1)</f>
        <v>3</v>
      </c>
      <c r="H274" s="7" t="str">
        <f ca="1">VLOOKUP($D274,Name!$A:$C,3,FALSE)</f>
        <v>M</v>
      </c>
      <c r="I274" s="7" cm="1">
        <f t="array" aca="1" ref="I274" ca="1">INDEX('Marital status'!$A:$A,RANDBETWEEN(2,COUNTA('Marital status'!$A:$A)),1)</f>
        <v>5</v>
      </c>
      <c r="J274" s="7">
        <f t="shared" ca="1" si="51"/>
        <v>2</v>
      </c>
      <c r="K274" s="8">
        <f t="shared" ca="1" si="52"/>
        <v>27075</v>
      </c>
      <c r="L274" s="6">
        <f t="shared" ca="1" si="53"/>
        <v>4</v>
      </c>
      <c r="M274" s="7">
        <f ca="1" xml:space="preserve">
  IF(OR($N274 = 2, $N274 = 3, $N274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274" s="6">
        <f t="shared" ca="1" si="54"/>
        <v>6</v>
      </c>
      <c r="O274" s="6" t="e">
        <f t="shared" ca="1" si="55"/>
        <v>#N/A</v>
      </c>
      <c r="P274" s="8">
        <f t="shared" ca="1" si="56"/>
        <v>37259</v>
      </c>
      <c r="Q274" s="6">
        <f ca="1">RANDBETWEEN(2,COUNTA('Recruitment source'!$A:$A))</f>
        <v>2</v>
      </c>
      <c r="R274" s="8" t="e">
        <f t="shared" ca="1" si="57"/>
        <v>#N/A</v>
      </c>
      <c r="S274" s="6" t="e">
        <f t="shared" ca="1" si="58"/>
        <v>#N/A</v>
      </c>
      <c r="T274" s="6">
        <f t="shared" ca="1" si="48"/>
        <v>5</v>
      </c>
      <c r="U274" s="1">
        <f t="shared" ca="1" si="59"/>
        <v>885</v>
      </c>
    </row>
    <row r="275" spans="1:21" x14ac:dyDescent="0.2">
      <c r="A275" s="7" cm="1">
        <f t="array" aca="1" ref="A275" ca="1">INDEX(Companies!$A:$A,RANDBETWEEN(2,COUNTA(Companies!$A:$A)),1)</f>
        <v>2</v>
      </c>
      <c r="B275" s="5">
        <f t="shared" si="49"/>
        <v>274</v>
      </c>
      <c r="C275" s="6">
        <f t="shared" ca="1" si="50"/>
        <v>1</v>
      </c>
      <c r="D275" s="7">
        <f ca="1">IF($B275 = 1 + N("Presidente"),
    127,
    IF($B275 = 2 + N("Vice-Presidente"),
        72,
        IF($B275 = 3 + N("Secretária bilíngue"),
            13,
            RANDBETWEEN(5,COUNT(Name!$A:$A) + 1)
        )
    )
)</f>
        <v>11</v>
      </c>
      <c r="E275" s="7" t="str">
        <f ca="1" xml:space="preserve">
VLOOKUP(
  $D275,
  Name!$A:$B,
  2,
  FALSE
)
&amp; " " &amp;
IF($B275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Agatha Barroso Alvaregna</v>
      </c>
      <c r="F275" s="7">
        <v>2</v>
      </c>
      <c r="G275" s="7" cm="1">
        <f t="array" aca="1" ref="G275" ca="1">INDEX(States!$B:$B,RANDBETWEEN(2,COUNTA(States!$A:$A)),1)</f>
        <v>11</v>
      </c>
      <c r="H275" s="7" t="str">
        <f ca="1">VLOOKUP($D275,Name!$A:$C,3,FALSE)</f>
        <v>F</v>
      </c>
      <c r="I275" s="7" cm="1">
        <f t="array" aca="1" ref="I275" ca="1">INDEX('Marital status'!$A:$A,RANDBETWEEN(2,COUNTA('Marital status'!$A:$A)),1)</f>
        <v>2</v>
      </c>
      <c r="J275" s="7">
        <f t="shared" ca="1" si="51"/>
        <v>4</v>
      </c>
      <c r="K275" s="8">
        <f t="shared" ca="1" si="52"/>
        <v>36789</v>
      </c>
      <c r="L275" s="6">
        <f t="shared" ca="1" si="53"/>
        <v>5</v>
      </c>
      <c r="M275" s="7">
        <f ca="1" xml:space="preserve">
  IF(OR($N275 = 2, $N275 = 3, $N275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275" s="6">
        <f t="shared" ca="1" si="54"/>
        <v>8</v>
      </c>
      <c r="O275" s="6">
        <f t="shared" ca="1" si="55"/>
        <v>2</v>
      </c>
      <c r="P275" s="8">
        <f t="shared" ca="1" si="56"/>
        <v>40509</v>
      </c>
      <c r="Q275" s="6">
        <f ca="1">RANDBETWEEN(2,COUNTA('Recruitment source'!$A:$A))</f>
        <v>2</v>
      </c>
      <c r="R275" s="8" t="e">
        <f t="shared" ca="1" si="57"/>
        <v>#N/A</v>
      </c>
      <c r="S275" s="6" t="e">
        <f t="shared" ca="1" si="58"/>
        <v>#N/A</v>
      </c>
      <c r="T275" s="6">
        <f t="shared" ca="1" si="48"/>
        <v>2</v>
      </c>
      <c r="U275" s="1">
        <f t="shared" ca="1" si="59"/>
        <v>2000</v>
      </c>
    </row>
    <row r="276" spans="1:21" x14ac:dyDescent="0.2">
      <c r="A276" s="7" cm="1">
        <f t="array" aca="1" ref="A276" ca="1">INDEX(Companies!$A:$A,RANDBETWEEN(2,COUNTA(Companies!$A:$A)),1)</f>
        <v>2</v>
      </c>
      <c r="B276" s="5">
        <f t="shared" si="49"/>
        <v>275</v>
      </c>
      <c r="C276" s="6">
        <f t="shared" ca="1" si="50"/>
        <v>1</v>
      </c>
      <c r="D276" s="7">
        <f ca="1">IF($B276 = 1 + N("Presidente"),
    127,
    IF($B276 = 2 + N("Vice-Presidente"),
        72,
        IF($B276 = 3 + N("Secretária bilíngue"),
            13,
            RANDBETWEEN(5,COUNT(Name!$A:$A) + 1)
        )
    )
)</f>
        <v>67</v>
      </c>
      <c r="E276" s="7" t="str">
        <f ca="1" xml:space="preserve">
VLOOKUP(
  $D276,
  Name!$A:$B,
  2,
  FALSE
)
&amp; " " &amp;
IF($B276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Beatriz Ildelfonso Bermudes</v>
      </c>
      <c r="F276" s="7">
        <v>2</v>
      </c>
      <c r="G276" s="7" cm="1">
        <f t="array" aca="1" ref="G276" ca="1">INDEX(States!$B:$B,RANDBETWEEN(2,COUNTA(States!$A:$A)),1)</f>
        <v>8</v>
      </c>
      <c r="H276" s="7" t="str">
        <f ca="1">VLOOKUP($D276,Name!$A:$C,3,FALSE)</f>
        <v>F</v>
      </c>
      <c r="I276" s="7" cm="1">
        <f t="array" aca="1" ref="I276" ca="1">INDEX('Marital status'!$A:$A,RANDBETWEEN(2,COUNTA('Marital status'!$A:$A)),1)</f>
        <v>6</v>
      </c>
      <c r="J276" s="7">
        <f t="shared" ca="1" si="51"/>
        <v>2</v>
      </c>
      <c r="K276" s="8">
        <f t="shared" ca="1" si="52"/>
        <v>25647</v>
      </c>
      <c r="L276" s="6">
        <f t="shared" ca="1" si="53"/>
        <v>4</v>
      </c>
      <c r="M276" s="7">
        <f ca="1" xml:space="preserve">
  IF(OR($N276 = 2, $N276 = 3, $N276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276" s="6">
        <f t="shared" ca="1" si="54"/>
        <v>6</v>
      </c>
      <c r="O276" s="6" t="e">
        <f t="shared" ca="1" si="55"/>
        <v>#N/A</v>
      </c>
      <c r="P276" s="8">
        <f t="shared" ca="1" si="56"/>
        <v>39653</v>
      </c>
      <c r="Q276" s="6">
        <f ca="1">RANDBETWEEN(2,COUNTA('Recruitment source'!$A:$A))</f>
        <v>12</v>
      </c>
      <c r="R276" s="8" t="e">
        <f t="shared" ca="1" si="57"/>
        <v>#N/A</v>
      </c>
      <c r="S276" s="6" t="e">
        <f t="shared" ca="1" si="58"/>
        <v>#N/A</v>
      </c>
      <c r="T276" s="6">
        <f t="shared" ca="1" si="48"/>
        <v>3</v>
      </c>
      <c r="U276" s="1">
        <f t="shared" ca="1" si="59"/>
        <v>885</v>
      </c>
    </row>
    <row r="277" spans="1:21" x14ac:dyDescent="0.2">
      <c r="A277" s="7" cm="1">
        <f t="array" aca="1" ref="A277" ca="1">INDEX(Companies!$A:$A,RANDBETWEEN(2,COUNTA(Companies!$A:$A)),1)</f>
        <v>2</v>
      </c>
      <c r="B277" s="5">
        <f t="shared" si="49"/>
        <v>276</v>
      </c>
      <c r="C277" s="6">
        <f t="shared" ca="1" si="50"/>
        <v>1</v>
      </c>
      <c r="D277" s="7">
        <f ca="1">IF($B277 = 1 + N("Presidente"),
    127,
    IF($B277 = 2 + N("Vice-Presidente"),
        72,
        IF($B277 = 3 + N("Secretária bilíngue"),
            13,
            RANDBETWEEN(5,COUNT(Name!$A:$A) + 1)
        )
    )
)</f>
        <v>60</v>
      </c>
      <c r="E277" s="7" t="str">
        <f ca="1" xml:space="preserve">
VLOOKUP(
  $D277,
  Name!$A:$B,
  2,
  FALSE
)
&amp; " " &amp;
IF($B277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Augusta Gallo Saragoça</v>
      </c>
      <c r="F277" s="7">
        <v>2</v>
      </c>
      <c r="G277" s="7" cm="1">
        <f t="array" aca="1" ref="G277" ca="1">INDEX(States!$B:$B,RANDBETWEEN(2,COUNTA(States!$A:$A)),1)</f>
        <v>21</v>
      </c>
      <c r="H277" s="7" t="str">
        <f ca="1">VLOOKUP($D277,Name!$A:$C,3,FALSE)</f>
        <v>F</v>
      </c>
      <c r="I277" s="7" cm="1">
        <f t="array" aca="1" ref="I277" ca="1">INDEX('Marital status'!$A:$A,RANDBETWEEN(2,COUNTA('Marital status'!$A:$A)),1)</f>
        <v>6</v>
      </c>
      <c r="J277" s="7">
        <f t="shared" ca="1" si="51"/>
        <v>2</v>
      </c>
      <c r="K277" s="8">
        <f t="shared" ca="1" si="52"/>
        <v>36699</v>
      </c>
      <c r="L277" s="6">
        <f t="shared" ca="1" si="53"/>
        <v>5</v>
      </c>
      <c r="M277" s="7">
        <f ca="1" xml:space="preserve">
  IF(OR($N277 = 2, $N277 = 3, $N277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277" s="6">
        <f t="shared" ca="1" si="54"/>
        <v>8</v>
      </c>
      <c r="O277" s="6">
        <f t="shared" ca="1" si="55"/>
        <v>3</v>
      </c>
      <c r="P277" s="8">
        <f t="shared" ca="1" si="56"/>
        <v>38696</v>
      </c>
      <c r="Q277" s="6">
        <f ca="1">RANDBETWEEN(2,COUNTA('Recruitment source'!$A:$A))</f>
        <v>3</v>
      </c>
      <c r="R277" s="8" t="e">
        <f t="shared" ca="1" si="57"/>
        <v>#N/A</v>
      </c>
      <c r="S277" s="6" t="e">
        <f t="shared" ca="1" si="58"/>
        <v>#N/A</v>
      </c>
      <c r="T277" s="6">
        <f t="shared" ca="1" si="48"/>
        <v>2</v>
      </c>
      <c r="U277" s="1">
        <f t="shared" ca="1" si="59"/>
        <v>2050</v>
      </c>
    </row>
    <row r="278" spans="1:21" x14ac:dyDescent="0.2">
      <c r="A278" s="7" cm="1">
        <f t="array" aca="1" ref="A278" ca="1">INDEX(Companies!$A:$A,RANDBETWEEN(2,COUNTA(Companies!$A:$A)),1)</f>
        <v>2</v>
      </c>
      <c r="B278" s="5">
        <f t="shared" si="49"/>
        <v>277</v>
      </c>
      <c r="C278" s="6">
        <f t="shared" ca="1" si="50"/>
        <v>1</v>
      </c>
      <c r="D278" s="7">
        <f ca="1">IF($B278 = 1 + N("Presidente"),
    127,
    IF($B278 = 2 + N("Vice-Presidente"),
        72,
        IF($B278 = 3 + N("Secretária bilíngue"),
            13,
            RANDBETWEEN(5,COUNT(Name!$A:$A) + 1)
        )
    )
)</f>
        <v>157</v>
      </c>
      <c r="E278" s="7" t="str">
        <f ca="1" xml:space="preserve">
VLOOKUP(
  $D278,
  Name!$A:$B,
  2,
  FALSE
)
&amp; " " &amp;
IF($B278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Guilherme Cândido Padrão</v>
      </c>
      <c r="F278" s="7">
        <v>2</v>
      </c>
      <c r="G278" s="7" cm="1">
        <f t="array" aca="1" ref="G278" ca="1">INDEX(States!$B:$B,RANDBETWEEN(2,COUNTA(States!$A:$A)),1)</f>
        <v>10</v>
      </c>
      <c r="H278" s="7" t="str">
        <f ca="1">VLOOKUP($D278,Name!$A:$C,3,FALSE)</f>
        <v>M</v>
      </c>
      <c r="I278" s="7" cm="1">
        <f t="array" aca="1" ref="I278" ca="1">INDEX('Marital status'!$A:$A,RANDBETWEEN(2,COUNTA('Marital status'!$A:$A)),1)</f>
        <v>3</v>
      </c>
      <c r="J278" s="7">
        <f t="shared" ca="1" si="51"/>
        <v>2</v>
      </c>
      <c r="K278" s="8">
        <f t="shared" ca="1" si="52"/>
        <v>30141</v>
      </c>
      <c r="L278" s="6">
        <f t="shared" ca="1" si="53"/>
        <v>4</v>
      </c>
      <c r="M278" s="7">
        <f ca="1" xml:space="preserve">
  IF(OR($N278 = 2, $N278 = 3, $N278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278" s="6">
        <f t="shared" ca="1" si="54"/>
        <v>7</v>
      </c>
      <c r="O278" s="6" t="e">
        <f t="shared" ca="1" si="55"/>
        <v>#N/A</v>
      </c>
      <c r="P278" s="8">
        <f t="shared" ca="1" si="56"/>
        <v>39178</v>
      </c>
      <c r="Q278" s="6">
        <f ca="1">RANDBETWEEN(2,COUNTA('Recruitment source'!$A:$A))</f>
        <v>3</v>
      </c>
      <c r="R278" s="8" t="e">
        <f t="shared" ca="1" si="57"/>
        <v>#N/A</v>
      </c>
      <c r="S278" s="6" t="e">
        <f t="shared" ca="1" si="58"/>
        <v>#N/A</v>
      </c>
      <c r="T278" s="6">
        <f t="shared" ca="1" si="48"/>
        <v>3</v>
      </c>
      <c r="U278" s="1">
        <f t="shared" ca="1" si="59"/>
        <v>1005</v>
      </c>
    </row>
    <row r="279" spans="1:21" x14ac:dyDescent="0.2">
      <c r="A279" s="7" cm="1">
        <f t="array" aca="1" ref="A279" ca="1">INDEX(Companies!$A:$A,RANDBETWEEN(2,COUNTA(Companies!$A:$A)),1)</f>
        <v>2</v>
      </c>
      <c r="B279" s="5">
        <f t="shared" si="49"/>
        <v>278</v>
      </c>
      <c r="C279" s="6">
        <f t="shared" ca="1" si="50"/>
        <v>1</v>
      </c>
      <c r="D279" s="7">
        <f ca="1">IF($B279 = 1 + N("Presidente"),
    127,
    IF($B279 = 2 + N("Vice-Presidente"),
        72,
        IF($B279 = 3 + N("Secretária bilíngue"),
            13,
            RANDBETWEEN(5,COUNT(Name!$A:$A) + 1)
        )
    )
)</f>
        <v>286</v>
      </c>
      <c r="E279" s="7" t="str">
        <f ca="1" xml:space="preserve">
VLOOKUP(
  $D279,
  Name!$A:$B,
  2,
  FALSE
)
&amp; " " &amp;
IF($B279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Mateus Camões Souza</v>
      </c>
      <c r="F279" s="7">
        <v>2</v>
      </c>
      <c r="G279" s="7" cm="1">
        <f t="array" aca="1" ref="G279" ca="1">INDEX(States!$B:$B,RANDBETWEEN(2,COUNTA(States!$A:$A)),1)</f>
        <v>8</v>
      </c>
      <c r="H279" s="7" t="str">
        <f ca="1">VLOOKUP($D279,Name!$A:$C,3,FALSE)</f>
        <v>M</v>
      </c>
      <c r="I279" s="7" cm="1">
        <f t="array" aca="1" ref="I279" ca="1">INDEX('Marital status'!$A:$A,RANDBETWEEN(2,COUNTA('Marital status'!$A:$A)),1)</f>
        <v>2</v>
      </c>
      <c r="J279" s="7">
        <f t="shared" ca="1" si="51"/>
        <v>2</v>
      </c>
      <c r="K279" s="8">
        <f t="shared" ca="1" si="52"/>
        <v>33472</v>
      </c>
      <c r="L279" s="6">
        <f t="shared" ca="1" si="53"/>
        <v>4</v>
      </c>
      <c r="M279" s="7">
        <f ca="1" xml:space="preserve">
  IF(OR($N279 = 2, $N279 = 3, $N279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279" s="6">
        <f t="shared" ca="1" si="54"/>
        <v>8</v>
      </c>
      <c r="O279" s="6">
        <f t="shared" ca="1" si="55"/>
        <v>4</v>
      </c>
      <c r="P279" s="8">
        <f t="shared" ca="1" si="56"/>
        <v>43379</v>
      </c>
      <c r="Q279" s="6">
        <f ca="1">RANDBETWEEN(2,COUNTA('Recruitment source'!$A:$A))</f>
        <v>8</v>
      </c>
      <c r="R279" s="8" t="e">
        <f t="shared" ca="1" si="57"/>
        <v>#N/A</v>
      </c>
      <c r="S279" s="6" t="e">
        <f t="shared" ca="1" si="58"/>
        <v>#N/A</v>
      </c>
      <c r="T279" s="6">
        <f t="shared" ca="1" si="48"/>
        <v>5</v>
      </c>
      <c r="U279" s="1">
        <f t="shared" ca="1" si="59"/>
        <v>2000</v>
      </c>
    </row>
    <row r="280" spans="1:21" x14ac:dyDescent="0.2">
      <c r="A280" s="7" cm="1">
        <f t="array" aca="1" ref="A280" ca="1">INDEX(Companies!$A:$A,RANDBETWEEN(2,COUNTA(Companies!$A:$A)),1)</f>
        <v>2</v>
      </c>
      <c r="B280" s="5">
        <f t="shared" si="49"/>
        <v>279</v>
      </c>
      <c r="C280" s="6">
        <f t="shared" ca="1" si="50"/>
        <v>1</v>
      </c>
      <c r="D280" s="7">
        <f ca="1">IF($B280 = 1 + N("Presidente"),
    127,
    IF($B280 = 2 + N("Vice-Presidente"),
        72,
        IF($B280 = 3 + N("Secretária bilíngue"),
            13,
            RANDBETWEEN(5,COUNT(Name!$A:$A) + 1)
        )
    )
)</f>
        <v>100</v>
      </c>
      <c r="E280" s="7" t="str">
        <f ca="1" xml:space="preserve">
VLOOKUP(
  $D280,
  Name!$A:$B,
  2,
  FALSE
)
&amp; " " &amp;
IF($B280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Cristóvão Pedrosa Pimenta</v>
      </c>
      <c r="F280" s="7">
        <v>2</v>
      </c>
      <c r="G280" s="7" cm="1">
        <f t="array" aca="1" ref="G280" ca="1">INDEX(States!$B:$B,RANDBETWEEN(2,COUNTA(States!$A:$A)),1)</f>
        <v>3</v>
      </c>
      <c r="H280" s="7" t="str">
        <f ca="1">VLOOKUP($D280,Name!$A:$C,3,FALSE)</f>
        <v>M</v>
      </c>
      <c r="I280" s="7" cm="1">
        <f t="array" aca="1" ref="I280" ca="1">INDEX('Marital status'!$A:$A,RANDBETWEEN(2,COUNTA('Marital status'!$A:$A)),1)</f>
        <v>3</v>
      </c>
      <c r="J280" s="7">
        <f t="shared" ca="1" si="51"/>
        <v>3</v>
      </c>
      <c r="K280" s="8">
        <f t="shared" ca="1" si="52"/>
        <v>21423</v>
      </c>
      <c r="L280" s="6">
        <f t="shared" ca="1" si="53"/>
        <v>4</v>
      </c>
      <c r="M280" s="7">
        <f ca="1" xml:space="preserve">
  IF(OR($N280 = 2, $N280 = 3, $N280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280" s="6">
        <f t="shared" ca="1" si="54"/>
        <v>6</v>
      </c>
      <c r="O280" s="6" t="e">
        <f t="shared" ca="1" si="55"/>
        <v>#N/A</v>
      </c>
      <c r="P280" s="8">
        <f t="shared" ca="1" si="56"/>
        <v>44654</v>
      </c>
      <c r="Q280" s="6">
        <f ca="1">RANDBETWEEN(2,COUNTA('Recruitment source'!$A:$A))</f>
        <v>9</v>
      </c>
      <c r="R280" s="8" t="e">
        <f t="shared" ca="1" si="57"/>
        <v>#N/A</v>
      </c>
      <c r="S280" s="6" t="e">
        <f t="shared" ca="1" si="58"/>
        <v>#N/A</v>
      </c>
      <c r="T280" s="6">
        <f t="shared" ca="1" si="48"/>
        <v>2</v>
      </c>
      <c r="U280" s="1">
        <f t="shared" ca="1" si="59"/>
        <v>805</v>
      </c>
    </row>
    <row r="281" spans="1:21" x14ac:dyDescent="0.2">
      <c r="A281" s="7" cm="1">
        <f t="array" aca="1" ref="A281" ca="1">INDEX(Companies!$A:$A,RANDBETWEEN(2,COUNTA(Companies!$A:$A)),1)</f>
        <v>2</v>
      </c>
      <c r="B281" s="5">
        <f t="shared" si="49"/>
        <v>280</v>
      </c>
      <c r="C281" s="6">
        <f t="shared" ca="1" si="50"/>
        <v>1</v>
      </c>
      <c r="D281" s="7">
        <f ca="1">IF($B281 = 1 + N("Presidente"),
    127,
    IF($B281 = 2 + N("Vice-Presidente"),
        72,
        IF($B281 = 3 + N("Secretária bilíngue"),
            13,
            RANDBETWEEN(5,COUNT(Name!$A:$A) + 1)
        )
    )
)</f>
        <v>67</v>
      </c>
      <c r="E281" s="7" t="str">
        <f ca="1" xml:space="preserve">
VLOOKUP(
  $D281,
  Name!$A:$B,
  2,
  FALSE
)
&amp; " " &amp;
IF($B281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Beatriz Poeta Ramos</v>
      </c>
      <c r="F281" s="7">
        <v>2</v>
      </c>
      <c r="G281" s="7" cm="1">
        <f t="array" aca="1" ref="G281" ca="1">INDEX(States!$B:$B,RANDBETWEEN(2,COUNTA(States!$A:$A)),1)</f>
        <v>14</v>
      </c>
      <c r="H281" s="7" t="str">
        <f ca="1">VLOOKUP($D281,Name!$A:$C,3,FALSE)</f>
        <v>F</v>
      </c>
      <c r="I281" s="7" cm="1">
        <f t="array" aca="1" ref="I281" ca="1">INDEX('Marital status'!$A:$A,RANDBETWEEN(2,COUNTA('Marital status'!$A:$A)),1)</f>
        <v>6</v>
      </c>
      <c r="J281" s="7">
        <f t="shared" ca="1" si="51"/>
        <v>2</v>
      </c>
      <c r="K281" s="8">
        <f t="shared" ca="1" si="52"/>
        <v>36278</v>
      </c>
      <c r="L281" s="6">
        <f t="shared" ca="1" si="53"/>
        <v>5</v>
      </c>
      <c r="M281" s="7">
        <f ca="1" xml:space="preserve">
  IF(OR($N281 = 2, $N281 = 3, $N281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281" s="6">
        <f t="shared" ca="1" si="54"/>
        <v>8</v>
      </c>
      <c r="O281" s="6">
        <f t="shared" ca="1" si="55"/>
        <v>2</v>
      </c>
      <c r="P281" s="8">
        <f t="shared" ca="1" si="56"/>
        <v>43404</v>
      </c>
      <c r="Q281" s="6">
        <f ca="1">RANDBETWEEN(2,COUNTA('Recruitment source'!$A:$A))</f>
        <v>3</v>
      </c>
      <c r="R281" s="8" t="e">
        <f t="shared" ca="1" si="57"/>
        <v>#N/A</v>
      </c>
      <c r="S281" s="6" t="e">
        <f t="shared" ca="1" si="58"/>
        <v>#N/A</v>
      </c>
      <c r="T281" s="6">
        <f t="shared" ca="1" si="48"/>
        <v>3</v>
      </c>
      <c r="U281" s="1">
        <f t="shared" ca="1" si="59"/>
        <v>2080</v>
      </c>
    </row>
    <row r="282" spans="1:21" x14ac:dyDescent="0.2">
      <c r="A282" s="7" cm="1">
        <f t="array" aca="1" ref="A282" ca="1">INDEX(Companies!$A:$A,RANDBETWEEN(2,COUNTA(Companies!$A:$A)),1)</f>
        <v>2</v>
      </c>
      <c r="B282" s="5">
        <f t="shared" si="49"/>
        <v>281</v>
      </c>
      <c r="C282" s="6">
        <f t="shared" ca="1" si="50"/>
        <v>1</v>
      </c>
      <c r="D282" s="7">
        <f ca="1">IF($B282 = 1 + N("Presidente"),
    127,
    IF($B282 = 2 + N("Vice-Presidente"),
        72,
        IF($B282 = 3 + N("Secretária bilíngue"),
            13,
            RANDBETWEEN(5,COUNT(Name!$A:$A) + 1)
        )
    )
)</f>
        <v>234</v>
      </c>
      <c r="E282" s="7" t="str">
        <f ca="1" xml:space="preserve">
VLOOKUP(
  $D282,
  Name!$A:$B,
  2,
  FALSE
)
&amp; " " &amp;
IF($B282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Louise Ricci Ribeiro</v>
      </c>
      <c r="F282" s="7">
        <v>2</v>
      </c>
      <c r="G282" s="7" cm="1">
        <f t="array" aca="1" ref="G282" ca="1">INDEX(States!$B:$B,RANDBETWEEN(2,COUNTA(States!$A:$A)),1)</f>
        <v>12</v>
      </c>
      <c r="H282" s="7" t="str">
        <f ca="1">VLOOKUP($D282,Name!$A:$C,3,FALSE)</f>
        <v>F</v>
      </c>
      <c r="I282" s="7" cm="1">
        <f t="array" aca="1" ref="I282" ca="1">INDEX('Marital status'!$A:$A,RANDBETWEEN(2,COUNTA('Marital status'!$A:$A)),1)</f>
        <v>2</v>
      </c>
      <c r="J282" s="7">
        <f t="shared" ca="1" si="51"/>
        <v>2</v>
      </c>
      <c r="K282" s="8">
        <f t="shared" ca="1" si="52"/>
        <v>29825</v>
      </c>
      <c r="L282" s="6">
        <f t="shared" ca="1" si="53"/>
        <v>4</v>
      </c>
      <c r="M282" s="7">
        <f ca="1" xml:space="preserve">
  IF(OR($N282 = 2, $N282 = 3, $N282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282" s="6">
        <f t="shared" ca="1" si="54"/>
        <v>7</v>
      </c>
      <c r="O282" s="6" t="e">
        <f t="shared" ca="1" si="55"/>
        <v>#N/A</v>
      </c>
      <c r="P282" s="8">
        <f t="shared" ca="1" si="56"/>
        <v>44100</v>
      </c>
      <c r="Q282" s="6">
        <f ca="1">RANDBETWEEN(2,COUNTA('Recruitment source'!$A:$A))</f>
        <v>7</v>
      </c>
      <c r="R282" s="8" t="e">
        <f t="shared" ca="1" si="57"/>
        <v>#N/A</v>
      </c>
      <c r="S282" s="6" t="e">
        <f t="shared" ca="1" si="58"/>
        <v>#N/A</v>
      </c>
      <c r="T282" s="6">
        <f t="shared" ca="1" si="48"/>
        <v>4</v>
      </c>
      <c r="U282" s="1">
        <f t="shared" ca="1" si="59"/>
        <v>1085</v>
      </c>
    </row>
    <row r="283" spans="1:21" x14ac:dyDescent="0.2">
      <c r="A283" s="7" cm="1">
        <f t="array" aca="1" ref="A283" ca="1">INDEX(Companies!$A:$A,RANDBETWEEN(2,COUNTA(Companies!$A:$A)),1)</f>
        <v>2</v>
      </c>
      <c r="B283" s="5">
        <f t="shared" si="49"/>
        <v>282</v>
      </c>
      <c r="C283" s="6">
        <f t="shared" ca="1" si="50"/>
        <v>1</v>
      </c>
      <c r="D283" s="7">
        <f ca="1">IF($B283 = 1 + N("Presidente"),
    127,
    IF($B283 = 2 + N("Vice-Presidente"),
        72,
        IF($B283 = 3 + N("Secretária bilíngue"),
            13,
            RANDBETWEEN(5,COUNT(Name!$A:$A) + 1)
        )
    )
)</f>
        <v>350</v>
      </c>
      <c r="E283" s="7" t="str">
        <f ca="1" xml:space="preserve">
VLOOKUP(
  $D283,
  Name!$A:$B,
  2,
  FALSE
)
&amp; " " &amp;
IF($B283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Vanessa Salvador Esteves</v>
      </c>
      <c r="F283" s="7">
        <v>2</v>
      </c>
      <c r="G283" s="7" cm="1">
        <f t="array" aca="1" ref="G283" ca="1">INDEX(States!$B:$B,RANDBETWEEN(2,COUNTA(States!$A:$A)),1)</f>
        <v>3</v>
      </c>
      <c r="H283" s="7" t="str">
        <f ca="1">VLOOKUP($D283,Name!$A:$C,3,FALSE)</f>
        <v>F</v>
      </c>
      <c r="I283" s="7" cm="1">
        <f t="array" aca="1" ref="I283" ca="1">INDEX('Marital status'!$A:$A,RANDBETWEEN(2,COUNTA('Marital status'!$A:$A)),1)</f>
        <v>6</v>
      </c>
      <c r="J283" s="7">
        <f t="shared" ca="1" si="51"/>
        <v>2</v>
      </c>
      <c r="K283" s="8">
        <f t="shared" ca="1" si="52"/>
        <v>36926</v>
      </c>
      <c r="L283" s="6">
        <f t="shared" ca="1" si="53"/>
        <v>4</v>
      </c>
      <c r="M283" s="7">
        <f ca="1" xml:space="preserve">
  IF(OR($N283 = 2, $N283 = 3, $N283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283" s="6">
        <f t="shared" ca="1" si="54"/>
        <v>8</v>
      </c>
      <c r="O283" s="6">
        <f t="shared" ca="1" si="55"/>
        <v>3</v>
      </c>
      <c r="P283" s="8">
        <f t="shared" ca="1" si="56"/>
        <v>39766</v>
      </c>
      <c r="Q283" s="6">
        <f ca="1">RANDBETWEEN(2,COUNTA('Recruitment source'!$A:$A))</f>
        <v>5</v>
      </c>
      <c r="R283" s="8" t="e">
        <f t="shared" ca="1" si="57"/>
        <v>#N/A</v>
      </c>
      <c r="S283" s="6" t="e">
        <f t="shared" ca="1" si="58"/>
        <v>#N/A</v>
      </c>
      <c r="T283" s="6">
        <f t="shared" ca="1" si="48"/>
        <v>5</v>
      </c>
      <c r="U283" s="1">
        <f t="shared" ca="1" si="59"/>
        <v>2080</v>
      </c>
    </row>
    <row r="284" spans="1:21" x14ac:dyDescent="0.2">
      <c r="A284" s="7" cm="1">
        <f t="array" aca="1" ref="A284" ca="1">INDEX(Companies!$A:$A,RANDBETWEEN(2,COUNTA(Companies!$A:$A)),1)</f>
        <v>2</v>
      </c>
      <c r="B284" s="5">
        <f t="shared" si="49"/>
        <v>283</v>
      </c>
      <c r="C284" s="6">
        <f t="shared" ca="1" si="50"/>
        <v>1</v>
      </c>
      <c r="D284" s="7">
        <f ca="1">IF($B284 = 1 + N("Presidente"),
    127,
    IF($B284 = 2 + N("Vice-Presidente"),
        72,
        IF($B284 = 3 + N("Secretária bilíngue"),
            13,
            RANDBETWEEN(5,COUNT(Name!$A:$A) + 1)
        )
    )
)</f>
        <v>36</v>
      </c>
      <c r="E284" s="7" t="str">
        <f ca="1" xml:space="preserve">
VLOOKUP(
  $D284,
  Name!$A:$B,
  2,
  FALSE
)
&amp; " " &amp;
IF($B284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Sophia Siqueira Madureira</v>
      </c>
      <c r="F284" s="7">
        <v>2</v>
      </c>
      <c r="G284" s="7" cm="1">
        <f t="array" aca="1" ref="G284" ca="1">INDEX(States!$B:$B,RANDBETWEEN(2,COUNTA(States!$A:$A)),1)</f>
        <v>12</v>
      </c>
      <c r="H284" s="7" t="str">
        <f ca="1">VLOOKUP($D284,Name!$A:$C,3,FALSE)</f>
        <v>F</v>
      </c>
      <c r="I284" s="7" cm="1">
        <f t="array" aca="1" ref="I284" ca="1">INDEX('Marital status'!$A:$A,RANDBETWEEN(2,COUNTA('Marital status'!$A:$A)),1)</f>
        <v>4</v>
      </c>
      <c r="J284" s="7">
        <f t="shared" ca="1" si="51"/>
        <v>2</v>
      </c>
      <c r="K284" s="8">
        <f t="shared" ca="1" si="52"/>
        <v>30225</v>
      </c>
      <c r="L284" s="6">
        <f t="shared" ca="1" si="53"/>
        <v>4</v>
      </c>
      <c r="M284" s="7">
        <f ca="1" xml:space="preserve">
  IF(OR($N284 = 2, $N284 = 3, $N284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284" s="6">
        <f t="shared" ca="1" si="54"/>
        <v>7</v>
      </c>
      <c r="O284" s="6" t="e">
        <f t="shared" ca="1" si="55"/>
        <v>#N/A</v>
      </c>
      <c r="P284" s="8">
        <f t="shared" ca="1" si="56"/>
        <v>36702</v>
      </c>
      <c r="Q284" s="6">
        <f ca="1">RANDBETWEEN(2,COUNTA('Recruitment source'!$A:$A))</f>
        <v>9</v>
      </c>
      <c r="R284" s="8" t="e">
        <f t="shared" ca="1" si="57"/>
        <v>#N/A</v>
      </c>
      <c r="S284" s="6" t="e">
        <f t="shared" ca="1" si="58"/>
        <v>#N/A</v>
      </c>
      <c r="T284" s="6">
        <f t="shared" ca="1" si="48"/>
        <v>5</v>
      </c>
      <c r="U284" s="1">
        <f t="shared" ca="1" si="59"/>
        <v>1005</v>
      </c>
    </row>
    <row r="285" spans="1:21" x14ac:dyDescent="0.2">
      <c r="A285" s="7" cm="1">
        <f t="array" aca="1" ref="A285" ca="1">INDEX(Companies!$A:$A,RANDBETWEEN(2,COUNTA(Companies!$A:$A)),1)</f>
        <v>2</v>
      </c>
      <c r="B285" s="5">
        <f t="shared" si="49"/>
        <v>284</v>
      </c>
      <c r="C285" s="6">
        <f t="shared" ca="1" si="50"/>
        <v>1</v>
      </c>
      <c r="D285" s="7">
        <f ca="1">IF($B285 = 1 + N("Presidente"),
    127,
    IF($B285 = 2 + N("Vice-Presidente"),
        72,
        IF($B285 = 3 + N("Secretária bilíngue"),
            13,
            RANDBETWEEN(5,COUNT(Name!$A:$A) + 1)
        )
    )
)</f>
        <v>311</v>
      </c>
      <c r="E285" s="7" t="str">
        <f ca="1" xml:space="preserve">
VLOOKUP(
  $D285,
  Name!$A:$B,
  2,
  FALSE
)
&amp; " " &amp;
IF($B285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Olívia Rossi Camões</v>
      </c>
      <c r="F285" s="7">
        <v>2</v>
      </c>
      <c r="G285" s="7" cm="1">
        <f t="array" aca="1" ref="G285" ca="1">INDEX(States!$B:$B,RANDBETWEEN(2,COUNTA(States!$A:$A)),1)</f>
        <v>17</v>
      </c>
      <c r="H285" s="7" t="str">
        <f ca="1">VLOOKUP($D285,Name!$A:$C,3,FALSE)</f>
        <v>F</v>
      </c>
      <c r="I285" s="7" cm="1">
        <f t="array" aca="1" ref="I285" ca="1">INDEX('Marital status'!$A:$A,RANDBETWEEN(2,COUNTA('Marital status'!$A:$A)),1)</f>
        <v>4</v>
      </c>
      <c r="J285" s="7">
        <f t="shared" ca="1" si="51"/>
        <v>5</v>
      </c>
      <c r="K285" s="8">
        <f t="shared" ca="1" si="52"/>
        <v>36964</v>
      </c>
      <c r="L285" s="6">
        <f t="shared" ca="1" si="53"/>
        <v>4</v>
      </c>
      <c r="M285" s="7">
        <f ca="1" xml:space="preserve">
  IF(OR($N285 = 2, $N285 = 3, $N285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285" s="6">
        <f t="shared" ca="1" si="54"/>
        <v>8</v>
      </c>
      <c r="O285" s="6">
        <f t="shared" ca="1" si="55"/>
        <v>4</v>
      </c>
      <c r="P285" s="8">
        <f t="shared" ca="1" si="56"/>
        <v>39328</v>
      </c>
      <c r="Q285" s="6">
        <f ca="1">RANDBETWEEN(2,COUNTA('Recruitment source'!$A:$A))</f>
        <v>2</v>
      </c>
      <c r="R285" s="8" t="e">
        <f t="shared" ca="1" si="57"/>
        <v>#N/A</v>
      </c>
      <c r="S285" s="6" t="e">
        <f t="shared" ca="1" si="58"/>
        <v>#N/A</v>
      </c>
      <c r="T285" s="6">
        <f t="shared" ca="1" si="48"/>
        <v>3</v>
      </c>
      <c r="U285" s="1">
        <f t="shared" ca="1" si="59"/>
        <v>2000</v>
      </c>
    </row>
    <row r="286" spans="1:21" x14ac:dyDescent="0.2">
      <c r="A286" s="7" cm="1">
        <f t="array" aca="1" ref="A286" ca="1">INDEX(Companies!$A:$A,RANDBETWEEN(2,COUNTA(Companies!$A:$A)),1)</f>
        <v>2</v>
      </c>
      <c r="B286" s="5">
        <f t="shared" si="49"/>
        <v>285</v>
      </c>
      <c r="C286" s="6">
        <f t="shared" ca="1" si="50"/>
        <v>1</v>
      </c>
      <c r="D286" s="7">
        <f ca="1">IF($B286 = 1 + N("Presidente"),
    127,
    IF($B286 = 2 + N("Vice-Presidente"),
        72,
        IF($B286 = 3 + N("Secretária bilíngue"),
            13,
            RANDBETWEEN(5,COUNT(Name!$A:$A) + 1)
        )
    )
)</f>
        <v>258</v>
      </c>
      <c r="E286" s="7" t="str">
        <f ca="1" xml:space="preserve">
VLOOKUP(
  $D286,
  Name!$A:$B,
  2,
  FALSE
)
&amp; " " &amp;
IF($B286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Alice Esteves Sacramento</v>
      </c>
      <c r="F286" s="7">
        <v>2</v>
      </c>
      <c r="G286" s="7" cm="1">
        <f t="array" aca="1" ref="G286" ca="1">INDEX(States!$B:$B,RANDBETWEEN(2,COUNTA(States!$A:$A)),1)</f>
        <v>16</v>
      </c>
      <c r="H286" s="7" t="str">
        <f ca="1">VLOOKUP($D286,Name!$A:$C,3,FALSE)</f>
        <v>F</v>
      </c>
      <c r="I286" s="7" cm="1">
        <f t="array" aca="1" ref="I286" ca="1">INDEX('Marital status'!$A:$A,RANDBETWEEN(2,COUNTA('Marital status'!$A:$A)),1)</f>
        <v>2</v>
      </c>
      <c r="J286" s="7">
        <f t="shared" ca="1" si="51"/>
        <v>4</v>
      </c>
      <c r="K286" s="8">
        <f t="shared" ca="1" si="52"/>
        <v>32809</v>
      </c>
      <c r="L286" s="6">
        <f t="shared" ca="1" si="53"/>
        <v>4</v>
      </c>
      <c r="M286" s="7">
        <f ca="1" xml:space="preserve">
  IF(OR($N286 = 2, $N286 = 3, $N286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286" s="6">
        <f t="shared" ca="1" si="54"/>
        <v>7</v>
      </c>
      <c r="O286" s="6" t="e">
        <f t="shared" ca="1" si="55"/>
        <v>#N/A</v>
      </c>
      <c r="P286" s="8">
        <f t="shared" ca="1" si="56"/>
        <v>41345</v>
      </c>
      <c r="Q286" s="6">
        <f ca="1">RANDBETWEEN(2,COUNTA('Recruitment source'!$A:$A))</f>
        <v>7</v>
      </c>
      <c r="R286" s="8" t="e">
        <f t="shared" ca="1" si="57"/>
        <v>#N/A</v>
      </c>
      <c r="S286" s="6" t="e">
        <f t="shared" ca="1" si="58"/>
        <v>#N/A</v>
      </c>
      <c r="T286" s="6">
        <f t="shared" ca="1" si="48"/>
        <v>5</v>
      </c>
      <c r="U286" s="1">
        <f t="shared" ca="1" si="59"/>
        <v>1005</v>
      </c>
    </row>
    <row r="287" spans="1:21" x14ac:dyDescent="0.2">
      <c r="A287" s="7" cm="1">
        <f t="array" aca="1" ref="A287" ca="1">INDEX(Companies!$A:$A,RANDBETWEEN(2,COUNTA(Companies!$A:$A)),1)</f>
        <v>2</v>
      </c>
      <c r="B287" s="5">
        <f t="shared" si="49"/>
        <v>286</v>
      </c>
      <c r="C287" s="6">
        <f t="shared" ca="1" si="50"/>
        <v>1</v>
      </c>
      <c r="D287" s="7">
        <f ca="1">IF($B287 = 1 + N("Presidente"),
    127,
    IF($B287 = 2 + N("Vice-Presidente"),
        72,
        IF($B287 = 3 + N("Secretária bilíngue"),
            13,
            RANDBETWEEN(5,COUNT(Name!$A:$A) + 1)
        )
    )
)</f>
        <v>161</v>
      </c>
      <c r="E287" s="7" t="str">
        <f ca="1" xml:space="preserve">
VLOOKUP(
  $D287,
  Name!$A:$B,
  2,
  FALSE
)
&amp; " " &amp;
IF($B287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Heitor Mendes Santoro</v>
      </c>
      <c r="F287" s="7">
        <v>2</v>
      </c>
      <c r="G287" s="7" cm="1">
        <f t="array" aca="1" ref="G287" ca="1">INDEX(States!$B:$B,RANDBETWEEN(2,COUNTA(States!$A:$A)),1)</f>
        <v>9</v>
      </c>
      <c r="H287" s="7" t="str">
        <f ca="1">VLOOKUP($D287,Name!$A:$C,3,FALSE)</f>
        <v>M</v>
      </c>
      <c r="I287" s="7" cm="1">
        <f t="array" aca="1" ref="I287" ca="1">INDEX('Marital status'!$A:$A,RANDBETWEEN(2,COUNTA('Marital status'!$A:$A)),1)</f>
        <v>5</v>
      </c>
      <c r="J287" s="7">
        <f t="shared" ca="1" si="51"/>
        <v>3</v>
      </c>
      <c r="K287" s="8">
        <f t="shared" ca="1" si="52"/>
        <v>35430</v>
      </c>
      <c r="L287" s="6">
        <f t="shared" ca="1" si="53"/>
        <v>5</v>
      </c>
      <c r="M287" s="7">
        <f ca="1" xml:space="preserve">
  IF(OR($N287 = 2, $N287 = 3, $N287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287" s="6">
        <f t="shared" ca="1" si="54"/>
        <v>8</v>
      </c>
      <c r="O287" s="6">
        <f t="shared" ca="1" si="55"/>
        <v>2</v>
      </c>
      <c r="P287" s="8">
        <f t="shared" ca="1" si="56"/>
        <v>39901</v>
      </c>
      <c r="Q287" s="6">
        <f ca="1">RANDBETWEEN(2,COUNTA('Recruitment source'!$A:$A))</f>
        <v>8</v>
      </c>
      <c r="R287" s="8" t="e">
        <f t="shared" ca="1" si="57"/>
        <v>#N/A</v>
      </c>
      <c r="S287" s="6" t="e">
        <f t="shared" ca="1" si="58"/>
        <v>#N/A</v>
      </c>
      <c r="T287" s="6">
        <f t="shared" ca="1" si="48"/>
        <v>3</v>
      </c>
      <c r="U287" s="1">
        <f t="shared" ca="1" si="59"/>
        <v>2000</v>
      </c>
    </row>
    <row r="288" spans="1:21" x14ac:dyDescent="0.2">
      <c r="A288" s="7" cm="1">
        <f t="array" aca="1" ref="A288" ca="1">INDEX(Companies!$A:$A,RANDBETWEEN(2,COUNTA(Companies!$A:$A)),1)</f>
        <v>2</v>
      </c>
      <c r="B288" s="5">
        <f t="shared" si="49"/>
        <v>287</v>
      </c>
      <c r="C288" s="6">
        <f t="shared" ca="1" si="50"/>
        <v>1</v>
      </c>
      <c r="D288" s="7">
        <f ca="1">IF($B288 = 1 + N("Presidente"),
    127,
    IF($B288 = 2 + N("Vice-Presidente"),
        72,
        IF($B288 = 3 + N("Secretária bilíngue"),
            13,
            RANDBETWEEN(5,COUNT(Name!$A:$A) + 1)
        )
    )
)</f>
        <v>353</v>
      </c>
      <c r="E288" s="7" t="str">
        <f ca="1" xml:space="preserve">
VLOOKUP(
  $D288,
  Name!$A:$B,
  2,
  FALSE
)
&amp; " " &amp;
IF($B288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Vicente Ildelfonso Auth</v>
      </c>
      <c r="F288" s="7">
        <v>2</v>
      </c>
      <c r="G288" s="7" cm="1">
        <f t="array" aca="1" ref="G288" ca="1">INDEX(States!$B:$B,RANDBETWEEN(2,COUNTA(States!$A:$A)),1)</f>
        <v>9</v>
      </c>
      <c r="H288" s="7" t="str">
        <f ca="1">VLOOKUP($D288,Name!$A:$C,3,FALSE)</f>
        <v>M</v>
      </c>
      <c r="I288" s="7" cm="1">
        <f t="array" aca="1" ref="I288" ca="1">INDEX('Marital status'!$A:$A,RANDBETWEEN(2,COUNTA('Marital status'!$A:$A)),1)</f>
        <v>2</v>
      </c>
      <c r="J288" s="7">
        <f t="shared" ca="1" si="51"/>
        <v>2</v>
      </c>
      <c r="K288" s="8">
        <f t="shared" ca="1" si="52"/>
        <v>30570</v>
      </c>
      <c r="L288" s="6">
        <f t="shared" ca="1" si="53"/>
        <v>4</v>
      </c>
      <c r="M288" s="7">
        <f ca="1" xml:space="preserve">
  IF(OR($N288 = 2, $N288 = 3, $N288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288" s="6">
        <f t="shared" ca="1" si="54"/>
        <v>7</v>
      </c>
      <c r="O288" s="6" t="e">
        <f t="shared" ca="1" si="55"/>
        <v>#N/A</v>
      </c>
      <c r="P288" s="8">
        <f t="shared" ca="1" si="56"/>
        <v>42239</v>
      </c>
      <c r="Q288" s="6">
        <f ca="1">RANDBETWEEN(2,COUNTA('Recruitment source'!$A:$A))</f>
        <v>9</v>
      </c>
      <c r="R288" s="8" t="e">
        <f t="shared" ca="1" si="57"/>
        <v>#N/A</v>
      </c>
      <c r="S288" s="6" t="e">
        <f t="shared" ca="1" si="58"/>
        <v>#N/A</v>
      </c>
      <c r="T288" s="6">
        <f t="shared" ca="1" si="48"/>
        <v>5</v>
      </c>
      <c r="U288" s="1">
        <f t="shared" ca="1" si="59"/>
        <v>1085</v>
      </c>
    </row>
    <row r="289" spans="1:21" x14ac:dyDescent="0.2">
      <c r="A289" s="7" cm="1">
        <f t="array" aca="1" ref="A289" ca="1">INDEX(Companies!$A:$A,RANDBETWEEN(2,COUNTA(Companies!$A:$A)),1)</f>
        <v>2</v>
      </c>
      <c r="B289" s="5">
        <f t="shared" si="49"/>
        <v>288</v>
      </c>
      <c r="C289" s="6">
        <f t="shared" ca="1" si="50"/>
        <v>1</v>
      </c>
      <c r="D289" s="7">
        <f ca="1">IF($B289 = 1 + N("Presidente"),
    127,
    IF($B289 = 2 + N("Vice-Presidente"),
        72,
        IF($B289 = 3 + N("Secretária bilíngue"),
            13,
            RANDBETWEEN(5,COUNT(Name!$A:$A) + 1)
        )
    )
)</f>
        <v>311</v>
      </c>
      <c r="E289" s="7" t="str">
        <f ca="1" xml:space="preserve">
VLOOKUP(
  $D289,
  Name!$A:$B,
  2,
  FALSE
)
&amp; " " &amp;
IF($B289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Olívia Malafaia Ferrara</v>
      </c>
      <c r="F289" s="7">
        <v>2</v>
      </c>
      <c r="G289" s="7" cm="1">
        <f t="array" aca="1" ref="G289" ca="1">INDEX(States!$B:$B,RANDBETWEEN(2,COUNTA(States!$A:$A)),1)</f>
        <v>15</v>
      </c>
      <c r="H289" s="7" t="str">
        <f ca="1">VLOOKUP($D289,Name!$A:$C,3,FALSE)</f>
        <v>F</v>
      </c>
      <c r="I289" s="7" cm="1">
        <f t="array" aca="1" ref="I289" ca="1">INDEX('Marital status'!$A:$A,RANDBETWEEN(2,COUNTA('Marital status'!$A:$A)),1)</f>
        <v>5</v>
      </c>
      <c r="J289" s="7">
        <f t="shared" ca="1" si="51"/>
        <v>2</v>
      </c>
      <c r="K289" s="8">
        <f t="shared" ca="1" si="52"/>
        <v>33821</v>
      </c>
      <c r="L289" s="6">
        <f t="shared" ca="1" si="53"/>
        <v>4</v>
      </c>
      <c r="M289" s="7">
        <f ca="1" xml:space="preserve">
  IF(OR($N289 = 2, $N289 = 3, $N289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289" s="6">
        <f t="shared" ca="1" si="54"/>
        <v>8</v>
      </c>
      <c r="O289" s="6">
        <f t="shared" ca="1" si="55"/>
        <v>2</v>
      </c>
      <c r="P289" s="8">
        <f t="shared" ca="1" si="56"/>
        <v>36883</v>
      </c>
      <c r="Q289" s="6">
        <f ca="1">RANDBETWEEN(2,COUNTA('Recruitment source'!$A:$A))</f>
        <v>12</v>
      </c>
      <c r="R289" s="8" t="e">
        <f t="shared" ca="1" si="57"/>
        <v>#N/A</v>
      </c>
      <c r="S289" s="6" t="e">
        <f t="shared" ca="1" si="58"/>
        <v>#N/A</v>
      </c>
      <c r="T289" s="6">
        <f t="shared" ca="1" si="48"/>
        <v>5</v>
      </c>
      <c r="U289" s="1">
        <f t="shared" ca="1" si="59"/>
        <v>2000</v>
      </c>
    </row>
    <row r="290" spans="1:21" x14ac:dyDescent="0.2">
      <c r="A290" s="7" cm="1">
        <f t="array" aca="1" ref="A290" ca="1">INDEX(Companies!$A:$A,RANDBETWEEN(2,COUNTA(Companies!$A:$A)),1)</f>
        <v>2</v>
      </c>
      <c r="B290" s="5">
        <f t="shared" si="49"/>
        <v>289</v>
      </c>
      <c r="C290" s="6">
        <f t="shared" ca="1" si="50"/>
        <v>1</v>
      </c>
      <c r="D290" s="7">
        <f ca="1">IF($B290 = 1 + N("Presidente"),
    127,
    IF($B290 = 2 + N("Vice-Presidente"),
        72,
        IF($B290 = 3 + N("Secretária bilíngue"),
            13,
            RANDBETWEEN(5,COUNT(Name!$A:$A) + 1)
        )
    )
)</f>
        <v>331</v>
      </c>
      <c r="E290" s="7" t="str">
        <f ca="1" xml:space="preserve">
VLOOKUP(
  $D290,
  Name!$A:$B,
  2,
  FALSE
)
&amp; " " &amp;
IF($B290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Renato Abranches Santoro</v>
      </c>
      <c r="F290" s="7">
        <v>2</v>
      </c>
      <c r="G290" s="7" cm="1">
        <f t="array" aca="1" ref="G290" ca="1">INDEX(States!$B:$B,RANDBETWEEN(2,COUNTA(States!$A:$A)),1)</f>
        <v>18</v>
      </c>
      <c r="H290" s="7" t="str">
        <f ca="1">VLOOKUP($D290,Name!$A:$C,3,FALSE)</f>
        <v>M</v>
      </c>
      <c r="I290" s="7" cm="1">
        <f t="array" aca="1" ref="I290" ca="1">INDEX('Marital status'!$A:$A,RANDBETWEEN(2,COUNTA('Marital status'!$A:$A)),1)</f>
        <v>3</v>
      </c>
      <c r="J290" s="7">
        <f t="shared" ca="1" si="51"/>
        <v>2</v>
      </c>
      <c r="K290" s="8">
        <f t="shared" ca="1" si="52"/>
        <v>29557</v>
      </c>
      <c r="L290" s="6">
        <f t="shared" ca="1" si="53"/>
        <v>4</v>
      </c>
      <c r="M290" s="7">
        <f ca="1" xml:space="preserve">
  IF(OR($N290 = 2, $N290 = 3, $N290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290" s="6">
        <f t="shared" ca="1" si="54"/>
        <v>7</v>
      </c>
      <c r="O290" s="6" t="e">
        <f t="shared" ca="1" si="55"/>
        <v>#N/A</v>
      </c>
      <c r="P290" s="8">
        <f t="shared" ca="1" si="56"/>
        <v>37535</v>
      </c>
      <c r="Q290" s="6">
        <f ca="1">RANDBETWEEN(2,COUNTA('Recruitment source'!$A:$A))</f>
        <v>7</v>
      </c>
      <c r="R290" s="8" t="e">
        <f t="shared" ca="1" si="57"/>
        <v>#N/A</v>
      </c>
      <c r="S290" s="6" t="e">
        <f t="shared" ca="1" si="58"/>
        <v>#N/A</v>
      </c>
      <c r="T290" s="6">
        <f t="shared" ca="1" si="48"/>
        <v>2</v>
      </c>
      <c r="U290" s="1">
        <f t="shared" ca="1" si="59"/>
        <v>1085</v>
      </c>
    </row>
    <row r="291" spans="1:21" x14ac:dyDescent="0.2">
      <c r="A291" s="7" cm="1">
        <f t="array" aca="1" ref="A291" ca="1">INDEX(Companies!$A:$A,RANDBETWEEN(2,COUNTA(Companies!$A:$A)),1)</f>
        <v>2</v>
      </c>
      <c r="B291" s="5">
        <f t="shared" si="49"/>
        <v>290</v>
      </c>
      <c r="C291" s="6">
        <f t="shared" ca="1" si="50"/>
        <v>1</v>
      </c>
      <c r="D291" s="7">
        <f ca="1">IF($B291 = 1 + N("Presidente"),
    127,
    IF($B291 = 2 + N("Vice-Presidente"),
        72,
        IF($B291 = 3 + N("Secretária bilíngue"),
            13,
            RANDBETWEEN(5,COUNT(Name!$A:$A) + 1)
        )
    )
)</f>
        <v>88</v>
      </c>
      <c r="E291" s="7" t="str">
        <f ca="1" xml:space="preserve">
VLOOKUP(
  $D291,
  Name!$A:$B,
  2,
  FALSE
)
&amp; " " &amp;
IF($B291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Catarina Bermudes Serra</v>
      </c>
      <c r="F291" s="7">
        <v>2</v>
      </c>
      <c r="G291" s="7" cm="1">
        <f t="array" aca="1" ref="G291" ca="1">INDEX(States!$B:$B,RANDBETWEEN(2,COUNTA(States!$A:$A)),1)</f>
        <v>3</v>
      </c>
      <c r="H291" s="7" t="str">
        <f ca="1">VLOOKUP($D291,Name!$A:$C,3,FALSE)</f>
        <v>F</v>
      </c>
      <c r="I291" s="7" cm="1">
        <f t="array" aca="1" ref="I291" ca="1">INDEX('Marital status'!$A:$A,RANDBETWEEN(2,COUNTA('Marital status'!$A:$A)),1)</f>
        <v>5</v>
      </c>
      <c r="J291" s="7">
        <f t="shared" ca="1" si="51"/>
        <v>2</v>
      </c>
      <c r="K291" s="8">
        <f t="shared" ca="1" si="52"/>
        <v>38157</v>
      </c>
      <c r="L291" s="6">
        <f t="shared" ca="1" si="53"/>
        <v>5</v>
      </c>
      <c r="M291" s="7">
        <f ca="1" xml:space="preserve">
  IF(OR($N291 = 2, $N291 = 3, $N291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291" s="6">
        <f t="shared" ca="1" si="54"/>
        <v>8</v>
      </c>
      <c r="O291" s="6">
        <f t="shared" ca="1" si="55"/>
        <v>3</v>
      </c>
      <c r="P291" s="8">
        <f t="shared" ca="1" si="56"/>
        <v>44838</v>
      </c>
      <c r="Q291" s="6">
        <f ca="1">RANDBETWEEN(2,COUNTA('Recruitment source'!$A:$A))</f>
        <v>11</v>
      </c>
      <c r="R291" s="8" t="e">
        <f t="shared" ca="1" si="57"/>
        <v>#N/A</v>
      </c>
      <c r="S291" s="6" t="e">
        <f t="shared" ca="1" si="58"/>
        <v>#N/A</v>
      </c>
      <c r="T291" s="6">
        <f t="shared" ca="1" si="48"/>
        <v>5</v>
      </c>
      <c r="U291" s="1">
        <f t="shared" ca="1" si="59"/>
        <v>2050</v>
      </c>
    </row>
    <row r="292" spans="1:21" x14ac:dyDescent="0.2">
      <c r="A292" s="7" cm="1">
        <f t="array" aca="1" ref="A292" ca="1">INDEX(Companies!$A:$A,RANDBETWEEN(2,COUNTA(Companies!$A:$A)),1)</f>
        <v>2</v>
      </c>
      <c r="B292" s="5">
        <f t="shared" si="49"/>
        <v>291</v>
      </c>
      <c r="C292" s="6">
        <f t="shared" ca="1" si="50"/>
        <v>1</v>
      </c>
      <c r="D292" s="7">
        <f ca="1">IF($B292 = 1 + N("Presidente"),
    127,
    IF($B292 = 2 + N("Vice-Presidente"),
        72,
        IF($B292 = 3 + N("Secretária bilíngue"),
            13,
            RANDBETWEEN(5,COUNT(Name!$A:$A) + 1)
        )
    )
)</f>
        <v>321</v>
      </c>
      <c r="E292" s="7" t="str">
        <f ca="1" xml:space="preserve">
VLOOKUP(
  $D292,
  Name!$A:$B,
  2,
  FALSE
)
&amp; " " &amp;
IF($B292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Pietra Romano Batista</v>
      </c>
      <c r="F292" s="7">
        <v>2</v>
      </c>
      <c r="G292" s="7" cm="1">
        <f t="array" aca="1" ref="G292" ca="1">INDEX(States!$B:$B,RANDBETWEEN(2,COUNTA(States!$A:$A)),1)</f>
        <v>11</v>
      </c>
      <c r="H292" s="7" t="str">
        <f ca="1">VLOOKUP($D292,Name!$A:$C,3,FALSE)</f>
        <v>F</v>
      </c>
      <c r="I292" s="7" cm="1">
        <f t="array" aca="1" ref="I292" ca="1">INDEX('Marital status'!$A:$A,RANDBETWEEN(2,COUNTA('Marital status'!$A:$A)),1)</f>
        <v>6</v>
      </c>
      <c r="J292" s="7">
        <f t="shared" ca="1" si="51"/>
        <v>2</v>
      </c>
      <c r="K292" s="8">
        <f t="shared" ca="1" si="52"/>
        <v>29833</v>
      </c>
      <c r="L292" s="6">
        <f t="shared" ca="1" si="53"/>
        <v>4</v>
      </c>
      <c r="M292" s="7">
        <f ca="1" xml:space="preserve">
  IF(OR($N292 = 2, $N292 = 3, $N292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292" s="6">
        <f t="shared" ca="1" si="54"/>
        <v>7</v>
      </c>
      <c r="O292" s="6" t="e">
        <f t="shared" ca="1" si="55"/>
        <v>#N/A</v>
      </c>
      <c r="P292" s="8">
        <f t="shared" ca="1" si="56"/>
        <v>40789</v>
      </c>
      <c r="Q292" s="6">
        <f ca="1">RANDBETWEEN(2,COUNTA('Recruitment source'!$A:$A))</f>
        <v>10</v>
      </c>
      <c r="R292" s="8" t="e">
        <f t="shared" ca="1" si="57"/>
        <v>#N/A</v>
      </c>
      <c r="S292" s="6" t="e">
        <f t="shared" ca="1" si="58"/>
        <v>#N/A</v>
      </c>
      <c r="T292" s="6">
        <f t="shared" ca="1" si="48"/>
        <v>3</v>
      </c>
      <c r="U292" s="1">
        <f t="shared" ca="1" si="59"/>
        <v>1005</v>
      </c>
    </row>
    <row r="293" spans="1:21" x14ac:dyDescent="0.2">
      <c r="A293" s="7" cm="1">
        <f t="array" aca="1" ref="A293" ca="1">INDEX(Companies!$A:$A,RANDBETWEEN(2,COUNTA(Companies!$A:$A)),1)</f>
        <v>2</v>
      </c>
      <c r="B293" s="5">
        <f t="shared" si="49"/>
        <v>292</v>
      </c>
      <c r="C293" s="6">
        <f t="shared" ca="1" si="50"/>
        <v>1</v>
      </c>
      <c r="D293" s="7">
        <f ca="1">IF($B293 = 1 + N("Presidente"),
    127,
    IF($B293 = 2 + N("Vice-Presidente"),
        72,
        IF($B293 = 3 + N("Secretária bilíngue"),
            13,
            RANDBETWEEN(5,COUNT(Name!$A:$A) + 1)
        )
    )
)</f>
        <v>113</v>
      </c>
      <c r="E293" s="7" t="str">
        <f ca="1" xml:space="preserve">
VLOOKUP(
  $D293,
  Name!$A:$B,
  2,
  FALSE
)
&amp; " " &amp;
IF($B293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Desiré Bandeira Braga</v>
      </c>
      <c r="F293" s="7">
        <v>2</v>
      </c>
      <c r="G293" s="7" cm="1">
        <f t="array" aca="1" ref="G293" ca="1">INDEX(States!$B:$B,RANDBETWEEN(2,COUNTA(States!$A:$A)),1)</f>
        <v>16</v>
      </c>
      <c r="H293" s="7" t="str">
        <f ca="1">VLOOKUP($D293,Name!$A:$C,3,FALSE)</f>
        <v>F</v>
      </c>
      <c r="I293" s="7" cm="1">
        <f t="array" aca="1" ref="I293" ca="1">INDEX('Marital status'!$A:$A,RANDBETWEEN(2,COUNTA('Marital status'!$A:$A)),1)</f>
        <v>4</v>
      </c>
      <c r="J293" s="7">
        <f t="shared" ca="1" si="51"/>
        <v>2</v>
      </c>
      <c r="K293" s="8">
        <f t="shared" ca="1" si="52"/>
        <v>37024</v>
      </c>
      <c r="L293" s="6">
        <f t="shared" ca="1" si="53"/>
        <v>5</v>
      </c>
      <c r="M293" s="7">
        <f ca="1" xml:space="preserve">
  IF(OR($N293 = 2, $N293 = 3, $N293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293" s="6">
        <f t="shared" ca="1" si="54"/>
        <v>8</v>
      </c>
      <c r="O293" s="6">
        <f t="shared" ca="1" si="55"/>
        <v>4</v>
      </c>
      <c r="P293" s="8">
        <f t="shared" ca="1" si="56"/>
        <v>42819</v>
      </c>
      <c r="Q293" s="6">
        <f ca="1">RANDBETWEEN(2,COUNTA('Recruitment source'!$A:$A))</f>
        <v>5</v>
      </c>
      <c r="R293" s="8" t="e">
        <f t="shared" ca="1" si="57"/>
        <v>#N/A</v>
      </c>
      <c r="S293" s="6" t="e">
        <f t="shared" ca="1" si="58"/>
        <v>#N/A</v>
      </c>
      <c r="T293" s="6">
        <f t="shared" ca="1" si="48"/>
        <v>5</v>
      </c>
      <c r="U293" s="1">
        <f t="shared" ca="1" si="59"/>
        <v>2000</v>
      </c>
    </row>
    <row r="294" spans="1:21" x14ac:dyDescent="0.2">
      <c r="A294" s="7" cm="1">
        <f t="array" aca="1" ref="A294" ca="1">INDEX(Companies!$A:$A,RANDBETWEEN(2,COUNTA(Companies!$A:$A)),1)</f>
        <v>2</v>
      </c>
      <c r="B294" s="5">
        <f t="shared" si="49"/>
        <v>293</v>
      </c>
      <c r="C294" s="6">
        <f t="shared" ca="1" si="50"/>
        <v>1</v>
      </c>
      <c r="D294" s="7">
        <f ca="1">IF($B294 = 1 + N("Presidente"),
    127,
    IF($B294 = 2 + N("Vice-Presidente"),
        72,
        IF($B294 = 3 + N("Secretária bilíngue"),
            13,
            RANDBETWEEN(5,COUNT(Name!$A:$A) + 1)
        )
    )
)</f>
        <v>361</v>
      </c>
      <c r="E294" s="7" t="str">
        <f ca="1" xml:space="preserve">
VLOOKUP(
  $D294,
  Name!$A:$B,
  2,
  FALSE
)
&amp; " " &amp;
IF($B294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Wagner Gomes Alencar</v>
      </c>
      <c r="F294" s="7">
        <v>2</v>
      </c>
      <c r="G294" s="7" cm="1">
        <f t="array" aca="1" ref="G294" ca="1">INDEX(States!$B:$B,RANDBETWEEN(2,COUNTA(States!$A:$A)),1)</f>
        <v>3</v>
      </c>
      <c r="H294" s="7" t="str">
        <f ca="1">VLOOKUP($D294,Name!$A:$C,3,FALSE)</f>
        <v>M</v>
      </c>
      <c r="I294" s="7" cm="1">
        <f t="array" aca="1" ref="I294" ca="1">INDEX('Marital status'!$A:$A,RANDBETWEEN(2,COUNTA('Marital status'!$A:$A)),1)</f>
        <v>3</v>
      </c>
      <c r="J294" s="7">
        <f t="shared" ca="1" si="51"/>
        <v>3</v>
      </c>
      <c r="K294" s="8">
        <f t="shared" ca="1" si="52"/>
        <v>32082</v>
      </c>
      <c r="L294" s="6">
        <f t="shared" ca="1" si="53"/>
        <v>4</v>
      </c>
      <c r="M294" s="7">
        <f ca="1" xml:space="preserve">
  IF(OR($N294 = 2, $N294 = 3, $N294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294" s="6">
        <f t="shared" ca="1" si="54"/>
        <v>7</v>
      </c>
      <c r="O294" s="6" t="e">
        <f t="shared" ca="1" si="55"/>
        <v>#N/A</v>
      </c>
      <c r="P294" s="8">
        <f t="shared" ca="1" si="56"/>
        <v>37524</v>
      </c>
      <c r="Q294" s="6">
        <f ca="1">RANDBETWEEN(2,COUNTA('Recruitment source'!$A:$A))</f>
        <v>8</v>
      </c>
      <c r="R294" s="8" t="e">
        <f t="shared" ca="1" si="57"/>
        <v>#N/A</v>
      </c>
      <c r="S294" s="6" t="e">
        <f t="shared" ca="1" si="58"/>
        <v>#N/A</v>
      </c>
      <c r="T294" s="6">
        <f t="shared" ca="1" si="48"/>
        <v>5</v>
      </c>
      <c r="U294" s="1">
        <f t="shared" ca="1" si="59"/>
        <v>1085</v>
      </c>
    </row>
    <row r="295" spans="1:21" x14ac:dyDescent="0.2">
      <c r="A295" s="7" cm="1">
        <f t="array" aca="1" ref="A295" ca="1">INDEX(Companies!$A:$A,RANDBETWEEN(2,COUNTA(Companies!$A:$A)),1)</f>
        <v>2</v>
      </c>
      <c r="B295" s="5">
        <f t="shared" si="49"/>
        <v>294</v>
      </c>
      <c r="C295" s="6">
        <f t="shared" ca="1" si="50"/>
        <v>1</v>
      </c>
      <c r="D295" s="7">
        <f ca="1">IF($B295 = 1 + N("Presidente"),
    127,
    IF($B295 = 2 + N("Vice-Presidente"),
        72,
        IF($B295 = 3 + N("Secretária bilíngue"),
            13,
            RANDBETWEEN(5,COUNT(Name!$A:$A) + 1)
        )
    )
)</f>
        <v>361</v>
      </c>
      <c r="E295" s="7" t="str">
        <f ca="1" xml:space="preserve">
VLOOKUP(
  $D295,
  Name!$A:$B,
  2,
  FALSE
)
&amp; " " &amp;
IF($B295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Wagner Ferreira Esteves</v>
      </c>
      <c r="F295" s="7">
        <v>2</v>
      </c>
      <c r="G295" s="7" cm="1">
        <f t="array" aca="1" ref="G295" ca="1">INDEX(States!$B:$B,RANDBETWEEN(2,COUNTA(States!$A:$A)),1)</f>
        <v>13</v>
      </c>
      <c r="H295" s="7" t="str">
        <f ca="1">VLOOKUP($D295,Name!$A:$C,3,FALSE)</f>
        <v>M</v>
      </c>
      <c r="I295" s="7" cm="1">
        <f t="array" aca="1" ref="I295" ca="1">INDEX('Marital status'!$A:$A,RANDBETWEEN(2,COUNTA('Marital status'!$A:$A)),1)</f>
        <v>2</v>
      </c>
      <c r="J295" s="7">
        <f t="shared" ca="1" si="51"/>
        <v>2</v>
      </c>
      <c r="K295" s="8">
        <f t="shared" ca="1" si="52"/>
        <v>35490</v>
      </c>
      <c r="L295" s="6">
        <f t="shared" ca="1" si="53"/>
        <v>4</v>
      </c>
      <c r="M295" s="7">
        <f ca="1" xml:space="preserve">
  IF(OR($N295 = 2, $N295 = 3, $N295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295" s="6">
        <f t="shared" ca="1" si="54"/>
        <v>8</v>
      </c>
      <c r="O295" s="6">
        <f t="shared" ca="1" si="55"/>
        <v>4</v>
      </c>
      <c r="P295" s="8">
        <f t="shared" ca="1" si="56"/>
        <v>44110</v>
      </c>
      <c r="Q295" s="6">
        <f ca="1">RANDBETWEEN(2,COUNTA('Recruitment source'!$A:$A))</f>
        <v>11</v>
      </c>
      <c r="R295" s="8" t="e">
        <f t="shared" ca="1" si="57"/>
        <v>#N/A</v>
      </c>
      <c r="S295" s="6" t="e">
        <f t="shared" ca="1" si="58"/>
        <v>#N/A</v>
      </c>
      <c r="T295" s="6">
        <f t="shared" ca="1" si="48"/>
        <v>4</v>
      </c>
      <c r="U295" s="1">
        <f t="shared" ca="1" si="59"/>
        <v>2080</v>
      </c>
    </row>
    <row r="296" spans="1:21" x14ac:dyDescent="0.2">
      <c r="A296" s="7" cm="1">
        <f t="array" aca="1" ref="A296" ca="1">INDEX(Companies!$A:$A,RANDBETWEEN(2,COUNTA(Companies!$A:$A)),1)</f>
        <v>2</v>
      </c>
      <c r="B296" s="5">
        <f t="shared" si="49"/>
        <v>295</v>
      </c>
      <c r="C296" s="6">
        <f t="shared" ca="1" si="50"/>
        <v>1</v>
      </c>
      <c r="D296" s="7">
        <f ca="1">IF($B296 = 1 + N("Presidente"),
    127,
    IF($B296 = 2 + N("Vice-Presidente"),
        72,
        IF($B296 = 3 + N("Secretária bilíngue"),
            13,
            RANDBETWEEN(5,COUNT(Name!$A:$A) + 1)
        )
    )
)</f>
        <v>153</v>
      </c>
      <c r="E296" s="7" t="str">
        <f ca="1" xml:space="preserve">
VLOOKUP(
  $D296,
  Name!$A:$B,
  2,
  FALSE
)
&amp; " " &amp;
IF($B296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Giovana Rossi Badu</v>
      </c>
      <c r="F296" s="7">
        <v>2</v>
      </c>
      <c r="G296" s="7" cm="1">
        <f t="array" aca="1" ref="G296" ca="1">INDEX(States!$B:$B,RANDBETWEEN(2,COUNTA(States!$A:$A)),1)</f>
        <v>16</v>
      </c>
      <c r="H296" s="7" t="str">
        <f ca="1">VLOOKUP($D296,Name!$A:$C,3,FALSE)</f>
        <v>F</v>
      </c>
      <c r="I296" s="7" cm="1">
        <f t="array" aca="1" ref="I296" ca="1">INDEX('Marital status'!$A:$A,RANDBETWEEN(2,COUNTA('Marital status'!$A:$A)),1)</f>
        <v>6</v>
      </c>
      <c r="J296" s="7">
        <f t="shared" ca="1" si="51"/>
        <v>2</v>
      </c>
      <c r="K296" s="8">
        <f t="shared" ca="1" si="52"/>
        <v>32697</v>
      </c>
      <c r="L296" s="6">
        <f t="shared" ca="1" si="53"/>
        <v>4</v>
      </c>
      <c r="M296" s="7">
        <f ca="1" xml:space="preserve">
  IF(OR($N296 = 2, $N296 = 3, $N296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296" s="6">
        <f t="shared" ca="1" si="54"/>
        <v>7</v>
      </c>
      <c r="O296" s="6" t="e">
        <f t="shared" ca="1" si="55"/>
        <v>#N/A</v>
      </c>
      <c r="P296" s="8">
        <f t="shared" ca="1" si="56"/>
        <v>39729</v>
      </c>
      <c r="Q296" s="6">
        <f ca="1">RANDBETWEEN(2,COUNTA('Recruitment source'!$A:$A))</f>
        <v>9</v>
      </c>
      <c r="R296" s="8" t="e">
        <f t="shared" ca="1" si="57"/>
        <v>#N/A</v>
      </c>
      <c r="S296" s="6" t="e">
        <f t="shared" ca="1" si="58"/>
        <v>#N/A</v>
      </c>
      <c r="T296" s="6">
        <f t="shared" ca="1" si="48"/>
        <v>4</v>
      </c>
      <c r="U296" s="1">
        <f t="shared" ca="1" si="59"/>
        <v>1005</v>
      </c>
    </row>
    <row r="297" spans="1:21" x14ac:dyDescent="0.2">
      <c r="A297" s="7" cm="1">
        <f t="array" aca="1" ref="A297" ca="1">INDEX(Companies!$A:$A,RANDBETWEEN(2,COUNTA(Companies!$A:$A)),1)</f>
        <v>2</v>
      </c>
      <c r="B297" s="5">
        <f t="shared" si="49"/>
        <v>296</v>
      </c>
      <c r="C297" s="6">
        <f t="shared" ca="1" si="50"/>
        <v>1</v>
      </c>
      <c r="D297" s="7">
        <f ca="1">IF($B297 = 1 + N("Presidente"),
    127,
    IF($B297 = 2 + N("Vice-Presidente"),
        72,
        IF($B297 = 3 + N("Secretária bilíngue"),
            13,
            RANDBETWEEN(5,COUNT(Name!$A:$A) + 1)
        )
    )
)</f>
        <v>234</v>
      </c>
      <c r="E297" s="7" t="str">
        <f ca="1" xml:space="preserve">
VLOOKUP(
  $D297,
  Name!$A:$B,
  2,
  FALSE
)
&amp; " " &amp;
IF($B297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Louise Bispo Rangel</v>
      </c>
      <c r="F297" s="7">
        <v>2</v>
      </c>
      <c r="G297" s="7" cm="1">
        <f t="array" aca="1" ref="G297" ca="1">INDEX(States!$B:$B,RANDBETWEEN(2,COUNTA(States!$A:$A)),1)</f>
        <v>17</v>
      </c>
      <c r="H297" s="7" t="str">
        <f ca="1">VLOOKUP($D297,Name!$A:$C,3,FALSE)</f>
        <v>F</v>
      </c>
      <c r="I297" s="7" cm="1">
        <f t="array" aca="1" ref="I297" ca="1">INDEX('Marital status'!$A:$A,RANDBETWEEN(2,COUNTA('Marital status'!$A:$A)),1)</f>
        <v>5</v>
      </c>
      <c r="J297" s="7">
        <f t="shared" ca="1" si="51"/>
        <v>4</v>
      </c>
      <c r="K297" s="8">
        <f t="shared" ca="1" si="52"/>
        <v>34524</v>
      </c>
      <c r="L297" s="6">
        <f t="shared" ca="1" si="53"/>
        <v>5</v>
      </c>
      <c r="M297" s="7">
        <f ca="1" xml:space="preserve">
  IF(OR($N297 = 2, $N297 = 3, $N297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297" s="6">
        <f t="shared" ca="1" si="54"/>
        <v>8</v>
      </c>
      <c r="O297" s="6">
        <f t="shared" ca="1" si="55"/>
        <v>2</v>
      </c>
      <c r="P297" s="8">
        <f t="shared" ca="1" si="56"/>
        <v>44260</v>
      </c>
      <c r="Q297" s="6">
        <f ca="1">RANDBETWEEN(2,COUNTA('Recruitment source'!$A:$A))</f>
        <v>6</v>
      </c>
      <c r="R297" s="8" t="e">
        <f t="shared" ca="1" si="57"/>
        <v>#N/A</v>
      </c>
      <c r="S297" s="6" t="e">
        <f t="shared" ca="1" si="58"/>
        <v>#N/A</v>
      </c>
      <c r="T297" s="6">
        <f t="shared" ca="1" si="48"/>
        <v>3</v>
      </c>
      <c r="U297" s="1">
        <f t="shared" ca="1" si="59"/>
        <v>2080</v>
      </c>
    </row>
    <row r="298" spans="1:21" x14ac:dyDescent="0.2">
      <c r="A298" s="7" cm="1">
        <f t="array" aca="1" ref="A298" ca="1">INDEX(Companies!$A:$A,RANDBETWEEN(2,COUNTA(Companies!$A:$A)),1)</f>
        <v>2</v>
      </c>
      <c r="B298" s="5">
        <f t="shared" si="49"/>
        <v>297</v>
      </c>
      <c r="C298" s="6">
        <f t="shared" ca="1" si="50"/>
        <v>1</v>
      </c>
      <c r="D298" s="7">
        <f ca="1">IF($B298 = 1 + N("Presidente"),
    127,
    IF($B298 = 2 + N("Vice-Presidente"),
        72,
        IF($B298 = 3 + N("Secretária bilíngue"),
            13,
            RANDBETWEEN(5,COUNT(Name!$A:$A) + 1)
        )
    )
)</f>
        <v>268</v>
      </c>
      <c r="E298" s="7" t="str">
        <f ca="1" xml:space="preserve">
VLOOKUP(
  $D298,
  Name!$A:$B,
  2,
  FALSE
)
&amp; " " &amp;
IF($B298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Isis Battaglia Pinto</v>
      </c>
      <c r="F298" s="7">
        <v>2</v>
      </c>
      <c r="G298" s="7" cm="1">
        <f t="array" aca="1" ref="G298" ca="1">INDEX(States!$B:$B,RANDBETWEEN(2,COUNTA(States!$A:$A)),1)</f>
        <v>10</v>
      </c>
      <c r="H298" s="7" t="str">
        <f ca="1">VLOOKUP($D298,Name!$A:$C,3,FALSE)</f>
        <v>F</v>
      </c>
      <c r="I298" s="7" cm="1">
        <f t="array" aca="1" ref="I298" ca="1">INDEX('Marital status'!$A:$A,RANDBETWEEN(2,COUNTA('Marital status'!$A:$A)),1)</f>
        <v>5</v>
      </c>
      <c r="J298" s="7">
        <f t="shared" ca="1" si="51"/>
        <v>2</v>
      </c>
      <c r="K298" s="8">
        <f t="shared" ca="1" si="52"/>
        <v>22712</v>
      </c>
      <c r="L298" s="6">
        <f t="shared" ca="1" si="53"/>
        <v>4</v>
      </c>
      <c r="M298" s="7">
        <f ca="1" xml:space="preserve">
  IF(OR($N298 = 2, $N298 = 3, $N298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298" s="6">
        <f t="shared" ca="1" si="54"/>
        <v>6</v>
      </c>
      <c r="O298" s="6" t="e">
        <f t="shared" ca="1" si="55"/>
        <v>#N/A</v>
      </c>
      <c r="P298" s="8">
        <f t="shared" ca="1" si="56"/>
        <v>39256</v>
      </c>
      <c r="Q298" s="6">
        <f ca="1">RANDBETWEEN(2,COUNTA('Recruitment source'!$A:$A))</f>
        <v>10</v>
      </c>
      <c r="R298" s="8" t="e">
        <f t="shared" ca="1" si="57"/>
        <v>#N/A</v>
      </c>
      <c r="S298" s="6" t="e">
        <f t="shared" ca="1" si="58"/>
        <v>#N/A</v>
      </c>
      <c r="T298" s="6">
        <f t="shared" ca="1" si="48"/>
        <v>3</v>
      </c>
      <c r="U298" s="1">
        <f t="shared" ca="1" si="59"/>
        <v>885</v>
      </c>
    </row>
    <row r="299" spans="1:21" x14ac:dyDescent="0.2">
      <c r="A299" s="7" cm="1">
        <f t="array" aca="1" ref="A299" ca="1">INDEX(Companies!$A:$A,RANDBETWEEN(2,COUNTA(Companies!$A:$A)),1)</f>
        <v>2</v>
      </c>
      <c r="B299" s="5">
        <f t="shared" si="49"/>
        <v>298</v>
      </c>
      <c r="C299" s="6">
        <f t="shared" ca="1" si="50"/>
        <v>1</v>
      </c>
      <c r="D299" s="7">
        <f ca="1">IF($B299 = 1 + N("Presidente"),
    127,
    IF($B299 = 2 + N("Vice-Presidente"),
        72,
        IF($B299 = 3 + N("Secretária bilíngue"),
            13,
            RANDBETWEEN(5,COUNT(Name!$A:$A) + 1)
        )
    )
)</f>
        <v>298</v>
      </c>
      <c r="E299" s="7" t="str">
        <f ca="1" xml:space="preserve">
VLOOKUP(
  $D299,
  Name!$A:$B,
  2,
  FALSE
)
&amp; " " &amp;
IF($B299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Milena dos Santos Pasquim</v>
      </c>
      <c r="F299" s="7">
        <v>2</v>
      </c>
      <c r="G299" s="7" cm="1">
        <f t="array" aca="1" ref="G299" ca="1">INDEX(States!$B:$B,RANDBETWEEN(2,COUNTA(States!$A:$A)),1)</f>
        <v>8</v>
      </c>
      <c r="H299" s="7" t="str">
        <f ca="1">VLOOKUP($D299,Name!$A:$C,3,FALSE)</f>
        <v>F</v>
      </c>
      <c r="I299" s="7" cm="1">
        <f t="array" aca="1" ref="I299" ca="1">INDEX('Marital status'!$A:$A,RANDBETWEEN(2,COUNTA('Marital status'!$A:$A)),1)</f>
        <v>5</v>
      </c>
      <c r="J299" s="7">
        <f t="shared" ca="1" si="51"/>
        <v>2</v>
      </c>
      <c r="K299" s="8">
        <f t="shared" ca="1" si="52"/>
        <v>33569</v>
      </c>
      <c r="L299" s="6">
        <f t="shared" ca="1" si="53"/>
        <v>5</v>
      </c>
      <c r="M299" s="7">
        <f ca="1" xml:space="preserve">
  IF(OR($N299 = 2, $N299 = 3, $N299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299" s="6">
        <f t="shared" ca="1" si="54"/>
        <v>8</v>
      </c>
      <c r="O299" s="6">
        <f t="shared" ca="1" si="55"/>
        <v>2</v>
      </c>
      <c r="P299" s="8">
        <f t="shared" ca="1" si="56"/>
        <v>38218</v>
      </c>
      <c r="Q299" s="6">
        <f ca="1">RANDBETWEEN(2,COUNTA('Recruitment source'!$A:$A))</f>
        <v>3</v>
      </c>
      <c r="R299" s="8" t="e">
        <f t="shared" ca="1" si="57"/>
        <v>#N/A</v>
      </c>
      <c r="S299" s="6" t="e">
        <f t="shared" ca="1" si="58"/>
        <v>#N/A</v>
      </c>
      <c r="T299" s="6">
        <f t="shared" ca="1" si="48"/>
        <v>2</v>
      </c>
      <c r="U299" s="1">
        <f t="shared" ca="1" si="59"/>
        <v>2080</v>
      </c>
    </row>
    <row r="300" spans="1:21" x14ac:dyDescent="0.2">
      <c r="A300" s="7" cm="1">
        <f t="array" aca="1" ref="A300" ca="1">INDEX(Companies!$A:$A,RANDBETWEEN(2,COUNTA(Companies!$A:$A)),1)</f>
        <v>2</v>
      </c>
      <c r="B300" s="5">
        <f t="shared" si="49"/>
        <v>299</v>
      </c>
      <c r="C300" s="6">
        <f t="shared" ca="1" si="50"/>
        <v>1</v>
      </c>
      <c r="D300" s="7">
        <f ca="1">IF($B300 = 1 + N("Presidente"),
    127,
    IF($B300 = 2 + N("Vice-Presidente"),
        72,
        IF($B300 = 3 + N("Secretária bilíngue"),
            13,
            RANDBETWEEN(5,COUNT(Name!$A:$A) + 1)
        )
    )
)</f>
        <v>94</v>
      </c>
      <c r="E300" s="7" t="str">
        <f ca="1" xml:space="preserve">
VLOOKUP(
  $D300,
  Name!$A:$B,
  2,
  FALSE
)
&amp; " " &amp;
IF($B300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Clara Colombo Lopes</v>
      </c>
      <c r="F300" s="7">
        <v>2</v>
      </c>
      <c r="G300" s="7" cm="1">
        <f t="array" aca="1" ref="G300" ca="1">INDEX(States!$B:$B,RANDBETWEEN(2,COUNTA(States!$A:$A)),1)</f>
        <v>4</v>
      </c>
      <c r="H300" s="7" t="str">
        <f ca="1">VLOOKUP($D300,Name!$A:$C,3,FALSE)</f>
        <v>F</v>
      </c>
      <c r="I300" s="7" cm="1">
        <f t="array" aca="1" ref="I300" ca="1">INDEX('Marital status'!$A:$A,RANDBETWEEN(2,COUNTA('Marital status'!$A:$A)),1)</f>
        <v>2</v>
      </c>
      <c r="J300" s="7">
        <f t="shared" ca="1" si="51"/>
        <v>2</v>
      </c>
      <c r="K300" s="8">
        <f t="shared" ca="1" si="52"/>
        <v>23063</v>
      </c>
      <c r="L300" s="6">
        <f t="shared" ca="1" si="53"/>
        <v>4</v>
      </c>
      <c r="M300" s="7">
        <f ca="1" xml:space="preserve">
  IF(OR($N300 = 2, $N300 = 3, $N300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300" s="6">
        <f t="shared" ca="1" si="54"/>
        <v>6</v>
      </c>
      <c r="O300" s="6" t="e">
        <f t="shared" ca="1" si="55"/>
        <v>#N/A</v>
      </c>
      <c r="P300" s="8">
        <f t="shared" ca="1" si="56"/>
        <v>37473</v>
      </c>
      <c r="Q300" s="6">
        <f ca="1">RANDBETWEEN(2,COUNTA('Recruitment source'!$A:$A))</f>
        <v>3</v>
      </c>
      <c r="R300" s="8" t="e">
        <f t="shared" ca="1" si="57"/>
        <v>#N/A</v>
      </c>
      <c r="S300" s="6" t="e">
        <f t="shared" ca="1" si="58"/>
        <v>#N/A</v>
      </c>
      <c r="T300" s="6">
        <f t="shared" ca="1" si="48"/>
        <v>5</v>
      </c>
      <c r="U300" s="1">
        <f t="shared" ca="1" si="59"/>
        <v>885</v>
      </c>
    </row>
    <row r="301" spans="1:21" x14ac:dyDescent="0.2">
      <c r="A301" s="7" cm="1">
        <f t="array" aca="1" ref="A301" ca="1">INDEX(Companies!$A:$A,RANDBETWEEN(2,COUNTA(Companies!$A:$A)),1)</f>
        <v>2</v>
      </c>
      <c r="B301" s="5">
        <f t="shared" si="49"/>
        <v>300</v>
      </c>
      <c r="C301" s="6">
        <f t="shared" ca="1" si="50"/>
        <v>1</v>
      </c>
      <c r="D301" s="7">
        <f ca="1">IF($B301 = 1 + N("Presidente"),
    127,
    IF($B301 = 2 + N("Vice-Presidente"),
        72,
        IF($B301 = 3 + N("Secretária bilíngue"),
            13,
            RANDBETWEEN(5,COUNT(Name!$A:$A) + 1)
        )
    )
)</f>
        <v>124</v>
      </c>
      <c r="E301" s="7" t="str">
        <f ca="1" xml:space="preserve">
VLOOKUP(
  $D301,
  Name!$A:$B,
  2,
  FALSE
)
&amp; " " &amp;
IF($B301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Emilly Pellegrini Melo</v>
      </c>
      <c r="F301" s="7">
        <v>2</v>
      </c>
      <c r="G301" s="7" cm="1">
        <f t="array" aca="1" ref="G301" ca="1">INDEX(States!$B:$B,RANDBETWEEN(2,COUNTA(States!$A:$A)),1)</f>
        <v>14</v>
      </c>
      <c r="H301" s="7" t="str">
        <f ca="1">VLOOKUP($D301,Name!$A:$C,3,FALSE)</f>
        <v>F</v>
      </c>
      <c r="I301" s="7" cm="1">
        <f t="array" aca="1" ref="I301" ca="1">INDEX('Marital status'!$A:$A,RANDBETWEEN(2,COUNTA('Marital status'!$A:$A)),1)</f>
        <v>5</v>
      </c>
      <c r="J301" s="7">
        <f t="shared" ca="1" si="51"/>
        <v>3</v>
      </c>
      <c r="K301" s="8">
        <f t="shared" ca="1" si="52"/>
        <v>37841</v>
      </c>
      <c r="L301" s="6">
        <f t="shared" ca="1" si="53"/>
        <v>4</v>
      </c>
      <c r="M301" s="7">
        <f ca="1" xml:space="preserve">
  IF(OR($N301 = 2, $N301 = 3, $N301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301" s="6">
        <f t="shared" ca="1" si="54"/>
        <v>8</v>
      </c>
      <c r="O301" s="6">
        <f t="shared" ca="1" si="55"/>
        <v>3</v>
      </c>
      <c r="P301" s="8">
        <f t="shared" ca="1" si="56"/>
        <v>40828</v>
      </c>
      <c r="Q301" s="6">
        <f ca="1">RANDBETWEEN(2,COUNTA('Recruitment source'!$A:$A))</f>
        <v>3</v>
      </c>
      <c r="R301" s="8" t="e">
        <f t="shared" ca="1" si="57"/>
        <v>#N/A</v>
      </c>
      <c r="S301" s="6" t="e">
        <f t="shared" ca="1" si="58"/>
        <v>#N/A</v>
      </c>
      <c r="T301" s="6">
        <f t="shared" ca="1" si="48"/>
        <v>5</v>
      </c>
      <c r="U301" s="1">
        <f t="shared" ca="1" si="59"/>
        <v>2000</v>
      </c>
    </row>
    <row r="302" spans="1:21" x14ac:dyDescent="0.2">
      <c r="A302" s="7" cm="1">
        <f t="array" aca="1" ref="A302" ca="1">INDEX(Companies!$A:$A,RANDBETWEEN(2,COUNTA(Companies!$A:$A)),1)</f>
        <v>2</v>
      </c>
      <c r="B302" s="5">
        <f t="shared" si="49"/>
        <v>301</v>
      </c>
      <c r="C302" s="6">
        <f t="shared" ca="1" si="50"/>
        <v>1</v>
      </c>
      <c r="D302" s="7">
        <f ca="1">IF($B302 = 1 + N("Presidente"),
    127,
    IF($B302 = 2 + N("Vice-Presidente"),
        72,
        IF($B302 = 3 + N("Secretária bilíngue"),
            13,
            RANDBETWEEN(5,COUNT(Name!$A:$A) + 1)
        )
    )
)</f>
        <v>63</v>
      </c>
      <c r="E302" s="7" t="str">
        <f ca="1" xml:space="preserve">
VLOOKUP(
  $D302,
  Name!$A:$B,
  2,
  FALSE
)
&amp; " " &amp;
IF($B302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Aurorah Batista Bragança</v>
      </c>
      <c r="F302" s="7">
        <v>2</v>
      </c>
      <c r="G302" s="7" cm="1">
        <f t="array" aca="1" ref="G302" ca="1">INDEX(States!$B:$B,RANDBETWEEN(2,COUNTA(States!$A:$A)),1)</f>
        <v>15</v>
      </c>
      <c r="H302" s="7" t="str">
        <f ca="1">VLOOKUP($D302,Name!$A:$C,3,FALSE)</f>
        <v>F</v>
      </c>
      <c r="I302" s="7" cm="1">
        <f t="array" aca="1" ref="I302" ca="1">INDEX('Marital status'!$A:$A,RANDBETWEEN(2,COUNTA('Marital status'!$A:$A)),1)</f>
        <v>3</v>
      </c>
      <c r="J302" s="7">
        <f t="shared" ca="1" si="51"/>
        <v>2</v>
      </c>
      <c r="K302" s="8">
        <f t="shared" ca="1" si="52"/>
        <v>32874</v>
      </c>
      <c r="L302" s="6">
        <f t="shared" ca="1" si="53"/>
        <v>4</v>
      </c>
      <c r="M302" s="7">
        <f ca="1" xml:space="preserve">
  IF(OR($N302 = 2, $N302 = 3, $N302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302" s="6">
        <f t="shared" ca="1" si="54"/>
        <v>7</v>
      </c>
      <c r="O302" s="6" t="e">
        <f t="shared" ca="1" si="55"/>
        <v>#N/A</v>
      </c>
      <c r="P302" s="8">
        <f t="shared" ca="1" si="56"/>
        <v>36521</v>
      </c>
      <c r="Q302" s="6">
        <f ca="1">RANDBETWEEN(2,COUNTA('Recruitment source'!$A:$A))</f>
        <v>7</v>
      </c>
      <c r="R302" s="8" t="e">
        <f t="shared" ca="1" si="57"/>
        <v>#N/A</v>
      </c>
      <c r="S302" s="6" t="e">
        <f t="shared" ca="1" si="58"/>
        <v>#N/A</v>
      </c>
      <c r="T302" s="6">
        <f t="shared" ca="1" si="48"/>
        <v>2</v>
      </c>
      <c r="U302" s="1">
        <f t="shared" ca="1" si="59"/>
        <v>1085</v>
      </c>
    </row>
    <row r="303" spans="1:21" x14ac:dyDescent="0.2">
      <c r="A303" s="7" cm="1">
        <f t="array" aca="1" ref="A303" ca="1">INDEX(Companies!$A:$A,RANDBETWEEN(2,COUNTA(Companies!$A:$A)),1)</f>
        <v>2</v>
      </c>
      <c r="B303" s="5">
        <f t="shared" si="49"/>
        <v>302</v>
      </c>
      <c r="C303" s="6">
        <f t="shared" ca="1" si="50"/>
        <v>1</v>
      </c>
      <c r="D303" s="7">
        <f ca="1">IF($B303 = 1 + N("Presidente"),
    127,
    IF($B303 = 2 + N("Vice-Presidente"),
        72,
        IF($B303 = 3 + N("Secretária bilíngue"),
            13,
            RANDBETWEEN(5,COUNT(Name!$A:$A) + 1)
        )
    )
)</f>
        <v>287</v>
      </c>
      <c r="E303" s="7" t="str">
        <f ca="1" xml:space="preserve">
VLOOKUP(
  $D303,
  Name!$A:$B,
  2,
  FALSE
)
&amp; " " &amp;
IF($B303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Matheus Pimenta Campos</v>
      </c>
      <c r="F303" s="7">
        <v>2</v>
      </c>
      <c r="G303" s="7" cm="1">
        <f t="array" aca="1" ref="G303" ca="1">INDEX(States!$B:$B,RANDBETWEEN(2,COUNTA(States!$A:$A)),1)</f>
        <v>9</v>
      </c>
      <c r="H303" s="7" t="str">
        <f ca="1">VLOOKUP($D303,Name!$A:$C,3,FALSE)</f>
        <v>M</v>
      </c>
      <c r="I303" s="7" cm="1">
        <f t="array" aca="1" ref="I303" ca="1">INDEX('Marital status'!$A:$A,RANDBETWEEN(2,COUNTA('Marital status'!$A:$A)),1)</f>
        <v>6</v>
      </c>
      <c r="J303" s="7">
        <f t="shared" ca="1" si="51"/>
        <v>2</v>
      </c>
      <c r="K303" s="8">
        <f t="shared" ca="1" si="52"/>
        <v>35805</v>
      </c>
      <c r="L303" s="6">
        <f t="shared" ca="1" si="53"/>
        <v>4</v>
      </c>
      <c r="M303" s="7">
        <f ca="1" xml:space="preserve">
  IF(OR($N303 = 2, $N303 = 3, $N303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303" s="6">
        <f t="shared" ca="1" si="54"/>
        <v>8</v>
      </c>
      <c r="O303" s="6">
        <f t="shared" ca="1" si="55"/>
        <v>3</v>
      </c>
      <c r="P303" s="8">
        <f t="shared" ca="1" si="56"/>
        <v>43641</v>
      </c>
      <c r="Q303" s="6">
        <f ca="1">RANDBETWEEN(2,COUNTA('Recruitment source'!$A:$A))</f>
        <v>10</v>
      </c>
      <c r="R303" s="8" t="e">
        <f t="shared" ca="1" si="57"/>
        <v>#N/A</v>
      </c>
      <c r="S303" s="6" t="e">
        <f t="shared" ca="1" si="58"/>
        <v>#N/A</v>
      </c>
      <c r="T303" s="6">
        <f t="shared" ca="1" si="48"/>
        <v>2</v>
      </c>
      <c r="U303" s="1">
        <f t="shared" ca="1" si="59"/>
        <v>2000</v>
      </c>
    </row>
    <row r="304" spans="1:21" x14ac:dyDescent="0.2">
      <c r="A304" s="7" cm="1">
        <f t="array" aca="1" ref="A304" ca="1">INDEX(Companies!$A:$A,RANDBETWEEN(2,COUNTA(Companies!$A:$A)),1)</f>
        <v>2</v>
      </c>
      <c r="B304" s="5">
        <f t="shared" si="49"/>
        <v>303</v>
      </c>
      <c r="C304" s="6">
        <f t="shared" ca="1" si="50"/>
        <v>1</v>
      </c>
      <c r="D304" s="7">
        <f ca="1">IF($B304 = 1 + N("Presidente"),
    127,
    IF($B304 = 2 + N("Vice-Presidente"),
        72,
        IF($B304 = 3 + N("Secretária bilíngue"),
            13,
            RANDBETWEEN(5,COUNT(Name!$A:$A) + 1)
        )
    )
)</f>
        <v>278</v>
      </c>
      <c r="E304" s="7" t="str">
        <f ca="1" xml:space="preserve">
VLOOKUP(
  $D304,
  Name!$A:$B,
  2,
  FALSE
)
&amp; " " &amp;
IF($B304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Mariana Sá Azeredo</v>
      </c>
      <c r="F304" s="7">
        <v>2</v>
      </c>
      <c r="G304" s="7" cm="1">
        <f t="array" aca="1" ref="G304" ca="1">INDEX(States!$B:$B,RANDBETWEEN(2,COUNTA(States!$A:$A)),1)</f>
        <v>7</v>
      </c>
      <c r="H304" s="7" t="str">
        <f ca="1">VLOOKUP($D304,Name!$A:$C,3,FALSE)</f>
        <v>F</v>
      </c>
      <c r="I304" s="7" cm="1">
        <f t="array" aca="1" ref="I304" ca="1">INDEX('Marital status'!$A:$A,RANDBETWEEN(2,COUNTA('Marital status'!$A:$A)),1)</f>
        <v>6</v>
      </c>
      <c r="J304" s="7">
        <f t="shared" ca="1" si="51"/>
        <v>5</v>
      </c>
      <c r="K304" s="8">
        <f t="shared" ca="1" si="52"/>
        <v>18834</v>
      </c>
      <c r="L304" s="6">
        <f t="shared" ca="1" si="53"/>
        <v>4</v>
      </c>
      <c r="M304" s="7">
        <f ca="1" xml:space="preserve">
  IF(OR($N304 = 2, $N304 = 3, $N304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304" s="6">
        <f t="shared" ca="1" si="54"/>
        <v>6</v>
      </c>
      <c r="O304" s="6" t="e">
        <f t="shared" ca="1" si="55"/>
        <v>#N/A</v>
      </c>
      <c r="P304" s="8">
        <f t="shared" ca="1" si="56"/>
        <v>36692</v>
      </c>
      <c r="Q304" s="6">
        <f ca="1">RANDBETWEEN(2,COUNTA('Recruitment source'!$A:$A))</f>
        <v>5</v>
      </c>
      <c r="R304" s="8" t="e">
        <f t="shared" ca="1" si="57"/>
        <v>#N/A</v>
      </c>
      <c r="S304" s="6" t="e">
        <f t="shared" ca="1" si="58"/>
        <v>#N/A</v>
      </c>
      <c r="T304" s="6">
        <f t="shared" ca="1" si="48"/>
        <v>5</v>
      </c>
      <c r="U304" s="1">
        <f t="shared" ca="1" si="59"/>
        <v>805</v>
      </c>
    </row>
    <row r="305" spans="1:21" x14ac:dyDescent="0.2">
      <c r="A305" s="7" cm="1">
        <f t="array" aca="1" ref="A305" ca="1">INDEX(Companies!$A:$A,RANDBETWEEN(2,COUNTA(Companies!$A:$A)),1)</f>
        <v>2</v>
      </c>
      <c r="B305" s="5">
        <f t="shared" si="49"/>
        <v>304</v>
      </c>
      <c r="C305" s="6">
        <f t="shared" ca="1" si="50"/>
        <v>1</v>
      </c>
      <c r="D305" s="7">
        <f ca="1">IF($B305 = 1 + N("Presidente"),
    127,
    IF($B305 = 2 + N("Vice-Presidente"),
        72,
        IF($B305 = 3 + N("Secretária bilíngue"),
            13,
            RANDBETWEEN(5,COUNT(Name!$A:$A) + 1)
        )
    )
)</f>
        <v>33</v>
      </c>
      <c r="E305" s="7" t="str">
        <f ca="1" xml:space="preserve">
VLOOKUP(
  $D305,
  Name!$A:$B,
  2,
  FALSE
)
&amp; " " &amp;
IF($B305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Lívia Alvim Ildelfonso</v>
      </c>
      <c r="F305" s="7">
        <v>2</v>
      </c>
      <c r="G305" s="7" cm="1">
        <f t="array" aca="1" ref="G305" ca="1">INDEX(States!$B:$B,RANDBETWEEN(2,COUNTA(States!$A:$A)),1)</f>
        <v>3</v>
      </c>
      <c r="H305" s="7" t="str">
        <f ca="1">VLOOKUP($D305,Name!$A:$C,3,FALSE)</f>
        <v>F</v>
      </c>
      <c r="I305" s="7" cm="1">
        <f t="array" aca="1" ref="I305" ca="1">INDEX('Marital status'!$A:$A,RANDBETWEEN(2,COUNTA('Marital status'!$A:$A)),1)</f>
        <v>6</v>
      </c>
      <c r="J305" s="7">
        <f t="shared" ca="1" si="51"/>
        <v>2</v>
      </c>
      <c r="K305" s="8">
        <f t="shared" ca="1" si="52"/>
        <v>36035</v>
      </c>
      <c r="L305" s="6">
        <f t="shared" ca="1" si="53"/>
        <v>4</v>
      </c>
      <c r="M305" s="7">
        <f ca="1" xml:space="preserve">
  IF(OR($N305 = 2, $N305 = 3, $N305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305" s="6">
        <f t="shared" ca="1" si="54"/>
        <v>8</v>
      </c>
      <c r="O305" s="6">
        <f t="shared" ca="1" si="55"/>
        <v>4</v>
      </c>
      <c r="P305" s="8">
        <f t="shared" ca="1" si="56"/>
        <v>38050</v>
      </c>
      <c r="Q305" s="6">
        <f ca="1">RANDBETWEEN(2,COUNTA('Recruitment source'!$A:$A))</f>
        <v>9</v>
      </c>
      <c r="R305" s="8" t="e">
        <f t="shared" ca="1" si="57"/>
        <v>#N/A</v>
      </c>
      <c r="S305" s="6" t="e">
        <f t="shared" ca="1" si="58"/>
        <v>#N/A</v>
      </c>
      <c r="T305" s="6">
        <f t="shared" ca="1" si="48"/>
        <v>5</v>
      </c>
      <c r="U305" s="1">
        <f t="shared" ca="1" si="59"/>
        <v>2080</v>
      </c>
    </row>
    <row r="306" spans="1:21" x14ac:dyDescent="0.2">
      <c r="A306" s="7" cm="1">
        <f t="array" aca="1" ref="A306" ca="1">INDEX(Companies!$A:$A,RANDBETWEEN(2,COUNTA(Companies!$A:$A)),1)</f>
        <v>2</v>
      </c>
      <c r="B306" s="5">
        <f t="shared" si="49"/>
        <v>305</v>
      </c>
      <c r="C306" s="6">
        <f t="shared" ca="1" si="50"/>
        <v>1</v>
      </c>
      <c r="D306" s="7">
        <f ca="1">IF($B306 = 1 + N("Presidente"),
    127,
    IF($B306 = 2 + N("Vice-Presidente"),
        72,
        IF($B306 = 3 + N("Secretária bilíngue"),
            13,
            RANDBETWEEN(5,COUNT(Name!$A:$A) + 1)
        )
    )
)</f>
        <v>224</v>
      </c>
      <c r="E306" s="7" t="str">
        <f ca="1" xml:space="preserve">
VLOOKUP(
  $D306,
  Name!$A:$B,
  2,
  FALSE
)
&amp; " " &amp;
IF($B306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Letícia Morais Aleluia</v>
      </c>
      <c r="F306" s="7">
        <v>2</v>
      </c>
      <c r="G306" s="7" cm="1">
        <f t="array" aca="1" ref="G306" ca="1">INDEX(States!$B:$B,RANDBETWEEN(2,COUNTA(States!$A:$A)),1)</f>
        <v>16</v>
      </c>
      <c r="H306" s="7" t="str">
        <f ca="1">VLOOKUP($D306,Name!$A:$C,3,FALSE)</f>
        <v>F</v>
      </c>
      <c r="I306" s="7" cm="1">
        <f t="array" aca="1" ref="I306" ca="1">INDEX('Marital status'!$A:$A,RANDBETWEEN(2,COUNTA('Marital status'!$A:$A)),1)</f>
        <v>4</v>
      </c>
      <c r="J306" s="7">
        <f t="shared" ca="1" si="51"/>
        <v>2</v>
      </c>
      <c r="K306" s="8">
        <f t="shared" ca="1" si="52"/>
        <v>17562</v>
      </c>
      <c r="L306" s="6">
        <f t="shared" ca="1" si="53"/>
        <v>4</v>
      </c>
      <c r="M306" s="7">
        <f ca="1" xml:space="preserve">
  IF(OR($N306 = 2, $N306 = 3, $N306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306" s="6">
        <f t="shared" ca="1" si="54"/>
        <v>6</v>
      </c>
      <c r="O306" s="6" t="e">
        <f t="shared" ca="1" si="55"/>
        <v>#N/A</v>
      </c>
      <c r="P306" s="8">
        <f t="shared" ca="1" si="56"/>
        <v>43592</v>
      </c>
      <c r="Q306" s="6">
        <f ca="1">RANDBETWEEN(2,COUNTA('Recruitment source'!$A:$A))</f>
        <v>2</v>
      </c>
      <c r="R306" s="8" t="e">
        <f t="shared" ca="1" si="57"/>
        <v>#N/A</v>
      </c>
      <c r="S306" s="6" t="e">
        <f t="shared" ca="1" si="58"/>
        <v>#N/A</v>
      </c>
      <c r="T306" s="6">
        <f t="shared" ca="1" si="48"/>
        <v>2</v>
      </c>
      <c r="U306" s="1">
        <f t="shared" ca="1" si="59"/>
        <v>885</v>
      </c>
    </row>
    <row r="307" spans="1:21" x14ac:dyDescent="0.2">
      <c r="A307" s="7" cm="1">
        <f t="array" aca="1" ref="A307" ca="1">INDEX(Companies!$A:$A,RANDBETWEEN(2,COUNTA(Companies!$A:$A)),1)</f>
        <v>2</v>
      </c>
      <c r="B307" s="5">
        <f t="shared" si="49"/>
        <v>306</v>
      </c>
      <c r="C307" s="6">
        <f t="shared" ca="1" si="50"/>
        <v>1</v>
      </c>
      <c r="D307" s="7">
        <f ca="1">IF($B307 = 1 + N("Presidente"),
    127,
    IF($B307 = 2 + N("Vice-Presidente"),
        72,
        IF($B307 = 3 + N("Secretária bilíngue"),
            13,
            RANDBETWEEN(5,COUNT(Name!$A:$A) + 1)
        )
    )
)</f>
        <v>362</v>
      </c>
      <c r="E307" s="7" t="str">
        <f ca="1" xml:space="preserve">
VLOOKUP(
  $D307,
  Name!$A:$B,
  2,
  FALSE
)
&amp; " " &amp;
IF($B307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Wilian Negreiros Batista</v>
      </c>
      <c r="F307" s="7">
        <v>2</v>
      </c>
      <c r="G307" s="7" cm="1">
        <f t="array" aca="1" ref="G307" ca="1">INDEX(States!$B:$B,RANDBETWEEN(2,COUNTA(States!$A:$A)),1)</f>
        <v>11</v>
      </c>
      <c r="H307" s="7" t="str">
        <f ca="1">VLOOKUP($D307,Name!$A:$C,3,FALSE)</f>
        <v>M</v>
      </c>
      <c r="I307" s="7" cm="1">
        <f t="array" aca="1" ref="I307" ca="1">INDEX('Marital status'!$A:$A,RANDBETWEEN(2,COUNTA('Marital status'!$A:$A)),1)</f>
        <v>3</v>
      </c>
      <c r="J307" s="7">
        <f t="shared" ca="1" si="51"/>
        <v>2</v>
      </c>
      <c r="K307" s="8">
        <f t="shared" ca="1" si="52"/>
        <v>37007</v>
      </c>
      <c r="L307" s="6">
        <f t="shared" ca="1" si="53"/>
        <v>5</v>
      </c>
      <c r="M307" s="7">
        <f ca="1" xml:space="preserve">
  IF(OR($N307 = 2, $N307 = 3, $N307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307" s="6">
        <f t="shared" ca="1" si="54"/>
        <v>8</v>
      </c>
      <c r="O307" s="6">
        <f t="shared" ca="1" si="55"/>
        <v>3</v>
      </c>
      <c r="P307" s="8">
        <f t="shared" ca="1" si="56"/>
        <v>42541</v>
      </c>
      <c r="Q307" s="6">
        <f ca="1">RANDBETWEEN(2,COUNTA('Recruitment source'!$A:$A))</f>
        <v>7</v>
      </c>
      <c r="R307" s="8" t="e">
        <f t="shared" ca="1" si="57"/>
        <v>#N/A</v>
      </c>
      <c r="S307" s="6" t="e">
        <f t="shared" ca="1" si="58"/>
        <v>#N/A</v>
      </c>
      <c r="T307" s="6">
        <f t="shared" ca="1" si="48"/>
        <v>3</v>
      </c>
      <c r="U307" s="1">
        <f t="shared" ca="1" si="59"/>
        <v>2000</v>
      </c>
    </row>
    <row r="308" spans="1:21" x14ac:dyDescent="0.2">
      <c r="A308" s="7" cm="1">
        <f t="array" aca="1" ref="A308" ca="1">INDEX(Companies!$A:$A,RANDBETWEEN(2,COUNTA(Companies!$A:$A)),1)</f>
        <v>2</v>
      </c>
      <c r="B308" s="5">
        <f t="shared" si="49"/>
        <v>307</v>
      </c>
      <c r="C308" s="6">
        <f t="shared" ca="1" si="50"/>
        <v>1</v>
      </c>
      <c r="D308" s="7">
        <f ca="1">IF($B308 = 1 + N("Presidente"),
    127,
    IF($B308 = 2 + N("Vice-Presidente"),
        72,
        IF($B308 = 3 + N("Secretária bilíngue"),
            13,
            RANDBETWEEN(5,COUNT(Name!$A:$A) + 1)
        )
    )
)</f>
        <v>83</v>
      </c>
      <c r="E308" s="7" t="str">
        <f ca="1" xml:space="preserve">
VLOOKUP(
  $D308,
  Name!$A:$B,
  2,
  FALSE
)
&amp; " " &amp;
IF($B308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Camila Longo Bianchi</v>
      </c>
      <c r="F308" s="7">
        <v>2</v>
      </c>
      <c r="G308" s="7" cm="1">
        <f t="array" aca="1" ref="G308" ca="1">INDEX(States!$B:$B,RANDBETWEEN(2,COUNTA(States!$A:$A)),1)</f>
        <v>5</v>
      </c>
      <c r="H308" s="7" t="str">
        <f ca="1">VLOOKUP($D308,Name!$A:$C,3,FALSE)</f>
        <v>F</v>
      </c>
      <c r="I308" s="7" cm="1">
        <f t="array" aca="1" ref="I308" ca="1">INDEX('Marital status'!$A:$A,RANDBETWEEN(2,COUNTA('Marital status'!$A:$A)),1)</f>
        <v>6</v>
      </c>
      <c r="J308" s="7">
        <f t="shared" ca="1" si="51"/>
        <v>4</v>
      </c>
      <c r="K308" s="8">
        <f t="shared" ca="1" si="52"/>
        <v>31914</v>
      </c>
      <c r="L308" s="6">
        <f t="shared" ca="1" si="53"/>
        <v>4</v>
      </c>
      <c r="M308" s="7">
        <f ca="1" xml:space="preserve">
  IF(OR($N308 = 2, $N308 = 3, $N308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308" s="6">
        <f t="shared" ca="1" si="54"/>
        <v>7</v>
      </c>
      <c r="O308" s="6" t="e">
        <f t="shared" ca="1" si="55"/>
        <v>#N/A</v>
      </c>
      <c r="P308" s="8">
        <f t="shared" ca="1" si="56"/>
        <v>37983</v>
      </c>
      <c r="Q308" s="6">
        <f ca="1">RANDBETWEEN(2,COUNTA('Recruitment source'!$A:$A))</f>
        <v>8</v>
      </c>
      <c r="R308" s="8" t="e">
        <f t="shared" ca="1" si="57"/>
        <v>#N/A</v>
      </c>
      <c r="S308" s="6" t="e">
        <f t="shared" ca="1" si="58"/>
        <v>#N/A</v>
      </c>
      <c r="T308" s="6">
        <f t="shared" ca="1" si="48"/>
        <v>2</v>
      </c>
      <c r="U308" s="1">
        <f t="shared" ca="1" si="59"/>
        <v>1005</v>
      </c>
    </row>
    <row r="309" spans="1:21" x14ac:dyDescent="0.2">
      <c r="A309" s="7" cm="1">
        <f t="array" aca="1" ref="A309" ca="1">INDEX(Companies!$A:$A,RANDBETWEEN(2,COUNTA(Companies!$A:$A)),1)</f>
        <v>2</v>
      </c>
      <c r="B309" s="5">
        <f t="shared" si="49"/>
        <v>308</v>
      </c>
      <c r="C309" s="6">
        <f t="shared" ca="1" si="50"/>
        <v>1</v>
      </c>
      <c r="D309" s="7">
        <f ca="1">IF($B309 = 1 + N("Presidente"),
    127,
    IF($B309 = 2 + N("Vice-Presidente"),
        72,
        IF($B309 = 3 + N("Secretária bilíngue"),
            13,
            RANDBETWEEN(5,COUNT(Name!$A:$A) + 1)
        )
    )
)</f>
        <v>77</v>
      </c>
      <c r="E309" s="7" t="str">
        <f ca="1" xml:space="preserve">
VLOOKUP(
  $D309,
  Name!$A:$B,
  2,
  FALSE
)
&amp; " " &amp;
IF($B309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Bruno Vaz Medeiros</v>
      </c>
      <c r="F309" s="7">
        <v>2</v>
      </c>
      <c r="G309" s="7" cm="1">
        <f t="array" aca="1" ref="G309" ca="1">INDEX(States!$B:$B,RANDBETWEEN(2,COUNTA(States!$A:$A)),1)</f>
        <v>19</v>
      </c>
      <c r="H309" s="7" t="str">
        <f ca="1">VLOOKUP($D309,Name!$A:$C,3,FALSE)</f>
        <v>M</v>
      </c>
      <c r="I309" s="7" cm="1">
        <f t="array" aca="1" ref="I309" ca="1">INDEX('Marital status'!$A:$A,RANDBETWEEN(2,COUNTA('Marital status'!$A:$A)),1)</f>
        <v>2</v>
      </c>
      <c r="J309" s="7">
        <f t="shared" ca="1" si="51"/>
        <v>2</v>
      </c>
      <c r="K309" s="8">
        <f t="shared" ca="1" si="52"/>
        <v>37209</v>
      </c>
      <c r="L309" s="6">
        <f t="shared" ca="1" si="53"/>
        <v>5</v>
      </c>
      <c r="M309" s="7">
        <f ca="1" xml:space="preserve">
  IF(OR($N309 = 2, $N309 = 3, $N309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309" s="6">
        <f t="shared" ca="1" si="54"/>
        <v>8</v>
      </c>
      <c r="O309" s="6">
        <f t="shared" ca="1" si="55"/>
        <v>4</v>
      </c>
      <c r="P309" s="8">
        <f t="shared" ca="1" si="56"/>
        <v>37125</v>
      </c>
      <c r="Q309" s="6">
        <f ca="1">RANDBETWEEN(2,COUNTA('Recruitment source'!$A:$A))</f>
        <v>4</v>
      </c>
      <c r="R309" s="8" t="e">
        <f t="shared" ca="1" si="57"/>
        <v>#N/A</v>
      </c>
      <c r="S309" s="6" t="e">
        <f t="shared" ca="1" si="58"/>
        <v>#N/A</v>
      </c>
      <c r="T309" s="6">
        <f t="shared" ca="1" si="48"/>
        <v>3</v>
      </c>
      <c r="U309" s="1">
        <f t="shared" ca="1" si="59"/>
        <v>2000</v>
      </c>
    </row>
    <row r="310" spans="1:21" x14ac:dyDescent="0.2">
      <c r="A310" s="7" cm="1">
        <f t="array" aca="1" ref="A310" ca="1">INDEX(Companies!$A:$A,RANDBETWEEN(2,COUNTA(Companies!$A:$A)),1)</f>
        <v>2</v>
      </c>
      <c r="B310" s="5">
        <f t="shared" si="49"/>
        <v>309</v>
      </c>
      <c r="C310" s="6">
        <f t="shared" ca="1" si="50"/>
        <v>1</v>
      </c>
      <c r="D310" s="7">
        <f ca="1">IF($B310 = 1 + N("Presidente"),
    127,
    IF($B310 = 2 + N("Vice-Presidente"),
        72,
        IF($B310 = 3 + N("Secretária bilíngue"),
            13,
            RANDBETWEEN(5,COUNT(Name!$A:$A) + 1)
        )
    )
)</f>
        <v>141</v>
      </c>
      <c r="E310" s="7" t="str">
        <f ca="1" xml:space="preserve">
VLOOKUP(
  $D310,
  Name!$A:$B,
  2,
  FALSE
)
&amp; " " &amp;
IF($B310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Filipe Campos Cabral</v>
      </c>
      <c r="F310" s="7">
        <v>2</v>
      </c>
      <c r="G310" s="7" cm="1">
        <f t="array" aca="1" ref="G310" ca="1">INDEX(States!$B:$B,RANDBETWEEN(2,COUNTA(States!$A:$A)),1)</f>
        <v>16</v>
      </c>
      <c r="H310" s="7" t="str">
        <f ca="1">VLOOKUP($D310,Name!$A:$C,3,FALSE)</f>
        <v>M</v>
      </c>
      <c r="I310" s="7" cm="1">
        <f t="array" aca="1" ref="I310" ca="1">INDEX('Marital status'!$A:$A,RANDBETWEEN(2,COUNTA('Marital status'!$A:$A)),1)</f>
        <v>6</v>
      </c>
      <c r="J310" s="7">
        <f t="shared" ca="1" si="51"/>
        <v>2</v>
      </c>
      <c r="K310" s="8">
        <f t="shared" ca="1" si="52"/>
        <v>31700</v>
      </c>
      <c r="L310" s="6">
        <f t="shared" ca="1" si="53"/>
        <v>4</v>
      </c>
      <c r="M310" s="7">
        <f ca="1" xml:space="preserve">
  IF(OR($N310 = 2, $N310 = 3, $N310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310" s="6">
        <f t="shared" ca="1" si="54"/>
        <v>7</v>
      </c>
      <c r="O310" s="6" t="e">
        <f t="shared" ca="1" si="55"/>
        <v>#N/A</v>
      </c>
      <c r="P310" s="8">
        <f t="shared" ca="1" si="56"/>
        <v>42838</v>
      </c>
      <c r="Q310" s="6">
        <f ca="1">RANDBETWEEN(2,COUNTA('Recruitment source'!$A:$A))</f>
        <v>11</v>
      </c>
      <c r="R310" s="8" t="e">
        <f t="shared" ca="1" si="57"/>
        <v>#N/A</v>
      </c>
      <c r="S310" s="6" t="e">
        <f t="shared" ca="1" si="58"/>
        <v>#N/A</v>
      </c>
      <c r="T310" s="6">
        <f t="shared" ca="1" si="48"/>
        <v>5</v>
      </c>
      <c r="U310" s="1">
        <f t="shared" ca="1" si="59"/>
        <v>1005</v>
      </c>
    </row>
    <row r="311" spans="1:21" x14ac:dyDescent="0.2">
      <c r="A311" s="7" cm="1">
        <f t="array" aca="1" ref="A311" ca="1">INDEX(Companies!$A:$A,RANDBETWEEN(2,COUNTA(Companies!$A:$A)),1)</f>
        <v>2</v>
      </c>
      <c r="B311" s="5">
        <f t="shared" si="49"/>
        <v>310</v>
      </c>
      <c r="C311" s="6">
        <f t="shared" ca="1" si="50"/>
        <v>1</v>
      </c>
      <c r="D311" s="7">
        <f ca="1">IF($B311 = 1 + N("Presidente"),
    127,
    IF($B311 = 2 + N("Vice-Presidente"),
        72,
        IF($B311 = 3 + N("Secretária bilíngue"),
            13,
            RANDBETWEEN(5,COUNT(Name!$A:$A) + 1)
        )
    )
)</f>
        <v>25</v>
      </c>
      <c r="E311" s="7" t="str">
        <f ca="1" xml:space="preserve">
VLOOKUP(
  $D311,
  Name!$A:$B,
  2,
  FALSE
)
&amp; " " &amp;
IF($B311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Asvilla Moreira</v>
      </c>
      <c r="F311" s="7">
        <v>2</v>
      </c>
      <c r="G311" s="7" cm="1">
        <f t="array" aca="1" ref="G311" ca="1">INDEX(States!$B:$B,RANDBETWEEN(2,COUNTA(States!$A:$A)),1)</f>
        <v>6</v>
      </c>
      <c r="H311" s="7" t="str">
        <f ca="1">VLOOKUP($D311,Name!$A:$C,3,FALSE)</f>
        <v>F</v>
      </c>
      <c r="I311" s="7" cm="1">
        <f t="array" aca="1" ref="I311" ca="1">INDEX('Marital status'!$A:$A,RANDBETWEEN(2,COUNTA('Marital status'!$A:$A)),1)</f>
        <v>6</v>
      </c>
      <c r="J311" s="7">
        <f t="shared" ca="1" si="51"/>
        <v>2</v>
      </c>
      <c r="K311" s="8">
        <f t="shared" ca="1" si="52"/>
        <v>33036</v>
      </c>
      <c r="L311" s="6">
        <f t="shared" ca="1" si="53"/>
        <v>5</v>
      </c>
      <c r="M311" s="7">
        <f ca="1" xml:space="preserve">
  IF(OR($N311 = 2, $N311 = 3, $N311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311" s="6">
        <f t="shared" ca="1" si="54"/>
        <v>8</v>
      </c>
      <c r="O311" s="6">
        <f t="shared" ca="1" si="55"/>
        <v>2</v>
      </c>
      <c r="P311" s="8">
        <f t="shared" ca="1" si="56"/>
        <v>42723</v>
      </c>
      <c r="Q311" s="6">
        <f ca="1">RANDBETWEEN(2,COUNTA('Recruitment source'!$A:$A))</f>
        <v>4</v>
      </c>
      <c r="R311" s="8" t="e">
        <f t="shared" ca="1" si="57"/>
        <v>#N/A</v>
      </c>
      <c r="S311" s="6" t="e">
        <f t="shared" ca="1" si="58"/>
        <v>#N/A</v>
      </c>
      <c r="T311" s="6">
        <f t="shared" ca="1" si="48"/>
        <v>5</v>
      </c>
      <c r="U311" s="1">
        <f t="shared" ca="1" si="59"/>
        <v>2000</v>
      </c>
    </row>
    <row r="312" spans="1:21" x14ac:dyDescent="0.2">
      <c r="A312" s="7" cm="1">
        <f t="array" aca="1" ref="A312" ca="1">INDEX(Companies!$A:$A,RANDBETWEEN(2,COUNTA(Companies!$A:$A)),1)</f>
        <v>2</v>
      </c>
      <c r="B312" s="5">
        <f t="shared" si="49"/>
        <v>311</v>
      </c>
      <c r="C312" s="6">
        <f t="shared" ca="1" si="50"/>
        <v>1</v>
      </c>
      <c r="D312" s="7">
        <f ca="1">IF($B312 = 1 + N("Presidente"),
    127,
    IF($B312 = 2 + N("Vice-Presidente"),
        72,
        IF($B312 = 3 + N("Secretária bilíngue"),
            13,
            RANDBETWEEN(5,COUNT(Name!$A:$A) + 1)
        )
    )
)</f>
        <v>81</v>
      </c>
      <c r="E312" s="7" t="str">
        <f ca="1" xml:space="preserve">
VLOOKUP(
  $D312,
  Name!$A:$B,
  2,
  FALSE
)
&amp; " " &amp;
IF($B312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Caio Botelho Brasil</v>
      </c>
      <c r="F312" s="7">
        <v>2</v>
      </c>
      <c r="G312" s="7" cm="1">
        <f t="array" aca="1" ref="G312" ca="1">INDEX(States!$B:$B,RANDBETWEEN(2,COUNTA(States!$A:$A)),1)</f>
        <v>2</v>
      </c>
      <c r="H312" s="7" t="str">
        <f ca="1">VLOOKUP($D312,Name!$A:$C,3,FALSE)</f>
        <v>M</v>
      </c>
      <c r="I312" s="7" cm="1">
        <f t="array" aca="1" ref="I312" ca="1">INDEX('Marital status'!$A:$A,RANDBETWEEN(2,COUNTA('Marital status'!$A:$A)),1)</f>
        <v>2</v>
      </c>
      <c r="J312" s="7">
        <f t="shared" ca="1" si="51"/>
        <v>2</v>
      </c>
      <c r="K312" s="8">
        <f t="shared" ca="1" si="52"/>
        <v>31159</v>
      </c>
      <c r="L312" s="6">
        <f t="shared" ca="1" si="53"/>
        <v>4</v>
      </c>
      <c r="M312" s="7">
        <f ca="1" xml:space="preserve">
  IF(OR($N312 = 2, $N312 = 3, $N312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312" s="6">
        <f t="shared" ca="1" si="54"/>
        <v>7</v>
      </c>
      <c r="O312" s="6" t="e">
        <f t="shared" ca="1" si="55"/>
        <v>#N/A</v>
      </c>
      <c r="P312" s="8">
        <f t="shared" ca="1" si="56"/>
        <v>38125</v>
      </c>
      <c r="Q312" s="6">
        <f ca="1">RANDBETWEEN(2,COUNTA('Recruitment source'!$A:$A))</f>
        <v>6</v>
      </c>
      <c r="R312" s="8" t="e">
        <f t="shared" ca="1" si="57"/>
        <v>#N/A</v>
      </c>
      <c r="S312" s="6" t="e">
        <f t="shared" ca="1" si="58"/>
        <v>#N/A</v>
      </c>
      <c r="T312" s="6">
        <f t="shared" ca="1" si="48"/>
        <v>5</v>
      </c>
      <c r="U312" s="1">
        <f t="shared" ca="1" si="59"/>
        <v>1005</v>
      </c>
    </row>
    <row r="313" spans="1:21" x14ac:dyDescent="0.2">
      <c r="A313" s="7" cm="1">
        <f t="array" aca="1" ref="A313" ca="1">INDEX(Companies!$A:$A,RANDBETWEEN(2,COUNTA(Companies!$A:$A)),1)</f>
        <v>2</v>
      </c>
      <c r="B313" s="5">
        <f t="shared" si="49"/>
        <v>312</v>
      </c>
      <c r="C313" s="6">
        <f t="shared" ca="1" si="50"/>
        <v>1</v>
      </c>
      <c r="D313" s="7">
        <f ca="1">IF($B313 = 1 + N("Presidente"),
    127,
    IF($B313 = 2 + N("Vice-Presidente"),
        72,
        IF($B313 = 3 + N("Secretária bilíngue"),
            13,
            RANDBETWEEN(5,COUNT(Name!$A:$A) + 1)
        )
    )
)</f>
        <v>161</v>
      </c>
      <c r="E313" s="7" t="str">
        <f ca="1" xml:space="preserve">
VLOOKUP(
  $D313,
  Name!$A:$B,
  2,
  FALSE
)
&amp; " " &amp;
IF($B313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Heitor Caminha Holanda</v>
      </c>
      <c r="F313" s="7">
        <v>2</v>
      </c>
      <c r="G313" s="7" cm="1">
        <f t="array" aca="1" ref="G313" ca="1">INDEX(States!$B:$B,RANDBETWEEN(2,COUNTA(States!$A:$A)),1)</f>
        <v>9</v>
      </c>
      <c r="H313" s="7" t="str">
        <f ca="1">VLOOKUP($D313,Name!$A:$C,3,FALSE)</f>
        <v>M</v>
      </c>
      <c r="I313" s="7" cm="1">
        <f t="array" aca="1" ref="I313" ca="1">INDEX('Marital status'!$A:$A,RANDBETWEEN(2,COUNTA('Marital status'!$A:$A)),1)</f>
        <v>5</v>
      </c>
      <c r="J313" s="7">
        <f t="shared" ca="1" si="51"/>
        <v>2</v>
      </c>
      <c r="K313" s="8">
        <f t="shared" ca="1" si="52"/>
        <v>32675</v>
      </c>
      <c r="L313" s="6">
        <f t="shared" ca="1" si="53"/>
        <v>4</v>
      </c>
      <c r="M313" s="7">
        <f ca="1" xml:space="preserve">
  IF(OR($N313 = 2, $N313 = 3, $N313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313" s="6">
        <f t="shared" ca="1" si="54"/>
        <v>8</v>
      </c>
      <c r="O313" s="6">
        <f t="shared" ca="1" si="55"/>
        <v>3</v>
      </c>
      <c r="P313" s="8">
        <f t="shared" ca="1" si="56"/>
        <v>39333</v>
      </c>
      <c r="Q313" s="6">
        <f ca="1">RANDBETWEEN(2,COUNTA('Recruitment source'!$A:$A))</f>
        <v>12</v>
      </c>
      <c r="R313" s="8" t="e">
        <f t="shared" ca="1" si="57"/>
        <v>#N/A</v>
      </c>
      <c r="S313" s="6" t="e">
        <f t="shared" ca="1" si="58"/>
        <v>#N/A</v>
      </c>
      <c r="T313" s="6">
        <f t="shared" ca="1" si="48"/>
        <v>5</v>
      </c>
      <c r="U313" s="1">
        <f t="shared" ca="1" si="59"/>
        <v>2000</v>
      </c>
    </row>
    <row r="314" spans="1:21" x14ac:dyDescent="0.2">
      <c r="A314" s="7" cm="1">
        <f t="array" aca="1" ref="A314" ca="1">INDEX(Companies!$A:$A,RANDBETWEEN(2,COUNTA(Companies!$A:$A)),1)</f>
        <v>2</v>
      </c>
      <c r="B314" s="5">
        <f t="shared" si="49"/>
        <v>313</v>
      </c>
      <c r="C314" s="6">
        <f t="shared" ca="1" si="50"/>
        <v>1</v>
      </c>
      <c r="D314" s="7">
        <f ca="1">IF($B314 = 1 + N("Presidente"),
    127,
    IF($B314 = 2 + N("Vice-Presidente"),
        72,
        IF($B314 = 3 + N("Secretária bilíngue"),
            13,
            RANDBETWEEN(5,COUNT(Name!$A:$A) + 1)
        )
    )
)</f>
        <v>251</v>
      </c>
      <c r="E314" s="7" t="str">
        <f ca="1" xml:space="preserve">
VLOOKUP(
  $D314,
  Name!$A:$B,
  2,
  FALSE
)
&amp; " " &amp;
IF($B314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Maitê Barbieri Cândido</v>
      </c>
      <c r="F314" s="7">
        <v>2</v>
      </c>
      <c r="G314" s="7" cm="1">
        <f t="array" aca="1" ref="G314" ca="1">INDEX(States!$B:$B,RANDBETWEEN(2,COUNTA(States!$A:$A)),1)</f>
        <v>17</v>
      </c>
      <c r="H314" s="7" t="str">
        <f ca="1">VLOOKUP($D314,Name!$A:$C,3,FALSE)</f>
        <v>F</v>
      </c>
      <c r="I314" s="7" cm="1">
        <f t="array" aca="1" ref="I314" ca="1">INDEX('Marital status'!$A:$A,RANDBETWEEN(2,COUNTA('Marital status'!$A:$A)),1)</f>
        <v>5</v>
      </c>
      <c r="J314" s="7">
        <f t="shared" ca="1" si="51"/>
        <v>2</v>
      </c>
      <c r="K314" s="8">
        <f t="shared" ca="1" si="52"/>
        <v>30544</v>
      </c>
      <c r="L314" s="6">
        <f t="shared" ca="1" si="53"/>
        <v>4</v>
      </c>
      <c r="M314" s="7">
        <f ca="1" xml:space="preserve">
  IF(OR($N314 = 2, $N314 = 3, $N314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314" s="6">
        <f t="shared" ca="1" si="54"/>
        <v>6</v>
      </c>
      <c r="O314" s="6" t="e">
        <f t="shared" ca="1" si="55"/>
        <v>#N/A</v>
      </c>
      <c r="P314" s="8">
        <f t="shared" ca="1" si="56"/>
        <v>40832</v>
      </c>
      <c r="Q314" s="6">
        <f ca="1">RANDBETWEEN(2,COUNTA('Recruitment source'!$A:$A))</f>
        <v>11</v>
      </c>
      <c r="R314" s="8" t="e">
        <f t="shared" ca="1" si="57"/>
        <v>#N/A</v>
      </c>
      <c r="S314" s="6" t="e">
        <f t="shared" ca="1" si="58"/>
        <v>#N/A</v>
      </c>
      <c r="T314" s="6">
        <f t="shared" ca="1" si="48"/>
        <v>5</v>
      </c>
      <c r="U314" s="1">
        <f t="shared" ca="1" si="59"/>
        <v>805</v>
      </c>
    </row>
    <row r="315" spans="1:21" x14ac:dyDescent="0.2">
      <c r="A315" s="7" cm="1">
        <f t="array" aca="1" ref="A315" ca="1">INDEX(Companies!$A:$A,RANDBETWEEN(2,COUNTA(Companies!$A:$A)),1)</f>
        <v>2</v>
      </c>
      <c r="B315" s="5">
        <f t="shared" si="49"/>
        <v>314</v>
      </c>
      <c r="C315" s="6">
        <f t="shared" ca="1" si="50"/>
        <v>1</v>
      </c>
      <c r="D315" s="7">
        <f ca="1">IF($B315 = 1 + N("Presidente"),
    127,
    IF($B315 = 2 + N("Vice-Presidente"),
        72,
        IF($B315 = 3 + N("Secretária bilíngue"),
            13,
            RANDBETWEEN(5,COUNT(Name!$A:$A) + 1)
        )
    )
)</f>
        <v>308</v>
      </c>
      <c r="E315" s="7" t="str">
        <f ca="1" xml:space="preserve">
VLOOKUP(
  $D315,
  Name!$A:$B,
  2,
  FALSE
)
&amp; " " &amp;
IF($B315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Noah Barbosa Malafaia</v>
      </c>
      <c r="F315" s="7">
        <v>2</v>
      </c>
      <c r="G315" s="7" cm="1">
        <f t="array" aca="1" ref="G315" ca="1">INDEX(States!$B:$B,RANDBETWEEN(2,COUNTA(States!$A:$A)),1)</f>
        <v>18</v>
      </c>
      <c r="H315" s="7" t="str">
        <f ca="1">VLOOKUP($D315,Name!$A:$C,3,FALSE)</f>
        <v>M</v>
      </c>
      <c r="I315" s="7" cm="1">
        <f t="array" aca="1" ref="I315" ca="1">INDEX('Marital status'!$A:$A,RANDBETWEEN(2,COUNTA('Marital status'!$A:$A)),1)</f>
        <v>2</v>
      </c>
      <c r="J315" s="7">
        <f t="shared" ca="1" si="51"/>
        <v>3</v>
      </c>
      <c r="K315" s="8">
        <f t="shared" ca="1" si="52"/>
        <v>37473</v>
      </c>
      <c r="L315" s="6">
        <f t="shared" ca="1" si="53"/>
        <v>5</v>
      </c>
      <c r="M315" s="7">
        <f ca="1" xml:space="preserve">
  IF(OR($N315 = 2, $N315 = 3, $N315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315" s="6">
        <f t="shared" ca="1" si="54"/>
        <v>8</v>
      </c>
      <c r="O315" s="6">
        <f t="shared" ca="1" si="55"/>
        <v>2</v>
      </c>
      <c r="P315" s="8">
        <f t="shared" ca="1" si="56"/>
        <v>36867</v>
      </c>
      <c r="Q315" s="6">
        <f ca="1">RANDBETWEEN(2,COUNTA('Recruitment source'!$A:$A))</f>
        <v>6</v>
      </c>
      <c r="R315" s="8" t="e">
        <f t="shared" ca="1" si="57"/>
        <v>#N/A</v>
      </c>
      <c r="S315" s="6" t="e">
        <f t="shared" ca="1" si="58"/>
        <v>#N/A</v>
      </c>
      <c r="T315" s="6">
        <f t="shared" ca="1" si="48"/>
        <v>5</v>
      </c>
      <c r="U315" s="1">
        <f t="shared" ca="1" si="59"/>
        <v>2000</v>
      </c>
    </row>
    <row r="316" spans="1:21" x14ac:dyDescent="0.2">
      <c r="A316" s="7" cm="1">
        <f t="array" aca="1" ref="A316" ca="1">INDEX(Companies!$A:$A,RANDBETWEEN(2,COUNTA(Companies!$A:$A)),1)</f>
        <v>2</v>
      </c>
      <c r="B316" s="5">
        <f t="shared" si="49"/>
        <v>315</v>
      </c>
      <c r="C316" s="6">
        <f t="shared" ca="1" si="50"/>
        <v>1</v>
      </c>
      <c r="D316" s="7">
        <f ca="1">IF($B316 = 1 + N("Presidente"),
    127,
    IF($B316 = 2 + N("Vice-Presidente"),
        72,
        IF($B316 = 3 + N("Secretária bilíngue"),
            13,
            RANDBETWEEN(5,COUNT(Name!$A:$A) + 1)
        )
    )
)</f>
        <v>55</v>
      </c>
      <c r="E316" s="7" t="str">
        <f ca="1" xml:space="preserve">
VLOOKUP(
  $D316,
  Name!$A:$B,
  2,
  FALSE
)
&amp; " " &amp;
IF($B316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Sousa Barboza</v>
      </c>
      <c r="F316" s="7">
        <v>2</v>
      </c>
      <c r="G316" s="7" cm="1">
        <f t="array" aca="1" ref="G316" ca="1">INDEX(States!$B:$B,RANDBETWEEN(2,COUNTA(States!$A:$A)),1)</f>
        <v>3</v>
      </c>
      <c r="H316" s="7" t="str">
        <f ca="1">VLOOKUP($D316,Name!$A:$C,3,FALSE)</f>
        <v>M</v>
      </c>
      <c r="I316" s="7" cm="1">
        <f t="array" aca="1" ref="I316" ca="1">INDEX('Marital status'!$A:$A,RANDBETWEEN(2,COUNTA('Marital status'!$A:$A)),1)</f>
        <v>3</v>
      </c>
      <c r="J316" s="7">
        <f t="shared" ca="1" si="51"/>
        <v>2</v>
      </c>
      <c r="K316" s="8">
        <f t="shared" ca="1" si="52"/>
        <v>31222</v>
      </c>
      <c r="L316" s="6">
        <f t="shared" ca="1" si="53"/>
        <v>4</v>
      </c>
      <c r="M316" s="7">
        <f ca="1" xml:space="preserve">
  IF(OR($N316 = 2, $N316 = 3, $N316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316" s="6">
        <f t="shared" ca="1" si="54"/>
        <v>7</v>
      </c>
      <c r="O316" s="6" t="e">
        <f t="shared" ca="1" si="55"/>
        <v>#N/A</v>
      </c>
      <c r="P316" s="8">
        <f t="shared" ca="1" si="56"/>
        <v>39403</v>
      </c>
      <c r="Q316" s="6">
        <f ca="1">RANDBETWEEN(2,COUNTA('Recruitment source'!$A:$A))</f>
        <v>9</v>
      </c>
      <c r="R316" s="8" t="e">
        <f t="shared" ca="1" si="57"/>
        <v>#N/A</v>
      </c>
      <c r="S316" s="6" t="e">
        <f t="shared" ca="1" si="58"/>
        <v>#N/A</v>
      </c>
      <c r="T316" s="6">
        <f t="shared" ca="1" si="48"/>
        <v>2</v>
      </c>
      <c r="U316" s="1">
        <f t="shared" ca="1" si="59"/>
        <v>1005</v>
      </c>
    </row>
    <row r="317" spans="1:21" x14ac:dyDescent="0.2">
      <c r="A317" s="7" cm="1">
        <f t="array" aca="1" ref="A317" ca="1">INDEX(Companies!$A:$A,RANDBETWEEN(2,COUNTA(Companies!$A:$A)),1)</f>
        <v>2</v>
      </c>
      <c r="B317" s="5">
        <f t="shared" si="49"/>
        <v>316</v>
      </c>
      <c r="C317" s="6">
        <f t="shared" ca="1" si="50"/>
        <v>1</v>
      </c>
      <c r="D317" s="7">
        <f ca="1">IF($B317 = 1 + N("Presidente"),
    127,
    IF($B317 = 2 + N("Vice-Presidente"),
        72,
        IF($B317 = 3 + N("Secretária bilíngue"),
            13,
            RANDBETWEEN(5,COUNT(Name!$A:$A) + 1)
        )
    )
)</f>
        <v>344</v>
      </c>
      <c r="E317" s="7" t="str">
        <f ca="1" xml:space="preserve">
VLOOKUP(
  $D317,
  Name!$A:$B,
  2,
  FALSE
)
&amp; " " &amp;
IF($B317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Thomas Ramos Furtado</v>
      </c>
      <c r="F317" s="7">
        <v>2</v>
      </c>
      <c r="G317" s="7" cm="1">
        <f t="array" aca="1" ref="G317" ca="1">INDEX(States!$B:$B,RANDBETWEEN(2,COUNTA(States!$A:$A)),1)</f>
        <v>3</v>
      </c>
      <c r="H317" s="7" t="str">
        <f ca="1">VLOOKUP($D317,Name!$A:$C,3,FALSE)</f>
        <v>M</v>
      </c>
      <c r="I317" s="7" cm="1">
        <f t="array" aca="1" ref="I317" ca="1">INDEX('Marital status'!$A:$A,RANDBETWEEN(2,COUNTA('Marital status'!$A:$A)),1)</f>
        <v>4</v>
      </c>
      <c r="J317" s="7">
        <f t="shared" ca="1" si="51"/>
        <v>2</v>
      </c>
      <c r="K317" s="8">
        <f t="shared" ca="1" si="52"/>
        <v>36372</v>
      </c>
      <c r="L317" s="6">
        <f t="shared" ca="1" si="53"/>
        <v>4</v>
      </c>
      <c r="M317" s="7">
        <f ca="1" xml:space="preserve">
  IF(OR($N317 = 2, $N317 = 3, $N317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317" s="6">
        <f t="shared" ca="1" si="54"/>
        <v>8</v>
      </c>
      <c r="O317" s="6">
        <f t="shared" ca="1" si="55"/>
        <v>4</v>
      </c>
      <c r="P317" s="8">
        <f t="shared" ca="1" si="56"/>
        <v>36666</v>
      </c>
      <c r="Q317" s="6">
        <f ca="1">RANDBETWEEN(2,COUNTA('Recruitment source'!$A:$A))</f>
        <v>3</v>
      </c>
      <c r="R317" s="8" t="e">
        <f t="shared" ca="1" si="57"/>
        <v>#N/A</v>
      </c>
      <c r="S317" s="6" t="e">
        <f t="shared" ca="1" si="58"/>
        <v>#N/A</v>
      </c>
      <c r="T317" s="6">
        <f t="shared" ca="1" si="48"/>
        <v>2</v>
      </c>
      <c r="U317" s="1">
        <f t="shared" ca="1" si="59"/>
        <v>2000</v>
      </c>
    </row>
    <row r="318" spans="1:21" x14ac:dyDescent="0.2">
      <c r="A318" s="7" cm="1">
        <f t="array" aca="1" ref="A318" ca="1">INDEX(Companies!$A:$A,RANDBETWEEN(2,COUNTA(Companies!$A:$A)),1)</f>
        <v>2</v>
      </c>
      <c r="B318" s="5">
        <f t="shared" si="49"/>
        <v>317</v>
      </c>
      <c r="C318" s="6">
        <f t="shared" ca="1" si="50"/>
        <v>1</v>
      </c>
      <c r="D318" s="7">
        <f ca="1">IF($B318 = 1 + N("Presidente"),
    127,
    IF($B318 = 2 + N("Vice-Presidente"),
        72,
        IF($B318 = 3 + N("Secretária bilíngue"),
            13,
            RANDBETWEEN(5,COUNT(Name!$A:$A) + 1)
        )
    )
)</f>
        <v>68</v>
      </c>
      <c r="E318" s="7" t="str">
        <f ca="1" xml:space="preserve">
VLOOKUP(
  $D318,
  Name!$A:$B,
  2,
  FALSE
)
&amp; " " &amp;
IF($B318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Benício Castro Costa</v>
      </c>
      <c r="F318" s="7">
        <v>2</v>
      </c>
      <c r="G318" s="7" cm="1">
        <f t="array" aca="1" ref="G318" ca="1">INDEX(States!$B:$B,RANDBETWEEN(2,COUNTA(States!$A:$A)),1)</f>
        <v>9</v>
      </c>
      <c r="H318" s="7" t="str">
        <f ca="1">VLOOKUP($D318,Name!$A:$C,3,FALSE)</f>
        <v>M</v>
      </c>
      <c r="I318" s="7" cm="1">
        <f t="array" aca="1" ref="I318" ca="1">INDEX('Marital status'!$A:$A,RANDBETWEEN(2,COUNTA('Marital status'!$A:$A)),1)</f>
        <v>6</v>
      </c>
      <c r="J318" s="7">
        <f t="shared" ca="1" si="51"/>
        <v>2</v>
      </c>
      <c r="K318" s="8">
        <f t="shared" ca="1" si="52"/>
        <v>35041</v>
      </c>
      <c r="L318" s="6">
        <f t="shared" ca="1" si="53"/>
        <v>4</v>
      </c>
      <c r="M318" s="7">
        <f ca="1" xml:space="preserve">
  IF(OR($N318 = 2, $N318 = 3, $N318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318" s="6">
        <f t="shared" ca="1" si="54"/>
        <v>7</v>
      </c>
      <c r="O318" s="6" t="e">
        <f t="shared" ca="1" si="55"/>
        <v>#N/A</v>
      </c>
      <c r="P318" s="8">
        <f t="shared" ca="1" si="56"/>
        <v>43740</v>
      </c>
      <c r="Q318" s="6">
        <f ca="1">RANDBETWEEN(2,COUNTA('Recruitment source'!$A:$A))</f>
        <v>11</v>
      </c>
      <c r="R318" s="8" t="e">
        <f t="shared" ca="1" si="57"/>
        <v>#N/A</v>
      </c>
      <c r="S318" s="6" t="e">
        <f t="shared" ca="1" si="58"/>
        <v>#N/A</v>
      </c>
      <c r="T318" s="6">
        <f t="shared" ca="1" si="48"/>
        <v>2</v>
      </c>
      <c r="U318" s="1">
        <f t="shared" ca="1" si="59"/>
        <v>1005</v>
      </c>
    </row>
    <row r="319" spans="1:21" x14ac:dyDescent="0.2">
      <c r="A319" s="7" cm="1">
        <f t="array" aca="1" ref="A319" ca="1">INDEX(Companies!$A:$A,RANDBETWEEN(2,COUNTA(Companies!$A:$A)),1)</f>
        <v>2</v>
      </c>
      <c r="B319" s="5">
        <f t="shared" si="49"/>
        <v>318</v>
      </c>
      <c r="C319" s="6">
        <f t="shared" ca="1" si="50"/>
        <v>1</v>
      </c>
      <c r="D319" s="7">
        <f ca="1">IF($B319 = 1 + N("Presidente"),
    127,
    IF($B319 = 2 + N("Vice-Presidente"),
        72,
        IF($B319 = 3 + N("Secretária bilíngue"),
            13,
            RANDBETWEEN(5,COUNT(Name!$A:$A) + 1)
        )
    )
)</f>
        <v>313</v>
      </c>
      <c r="E319" s="7" t="str">
        <f ca="1" xml:space="preserve">
VLOOKUP(
  $D319,
  Name!$A:$B,
  2,
  FALSE
)
&amp; " " &amp;
IF($B319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Pablo Anunciação Gomes</v>
      </c>
      <c r="F319" s="7">
        <v>2</v>
      </c>
      <c r="G319" s="7" cm="1">
        <f t="array" aca="1" ref="G319" ca="1">INDEX(States!$B:$B,RANDBETWEEN(2,COUNTA(States!$A:$A)),1)</f>
        <v>11</v>
      </c>
      <c r="H319" s="7" t="str">
        <f ca="1">VLOOKUP($D319,Name!$A:$C,3,FALSE)</f>
        <v>M</v>
      </c>
      <c r="I319" s="7" cm="1">
        <f t="array" aca="1" ref="I319" ca="1">INDEX('Marital status'!$A:$A,RANDBETWEEN(2,COUNTA('Marital status'!$A:$A)),1)</f>
        <v>2</v>
      </c>
      <c r="J319" s="7">
        <f t="shared" ca="1" si="51"/>
        <v>4</v>
      </c>
      <c r="K319" s="8">
        <f t="shared" ca="1" si="52"/>
        <v>37759</v>
      </c>
      <c r="L319" s="6">
        <f t="shared" ca="1" si="53"/>
        <v>5</v>
      </c>
      <c r="M319" s="7">
        <f ca="1" xml:space="preserve">
  IF(OR($N319 = 2, $N319 = 3, $N319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319" s="6">
        <f t="shared" ca="1" si="54"/>
        <v>8</v>
      </c>
      <c r="O319" s="6">
        <f t="shared" ca="1" si="55"/>
        <v>3</v>
      </c>
      <c r="P319" s="8">
        <f t="shared" ca="1" si="56"/>
        <v>38706</v>
      </c>
      <c r="Q319" s="6">
        <f ca="1">RANDBETWEEN(2,COUNTA('Recruitment source'!$A:$A))</f>
        <v>12</v>
      </c>
      <c r="R319" s="8" t="e">
        <f t="shared" ca="1" si="57"/>
        <v>#N/A</v>
      </c>
      <c r="S319" s="6" t="e">
        <f t="shared" ca="1" si="58"/>
        <v>#N/A</v>
      </c>
      <c r="T319" s="6">
        <f t="shared" ca="1" si="48"/>
        <v>3</v>
      </c>
      <c r="U319" s="1">
        <f t="shared" ca="1" si="59"/>
        <v>2000</v>
      </c>
    </row>
    <row r="320" spans="1:21" x14ac:dyDescent="0.2">
      <c r="A320" s="7" cm="1">
        <f t="array" aca="1" ref="A320" ca="1">INDEX(Companies!$A:$A,RANDBETWEEN(2,COUNTA(Companies!$A:$A)),1)</f>
        <v>2</v>
      </c>
      <c r="B320" s="5">
        <f t="shared" si="49"/>
        <v>319</v>
      </c>
      <c r="C320" s="6">
        <f t="shared" ca="1" si="50"/>
        <v>1</v>
      </c>
      <c r="D320" s="7">
        <f ca="1">IF($B320 = 1 + N("Presidente"),
    127,
    IF($B320 = 2 + N("Vice-Presidente"),
        72,
        IF($B320 = 3 + N("Secretária bilíngue"),
            13,
            RANDBETWEEN(5,COUNT(Name!$A:$A) + 1)
        )
    )
)</f>
        <v>79</v>
      </c>
      <c r="E320" s="7" t="str">
        <f ca="1" xml:space="preserve">
VLOOKUP(
  $D320,
  Name!$A:$B,
  2,
  FALSE
)
&amp; " " &amp;
IF($B320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Byanca Ferrari Badu</v>
      </c>
      <c r="F320" s="7">
        <v>2</v>
      </c>
      <c r="G320" s="7" cm="1">
        <f t="array" aca="1" ref="G320" ca="1">INDEX(States!$B:$B,RANDBETWEEN(2,COUNTA(States!$A:$A)),1)</f>
        <v>13</v>
      </c>
      <c r="H320" s="7" t="str">
        <f ca="1">VLOOKUP($D320,Name!$A:$C,3,FALSE)</f>
        <v>F</v>
      </c>
      <c r="I320" s="7" cm="1">
        <f t="array" aca="1" ref="I320" ca="1">INDEX('Marital status'!$A:$A,RANDBETWEEN(2,COUNTA('Marital status'!$A:$A)),1)</f>
        <v>4</v>
      </c>
      <c r="J320" s="7">
        <f t="shared" ca="1" si="51"/>
        <v>2</v>
      </c>
      <c r="K320" s="8">
        <f t="shared" ca="1" si="52"/>
        <v>30570</v>
      </c>
      <c r="L320" s="6">
        <f t="shared" ca="1" si="53"/>
        <v>4</v>
      </c>
      <c r="M320" s="7">
        <f ca="1" xml:space="preserve">
  IF(OR($N320 = 2, $N320 = 3, $N320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320" s="6">
        <f t="shared" ca="1" si="54"/>
        <v>7</v>
      </c>
      <c r="O320" s="6" t="e">
        <f t="shared" ca="1" si="55"/>
        <v>#N/A</v>
      </c>
      <c r="P320" s="8">
        <f t="shared" ca="1" si="56"/>
        <v>42745</v>
      </c>
      <c r="Q320" s="6">
        <f ca="1">RANDBETWEEN(2,COUNTA('Recruitment source'!$A:$A))</f>
        <v>10</v>
      </c>
      <c r="R320" s="8" t="e">
        <f t="shared" ca="1" si="57"/>
        <v>#N/A</v>
      </c>
      <c r="S320" s="6" t="e">
        <f t="shared" ca="1" si="58"/>
        <v>#N/A</v>
      </c>
      <c r="T320" s="6">
        <f t="shared" ca="1" si="48"/>
        <v>3</v>
      </c>
      <c r="U320" s="1">
        <f t="shared" ca="1" si="59"/>
        <v>1005</v>
      </c>
    </row>
    <row r="321" spans="1:21" x14ac:dyDescent="0.2">
      <c r="A321" s="7" cm="1">
        <f t="array" aca="1" ref="A321" ca="1">INDEX(Companies!$A:$A,RANDBETWEEN(2,COUNTA(Companies!$A:$A)),1)</f>
        <v>2</v>
      </c>
      <c r="B321" s="5">
        <f t="shared" si="49"/>
        <v>320</v>
      </c>
      <c r="C321" s="6">
        <f t="shared" ca="1" si="50"/>
        <v>1</v>
      </c>
      <c r="D321" s="7">
        <f ca="1">IF($B321 = 1 + N("Presidente"),
    127,
    IF($B321 = 2 + N("Vice-Presidente"),
        72,
        IF($B321 = 3 + N("Secretária bilíngue"),
            13,
            RANDBETWEEN(5,COUNT(Name!$A:$A) + 1)
        )
    )
)</f>
        <v>282</v>
      </c>
      <c r="E321" s="7" t="str">
        <f ca="1" xml:space="preserve">
VLOOKUP(
  $D321,
  Name!$A:$B,
  2,
  FALSE
)
&amp; " " &amp;
IF($B321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Marinah Sousa Azeredo</v>
      </c>
      <c r="F321" s="7">
        <v>2</v>
      </c>
      <c r="G321" s="7" cm="1">
        <f t="array" aca="1" ref="G321" ca="1">INDEX(States!$B:$B,RANDBETWEEN(2,COUNTA(States!$A:$A)),1)</f>
        <v>7</v>
      </c>
      <c r="H321" s="7" t="str">
        <f ca="1">VLOOKUP($D321,Name!$A:$C,3,FALSE)</f>
        <v>F</v>
      </c>
      <c r="I321" s="7" cm="1">
        <f t="array" aca="1" ref="I321" ca="1">INDEX('Marital status'!$A:$A,RANDBETWEEN(2,COUNTA('Marital status'!$A:$A)),1)</f>
        <v>6</v>
      </c>
      <c r="J321" s="7">
        <f t="shared" ca="1" si="51"/>
        <v>2</v>
      </c>
      <c r="K321" s="8">
        <f t="shared" ca="1" si="52"/>
        <v>32571</v>
      </c>
      <c r="L321" s="6">
        <f t="shared" ca="1" si="53"/>
        <v>4</v>
      </c>
      <c r="M321" s="7">
        <f ca="1" xml:space="preserve">
  IF(OR($N321 = 2, $N321 = 3, $N321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321" s="6">
        <f t="shared" ca="1" si="54"/>
        <v>8</v>
      </c>
      <c r="O321" s="6">
        <f t="shared" ca="1" si="55"/>
        <v>3</v>
      </c>
      <c r="P321" s="8">
        <f t="shared" ca="1" si="56"/>
        <v>42583</v>
      </c>
      <c r="Q321" s="6">
        <f ca="1">RANDBETWEEN(2,COUNTA('Recruitment source'!$A:$A))</f>
        <v>11</v>
      </c>
      <c r="R321" s="8" t="e">
        <f t="shared" ca="1" si="57"/>
        <v>#N/A</v>
      </c>
      <c r="S321" s="6" t="e">
        <f t="shared" ca="1" si="58"/>
        <v>#N/A</v>
      </c>
      <c r="T321" s="6">
        <f t="shared" ca="1" si="48"/>
        <v>2</v>
      </c>
      <c r="U321" s="1">
        <f t="shared" ca="1" si="59"/>
        <v>2080</v>
      </c>
    </row>
    <row r="322" spans="1:21" x14ac:dyDescent="0.2">
      <c r="A322" s="7" cm="1">
        <f t="array" aca="1" ref="A322" ca="1">INDEX(Companies!$A:$A,RANDBETWEEN(2,COUNTA(Companies!$A:$A)),1)</f>
        <v>2</v>
      </c>
      <c r="B322" s="5">
        <f t="shared" si="49"/>
        <v>321</v>
      </c>
      <c r="C322" s="6">
        <f t="shared" ca="1" si="50"/>
        <v>1</v>
      </c>
      <c r="D322" s="7">
        <f ca="1">IF($B322 = 1 + N("Presidente"),
    127,
    IF($B322 = 2 + N("Vice-Presidente"),
        72,
        IF($B322 = 3 + N("Secretária bilíngue"),
            13,
            RANDBETWEEN(5,COUNT(Name!$A:$A) + 1)
        )
    )
)</f>
        <v>320</v>
      </c>
      <c r="E322" s="7" t="str">
        <f ca="1" xml:space="preserve">
VLOOKUP(
  $D322,
  Name!$A:$B,
  2,
  FALSE
)
&amp; " " &amp;
IF($B322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Péricles Reis Garcia</v>
      </c>
      <c r="F322" s="7">
        <v>2</v>
      </c>
      <c r="G322" s="7" cm="1">
        <f t="array" aca="1" ref="G322" ca="1">INDEX(States!$B:$B,RANDBETWEEN(2,COUNTA(States!$A:$A)),1)</f>
        <v>13</v>
      </c>
      <c r="H322" s="7" t="str">
        <f ca="1">VLOOKUP($D322,Name!$A:$C,3,FALSE)</f>
        <v>M</v>
      </c>
      <c r="I322" s="7" cm="1">
        <f t="array" aca="1" ref="I322" ca="1">INDEX('Marital status'!$A:$A,RANDBETWEEN(2,COUNTA('Marital status'!$A:$A)),1)</f>
        <v>5</v>
      </c>
      <c r="J322" s="7">
        <f t="shared" ca="1" si="51"/>
        <v>3</v>
      </c>
      <c r="K322" s="8">
        <f t="shared" ca="1" si="52"/>
        <v>21271</v>
      </c>
      <c r="L322" s="6">
        <f t="shared" ca="1" si="53"/>
        <v>4</v>
      </c>
      <c r="M322" s="7">
        <f ca="1" xml:space="preserve">
  IF(OR($N322 = 2, $N322 = 3, $N322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322" s="6">
        <f t="shared" ca="1" si="54"/>
        <v>6</v>
      </c>
      <c r="O322" s="6" t="e">
        <f t="shared" ca="1" si="55"/>
        <v>#N/A</v>
      </c>
      <c r="P322" s="8">
        <f t="shared" ca="1" si="56"/>
        <v>40790</v>
      </c>
      <c r="Q322" s="6">
        <f ca="1">RANDBETWEEN(2,COUNTA('Recruitment source'!$A:$A))</f>
        <v>8</v>
      </c>
      <c r="R322" s="8" t="e">
        <f t="shared" ca="1" si="57"/>
        <v>#N/A</v>
      </c>
      <c r="S322" s="6" t="e">
        <f t="shared" ca="1" si="58"/>
        <v>#N/A</v>
      </c>
      <c r="T322" s="6">
        <f t="shared" ref="T322:T385" ca="1" si="60" xml:space="preserve">
IF(
 ISNA($R322),
 IF(
   $N322 = 2,
   5,
   IF(
     OR($N322=3,$N322=4,$N322=5),
     RANDBETWEEN(4,5),
     IF(
       OR($N322=11,$N322=12),
       RANDBETWEEN(3,5),
       RANDBETWEEN(2,5)
     )
   )
 ),
 RANDBETWEEN(1,3)
)</f>
        <v>3</v>
      </c>
      <c r="U322" s="1">
        <f t="shared" ca="1" si="59"/>
        <v>805</v>
      </c>
    </row>
    <row r="323" spans="1:21" x14ac:dyDescent="0.2">
      <c r="A323" s="7" cm="1">
        <f t="array" aca="1" ref="A323" ca="1">INDEX(Companies!$A:$A,RANDBETWEEN(2,COUNTA(Companies!$A:$A)),1)</f>
        <v>2</v>
      </c>
      <c r="B323" s="5">
        <f t="shared" ref="B323:B386" si="61">ROW() - 1</f>
        <v>322</v>
      </c>
      <c r="C323" s="6">
        <f t="shared" ref="C323:C386" ca="1" si="62">IF(ISNA($R323),1,0)</f>
        <v>1</v>
      </c>
      <c r="D323" s="7">
        <f ca="1">IF($B323 = 1 + N("Presidente"),
    127,
    IF($B323 = 2 + N("Vice-Presidente"),
        72,
        IF($B323 = 3 + N("Secretária bilíngue"),
            13,
            RANDBETWEEN(5,COUNT(Name!$A:$A) + 1)
        )
    )
)</f>
        <v>114</v>
      </c>
      <c r="E323" s="7" t="str">
        <f ca="1" xml:space="preserve">
VLOOKUP(
  $D323,
  Name!$A:$B,
  2,
  FALSE
)
&amp; " " &amp;
IF($B323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Domingos Ricci Oliveira</v>
      </c>
      <c r="F323" s="7">
        <v>2</v>
      </c>
      <c r="G323" s="7" cm="1">
        <f t="array" aca="1" ref="G323" ca="1">INDEX(States!$B:$B,RANDBETWEEN(2,COUNTA(States!$A:$A)),1)</f>
        <v>14</v>
      </c>
      <c r="H323" s="7" t="str">
        <f ca="1">VLOOKUP($D323,Name!$A:$C,3,FALSE)</f>
        <v>M</v>
      </c>
      <c r="I323" s="7" cm="1">
        <f t="array" aca="1" ref="I323" ca="1">INDEX('Marital status'!$A:$A,RANDBETWEEN(2,COUNTA('Marital status'!$A:$A)),1)</f>
        <v>5</v>
      </c>
      <c r="J323" s="7">
        <f t="shared" ref="J323:J386" ca="1" si="63" xml:space="preserve">
IF(AND($N323 &gt;= 2, $N323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5</v>
      </c>
      <c r="K323" s="8">
        <f t="shared" ref="K323:K386" ca="1" si="64" xml:space="preserve">
IF($N323 = 5 + N("CEO"),
    TODAY() - 16340,
    IF($N323 = 8 + N("Secretary"),
        RANDBETWEEN(TODAY() - 12418.5, TODAY()-6574.5),
        IF(OR($N323 = 7, $N323 = 14),
            RANDBETWEEN(TODAY() - 16071, TODAY() - 8766),
            IF(OR($N323 = 13, $N323 = 12, $N323 = 11),
                RANDBETWEEN(TODAY() - 27393.75, TODAY() - 12783.75),
                RANDBETWEEN(TODAY() - 27393.75, TODAY()-10957.5)
            )
        )
    )
)</f>
        <v>34644</v>
      </c>
      <c r="L323" s="6">
        <f t="shared" ref="L323:L386" ca="1" si="65" xml:space="preserve">
IF(OR($N323 = 2, $N323 = 3) + N("Se for presidente ou vice-presidente"),
    7 + N("Doutor"),
    IF($N323 = 4 + N("Se for diretor"),
        RANDBETWEEN(5,7) + N("Graduate school or Master’s degree or Doctorate"),
        IF($N323 = 11 + N("Se for gerente"),
            RANDBETWEEN(4,6) + N("Undergraduate degree or Graduate school or Master’s degree"),
            IF(AND($N323 &gt;= 8, $N323 &lt;= 10) + N("If coordinator or specialist or analyst"),
                RANDBETWEEN(4,5),
                4
            )
        )
    )
)</f>
        <v>4</v>
      </c>
      <c r="M323" s="7">
        <f ca="1" xml:space="preserve">
  IF(OR($N323 = 2, $N323 = 3, $N323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323" s="6">
        <f t="shared" ref="N323:N386" ca="1" si="66" xml:space="preserve">
IF($B323 = 1 + N("Se matrícula for 1"),
  2 + N("Presidente"),
  IF($B323 = 2 + N("Se matrícula for 2"),
    3 + N("Vice-presidente"),
    IF($B323 = 3 + N("Se matrícula for 3"),
      5 + N("Secretária bilíngue"),
      IF(AND($B323 &gt;= 4, $B323 &lt;=14),
        4 + N("Diretor"),
        IF(AND($B323 &gt;= 15, $B323 &lt;= 25),
          11 + N("Manager"),
          IF(AND($B323 &gt;= 26, $B323 &lt;= 36),
            10 + N("Coordinador"),
            IF(AND($B323 &gt;= 37, $B323 &lt;= 47),
              9 + N("Especialista"),
                IF(MOD($B323,2) = 0,
                  8 + N("Analista"),
                  RANDBETWEEN(6,7) + N("Estagiário ou Trainee")
                )
            )
          )
        )
      )
    )
  )
)</f>
        <v>8</v>
      </c>
      <c r="O323" s="6">
        <f t="shared" ref="O323:O386" ca="1" si="67" xml:space="preserve">
IF($N323 =8 + N("Analyst"),
    RANDBETWEEN(2, 4) + N("Jr, Pleno, Sr"),
    NA()
)</f>
        <v>3</v>
      </c>
      <c r="P323" s="8">
        <f t="shared" ref="P323:P386" ca="1" si="68" xml:space="preserve">
IF(
   $N323=2 + N("Presidente"),
   36161,
   IF(
       OR(
         $N323=3 + N("Vice-Presidente"),
         $N323=4 + N("Diretor"),
         $N323=5 + N("Secretária bilíngue")
       ),
       RANDBETWEEN(36161,36411),
       IF(
         ((TODAY() - $K323) / 365) &lt; 19,
         TODAY(),
         RANDBETWEEN(36161,TODAY())
       )
   )
)</f>
        <v>38476</v>
      </c>
      <c r="Q323" s="6">
        <f ca="1">RANDBETWEEN(2,COUNTA('Recruitment source'!$A:$A))</f>
        <v>6</v>
      </c>
      <c r="R323" s="8" t="e">
        <f t="shared" ref="R323:R386" ca="1" si="69" xml:space="preserve">
IF(MOD(
     ROW(),111
   )=0,
   RANDBETWEEN($P323 + 1,TODAY() - 1),NA()
)</f>
        <v>#N/A</v>
      </c>
      <c r="S323" s="6" t="e">
        <f t="shared" ref="S323:S386" ca="1" si="70" xml:space="preserve">
IF(
  ISNA(R323),
  NA(),
  RANDBETWEEN(2,IF($H323="F",10,9))
)</f>
        <v>#N/A</v>
      </c>
      <c r="T323" s="6">
        <f t="shared" ca="1" si="60"/>
        <v>5</v>
      </c>
      <c r="U323" s="1">
        <f t="shared" ref="U323:U386" ca="1" si="71" xml:space="preserve">
IF($N323 = 2 + N("Presidente"),
    25000,
    IF($N323 = 3 + N("Vice-presidente"),
        23000,
        IF(OR($N323 = 5, $N323= 10, $N323 = 9) + N("Secretária bilíngue ou coordenador ou especialista"),
            8000,
            IF($N323 = 4 + N("Diretor"),
                15000,
                IF($N323 = 11 + N("Gerente"),
                    12000,
                    IF($N323 = 6 + N("Estagiário"),
                        805,
                        IF($N323 = 7 + N("Trainee"),
                            1005,
                            IF($N323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IF($L323 = 7,
  100,
  IF($L323 = 8,
    200,
    IF($L323 = 9,
      300,
      IF($L323 = 10,
        400,
        0
      )
    )
  )
)
+
N("Adicional no salário por área")
+
IF($M323 = 14 + N("Tecnologia da Informação"),
  120,
  IF($M323 = 16 + N("Vendas"),
    110,
    IF($M323 = 15 + N("Jurídico"),
      100,
      IF(OR($M323 = 8, $M323 = 9, $M323 = 11) + N("Recursos humanos ou comercial ou comunicação e marketing"),
        80,
        0
      )
    )
  )
)
+
N("Adicionando pegadinha")
+
IF(AND($M323 = 13, $N323 = 8) + N("Se for de vendas e analista"),
  IF($J323 = 2,
    50,
    0
  )
  +
  IF($H323 = "M",
    50,
    0
  ),
  0
)</f>
        <v>2000</v>
      </c>
    </row>
    <row r="324" spans="1:21" x14ac:dyDescent="0.2">
      <c r="A324" s="7" cm="1">
        <f t="array" aca="1" ref="A324" ca="1">INDEX(Companies!$A:$A,RANDBETWEEN(2,COUNTA(Companies!$A:$A)),1)</f>
        <v>2</v>
      </c>
      <c r="B324" s="5">
        <f t="shared" si="61"/>
        <v>323</v>
      </c>
      <c r="C324" s="6">
        <f t="shared" ca="1" si="62"/>
        <v>1</v>
      </c>
      <c r="D324" s="7">
        <f ca="1">IF($B324 = 1 + N("Presidente"),
    127,
    IF($B324 = 2 + N("Vice-Presidente"),
        72,
        IF($B324 = 3 + N("Secretária bilíngue"),
            13,
            RANDBETWEEN(5,COUNT(Name!$A:$A) + 1)
        )
    )
)</f>
        <v>51</v>
      </c>
      <c r="E324" s="7" t="str">
        <f ca="1" xml:space="preserve">
VLOOKUP(
  $D324,
  Name!$A:$B,
  2,
  FALSE
)
&amp; " " &amp;
IF($B324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Antônia Padrão Lombardi</v>
      </c>
      <c r="F324" s="7">
        <v>2</v>
      </c>
      <c r="G324" s="7" cm="1">
        <f t="array" aca="1" ref="G324" ca="1">INDEX(States!$B:$B,RANDBETWEEN(2,COUNTA(States!$A:$A)),1)</f>
        <v>13</v>
      </c>
      <c r="H324" s="7" t="str">
        <f ca="1">VLOOKUP($D324,Name!$A:$C,3,FALSE)</f>
        <v>F</v>
      </c>
      <c r="I324" s="7" cm="1">
        <f t="array" aca="1" ref="I324" ca="1">INDEX('Marital status'!$A:$A,RANDBETWEEN(2,COUNTA('Marital status'!$A:$A)),1)</f>
        <v>6</v>
      </c>
      <c r="J324" s="7">
        <f t="shared" ca="1" si="63"/>
        <v>2</v>
      </c>
      <c r="K324" s="8">
        <f t="shared" ca="1" si="64"/>
        <v>22215</v>
      </c>
      <c r="L324" s="6">
        <f t="shared" ca="1" si="65"/>
        <v>4</v>
      </c>
      <c r="M324" s="7">
        <f ca="1" xml:space="preserve">
  IF(OR($N324 = 2, $N324 = 3, $N324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324" s="6">
        <f t="shared" ca="1" si="66"/>
        <v>6</v>
      </c>
      <c r="O324" s="6" t="e">
        <f t="shared" ca="1" si="67"/>
        <v>#N/A</v>
      </c>
      <c r="P324" s="8">
        <f t="shared" ca="1" si="68"/>
        <v>43450</v>
      </c>
      <c r="Q324" s="6">
        <f ca="1">RANDBETWEEN(2,COUNTA('Recruitment source'!$A:$A))</f>
        <v>11</v>
      </c>
      <c r="R324" s="8" t="e">
        <f t="shared" ca="1" si="69"/>
        <v>#N/A</v>
      </c>
      <c r="S324" s="6" t="e">
        <f t="shared" ca="1" si="70"/>
        <v>#N/A</v>
      </c>
      <c r="T324" s="6">
        <f t="shared" ca="1" si="60"/>
        <v>4</v>
      </c>
      <c r="U324" s="1">
        <f t="shared" ca="1" si="71"/>
        <v>805</v>
      </c>
    </row>
    <row r="325" spans="1:21" x14ac:dyDescent="0.2">
      <c r="A325" s="7" cm="1">
        <f t="array" aca="1" ref="A325" ca="1">INDEX(Companies!$A:$A,RANDBETWEEN(2,COUNTA(Companies!$A:$A)),1)</f>
        <v>2</v>
      </c>
      <c r="B325" s="5">
        <f t="shared" si="61"/>
        <v>324</v>
      </c>
      <c r="C325" s="6">
        <f t="shared" ca="1" si="62"/>
        <v>1</v>
      </c>
      <c r="D325" s="7">
        <f ca="1">IF($B325 = 1 + N("Presidente"),
    127,
    IF($B325 = 2 + N("Vice-Presidente"),
        72,
        IF($B325 = 3 + N("Secretária bilíngue"),
            13,
            RANDBETWEEN(5,COUNT(Name!$A:$A) + 1)
        )
    )
)</f>
        <v>47</v>
      </c>
      <c r="E325" s="7" t="str">
        <f ca="1" xml:space="preserve">
VLOOKUP(
  $D325,
  Name!$A:$B,
  2,
  FALSE
)
&amp; " " &amp;
IF($B325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Anne Caroline Vaz Carneiro</v>
      </c>
      <c r="F325" s="7">
        <v>2</v>
      </c>
      <c r="G325" s="7" cm="1">
        <f t="array" aca="1" ref="G325" ca="1">INDEX(States!$B:$B,RANDBETWEEN(2,COUNTA(States!$A:$A)),1)</f>
        <v>13</v>
      </c>
      <c r="H325" s="7" t="str">
        <f ca="1">VLOOKUP($D325,Name!$A:$C,3,FALSE)</f>
        <v>F</v>
      </c>
      <c r="I325" s="7" cm="1">
        <f t="array" aca="1" ref="I325" ca="1">INDEX('Marital status'!$A:$A,RANDBETWEEN(2,COUNTA('Marital status'!$A:$A)),1)</f>
        <v>5</v>
      </c>
      <c r="J325" s="7">
        <f t="shared" ca="1" si="63"/>
        <v>2</v>
      </c>
      <c r="K325" s="8">
        <f t="shared" ca="1" si="64"/>
        <v>36604</v>
      </c>
      <c r="L325" s="6">
        <f t="shared" ca="1" si="65"/>
        <v>5</v>
      </c>
      <c r="M325" s="7">
        <f ca="1" xml:space="preserve">
  IF(OR($N325 = 2, $N325 = 3, $N325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325" s="6">
        <f t="shared" ca="1" si="66"/>
        <v>8</v>
      </c>
      <c r="O325" s="6">
        <f t="shared" ca="1" si="67"/>
        <v>4</v>
      </c>
      <c r="P325" s="8">
        <f t="shared" ca="1" si="68"/>
        <v>42420</v>
      </c>
      <c r="Q325" s="6">
        <f ca="1">RANDBETWEEN(2,COUNTA('Recruitment source'!$A:$A))</f>
        <v>2</v>
      </c>
      <c r="R325" s="8" t="e">
        <f t="shared" ca="1" si="69"/>
        <v>#N/A</v>
      </c>
      <c r="S325" s="6" t="e">
        <f t="shared" ca="1" si="70"/>
        <v>#N/A</v>
      </c>
      <c r="T325" s="6">
        <f t="shared" ca="1" si="60"/>
        <v>2</v>
      </c>
      <c r="U325" s="1">
        <f t="shared" ca="1" si="71"/>
        <v>2000</v>
      </c>
    </row>
    <row r="326" spans="1:21" x14ac:dyDescent="0.2">
      <c r="A326" s="7" cm="1">
        <f t="array" aca="1" ref="A326" ca="1">INDEX(Companies!$A:$A,RANDBETWEEN(2,COUNTA(Companies!$A:$A)),1)</f>
        <v>2</v>
      </c>
      <c r="B326" s="5">
        <f t="shared" si="61"/>
        <v>325</v>
      </c>
      <c r="C326" s="6">
        <f t="shared" ca="1" si="62"/>
        <v>1</v>
      </c>
      <c r="D326" s="7">
        <f ca="1">IF($B326 = 1 + N("Presidente"),
    127,
    IF($B326 = 2 + N("Vice-Presidente"),
        72,
        IF($B326 = 3 + N("Secretária bilíngue"),
            13,
            RANDBETWEEN(5,COUNT(Name!$A:$A) + 1)
        )
    )
)</f>
        <v>277</v>
      </c>
      <c r="E326" s="7" t="str">
        <f ca="1" xml:space="preserve">
VLOOKUP(
  $D326,
  Name!$A:$B,
  2,
  FALSE
)
&amp; " " &amp;
IF($B326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Maryah Nunes Barreto</v>
      </c>
      <c r="F326" s="7">
        <v>2</v>
      </c>
      <c r="G326" s="7" cm="1">
        <f t="array" aca="1" ref="G326" ca="1">INDEX(States!$B:$B,RANDBETWEEN(2,COUNTA(States!$A:$A)),1)</f>
        <v>16</v>
      </c>
      <c r="H326" s="7" t="str">
        <f ca="1">VLOOKUP($D326,Name!$A:$C,3,FALSE)</f>
        <v>F</v>
      </c>
      <c r="I326" s="7" cm="1">
        <f t="array" aca="1" ref="I326" ca="1">INDEX('Marital status'!$A:$A,RANDBETWEEN(2,COUNTA('Marital status'!$A:$A)),1)</f>
        <v>3</v>
      </c>
      <c r="J326" s="7">
        <f t="shared" ca="1" si="63"/>
        <v>2</v>
      </c>
      <c r="K326" s="8">
        <f t="shared" ca="1" si="64"/>
        <v>25137</v>
      </c>
      <c r="L326" s="6">
        <f t="shared" ca="1" si="65"/>
        <v>4</v>
      </c>
      <c r="M326" s="7">
        <f ca="1" xml:space="preserve">
  IF(OR($N326 = 2, $N326 = 3, $N326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326" s="6">
        <f t="shared" ca="1" si="66"/>
        <v>6</v>
      </c>
      <c r="O326" s="6" t="e">
        <f t="shared" ca="1" si="67"/>
        <v>#N/A</v>
      </c>
      <c r="P326" s="8">
        <f t="shared" ca="1" si="68"/>
        <v>37583</v>
      </c>
      <c r="Q326" s="6">
        <f ca="1">RANDBETWEEN(2,COUNTA('Recruitment source'!$A:$A))</f>
        <v>7</v>
      </c>
      <c r="R326" s="8" t="e">
        <f t="shared" ca="1" si="69"/>
        <v>#N/A</v>
      </c>
      <c r="S326" s="6" t="e">
        <f t="shared" ca="1" si="70"/>
        <v>#N/A</v>
      </c>
      <c r="T326" s="6">
        <f t="shared" ca="1" si="60"/>
        <v>4</v>
      </c>
      <c r="U326" s="1">
        <f t="shared" ca="1" si="71"/>
        <v>805</v>
      </c>
    </row>
    <row r="327" spans="1:21" x14ac:dyDescent="0.2">
      <c r="A327" s="7" cm="1">
        <f t="array" aca="1" ref="A327" ca="1">INDEX(Companies!$A:$A,RANDBETWEEN(2,COUNTA(Companies!$A:$A)),1)</f>
        <v>2</v>
      </c>
      <c r="B327" s="5">
        <f t="shared" si="61"/>
        <v>326</v>
      </c>
      <c r="C327" s="6">
        <f t="shared" ca="1" si="62"/>
        <v>1</v>
      </c>
      <c r="D327" s="7">
        <f ca="1">IF($B327 = 1 + N("Presidente"),
    127,
    IF($B327 = 2 + N("Vice-Presidente"),
        72,
        IF($B327 = 3 + N("Secretária bilíngue"),
            13,
            RANDBETWEEN(5,COUNT(Name!$A:$A) + 1)
        )
    )
)</f>
        <v>21</v>
      </c>
      <c r="E327" s="7" t="str">
        <f ca="1" xml:space="preserve">
VLOOKUP(
  $D327,
  Name!$A:$B,
  2,
  FALSE
)
&amp; " " &amp;
IF($B327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Allana Salvador Padrão</v>
      </c>
      <c r="F327" s="7">
        <v>2</v>
      </c>
      <c r="G327" s="7" cm="1">
        <f t="array" aca="1" ref="G327" ca="1">INDEX(States!$B:$B,RANDBETWEEN(2,COUNTA(States!$A:$A)),1)</f>
        <v>4</v>
      </c>
      <c r="H327" s="7" t="str">
        <f ca="1">VLOOKUP($D327,Name!$A:$C,3,FALSE)</f>
        <v>F</v>
      </c>
      <c r="I327" s="7" cm="1">
        <f t="array" aca="1" ref="I327" ca="1">INDEX('Marital status'!$A:$A,RANDBETWEEN(2,COUNTA('Marital status'!$A:$A)),1)</f>
        <v>6</v>
      </c>
      <c r="J327" s="7">
        <f t="shared" ca="1" si="63"/>
        <v>2</v>
      </c>
      <c r="K327" s="8">
        <f t="shared" ca="1" si="64"/>
        <v>34841</v>
      </c>
      <c r="L327" s="6">
        <f t="shared" ca="1" si="65"/>
        <v>4</v>
      </c>
      <c r="M327" s="7">
        <f ca="1" xml:space="preserve">
  IF(OR($N327 = 2, $N327 = 3, $N327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327" s="6">
        <f t="shared" ca="1" si="66"/>
        <v>8</v>
      </c>
      <c r="O327" s="6">
        <f t="shared" ca="1" si="67"/>
        <v>3</v>
      </c>
      <c r="P327" s="8">
        <f t="shared" ca="1" si="68"/>
        <v>37149</v>
      </c>
      <c r="Q327" s="6">
        <f ca="1">RANDBETWEEN(2,COUNTA('Recruitment source'!$A:$A))</f>
        <v>12</v>
      </c>
      <c r="R327" s="8" t="e">
        <f t="shared" ca="1" si="69"/>
        <v>#N/A</v>
      </c>
      <c r="S327" s="6" t="e">
        <f t="shared" ca="1" si="70"/>
        <v>#N/A</v>
      </c>
      <c r="T327" s="6">
        <f t="shared" ca="1" si="60"/>
        <v>4</v>
      </c>
      <c r="U327" s="1">
        <f t="shared" ca="1" si="71"/>
        <v>2080</v>
      </c>
    </row>
    <row r="328" spans="1:21" x14ac:dyDescent="0.2">
      <c r="A328" s="7" cm="1">
        <f t="array" aca="1" ref="A328" ca="1">INDEX(Companies!$A:$A,RANDBETWEEN(2,COUNTA(Companies!$A:$A)),1)</f>
        <v>2</v>
      </c>
      <c r="B328" s="5">
        <f t="shared" si="61"/>
        <v>327</v>
      </c>
      <c r="C328" s="6">
        <f t="shared" ca="1" si="62"/>
        <v>1</v>
      </c>
      <c r="D328" s="7">
        <f ca="1">IF($B328 = 1 + N("Presidente"),
    127,
    IF($B328 = 2 + N("Vice-Presidente"),
        72,
        IF($B328 = 3 + N("Secretária bilíngue"),
            13,
            RANDBETWEEN(5,COUNT(Name!$A:$A) + 1)
        )
    )
)</f>
        <v>141</v>
      </c>
      <c r="E328" s="7" t="str">
        <f ca="1" xml:space="preserve">
VLOOKUP(
  $D328,
  Name!$A:$B,
  2,
  FALSE
)
&amp; " " &amp;
IF($B328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Filipe Lombardi Ferreira</v>
      </c>
      <c r="F328" s="7">
        <v>2</v>
      </c>
      <c r="G328" s="7" cm="1">
        <f t="array" aca="1" ref="G328" ca="1">INDEX(States!$B:$B,RANDBETWEEN(2,COUNTA(States!$A:$A)),1)</f>
        <v>12</v>
      </c>
      <c r="H328" s="7" t="str">
        <f ca="1">VLOOKUP($D328,Name!$A:$C,3,FALSE)</f>
        <v>M</v>
      </c>
      <c r="I328" s="7" cm="1">
        <f t="array" aca="1" ref="I328" ca="1">INDEX('Marital status'!$A:$A,RANDBETWEEN(2,COUNTA('Marital status'!$A:$A)),1)</f>
        <v>5</v>
      </c>
      <c r="J328" s="7">
        <f t="shared" ca="1" si="63"/>
        <v>2</v>
      </c>
      <c r="K328" s="8">
        <f t="shared" ca="1" si="64"/>
        <v>31890</v>
      </c>
      <c r="L328" s="6">
        <f t="shared" ca="1" si="65"/>
        <v>4</v>
      </c>
      <c r="M328" s="7">
        <f ca="1" xml:space="preserve">
  IF(OR($N328 = 2, $N328 = 3, $N328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328" s="6">
        <f t="shared" ca="1" si="66"/>
        <v>7</v>
      </c>
      <c r="O328" s="6" t="e">
        <f t="shared" ca="1" si="67"/>
        <v>#N/A</v>
      </c>
      <c r="P328" s="8">
        <f t="shared" ca="1" si="68"/>
        <v>41183</v>
      </c>
      <c r="Q328" s="6">
        <f ca="1">RANDBETWEEN(2,COUNTA('Recruitment source'!$A:$A))</f>
        <v>2</v>
      </c>
      <c r="R328" s="8" t="e">
        <f t="shared" ca="1" si="69"/>
        <v>#N/A</v>
      </c>
      <c r="S328" s="6" t="e">
        <f t="shared" ca="1" si="70"/>
        <v>#N/A</v>
      </c>
      <c r="T328" s="6">
        <f t="shared" ca="1" si="60"/>
        <v>5</v>
      </c>
      <c r="U328" s="1">
        <f t="shared" ca="1" si="71"/>
        <v>1085</v>
      </c>
    </row>
    <row r="329" spans="1:21" x14ac:dyDescent="0.2">
      <c r="A329" s="7" cm="1">
        <f t="array" aca="1" ref="A329" ca="1">INDEX(Companies!$A:$A,RANDBETWEEN(2,COUNTA(Companies!$A:$A)),1)</f>
        <v>2</v>
      </c>
      <c r="B329" s="5">
        <f t="shared" si="61"/>
        <v>328</v>
      </c>
      <c r="C329" s="6">
        <f t="shared" ca="1" si="62"/>
        <v>1</v>
      </c>
      <c r="D329" s="7">
        <f ca="1">IF($B329 = 1 + N("Presidente"),
    127,
    IF($B329 = 2 + N("Vice-Presidente"),
        72,
        IF($B329 = 3 + N("Secretária bilíngue"),
            13,
            RANDBETWEEN(5,COUNT(Name!$A:$A) + 1)
        )
    )
)</f>
        <v>323</v>
      </c>
      <c r="E329" s="7" t="str">
        <f ca="1" xml:space="preserve">
VLOOKUP(
  $D329,
  Name!$A:$B,
  2,
  FALSE
)
&amp; " " &amp;
IF($B329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Rachel Ildelfonso Cardozo</v>
      </c>
      <c r="F329" s="7">
        <v>2</v>
      </c>
      <c r="G329" s="7" cm="1">
        <f t="array" aca="1" ref="G329" ca="1">INDEX(States!$B:$B,RANDBETWEEN(2,COUNTA(States!$A:$A)),1)</f>
        <v>5</v>
      </c>
      <c r="H329" s="7" t="str">
        <f ca="1">VLOOKUP($D329,Name!$A:$C,3,FALSE)</f>
        <v>F</v>
      </c>
      <c r="I329" s="7" cm="1">
        <f t="array" aca="1" ref="I329" ca="1">INDEX('Marital status'!$A:$A,RANDBETWEEN(2,COUNTA('Marital status'!$A:$A)),1)</f>
        <v>2</v>
      </c>
      <c r="J329" s="7">
        <f t="shared" ca="1" si="63"/>
        <v>3</v>
      </c>
      <c r="K329" s="8">
        <f t="shared" ca="1" si="64"/>
        <v>37465</v>
      </c>
      <c r="L329" s="6">
        <f t="shared" ca="1" si="65"/>
        <v>5</v>
      </c>
      <c r="M329" s="7">
        <f ca="1" xml:space="preserve">
  IF(OR($N329 = 2, $N329 = 3, $N329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329" s="6">
        <f t="shared" ca="1" si="66"/>
        <v>8</v>
      </c>
      <c r="O329" s="6">
        <f t="shared" ca="1" si="67"/>
        <v>3</v>
      </c>
      <c r="P329" s="8">
        <f t="shared" ca="1" si="68"/>
        <v>43546</v>
      </c>
      <c r="Q329" s="6">
        <f ca="1">RANDBETWEEN(2,COUNTA('Recruitment source'!$A:$A))</f>
        <v>4</v>
      </c>
      <c r="R329" s="8" t="e">
        <f t="shared" ca="1" si="69"/>
        <v>#N/A</v>
      </c>
      <c r="S329" s="6" t="e">
        <f t="shared" ca="1" si="70"/>
        <v>#N/A</v>
      </c>
      <c r="T329" s="6">
        <f t="shared" ca="1" si="60"/>
        <v>3</v>
      </c>
      <c r="U329" s="1">
        <f t="shared" ca="1" si="71"/>
        <v>2000</v>
      </c>
    </row>
    <row r="330" spans="1:21" x14ac:dyDescent="0.2">
      <c r="A330" s="7" cm="1">
        <f t="array" aca="1" ref="A330" ca="1">INDEX(Companies!$A:$A,RANDBETWEEN(2,COUNTA(Companies!$A:$A)),1)</f>
        <v>2</v>
      </c>
      <c r="B330" s="5">
        <f t="shared" si="61"/>
        <v>329</v>
      </c>
      <c r="C330" s="6">
        <f t="shared" ca="1" si="62"/>
        <v>1</v>
      </c>
      <c r="D330" s="7">
        <f ca="1">IF($B330 = 1 + N("Presidente"),
    127,
    IF($B330 = 2 + N("Vice-Presidente"),
        72,
        IF($B330 = 3 + N("Secretária bilíngue"),
            13,
            RANDBETWEEN(5,COUNT(Name!$A:$A) + 1)
        )
    )
)</f>
        <v>27</v>
      </c>
      <c r="E330" s="7" t="str">
        <f ca="1" xml:space="preserve">
VLOOKUP(
  $D330,
  Name!$A:$B,
  2,
  FALSE
)
&amp; " " &amp;
IF($B330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Carolina Ramos Noronha</v>
      </c>
      <c r="F330" s="7">
        <v>2</v>
      </c>
      <c r="G330" s="7" cm="1">
        <f t="array" aca="1" ref="G330" ca="1">INDEX(States!$B:$B,RANDBETWEEN(2,COUNTA(States!$A:$A)),1)</f>
        <v>12</v>
      </c>
      <c r="H330" s="7" t="str">
        <f ca="1">VLOOKUP($D330,Name!$A:$C,3,FALSE)</f>
        <v>F</v>
      </c>
      <c r="I330" s="7" cm="1">
        <f t="array" aca="1" ref="I330" ca="1">INDEX('Marital status'!$A:$A,RANDBETWEEN(2,COUNTA('Marital status'!$A:$A)),1)</f>
        <v>3</v>
      </c>
      <c r="J330" s="7">
        <f t="shared" ca="1" si="63"/>
        <v>4</v>
      </c>
      <c r="K330" s="8">
        <f t="shared" ca="1" si="64"/>
        <v>31382</v>
      </c>
      <c r="L330" s="6">
        <f t="shared" ca="1" si="65"/>
        <v>4</v>
      </c>
      <c r="M330" s="7">
        <f ca="1" xml:space="preserve">
  IF(OR($N330 = 2, $N330 = 3, $N330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330" s="6">
        <f t="shared" ca="1" si="66"/>
        <v>7</v>
      </c>
      <c r="O330" s="6" t="e">
        <f t="shared" ca="1" si="67"/>
        <v>#N/A</v>
      </c>
      <c r="P330" s="8">
        <f t="shared" ca="1" si="68"/>
        <v>39078</v>
      </c>
      <c r="Q330" s="6">
        <f ca="1">RANDBETWEEN(2,COUNTA('Recruitment source'!$A:$A))</f>
        <v>4</v>
      </c>
      <c r="R330" s="8" t="e">
        <f t="shared" ca="1" si="69"/>
        <v>#N/A</v>
      </c>
      <c r="S330" s="6" t="e">
        <f t="shared" ca="1" si="70"/>
        <v>#N/A</v>
      </c>
      <c r="T330" s="6">
        <f t="shared" ca="1" si="60"/>
        <v>3</v>
      </c>
      <c r="U330" s="1">
        <f t="shared" ca="1" si="71"/>
        <v>1085</v>
      </c>
    </row>
    <row r="331" spans="1:21" x14ac:dyDescent="0.2">
      <c r="A331" s="7" cm="1">
        <f t="array" aca="1" ref="A331" ca="1">INDEX(Companies!$A:$A,RANDBETWEEN(2,COUNTA(Companies!$A:$A)),1)</f>
        <v>2</v>
      </c>
      <c r="B331" s="5">
        <f t="shared" si="61"/>
        <v>330</v>
      </c>
      <c r="C331" s="6">
        <f t="shared" ca="1" si="62"/>
        <v>1</v>
      </c>
      <c r="D331" s="7">
        <f ca="1">IF($B331 = 1 + N("Presidente"),
    127,
    IF($B331 = 2 + N("Vice-Presidente"),
        72,
        IF($B331 = 3 + N("Secretária bilíngue"),
            13,
            RANDBETWEEN(5,COUNT(Name!$A:$A) + 1)
        )
    )
)</f>
        <v>116</v>
      </c>
      <c r="E331" s="7" t="str">
        <f ca="1" xml:space="preserve">
VLOOKUP(
  $D331,
  Name!$A:$B,
  2,
  FALSE
)
&amp; " " &amp;
IF($B331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Eduarda Esteves Santacruz</v>
      </c>
      <c r="F331" s="7">
        <v>2</v>
      </c>
      <c r="G331" s="7" cm="1">
        <f t="array" aca="1" ref="G331" ca="1">INDEX(States!$B:$B,RANDBETWEEN(2,COUNTA(States!$A:$A)),1)</f>
        <v>4</v>
      </c>
      <c r="H331" s="7" t="str">
        <f ca="1">VLOOKUP($D331,Name!$A:$C,3,FALSE)</f>
        <v>F</v>
      </c>
      <c r="I331" s="7" cm="1">
        <f t="array" aca="1" ref="I331" ca="1">INDEX('Marital status'!$A:$A,RANDBETWEEN(2,COUNTA('Marital status'!$A:$A)),1)</f>
        <v>2</v>
      </c>
      <c r="J331" s="7">
        <f t="shared" ca="1" si="63"/>
        <v>2</v>
      </c>
      <c r="K331" s="8">
        <f t="shared" ca="1" si="64"/>
        <v>38234</v>
      </c>
      <c r="L331" s="6">
        <f t="shared" ca="1" si="65"/>
        <v>4</v>
      </c>
      <c r="M331" s="7">
        <f ca="1" xml:space="preserve">
  IF(OR($N331 = 2, $N331 = 3, $N331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331" s="6">
        <f t="shared" ca="1" si="66"/>
        <v>8</v>
      </c>
      <c r="O331" s="6">
        <f t="shared" ca="1" si="67"/>
        <v>3</v>
      </c>
      <c r="P331" s="8">
        <f t="shared" ca="1" si="68"/>
        <v>44838</v>
      </c>
      <c r="Q331" s="6">
        <f ca="1">RANDBETWEEN(2,COUNTA('Recruitment source'!$A:$A))</f>
        <v>10</v>
      </c>
      <c r="R331" s="8" t="e">
        <f t="shared" ca="1" si="69"/>
        <v>#N/A</v>
      </c>
      <c r="S331" s="6" t="e">
        <f t="shared" ca="1" si="70"/>
        <v>#N/A</v>
      </c>
      <c r="T331" s="6">
        <f t="shared" ca="1" si="60"/>
        <v>5</v>
      </c>
      <c r="U331" s="1">
        <f t="shared" ca="1" si="71"/>
        <v>2080</v>
      </c>
    </row>
    <row r="332" spans="1:21" x14ac:dyDescent="0.2">
      <c r="A332" s="7" cm="1">
        <f t="array" aca="1" ref="A332" ca="1">INDEX(Companies!$A:$A,RANDBETWEEN(2,COUNTA(Companies!$A:$A)),1)</f>
        <v>2</v>
      </c>
      <c r="B332" s="5">
        <f t="shared" si="61"/>
        <v>331</v>
      </c>
      <c r="C332" s="6">
        <f t="shared" ca="1" si="62"/>
        <v>1</v>
      </c>
      <c r="D332" s="7">
        <f ca="1">IF($B332 = 1 + N("Presidente"),
    127,
    IF($B332 = 2 + N("Vice-Presidente"),
        72,
        IF($B332 = 3 + N("Secretária bilíngue"),
            13,
            RANDBETWEEN(5,COUNT(Name!$A:$A) + 1)
        )
    )
)</f>
        <v>233</v>
      </c>
      <c r="E332" s="7" t="str">
        <f ca="1" xml:space="preserve">
VLOOKUP(
  $D332,
  Name!$A:$B,
  2,
  FALSE
)
&amp; " " &amp;
IF($B332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Lorenzo Augusto Andrade Asvilla</v>
      </c>
      <c r="F332" s="7">
        <v>2</v>
      </c>
      <c r="G332" s="7" cm="1">
        <f t="array" aca="1" ref="G332" ca="1">INDEX(States!$B:$B,RANDBETWEEN(2,COUNTA(States!$A:$A)),1)</f>
        <v>5</v>
      </c>
      <c r="H332" s="7" t="str">
        <f ca="1">VLOOKUP($D332,Name!$A:$C,3,FALSE)</f>
        <v>M</v>
      </c>
      <c r="I332" s="7" cm="1">
        <f t="array" aca="1" ref="I332" ca="1">INDEX('Marital status'!$A:$A,RANDBETWEEN(2,COUNTA('Marital status'!$A:$A)),1)</f>
        <v>5</v>
      </c>
      <c r="J332" s="7">
        <f t="shared" ca="1" si="63"/>
        <v>2</v>
      </c>
      <c r="K332" s="8">
        <f t="shared" ca="1" si="64"/>
        <v>25400</v>
      </c>
      <c r="L332" s="6">
        <f t="shared" ca="1" si="65"/>
        <v>4</v>
      </c>
      <c r="M332" s="7">
        <f ca="1" xml:space="preserve">
  IF(OR($N332 = 2, $N332 = 3, $N332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332" s="6">
        <f t="shared" ca="1" si="66"/>
        <v>6</v>
      </c>
      <c r="O332" s="6" t="e">
        <f t="shared" ca="1" si="67"/>
        <v>#N/A</v>
      </c>
      <c r="P332" s="8">
        <f t="shared" ca="1" si="68"/>
        <v>44198</v>
      </c>
      <c r="Q332" s="6">
        <f ca="1">RANDBETWEEN(2,COUNTA('Recruitment source'!$A:$A))</f>
        <v>4</v>
      </c>
      <c r="R332" s="8" t="e">
        <f t="shared" ca="1" si="69"/>
        <v>#N/A</v>
      </c>
      <c r="S332" s="6" t="e">
        <f t="shared" ca="1" si="70"/>
        <v>#N/A</v>
      </c>
      <c r="T332" s="6">
        <f t="shared" ca="1" si="60"/>
        <v>3</v>
      </c>
      <c r="U332" s="1">
        <f t="shared" ca="1" si="71"/>
        <v>805</v>
      </c>
    </row>
    <row r="333" spans="1:21" x14ac:dyDescent="0.2">
      <c r="A333" s="7" cm="1">
        <f t="array" aca="1" ref="A333" ca="1">INDEX(Companies!$A:$A,RANDBETWEEN(2,COUNTA(Companies!$A:$A)),1)</f>
        <v>2</v>
      </c>
      <c r="B333" s="5">
        <f t="shared" si="61"/>
        <v>332</v>
      </c>
      <c r="C333" s="6">
        <f t="shared" ca="1" si="62"/>
        <v>0</v>
      </c>
      <c r="D333" s="7">
        <f ca="1">IF($B333 = 1 + N("Presidente"),
    127,
    IF($B333 = 2 + N("Vice-Presidente"),
        72,
        IF($B333 = 3 + N("Secretária bilíngue"),
            13,
            RANDBETWEEN(5,COUNT(Name!$A:$A) + 1)
        )
    )
)</f>
        <v>294</v>
      </c>
      <c r="E333" s="7" t="str">
        <f ca="1" xml:space="preserve">
VLOOKUP(
  $D333,
  Name!$A:$B,
  2,
  FALSE
)
&amp; " " &amp;
IF($B333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Michel Cunha Luz</v>
      </c>
      <c r="F333" s="7">
        <v>2</v>
      </c>
      <c r="G333" s="7" cm="1">
        <f t="array" aca="1" ref="G333" ca="1">INDEX(States!$B:$B,RANDBETWEEN(2,COUNTA(States!$A:$A)),1)</f>
        <v>19</v>
      </c>
      <c r="H333" s="7" t="str">
        <f ca="1">VLOOKUP($D333,Name!$A:$C,3,FALSE)</f>
        <v>M</v>
      </c>
      <c r="I333" s="7" cm="1">
        <f t="array" aca="1" ref="I333" ca="1">INDEX('Marital status'!$A:$A,RANDBETWEEN(2,COUNTA('Marital status'!$A:$A)),1)</f>
        <v>5</v>
      </c>
      <c r="J333" s="7">
        <f t="shared" ca="1" si="63"/>
        <v>2</v>
      </c>
      <c r="K333" s="8">
        <f t="shared" ca="1" si="64"/>
        <v>35644</v>
      </c>
      <c r="L333" s="6">
        <f t="shared" ca="1" si="65"/>
        <v>5</v>
      </c>
      <c r="M333" s="7">
        <f ca="1" xml:space="preserve">
  IF(OR($N333 = 2, $N333 = 3, $N333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333" s="6">
        <f t="shared" ca="1" si="66"/>
        <v>8</v>
      </c>
      <c r="O333" s="6">
        <f t="shared" ca="1" si="67"/>
        <v>3</v>
      </c>
      <c r="P333" s="8">
        <f t="shared" ca="1" si="68"/>
        <v>40216</v>
      </c>
      <c r="Q333" s="6">
        <f ca="1">RANDBETWEEN(2,COUNTA('Recruitment source'!$A:$A))</f>
        <v>4</v>
      </c>
      <c r="R333" s="8">
        <f t="shared" ca="1" si="69"/>
        <v>44258</v>
      </c>
      <c r="S333" s="6">
        <f t="shared" ca="1" si="70"/>
        <v>6</v>
      </c>
      <c r="T333" s="6">
        <f t="shared" ca="1" si="60"/>
        <v>1</v>
      </c>
      <c r="U333" s="1">
        <f t="shared" ca="1" si="71"/>
        <v>2000</v>
      </c>
    </row>
    <row r="334" spans="1:21" x14ac:dyDescent="0.2">
      <c r="A334" s="7" cm="1">
        <f t="array" aca="1" ref="A334" ca="1">INDEX(Companies!$A:$A,RANDBETWEEN(2,COUNTA(Companies!$A:$A)),1)</f>
        <v>2</v>
      </c>
      <c r="B334" s="5">
        <f t="shared" si="61"/>
        <v>333</v>
      </c>
      <c r="C334" s="6">
        <f t="shared" ca="1" si="62"/>
        <v>1</v>
      </c>
      <c r="D334" s="7">
        <f ca="1">IF($B334 = 1 + N("Presidente"),
    127,
    IF($B334 = 2 + N("Vice-Presidente"),
        72,
        IF($B334 = 3 + N("Secretária bilíngue"),
            13,
            RANDBETWEEN(5,COUNT(Name!$A:$A) + 1)
        )
    )
)</f>
        <v>316</v>
      </c>
      <c r="E334" s="7" t="str">
        <f ca="1" xml:space="preserve">
VLOOKUP(
  $D334,
  Name!$A:$B,
  2,
  FALSE
)
&amp; " " &amp;
IF($B334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Costa Castro</v>
      </c>
      <c r="F334" s="7">
        <v>2</v>
      </c>
      <c r="G334" s="7" cm="1">
        <f t="array" aca="1" ref="G334" ca="1">INDEX(States!$B:$B,RANDBETWEEN(2,COUNTA(States!$A:$A)),1)</f>
        <v>5</v>
      </c>
      <c r="H334" s="7" t="str">
        <f ca="1">VLOOKUP($D334,Name!$A:$C,3,FALSE)</f>
        <v>M</v>
      </c>
      <c r="I334" s="7" cm="1">
        <f t="array" aca="1" ref="I334" ca="1">INDEX('Marital status'!$A:$A,RANDBETWEEN(2,COUNTA('Marital status'!$A:$A)),1)</f>
        <v>5</v>
      </c>
      <c r="J334" s="7">
        <f t="shared" ca="1" si="63"/>
        <v>2</v>
      </c>
      <c r="K334" s="8">
        <f t="shared" ca="1" si="64"/>
        <v>26194</v>
      </c>
      <c r="L334" s="6">
        <f t="shared" ca="1" si="65"/>
        <v>4</v>
      </c>
      <c r="M334" s="7">
        <f ca="1" xml:space="preserve">
  IF(OR($N334 = 2, $N334 = 3, $N334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334" s="6">
        <f t="shared" ca="1" si="66"/>
        <v>6</v>
      </c>
      <c r="O334" s="6" t="e">
        <f t="shared" ca="1" si="67"/>
        <v>#N/A</v>
      </c>
      <c r="P334" s="8">
        <f t="shared" ca="1" si="68"/>
        <v>37509</v>
      </c>
      <c r="Q334" s="6">
        <f ca="1">RANDBETWEEN(2,COUNTA('Recruitment source'!$A:$A))</f>
        <v>7</v>
      </c>
      <c r="R334" s="8" t="e">
        <f t="shared" ca="1" si="69"/>
        <v>#N/A</v>
      </c>
      <c r="S334" s="6" t="e">
        <f t="shared" ca="1" si="70"/>
        <v>#N/A</v>
      </c>
      <c r="T334" s="6">
        <f t="shared" ca="1" si="60"/>
        <v>2</v>
      </c>
      <c r="U334" s="1">
        <f t="shared" ca="1" si="71"/>
        <v>885</v>
      </c>
    </row>
    <row r="335" spans="1:21" x14ac:dyDescent="0.2">
      <c r="A335" s="7" cm="1">
        <f t="array" aca="1" ref="A335" ca="1">INDEX(Companies!$A:$A,RANDBETWEEN(2,COUNTA(Companies!$A:$A)),1)</f>
        <v>2</v>
      </c>
      <c r="B335" s="5">
        <f t="shared" si="61"/>
        <v>334</v>
      </c>
      <c r="C335" s="6">
        <f t="shared" ca="1" si="62"/>
        <v>1</v>
      </c>
      <c r="D335" s="7">
        <f ca="1">IF($B335 = 1 + N("Presidente"),
    127,
    IF($B335 = 2 + N("Vice-Presidente"),
        72,
        IF($B335 = 3 + N("Secretária bilíngue"),
            13,
            RANDBETWEEN(5,COUNT(Name!$A:$A) + 1)
        )
    )
)</f>
        <v>17</v>
      </c>
      <c r="E335" s="7" t="str">
        <f ca="1" xml:space="preserve">
VLOOKUP(
  $D335,
  Name!$A:$B,
  2,
  FALSE
)
&amp; " " &amp;
IF($B335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Alicia Cabral Santacruz</v>
      </c>
      <c r="F335" s="7">
        <v>2</v>
      </c>
      <c r="G335" s="7" cm="1">
        <f t="array" aca="1" ref="G335" ca="1">INDEX(States!$B:$B,RANDBETWEEN(2,COUNTA(States!$A:$A)),1)</f>
        <v>5</v>
      </c>
      <c r="H335" s="7" t="str">
        <f ca="1">VLOOKUP($D335,Name!$A:$C,3,FALSE)</f>
        <v>F</v>
      </c>
      <c r="I335" s="7" cm="1">
        <f t="array" aca="1" ref="I335" ca="1">INDEX('Marital status'!$A:$A,RANDBETWEEN(2,COUNTA('Marital status'!$A:$A)),1)</f>
        <v>6</v>
      </c>
      <c r="J335" s="7">
        <f t="shared" ca="1" si="63"/>
        <v>2</v>
      </c>
      <c r="K335" s="8">
        <f t="shared" ca="1" si="64"/>
        <v>35478</v>
      </c>
      <c r="L335" s="6">
        <f t="shared" ca="1" si="65"/>
        <v>4</v>
      </c>
      <c r="M335" s="7">
        <f ca="1" xml:space="preserve">
  IF(OR($N335 = 2, $N335 = 3, $N335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335" s="6">
        <f t="shared" ca="1" si="66"/>
        <v>8</v>
      </c>
      <c r="O335" s="6">
        <f t="shared" ca="1" si="67"/>
        <v>2</v>
      </c>
      <c r="P335" s="8">
        <f t="shared" ca="1" si="68"/>
        <v>39767</v>
      </c>
      <c r="Q335" s="6">
        <f ca="1">RANDBETWEEN(2,COUNTA('Recruitment source'!$A:$A))</f>
        <v>5</v>
      </c>
      <c r="R335" s="8" t="e">
        <f t="shared" ca="1" si="69"/>
        <v>#N/A</v>
      </c>
      <c r="S335" s="6" t="e">
        <f t="shared" ca="1" si="70"/>
        <v>#N/A</v>
      </c>
      <c r="T335" s="6">
        <f t="shared" ca="1" si="60"/>
        <v>2</v>
      </c>
      <c r="U335" s="1">
        <f t="shared" ca="1" si="71"/>
        <v>2000</v>
      </c>
    </row>
    <row r="336" spans="1:21" x14ac:dyDescent="0.2">
      <c r="A336" s="7" cm="1">
        <f t="array" aca="1" ref="A336" ca="1">INDEX(Companies!$A:$A,RANDBETWEEN(2,COUNTA(Companies!$A:$A)),1)</f>
        <v>2</v>
      </c>
      <c r="B336" s="5">
        <f t="shared" si="61"/>
        <v>335</v>
      </c>
      <c r="C336" s="6">
        <f t="shared" ca="1" si="62"/>
        <v>1</v>
      </c>
      <c r="D336" s="7">
        <f ca="1">IF($B336 = 1 + N("Presidente"),
    127,
    IF($B336 = 2 + N("Vice-Presidente"),
        72,
        IF($B336 = 3 + N("Secretária bilíngue"),
            13,
            RANDBETWEEN(5,COUNT(Name!$A:$A) + 1)
        )
    )
)</f>
        <v>272</v>
      </c>
      <c r="E336" s="7" t="str">
        <f ca="1" xml:space="preserve">
VLOOKUP(
  $D336,
  Name!$A:$B,
  2,
  FALSE
)
&amp; " " &amp;
IF($B336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Madalena Martini Anjos</v>
      </c>
      <c r="F336" s="7">
        <v>2</v>
      </c>
      <c r="G336" s="7" cm="1">
        <f t="array" aca="1" ref="G336" ca="1">INDEX(States!$B:$B,RANDBETWEEN(2,COUNTA(States!$A:$A)),1)</f>
        <v>4</v>
      </c>
      <c r="H336" s="7" t="str">
        <f ca="1">VLOOKUP($D336,Name!$A:$C,3,FALSE)</f>
        <v>F</v>
      </c>
      <c r="I336" s="7" cm="1">
        <f t="array" aca="1" ref="I336" ca="1">INDEX('Marital status'!$A:$A,RANDBETWEEN(2,COUNTA('Marital status'!$A:$A)),1)</f>
        <v>4</v>
      </c>
      <c r="J336" s="7">
        <f t="shared" ca="1" si="63"/>
        <v>3</v>
      </c>
      <c r="K336" s="8">
        <f t="shared" ca="1" si="64"/>
        <v>30233</v>
      </c>
      <c r="L336" s="6">
        <f t="shared" ca="1" si="65"/>
        <v>4</v>
      </c>
      <c r="M336" s="7">
        <f ca="1" xml:space="preserve">
  IF(OR($N336 = 2, $N336 = 3, $N336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336" s="6">
        <f t="shared" ca="1" si="66"/>
        <v>6</v>
      </c>
      <c r="O336" s="6" t="e">
        <f t="shared" ca="1" si="67"/>
        <v>#N/A</v>
      </c>
      <c r="P336" s="8">
        <f t="shared" ca="1" si="68"/>
        <v>37274</v>
      </c>
      <c r="Q336" s="6">
        <f ca="1">RANDBETWEEN(2,COUNTA('Recruitment source'!$A:$A))</f>
        <v>2</v>
      </c>
      <c r="R336" s="8" t="e">
        <f t="shared" ca="1" si="69"/>
        <v>#N/A</v>
      </c>
      <c r="S336" s="6" t="e">
        <f t="shared" ca="1" si="70"/>
        <v>#N/A</v>
      </c>
      <c r="T336" s="6">
        <f t="shared" ca="1" si="60"/>
        <v>2</v>
      </c>
      <c r="U336" s="1">
        <f t="shared" ca="1" si="71"/>
        <v>805</v>
      </c>
    </row>
    <row r="337" spans="1:21" x14ac:dyDescent="0.2">
      <c r="A337" s="7" cm="1">
        <f t="array" aca="1" ref="A337" ca="1">INDEX(Companies!$A:$A,RANDBETWEEN(2,COUNTA(Companies!$A:$A)),1)</f>
        <v>2</v>
      </c>
      <c r="B337" s="5">
        <f t="shared" si="61"/>
        <v>336</v>
      </c>
      <c r="C337" s="6">
        <f t="shared" ca="1" si="62"/>
        <v>1</v>
      </c>
      <c r="D337" s="7">
        <f ca="1">IF($B337 = 1 + N("Presidente"),
    127,
    IF($B337 = 2 + N("Vice-Presidente"),
        72,
        IF($B337 = 3 + N("Secretária bilíngue"),
            13,
            RANDBETWEEN(5,COUNT(Name!$A:$A) + 1)
        )
    )
)</f>
        <v>331</v>
      </c>
      <c r="E337" s="7" t="str">
        <f ca="1" xml:space="preserve">
VLOOKUP(
  $D337,
  Name!$A:$B,
  2,
  FALSE
)
&amp; " " &amp;
IF($B337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Renato Café Aleluia</v>
      </c>
      <c r="F337" s="7">
        <v>2</v>
      </c>
      <c r="G337" s="7" cm="1">
        <f t="array" aca="1" ref="G337" ca="1">INDEX(States!$B:$B,RANDBETWEEN(2,COUNTA(States!$A:$A)),1)</f>
        <v>18</v>
      </c>
      <c r="H337" s="7" t="str">
        <f ca="1">VLOOKUP($D337,Name!$A:$C,3,FALSE)</f>
        <v>M</v>
      </c>
      <c r="I337" s="7" cm="1">
        <f t="array" aca="1" ref="I337" ca="1">INDEX('Marital status'!$A:$A,RANDBETWEEN(2,COUNTA('Marital status'!$A:$A)),1)</f>
        <v>5</v>
      </c>
      <c r="J337" s="7">
        <f t="shared" ca="1" si="63"/>
        <v>2</v>
      </c>
      <c r="K337" s="8">
        <f t="shared" ca="1" si="64"/>
        <v>35300</v>
      </c>
      <c r="L337" s="6">
        <f t="shared" ca="1" si="65"/>
        <v>5</v>
      </c>
      <c r="M337" s="7">
        <f ca="1" xml:space="preserve">
  IF(OR($N337 = 2, $N337 = 3, $N337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337" s="6">
        <f t="shared" ca="1" si="66"/>
        <v>8</v>
      </c>
      <c r="O337" s="6">
        <f t="shared" ca="1" si="67"/>
        <v>2</v>
      </c>
      <c r="P337" s="8">
        <f t="shared" ca="1" si="68"/>
        <v>41416</v>
      </c>
      <c r="Q337" s="6">
        <f ca="1">RANDBETWEEN(2,COUNTA('Recruitment source'!$A:$A))</f>
        <v>12</v>
      </c>
      <c r="R337" s="8" t="e">
        <f t="shared" ca="1" si="69"/>
        <v>#N/A</v>
      </c>
      <c r="S337" s="6" t="e">
        <f t="shared" ca="1" si="70"/>
        <v>#N/A</v>
      </c>
      <c r="T337" s="6">
        <f t="shared" ca="1" si="60"/>
        <v>4</v>
      </c>
      <c r="U337" s="1">
        <f t="shared" ca="1" si="71"/>
        <v>2000</v>
      </c>
    </row>
    <row r="338" spans="1:21" x14ac:dyDescent="0.2">
      <c r="A338" s="7" cm="1">
        <f t="array" aca="1" ref="A338" ca="1">INDEX(Companies!$A:$A,RANDBETWEEN(2,COUNTA(Companies!$A:$A)),1)</f>
        <v>2</v>
      </c>
      <c r="B338" s="5">
        <f t="shared" si="61"/>
        <v>337</v>
      </c>
      <c r="C338" s="6">
        <f t="shared" ca="1" si="62"/>
        <v>1</v>
      </c>
      <c r="D338" s="7">
        <f ca="1">IF($B338 = 1 + N("Presidente"),
    127,
    IF($B338 = 2 + N("Vice-Presidente"),
        72,
        IF($B338 = 3 + N("Secretária bilíngue"),
            13,
            RANDBETWEEN(5,COUNT(Name!$A:$A) + 1)
        )
    )
)</f>
        <v>201</v>
      </c>
      <c r="E338" s="7" t="str">
        <f ca="1" xml:space="preserve">
VLOOKUP(
  $D338,
  Name!$A:$B,
  2,
  FALSE
)
&amp; " " &amp;
IF($B338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Júlia Negrão Sousa</v>
      </c>
      <c r="F338" s="7">
        <v>2</v>
      </c>
      <c r="G338" s="7" cm="1">
        <f t="array" aca="1" ref="G338" ca="1">INDEX(States!$B:$B,RANDBETWEEN(2,COUNTA(States!$A:$A)),1)</f>
        <v>18</v>
      </c>
      <c r="H338" s="7" t="str">
        <f ca="1">VLOOKUP($D338,Name!$A:$C,3,FALSE)</f>
        <v>F</v>
      </c>
      <c r="I338" s="7" cm="1">
        <f t="array" aca="1" ref="I338" ca="1">INDEX('Marital status'!$A:$A,RANDBETWEEN(2,COUNTA('Marital status'!$A:$A)),1)</f>
        <v>4</v>
      </c>
      <c r="J338" s="7">
        <f t="shared" ca="1" si="63"/>
        <v>2</v>
      </c>
      <c r="K338" s="8">
        <f t="shared" ca="1" si="64"/>
        <v>19787</v>
      </c>
      <c r="L338" s="6">
        <f t="shared" ca="1" si="65"/>
        <v>4</v>
      </c>
      <c r="M338" s="7">
        <f ca="1" xml:space="preserve">
  IF(OR($N338 = 2, $N338 = 3, $N338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338" s="6">
        <f t="shared" ca="1" si="66"/>
        <v>6</v>
      </c>
      <c r="O338" s="6" t="e">
        <f t="shared" ca="1" si="67"/>
        <v>#N/A</v>
      </c>
      <c r="P338" s="8">
        <f t="shared" ca="1" si="68"/>
        <v>40356</v>
      </c>
      <c r="Q338" s="6">
        <f ca="1">RANDBETWEEN(2,COUNTA('Recruitment source'!$A:$A))</f>
        <v>11</v>
      </c>
      <c r="R338" s="8" t="e">
        <f t="shared" ca="1" si="69"/>
        <v>#N/A</v>
      </c>
      <c r="S338" s="6" t="e">
        <f t="shared" ca="1" si="70"/>
        <v>#N/A</v>
      </c>
      <c r="T338" s="6">
        <f t="shared" ca="1" si="60"/>
        <v>3</v>
      </c>
      <c r="U338" s="1">
        <f t="shared" ca="1" si="71"/>
        <v>805</v>
      </c>
    </row>
    <row r="339" spans="1:21" x14ac:dyDescent="0.2">
      <c r="A339" s="7" cm="1">
        <f t="array" aca="1" ref="A339" ca="1">INDEX(Companies!$A:$A,RANDBETWEEN(2,COUNTA(Companies!$A:$A)),1)</f>
        <v>2</v>
      </c>
      <c r="B339" s="5">
        <f t="shared" si="61"/>
        <v>338</v>
      </c>
      <c r="C339" s="6">
        <f t="shared" ca="1" si="62"/>
        <v>1</v>
      </c>
      <c r="D339" s="7">
        <f ca="1">IF($B339 = 1 + N("Presidente"),
    127,
    IF($B339 = 2 + N("Vice-Presidente"),
        72,
        IF($B339 = 3 + N("Secretária bilíngue"),
            13,
            RANDBETWEEN(5,COUNT(Name!$A:$A) + 1)
        )
    )
)</f>
        <v>200</v>
      </c>
      <c r="E339" s="7" t="str">
        <f ca="1" xml:space="preserve">
VLOOKUP(
  $D339,
  Name!$A:$B,
  2,
  FALSE
)
&amp; " " &amp;
IF($B339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Heleno Mendes Melo</v>
      </c>
      <c r="F339" s="7">
        <v>2</v>
      </c>
      <c r="G339" s="7" cm="1">
        <f t="array" aca="1" ref="G339" ca="1">INDEX(States!$B:$B,RANDBETWEEN(2,COUNTA(States!$A:$A)),1)</f>
        <v>20</v>
      </c>
      <c r="H339" s="7" t="str">
        <f ca="1">VLOOKUP($D339,Name!$A:$C,3,FALSE)</f>
        <v>M</v>
      </c>
      <c r="I339" s="7" cm="1">
        <f t="array" aca="1" ref="I339" ca="1">INDEX('Marital status'!$A:$A,RANDBETWEEN(2,COUNTA('Marital status'!$A:$A)),1)</f>
        <v>2</v>
      </c>
      <c r="J339" s="7">
        <f t="shared" ca="1" si="63"/>
        <v>2</v>
      </c>
      <c r="K339" s="8">
        <f t="shared" ca="1" si="64"/>
        <v>36670</v>
      </c>
      <c r="L339" s="6">
        <f t="shared" ca="1" si="65"/>
        <v>5</v>
      </c>
      <c r="M339" s="7">
        <f ca="1" xml:space="preserve">
  IF(OR($N339 = 2, $N339 = 3, $N339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339" s="6">
        <f t="shared" ca="1" si="66"/>
        <v>8</v>
      </c>
      <c r="O339" s="6">
        <f t="shared" ca="1" si="67"/>
        <v>3</v>
      </c>
      <c r="P339" s="8">
        <f t="shared" ca="1" si="68"/>
        <v>42612</v>
      </c>
      <c r="Q339" s="6">
        <f ca="1">RANDBETWEEN(2,COUNTA('Recruitment source'!$A:$A))</f>
        <v>4</v>
      </c>
      <c r="R339" s="8" t="e">
        <f t="shared" ca="1" si="69"/>
        <v>#N/A</v>
      </c>
      <c r="S339" s="6" t="e">
        <f t="shared" ca="1" si="70"/>
        <v>#N/A</v>
      </c>
      <c r="T339" s="6">
        <f t="shared" ca="1" si="60"/>
        <v>2</v>
      </c>
      <c r="U339" s="1">
        <f t="shared" ca="1" si="71"/>
        <v>2080</v>
      </c>
    </row>
    <row r="340" spans="1:21" x14ac:dyDescent="0.2">
      <c r="A340" s="7" cm="1">
        <f t="array" aca="1" ref="A340" ca="1">INDEX(Companies!$A:$A,RANDBETWEEN(2,COUNTA(Companies!$A:$A)),1)</f>
        <v>2</v>
      </c>
      <c r="B340" s="5">
        <f t="shared" si="61"/>
        <v>339</v>
      </c>
      <c r="C340" s="6">
        <f t="shared" ca="1" si="62"/>
        <v>1</v>
      </c>
      <c r="D340" s="7">
        <f ca="1">IF($B340 = 1 + N("Presidente"),
    127,
    IF($B340 = 2 + N("Vice-Presidente"),
        72,
        IF($B340 = 3 + N("Secretária bilíngue"),
            13,
            RANDBETWEEN(5,COUNT(Name!$A:$A) + 1)
        )
    )
)</f>
        <v>308</v>
      </c>
      <c r="E340" s="7" t="str">
        <f ca="1" xml:space="preserve">
VLOOKUP(
  $D340,
  Name!$A:$B,
  2,
  FALSE
)
&amp; " " &amp;
IF($B340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Noah Amor Camões</v>
      </c>
      <c r="F340" s="7">
        <v>2</v>
      </c>
      <c r="G340" s="7" cm="1">
        <f t="array" aca="1" ref="G340" ca="1">INDEX(States!$B:$B,RANDBETWEEN(2,COUNTA(States!$A:$A)),1)</f>
        <v>7</v>
      </c>
      <c r="H340" s="7" t="str">
        <f ca="1">VLOOKUP($D340,Name!$A:$C,3,FALSE)</f>
        <v>M</v>
      </c>
      <c r="I340" s="7" cm="1">
        <f t="array" aca="1" ref="I340" ca="1">INDEX('Marital status'!$A:$A,RANDBETWEEN(2,COUNTA('Marital status'!$A:$A)),1)</f>
        <v>3</v>
      </c>
      <c r="J340" s="7">
        <f t="shared" ca="1" si="63"/>
        <v>2</v>
      </c>
      <c r="K340" s="8">
        <f t="shared" ca="1" si="64"/>
        <v>18355</v>
      </c>
      <c r="L340" s="6">
        <f t="shared" ca="1" si="65"/>
        <v>4</v>
      </c>
      <c r="M340" s="7">
        <f ca="1" xml:space="preserve">
  IF(OR($N340 = 2, $N340 = 3, $N340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340" s="6">
        <f t="shared" ca="1" si="66"/>
        <v>6</v>
      </c>
      <c r="O340" s="6" t="e">
        <f t="shared" ca="1" si="67"/>
        <v>#N/A</v>
      </c>
      <c r="P340" s="8">
        <f t="shared" ca="1" si="68"/>
        <v>39738</v>
      </c>
      <c r="Q340" s="6">
        <f ca="1">RANDBETWEEN(2,COUNTA('Recruitment source'!$A:$A))</f>
        <v>3</v>
      </c>
      <c r="R340" s="8" t="e">
        <f t="shared" ca="1" si="69"/>
        <v>#N/A</v>
      </c>
      <c r="S340" s="6" t="e">
        <f t="shared" ca="1" si="70"/>
        <v>#N/A</v>
      </c>
      <c r="T340" s="6">
        <f t="shared" ca="1" si="60"/>
        <v>2</v>
      </c>
      <c r="U340" s="1">
        <f t="shared" ca="1" si="71"/>
        <v>885</v>
      </c>
    </row>
    <row r="341" spans="1:21" x14ac:dyDescent="0.2">
      <c r="A341" s="7" cm="1">
        <f t="array" aca="1" ref="A341" ca="1">INDEX(Companies!$A:$A,RANDBETWEEN(2,COUNTA(Companies!$A:$A)),1)</f>
        <v>2</v>
      </c>
      <c r="B341" s="5">
        <f t="shared" si="61"/>
        <v>340</v>
      </c>
      <c r="C341" s="6">
        <f t="shared" ca="1" si="62"/>
        <v>1</v>
      </c>
      <c r="D341" s="7">
        <f ca="1">IF($B341 = 1 + N("Presidente"),
    127,
    IF($B341 = 2 + N("Vice-Presidente"),
        72,
        IF($B341 = 3 + N("Secretária bilíngue"),
            13,
            RANDBETWEEN(5,COUNT(Name!$A:$A) + 1)
        )
    )
)</f>
        <v>302</v>
      </c>
      <c r="E341" s="7" t="str">
        <f ca="1" xml:space="preserve">
VLOOKUP(
  $D341,
  Name!$A:$B,
  2,
  FALSE
)
&amp; " " &amp;
IF($B341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Natália Esteves Asvilla</v>
      </c>
      <c r="F341" s="7">
        <v>2</v>
      </c>
      <c r="G341" s="7" cm="1">
        <f t="array" aca="1" ref="G341" ca="1">INDEX(States!$B:$B,RANDBETWEEN(2,COUNTA(States!$A:$A)),1)</f>
        <v>16</v>
      </c>
      <c r="H341" s="7" t="str">
        <f ca="1">VLOOKUP($D341,Name!$A:$C,3,FALSE)</f>
        <v>F</v>
      </c>
      <c r="I341" s="7" cm="1">
        <f t="array" aca="1" ref="I341" ca="1">INDEX('Marital status'!$A:$A,RANDBETWEEN(2,COUNTA('Marital status'!$A:$A)),1)</f>
        <v>5</v>
      </c>
      <c r="J341" s="7">
        <f t="shared" ca="1" si="63"/>
        <v>4</v>
      </c>
      <c r="K341" s="8">
        <f t="shared" ca="1" si="64"/>
        <v>34476</v>
      </c>
      <c r="L341" s="6">
        <f t="shared" ca="1" si="65"/>
        <v>4</v>
      </c>
      <c r="M341" s="7">
        <f ca="1" xml:space="preserve">
  IF(OR($N341 = 2, $N341 = 3, $N341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341" s="6">
        <f t="shared" ca="1" si="66"/>
        <v>8</v>
      </c>
      <c r="O341" s="6">
        <f t="shared" ca="1" si="67"/>
        <v>2</v>
      </c>
      <c r="P341" s="8">
        <f t="shared" ca="1" si="68"/>
        <v>40903</v>
      </c>
      <c r="Q341" s="6">
        <f ca="1">RANDBETWEEN(2,COUNTA('Recruitment source'!$A:$A))</f>
        <v>7</v>
      </c>
      <c r="R341" s="8" t="e">
        <f t="shared" ca="1" si="69"/>
        <v>#N/A</v>
      </c>
      <c r="S341" s="6" t="e">
        <f t="shared" ca="1" si="70"/>
        <v>#N/A</v>
      </c>
      <c r="T341" s="6">
        <f t="shared" ca="1" si="60"/>
        <v>4</v>
      </c>
      <c r="U341" s="1">
        <f t="shared" ca="1" si="71"/>
        <v>2000</v>
      </c>
    </row>
    <row r="342" spans="1:21" x14ac:dyDescent="0.2">
      <c r="A342" s="7" cm="1">
        <f t="array" aca="1" ref="A342" ca="1">INDEX(Companies!$A:$A,RANDBETWEEN(2,COUNTA(Companies!$A:$A)),1)</f>
        <v>2</v>
      </c>
      <c r="B342" s="5">
        <f t="shared" si="61"/>
        <v>341</v>
      </c>
      <c r="C342" s="6">
        <f t="shared" ca="1" si="62"/>
        <v>1</v>
      </c>
      <c r="D342" s="7">
        <f ca="1">IF($B342 = 1 + N("Presidente"),
    127,
    IF($B342 = 2 + N("Vice-Presidente"),
        72,
        IF($B342 = 3 + N("Secretária bilíngue"),
            13,
            RANDBETWEEN(5,COUNT(Name!$A:$A) + 1)
        )
    )
)</f>
        <v>167</v>
      </c>
      <c r="E342" s="7" t="str">
        <f ca="1" xml:space="preserve">
VLOOKUP(
  $D342,
  Name!$A:$B,
  2,
  FALSE
)
&amp; " " &amp;
IF($B342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Henrique Mazza de Oliveira</v>
      </c>
      <c r="F342" s="7">
        <v>2</v>
      </c>
      <c r="G342" s="7" cm="1">
        <f t="array" aca="1" ref="G342" ca="1">INDEX(States!$B:$B,RANDBETWEEN(2,COUNTA(States!$A:$A)),1)</f>
        <v>6</v>
      </c>
      <c r="H342" s="7" t="str">
        <f ca="1">VLOOKUP($D342,Name!$A:$C,3,FALSE)</f>
        <v>M</v>
      </c>
      <c r="I342" s="7" cm="1">
        <f t="array" aca="1" ref="I342" ca="1">INDEX('Marital status'!$A:$A,RANDBETWEEN(2,COUNTA('Marital status'!$A:$A)),1)</f>
        <v>5</v>
      </c>
      <c r="J342" s="7">
        <f t="shared" ca="1" si="63"/>
        <v>5</v>
      </c>
      <c r="K342" s="8">
        <f t="shared" ca="1" si="64"/>
        <v>23244</v>
      </c>
      <c r="L342" s="6">
        <f t="shared" ca="1" si="65"/>
        <v>4</v>
      </c>
      <c r="M342" s="7">
        <f ca="1" xml:space="preserve">
  IF(OR($N342 = 2, $N342 = 3, $N342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342" s="6">
        <f t="shared" ca="1" si="66"/>
        <v>6</v>
      </c>
      <c r="O342" s="6" t="e">
        <f t="shared" ca="1" si="67"/>
        <v>#N/A</v>
      </c>
      <c r="P342" s="8">
        <f t="shared" ca="1" si="68"/>
        <v>40896</v>
      </c>
      <c r="Q342" s="6">
        <f ca="1">RANDBETWEEN(2,COUNTA('Recruitment source'!$A:$A))</f>
        <v>10</v>
      </c>
      <c r="R342" s="8" t="e">
        <f t="shared" ca="1" si="69"/>
        <v>#N/A</v>
      </c>
      <c r="S342" s="6" t="e">
        <f t="shared" ca="1" si="70"/>
        <v>#N/A</v>
      </c>
      <c r="T342" s="6">
        <f t="shared" ca="1" si="60"/>
        <v>4</v>
      </c>
      <c r="U342" s="1">
        <f t="shared" ca="1" si="71"/>
        <v>805</v>
      </c>
    </row>
    <row r="343" spans="1:21" x14ac:dyDescent="0.2">
      <c r="A343" s="7" cm="1">
        <f t="array" aca="1" ref="A343" ca="1">INDEX(Companies!$A:$A,RANDBETWEEN(2,COUNTA(Companies!$A:$A)),1)</f>
        <v>2</v>
      </c>
      <c r="B343" s="5">
        <f t="shared" si="61"/>
        <v>342</v>
      </c>
      <c r="C343" s="6">
        <f t="shared" ca="1" si="62"/>
        <v>1</v>
      </c>
      <c r="D343" s="7">
        <f ca="1">IF($B343 = 1 + N("Presidente"),
    127,
    IF($B343 = 2 + N("Vice-Presidente"),
        72,
        IF($B343 = 3 + N("Secretária bilíngue"),
            13,
            RANDBETWEEN(5,COUNT(Name!$A:$A) + 1)
        )
    )
)</f>
        <v>24</v>
      </c>
      <c r="E343" s="7" t="str">
        <f ca="1" xml:space="preserve">
VLOOKUP(
  $D343,
  Name!$A:$B,
  2,
  FALSE
)
&amp; " " &amp;
IF($B343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Ammanda Lima Santoro</v>
      </c>
      <c r="F343" s="7">
        <v>2</v>
      </c>
      <c r="G343" s="7" cm="1">
        <f t="array" aca="1" ref="G343" ca="1">INDEX(States!$B:$B,RANDBETWEEN(2,COUNTA(States!$A:$A)),1)</f>
        <v>4</v>
      </c>
      <c r="H343" s="7" t="str">
        <f ca="1">VLOOKUP($D343,Name!$A:$C,3,FALSE)</f>
        <v>F</v>
      </c>
      <c r="I343" s="7" cm="1">
        <f t="array" aca="1" ref="I343" ca="1">INDEX('Marital status'!$A:$A,RANDBETWEEN(2,COUNTA('Marital status'!$A:$A)),1)</f>
        <v>5</v>
      </c>
      <c r="J343" s="7">
        <f t="shared" ca="1" si="63"/>
        <v>3</v>
      </c>
      <c r="K343" s="8">
        <f t="shared" ca="1" si="64"/>
        <v>37880</v>
      </c>
      <c r="L343" s="6">
        <f t="shared" ca="1" si="65"/>
        <v>5</v>
      </c>
      <c r="M343" s="7">
        <f ca="1" xml:space="preserve">
  IF(OR($N343 = 2, $N343 = 3, $N343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343" s="6">
        <f t="shared" ca="1" si="66"/>
        <v>8</v>
      </c>
      <c r="O343" s="6">
        <f t="shared" ca="1" si="67"/>
        <v>2</v>
      </c>
      <c r="P343" s="8">
        <f t="shared" ca="1" si="68"/>
        <v>40991</v>
      </c>
      <c r="Q343" s="6">
        <f ca="1">RANDBETWEEN(2,COUNTA('Recruitment source'!$A:$A))</f>
        <v>8</v>
      </c>
      <c r="R343" s="8" t="e">
        <f t="shared" ca="1" si="69"/>
        <v>#N/A</v>
      </c>
      <c r="S343" s="6" t="e">
        <f t="shared" ca="1" si="70"/>
        <v>#N/A</v>
      </c>
      <c r="T343" s="6">
        <f t="shared" ca="1" si="60"/>
        <v>3</v>
      </c>
      <c r="U343" s="1">
        <f t="shared" ca="1" si="71"/>
        <v>2000</v>
      </c>
    </row>
    <row r="344" spans="1:21" x14ac:dyDescent="0.2">
      <c r="A344" s="7" cm="1">
        <f t="array" aca="1" ref="A344" ca="1">INDEX(Companies!$A:$A,RANDBETWEEN(2,COUNTA(Companies!$A:$A)),1)</f>
        <v>2</v>
      </c>
      <c r="B344" s="5">
        <f t="shared" si="61"/>
        <v>343</v>
      </c>
      <c r="C344" s="6">
        <f t="shared" ca="1" si="62"/>
        <v>1</v>
      </c>
      <c r="D344" s="7">
        <f ca="1">IF($B344 = 1 + N("Presidente"),
    127,
    IF($B344 = 2 + N("Vice-Presidente"),
        72,
        IF($B344 = 3 + N("Secretária bilíngue"),
            13,
            RANDBETWEEN(5,COUNT(Name!$A:$A) + 1)
        )
    )
)</f>
        <v>314</v>
      </c>
      <c r="E344" s="7" t="str">
        <f ca="1" xml:space="preserve">
VLOOKUP(
  $D344,
  Name!$A:$B,
  2,
  FALSE
)
&amp; " " &amp;
IF($B344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Paloma Paulista Frois</v>
      </c>
      <c r="F344" s="7">
        <v>2</v>
      </c>
      <c r="G344" s="7" cm="1">
        <f t="array" aca="1" ref="G344" ca="1">INDEX(States!$B:$B,RANDBETWEEN(2,COUNTA(States!$A:$A)),1)</f>
        <v>13</v>
      </c>
      <c r="H344" s="7" t="str">
        <f ca="1">VLOOKUP($D344,Name!$A:$C,3,FALSE)</f>
        <v>F</v>
      </c>
      <c r="I344" s="7" cm="1">
        <f t="array" aca="1" ref="I344" ca="1">INDEX('Marital status'!$A:$A,RANDBETWEEN(2,COUNTA('Marital status'!$A:$A)),1)</f>
        <v>2</v>
      </c>
      <c r="J344" s="7">
        <f t="shared" ca="1" si="63"/>
        <v>2</v>
      </c>
      <c r="K344" s="8">
        <f t="shared" ca="1" si="64"/>
        <v>30850</v>
      </c>
      <c r="L344" s="6">
        <f t="shared" ca="1" si="65"/>
        <v>4</v>
      </c>
      <c r="M344" s="7">
        <f ca="1" xml:space="preserve">
  IF(OR($N344 = 2, $N344 = 3, $N344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344" s="6">
        <f t="shared" ca="1" si="66"/>
        <v>7</v>
      </c>
      <c r="O344" s="6" t="e">
        <f t="shared" ca="1" si="67"/>
        <v>#N/A</v>
      </c>
      <c r="P344" s="8">
        <f t="shared" ca="1" si="68"/>
        <v>41252</v>
      </c>
      <c r="Q344" s="6">
        <f ca="1">RANDBETWEEN(2,COUNTA('Recruitment source'!$A:$A))</f>
        <v>7</v>
      </c>
      <c r="R344" s="8" t="e">
        <f t="shared" ca="1" si="69"/>
        <v>#N/A</v>
      </c>
      <c r="S344" s="6" t="e">
        <f t="shared" ca="1" si="70"/>
        <v>#N/A</v>
      </c>
      <c r="T344" s="6">
        <f t="shared" ca="1" si="60"/>
        <v>3</v>
      </c>
      <c r="U344" s="1">
        <f t="shared" ca="1" si="71"/>
        <v>1085</v>
      </c>
    </row>
    <row r="345" spans="1:21" x14ac:dyDescent="0.2">
      <c r="A345" s="7" cm="1">
        <f t="array" aca="1" ref="A345" ca="1">INDEX(Companies!$A:$A,RANDBETWEEN(2,COUNTA(Companies!$A:$A)),1)</f>
        <v>2</v>
      </c>
      <c r="B345" s="5">
        <f t="shared" si="61"/>
        <v>344</v>
      </c>
      <c r="C345" s="6">
        <f t="shared" ca="1" si="62"/>
        <v>1</v>
      </c>
      <c r="D345" s="7">
        <f ca="1">IF($B345 = 1 + N("Presidente"),
    127,
    IF($B345 = 2 + N("Vice-Presidente"),
        72,
        IF($B345 = 3 + N("Secretária bilíngue"),
            13,
            RANDBETWEEN(5,COUNT(Name!$A:$A) + 1)
        )
    )
)</f>
        <v>58</v>
      </c>
      <c r="E345" s="7" t="str">
        <f ca="1" xml:space="preserve">
VLOOKUP(
  $D345,
  Name!$A:$B,
  2,
  FALSE
)
&amp; " " &amp;
IF($B345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Miguel Duarte Junqueira</v>
      </c>
      <c r="F345" s="7">
        <v>2</v>
      </c>
      <c r="G345" s="7" cm="1">
        <f t="array" aca="1" ref="G345" ca="1">INDEX(States!$B:$B,RANDBETWEEN(2,COUNTA(States!$A:$A)),1)</f>
        <v>14</v>
      </c>
      <c r="H345" s="7" t="str">
        <f ca="1">VLOOKUP($D345,Name!$A:$C,3,FALSE)</f>
        <v>M</v>
      </c>
      <c r="I345" s="7" cm="1">
        <f t="array" aca="1" ref="I345" ca="1">INDEX('Marital status'!$A:$A,RANDBETWEEN(2,COUNTA('Marital status'!$A:$A)),1)</f>
        <v>2</v>
      </c>
      <c r="J345" s="7">
        <f t="shared" ca="1" si="63"/>
        <v>2</v>
      </c>
      <c r="K345" s="8">
        <f t="shared" ca="1" si="64"/>
        <v>37840</v>
      </c>
      <c r="L345" s="6">
        <f t="shared" ca="1" si="65"/>
        <v>4</v>
      </c>
      <c r="M345" s="7">
        <f ca="1" xml:space="preserve">
  IF(OR($N345 = 2, $N345 = 3, $N345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345" s="6">
        <f t="shared" ca="1" si="66"/>
        <v>8</v>
      </c>
      <c r="O345" s="6">
        <f t="shared" ca="1" si="67"/>
        <v>2</v>
      </c>
      <c r="P345" s="8">
        <f t="shared" ca="1" si="68"/>
        <v>37820</v>
      </c>
      <c r="Q345" s="6">
        <f ca="1">RANDBETWEEN(2,COUNTA('Recruitment source'!$A:$A))</f>
        <v>4</v>
      </c>
      <c r="R345" s="8" t="e">
        <f t="shared" ca="1" si="69"/>
        <v>#N/A</v>
      </c>
      <c r="S345" s="6" t="e">
        <f t="shared" ca="1" si="70"/>
        <v>#N/A</v>
      </c>
      <c r="T345" s="6">
        <f t="shared" ca="1" si="60"/>
        <v>3</v>
      </c>
      <c r="U345" s="1">
        <f t="shared" ca="1" si="71"/>
        <v>2000</v>
      </c>
    </row>
    <row r="346" spans="1:21" x14ac:dyDescent="0.2">
      <c r="A346" s="7" cm="1">
        <f t="array" aca="1" ref="A346" ca="1">INDEX(Companies!$A:$A,RANDBETWEEN(2,COUNTA(Companies!$A:$A)),1)</f>
        <v>2</v>
      </c>
      <c r="B346" s="5">
        <f t="shared" si="61"/>
        <v>345</v>
      </c>
      <c r="C346" s="6">
        <f t="shared" ca="1" si="62"/>
        <v>1</v>
      </c>
      <c r="D346" s="7">
        <f ca="1">IF($B346 = 1 + N("Presidente"),
    127,
    IF($B346 = 2 + N("Vice-Presidente"),
        72,
        IF($B346 = 3 + N("Secretária bilíngue"),
            13,
            RANDBETWEEN(5,COUNT(Name!$A:$A) + 1)
        )
    )
)</f>
        <v>231</v>
      </c>
      <c r="E346" s="7" t="str">
        <f ca="1" xml:space="preserve">
VLOOKUP(
  $D346,
  Name!$A:$B,
  2,
  FALSE
)
&amp; " " &amp;
IF($B346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Lorenna Ramos Fontana</v>
      </c>
      <c r="F346" s="7">
        <v>2</v>
      </c>
      <c r="G346" s="7" cm="1">
        <f t="array" aca="1" ref="G346" ca="1">INDEX(States!$B:$B,RANDBETWEEN(2,COUNTA(States!$A:$A)),1)</f>
        <v>12</v>
      </c>
      <c r="H346" s="7" t="str">
        <f ca="1">VLOOKUP($D346,Name!$A:$C,3,FALSE)</f>
        <v>F</v>
      </c>
      <c r="I346" s="7" cm="1">
        <f t="array" aca="1" ref="I346" ca="1">INDEX('Marital status'!$A:$A,RANDBETWEEN(2,COUNTA('Marital status'!$A:$A)),1)</f>
        <v>5</v>
      </c>
      <c r="J346" s="7">
        <f t="shared" ca="1" si="63"/>
        <v>2</v>
      </c>
      <c r="K346" s="8">
        <f t="shared" ca="1" si="64"/>
        <v>25771</v>
      </c>
      <c r="L346" s="6">
        <f t="shared" ca="1" si="65"/>
        <v>4</v>
      </c>
      <c r="M346" s="7">
        <f ca="1" xml:space="preserve">
  IF(OR($N346 = 2, $N346 = 3, $N346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346" s="6">
        <f t="shared" ca="1" si="66"/>
        <v>6</v>
      </c>
      <c r="O346" s="6" t="e">
        <f t="shared" ca="1" si="67"/>
        <v>#N/A</v>
      </c>
      <c r="P346" s="8">
        <f t="shared" ca="1" si="68"/>
        <v>44373</v>
      </c>
      <c r="Q346" s="6">
        <f ca="1">RANDBETWEEN(2,COUNTA('Recruitment source'!$A:$A))</f>
        <v>12</v>
      </c>
      <c r="R346" s="8" t="e">
        <f t="shared" ca="1" si="69"/>
        <v>#N/A</v>
      </c>
      <c r="S346" s="6" t="e">
        <f t="shared" ca="1" si="70"/>
        <v>#N/A</v>
      </c>
      <c r="T346" s="6">
        <f t="shared" ca="1" si="60"/>
        <v>5</v>
      </c>
      <c r="U346" s="1">
        <f t="shared" ca="1" si="71"/>
        <v>805</v>
      </c>
    </row>
    <row r="347" spans="1:21" x14ac:dyDescent="0.2">
      <c r="A347" s="7" cm="1">
        <f t="array" aca="1" ref="A347" ca="1">INDEX(Companies!$A:$A,RANDBETWEEN(2,COUNTA(Companies!$A:$A)),1)</f>
        <v>2</v>
      </c>
      <c r="B347" s="5">
        <f t="shared" si="61"/>
        <v>346</v>
      </c>
      <c r="C347" s="6">
        <f t="shared" ca="1" si="62"/>
        <v>1</v>
      </c>
      <c r="D347" s="7">
        <f ca="1">IF($B347 = 1 + N("Presidente"),
    127,
    IF($B347 = 2 + N("Vice-Presidente"),
        72,
        IF($B347 = 3 + N("Secretária bilíngue"),
            13,
            RANDBETWEEN(5,COUNT(Name!$A:$A) + 1)
        )
    )
)</f>
        <v>252</v>
      </c>
      <c r="E347" s="7" t="str">
        <f ca="1" xml:space="preserve">
VLOOKUP(
  $D347,
  Name!$A:$B,
  2,
  FALSE
)
&amp; " " &amp;
IF($B347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Malco Bactista Carvalho</v>
      </c>
      <c r="F347" s="7">
        <v>2</v>
      </c>
      <c r="G347" s="7" cm="1">
        <f t="array" aca="1" ref="G347" ca="1">INDEX(States!$B:$B,RANDBETWEEN(2,COUNTA(States!$A:$A)),1)</f>
        <v>21</v>
      </c>
      <c r="H347" s="7" t="str">
        <f ca="1">VLOOKUP($D347,Name!$A:$C,3,FALSE)</f>
        <v>M</v>
      </c>
      <c r="I347" s="7" cm="1">
        <f t="array" aca="1" ref="I347" ca="1">INDEX('Marital status'!$A:$A,RANDBETWEEN(2,COUNTA('Marital status'!$A:$A)),1)</f>
        <v>5</v>
      </c>
      <c r="J347" s="7">
        <f t="shared" ca="1" si="63"/>
        <v>2</v>
      </c>
      <c r="K347" s="8">
        <f t="shared" ca="1" si="64"/>
        <v>34846</v>
      </c>
      <c r="L347" s="6">
        <f t="shared" ca="1" si="65"/>
        <v>4</v>
      </c>
      <c r="M347" s="7">
        <f ca="1" xml:space="preserve">
  IF(OR($N347 = 2, $N347 = 3, $N347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347" s="6">
        <f t="shared" ca="1" si="66"/>
        <v>8</v>
      </c>
      <c r="O347" s="6">
        <f t="shared" ca="1" si="67"/>
        <v>3</v>
      </c>
      <c r="P347" s="8">
        <f t="shared" ca="1" si="68"/>
        <v>37979</v>
      </c>
      <c r="Q347" s="6">
        <f ca="1">RANDBETWEEN(2,COUNTA('Recruitment source'!$A:$A))</f>
        <v>4</v>
      </c>
      <c r="R347" s="8" t="e">
        <f t="shared" ca="1" si="69"/>
        <v>#N/A</v>
      </c>
      <c r="S347" s="6" t="e">
        <f t="shared" ca="1" si="70"/>
        <v>#N/A</v>
      </c>
      <c r="T347" s="6">
        <f t="shared" ca="1" si="60"/>
        <v>5</v>
      </c>
      <c r="U347" s="1">
        <f t="shared" ca="1" si="71"/>
        <v>2000</v>
      </c>
    </row>
    <row r="348" spans="1:21" x14ac:dyDescent="0.2">
      <c r="A348" s="7" cm="1">
        <f t="array" aca="1" ref="A348" ca="1">INDEX(Companies!$A:$A,RANDBETWEEN(2,COUNTA(Companies!$A:$A)),1)</f>
        <v>2</v>
      </c>
      <c r="B348" s="5">
        <f t="shared" si="61"/>
        <v>347</v>
      </c>
      <c r="C348" s="6">
        <f t="shared" ca="1" si="62"/>
        <v>1</v>
      </c>
      <c r="D348" s="7">
        <f ca="1">IF($B348 = 1 + N("Presidente"),
    127,
    IF($B348 = 2 + N("Vice-Presidente"),
        72,
        IF($B348 = 3 + N("Secretária bilíngue"),
            13,
            RANDBETWEEN(5,COUNT(Name!$A:$A) + 1)
        )
    )
)</f>
        <v>145</v>
      </c>
      <c r="E348" s="7" t="str">
        <f ca="1" xml:space="preserve">
VLOOKUP(
  $D348,
  Name!$A:$B,
  2,
  FALSE
)
&amp; " " &amp;
IF($B348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Francisca Martini Cardozo</v>
      </c>
      <c r="F348" s="7">
        <v>2</v>
      </c>
      <c r="G348" s="7" cm="1">
        <f t="array" aca="1" ref="G348" ca="1">INDEX(States!$B:$B,RANDBETWEEN(2,COUNTA(States!$A:$A)),1)</f>
        <v>8</v>
      </c>
      <c r="H348" s="7" t="str">
        <f ca="1">VLOOKUP($D348,Name!$A:$C,3,FALSE)</f>
        <v>F</v>
      </c>
      <c r="I348" s="7" cm="1">
        <f t="array" aca="1" ref="I348" ca="1">INDEX('Marital status'!$A:$A,RANDBETWEEN(2,COUNTA('Marital status'!$A:$A)),1)</f>
        <v>2</v>
      </c>
      <c r="J348" s="7">
        <f t="shared" ca="1" si="63"/>
        <v>2</v>
      </c>
      <c r="K348" s="8">
        <f t="shared" ca="1" si="64"/>
        <v>32762</v>
      </c>
      <c r="L348" s="6">
        <f t="shared" ca="1" si="65"/>
        <v>4</v>
      </c>
      <c r="M348" s="7">
        <f ca="1" xml:space="preserve">
  IF(OR($N348 = 2, $N348 = 3, $N348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348" s="6">
        <f t="shared" ca="1" si="66"/>
        <v>6</v>
      </c>
      <c r="O348" s="6" t="e">
        <f t="shared" ca="1" si="67"/>
        <v>#N/A</v>
      </c>
      <c r="P348" s="8">
        <f t="shared" ca="1" si="68"/>
        <v>39897</v>
      </c>
      <c r="Q348" s="6">
        <f ca="1">RANDBETWEEN(2,COUNTA('Recruitment source'!$A:$A))</f>
        <v>5</v>
      </c>
      <c r="R348" s="8" t="e">
        <f t="shared" ca="1" si="69"/>
        <v>#N/A</v>
      </c>
      <c r="S348" s="6" t="e">
        <f t="shared" ca="1" si="70"/>
        <v>#N/A</v>
      </c>
      <c r="T348" s="6">
        <f t="shared" ca="1" si="60"/>
        <v>5</v>
      </c>
      <c r="U348" s="1">
        <f t="shared" ca="1" si="71"/>
        <v>805</v>
      </c>
    </row>
    <row r="349" spans="1:21" x14ac:dyDescent="0.2">
      <c r="A349" s="7" cm="1">
        <f t="array" aca="1" ref="A349" ca="1">INDEX(Companies!$A:$A,RANDBETWEEN(2,COUNTA(Companies!$A:$A)),1)</f>
        <v>2</v>
      </c>
      <c r="B349" s="5">
        <f t="shared" si="61"/>
        <v>348</v>
      </c>
      <c r="C349" s="6">
        <f t="shared" ca="1" si="62"/>
        <v>1</v>
      </c>
      <c r="D349" s="7">
        <f ca="1">IF($B349 = 1 + N("Presidente"),
    127,
    IF($B349 = 2 + N("Vice-Presidente"),
        72,
        IF($B349 = 3 + N("Secretária bilíngue"),
            13,
            RANDBETWEEN(5,COUNT(Name!$A:$A) + 1)
        )
    )
)</f>
        <v>227</v>
      </c>
      <c r="E349" s="7" t="str">
        <f ca="1" xml:space="preserve">
VLOOKUP(
  $D349,
  Name!$A:$B,
  2,
  FALSE
)
&amp; " " &amp;
IF($B349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Lia Gouveia Longo</v>
      </c>
      <c r="F349" s="7">
        <v>2</v>
      </c>
      <c r="G349" s="7" cm="1">
        <f t="array" aca="1" ref="G349" ca="1">INDEX(States!$B:$B,RANDBETWEEN(2,COUNTA(States!$A:$A)),1)</f>
        <v>19</v>
      </c>
      <c r="H349" s="7" t="str">
        <f ca="1">VLOOKUP($D349,Name!$A:$C,3,FALSE)</f>
        <v>F</v>
      </c>
      <c r="I349" s="7" cm="1">
        <f t="array" aca="1" ref="I349" ca="1">INDEX('Marital status'!$A:$A,RANDBETWEEN(2,COUNTA('Marital status'!$A:$A)),1)</f>
        <v>4</v>
      </c>
      <c r="J349" s="7">
        <f t="shared" ca="1" si="63"/>
        <v>2</v>
      </c>
      <c r="K349" s="8">
        <f t="shared" ca="1" si="64"/>
        <v>33003</v>
      </c>
      <c r="L349" s="6">
        <f t="shared" ca="1" si="65"/>
        <v>4</v>
      </c>
      <c r="M349" s="7">
        <f ca="1" xml:space="preserve">
  IF(OR($N349 = 2, $N349 = 3, $N349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349" s="6">
        <f t="shared" ca="1" si="66"/>
        <v>8</v>
      </c>
      <c r="O349" s="6">
        <f t="shared" ca="1" si="67"/>
        <v>2</v>
      </c>
      <c r="P349" s="8">
        <f t="shared" ca="1" si="68"/>
        <v>41121</v>
      </c>
      <c r="Q349" s="6">
        <f ca="1">RANDBETWEEN(2,COUNTA('Recruitment source'!$A:$A))</f>
        <v>2</v>
      </c>
      <c r="R349" s="8" t="e">
        <f t="shared" ca="1" si="69"/>
        <v>#N/A</v>
      </c>
      <c r="S349" s="6" t="e">
        <f t="shared" ca="1" si="70"/>
        <v>#N/A</v>
      </c>
      <c r="T349" s="6">
        <f t="shared" ca="1" si="60"/>
        <v>2</v>
      </c>
      <c r="U349" s="1">
        <f t="shared" ca="1" si="71"/>
        <v>2000</v>
      </c>
    </row>
    <row r="350" spans="1:21" x14ac:dyDescent="0.2">
      <c r="A350" s="7" cm="1">
        <f t="array" aca="1" ref="A350" ca="1">INDEX(Companies!$A:$A,RANDBETWEEN(2,COUNTA(Companies!$A:$A)),1)</f>
        <v>2</v>
      </c>
      <c r="B350" s="5">
        <f t="shared" si="61"/>
        <v>349</v>
      </c>
      <c r="C350" s="6">
        <f t="shared" ca="1" si="62"/>
        <v>1</v>
      </c>
      <c r="D350" s="7">
        <f ca="1">IF($B350 = 1 + N("Presidente"),
    127,
    IF($B350 = 2 + N("Vice-Presidente"),
        72,
        IF($B350 = 3 + N("Secretária bilíngue"),
            13,
            RANDBETWEEN(5,COUNT(Name!$A:$A) + 1)
        )
    )
)</f>
        <v>50</v>
      </c>
      <c r="E350" s="7" t="str">
        <f ca="1" xml:space="preserve">
VLOOKUP(
  $D350,
  Name!$A:$B,
  2,
  FALSE
)
&amp; " " &amp;
IF($B350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Antonella Veiga Campos</v>
      </c>
      <c r="F350" s="7">
        <v>2</v>
      </c>
      <c r="G350" s="7" cm="1">
        <f t="array" aca="1" ref="G350" ca="1">INDEX(States!$B:$B,RANDBETWEEN(2,COUNTA(States!$A:$A)),1)</f>
        <v>15</v>
      </c>
      <c r="H350" s="7" t="str">
        <f ca="1">VLOOKUP($D350,Name!$A:$C,3,FALSE)</f>
        <v>F</v>
      </c>
      <c r="I350" s="7" cm="1">
        <f t="array" aca="1" ref="I350" ca="1">INDEX('Marital status'!$A:$A,RANDBETWEEN(2,COUNTA('Marital status'!$A:$A)),1)</f>
        <v>6</v>
      </c>
      <c r="J350" s="7">
        <f t="shared" ca="1" si="63"/>
        <v>3</v>
      </c>
      <c r="K350" s="8">
        <f t="shared" ca="1" si="64"/>
        <v>33925</v>
      </c>
      <c r="L350" s="6">
        <f t="shared" ca="1" si="65"/>
        <v>4</v>
      </c>
      <c r="M350" s="7">
        <f ca="1" xml:space="preserve">
  IF(OR($N350 = 2, $N350 = 3, $N350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350" s="6">
        <f t="shared" ca="1" si="66"/>
        <v>7</v>
      </c>
      <c r="O350" s="6" t="e">
        <f t="shared" ca="1" si="67"/>
        <v>#N/A</v>
      </c>
      <c r="P350" s="8">
        <f t="shared" ca="1" si="68"/>
        <v>36165</v>
      </c>
      <c r="Q350" s="6">
        <f ca="1">RANDBETWEEN(2,COUNTA('Recruitment source'!$A:$A))</f>
        <v>3</v>
      </c>
      <c r="R350" s="8" t="e">
        <f t="shared" ca="1" si="69"/>
        <v>#N/A</v>
      </c>
      <c r="S350" s="6" t="e">
        <f t="shared" ca="1" si="70"/>
        <v>#N/A</v>
      </c>
      <c r="T350" s="6">
        <f t="shared" ca="1" si="60"/>
        <v>2</v>
      </c>
      <c r="U350" s="1">
        <f t="shared" ca="1" si="71"/>
        <v>1005</v>
      </c>
    </row>
    <row r="351" spans="1:21" x14ac:dyDescent="0.2">
      <c r="A351" s="7" cm="1">
        <f t="array" aca="1" ref="A351" ca="1">INDEX(Companies!$A:$A,RANDBETWEEN(2,COUNTA(Companies!$A:$A)),1)</f>
        <v>2</v>
      </c>
      <c r="B351" s="5">
        <f t="shared" si="61"/>
        <v>350</v>
      </c>
      <c r="C351" s="6">
        <f t="shared" ca="1" si="62"/>
        <v>1</v>
      </c>
      <c r="D351" s="7">
        <f ca="1">IF($B351 = 1 + N("Presidente"),
    127,
    IF($B351 = 2 + N("Vice-Presidente"),
        72,
        IF($B351 = 3 + N("Secretária bilíngue"),
            13,
            RANDBETWEEN(5,COUNT(Name!$A:$A) + 1)
        )
    )
)</f>
        <v>304</v>
      </c>
      <c r="E351" s="7" t="str">
        <f ca="1" xml:space="preserve">
VLOOKUP(
  $D351,
  Name!$A:$B,
  2,
  FALSE
)
&amp; " " &amp;
IF($B351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Natanael Camões Rinaldi</v>
      </c>
      <c r="F351" s="7">
        <v>2</v>
      </c>
      <c r="G351" s="7" cm="1">
        <f t="array" aca="1" ref="G351" ca="1">INDEX(States!$B:$B,RANDBETWEEN(2,COUNTA(States!$A:$A)),1)</f>
        <v>11</v>
      </c>
      <c r="H351" s="7" t="str">
        <f ca="1">VLOOKUP($D351,Name!$A:$C,3,FALSE)</f>
        <v>M</v>
      </c>
      <c r="I351" s="7" cm="1">
        <f t="array" aca="1" ref="I351" ca="1">INDEX('Marital status'!$A:$A,RANDBETWEEN(2,COUNTA('Marital status'!$A:$A)),1)</f>
        <v>4</v>
      </c>
      <c r="J351" s="7">
        <f t="shared" ca="1" si="63"/>
        <v>2</v>
      </c>
      <c r="K351" s="8">
        <f t="shared" ca="1" si="64"/>
        <v>36228</v>
      </c>
      <c r="L351" s="6">
        <f t="shared" ca="1" si="65"/>
        <v>4</v>
      </c>
      <c r="M351" s="7">
        <f ca="1" xml:space="preserve">
  IF(OR($N351 = 2, $N351 = 3, $N351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351" s="6">
        <f t="shared" ca="1" si="66"/>
        <v>8</v>
      </c>
      <c r="O351" s="6">
        <f t="shared" ca="1" si="67"/>
        <v>3</v>
      </c>
      <c r="P351" s="8">
        <f t="shared" ca="1" si="68"/>
        <v>39482</v>
      </c>
      <c r="Q351" s="6">
        <f ca="1">RANDBETWEEN(2,COUNTA('Recruitment source'!$A:$A))</f>
        <v>7</v>
      </c>
      <c r="R351" s="8" t="e">
        <f t="shared" ca="1" si="69"/>
        <v>#N/A</v>
      </c>
      <c r="S351" s="6" t="e">
        <f t="shared" ca="1" si="70"/>
        <v>#N/A</v>
      </c>
      <c r="T351" s="6">
        <f t="shared" ca="1" si="60"/>
        <v>2</v>
      </c>
      <c r="U351" s="1">
        <f t="shared" ca="1" si="71"/>
        <v>2000</v>
      </c>
    </row>
    <row r="352" spans="1:21" x14ac:dyDescent="0.2">
      <c r="A352" s="7" cm="1">
        <f t="array" aca="1" ref="A352" ca="1">INDEX(Companies!$A:$A,RANDBETWEEN(2,COUNTA(Companies!$A:$A)),1)</f>
        <v>2</v>
      </c>
      <c r="B352" s="5">
        <f t="shared" si="61"/>
        <v>351</v>
      </c>
      <c r="C352" s="6">
        <f t="shared" ca="1" si="62"/>
        <v>1</v>
      </c>
      <c r="D352" s="7">
        <f ca="1">IF($B352 = 1 + N("Presidente"),
    127,
    IF($B352 = 2 + N("Vice-Presidente"),
        72,
        IF($B352 = 3 + N("Secretária bilíngue"),
            13,
            RANDBETWEEN(5,COUNT(Name!$A:$A) + 1)
        )
    )
)</f>
        <v>85</v>
      </c>
      <c r="E352" s="7" t="str">
        <f ca="1" xml:space="preserve">
VLOOKUP(
  $D352,
  Name!$A:$B,
  2,
  FALSE
)
&amp; " " &amp;
IF($B352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Carlos Eduardo Figo Resende</v>
      </c>
      <c r="F352" s="7">
        <v>2</v>
      </c>
      <c r="G352" s="7" cm="1">
        <f t="array" aca="1" ref="G352" ca="1">INDEX(States!$B:$B,RANDBETWEEN(2,COUNTA(States!$A:$A)),1)</f>
        <v>14</v>
      </c>
      <c r="H352" s="7" t="str">
        <f ca="1">VLOOKUP($D352,Name!$A:$C,3,FALSE)</f>
        <v>M</v>
      </c>
      <c r="I352" s="7" cm="1">
        <f t="array" aca="1" ref="I352" ca="1">INDEX('Marital status'!$A:$A,RANDBETWEEN(2,COUNTA('Marital status'!$A:$A)),1)</f>
        <v>2</v>
      </c>
      <c r="J352" s="7">
        <f t="shared" ca="1" si="63"/>
        <v>4</v>
      </c>
      <c r="K352" s="8">
        <f t="shared" ca="1" si="64"/>
        <v>31989</v>
      </c>
      <c r="L352" s="6">
        <f t="shared" ca="1" si="65"/>
        <v>4</v>
      </c>
      <c r="M352" s="7">
        <f ca="1" xml:space="preserve">
  IF(OR($N352 = 2, $N352 = 3, $N352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352" s="6">
        <f t="shared" ca="1" si="66"/>
        <v>7</v>
      </c>
      <c r="O352" s="6" t="e">
        <f t="shared" ca="1" si="67"/>
        <v>#N/A</v>
      </c>
      <c r="P352" s="8">
        <f t="shared" ca="1" si="68"/>
        <v>40270</v>
      </c>
      <c r="Q352" s="6">
        <f ca="1">RANDBETWEEN(2,COUNTA('Recruitment source'!$A:$A))</f>
        <v>2</v>
      </c>
      <c r="R352" s="8" t="e">
        <f t="shared" ca="1" si="69"/>
        <v>#N/A</v>
      </c>
      <c r="S352" s="6" t="e">
        <f t="shared" ca="1" si="70"/>
        <v>#N/A</v>
      </c>
      <c r="T352" s="6">
        <f t="shared" ca="1" si="60"/>
        <v>4</v>
      </c>
      <c r="U352" s="1">
        <f t="shared" ca="1" si="71"/>
        <v>1005</v>
      </c>
    </row>
    <row r="353" spans="1:21" x14ac:dyDescent="0.2">
      <c r="A353" s="7" cm="1">
        <f t="array" aca="1" ref="A353" ca="1">INDEX(Companies!$A:$A,RANDBETWEEN(2,COUNTA(Companies!$A:$A)),1)</f>
        <v>2</v>
      </c>
      <c r="B353" s="5">
        <f t="shared" si="61"/>
        <v>352</v>
      </c>
      <c r="C353" s="6">
        <f t="shared" ca="1" si="62"/>
        <v>1</v>
      </c>
      <c r="D353" s="7">
        <f ca="1">IF($B353 = 1 + N("Presidente"),
    127,
    IF($B353 = 2 + N("Vice-Presidente"),
        72,
        IF($B353 = 3 + N("Secretária bilíngue"),
            13,
            RANDBETWEEN(5,COUNT(Name!$A:$A) + 1)
        )
    )
)</f>
        <v>297</v>
      </c>
      <c r="E353" s="7" t="str">
        <f ca="1" xml:space="preserve">
VLOOKUP(
  $D353,
  Name!$A:$B,
  2,
  FALSE
)
&amp; " " &amp;
IF($B353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Miguelito Pinto Camões</v>
      </c>
      <c r="F353" s="7">
        <v>2</v>
      </c>
      <c r="G353" s="7" cm="1">
        <f t="array" aca="1" ref="G353" ca="1">INDEX(States!$B:$B,RANDBETWEEN(2,COUNTA(States!$A:$A)),1)</f>
        <v>10</v>
      </c>
      <c r="H353" s="7" t="str">
        <f ca="1">VLOOKUP($D353,Name!$A:$C,3,FALSE)</f>
        <v>M</v>
      </c>
      <c r="I353" s="7" cm="1">
        <f t="array" aca="1" ref="I353" ca="1">INDEX('Marital status'!$A:$A,RANDBETWEEN(2,COUNTA('Marital status'!$A:$A)),1)</f>
        <v>4</v>
      </c>
      <c r="J353" s="7">
        <f t="shared" ca="1" si="63"/>
        <v>2</v>
      </c>
      <c r="K353" s="8">
        <f t="shared" ca="1" si="64"/>
        <v>33542</v>
      </c>
      <c r="L353" s="6">
        <f t="shared" ca="1" si="65"/>
        <v>5</v>
      </c>
      <c r="M353" s="7">
        <f ca="1" xml:space="preserve">
  IF(OR($N353 = 2, $N353 = 3, $N353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353" s="6">
        <f t="shared" ca="1" si="66"/>
        <v>8</v>
      </c>
      <c r="O353" s="6">
        <f t="shared" ca="1" si="67"/>
        <v>4</v>
      </c>
      <c r="P353" s="8">
        <f t="shared" ca="1" si="68"/>
        <v>40691</v>
      </c>
      <c r="Q353" s="6">
        <f ca="1">RANDBETWEEN(2,COUNTA('Recruitment source'!$A:$A))</f>
        <v>6</v>
      </c>
      <c r="R353" s="8" t="e">
        <f t="shared" ca="1" si="69"/>
        <v>#N/A</v>
      </c>
      <c r="S353" s="6" t="e">
        <f t="shared" ca="1" si="70"/>
        <v>#N/A</v>
      </c>
      <c r="T353" s="6">
        <f t="shared" ca="1" si="60"/>
        <v>4</v>
      </c>
      <c r="U353" s="1">
        <f t="shared" ca="1" si="71"/>
        <v>2080</v>
      </c>
    </row>
    <row r="354" spans="1:21" x14ac:dyDescent="0.2">
      <c r="A354" s="7" cm="1">
        <f t="array" aca="1" ref="A354" ca="1">INDEX(Companies!$A:$A,RANDBETWEEN(2,COUNTA(Companies!$A:$A)),1)</f>
        <v>2</v>
      </c>
      <c r="B354" s="5">
        <f t="shared" si="61"/>
        <v>353</v>
      </c>
      <c r="C354" s="6">
        <f t="shared" ca="1" si="62"/>
        <v>1</v>
      </c>
      <c r="D354" s="7">
        <f ca="1">IF($B354 = 1 + N("Presidente"),
    127,
    IF($B354 = 2 + N("Vice-Presidente"),
        72,
        IF($B354 = 3 + N("Secretária bilíngue"),
            13,
            RANDBETWEEN(5,COUNT(Name!$A:$A) + 1)
        )
    )
)</f>
        <v>342</v>
      </c>
      <c r="E354" s="7" t="str">
        <f ca="1" xml:space="preserve">
VLOOKUP(
  $D354,
  Name!$A:$B,
  2,
  FALSE
)
&amp; " " &amp;
IF($B354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Théo Auth Santana</v>
      </c>
      <c r="F354" s="7">
        <v>2</v>
      </c>
      <c r="G354" s="7" cm="1">
        <f t="array" aca="1" ref="G354" ca="1">INDEX(States!$B:$B,RANDBETWEEN(2,COUNTA(States!$A:$A)),1)</f>
        <v>6</v>
      </c>
      <c r="H354" s="7" t="str">
        <f ca="1">VLOOKUP($D354,Name!$A:$C,3,FALSE)</f>
        <v>M</v>
      </c>
      <c r="I354" s="7" cm="1">
        <f t="array" aca="1" ref="I354" ca="1">INDEX('Marital status'!$A:$A,RANDBETWEEN(2,COUNTA('Marital status'!$A:$A)),1)</f>
        <v>3</v>
      </c>
      <c r="J354" s="7">
        <f t="shared" ca="1" si="63"/>
        <v>2</v>
      </c>
      <c r="K354" s="8">
        <f t="shared" ca="1" si="64"/>
        <v>32082</v>
      </c>
      <c r="L354" s="6">
        <f t="shared" ca="1" si="65"/>
        <v>4</v>
      </c>
      <c r="M354" s="7">
        <f ca="1" xml:space="preserve">
  IF(OR($N354 = 2, $N354 = 3, $N354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354" s="6">
        <f t="shared" ca="1" si="66"/>
        <v>6</v>
      </c>
      <c r="O354" s="6" t="e">
        <f t="shared" ca="1" si="67"/>
        <v>#N/A</v>
      </c>
      <c r="P354" s="8">
        <f t="shared" ca="1" si="68"/>
        <v>37073</v>
      </c>
      <c r="Q354" s="6">
        <f ca="1">RANDBETWEEN(2,COUNTA('Recruitment source'!$A:$A))</f>
        <v>8</v>
      </c>
      <c r="R354" s="8" t="e">
        <f t="shared" ca="1" si="69"/>
        <v>#N/A</v>
      </c>
      <c r="S354" s="6" t="e">
        <f t="shared" ca="1" si="70"/>
        <v>#N/A</v>
      </c>
      <c r="T354" s="6">
        <f t="shared" ca="1" si="60"/>
        <v>3</v>
      </c>
      <c r="U354" s="1">
        <f t="shared" ca="1" si="71"/>
        <v>805</v>
      </c>
    </row>
    <row r="355" spans="1:21" x14ac:dyDescent="0.2">
      <c r="A355" s="7" cm="1">
        <f t="array" aca="1" ref="A355" ca="1">INDEX(Companies!$A:$A,RANDBETWEEN(2,COUNTA(Companies!$A:$A)),1)</f>
        <v>2</v>
      </c>
      <c r="B355" s="5">
        <f t="shared" si="61"/>
        <v>354</v>
      </c>
      <c r="C355" s="6">
        <f t="shared" ca="1" si="62"/>
        <v>1</v>
      </c>
      <c r="D355" s="7">
        <f ca="1">IF($B355 = 1 + N("Presidente"),
    127,
    IF($B355 = 2 + N("Vice-Presidente"),
        72,
        IF($B355 = 3 + N("Secretária bilíngue"),
            13,
            RANDBETWEEN(5,COUNT(Name!$A:$A) + 1)
        )
    )
)</f>
        <v>363</v>
      </c>
      <c r="E355" s="7" t="str">
        <f ca="1" xml:space="preserve">
VLOOKUP(
  $D355,
  Name!$A:$B,
  2,
  FALSE
)
&amp; " " &amp;
IF($B355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Yago Moreira Anunciação</v>
      </c>
      <c r="F355" s="7">
        <v>2</v>
      </c>
      <c r="G355" s="7" cm="1">
        <f t="array" aca="1" ref="G355" ca="1">INDEX(States!$B:$B,RANDBETWEEN(2,COUNTA(States!$A:$A)),1)</f>
        <v>3</v>
      </c>
      <c r="H355" s="7" t="str">
        <f ca="1">VLOOKUP($D355,Name!$A:$C,3,FALSE)</f>
        <v>M</v>
      </c>
      <c r="I355" s="7" cm="1">
        <f t="array" aca="1" ref="I355" ca="1">INDEX('Marital status'!$A:$A,RANDBETWEEN(2,COUNTA('Marital status'!$A:$A)),1)</f>
        <v>6</v>
      </c>
      <c r="J355" s="7">
        <f t="shared" ca="1" si="63"/>
        <v>2</v>
      </c>
      <c r="K355" s="8">
        <f t="shared" ca="1" si="64"/>
        <v>36510</v>
      </c>
      <c r="L355" s="6">
        <f t="shared" ca="1" si="65"/>
        <v>5</v>
      </c>
      <c r="M355" s="7">
        <f ca="1" xml:space="preserve">
  IF(OR($N355 = 2, $N355 = 3, $N355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355" s="6">
        <f t="shared" ca="1" si="66"/>
        <v>8</v>
      </c>
      <c r="O355" s="6">
        <f t="shared" ca="1" si="67"/>
        <v>4</v>
      </c>
      <c r="P355" s="8">
        <f t="shared" ca="1" si="68"/>
        <v>37352</v>
      </c>
      <c r="Q355" s="6">
        <f ca="1">RANDBETWEEN(2,COUNTA('Recruitment source'!$A:$A))</f>
        <v>4</v>
      </c>
      <c r="R355" s="8" t="e">
        <f t="shared" ca="1" si="69"/>
        <v>#N/A</v>
      </c>
      <c r="S355" s="6" t="e">
        <f t="shared" ca="1" si="70"/>
        <v>#N/A</v>
      </c>
      <c r="T355" s="6">
        <f t="shared" ca="1" si="60"/>
        <v>5</v>
      </c>
      <c r="U355" s="1">
        <f t="shared" ca="1" si="71"/>
        <v>2000</v>
      </c>
    </row>
    <row r="356" spans="1:21" x14ac:dyDescent="0.2">
      <c r="A356" s="7" cm="1">
        <f t="array" aca="1" ref="A356" ca="1">INDEX(Companies!$A:$A,RANDBETWEEN(2,COUNTA(Companies!$A:$A)),1)</f>
        <v>2</v>
      </c>
      <c r="B356" s="5">
        <f t="shared" si="61"/>
        <v>355</v>
      </c>
      <c r="C356" s="6">
        <f t="shared" ca="1" si="62"/>
        <v>1</v>
      </c>
      <c r="D356" s="7">
        <f ca="1">IF($B356 = 1 + N("Presidente"),
    127,
    IF($B356 = 2 + N("Vice-Presidente"),
        72,
        IF($B356 = 3 + N("Secretária bilíngue"),
            13,
            RANDBETWEEN(5,COUNT(Name!$A:$A) + 1)
        )
    )
)</f>
        <v>166</v>
      </c>
      <c r="E356" s="7" t="str">
        <f ca="1" xml:space="preserve">
VLOOKUP(
  $D356,
  Name!$A:$B,
  2,
  FALSE
)
&amp; " " &amp;
IF($B356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Henrico Negrão Borba</v>
      </c>
      <c r="F356" s="7">
        <v>2</v>
      </c>
      <c r="G356" s="7" cm="1">
        <f t="array" aca="1" ref="G356" ca="1">INDEX(States!$B:$B,RANDBETWEEN(2,COUNTA(States!$A:$A)),1)</f>
        <v>20</v>
      </c>
      <c r="H356" s="7" t="str">
        <f ca="1">VLOOKUP($D356,Name!$A:$C,3,FALSE)</f>
        <v>M</v>
      </c>
      <c r="I356" s="7" cm="1">
        <f t="array" aca="1" ref="I356" ca="1">INDEX('Marital status'!$A:$A,RANDBETWEEN(2,COUNTA('Marital status'!$A:$A)),1)</f>
        <v>5</v>
      </c>
      <c r="J356" s="7">
        <f t="shared" ca="1" si="63"/>
        <v>2</v>
      </c>
      <c r="K356" s="8">
        <f t="shared" ca="1" si="64"/>
        <v>24161</v>
      </c>
      <c r="L356" s="6">
        <f t="shared" ca="1" si="65"/>
        <v>4</v>
      </c>
      <c r="M356" s="7">
        <f ca="1" xml:space="preserve">
  IF(OR($N356 = 2, $N356 = 3, $N356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356" s="6">
        <f t="shared" ca="1" si="66"/>
        <v>6</v>
      </c>
      <c r="O356" s="6" t="e">
        <f t="shared" ca="1" si="67"/>
        <v>#N/A</v>
      </c>
      <c r="P356" s="8">
        <f t="shared" ca="1" si="68"/>
        <v>42922</v>
      </c>
      <c r="Q356" s="6">
        <f ca="1">RANDBETWEEN(2,COUNTA('Recruitment source'!$A:$A))</f>
        <v>8</v>
      </c>
      <c r="R356" s="8" t="e">
        <f t="shared" ca="1" si="69"/>
        <v>#N/A</v>
      </c>
      <c r="S356" s="6" t="e">
        <f t="shared" ca="1" si="70"/>
        <v>#N/A</v>
      </c>
      <c r="T356" s="6">
        <f t="shared" ca="1" si="60"/>
        <v>4</v>
      </c>
      <c r="U356" s="1">
        <f t="shared" ca="1" si="71"/>
        <v>805</v>
      </c>
    </row>
    <row r="357" spans="1:21" x14ac:dyDescent="0.2">
      <c r="A357" s="7" cm="1">
        <f t="array" aca="1" ref="A357" ca="1">INDEX(Companies!$A:$A,RANDBETWEEN(2,COUNTA(Companies!$A:$A)),1)</f>
        <v>2</v>
      </c>
      <c r="B357" s="5">
        <f t="shared" si="61"/>
        <v>356</v>
      </c>
      <c r="C357" s="6">
        <f t="shared" ca="1" si="62"/>
        <v>1</v>
      </c>
      <c r="D357" s="7">
        <f ca="1">IF($B357 = 1 + N("Presidente"),
    127,
    IF($B357 = 2 + N("Vice-Presidente"),
        72,
        IF($B357 = 3 + N("Secretária bilíngue"),
            13,
            RANDBETWEEN(5,COUNT(Name!$A:$A) + 1)
        )
    )
)</f>
        <v>89</v>
      </c>
      <c r="E357" s="7" t="str">
        <f ca="1" xml:space="preserve">
VLOOKUP(
  $D357,
  Name!$A:$B,
  2,
  FALSE
)
&amp; " " &amp;
IF($B357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Cauã Souza Holanda</v>
      </c>
      <c r="F357" s="7">
        <v>2</v>
      </c>
      <c r="G357" s="7" cm="1">
        <f t="array" aca="1" ref="G357" ca="1">INDEX(States!$B:$B,RANDBETWEEN(2,COUNTA(States!$A:$A)),1)</f>
        <v>20</v>
      </c>
      <c r="H357" s="7" t="str">
        <f ca="1">VLOOKUP($D357,Name!$A:$C,3,FALSE)</f>
        <v>M</v>
      </c>
      <c r="I357" s="7" cm="1">
        <f t="array" aca="1" ref="I357" ca="1">INDEX('Marital status'!$A:$A,RANDBETWEEN(2,COUNTA('Marital status'!$A:$A)),1)</f>
        <v>2</v>
      </c>
      <c r="J357" s="7">
        <f t="shared" ca="1" si="63"/>
        <v>3</v>
      </c>
      <c r="K357" s="8">
        <f t="shared" ca="1" si="64"/>
        <v>37282</v>
      </c>
      <c r="L357" s="6">
        <f t="shared" ca="1" si="65"/>
        <v>5</v>
      </c>
      <c r="M357" s="7">
        <f ca="1" xml:space="preserve">
  IF(OR($N357 = 2, $N357 = 3, $N357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357" s="6">
        <f t="shared" ca="1" si="66"/>
        <v>8</v>
      </c>
      <c r="O357" s="6">
        <f t="shared" ca="1" si="67"/>
        <v>2</v>
      </c>
      <c r="P357" s="8">
        <f t="shared" ca="1" si="68"/>
        <v>43974</v>
      </c>
      <c r="Q357" s="6">
        <f ca="1">RANDBETWEEN(2,COUNTA('Recruitment source'!$A:$A))</f>
        <v>10</v>
      </c>
      <c r="R357" s="8" t="e">
        <f t="shared" ca="1" si="69"/>
        <v>#N/A</v>
      </c>
      <c r="S357" s="6" t="e">
        <f t="shared" ca="1" si="70"/>
        <v>#N/A</v>
      </c>
      <c r="T357" s="6">
        <f t="shared" ca="1" si="60"/>
        <v>2</v>
      </c>
      <c r="U357" s="1">
        <f t="shared" ca="1" si="71"/>
        <v>2000</v>
      </c>
    </row>
    <row r="358" spans="1:21" x14ac:dyDescent="0.2">
      <c r="A358" s="7" cm="1">
        <f t="array" aca="1" ref="A358" ca="1">INDEX(Companies!$A:$A,RANDBETWEEN(2,COUNTA(Companies!$A:$A)),1)</f>
        <v>2</v>
      </c>
      <c r="B358" s="5">
        <f t="shared" si="61"/>
        <v>357</v>
      </c>
      <c r="C358" s="6">
        <f t="shared" ca="1" si="62"/>
        <v>1</v>
      </c>
      <c r="D358" s="7">
        <f ca="1">IF($B358 = 1 + N("Presidente"),
    127,
    IF($B358 = 2 + N("Vice-Presidente"),
        72,
        IF($B358 = 3 + N("Secretária bilíngue"),
            13,
            RANDBETWEEN(5,COUNT(Name!$A:$A) + 1)
        )
    )
)</f>
        <v>185</v>
      </c>
      <c r="E358" s="7" t="str">
        <f ca="1" xml:space="preserve">
VLOOKUP(
  $D358,
  Name!$A:$B,
  2,
  FALSE
)
&amp; " " &amp;
IF($B358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Bispo Sousa</v>
      </c>
      <c r="F358" s="7">
        <v>2</v>
      </c>
      <c r="G358" s="7" cm="1">
        <f t="array" aca="1" ref="G358" ca="1">INDEX(States!$B:$B,RANDBETWEEN(2,COUNTA(States!$A:$A)),1)</f>
        <v>16</v>
      </c>
      <c r="H358" s="7" t="str">
        <f ca="1">VLOOKUP($D358,Name!$A:$C,3,FALSE)</f>
        <v>M</v>
      </c>
      <c r="I358" s="7" cm="1">
        <f t="array" aca="1" ref="I358" ca="1">INDEX('Marital status'!$A:$A,RANDBETWEEN(2,COUNTA('Marital status'!$A:$A)),1)</f>
        <v>6</v>
      </c>
      <c r="J358" s="7">
        <f t="shared" ca="1" si="63"/>
        <v>2</v>
      </c>
      <c r="K358" s="8">
        <f t="shared" ca="1" si="64"/>
        <v>31368</v>
      </c>
      <c r="L358" s="6">
        <f t="shared" ca="1" si="65"/>
        <v>4</v>
      </c>
      <c r="M358" s="7">
        <f ca="1" xml:space="preserve">
  IF(OR($N358 = 2, $N358 = 3, $N358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358" s="6">
        <f t="shared" ca="1" si="66"/>
        <v>7</v>
      </c>
      <c r="O358" s="6" t="e">
        <f t="shared" ca="1" si="67"/>
        <v>#N/A</v>
      </c>
      <c r="P358" s="8">
        <f t="shared" ca="1" si="68"/>
        <v>42447</v>
      </c>
      <c r="Q358" s="6">
        <f ca="1">RANDBETWEEN(2,COUNTA('Recruitment source'!$A:$A))</f>
        <v>8</v>
      </c>
      <c r="R358" s="8" t="e">
        <f t="shared" ca="1" si="69"/>
        <v>#N/A</v>
      </c>
      <c r="S358" s="6" t="e">
        <f t="shared" ca="1" si="70"/>
        <v>#N/A</v>
      </c>
      <c r="T358" s="6">
        <f t="shared" ca="1" si="60"/>
        <v>3</v>
      </c>
      <c r="U358" s="1">
        <f t="shared" ca="1" si="71"/>
        <v>1085</v>
      </c>
    </row>
    <row r="359" spans="1:21" x14ac:dyDescent="0.2">
      <c r="A359" s="7" cm="1">
        <f t="array" aca="1" ref="A359" ca="1">INDEX(Companies!$A:$A,RANDBETWEEN(2,COUNTA(Companies!$A:$A)),1)</f>
        <v>2</v>
      </c>
      <c r="B359" s="5">
        <f t="shared" si="61"/>
        <v>358</v>
      </c>
      <c r="C359" s="6">
        <f t="shared" ca="1" si="62"/>
        <v>1</v>
      </c>
      <c r="D359" s="7">
        <f ca="1">IF($B359 = 1 + N("Presidente"),
    127,
    IF($B359 = 2 + N("Vice-Presidente"),
        72,
        IF($B359 = 3 + N("Secretária bilíngue"),
            13,
            RANDBETWEEN(5,COUNT(Name!$A:$A) + 1)
        )
    )
)</f>
        <v>306</v>
      </c>
      <c r="E359" s="7" t="str">
        <f ca="1" xml:space="preserve">
VLOOKUP(
  $D359,
  Name!$A:$B,
  2,
  FALSE
)
&amp; " " &amp;
IF($B359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Nicolas Garcia Veiga</v>
      </c>
      <c r="F359" s="7">
        <v>2</v>
      </c>
      <c r="G359" s="7" cm="1">
        <f t="array" aca="1" ref="G359" ca="1">INDEX(States!$B:$B,RANDBETWEEN(2,COUNTA(States!$A:$A)),1)</f>
        <v>16</v>
      </c>
      <c r="H359" s="7" t="str">
        <f ca="1">VLOOKUP($D359,Name!$A:$C,3,FALSE)</f>
        <v>M</v>
      </c>
      <c r="I359" s="7" cm="1">
        <f t="array" aca="1" ref="I359" ca="1">INDEX('Marital status'!$A:$A,RANDBETWEEN(2,COUNTA('Marital status'!$A:$A)),1)</f>
        <v>3</v>
      </c>
      <c r="J359" s="7">
        <f t="shared" ca="1" si="63"/>
        <v>2</v>
      </c>
      <c r="K359" s="8">
        <f t="shared" ca="1" si="64"/>
        <v>34656</v>
      </c>
      <c r="L359" s="6">
        <f t="shared" ca="1" si="65"/>
        <v>5</v>
      </c>
      <c r="M359" s="7">
        <f ca="1" xml:space="preserve">
  IF(OR($N359 = 2, $N359 = 3, $N359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359" s="6">
        <f t="shared" ca="1" si="66"/>
        <v>8</v>
      </c>
      <c r="O359" s="6">
        <f t="shared" ca="1" si="67"/>
        <v>2</v>
      </c>
      <c r="P359" s="8">
        <f t="shared" ca="1" si="68"/>
        <v>38604</v>
      </c>
      <c r="Q359" s="6">
        <f ca="1">RANDBETWEEN(2,COUNTA('Recruitment source'!$A:$A))</f>
        <v>8</v>
      </c>
      <c r="R359" s="8" t="e">
        <f t="shared" ca="1" si="69"/>
        <v>#N/A</v>
      </c>
      <c r="S359" s="6" t="e">
        <f t="shared" ca="1" si="70"/>
        <v>#N/A</v>
      </c>
      <c r="T359" s="6">
        <f t="shared" ca="1" si="60"/>
        <v>4</v>
      </c>
      <c r="U359" s="1">
        <f t="shared" ca="1" si="71"/>
        <v>2000</v>
      </c>
    </row>
    <row r="360" spans="1:21" x14ac:dyDescent="0.2">
      <c r="A360" s="7" cm="1">
        <f t="array" aca="1" ref="A360" ca="1">INDEX(Companies!$A:$A,RANDBETWEEN(2,COUNTA(Companies!$A:$A)),1)</f>
        <v>2</v>
      </c>
      <c r="B360" s="5">
        <f t="shared" si="61"/>
        <v>359</v>
      </c>
      <c r="C360" s="6">
        <f t="shared" ca="1" si="62"/>
        <v>1</v>
      </c>
      <c r="D360" s="7">
        <f ca="1">IF($B360 = 1 + N("Presidente"),
    127,
    IF($B360 = 2 + N("Vice-Presidente"),
        72,
        IF($B360 = 3 + N("Secretária bilíngue"),
            13,
            RANDBETWEEN(5,COUNT(Name!$A:$A) + 1)
        )
    )
)</f>
        <v>13</v>
      </c>
      <c r="E360" s="7" t="str">
        <f ca="1" xml:space="preserve">
VLOOKUP(
  $D360,
  Name!$A:$B,
  2,
  FALSE
)
&amp; " " &amp;
IF($B360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Alessandra Gomes Mariani</v>
      </c>
      <c r="F360" s="7">
        <v>2</v>
      </c>
      <c r="G360" s="7" cm="1">
        <f t="array" aca="1" ref="G360" ca="1">INDEX(States!$B:$B,RANDBETWEEN(2,COUNTA(States!$A:$A)),1)</f>
        <v>2</v>
      </c>
      <c r="H360" s="7" t="str">
        <f ca="1">VLOOKUP($D360,Name!$A:$C,3,FALSE)</f>
        <v>F</v>
      </c>
      <c r="I360" s="7" cm="1">
        <f t="array" aca="1" ref="I360" ca="1">INDEX('Marital status'!$A:$A,RANDBETWEEN(2,COUNTA('Marital status'!$A:$A)),1)</f>
        <v>3</v>
      </c>
      <c r="J360" s="7">
        <f t="shared" ca="1" si="63"/>
        <v>2</v>
      </c>
      <c r="K360" s="8">
        <f t="shared" ca="1" si="64"/>
        <v>24201</v>
      </c>
      <c r="L360" s="6">
        <f t="shared" ca="1" si="65"/>
        <v>4</v>
      </c>
      <c r="M360" s="7">
        <f ca="1" xml:space="preserve">
  IF(OR($N360 = 2, $N360 = 3, $N360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360" s="6">
        <f t="shared" ca="1" si="66"/>
        <v>6</v>
      </c>
      <c r="O360" s="6" t="e">
        <f t="shared" ca="1" si="67"/>
        <v>#N/A</v>
      </c>
      <c r="P360" s="8">
        <f t="shared" ca="1" si="68"/>
        <v>44542</v>
      </c>
      <c r="Q360" s="6">
        <f ca="1">RANDBETWEEN(2,COUNTA('Recruitment source'!$A:$A))</f>
        <v>10</v>
      </c>
      <c r="R360" s="8" t="e">
        <f t="shared" ca="1" si="69"/>
        <v>#N/A</v>
      </c>
      <c r="S360" s="6" t="e">
        <f t="shared" ca="1" si="70"/>
        <v>#N/A</v>
      </c>
      <c r="T360" s="6">
        <f t="shared" ca="1" si="60"/>
        <v>4</v>
      </c>
      <c r="U360" s="1">
        <f t="shared" ca="1" si="71"/>
        <v>805</v>
      </c>
    </row>
    <row r="361" spans="1:21" x14ac:dyDescent="0.2">
      <c r="A361" s="7" cm="1">
        <f t="array" aca="1" ref="A361" ca="1">INDEX(Companies!$A:$A,RANDBETWEEN(2,COUNTA(Companies!$A:$A)),1)</f>
        <v>2</v>
      </c>
      <c r="B361" s="5">
        <f t="shared" si="61"/>
        <v>360</v>
      </c>
      <c r="C361" s="6">
        <f t="shared" ca="1" si="62"/>
        <v>1</v>
      </c>
      <c r="D361" s="7">
        <f ca="1">IF($B361 = 1 + N("Presidente"),
    127,
    IF($B361 = 2 + N("Vice-Presidente"),
        72,
        IF($B361 = 3 + N("Secretária bilíngue"),
            13,
            RANDBETWEEN(5,COUNT(Name!$A:$A) + 1)
        )
    )
)</f>
        <v>205</v>
      </c>
      <c r="E361" s="7" t="str">
        <f ca="1" xml:space="preserve">
VLOOKUP(
  $D361,
  Name!$A:$B,
  2,
  FALSE
)
&amp; " " &amp;
IF($B361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Kaique Cândido Nascimento</v>
      </c>
      <c r="F361" s="7">
        <v>2</v>
      </c>
      <c r="G361" s="7" cm="1">
        <f t="array" aca="1" ref="G361" ca="1">INDEX(States!$B:$B,RANDBETWEEN(2,COUNTA(States!$A:$A)),1)</f>
        <v>15</v>
      </c>
      <c r="H361" s="7" t="str">
        <f ca="1">VLOOKUP($D361,Name!$A:$C,3,FALSE)</f>
        <v>M</v>
      </c>
      <c r="I361" s="7" cm="1">
        <f t="array" aca="1" ref="I361" ca="1">INDEX('Marital status'!$A:$A,RANDBETWEEN(2,COUNTA('Marital status'!$A:$A)),1)</f>
        <v>3</v>
      </c>
      <c r="J361" s="7">
        <f t="shared" ca="1" si="63"/>
        <v>5</v>
      </c>
      <c r="K361" s="8">
        <f t="shared" ca="1" si="64"/>
        <v>38200</v>
      </c>
      <c r="L361" s="6">
        <f t="shared" ca="1" si="65"/>
        <v>5</v>
      </c>
      <c r="M361" s="7">
        <f ca="1" xml:space="preserve">
  IF(OR($N361 = 2, $N361 = 3, $N361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361" s="6">
        <f t="shared" ca="1" si="66"/>
        <v>8</v>
      </c>
      <c r="O361" s="6">
        <f t="shared" ca="1" si="67"/>
        <v>4</v>
      </c>
      <c r="P361" s="8">
        <f t="shared" ca="1" si="68"/>
        <v>44838</v>
      </c>
      <c r="Q361" s="6">
        <f ca="1">RANDBETWEEN(2,COUNTA('Recruitment source'!$A:$A))</f>
        <v>6</v>
      </c>
      <c r="R361" s="8" t="e">
        <f t="shared" ca="1" si="69"/>
        <v>#N/A</v>
      </c>
      <c r="S361" s="6" t="e">
        <f t="shared" ca="1" si="70"/>
        <v>#N/A</v>
      </c>
      <c r="T361" s="6">
        <f t="shared" ca="1" si="60"/>
        <v>3</v>
      </c>
      <c r="U361" s="1">
        <f t="shared" ca="1" si="71"/>
        <v>2080</v>
      </c>
    </row>
    <row r="362" spans="1:21" x14ac:dyDescent="0.2">
      <c r="A362" s="7" cm="1">
        <f t="array" aca="1" ref="A362" ca="1">INDEX(Companies!$A:$A,RANDBETWEEN(2,COUNTA(Companies!$A:$A)),1)</f>
        <v>2</v>
      </c>
      <c r="B362" s="5">
        <f t="shared" si="61"/>
        <v>361</v>
      </c>
      <c r="C362" s="6">
        <f t="shared" ca="1" si="62"/>
        <v>1</v>
      </c>
      <c r="D362" s="7">
        <f ca="1">IF($B362 = 1 + N("Presidente"),
    127,
    IF($B362 = 2 + N("Vice-Presidente"),
        72,
        IF($B362 = 3 + N("Secretária bilíngue"),
            13,
            RANDBETWEEN(5,COUNT(Name!$A:$A) + 1)
        )
    )
)</f>
        <v>272</v>
      </c>
      <c r="E362" s="7" t="str">
        <f ca="1" xml:space="preserve">
VLOOKUP(
  $D362,
  Name!$A:$B,
  2,
  FALSE
)
&amp; " " &amp;
IF($B362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Madalena Azeredo Simões</v>
      </c>
      <c r="F362" s="7">
        <v>2</v>
      </c>
      <c r="G362" s="7" cm="1">
        <f t="array" aca="1" ref="G362" ca="1">INDEX(States!$B:$B,RANDBETWEEN(2,COUNTA(States!$A:$A)),1)</f>
        <v>12</v>
      </c>
      <c r="H362" s="7" t="str">
        <f ca="1">VLOOKUP($D362,Name!$A:$C,3,FALSE)</f>
        <v>F</v>
      </c>
      <c r="I362" s="7" cm="1">
        <f t="array" aca="1" ref="I362" ca="1">INDEX('Marital status'!$A:$A,RANDBETWEEN(2,COUNTA('Marital status'!$A:$A)),1)</f>
        <v>2</v>
      </c>
      <c r="J362" s="7">
        <f t="shared" ca="1" si="63"/>
        <v>2</v>
      </c>
      <c r="K362" s="8">
        <f t="shared" ca="1" si="64"/>
        <v>33900</v>
      </c>
      <c r="L362" s="6">
        <f t="shared" ca="1" si="65"/>
        <v>4</v>
      </c>
      <c r="M362" s="7">
        <f ca="1" xml:space="preserve">
  IF(OR($N362 = 2, $N362 = 3, $N362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362" s="6">
        <f t="shared" ca="1" si="66"/>
        <v>7</v>
      </c>
      <c r="O362" s="6" t="e">
        <f t="shared" ca="1" si="67"/>
        <v>#N/A</v>
      </c>
      <c r="P362" s="8">
        <f t="shared" ca="1" si="68"/>
        <v>40683</v>
      </c>
      <c r="Q362" s="6">
        <f ca="1">RANDBETWEEN(2,COUNTA('Recruitment source'!$A:$A))</f>
        <v>7</v>
      </c>
      <c r="R362" s="8" t="e">
        <f t="shared" ca="1" si="69"/>
        <v>#N/A</v>
      </c>
      <c r="S362" s="6" t="e">
        <f t="shared" ca="1" si="70"/>
        <v>#N/A</v>
      </c>
      <c r="T362" s="6">
        <f t="shared" ca="1" si="60"/>
        <v>2</v>
      </c>
      <c r="U362" s="1">
        <f t="shared" ca="1" si="71"/>
        <v>1005</v>
      </c>
    </row>
    <row r="363" spans="1:21" x14ac:dyDescent="0.2">
      <c r="A363" s="7" cm="1">
        <f t="array" aca="1" ref="A363" ca="1">INDEX(Companies!$A:$A,RANDBETWEEN(2,COUNTA(Companies!$A:$A)),1)</f>
        <v>2</v>
      </c>
      <c r="B363" s="5">
        <f t="shared" si="61"/>
        <v>362</v>
      </c>
      <c r="C363" s="6">
        <f t="shared" ca="1" si="62"/>
        <v>1</v>
      </c>
      <c r="D363" s="7">
        <f ca="1">IF($B363 = 1 + N("Presidente"),
    127,
    IF($B363 = 2 + N("Vice-Presidente"),
        72,
        IF($B363 = 3 + N("Secretária bilíngue"),
            13,
            RANDBETWEEN(5,COUNT(Name!$A:$A) + 1)
        )
    )
)</f>
        <v>197</v>
      </c>
      <c r="E363" s="7" t="str">
        <f ca="1" xml:space="preserve">
VLOOKUP(
  $D363,
  Name!$A:$B,
  2,
  FALSE
)
&amp; " " &amp;
IF($B363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Souza Esteves</v>
      </c>
      <c r="F363" s="7">
        <v>2</v>
      </c>
      <c r="G363" s="7" cm="1">
        <f t="array" aca="1" ref="G363" ca="1">INDEX(States!$B:$B,RANDBETWEEN(2,COUNTA(States!$A:$A)),1)</f>
        <v>10</v>
      </c>
      <c r="H363" s="7" t="str">
        <f ca="1">VLOOKUP($D363,Name!$A:$C,3,FALSE)</f>
        <v>M</v>
      </c>
      <c r="I363" s="7" cm="1">
        <f t="array" aca="1" ref="I363" ca="1">INDEX('Marital status'!$A:$A,RANDBETWEEN(2,COUNTA('Marital status'!$A:$A)),1)</f>
        <v>5</v>
      </c>
      <c r="J363" s="7">
        <f t="shared" ca="1" si="63"/>
        <v>4</v>
      </c>
      <c r="K363" s="8">
        <f t="shared" ca="1" si="64"/>
        <v>35471</v>
      </c>
      <c r="L363" s="6">
        <f t="shared" ca="1" si="65"/>
        <v>4</v>
      </c>
      <c r="M363" s="7">
        <f ca="1" xml:space="preserve">
  IF(OR($N363 = 2, $N363 = 3, $N363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363" s="6">
        <f t="shared" ca="1" si="66"/>
        <v>8</v>
      </c>
      <c r="O363" s="6">
        <f t="shared" ca="1" si="67"/>
        <v>2</v>
      </c>
      <c r="P363" s="8">
        <f t="shared" ca="1" si="68"/>
        <v>38760</v>
      </c>
      <c r="Q363" s="6">
        <f ca="1">RANDBETWEEN(2,COUNTA('Recruitment source'!$A:$A))</f>
        <v>5</v>
      </c>
      <c r="R363" s="8" t="e">
        <f t="shared" ca="1" si="69"/>
        <v>#N/A</v>
      </c>
      <c r="S363" s="6" t="e">
        <f t="shared" ca="1" si="70"/>
        <v>#N/A</v>
      </c>
      <c r="T363" s="6">
        <f t="shared" ca="1" si="60"/>
        <v>4</v>
      </c>
      <c r="U363" s="1">
        <f t="shared" ca="1" si="71"/>
        <v>2000</v>
      </c>
    </row>
    <row r="364" spans="1:21" x14ac:dyDescent="0.2">
      <c r="A364" s="7" cm="1">
        <f t="array" aca="1" ref="A364" ca="1">INDEX(Companies!$A:$A,RANDBETWEEN(2,COUNTA(Companies!$A:$A)),1)</f>
        <v>2</v>
      </c>
      <c r="B364" s="5">
        <f t="shared" si="61"/>
        <v>363</v>
      </c>
      <c r="C364" s="6">
        <f t="shared" ca="1" si="62"/>
        <v>1</v>
      </c>
      <c r="D364" s="7">
        <f ca="1">IF($B364 = 1 + N("Presidente"),
    127,
    IF($B364 = 2 + N("Vice-Presidente"),
        72,
        IF($B364 = 3 + N("Secretária bilíngue"),
            13,
            RANDBETWEEN(5,COUNT(Name!$A:$A) + 1)
        )
    )
)</f>
        <v>352</v>
      </c>
      <c r="E364" s="7" t="str">
        <f ca="1" xml:space="preserve">
VLOOKUP(
  $D364,
  Name!$A:$B,
  2,
  FALSE
)
&amp; " " &amp;
IF($B364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Vicent Rinaldi Ildelfonso</v>
      </c>
      <c r="F364" s="7">
        <v>2</v>
      </c>
      <c r="G364" s="7" cm="1">
        <f t="array" aca="1" ref="G364" ca="1">INDEX(States!$B:$B,RANDBETWEEN(2,COUNTA(States!$A:$A)),1)</f>
        <v>16</v>
      </c>
      <c r="H364" s="7" t="str">
        <f ca="1">VLOOKUP($D364,Name!$A:$C,3,FALSE)</f>
        <v>M</v>
      </c>
      <c r="I364" s="7" cm="1">
        <f t="array" aca="1" ref="I364" ca="1">INDEX('Marital status'!$A:$A,RANDBETWEEN(2,COUNTA('Marital status'!$A:$A)),1)</f>
        <v>6</v>
      </c>
      <c r="J364" s="7">
        <f t="shared" ca="1" si="63"/>
        <v>3</v>
      </c>
      <c r="K364" s="8">
        <f t="shared" ca="1" si="64"/>
        <v>33417</v>
      </c>
      <c r="L364" s="6">
        <f t="shared" ca="1" si="65"/>
        <v>4</v>
      </c>
      <c r="M364" s="7">
        <f ca="1" xml:space="preserve">
  IF(OR($N364 = 2, $N364 = 3, $N364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364" s="6">
        <f t="shared" ca="1" si="66"/>
        <v>7</v>
      </c>
      <c r="O364" s="6" t="e">
        <f t="shared" ca="1" si="67"/>
        <v>#N/A</v>
      </c>
      <c r="P364" s="8">
        <f t="shared" ca="1" si="68"/>
        <v>37467</v>
      </c>
      <c r="Q364" s="6">
        <f ca="1">RANDBETWEEN(2,COUNTA('Recruitment source'!$A:$A))</f>
        <v>9</v>
      </c>
      <c r="R364" s="8" t="e">
        <f t="shared" ca="1" si="69"/>
        <v>#N/A</v>
      </c>
      <c r="S364" s="6" t="e">
        <f t="shared" ca="1" si="70"/>
        <v>#N/A</v>
      </c>
      <c r="T364" s="6">
        <f t="shared" ca="1" si="60"/>
        <v>4</v>
      </c>
      <c r="U364" s="1">
        <f t="shared" ca="1" si="71"/>
        <v>1085</v>
      </c>
    </row>
    <row r="365" spans="1:21" x14ac:dyDescent="0.2">
      <c r="A365" s="7" cm="1">
        <f t="array" aca="1" ref="A365" ca="1">INDEX(Companies!$A:$A,RANDBETWEEN(2,COUNTA(Companies!$A:$A)),1)</f>
        <v>2</v>
      </c>
      <c r="B365" s="5">
        <f t="shared" si="61"/>
        <v>364</v>
      </c>
      <c r="C365" s="6">
        <f t="shared" ca="1" si="62"/>
        <v>1</v>
      </c>
      <c r="D365" s="7">
        <f ca="1">IF($B365 = 1 + N("Presidente"),
    127,
    IF($B365 = 2 + N("Vice-Presidente"),
        72,
        IF($B365 = 3 + N("Secretária bilíngue"),
            13,
            RANDBETWEEN(5,COUNT(Name!$A:$A) + 1)
        )
    )
)</f>
        <v>76</v>
      </c>
      <c r="E365" s="7" t="str">
        <f ca="1" xml:space="preserve">
VLOOKUP(
  $D365,
  Name!$A:$B,
  2,
  FALSE
)
&amp; " " &amp;
IF($B365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Bruna Mariani Gomes</v>
      </c>
      <c r="F365" s="7">
        <v>2</v>
      </c>
      <c r="G365" s="7" cm="1">
        <f t="array" aca="1" ref="G365" ca="1">INDEX(States!$B:$B,RANDBETWEEN(2,COUNTA(States!$A:$A)),1)</f>
        <v>3</v>
      </c>
      <c r="H365" s="7" t="str">
        <f ca="1">VLOOKUP($D365,Name!$A:$C,3,FALSE)</f>
        <v>F</v>
      </c>
      <c r="I365" s="7" cm="1">
        <f t="array" aca="1" ref="I365" ca="1">INDEX('Marital status'!$A:$A,RANDBETWEEN(2,COUNTA('Marital status'!$A:$A)),1)</f>
        <v>6</v>
      </c>
      <c r="J365" s="7">
        <f t="shared" ca="1" si="63"/>
        <v>2</v>
      </c>
      <c r="K365" s="8">
        <f t="shared" ca="1" si="64"/>
        <v>33797</v>
      </c>
      <c r="L365" s="6">
        <f t="shared" ca="1" si="65"/>
        <v>4</v>
      </c>
      <c r="M365" s="7">
        <f ca="1" xml:space="preserve">
  IF(OR($N365 = 2, $N365 = 3, $N365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365" s="6">
        <f t="shared" ca="1" si="66"/>
        <v>8</v>
      </c>
      <c r="O365" s="6">
        <f t="shared" ca="1" si="67"/>
        <v>2</v>
      </c>
      <c r="P365" s="8">
        <f t="shared" ca="1" si="68"/>
        <v>38520</v>
      </c>
      <c r="Q365" s="6">
        <f ca="1">RANDBETWEEN(2,COUNTA('Recruitment source'!$A:$A))</f>
        <v>9</v>
      </c>
      <c r="R365" s="8" t="e">
        <f t="shared" ca="1" si="69"/>
        <v>#N/A</v>
      </c>
      <c r="S365" s="6" t="e">
        <f t="shared" ca="1" si="70"/>
        <v>#N/A</v>
      </c>
      <c r="T365" s="6">
        <f t="shared" ca="1" si="60"/>
        <v>2</v>
      </c>
      <c r="U365" s="1">
        <f t="shared" ca="1" si="71"/>
        <v>2000</v>
      </c>
    </row>
    <row r="366" spans="1:21" x14ac:dyDescent="0.2">
      <c r="A366" s="7" cm="1">
        <f t="array" aca="1" ref="A366" ca="1">INDEX(Companies!$A:$A,RANDBETWEEN(2,COUNTA(Companies!$A:$A)),1)</f>
        <v>2</v>
      </c>
      <c r="B366" s="5">
        <f t="shared" si="61"/>
        <v>365</v>
      </c>
      <c r="C366" s="6">
        <f t="shared" ca="1" si="62"/>
        <v>1</v>
      </c>
      <c r="D366" s="7">
        <f ca="1">IF($B366 = 1 + N("Presidente"),
    127,
    IF($B366 = 2 + N("Vice-Presidente"),
        72,
        IF($B366 = 3 + N("Secretária bilíngue"),
            13,
            RANDBETWEEN(5,COUNT(Name!$A:$A) + 1)
        )
    )
)</f>
        <v>282</v>
      </c>
      <c r="E366" s="7" t="str">
        <f ca="1" xml:space="preserve">
VLOOKUP(
  $D366,
  Name!$A:$B,
  2,
  FALSE
)
&amp; " " &amp;
IF($B366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Marinah Leite Silva</v>
      </c>
      <c r="F366" s="7">
        <v>2</v>
      </c>
      <c r="G366" s="7" cm="1">
        <f t="array" aca="1" ref="G366" ca="1">INDEX(States!$B:$B,RANDBETWEEN(2,COUNTA(States!$A:$A)),1)</f>
        <v>17</v>
      </c>
      <c r="H366" s="7" t="str">
        <f ca="1">VLOOKUP($D366,Name!$A:$C,3,FALSE)</f>
        <v>F</v>
      </c>
      <c r="I366" s="7" cm="1">
        <f t="array" aca="1" ref="I366" ca="1">INDEX('Marital status'!$A:$A,RANDBETWEEN(2,COUNTA('Marital status'!$A:$A)),1)</f>
        <v>4</v>
      </c>
      <c r="J366" s="7">
        <f t="shared" ca="1" si="63"/>
        <v>2</v>
      </c>
      <c r="K366" s="8">
        <f t="shared" ca="1" si="64"/>
        <v>29595</v>
      </c>
      <c r="L366" s="6">
        <f t="shared" ca="1" si="65"/>
        <v>4</v>
      </c>
      <c r="M366" s="7">
        <f ca="1" xml:space="preserve">
  IF(OR($N366 = 2, $N366 = 3, $N366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366" s="6">
        <f t="shared" ca="1" si="66"/>
        <v>7</v>
      </c>
      <c r="O366" s="6" t="e">
        <f t="shared" ca="1" si="67"/>
        <v>#N/A</v>
      </c>
      <c r="P366" s="8">
        <f t="shared" ca="1" si="68"/>
        <v>38404</v>
      </c>
      <c r="Q366" s="6">
        <f ca="1">RANDBETWEEN(2,COUNTA('Recruitment source'!$A:$A))</f>
        <v>9</v>
      </c>
      <c r="R366" s="8" t="e">
        <f t="shared" ca="1" si="69"/>
        <v>#N/A</v>
      </c>
      <c r="S366" s="6" t="e">
        <f t="shared" ca="1" si="70"/>
        <v>#N/A</v>
      </c>
      <c r="T366" s="6">
        <f t="shared" ca="1" si="60"/>
        <v>5</v>
      </c>
      <c r="U366" s="1">
        <f t="shared" ca="1" si="71"/>
        <v>1005</v>
      </c>
    </row>
    <row r="367" spans="1:21" x14ac:dyDescent="0.2">
      <c r="A367" s="7" cm="1">
        <f t="array" aca="1" ref="A367" ca="1">INDEX(Companies!$A:$A,RANDBETWEEN(2,COUNTA(Companies!$A:$A)),1)</f>
        <v>2</v>
      </c>
      <c r="B367" s="5">
        <f t="shared" si="61"/>
        <v>366</v>
      </c>
      <c r="C367" s="6">
        <f t="shared" ca="1" si="62"/>
        <v>1</v>
      </c>
      <c r="D367" s="7">
        <f ca="1">IF($B367 = 1 + N("Presidente"),
    127,
    IF($B367 = 2 + N("Vice-Presidente"),
        72,
        IF($B367 = 3 + N("Secretária bilíngue"),
            13,
            RANDBETWEEN(5,COUNT(Name!$A:$A) + 1)
        )
    )
)</f>
        <v>232</v>
      </c>
      <c r="E367" s="7" t="str">
        <f ca="1" xml:space="preserve">
VLOOKUP(
  $D367,
  Name!$A:$B,
  2,
  FALSE
)
&amp; " " &amp;
IF($B367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Lorenzo Azeredo Barbosa</v>
      </c>
      <c r="F367" s="7">
        <v>2</v>
      </c>
      <c r="G367" s="7" cm="1">
        <f t="array" aca="1" ref="G367" ca="1">INDEX(States!$B:$B,RANDBETWEEN(2,COUNTA(States!$A:$A)),1)</f>
        <v>14</v>
      </c>
      <c r="H367" s="7" t="str">
        <f ca="1">VLOOKUP($D367,Name!$A:$C,3,FALSE)</f>
        <v>M</v>
      </c>
      <c r="I367" s="7" cm="1">
        <f t="array" aca="1" ref="I367" ca="1">INDEX('Marital status'!$A:$A,RANDBETWEEN(2,COUNTA('Marital status'!$A:$A)),1)</f>
        <v>2</v>
      </c>
      <c r="J367" s="7">
        <f t="shared" ca="1" si="63"/>
        <v>2</v>
      </c>
      <c r="K367" s="8">
        <f t="shared" ca="1" si="64"/>
        <v>36600</v>
      </c>
      <c r="L367" s="6">
        <f t="shared" ca="1" si="65"/>
        <v>4</v>
      </c>
      <c r="M367" s="7">
        <f ca="1" xml:space="preserve">
  IF(OR($N367 = 2, $N367 = 3, $N367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367" s="6">
        <f t="shared" ca="1" si="66"/>
        <v>8</v>
      </c>
      <c r="O367" s="6">
        <f t="shared" ca="1" si="67"/>
        <v>3</v>
      </c>
      <c r="P367" s="8">
        <f t="shared" ca="1" si="68"/>
        <v>38437</v>
      </c>
      <c r="Q367" s="6">
        <f ca="1">RANDBETWEEN(2,COUNTA('Recruitment source'!$A:$A))</f>
        <v>10</v>
      </c>
      <c r="R367" s="8" t="e">
        <f t="shared" ca="1" si="69"/>
        <v>#N/A</v>
      </c>
      <c r="S367" s="6" t="e">
        <f t="shared" ca="1" si="70"/>
        <v>#N/A</v>
      </c>
      <c r="T367" s="6">
        <f t="shared" ca="1" si="60"/>
        <v>2</v>
      </c>
      <c r="U367" s="1">
        <f t="shared" ca="1" si="71"/>
        <v>2100</v>
      </c>
    </row>
    <row r="368" spans="1:21" x14ac:dyDescent="0.2">
      <c r="A368" s="7" cm="1">
        <f t="array" aca="1" ref="A368" ca="1">INDEX(Companies!$A:$A,RANDBETWEEN(2,COUNTA(Companies!$A:$A)),1)</f>
        <v>2</v>
      </c>
      <c r="B368" s="5">
        <f t="shared" si="61"/>
        <v>367</v>
      </c>
      <c r="C368" s="6">
        <f t="shared" ca="1" si="62"/>
        <v>1</v>
      </c>
      <c r="D368" s="7">
        <f ca="1">IF($B368 = 1 + N("Presidente"),
    127,
    IF($B368 = 2 + N("Vice-Presidente"),
        72,
        IF($B368 = 3 + N("Secretária bilíngue"),
            13,
            RANDBETWEEN(5,COUNT(Name!$A:$A) + 1)
        )
    )
)</f>
        <v>126</v>
      </c>
      <c r="E368" s="7" t="str">
        <f ca="1" xml:space="preserve">
VLOOKUP(
  $D368,
  Name!$A:$B,
  2,
  FALSE
)
&amp; " " &amp;
IF($B368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Enrico Sousa Rossi</v>
      </c>
      <c r="F368" s="7">
        <v>2</v>
      </c>
      <c r="G368" s="7" cm="1">
        <f t="array" aca="1" ref="G368" ca="1">INDEX(States!$B:$B,RANDBETWEEN(2,COUNTA(States!$A:$A)),1)</f>
        <v>19</v>
      </c>
      <c r="H368" s="7" t="str">
        <f ca="1">VLOOKUP($D368,Name!$A:$C,3,FALSE)</f>
        <v>M</v>
      </c>
      <c r="I368" s="7" cm="1">
        <f t="array" aca="1" ref="I368" ca="1">INDEX('Marital status'!$A:$A,RANDBETWEEN(2,COUNTA('Marital status'!$A:$A)),1)</f>
        <v>6</v>
      </c>
      <c r="J368" s="7">
        <f t="shared" ca="1" si="63"/>
        <v>2</v>
      </c>
      <c r="K368" s="8">
        <f t="shared" ca="1" si="64"/>
        <v>32938</v>
      </c>
      <c r="L368" s="6">
        <f t="shared" ca="1" si="65"/>
        <v>4</v>
      </c>
      <c r="M368" s="7">
        <f ca="1" xml:space="preserve">
  IF(OR($N368 = 2, $N368 = 3, $N368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368" s="6">
        <f t="shared" ca="1" si="66"/>
        <v>7</v>
      </c>
      <c r="O368" s="6" t="e">
        <f t="shared" ca="1" si="67"/>
        <v>#N/A</v>
      </c>
      <c r="P368" s="8">
        <f t="shared" ca="1" si="68"/>
        <v>37265</v>
      </c>
      <c r="Q368" s="6">
        <f ca="1">RANDBETWEEN(2,COUNTA('Recruitment source'!$A:$A))</f>
        <v>2</v>
      </c>
      <c r="R368" s="8" t="e">
        <f t="shared" ca="1" si="69"/>
        <v>#N/A</v>
      </c>
      <c r="S368" s="6" t="e">
        <f t="shared" ca="1" si="70"/>
        <v>#N/A</v>
      </c>
      <c r="T368" s="6">
        <f t="shared" ca="1" si="60"/>
        <v>3</v>
      </c>
      <c r="U368" s="1">
        <f t="shared" ca="1" si="71"/>
        <v>1005</v>
      </c>
    </row>
    <row r="369" spans="1:21" x14ac:dyDescent="0.2">
      <c r="A369" s="7" cm="1">
        <f t="array" aca="1" ref="A369" ca="1">INDEX(Companies!$A:$A,RANDBETWEEN(2,COUNTA(Companies!$A:$A)),1)</f>
        <v>2</v>
      </c>
      <c r="B369" s="5">
        <f t="shared" si="61"/>
        <v>368</v>
      </c>
      <c r="C369" s="6">
        <f t="shared" ca="1" si="62"/>
        <v>1</v>
      </c>
      <c r="D369" s="7">
        <f ca="1">IF($B369 = 1 + N("Presidente"),
    127,
    IF($B369 = 2 + N("Vice-Presidente"),
        72,
        IF($B369 = 3 + N("Secretária bilíngue"),
            13,
            RANDBETWEEN(5,COUNT(Name!$A:$A) + 1)
        )
    )
)</f>
        <v>338</v>
      </c>
      <c r="E369" s="7" t="str">
        <f ca="1" xml:space="preserve">
VLOOKUP(
  $D369,
  Name!$A:$B,
  2,
  FALSE
)
&amp; " " &amp;
IF($B369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Sophia Negrão Mendes</v>
      </c>
      <c r="F369" s="7">
        <v>2</v>
      </c>
      <c r="G369" s="7" cm="1">
        <f t="array" aca="1" ref="G369" ca="1">INDEX(States!$B:$B,RANDBETWEEN(2,COUNTA(States!$A:$A)),1)</f>
        <v>11</v>
      </c>
      <c r="H369" s="7" t="str">
        <f ca="1">VLOOKUP($D369,Name!$A:$C,3,FALSE)</f>
        <v>F</v>
      </c>
      <c r="I369" s="7" cm="1">
        <f t="array" aca="1" ref="I369" ca="1">INDEX('Marital status'!$A:$A,RANDBETWEEN(2,COUNTA('Marital status'!$A:$A)),1)</f>
        <v>2</v>
      </c>
      <c r="J369" s="7">
        <f t="shared" ca="1" si="63"/>
        <v>2</v>
      </c>
      <c r="K369" s="8">
        <f t="shared" ca="1" si="64"/>
        <v>34562</v>
      </c>
      <c r="L369" s="6">
        <f t="shared" ca="1" si="65"/>
        <v>4</v>
      </c>
      <c r="M369" s="7">
        <f ca="1" xml:space="preserve">
  IF(OR($N369 = 2, $N369 = 3, $N369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369" s="6">
        <f t="shared" ca="1" si="66"/>
        <v>8</v>
      </c>
      <c r="O369" s="6">
        <f t="shared" ca="1" si="67"/>
        <v>2</v>
      </c>
      <c r="P369" s="8">
        <f t="shared" ca="1" si="68"/>
        <v>37460</v>
      </c>
      <c r="Q369" s="6">
        <f ca="1">RANDBETWEEN(2,COUNTA('Recruitment source'!$A:$A))</f>
        <v>5</v>
      </c>
      <c r="R369" s="8" t="e">
        <f t="shared" ca="1" si="69"/>
        <v>#N/A</v>
      </c>
      <c r="S369" s="6" t="e">
        <f t="shared" ca="1" si="70"/>
        <v>#N/A</v>
      </c>
      <c r="T369" s="6">
        <f t="shared" ca="1" si="60"/>
        <v>5</v>
      </c>
      <c r="U369" s="1">
        <f t="shared" ca="1" si="71"/>
        <v>2080</v>
      </c>
    </row>
    <row r="370" spans="1:21" x14ac:dyDescent="0.2">
      <c r="A370" s="7" cm="1">
        <f t="array" aca="1" ref="A370" ca="1">INDEX(Companies!$A:$A,RANDBETWEEN(2,COUNTA(Companies!$A:$A)),1)</f>
        <v>2</v>
      </c>
      <c r="B370" s="5">
        <f t="shared" si="61"/>
        <v>369</v>
      </c>
      <c r="C370" s="6">
        <f t="shared" ca="1" si="62"/>
        <v>1</v>
      </c>
      <c r="D370" s="7">
        <f ca="1">IF($B370 = 1 + N("Presidente"),
    127,
    IF($B370 = 2 + N("Vice-Presidente"),
        72,
        IF($B370 = 3 + N("Secretária bilíngue"),
            13,
            RANDBETWEEN(5,COUNT(Name!$A:$A) + 1)
        )
    )
)</f>
        <v>259</v>
      </c>
      <c r="E370" s="7" t="str">
        <f ca="1" xml:space="preserve">
VLOOKUP(
  $D370,
  Name!$A:$B,
  2,
  FALSE
)
&amp; " " &amp;
IF($B370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Carolina Costatini Bermudes</v>
      </c>
      <c r="F370" s="7">
        <v>2</v>
      </c>
      <c r="G370" s="7" cm="1">
        <f t="array" aca="1" ref="G370" ca="1">INDEX(States!$B:$B,RANDBETWEEN(2,COUNTA(States!$A:$A)),1)</f>
        <v>5</v>
      </c>
      <c r="H370" s="7" t="str">
        <f ca="1">VLOOKUP($D370,Name!$A:$C,3,FALSE)</f>
        <v>F</v>
      </c>
      <c r="I370" s="7" cm="1">
        <f t="array" aca="1" ref="I370" ca="1">INDEX('Marital status'!$A:$A,RANDBETWEEN(2,COUNTA('Marital status'!$A:$A)),1)</f>
        <v>4</v>
      </c>
      <c r="J370" s="7">
        <f t="shared" ca="1" si="63"/>
        <v>2</v>
      </c>
      <c r="K370" s="8">
        <f t="shared" ca="1" si="64"/>
        <v>19389</v>
      </c>
      <c r="L370" s="6">
        <f t="shared" ca="1" si="65"/>
        <v>4</v>
      </c>
      <c r="M370" s="7">
        <f ca="1" xml:space="preserve">
  IF(OR($N370 = 2, $N370 = 3, $N370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370" s="6">
        <f t="shared" ca="1" si="66"/>
        <v>6</v>
      </c>
      <c r="O370" s="6" t="e">
        <f t="shared" ca="1" si="67"/>
        <v>#N/A</v>
      </c>
      <c r="P370" s="8">
        <f t="shared" ca="1" si="68"/>
        <v>36926</v>
      </c>
      <c r="Q370" s="6">
        <f ca="1">RANDBETWEEN(2,COUNTA('Recruitment source'!$A:$A))</f>
        <v>6</v>
      </c>
      <c r="R370" s="8" t="e">
        <f t="shared" ca="1" si="69"/>
        <v>#N/A</v>
      </c>
      <c r="S370" s="6" t="e">
        <f t="shared" ca="1" si="70"/>
        <v>#N/A</v>
      </c>
      <c r="T370" s="6">
        <f t="shared" ca="1" si="60"/>
        <v>4</v>
      </c>
      <c r="U370" s="1">
        <f t="shared" ca="1" si="71"/>
        <v>805</v>
      </c>
    </row>
    <row r="371" spans="1:21" x14ac:dyDescent="0.2">
      <c r="A371" s="7" cm="1">
        <f t="array" aca="1" ref="A371" ca="1">INDEX(Companies!$A:$A,RANDBETWEEN(2,COUNTA(Companies!$A:$A)),1)</f>
        <v>2</v>
      </c>
      <c r="B371" s="5">
        <f t="shared" si="61"/>
        <v>370</v>
      </c>
      <c r="C371" s="6">
        <f t="shared" ca="1" si="62"/>
        <v>1</v>
      </c>
      <c r="D371" s="7">
        <f ca="1">IF($B371 = 1 + N("Presidente"),
    127,
    IF($B371 = 2 + N("Vice-Presidente"),
        72,
        IF($B371 = 3 + N("Secretária bilíngue"),
            13,
            RANDBETWEEN(5,COUNT(Name!$A:$A) + 1)
        )
    )
)</f>
        <v>363</v>
      </c>
      <c r="E371" s="7" t="str">
        <f ca="1" xml:space="preserve">
VLOOKUP(
  $D371,
  Name!$A:$B,
  2,
  FALSE
)
&amp; " " &amp;
IF($B371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Yago Poeta Gomes</v>
      </c>
      <c r="F371" s="7">
        <v>2</v>
      </c>
      <c r="G371" s="7" cm="1">
        <f t="array" aca="1" ref="G371" ca="1">INDEX(States!$B:$B,RANDBETWEEN(2,COUNTA(States!$A:$A)),1)</f>
        <v>21</v>
      </c>
      <c r="H371" s="7" t="str">
        <f ca="1">VLOOKUP($D371,Name!$A:$C,3,FALSE)</f>
        <v>M</v>
      </c>
      <c r="I371" s="7" cm="1">
        <f t="array" aca="1" ref="I371" ca="1">INDEX('Marital status'!$A:$A,RANDBETWEEN(2,COUNTA('Marital status'!$A:$A)),1)</f>
        <v>2</v>
      </c>
      <c r="J371" s="7">
        <f t="shared" ca="1" si="63"/>
        <v>3</v>
      </c>
      <c r="K371" s="8">
        <f t="shared" ca="1" si="64"/>
        <v>32536</v>
      </c>
      <c r="L371" s="6">
        <f t="shared" ca="1" si="65"/>
        <v>4</v>
      </c>
      <c r="M371" s="7">
        <f ca="1" xml:space="preserve">
  IF(OR($N371 = 2, $N371 = 3, $N371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371" s="6">
        <f t="shared" ca="1" si="66"/>
        <v>8</v>
      </c>
      <c r="O371" s="6">
        <f t="shared" ca="1" si="67"/>
        <v>2</v>
      </c>
      <c r="P371" s="8">
        <f t="shared" ca="1" si="68"/>
        <v>40401</v>
      </c>
      <c r="Q371" s="6">
        <f ca="1">RANDBETWEEN(2,COUNTA('Recruitment source'!$A:$A))</f>
        <v>5</v>
      </c>
      <c r="R371" s="8" t="e">
        <f t="shared" ca="1" si="69"/>
        <v>#N/A</v>
      </c>
      <c r="S371" s="6" t="e">
        <f t="shared" ca="1" si="70"/>
        <v>#N/A</v>
      </c>
      <c r="T371" s="6">
        <f t="shared" ca="1" si="60"/>
        <v>3</v>
      </c>
      <c r="U371" s="1">
        <f t="shared" ca="1" si="71"/>
        <v>2000</v>
      </c>
    </row>
    <row r="372" spans="1:21" x14ac:dyDescent="0.2">
      <c r="A372" s="7" cm="1">
        <f t="array" aca="1" ref="A372" ca="1">INDEX(Companies!$A:$A,RANDBETWEEN(2,COUNTA(Companies!$A:$A)),1)</f>
        <v>2</v>
      </c>
      <c r="B372" s="5">
        <f t="shared" si="61"/>
        <v>371</v>
      </c>
      <c r="C372" s="6">
        <f t="shared" ca="1" si="62"/>
        <v>1</v>
      </c>
      <c r="D372" s="7">
        <f ca="1">IF($B372 = 1 + N("Presidente"),
    127,
    IF($B372 = 2 + N("Vice-Presidente"),
        72,
        IF($B372 = 3 + N("Secretária bilíngue"),
            13,
            RANDBETWEEN(5,COUNT(Name!$A:$A) + 1)
        )
    )
)</f>
        <v>206</v>
      </c>
      <c r="E372" s="7" t="str">
        <f ca="1" xml:space="preserve">
VLOOKUP(
  $D372,
  Name!$A:$B,
  2,
  FALSE
)
&amp; " " &amp;
IF($B372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Kamilla Greco Anunciação</v>
      </c>
      <c r="F372" s="7">
        <v>2</v>
      </c>
      <c r="G372" s="7" cm="1">
        <f t="array" aca="1" ref="G372" ca="1">INDEX(States!$B:$B,RANDBETWEEN(2,COUNTA(States!$A:$A)),1)</f>
        <v>14</v>
      </c>
      <c r="H372" s="7" t="str">
        <f ca="1">VLOOKUP($D372,Name!$A:$C,3,FALSE)</f>
        <v>F</v>
      </c>
      <c r="I372" s="7" cm="1">
        <f t="array" aca="1" ref="I372" ca="1">INDEX('Marital status'!$A:$A,RANDBETWEEN(2,COUNTA('Marital status'!$A:$A)),1)</f>
        <v>4</v>
      </c>
      <c r="J372" s="7">
        <f t="shared" ca="1" si="63"/>
        <v>2</v>
      </c>
      <c r="K372" s="8">
        <f t="shared" ca="1" si="64"/>
        <v>23044</v>
      </c>
      <c r="L372" s="6">
        <f t="shared" ca="1" si="65"/>
        <v>4</v>
      </c>
      <c r="M372" s="7">
        <f ca="1" xml:space="preserve">
  IF(OR($N372 = 2, $N372 = 3, $N372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372" s="6">
        <f t="shared" ca="1" si="66"/>
        <v>6</v>
      </c>
      <c r="O372" s="6" t="e">
        <f t="shared" ca="1" si="67"/>
        <v>#N/A</v>
      </c>
      <c r="P372" s="8">
        <f t="shared" ca="1" si="68"/>
        <v>40884</v>
      </c>
      <c r="Q372" s="6">
        <f ca="1">RANDBETWEEN(2,COUNTA('Recruitment source'!$A:$A))</f>
        <v>10</v>
      </c>
      <c r="R372" s="8" t="e">
        <f t="shared" ca="1" si="69"/>
        <v>#N/A</v>
      </c>
      <c r="S372" s="6" t="e">
        <f t="shared" ca="1" si="70"/>
        <v>#N/A</v>
      </c>
      <c r="T372" s="6">
        <f t="shared" ca="1" si="60"/>
        <v>3</v>
      </c>
      <c r="U372" s="1">
        <f t="shared" ca="1" si="71"/>
        <v>805</v>
      </c>
    </row>
    <row r="373" spans="1:21" x14ac:dyDescent="0.2">
      <c r="A373" s="7" cm="1">
        <f t="array" aca="1" ref="A373" ca="1">INDEX(Companies!$A:$A,RANDBETWEEN(2,COUNTA(Companies!$A:$A)),1)</f>
        <v>2</v>
      </c>
      <c r="B373" s="5">
        <f t="shared" si="61"/>
        <v>372</v>
      </c>
      <c r="C373" s="6">
        <f t="shared" ca="1" si="62"/>
        <v>1</v>
      </c>
      <c r="D373" s="7">
        <f ca="1">IF($B373 = 1 + N("Presidente"),
    127,
    IF($B373 = 2 + N("Vice-Presidente"),
        72,
        IF($B373 = 3 + N("Secretária bilíngue"),
            13,
            RANDBETWEEN(5,COUNT(Name!$A:$A) + 1)
        )
    )
)</f>
        <v>99</v>
      </c>
      <c r="E373" s="7" t="str">
        <f ca="1" xml:space="preserve">
VLOOKUP(
  $D373,
  Name!$A:$B,
  2,
  FALSE
)
&amp; " " &amp;
IF($B373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Cloe Resende Medeiros</v>
      </c>
      <c r="F373" s="7">
        <v>2</v>
      </c>
      <c r="G373" s="7" cm="1">
        <f t="array" aca="1" ref="G373" ca="1">INDEX(States!$B:$B,RANDBETWEEN(2,COUNTA(States!$A:$A)),1)</f>
        <v>3</v>
      </c>
      <c r="H373" s="7" t="str">
        <f ca="1">VLOOKUP($D373,Name!$A:$C,3,FALSE)</f>
        <v>F</v>
      </c>
      <c r="I373" s="7" cm="1">
        <f t="array" aca="1" ref="I373" ca="1">INDEX('Marital status'!$A:$A,RANDBETWEEN(2,COUNTA('Marital status'!$A:$A)),1)</f>
        <v>4</v>
      </c>
      <c r="J373" s="7">
        <f t="shared" ca="1" si="63"/>
        <v>2</v>
      </c>
      <c r="K373" s="8">
        <f t="shared" ca="1" si="64"/>
        <v>37723</v>
      </c>
      <c r="L373" s="6">
        <f t="shared" ca="1" si="65"/>
        <v>4</v>
      </c>
      <c r="M373" s="7">
        <f ca="1" xml:space="preserve">
  IF(OR($N373 = 2, $N373 = 3, $N373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373" s="6">
        <f t="shared" ca="1" si="66"/>
        <v>8</v>
      </c>
      <c r="O373" s="6">
        <f t="shared" ca="1" si="67"/>
        <v>2</v>
      </c>
      <c r="P373" s="8">
        <f t="shared" ca="1" si="68"/>
        <v>39447</v>
      </c>
      <c r="Q373" s="6">
        <f ca="1">RANDBETWEEN(2,COUNTA('Recruitment source'!$A:$A))</f>
        <v>4</v>
      </c>
      <c r="R373" s="8" t="e">
        <f t="shared" ca="1" si="69"/>
        <v>#N/A</v>
      </c>
      <c r="S373" s="6" t="e">
        <f t="shared" ca="1" si="70"/>
        <v>#N/A</v>
      </c>
      <c r="T373" s="6">
        <f t="shared" ca="1" si="60"/>
        <v>3</v>
      </c>
      <c r="U373" s="1">
        <f t="shared" ca="1" si="71"/>
        <v>2080</v>
      </c>
    </row>
    <row r="374" spans="1:21" x14ac:dyDescent="0.2">
      <c r="A374" s="7" cm="1">
        <f t="array" aca="1" ref="A374" ca="1">INDEX(Companies!$A:$A,RANDBETWEEN(2,COUNTA(Companies!$A:$A)),1)</f>
        <v>2</v>
      </c>
      <c r="B374" s="5">
        <f t="shared" si="61"/>
        <v>373</v>
      </c>
      <c r="C374" s="6">
        <f t="shared" ca="1" si="62"/>
        <v>1</v>
      </c>
      <c r="D374" s="7">
        <f ca="1">IF($B374 = 1 + N("Presidente"),
    127,
    IF($B374 = 2 + N("Vice-Presidente"),
        72,
        IF($B374 = 3 + N("Secretária bilíngue"),
            13,
            RANDBETWEEN(5,COUNT(Name!$A:$A) + 1)
        )
    )
)</f>
        <v>338</v>
      </c>
      <c r="E374" s="7" t="str">
        <f ca="1" xml:space="preserve">
VLOOKUP(
  $D374,
  Name!$A:$B,
  2,
  FALSE
)
&amp; " " &amp;
IF($B374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Sophia Madureira Pedrosa</v>
      </c>
      <c r="F374" s="7">
        <v>2</v>
      </c>
      <c r="G374" s="7" cm="1">
        <f t="array" aca="1" ref="G374" ca="1">INDEX(States!$B:$B,RANDBETWEEN(2,COUNTA(States!$A:$A)),1)</f>
        <v>17</v>
      </c>
      <c r="H374" s="7" t="str">
        <f ca="1">VLOOKUP($D374,Name!$A:$C,3,FALSE)</f>
        <v>F</v>
      </c>
      <c r="I374" s="7" cm="1">
        <f t="array" aca="1" ref="I374" ca="1">INDEX('Marital status'!$A:$A,RANDBETWEEN(2,COUNTA('Marital status'!$A:$A)),1)</f>
        <v>5</v>
      </c>
      <c r="J374" s="7">
        <f t="shared" ca="1" si="63"/>
        <v>4</v>
      </c>
      <c r="K374" s="8">
        <f t="shared" ca="1" si="64"/>
        <v>23370</v>
      </c>
      <c r="L374" s="6">
        <f t="shared" ca="1" si="65"/>
        <v>4</v>
      </c>
      <c r="M374" s="7">
        <f ca="1" xml:space="preserve">
  IF(OR($N374 = 2, $N374 = 3, $N374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374" s="6">
        <f t="shared" ca="1" si="66"/>
        <v>6</v>
      </c>
      <c r="O374" s="6" t="e">
        <f t="shared" ca="1" si="67"/>
        <v>#N/A</v>
      </c>
      <c r="P374" s="8">
        <f t="shared" ca="1" si="68"/>
        <v>37170</v>
      </c>
      <c r="Q374" s="6">
        <f ca="1">RANDBETWEEN(2,COUNTA('Recruitment source'!$A:$A))</f>
        <v>11</v>
      </c>
      <c r="R374" s="8" t="e">
        <f t="shared" ca="1" si="69"/>
        <v>#N/A</v>
      </c>
      <c r="S374" s="6" t="e">
        <f t="shared" ca="1" si="70"/>
        <v>#N/A</v>
      </c>
      <c r="T374" s="6">
        <f t="shared" ca="1" si="60"/>
        <v>3</v>
      </c>
      <c r="U374" s="1">
        <f t="shared" ca="1" si="71"/>
        <v>805</v>
      </c>
    </row>
    <row r="375" spans="1:21" x14ac:dyDescent="0.2">
      <c r="A375" s="7" cm="1">
        <f t="array" aca="1" ref="A375" ca="1">INDEX(Companies!$A:$A,RANDBETWEEN(2,COUNTA(Companies!$A:$A)),1)</f>
        <v>2</v>
      </c>
      <c r="B375" s="5">
        <f t="shared" si="61"/>
        <v>374</v>
      </c>
      <c r="C375" s="6">
        <f t="shared" ca="1" si="62"/>
        <v>1</v>
      </c>
      <c r="D375" s="7">
        <f ca="1">IF($B375 = 1 + N("Presidente"),
    127,
    IF($B375 = 2 + N("Vice-Presidente"),
        72,
        IF($B375 = 3 + N("Secretária bilíngue"),
            13,
            RANDBETWEEN(5,COUNT(Name!$A:$A) + 1)
        )
    )
)</f>
        <v>350</v>
      </c>
      <c r="E375" s="7" t="str">
        <f ca="1" xml:space="preserve">
VLOOKUP(
  $D375,
  Name!$A:$B,
  2,
  FALSE
)
&amp; " " &amp;
IF($B375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Vanessa Cunha Giordano</v>
      </c>
      <c r="F375" s="7">
        <v>2</v>
      </c>
      <c r="G375" s="7" cm="1">
        <f t="array" aca="1" ref="G375" ca="1">INDEX(States!$B:$B,RANDBETWEEN(2,COUNTA(States!$A:$A)),1)</f>
        <v>10</v>
      </c>
      <c r="H375" s="7" t="str">
        <f ca="1">VLOOKUP($D375,Name!$A:$C,3,FALSE)</f>
        <v>F</v>
      </c>
      <c r="I375" s="7" cm="1">
        <f t="array" aca="1" ref="I375" ca="1">INDEX('Marital status'!$A:$A,RANDBETWEEN(2,COUNTA('Marital status'!$A:$A)),1)</f>
        <v>2</v>
      </c>
      <c r="J375" s="7">
        <f t="shared" ca="1" si="63"/>
        <v>2</v>
      </c>
      <c r="K375" s="8">
        <f t="shared" ca="1" si="64"/>
        <v>32663</v>
      </c>
      <c r="L375" s="6">
        <f t="shared" ca="1" si="65"/>
        <v>5</v>
      </c>
      <c r="M375" s="7">
        <f ca="1" xml:space="preserve">
  IF(OR($N375 = 2, $N375 = 3, $N375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375" s="6">
        <f t="shared" ca="1" si="66"/>
        <v>8</v>
      </c>
      <c r="O375" s="6">
        <f t="shared" ca="1" si="67"/>
        <v>2</v>
      </c>
      <c r="P375" s="8">
        <f t="shared" ca="1" si="68"/>
        <v>41536</v>
      </c>
      <c r="Q375" s="6">
        <f ca="1">RANDBETWEEN(2,COUNTA('Recruitment source'!$A:$A))</f>
        <v>5</v>
      </c>
      <c r="R375" s="8" t="e">
        <f t="shared" ca="1" si="69"/>
        <v>#N/A</v>
      </c>
      <c r="S375" s="6" t="e">
        <f t="shared" ca="1" si="70"/>
        <v>#N/A</v>
      </c>
      <c r="T375" s="6">
        <f t="shared" ca="1" si="60"/>
        <v>4</v>
      </c>
      <c r="U375" s="1">
        <f t="shared" ca="1" si="71"/>
        <v>2000</v>
      </c>
    </row>
    <row r="376" spans="1:21" x14ac:dyDescent="0.2">
      <c r="A376" s="7" cm="1">
        <f t="array" aca="1" ref="A376" ca="1">INDEX(Companies!$A:$A,RANDBETWEEN(2,COUNTA(Companies!$A:$A)),1)</f>
        <v>2</v>
      </c>
      <c r="B376" s="5">
        <f t="shared" si="61"/>
        <v>375</v>
      </c>
      <c r="C376" s="6">
        <f t="shared" ca="1" si="62"/>
        <v>1</v>
      </c>
      <c r="D376" s="7">
        <f ca="1">IF($B376 = 1 + N("Presidente"),
    127,
    IF($B376 = 2 + N("Vice-Presidente"),
        72,
        IF($B376 = 3 + N("Secretária bilíngue"),
            13,
            RANDBETWEEN(5,COUNT(Name!$A:$A) + 1)
        )
    )
)</f>
        <v>250</v>
      </c>
      <c r="E376" s="7" t="str">
        <f ca="1" xml:space="preserve">
VLOOKUP(
  $D376,
  Name!$A:$B,
  2,
  FALSE
)
&amp; " " &amp;
IF($B376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Madalena Bianchi Tavarez</v>
      </c>
      <c r="F376" s="7">
        <v>2</v>
      </c>
      <c r="G376" s="7" cm="1">
        <f t="array" aca="1" ref="G376" ca="1">INDEX(States!$B:$B,RANDBETWEEN(2,COUNTA(States!$A:$A)),1)</f>
        <v>19</v>
      </c>
      <c r="H376" s="7" t="str">
        <f ca="1">VLOOKUP($D376,Name!$A:$C,3,FALSE)</f>
        <v>F</v>
      </c>
      <c r="I376" s="7" cm="1">
        <f t="array" aca="1" ref="I376" ca="1">INDEX('Marital status'!$A:$A,RANDBETWEEN(2,COUNTA('Marital status'!$A:$A)),1)</f>
        <v>4</v>
      </c>
      <c r="J376" s="7">
        <f t="shared" ca="1" si="63"/>
        <v>2</v>
      </c>
      <c r="K376" s="8">
        <f t="shared" ca="1" si="64"/>
        <v>31263</v>
      </c>
      <c r="L376" s="6">
        <f t="shared" ca="1" si="65"/>
        <v>4</v>
      </c>
      <c r="M376" s="7">
        <f ca="1" xml:space="preserve">
  IF(OR($N376 = 2, $N376 = 3, $N376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376" s="6">
        <f t="shared" ca="1" si="66"/>
        <v>7</v>
      </c>
      <c r="O376" s="6" t="e">
        <f t="shared" ca="1" si="67"/>
        <v>#N/A</v>
      </c>
      <c r="P376" s="8">
        <f t="shared" ca="1" si="68"/>
        <v>36216</v>
      </c>
      <c r="Q376" s="6">
        <f ca="1">RANDBETWEEN(2,COUNTA('Recruitment source'!$A:$A))</f>
        <v>12</v>
      </c>
      <c r="R376" s="8" t="e">
        <f t="shared" ca="1" si="69"/>
        <v>#N/A</v>
      </c>
      <c r="S376" s="6" t="e">
        <f t="shared" ca="1" si="70"/>
        <v>#N/A</v>
      </c>
      <c r="T376" s="6">
        <f t="shared" ca="1" si="60"/>
        <v>5</v>
      </c>
      <c r="U376" s="1">
        <f t="shared" ca="1" si="71"/>
        <v>1005</v>
      </c>
    </row>
    <row r="377" spans="1:21" x14ac:dyDescent="0.2">
      <c r="A377" s="7" cm="1">
        <f t="array" aca="1" ref="A377" ca="1">INDEX(Companies!$A:$A,RANDBETWEEN(2,COUNTA(Companies!$A:$A)),1)</f>
        <v>2</v>
      </c>
      <c r="B377" s="5">
        <f t="shared" si="61"/>
        <v>376</v>
      </c>
      <c r="C377" s="6">
        <f t="shared" ca="1" si="62"/>
        <v>1</v>
      </c>
      <c r="D377" s="7">
        <f ca="1">IF($B377 = 1 + N("Presidente"),
    127,
    IF($B377 = 2 + N("Vice-Presidente"),
        72,
        IF($B377 = 3 + N("Secretária bilíngue"),
            13,
            RANDBETWEEN(5,COUNT(Name!$A:$A) + 1)
        )
    )
)</f>
        <v>352</v>
      </c>
      <c r="E377" s="7" t="str">
        <f ca="1" xml:space="preserve">
VLOOKUP(
  $D377,
  Name!$A:$B,
  2,
  FALSE
)
&amp; " " &amp;
IF($B377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Vicent Faria Freitas</v>
      </c>
      <c r="F377" s="7">
        <v>2</v>
      </c>
      <c r="G377" s="7" cm="1">
        <f t="array" aca="1" ref="G377" ca="1">INDEX(States!$B:$B,RANDBETWEEN(2,COUNTA(States!$A:$A)),1)</f>
        <v>4</v>
      </c>
      <c r="H377" s="7" t="str">
        <f ca="1">VLOOKUP($D377,Name!$A:$C,3,FALSE)</f>
        <v>M</v>
      </c>
      <c r="I377" s="7" cm="1">
        <f t="array" aca="1" ref="I377" ca="1">INDEX('Marital status'!$A:$A,RANDBETWEEN(2,COUNTA('Marital status'!$A:$A)),1)</f>
        <v>6</v>
      </c>
      <c r="J377" s="7">
        <f t="shared" ca="1" si="63"/>
        <v>2</v>
      </c>
      <c r="K377" s="8">
        <f t="shared" ca="1" si="64"/>
        <v>37395</v>
      </c>
      <c r="L377" s="6">
        <f t="shared" ca="1" si="65"/>
        <v>4</v>
      </c>
      <c r="M377" s="7">
        <f ca="1" xml:space="preserve">
  IF(OR($N377 = 2, $N377 = 3, $N377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377" s="6">
        <f t="shared" ca="1" si="66"/>
        <v>8</v>
      </c>
      <c r="O377" s="6">
        <f t="shared" ca="1" si="67"/>
        <v>3</v>
      </c>
      <c r="P377" s="8">
        <f t="shared" ca="1" si="68"/>
        <v>39184</v>
      </c>
      <c r="Q377" s="6">
        <f ca="1">RANDBETWEEN(2,COUNTA('Recruitment source'!$A:$A))</f>
        <v>12</v>
      </c>
      <c r="R377" s="8" t="e">
        <f t="shared" ca="1" si="69"/>
        <v>#N/A</v>
      </c>
      <c r="S377" s="6" t="e">
        <f t="shared" ca="1" si="70"/>
        <v>#N/A</v>
      </c>
      <c r="T377" s="6">
        <f t="shared" ca="1" si="60"/>
        <v>5</v>
      </c>
      <c r="U377" s="1">
        <f t="shared" ca="1" si="71"/>
        <v>2100</v>
      </c>
    </row>
    <row r="378" spans="1:21" x14ac:dyDescent="0.2">
      <c r="A378" s="7" cm="1">
        <f t="array" aca="1" ref="A378" ca="1">INDEX(Companies!$A:$A,RANDBETWEEN(2,COUNTA(Companies!$A:$A)),1)</f>
        <v>2</v>
      </c>
      <c r="B378" s="5">
        <f t="shared" si="61"/>
        <v>377</v>
      </c>
      <c r="C378" s="6">
        <f t="shared" ca="1" si="62"/>
        <v>1</v>
      </c>
      <c r="D378" s="7">
        <f ca="1">IF($B378 = 1 + N("Presidente"),
    127,
    IF($B378 = 2 + N("Vice-Presidente"),
        72,
        IF($B378 = 3 + N("Secretária bilíngue"),
            13,
            RANDBETWEEN(5,COUNT(Name!$A:$A) + 1)
        )
    )
)</f>
        <v>170</v>
      </c>
      <c r="E378" s="7" t="str">
        <f ca="1" xml:space="preserve">
VLOOKUP(
  $D378,
  Name!$A:$B,
  2,
  FALSE
)
&amp; " " &amp;
IF($B378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Iara Testa Souza</v>
      </c>
      <c r="F378" s="7">
        <v>2</v>
      </c>
      <c r="G378" s="7" cm="1">
        <f t="array" aca="1" ref="G378" ca="1">INDEX(States!$B:$B,RANDBETWEEN(2,COUNTA(States!$A:$A)),1)</f>
        <v>8</v>
      </c>
      <c r="H378" s="7" t="str">
        <f ca="1">VLOOKUP($D378,Name!$A:$C,3,FALSE)</f>
        <v>F</v>
      </c>
      <c r="I378" s="7" cm="1">
        <f t="array" aca="1" ref="I378" ca="1">INDEX('Marital status'!$A:$A,RANDBETWEEN(2,COUNTA('Marital status'!$A:$A)),1)</f>
        <v>4</v>
      </c>
      <c r="J378" s="7">
        <f t="shared" ca="1" si="63"/>
        <v>3</v>
      </c>
      <c r="K378" s="8">
        <f t="shared" ca="1" si="64"/>
        <v>20605</v>
      </c>
      <c r="L378" s="6">
        <f t="shared" ca="1" si="65"/>
        <v>4</v>
      </c>
      <c r="M378" s="7">
        <f ca="1" xml:space="preserve">
  IF(OR($N378 = 2, $N378 = 3, $N378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378" s="6">
        <f t="shared" ca="1" si="66"/>
        <v>6</v>
      </c>
      <c r="O378" s="6" t="e">
        <f t="shared" ca="1" si="67"/>
        <v>#N/A</v>
      </c>
      <c r="P378" s="8">
        <f t="shared" ca="1" si="68"/>
        <v>43763</v>
      </c>
      <c r="Q378" s="6">
        <f ca="1">RANDBETWEEN(2,COUNTA('Recruitment source'!$A:$A))</f>
        <v>8</v>
      </c>
      <c r="R378" s="8" t="e">
        <f t="shared" ca="1" si="69"/>
        <v>#N/A</v>
      </c>
      <c r="S378" s="6" t="e">
        <f t="shared" ca="1" si="70"/>
        <v>#N/A</v>
      </c>
      <c r="T378" s="6">
        <f t="shared" ca="1" si="60"/>
        <v>5</v>
      </c>
      <c r="U378" s="1">
        <f t="shared" ca="1" si="71"/>
        <v>805</v>
      </c>
    </row>
    <row r="379" spans="1:21" x14ac:dyDescent="0.2">
      <c r="A379" s="7" cm="1">
        <f t="array" aca="1" ref="A379" ca="1">INDEX(Companies!$A:$A,RANDBETWEEN(2,COUNTA(Companies!$A:$A)),1)</f>
        <v>2</v>
      </c>
      <c r="B379" s="5">
        <f t="shared" si="61"/>
        <v>378</v>
      </c>
      <c r="C379" s="6">
        <f t="shared" ca="1" si="62"/>
        <v>1</v>
      </c>
      <c r="D379" s="7">
        <f ca="1">IF($B379 = 1 + N("Presidente"),
    127,
    IF($B379 = 2 + N("Vice-Presidente"),
        72,
        IF($B379 = 3 + N("Secretária bilíngue"),
            13,
            RANDBETWEEN(5,COUNT(Name!$A:$A) + 1)
        )
    )
)</f>
        <v>361</v>
      </c>
      <c r="E379" s="7" t="str">
        <f ca="1" xml:space="preserve">
VLOOKUP(
  $D379,
  Name!$A:$B,
  2,
  FALSE
)
&amp; " " &amp;
IF($B379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Wagner Caminha Pimentel</v>
      </c>
      <c r="F379" s="7">
        <v>2</v>
      </c>
      <c r="G379" s="7" cm="1">
        <f t="array" aca="1" ref="G379" ca="1">INDEX(States!$B:$B,RANDBETWEEN(2,COUNTA(States!$A:$A)),1)</f>
        <v>3</v>
      </c>
      <c r="H379" s="7" t="str">
        <f ca="1">VLOOKUP($D379,Name!$A:$C,3,FALSE)</f>
        <v>M</v>
      </c>
      <c r="I379" s="7" cm="1">
        <f t="array" aca="1" ref="I379" ca="1">INDEX('Marital status'!$A:$A,RANDBETWEEN(2,COUNTA('Marital status'!$A:$A)),1)</f>
        <v>3</v>
      </c>
      <c r="J379" s="7">
        <f t="shared" ca="1" si="63"/>
        <v>2</v>
      </c>
      <c r="K379" s="8">
        <f t="shared" ca="1" si="64"/>
        <v>36352</v>
      </c>
      <c r="L379" s="6">
        <f t="shared" ca="1" si="65"/>
        <v>4</v>
      </c>
      <c r="M379" s="7">
        <f ca="1" xml:space="preserve">
  IF(OR($N379 = 2, $N379 = 3, $N379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379" s="6">
        <f t="shared" ca="1" si="66"/>
        <v>8</v>
      </c>
      <c r="O379" s="6">
        <f t="shared" ca="1" si="67"/>
        <v>4</v>
      </c>
      <c r="P379" s="8">
        <f t="shared" ca="1" si="68"/>
        <v>41804</v>
      </c>
      <c r="Q379" s="6">
        <f ca="1">RANDBETWEEN(2,COUNTA('Recruitment source'!$A:$A))</f>
        <v>6</v>
      </c>
      <c r="R379" s="8" t="e">
        <f t="shared" ca="1" si="69"/>
        <v>#N/A</v>
      </c>
      <c r="S379" s="6" t="e">
        <f t="shared" ca="1" si="70"/>
        <v>#N/A</v>
      </c>
      <c r="T379" s="6">
        <f t="shared" ca="1" si="60"/>
        <v>2</v>
      </c>
      <c r="U379" s="1">
        <f t="shared" ca="1" si="71"/>
        <v>2080</v>
      </c>
    </row>
    <row r="380" spans="1:21" x14ac:dyDescent="0.2">
      <c r="A380" s="7" cm="1">
        <f t="array" aca="1" ref="A380" ca="1">INDEX(Companies!$A:$A,RANDBETWEEN(2,COUNTA(Companies!$A:$A)),1)</f>
        <v>2</v>
      </c>
      <c r="B380" s="5">
        <f t="shared" si="61"/>
        <v>379</v>
      </c>
      <c r="C380" s="6">
        <f t="shared" ca="1" si="62"/>
        <v>1</v>
      </c>
      <c r="D380" s="7">
        <f ca="1">IF($B380 = 1 + N("Presidente"),
    127,
    IF($B380 = 2 + N("Vice-Presidente"),
        72,
        IF($B380 = 3 + N("Secretária bilíngue"),
            13,
            RANDBETWEEN(5,COUNT(Name!$A:$A) + 1)
        )
    )
)</f>
        <v>327</v>
      </c>
      <c r="E380" s="7" t="str">
        <f ca="1" xml:space="preserve">
VLOOKUP(
  $D380,
  Name!$A:$B,
  2,
  FALSE
)
&amp; " " &amp;
IF($B380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Raquel Fontana Frasão</v>
      </c>
      <c r="F380" s="7">
        <v>2</v>
      </c>
      <c r="G380" s="7" cm="1">
        <f t="array" aca="1" ref="G380" ca="1">INDEX(States!$B:$B,RANDBETWEEN(2,COUNTA(States!$A:$A)),1)</f>
        <v>3</v>
      </c>
      <c r="H380" s="7" t="str">
        <f ca="1">VLOOKUP($D380,Name!$A:$C,3,FALSE)</f>
        <v>F</v>
      </c>
      <c r="I380" s="7" cm="1">
        <f t="array" aca="1" ref="I380" ca="1">INDEX('Marital status'!$A:$A,RANDBETWEEN(2,COUNTA('Marital status'!$A:$A)),1)</f>
        <v>5</v>
      </c>
      <c r="J380" s="7">
        <f t="shared" ca="1" si="63"/>
        <v>5</v>
      </c>
      <c r="K380" s="8">
        <f t="shared" ca="1" si="64"/>
        <v>32404</v>
      </c>
      <c r="L380" s="6">
        <f t="shared" ca="1" si="65"/>
        <v>4</v>
      </c>
      <c r="M380" s="7">
        <f ca="1" xml:space="preserve">
  IF(OR($N380 = 2, $N380 = 3, $N380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380" s="6">
        <f t="shared" ca="1" si="66"/>
        <v>7</v>
      </c>
      <c r="O380" s="6" t="e">
        <f t="shared" ca="1" si="67"/>
        <v>#N/A</v>
      </c>
      <c r="P380" s="8">
        <f t="shared" ca="1" si="68"/>
        <v>40953</v>
      </c>
      <c r="Q380" s="6">
        <f ca="1">RANDBETWEEN(2,COUNTA('Recruitment source'!$A:$A))</f>
        <v>12</v>
      </c>
      <c r="R380" s="8" t="e">
        <f t="shared" ca="1" si="69"/>
        <v>#N/A</v>
      </c>
      <c r="S380" s="6" t="e">
        <f t="shared" ca="1" si="70"/>
        <v>#N/A</v>
      </c>
      <c r="T380" s="6">
        <f t="shared" ca="1" si="60"/>
        <v>2</v>
      </c>
      <c r="U380" s="1">
        <f t="shared" ca="1" si="71"/>
        <v>1005</v>
      </c>
    </row>
    <row r="381" spans="1:21" x14ac:dyDescent="0.2">
      <c r="A381" s="7" cm="1">
        <f t="array" aca="1" ref="A381" ca="1">INDEX(Companies!$A:$A,RANDBETWEEN(2,COUNTA(Companies!$A:$A)),1)</f>
        <v>2</v>
      </c>
      <c r="B381" s="5">
        <f t="shared" si="61"/>
        <v>380</v>
      </c>
      <c r="C381" s="6">
        <f t="shared" ca="1" si="62"/>
        <v>1</v>
      </c>
      <c r="D381" s="7">
        <f ca="1">IF($B381 = 1 + N("Presidente"),
    127,
    IF($B381 = 2 + N("Vice-Presidente"),
        72,
        IF($B381 = 3 + N("Secretária bilíngue"),
            13,
            RANDBETWEEN(5,COUNT(Name!$A:$A) + 1)
        )
    )
)</f>
        <v>72</v>
      </c>
      <c r="E381" s="7" t="str">
        <f ca="1" xml:space="preserve">
VLOOKUP(
  $D381,
  Name!$A:$B,
  2,
  FALSE
)
&amp; " " &amp;
IF($B381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Bernnardo Aguiar de Oliveira</v>
      </c>
      <c r="F381" s="7">
        <v>2</v>
      </c>
      <c r="G381" s="7" cm="1">
        <f t="array" aca="1" ref="G381" ca="1">INDEX(States!$B:$B,RANDBETWEEN(2,COUNTA(States!$A:$A)),1)</f>
        <v>3</v>
      </c>
      <c r="H381" s="7" t="str">
        <f ca="1">VLOOKUP($D381,Name!$A:$C,3,FALSE)</f>
        <v>M</v>
      </c>
      <c r="I381" s="7" cm="1">
        <f t="array" aca="1" ref="I381" ca="1">INDEX('Marital status'!$A:$A,RANDBETWEEN(2,COUNTA('Marital status'!$A:$A)),1)</f>
        <v>4</v>
      </c>
      <c r="J381" s="7">
        <f t="shared" ca="1" si="63"/>
        <v>2</v>
      </c>
      <c r="K381" s="8">
        <f t="shared" ca="1" si="64"/>
        <v>34977</v>
      </c>
      <c r="L381" s="6">
        <f t="shared" ca="1" si="65"/>
        <v>5</v>
      </c>
      <c r="M381" s="7">
        <f ca="1" xml:space="preserve">
  IF(OR($N381 = 2, $N381 = 3, $N381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381" s="6">
        <f t="shared" ca="1" si="66"/>
        <v>8</v>
      </c>
      <c r="O381" s="6">
        <f t="shared" ca="1" si="67"/>
        <v>2</v>
      </c>
      <c r="P381" s="8">
        <f t="shared" ca="1" si="68"/>
        <v>37565</v>
      </c>
      <c r="Q381" s="6">
        <f ca="1">RANDBETWEEN(2,COUNTA('Recruitment source'!$A:$A))</f>
        <v>2</v>
      </c>
      <c r="R381" s="8" t="e">
        <f t="shared" ca="1" si="69"/>
        <v>#N/A</v>
      </c>
      <c r="S381" s="6" t="e">
        <f t="shared" ca="1" si="70"/>
        <v>#N/A</v>
      </c>
      <c r="T381" s="6">
        <f t="shared" ca="1" si="60"/>
        <v>4</v>
      </c>
      <c r="U381" s="1">
        <f t="shared" ca="1" si="71"/>
        <v>2000</v>
      </c>
    </row>
    <row r="382" spans="1:21" x14ac:dyDescent="0.2">
      <c r="A382" s="7" cm="1">
        <f t="array" aca="1" ref="A382" ca="1">INDEX(Companies!$A:$A,RANDBETWEEN(2,COUNTA(Companies!$A:$A)),1)</f>
        <v>2</v>
      </c>
      <c r="B382" s="5">
        <f t="shared" si="61"/>
        <v>381</v>
      </c>
      <c r="C382" s="6">
        <f t="shared" ca="1" si="62"/>
        <v>1</v>
      </c>
      <c r="D382" s="7">
        <f ca="1">IF($B382 = 1 + N("Presidente"),
    127,
    IF($B382 = 2 + N("Vice-Presidente"),
        72,
        IF($B382 = 3 + N("Secretária bilíngue"),
            13,
            RANDBETWEEN(5,COUNT(Name!$A:$A) + 1)
        )
    )
)</f>
        <v>142</v>
      </c>
      <c r="E382" s="7" t="str">
        <f ca="1" xml:space="preserve">
VLOOKUP(
  $D382,
  Name!$A:$B,
  2,
  FALSE
)
&amp; " " &amp;
IF($B382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Flaviano Pimenta Lima</v>
      </c>
      <c r="F382" s="7">
        <v>2</v>
      </c>
      <c r="G382" s="7" cm="1">
        <f t="array" aca="1" ref="G382" ca="1">INDEX(States!$B:$B,RANDBETWEEN(2,COUNTA(States!$A:$A)),1)</f>
        <v>20</v>
      </c>
      <c r="H382" s="7" t="str">
        <f ca="1">VLOOKUP($D382,Name!$A:$C,3,FALSE)</f>
        <v>M</v>
      </c>
      <c r="I382" s="7" cm="1">
        <f t="array" aca="1" ref="I382" ca="1">INDEX('Marital status'!$A:$A,RANDBETWEEN(2,COUNTA('Marital status'!$A:$A)),1)</f>
        <v>6</v>
      </c>
      <c r="J382" s="7">
        <f t="shared" ca="1" si="63"/>
        <v>2</v>
      </c>
      <c r="K382" s="8">
        <f t="shared" ca="1" si="64"/>
        <v>34620</v>
      </c>
      <c r="L382" s="6">
        <f t="shared" ca="1" si="65"/>
        <v>4</v>
      </c>
      <c r="M382" s="7">
        <f ca="1" xml:space="preserve">
  IF(OR($N382 = 2, $N382 = 3, $N382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382" s="6">
        <f t="shared" ca="1" si="66"/>
        <v>7</v>
      </c>
      <c r="O382" s="6" t="e">
        <f t="shared" ca="1" si="67"/>
        <v>#N/A</v>
      </c>
      <c r="P382" s="8">
        <f t="shared" ca="1" si="68"/>
        <v>43944</v>
      </c>
      <c r="Q382" s="6">
        <f ca="1">RANDBETWEEN(2,COUNTA('Recruitment source'!$A:$A))</f>
        <v>10</v>
      </c>
      <c r="R382" s="8" t="e">
        <f t="shared" ca="1" si="69"/>
        <v>#N/A</v>
      </c>
      <c r="S382" s="6" t="e">
        <f t="shared" ca="1" si="70"/>
        <v>#N/A</v>
      </c>
      <c r="T382" s="6">
        <f t="shared" ca="1" si="60"/>
        <v>2</v>
      </c>
      <c r="U382" s="1">
        <f t="shared" ca="1" si="71"/>
        <v>1085</v>
      </c>
    </row>
    <row r="383" spans="1:21" x14ac:dyDescent="0.2">
      <c r="A383" s="7" cm="1">
        <f t="array" aca="1" ref="A383" ca="1">INDEX(Companies!$A:$A,RANDBETWEEN(2,COUNTA(Companies!$A:$A)),1)</f>
        <v>2</v>
      </c>
      <c r="B383" s="5">
        <f t="shared" si="61"/>
        <v>382</v>
      </c>
      <c r="C383" s="6">
        <f t="shared" ca="1" si="62"/>
        <v>1</v>
      </c>
      <c r="D383" s="7">
        <f ca="1">IF($B383 = 1 + N("Presidente"),
    127,
    IF($B383 = 2 + N("Vice-Presidente"),
        72,
        IF($B383 = 3 + N("Secretária bilíngue"),
            13,
            RANDBETWEEN(5,COUNT(Name!$A:$A) + 1)
        )
    )
)</f>
        <v>340</v>
      </c>
      <c r="E383" s="7" t="str">
        <f ca="1" xml:space="preserve">
VLOOKUP(
  $D383,
  Name!$A:$B,
  2,
  FALSE
)
&amp; " " &amp;
IF($B383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Stella Sousa Gouveia</v>
      </c>
      <c r="F383" s="7">
        <v>2</v>
      </c>
      <c r="G383" s="7" cm="1">
        <f t="array" aca="1" ref="G383" ca="1">INDEX(States!$B:$B,RANDBETWEEN(2,COUNTA(States!$A:$A)),1)</f>
        <v>20</v>
      </c>
      <c r="H383" s="7" t="str">
        <f ca="1">VLOOKUP($D383,Name!$A:$C,3,FALSE)</f>
        <v>F</v>
      </c>
      <c r="I383" s="7" cm="1">
        <f t="array" aca="1" ref="I383" ca="1">INDEX('Marital status'!$A:$A,RANDBETWEEN(2,COUNTA('Marital status'!$A:$A)),1)</f>
        <v>2</v>
      </c>
      <c r="J383" s="7">
        <f t="shared" ca="1" si="63"/>
        <v>6</v>
      </c>
      <c r="K383" s="8">
        <f t="shared" ca="1" si="64"/>
        <v>35536</v>
      </c>
      <c r="L383" s="6">
        <f t="shared" ca="1" si="65"/>
        <v>5</v>
      </c>
      <c r="M383" s="7">
        <f ca="1" xml:space="preserve">
  IF(OR($N383 = 2, $N383 = 3, $N383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383" s="6">
        <f t="shared" ca="1" si="66"/>
        <v>8</v>
      </c>
      <c r="O383" s="6">
        <f t="shared" ca="1" si="67"/>
        <v>3</v>
      </c>
      <c r="P383" s="8">
        <f t="shared" ca="1" si="68"/>
        <v>41344</v>
      </c>
      <c r="Q383" s="6">
        <f ca="1">RANDBETWEEN(2,COUNTA('Recruitment source'!$A:$A))</f>
        <v>2</v>
      </c>
      <c r="R383" s="8" t="e">
        <f t="shared" ca="1" si="69"/>
        <v>#N/A</v>
      </c>
      <c r="S383" s="6" t="e">
        <f t="shared" ca="1" si="70"/>
        <v>#N/A</v>
      </c>
      <c r="T383" s="6">
        <f t="shared" ca="1" si="60"/>
        <v>5</v>
      </c>
      <c r="U383" s="1">
        <f t="shared" ca="1" si="71"/>
        <v>2000</v>
      </c>
    </row>
    <row r="384" spans="1:21" x14ac:dyDescent="0.2">
      <c r="A384" s="7" cm="1">
        <f t="array" aca="1" ref="A384" ca="1">INDEX(Companies!$A:$A,RANDBETWEEN(2,COUNTA(Companies!$A:$A)),1)</f>
        <v>2</v>
      </c>
      <c r="B384" s="5">
        <f t="shared" si="61"/>
        <v>383</v>
      </c>
      <c r="C384" s="6">
        <f t="shared" ca="1" si="62"/>
        <v>1</v>
      </c>
      <c r="D384" s="7">
        <f ca="1">IF($B384 = 1 + N("Presidente"),
    127,
    IF($B384 = 2 + N("Vice-Presidente"),
        72,
        IF($B384 = 3 + N("Secretária bilíngue"),
            13,
            RANDBETWEEN(5,COUNT(Name!$A:$A) + 1)
        )
    )
)</f>
        <v>225</v>
      </c>
      <c r="E384" s="7" t="str">
        <f ca="1" xml:space="preserve">
VLOOKUP(
  $D384,
  Name!$A:$B,
  2,
  FALSE
)
&amp; " " &amp;
IF($B384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Levi Albuquerque Serra</v>
      </c>
      <c r="F384" s="7">
        <v>2</v>
      </c>
      <c r="G384" s="7" cm="1">
        <f t="array" aca="1" ref="G384" ca="1">INDEX(States!$B:$B,RANDBETWEEN(2,COUNTA(States!$A:$A)),1)</f>
        <v>18</v>
      </c>
      <c r="H384" s="7" t="str">
        <f ca="1">VLOOKUP($D384,Name!$A:$C,3,FALSE)</f>
        <v>M</v>
      </c>
      <c r="I384" s="7" cm="1">
        <f t="array" aca="1" ref="I384" ca="1">INDEX('Marital status'!$A:$A,RANDBETWEEN(2,COUNTA('Marital status'!$A:$A)),1)</f>
        <v>3</v>
      </c>
      <c r="J384" s="7">
        <f t="shared" ca="1" si="63"/>
        <v>2</v>
      </c>
      <c r="K384" s="8">
        <f t="shared" ca="1" si="64"/>
        <v>30487</v>
      </c>
      <c r="L384" s="6">
        <f t="shared" ca="1" si="65"/>
        <v>4</v>
      </c>
      <c r="M384" s="7">
        <f ca="1" xml:space="preserve">
  IF(OR($N384 = 2, $N384 = 3, $N384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384" s="6">
        <f t="shared" ca="1" si="66"/>
        <v>7</v>
      </c>
      <c r="O384" s="6" t="e">
        <f t="shared" ca="1" si="67"/>
        <v>#N/A</v>
      </c>
      <c r="P384" s="8">
        <f t="shared" ca="1" si="68"/>
        <v>36806</v>
      </c>
      <c r="Q384" s="6">
        <f ca="1">RANDBETWEEN(2,COUNTA('Recruitment source'!$A:$A))</f>
        <v>10</v>
      </c>
      <c r="R384" s="8" t="e">
        <f t="shared" ca="1" si="69"/>
        <v>#N/A</v>
      </c>
      <c r="S384" s="6" t="e">
        <f t="shared" ca="1" si="70"/>
        <v>#N/A</v>
      </c>
      <c r="T384" s="6">
        <f t="shared" ca="1" si="60"/>
        <v>4</v>
      </c>
      <c r="U384" s="1">
        <f t="shared" ca="1" si="71"/>
        <v>1005</v>
      </c>
    </row>
    <row r="385" spans="1:21" x14ac:dyDescent="0.2">
      <c r="A385" s="7" cm="1">
        <f t="array" aca="1" ref="A385" ca="1">INDEX(Companies!$A:$A,RANDBETWEEN(2,COUNTA(Companies!$A:$A)),1)</f>
        <v>2</v>
      </c>
      <c r="B385" s="5">
        <f t="shared" si="61"/>
        <v>384</v>
      </c>
      <c r="C385" s="6">
        <f t="shared" ca="1" si="62"/>
        <v>1</v>
      </c>
      <c r="D385" s="7">
        <f ca="1">IF($B385 = 1 + N("Presidente"),
    127,
    IF($B385 = 2 + N("Vice-Presidente"),
        72,
        IF($B385 = 3 + N("Secretária bilíngue"),
            13,
            RANDBETWEEN(5,COUNT(Name!$A:$A) + 1)
        )
    )
)</f>
        <v>69</v>
      </c>
      <c r="E385" s="7" t="str">
        <f ca="1" xml:space="preserve">
VLOOKUP(
  $D385,
  Name!$A:$B,
  2,
  FALSE
)
&amp; " " &amp;
IF($B385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Benjamin Cardoso Aleluia</v>
      </c>
      <c r="F385" s="7">
        <v>2</v>
      </c>
      <c r="G385" s="7" cm="1">
        <f t="array" aca="1" ref="G385" ca="1">INDEX(States!$B:$B,RANDBETWEEN(2,COUNTA(States!$A:$A)),1)</f>
        <v>3</v>
      </c>
      <c r="H385" s="7" t="str">
        <f ca="1">VLOOKUP($D385,Name!$A:$C,3,FALSE)</f>
        <v>M</v>
      </c>
      <c r="I385" s="7" cm="1">
        <f t="array" aca="1" ref="I385" ca="1">INDEX('Marital status'!$A:$A,RANDBETWEEN(2,COUNTA('Marital status'!$A:$A)),1)</f>
        <v>3</v>
      </c>
      <c r="J385" s="7">
        <f t="shared" ca="1" si="63"/>
        <v>4</v>
      </c>
      <c r="K385" s="8">
        <f t="shared" ca="1" si="64"/>
        <v>35231</v>
      </c>
      <c r="L385" s="6">
        <f t="shared" ca="1" si="65"/>
        <v>5</v>
      </c>
      <c r="M385" s="7">
        <f ca="1" xml:space="preserve">
  IF(OR($N385 = 2, $N385 = 3, $N385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385" s="6">
        <f t="shared" ca="1" si="66"/>
        <v>8</v>
      </c>
      <c r="O385" s="6">
        <f t="shared" ca="1" si="67"/>
        <v>4</v>
      </c>
      <c r="P385" s="8">
        <f t="shared" ca="1" si="68"/>
        <v>40275</v>
      </c>
      <c r="Q385" s="6">
        <f ca="1">RANDBETWEEN(2,COUNTA('Recruitment source'!$A:$A))</f>
        <v>6</v>
      </c>
      <c r="R385" s="8" t="e">
        <f t="shared" ca="1" si="69"/>
        <v>#N/A</v>
      </c>
      <c r="S385" s="6" t="e">
        <f t="shared" ca="1" si="70"/>
        <v>#N/A</v>
      </c>
      <c r="T385" s="6">
        <f t="shared" ca="1" si="60"/>
        <v>3</v>
      </c>
      <c r="U385" s="1">
        <f t="shared" ca="1" si="71"/>
        <v>2000</v>
      </c>
    </row>
    <row r="386" spans="1:21" x14ac:dyDescent="0.2">
      <c r="A386" s="7" cm="1">
        <f t="array" aca="1" ref="A386" ca="1">INDEX(Companies!$A:$A,RANDBETWEEN(2,COUNTA(Companies!$A:$A)),1)</f>
        <v>2</v>
      </c>
      <c r="B386" s="5">
        <f t="shared" si="61"/>
        <v>385</v>
      </c>
      <c r="C386" s="6">
        <f t="shared" ca="1" si="62"/>
        <v>1</v>
      </c>
      <c r="D386" s="7">
        <f ca="1">IF($B386 = 1 + N("Presidente"),
    127,
    IF($B386 = 2 + N("Vice-Presidente"),
        72,
        IF($B386 = 3 + N("Secretária bilíngue"),
            13,
            RANDBETWEEN(5,COUNT(Name!$A:$A) + 1)
        )
    )
)</f>
        <v>242</v>
      </c>
      <c r="E386" s="7" t="str">
        <f ca="1" xml:space="preserve">
VLOOKUP(
  $D386,
  Name!$A:$B,
  2,
  FALSE
)
&amp; " " &amp;
IF($B386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Luisa Mazza Bactista</v>
      </c>
      <c r="F386" s="7">
        <v>2</v>
      </c>
      <c r="G386" s="7" cm="1">
        <f t="array" aca="1" ref="G386" ca="1">INDEX(States!$B:$B,RANDBETWEEN(2,COUNTA(States!$A:$A)),1)</f>
        <v>21</v>
      </c>
      <c r="H386" s="7" t="str">
        <f ca="1">VLOOKUP($D386,Name!$A:$C,3,FALSE)</f>
        <v>F</v>
      </c>
      <c r="I386" s="7" cm="1">
        <f t="array" aca="1" ref="I386" ca="1">INDEX('Marital status'!$A:$A,RANDBETWEEN(2,COUNTA('Marital status'!$A:$A)),1)</f>
        <v>4</v>
      </c>
      <c r="J386" s="7">
        <f t="shared" ca="1" si="63"/>
        <v>2</v>
      </c>
      <c r="K386" s="8">
        <f t="shared" ca="1" si="64"/>
        <v>30942</v>
      </c>
      <c r="L386" s="6">
        <f t="shared" ca="1" si="65"/>
        <v>4</v>
      </c>
      <c r="M386" s="7">
        <f ca="1" xml:space="preserve">
  IF(OR($N386 = 2, $N386 = 3, $N386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386" s="6">
        <f t="shared" ca="1" si="66"/>
        <v>7</v>
      </c>
      <c r="O386" s="6" t="e">
        <f t="shared" ca="1" si="67"/>
        <v>#N/A</v>
      </c>
      <c r="P386" s="8">
        <f t="shared" ca="1" si="68"/>
        <v>40320</v>
      </c>
      <c r="Q386" s="6">
        <f ca="1">RANDBETWEEN(2,COUNTA('Recruitment source'!$A:$A))</f>
        <v>5</v>
      </c>
      <c r="R386" s="8" t="e">
        <f t="shared" ca="1" si="69"/>
        <v>#N/A</v>
      </c>
      <c r="S386" s="6" t="e">
        <f t="shared" ca="1" si="70"/>
        <v>#N/A</v>
      </c>
      <c r="T386" s="6">
        <f t="shared" ref="T386:T449" ca="1" si="72" xml:space="preserve">
IF(
 ISNA($R386),
 IF(
   $N386 = 2,
   5,
   IF(
     OR($N386=3,$N386=4,$N386=5),
     RANDBETWEEN(4,5),
     IF(
       OR($N386=11,$N386=12),
       RANDBETWEEN(3,5),
       RANDBETWEEN(2,5)
     )
   )
 ),
 RANDBETWEEN(1,3)
)</f>
        <v>2</v>
      </c>
      <c r="U386" s="1">
        <f t="shared" ca="1" si="71"/>
        <v>1085</v>
      </c>
    </row>
    <row r="387" spans="1:21" x14ac:dyDescent="0.2">
      <c r="A387" s="7" cm="1">
        <f t="array" aca="1" ref="A387" ca="1">INDEX(Companies!$A:$A,RANDBETWEEN(2,COUNTA(Companies!$A:$A)),1)</f>
        <v>2</v>
      </c>
      <c r="B387" s="5">
        <f t="shared" ref="B387:B450" si="73">ROW() - 1</f>
        <v>386</v>
      </c>
      <c r="C387" s="6">
        <f t="shared" ref="C387:C450" ca="1" si="74">IF(ISNA($R387),1,0)</f>
        <v>1</v>
      </c>
      <c r="D387" s="7">
        <f ca="1">IF($B387 = 1 + N("Presidente"),
    127,
    IF($B387 = 2 + N("Vice-Presidente"),
        72,
        IF($B387 = 3 + N("Secretária bilíngue"),
            13,
            RANDBETWEEN(5,COUNT(Name!$A:$A) + 1)
        )
    )
)</f>
        <v>109</v>
      </c>
      <c r="E387" s="7" t="str">
        <f ca="1" xml:space="preserve">
VLOOKUP(
  $D387,
  Name!$A:$B,
  2,
  FALSE
)
&amp; " " &amp;
IF($B387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Luiz Costa Madureira</v>
      </c>
      <c r="F387" s="7">
        <v>2</v>
      </c>
      <c r="G387" s="7" cm="1">
        <f t="array" aca="1" ref="G387" ca="1">INDEX(States!$B:$B,RANDBETWEEN(2,COUNTA(States!$A:$A)),1)</f>
        <v>2</v>
      </c>
      <c r="H387" s="7" t="str">
        <f ca="1">VLOOKUP($D387,Name!$A:$C,3,FALSE)</f>
        <v>M</v>
      </c>
      <c r="I387" s="7" cm="1">
        <f t="array" aca="1" ref="I387" ca="1">INDEX('Marital status'!$A:$A,RANDBETWEEN(2,COUNTA('Marital status'!$A:$A)),1)</f>
        <v>6</v>
      </c>
      <c r="J387" s="7">
        <f t="shared" ref="J387:J450" ca="1" si="75" xml:space="preserve">
IF(AND($N387 &gt;= 2, $N387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387" s="8">
        <f t="shared" ref="K387:K450" ca="1" si="76" xml:space="preserve">
IF($N387 = 5 + N("CEO"),
    TODAY() - 16340,
    IF($N387 = 8 + N("Secretary"),
        RANDBETWEEN(TODAY() - 12418.5, TODAY()-6574.5),
        IF(OR($N387 = 7, $N387 = 14),
            RANDBETWEEN(TODAY() - 16071, TODAY() - 8766),
            IF(OR($N387 = 13, $N387 = 12, $N387 = 11),
                RANDBETWEEN(TODAY() - 27393.75, TODAY() - 12783.75),
                RANDBETWEEN(TODAY() - 27393.75, TODAY()-10957.5)
            )
        )
    )
)</f>
        <v>34306</v>
      </c>
      <c r="L387" s="6">
        <f t="shared" ref="L387:L450" ca="1" si="77" xml:space="preserve">
IF(OR($N387 = 2, $N387 = 3) + N("Se for presidente ou vice-presidente"),
    7 + N("Doutor"),
    IF($N387 = 4 + N("Se for diretor"),
        RANDBETWEEN(5,7) + N("Graduate school or Master’s degree or Doctorate"),
        IF($N387 = 11 + N("Se for gerente"),
            RANDBETWEEN(4,6) + N("Undergraduate degree or Graduate school or Master’s degree"),
            IF(AND($N387 &gt;= 8, $N387 &lt;= 10) + N("If coordinator or specialist or analyst"),
                RANDBETWEEN(4,5),
                4
            )
        )
    )
)</f>
        <v>5</v>
      </c>
      <c r="M387" s="7">
        <f ca="1" xml:space="preserve">
  IF(OR($N387 = 2, $N387 = 3, $N387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387" s="6">
        <f t="shared" ref="N387:N450" ca="1" si="78" xml:space="preserve">
IF($B387 = 1 + N("Se matrícula for 1"),
  2 + N("Presidente"),
  IF($B387 = 2 + N("Se matrícula for 2"),
    3 + N("Vice-presidente"),
    IF($B387 = 3 + N("Se matrícula for 3"),
      5 + N("Secretária bilíngue"),
      IF(AND($B387 &gt;= 4, $B387 &lt;=14),
        4 + N("Diretor"),
        IF(AND($B387 &gt;= 15, $B387 &lt;= 25),
          11 + N("Manager"),
          IF(AND($B387 &gt;= 26, $B387 &lt;= 36),
            10 + N("Coordinador"),
            IF(AND($B387 &gt;= 37, $B387 &lt;= 47),
              9 + N("Especialista"),
                IF(MOD($B387,2) = 0,
                  8 + N("Analista"),
                  RANDBETWEEN(6,7) + N("Estagiário ou Trainee")
                )
            )
          )
        )
      )
    )
  )
)</f>
        <v>8</v>
      </c>
      <c r="O387" s="6">
        <f t="shared" ref="O387:O450" ca="1" si="79" xml:space="preserve">
IF($N387 =8 + N("Analyst"),
    RANDBETWEEN(2, 4) + N("Jr, Pleno, Sr"),
    NA()
)</f>
        <v>3</v>
      </c>
      <c r="P387" s="8">
        <f t="shared" ref="P387:P450" ca="1" si="80" xml:space="preserve">
IF(
   $N387=2 + N("Presidente"),
   36161,
   IF(
       OR(
         $N387=3 + N("Vice-Presidente"),
         $N387=4 + N("Diretor"),
         $N387=5 + N("Secretária bilíngue")
       ),
       RANDBETWEEN(36161,36411),
       IF(
         ((TODAY() - $K387) / 365) &lt; 19,
         TODAY(),
         RANDBETWEEN(36161,TODAY())
       )
   )
)</f>
        <v>41604</v>
      </c>
      <c r="Q387" s="6">
        <f ca="1">RANDBETWEEN(2,COUNTA('Recruitment source'!$A:$A))</f>
        <v>11</v>
      </c>
      <c r="R387" s="8" t="e">
        <f t="shared" ref="R387:R450" ca="1" si="81" xml:space="preserve">
IF(MOD(
     ROW(),111
   )=0,
   RANDBETWEEN($P387 + 1,TODAY() - 1),NA()
)</f>
        <v>#N/A</v>
      </c>
      <c r="S387" s="6" t="e">
        <f t="shared" ref="S387:S450" ca="1" si="82" xml:space="preserve">
IF(
  ISNA(R387),
  NA(),
  RANDBETWEEN(2,IF($H387="F",10,9))
)</f>
        <v>#N/A</v>
      </c>
      <c r="T387" s="6">
        <f t="shared" ca="1" si="72"/>
        <v>4</v>
      </c>
      <c r="U387" s="1">
        <f t="shared" ref="U387:U450" ca="1" si="83" xml:space="preserve">
IF($N387 = 2 + N("Presidente"),
    25000,
    IF($N387 = 3 + N("Vice-presidente"),
        23000,
        IF(OR($N387 = 5, $N387= 10, $N387 = 9) + N("Secretária bilíngue ou coordenador ou especialista"),
            8000,
            IF($N387 = 4 + N("Diretor"),
                15000,
                IF($N387 = 11 + N("Gerente"),
                    12000,
                    IF($N387 = 6 + N("Estagiário"),
                        805,
                        IF($N387 = 7 + N("Trainee"),
                            1005,
                            IF($N387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IF($L387 = 7,
  100,
  IF($L387 = 8,
    200,
    IF($L387 = 9,
      300,
      IF($L387 = 10,
        400,
        0
      )
    )
  )
)
+
N("Adicional no salário por área")
+
IF($M387 = 14 + N("Tecnologia da Informação"),
  120,
  IF($M387 = 16 + N("Vendas"),
    110,
    IF($M387 = 15 + N("Jurídico"),
      100,
      IF(OR($M387 = 8, $M387 = 9, $M387 = 11) + N("Recursos humanos ou comercial ou comunicação e marketing"),
        80,
        0
      )
    )
  )
)
+
N("Adicionando pegadinha")
+
IF(AND($M387 = 13, $N387 = 8) + N("Se for de vendas e analista"),
  IF($J387 = 2,
    50,
    0
  )
  +
  IF($H387 = "M",
    50,
    0
  ),
  0
)</f>
        <v>2000</v>
      </c>
    </row>
    <row r="388" spans="1:21" x14ac:dyDescent="0.2">
      <c r="A388" s="7" cm="1">
        <f t="array" aca="1" ref="A388" ca="1">INDEX(Companies!$A:$A,RANDBETWEEN(2,COUNTA(Companies!$A:$A)),1)</f>
        <v>2</v>
      </c>
      <c r="B388" s="5">
        <f t="shared" si="73"/>
        <v>387</v>
      </c>
      <c r="C388" s="6">
        <f t="shared" ca="1" si="74"/>
        <v>1</v>
      </c>
      <c r="D388" s="7">
        <f ca="1">IF($B388 = 1 + N("Presidente"),
    127,
    IF($B388 = 2 + N("Vice-Presidente"),
        72,
        IF($B388 = 3 + N("Secretária bilíngue"),
            13,
            RANDBETWEEN(5,COUNT(Name!$A:$A) + 1)
        )
    )
)</f>
        <v>207</v>
      </c>
      <c r="E388" s="7" t="str">
        <f ca="1" xml:space="preserve">
VLOOKUP(
  $D388,
  Name!$A:$B,
  2,
  FALSE
)
&amp; " " &amp;
IF($B388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Kamille Lombardi Caruso</v>
      </c>
      <c r="F388" s="7">
        <v>2</v>
      </c>
      <c r="G388" s="7" cm="1">
        <f t="array" aca="1" ref="G388" ca="1">INDEX(States!$B:$B,RANDBETWEEN(2,COUNTA(States!$A:$A)),1)</f>
        <v>4</v>
      </c>
      <c r="H388" s="7" t="str">
        <f ca="1">VLOOKUP($D388,Name!$A:$C,3,FALSE)</f>
        <v>F</v>
      </c>
      <c r="I388" s="7" cm="1">
        <f t="array" aca="1" ref="I388" ca="1">INDEX('Marital status'!$A:$A,RANDBETWEEN(2,COUNTA('Marital status'!$A:$A)),1)</f>
        <v>2</v>
      </c>
      <c r="J388" s="7">
        <f t="shared" ca="1" si="75"/>
        <v>2</v>
      </c>
      <c r="K388" s="8">
        <f t="shared" ca="1" si="76"/>
        <v>19917</v>
      </c>
      <c r="L388" s="6">
        <f t="shared" ca="1" si="77"/>
        <v>4</v>
      </c>
      <c r="M388" s="7">
        <f ca="1" xml:space="preserve">
  IF(OR($N388 = 2, $N388 = 3, $N388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388" s="6">
        <f t="shared" ca="1" si="78"/>
        <v>6</v>
      </c>
      <c r="O388" s="6" t="e">
        <f t="shared" ca="1" si="79"/>
        <v>#N/A</v>
      </c>
      <c r="P388" s="8">
        <f t="shared" ca="1" si="80"/>
        <v>37043</v>
      </c>
      <c r="Q388" s="6">
        <f ca="1">RANDBETWEEN(2,COUNTA('Recruitment source'!$A:$A))</f>
        <v>6</v>
      </c>
      <c r="R388" s="8" t="e">
        <f t="shared" ca="1" si="81"/>
        <v>#N/A</v>
      </c>
      <c r="S388" s="6" t="e">
        <f t="shared" ca="1" si="82"/>
        <v>#N/A</v>
      </c>
      <c r="T388" s="6">
        <f t="shared" ca="1" si="72"/>
        <v>4</v>
      </c>
      <c r="U388" s="1">
        <f t="shared" ca="1" si="83"/>
        <v>805</v>
      </c>
    </row>
    <row r="389" spans="1:21" x14ac:dyDescent="0.2">
      <c r="A389" s="7" cm="1">
        <f t="array" aca="1" ref="A389" ca="1">INDEX(Companies!$A:$A,RANDBETWEEN(2,COUNTA(Companies!$A:$A)),1)</f>
        <v>2</v>
      </c>
      <c r="B389" s="5">
        <f t="shared" si="73"/>
        <v>388</v>
      </c>
      <c r="C389" s="6">
        <f t="shared" ca="1" si="74"/>
        <v>1</v>
      </c>
      <c r="D389" s="7">
        <f ca="1">IF($B389 = 1 + N("Presidente"),
    127,
    IF($B389 = 2 + N("Vice-Presidente"),
        72,
        IF($B389 = 3 + N("Secretária bilíngue"),
            13,
            RANDBETWEEN(5,COUNT(Name!$A:$A) + 1)
        )
    )
)</f>
        <v>52</v>
      </c>
      <c r="E389" s="7" t="str">
        <f ca="1" xml:space="preserve">
VLOOKUP(
  $D389,
  Name!$A:$B,
  2,
  FALSE
)
&amp; " " &amp;
IF($B389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Antônio Asvilla Silva</v>
      </c>
      <c r="F389" s="7">
        <v>2</v>
      </c>
      <c r="G389" s="7" cm="1">
        <f t="array" aca="1" ref="G389" ca="1">INDEX(States!$B:$B,RANDBETWEEN(2,COUNTA(States!$A:$A)),1)</f>
        <v>14</v>
      </c>
      <c r="H389" s="7" t="str">
        <f ca="1">VLOOKUP($D389,Name!$A:$C,3,FALSE)</f>
        <v>M</v>
      </c>
      <c r="I389" s="7" cm="1">
        <f t="array" aca="1" ref="I389" ca="1">INDEX('Marital status'!$A:$A,RANDBETWEEN(2,COUNTA('Marital status'!$A:$A)),1)</f>
        <v>5</v>
      </c>
      <c r="J389" s="7">
        <f t="shared" ca="1" si="75"/>
        <v>2</v>
      </c>
      <c r="K389" s="8">
        <f t="shared" ca="1" si="76"/>
        <v>34800</v>
      </c>
      <c r="L389" s="6">
        <f t="shared" ca="1" si="77"/>
        <v>5</v>
      </c>
      <c r="M389" s="7">
        <f ca="1" xml:space="preserve">
  IF(OR($N389 = 2, $N389 = 3, $N389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389" s="6">
        <f t="shared" ca="1" si="78"/>
        <v>8</v>
      </c>
      <c r="O389" s="6">
        <f t="shared" ca="1" si="79"/>
        <v>3</v>
      </c>
      <c r="P389" s="8">
        <f t="shared" ca="1" si="80"/>
        <v>39820</v>
      </c>
      <c r="Q389" s="6">
        <f ca="1">RANDBETWEEN(2,COUNTA('Recruitment source'!$A:$A))</f>
        <v>9</v>
      </c>
      <c r="R389" s="8" t="e">
        <f t="shared" ca="1" si="81"/>
        <v>#N/A</v>
      </c>
      <c r="S389" s="6" t="e">
        <f t="shared" ca="1" si="82"/>
        <v>#N/A</v>
      </c>
      <c r="T389" s="6">
        <f t="shared" ca="1" si="72"/>
        <v>4</v>
      </c>
      <c r="U389" s="1">
        <f t="shared" ca="1" si="83"/>
        <v>2000</v>
      </c>
    </row>
    <row r="390" spans="1:21" x14ac:dyDescent="0.2">
      <c r="A390" s="7" cm="1">
        <f t="array" aca="1" ref="A390" ca="1">INDEX(Companies!$A:$A,RANDBETWEEN(2,COUNTA(Companies!$A:$A)),1)</f>
        <v>2</v>
      </c>
      <c r="B390" s="5">
        <f t="shared" si="73"/>
        <v>389</v>
      </c>
      <c r="C390" s="6">
        <f t="shared" ca="1" si="74"/>
        <v>1</v>
      </c>
      <c r="D390" s="7">
        <f ca="1">IF($B390 = 1 + N("Presidente"),
    127,
    IF($B390 = 2 + N("Vice-Presidente"),
        72,
        IF($B390 = 3 + N("Secretária bilíngue"),
            13,
            RANDBETWEEN(5,COUNT(Name!$A:$A) + 1)
        )
    )
)</f>
        <v>7</v>
      </c>
      <c r="E390" s="7" t="str">
        <f ca="1" xml:space="preserve">
VLOOKUP(
  $D390,
  Name!$A:$B,
  2,
  FALSE
)
&amp; " " &amp;
IF($B390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Adelaide Coelho Morato</v>
      </c>
      <c r="F390" s="7">
        <v>2</v>
      </c>
      <c r="G390" s="7" cm="1">
        <f t="array" aca="1" ref="G390" ca="1">INDEX(States!$B:$B,RANDBETWEEN(2,COUNTA(States!$A:$A)),1)</f>
        <v>18</v>
      </c>
      <c r="H390" s="7" t="str">
        <f ca="1">VLOOKUP($D390,Name!$A:$C,3,FALSE)</f>
        <v>F</v>
      </c>
      <c r="I390" s="7" cm="1">
        <f t="array" aca="1" ref="I390" ca="1">INDEX('Marital status'!$A:$A,RANDBETWEEN(2,COUNTA('Marital status'!$A:$A)),1)</f>
        <v>3</v>
      </c>
      <c r="J390" s="7">
        <f t="shared" ca="1" si="75"/>
        <v>2</v>
      </c>
      <c r="K390" s="8">
        <f t="shared" ca="1" si="76"/>
        <v>31141</v>
      </c>
      <c r="L390" s="6">
        <f t="shared" ca="1" si="77"/>
        <v>4</v>
      </c>
      <c r="M390" s="7">
        <f ca="1" xml:space="preserve">
  IF(OR($N390 = 2, $N390 = 3, $N390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390" s="6">
        <f t="shared" ca="1" si="78"/>
        <v>7</v>
      </c>
      <c r="O390" s="6" t="e">
        <f t="shared" ca="1" si="79"/>
        <v>#N/A</v>
      </c>
      <c r="P390" s="8">
        <f t="shared" ca="1" si="80"/>
        <v>36560</v>
      </c>
      <c r="Q390" s="6">
        <f ca="1">RANDBETWEEN(2,COUNTA('Recruitment source'!$A:$A))</f>
        <v>12</v>
      </c>
      <c r="R390" s="8" t="e">
        <f t="shared" ca="1" si="81"/>
        <v>#N/A</v>
      </c>
      <c r="S390" s="6" t="e">
        <f t="shared" ca="1" si="82"/>
        <v>#N/A</v>
      </c>
      <c r="T390" s="6">
        <f t="shared" ca="1" si="72"/>
        <v>4</v>
      </c>
      <c r="U390" s="1">
        <f t="shared" ca="1" si="83"/>
        <v>1085</v>
      </c>
    </row>
    <row r="391" spans="1:21" x14ac:dyDescent="0.2">
      <c r="A391" s="7" cm="1">
        <f t="array" aca="1" ref="A391" ca="1">INDEX(Companies!$A:$A,RANDBETWEEN(2,COUNTA(Companies!$A:$A)),1)</f>
        <v>2</v>
      </c>
      <c r="B391" s="5">
        <f t="shared" si="73"/>
        <v>390</v>
      </c>
      <c r="C391" s="6">
        <f t="shared" ca="1" si="74"/>
        <v>1</v>
      </c>
      <c r="D391" s="7">
        <f ca="1">IF($B391 = 1 + N("Presidente"),
    127,
    IF($B391 = 2 + N("Vice-Presidente"),
        72,
        IF($B391 = 3 + N("Secretária bilíngue"),
            13,
            RANDBETWEEN(5,COUNT(Name!$A:$A) + 1)
        )
    )
)</f>
        <v>87</v>
      </c>
      <c r="E391" s="7" t="str">
        <f ca="1" xml:space="preserve">
VLOOKUP(
  $D391,
  Name!$A:$B,
  2,
  FALSE
)
&amp; " " &amp;
IF($B391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Caroline Ildelfonso Ferreira</v>
      </c>
      <c r="F391" s="7">
        <v>2</v>
      </c>
      <c r="G391" s="7" cm="1">
        <f t="array" aca="1" ref="G391" ca="1">INDEX(States!$B:$B,RANDBETWEEN(2,COUNTA(States!$A:$A)),1)</f>
        <v>3</v>
      </c>
      <c r="H391" s="7" t="str">
        <f ca="1">VLOOKUP($D391,Name!$A:$C,3,FALSE)</f>
        <v>F</v>
      </c>
      <c r="I391" s="7" cm="1">
        <f t="array" aca="1" ref="I391" ca="1">INDEX('Marital status'!$A:$A,RANDBETWEEN(2,COUNTA('Marital status'!$A:$A)),1)</f>
        <v>5</v>
      </c>
      <c r="J391" s="7">
        <f t="shared" ca="1" si="75"/>
        <v>2</v>
      </c>
      <c r="K391" s="8">
        <f t="shared" ca="1" si="76"/>
        <v>33888</v>
      </c>
      <c r="L391" s="6">
        <f t="shared" ca="1" si="77"/>
        <v>5</v>
      </c>
      <c r="M391" s="7">
        <f ca="1" xml:space="preserve">
  IF(OR($N391 = 2, $N391 = 3, $N391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391" s="6">
        <f t="shared" ca="1" si="78"/>
        <v>8</v>
      </c>
      <c r="O391" s="6">
        <f t="shared" ca="1" si="79"/>
        <v>4</v>
      </c>
      <c r="P391" s="8">
        <f t="shared" ca="1" si="80"/>
        <v>39939</v>
      </c>
      <c r="Q391" s="6">
        <f ca="1">RANDBETWEEN(2,COUNTA('Recruitment source'!$A:$A))</f>
        <v>12</v>
      </c>
      <c r="R391" s="8" t="e">
        <f t="shared" ca="1" si="81"/>
        <v>#N/A</v>
      </c>
      <c r="S391" s="6" t="e">
        <f t="shared" ca="1" si="82"/>
        <v>#N/A</v>
      </c>
      <c r="T391" s="6">
        <f t="shared" ca="1" si="72"/>
        <v>2</v>
      </c>
      <c r="U391" s="1">
        <f t="shared" ca="1" si="83"/>
        <v>2000</v>
      </c>
    </row>
    <row r="392" spans="1:21" x14ac:dyDescent="0.2">
      <c r="A392" s="7" cm="1">
        <f t="array" aca="1" ref="A392" ca="1">INDEX(Companies!$A:$A,RANDBETWEEN(2,COUNTA(Companies!$A:$A)),1)</f>
        <v>2</v>
      </c>
      <c r="B392" s="5">
        <f t="shared" si="73"/>
        <v>391</v>
      </c>
      <c r="C392" s="6">
        <f t="shared" ca="1" si="74"/>
        <v>1</v>
      </c>
      <c r="D392" s="7">
        <f ca="1">IF($B392 = 1 + N("Presidente"),
    127,
    IF($B392 = 2 + N("Vice-Presidente"),
        72,
        IF($B392 = 3 + N("Secretária bilíngue"),
            13,
            RANDBETWEEN(5,COUNT(Name!$A:$A) + 1)
        )
    )
)</f>
        <v>179</v>
      </c>
      <c r="E392" s="7" t="str">
        <f ca="1" xml:space="preserve">
VLOOKUP(
  $D392,
  Name!$A:$B,
  2,
  FALSE
)
&amp; " " &amp;
IF($B392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Isadora Marques Luz</v>
      </c>
      <c r="F392" s="7">
        <v>2</v>
      </c>
      <c r="G392" s="7" cm="1">
        <f t="array" aca="1" ref="G392" ca="1">INDEX(States!$B:$B,RANDBETWEEN(2,COUNTA(States!$A:$A)),1)</f>
        <v>20</v>
      </c>
      <c r="H392" s="7" t="str">
        <f ca="1">VLOOKUP($D392,Name!$A:$C,3,FALSE)</f>
        <v>F</v>
      </c>
      <c r="I392" s="7" cm="1">
        <f t="array" aca="1" ref="I392" ca="1">INDEX('Marital status'!$A:$A,RANDBETWEEN(2,COUNTA('Marital status'!$A:$A)),1)</f>
        <v>3</v>
      </c>
      <c r="J392" s="7">
        <f t="shared" ca="1" si="75"/>
        <v>3</v>
      </c>
      <c r="K392" s="8">
        <f t="shared" ca="1" si="76"/>
        <v>34424</v>
      </c>
      <c r="L392" s="6">
        <f t="shared" ca="1" si="77"/>
        <v>4</v>
      </c>
      <c r="M392" s="7">
        <f ca="1" xml:space="preserve">
  IF(OR($N392 = 2, $N392 = 3, $N392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392" s="6">
        <f t="shared" ca="1" si="78"/>
        <v>7</v>
      </c>
      <c r="O392" s="6" t="e">
        <f t="shared" ca="1" si="79"/>
        <v>#N/A</v>
      </c>
      <c r="P392" s="8">
        <f t="shared" ca="1" si="80"/>
        <v>42434</v>
      </c>
      <c r="Q392" s="6">
        <f ca="1">RANDBETWEEN(2,COUNTA('Recruitment source'!$A:$A))</f>
        <v>8</v>
      </c>
      <c r="R392" s="8" t="e">
        <f t="shared" ca="1" si="81"/>
        <v>#N/A</v>
      </c>
      <c r="S392" s="6" t="e">
        <f t="shared" ca="1" si="82"/>
        <v>#N/A</v>
      </c>
      <c r="T392" s="6">
        <f t="shared" ca="1" si="72"/>
        <v>5</v>
      </c>
      <c r="U392" s="1">
        <f t="shared" ca="1" si="83"/>
        <v>1085</v>
      </c>
    </row>
    <row r="393" spans="1:21" x14ac:dyDescent="0.2">
      <c r="A393" s="7" cm="1">
        <f t="array" aca="1" ref="A393" ca="1">INDEX(Companies!$A:$A,RANDBETWEEN(2,COUNTA(Companies!$A:$A)),1)</f>
        <v>2</v>
      </c>
      <c r="B393" s="5">
        <f t="shared" si="73"/>
        <v>392</v>
      </c>
      <c r="C393" s="6">
        <f t="shared" ca="1" si="74"/>
        <v>1</v>
      </c>
      <c r="D393" s="7">
        <f ca="1">IF($B393 = 1 + N("Presidente"),
    127,
    IF($B393 = 2 + N("Vice-Presidente"),
        72,
        IF($B393 = 3 + N("Secretária bilíngue"),
            13,
            RANDBETWEEN(5,COUNT(Name!$A:$A) + 1)
        )
    )
)</f>
        <v>67</v>
      </c>
      <c r="E393" s="7" t="str">
        <f ca="1" xml:space="preserve">
VLOOKUP(
  $D393,
  Name!$A:$B,
  2,
  FALSE
)
&amp; " " &amp;
IF($B393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Beatriz dos Santos dos Santos</v>
      </c>
      <c r="F393" s="7">
        <v>2</v>
      </c>
      <c r="G393" s="7" cm="1">
        <f t="array" aca="1" ref="G393" ca="1">INDEX(States!$B:$B,RANDBETWEEN(2,COUNTA(States!$A:$A)),1)</f>
        <v>13</v>
      </c>
      <c r="H393" s="7" t="str">
        <f ca="1">VLOOKUP($D393,Name!$A:$C,3,FALSE)</f>
        <v>F</v>
      </c>
      <c r="I393" s="7" cm="1">
        <f t="array" aca="1" ref="I393" ca="1">INDEX('Marital status'!$A:$A,RANDBETWEEN(2,COUNTA('Marital status'!$A:$A)),1)</f>
        <v>5</v>
      </c>
      <c r="J393" s="7">
        <f t="shared" ca="1" si="75"/>
        <v>2</v>
      </c>
      <c r="K393" s="8">
        <f t="shared" ca="1" si="76"/>
        <v>35756</v>
      </c>
      <c r="L393" s="6">
        <f t="shared" ca="1" si="77"/>
        <v>5</v>
      </c>
      <c r="M393" s="7">
        <f ca="1" xml:space="preserve">
  IF(OR($N393 = 2, $N393 = 3, $N393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393" s="6">
        <f t="shared" ca="1" si="78"/>
        <v>8</v>
      </c>
      <c r="O393" s="6">
        <f t="shared" ca="1" si="79"/>
        <v>4</v>
      </c>
      <c r="P393" s="8">
        <f t="shared" ca="1" si="80"/>
        <v>36964</v>
      </c>
      <c r="Q393" s="6">
        <f ca="1">RANDBETWEEN(2,COUNTA('Recruitment source'!$A:$A))</f>
        <v>6</v>
      </c>
      <c r="R393" s="8" t="e">
        <f t="shared" ca="1" si="81"/>
        <v>#N/A</v>
      </c>
      <c r="S393" s="6" t="e">
        <f t="shared" ca="1" si="82"/>
        <v>#N/A</v>
      </c>
      <c r="T393" s="6">
        <f t="shared" ca="1" si="72"/>
        <v>5</v>
      </c>
      <c r="U393" s="1">
        <f t="shared" ca="1" si="83"/>
        <v>2000</v>
      </c>
    </row>
    <row r="394" spans="1:21" x14ac:dyDescent="0.2">
      <c r="A394" s="7" cm="1">
        <f t="array" aca="1" ref="A394" ca="1">INDEX(Companies!$A:$A,RANDBETWEEN(2,COUNTA(Companies!$A:$A)),1)</f>
        <v>2</v>
      </c>
      <c r="B394" s="5">
        <f t="shared" si="73"/>
        <v>393</v>
      </c>
      <c r="C394" s="6">
        <f t="shared" ca="1" si="74"/>
        <v>1</v>
      </c>
      <c r="D394" s="7">
        <f ca="1">IF($B394 = 1 + N("Presidente"),
    127,
    IF($B394 = 2 + N("Vice-Presidente"),
        72,
        IF($B394 = 3 + N("Secretária bilíngue"),
            13,
            RANDBETWEEN(5,COUNT(Name!$A:$A) + 1)
        )
    )
)</f>
        <v>352</v>
      </c>
      <c r="E394" s="7" t="str">
        <f ca="1" xml:space="preserve">
VLOOKUP(
  $D394,
  Name!$A:$B,
  2,
  FALSE
)
&amp; " " &amp;
IF($B394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Vicent Veiga Monteiro</v>
      </c>
      <c r="F394" s="7">
        <v>2</v>
      </c>
      <c r="G394" s="7" cm="1">
        <f t="array" aca="1" ref="G394" ca="1">INDEX(States!$B:$B,RANDBETWEEN(2,COUNTA(States!$A:$A)),1)</f>
        <v>5</v>
      </c>
      <c r="H394" s="7" t="str">
        <f ca="1">VLOOKUP($D394,Name!$A:$C,3,FALSE)</f>
        <v>M</v>
      </c>
      <c r="I394" s="7" cm="1">
        <f t="array" aca="1" ref="I394" ca="1">INDEX('Marital status'!$A:$A,RANDBETWEEN(2,COUNTA('Marital status'!$A:$A)),1)</f>
        <v>6</v>
      </c>
      <c r="J394" s="7">
        <f t="shared" ca="1" si="75"/>
        <v>2</v>
      </c>
      <c r="K394" s="8">
        <f t="shared" ca="1" si="76"/>
        <v>22078</v>
      </c>
      <c r="L394" s="6">
        <f t="shared" ca="1" si="77"/>
        <v>4</v>
      </c>
      <c r="M394" s="7">
        <f ca="1" xml:space="preserve">
  IF(OR($N394 = 2, $N394 = 3, $N394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394" s="6">
        <f t="shared" ca="1" si="78"/>
        <v>6</v>
      </c>
      <c r="O394" s="6" t="e">
        <f t="shared" ca="1" si="79"/>
        <v>#N/A</v>
      </c>
      <c r="P394" s="8">
        <f t="shared" ca="1" si="80"/>
        <v>42134</v>
      </c>
      <c r="Q394" s="6">
        <f ca="1">RANDBETWEEN(2,COUNTA('Recruitment source'!$A:$A))</f>
        <v>9</v>
      </c>
      <c r="R394" s="8" t="e">
        <f t="shared" ca="1" si="81"/>
        <v>#N/A</v>
      </c>
      <c r="S394" s="6" t="e">
        <f t="shared" ca="1" si="82"/>
        <v>#N/A</v>
      </c>
      <c r="T394" s="6">
        <f t="shared" ca="1" si="72"/>
        <v>4</v>
      </c>
      <c r="U394" s="1">
        <f t="shared" ca="1" si="83"/>
        <v>885</v>
      </c>
    </row>
    <row r="395" spans="1:21" x14ac:dyDescent="0.2">
      <c r="A395" s="7" cm="1">
        <f t="array" aca="1" ref="A395" ca="1">INDEX(Companies!$A:$A,RANDBETWEEN(2,COUNTA(Companies!$A:$A)),1)</f>
        <v>2</v>
      </c>
      <c r="B395" s="5">
        <f t="shared" si="73"/>
        <v>394</v>
      </c>
      <c r="C395" s="6">
        <f t="shared" ca="1" si="74"/>
        <v>1</v>
      </c>
      <c r="D395" s="7">
        <f ca="1">IF($B395 = 1 + N("Presidente"),
    127,
    IF($B395 = 2 + N("Vice-Presidente"),
        72,
        IF($B395 = 3 + N("Secretária bilíngue"),
            13,
            RANDBETWEEN(5,COUNT(Name!$A:$A) + 1)
        )
    )
)</f>
        <v>350</v>
      </c>
      <c r="E395" s="7" t="str">
        <f ca="1" xml:space="preserve">
VLOOKUP(
  $D395,
  Name!$A:$B,
  2,
  FALSE
)
&amp; " " &amp;
IF($B395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Vanessa Monti Padrão</v>
      </c>
      <c r="F395" s="7">
        <v>2</v>
      </c>
      <c r="G395" s="7" cm="1">
        <f t="array" aca="1" ref="G395" ca="1">INDEX(States!$B:$B,RANDBETWEEN(2,COUNTA(States!$A:$A)),1)</f>
        <v>11</v>
      </c>
      <c r="H395" s="7" t="str">
        <f ca="1">VLOOKUP($D395,Name!$A:$C,3,FALSE)</f>
        <v>F</v>
      </c>
      <c r="I395" s="7" cm="1">
        <f t="array" aca="1" ref="I395" ca="1">INDEX('Marital status'!$A:$A,RANDBETWEEN(2,COUNTA('Marital status'!$A:$A)),1)</f>
        <v>2</v>
      </c>
      <c r="J395" s="7">
        <f t="shared" ca="1" si="75"/>
        <v>2</v>
      </c>
      <c r="K395" s="8">
        <f t="shared" ca="1" si="76"/>
        <v>38211</v>
      </c>
      <c r="L395" s="6">
        <f t="shared" ca="1" si="77"/>
        <v>5</v>
      </c>
      <c r="M395" s="7">
        <f ca="1" xml:space="preserve">
  IF(OR($N395 = 2, $N395 = 3, $N395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395" s="6">
        <f t="shared" ca="1" si="78"/>
        <v>8</v>
      </c>
      <c r="O395" s="6">
        <f t="shared" ca="1" si="79"/>
        <v>2</v>
      </c>
      <c r="P395" s="8">
        <f t="shared" ca="1" si="80"/>
        <v>44838</v>
      </c>
      <c r="Q395" s="6">
        <f ca="1">RANDBETWEEN(2,COUNTA('Recruitment source'!$A:$A))</f>
        <v>2</v>
      </c>
      <c r="R395" s="8" t="e">
        <f t="shared" ca="1" si="81"/>
        <v>#N/A</v>
      </c>
      <c r="S395" s="6" t="e">
        <f t="shared" ca="1" si="82"/>
        <v>#N/A</v>
      </c>
      <c r="T395" s="6">
        <f t="shared" ca="1" si="72"/>
        <v>3</v>
      </c>
      <c r="U395" s="1">
        <f t="shared" ca="1" si="83"/>
        <v>2080</v>
      </c>
    </row>
    <row r="396" spans="1:21" x14ac:dyDescent="0.2">
      <c r="A396" s="7" cm="1">
        <f t="array" aca="1" ref="A396" ca="1">INDEX(Companies!$A:$A,RANDBETWEEN(2,COUNTA(Companies!$A:$A)),1)</f>
        <v>2</v>
      </c>
      <c r="B396" s="5">
        <f t="shared" si="73"/>
        <v>395</v>
      </c>
      <c r="C396" s="6">
        <f t="shared" ca="1" si="74"/>
        <v>1</v>
      </c>
      <c r="D396" s="7">
        <f ca="1">IF($B396 = 1 + N("Presidente"),
    127,
    IF($B396 = 2 + N("Vice-Presidente"),
        72,
        IF($B396 = 3 + N("Secretária bilíngue"),
            13,
            RANDBETWEEN(5,COUNT(Name!$A:$A) + 1)
        )
    )
)</f>
        <v>325</v>
      </c>
      <c r="E396" s="7" t="str">
        <f ca="1" xml:space="preserve">
VLOOKUP(
  $D396,
  Name!$A:$B,
  2,
  FALSE
)
&amp; " " &amp;
IF($B396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Rafaela Abranches Rocha</v>
      </c>
      <c r="F396" s="7">
        <v>2</v>
      </c>
      <c r="G396" s="7" cm="1">
        <f t="array" aca="1" ref="G396" ca="1">INDEX(States!$B:$B,RANDBETWEEN(2,COUNTA(States!$A:$A)),1)</f>
        <v>19</v>
      </c>
      <c r="H396" s="7" t="str">
        <f ca="1">VLOOKUP($D396,Name!$A:$C,3,FALSE)</f>
        <v>F</v>
      </c>
      <c r="I396" s="7" cm="1">
        <f t="array" aca="1" ref="I396" ca="1">INDEX('Marital status'!$A:$A,RANDBETWEEN(2,COUNTA('Marital status'!$A:$A)),1)</f>
        <v>6</v>
      </c>
      <c r="J396" s="7">
        <f t="shared" ca="1" si="75"/>
        <v>4</v>
      </c>
      <c r="K396" s="8">
        <f t="shared" ca="1" si="76"/>
        <v>32507</v>
      </c>
      <c r="L396" s="6">
        <f t="shared" ca="1" si="77"/>
        <v>4</v>
      </c>
      <c r="M396" s="7">
        <f ca="1" xml:space="preserve">
  IF(OR($N396 = 2, $N396 = 3, $N396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396" s="6">
        <f t="shared" ca="1" si="78"/>
        <v>7</v>
      </c>
      <c r="O396" s="6" t="e">
        <f t="shared" ca="1" si="79"/>
        <v>#N/A</v>
      </c>
      <c r="P396" s="8">
        <f t="shared" ca="1" si="80"/>
        <v>40276</v>
      </c>
      <c r="Q396" s="6">
        <f ca="1">RANDBETWEEN(2,COUNTA('Recruitment source'!$A:$A))</f>
        <v>8</v>
      </c>
      <c r="R396" s="8" t="e">
        <f t="shared" ca="1" si="81"/>
        <v>#N/A</v>
      </c>
      <c r="S396" s="6" t="e">
        <f t="shared" ca="1" si="82"/>
        <v>#N/A</v>
      </c>
      <c r="T396" s="6">
        <f t="shared" ca="1" si="72"/>
        <v>5</v>
      </c>
      <c r="U396" s="1">
        <f t="shared" ca="1" si="83"/>
        <v>1085</v>
      </c>
    </row>
    <row r="397" spans="1:21" x14ac:dyDescent="0.2">
      <c r="A397" s="7" cm="1">
        <f t="array" aca="1" ref="A397" ca="1">INDEX(Companies!$A:$A,RANDBETWEEN(2,COUNTA(Companies!$A:$A)),1)</f>
        <v>2</v>
      </c>
      <c r="B397" s="5">
        <f t="shared" si="73"/>
        <v>396</v>
      </c>
      <c r="C397" s="6">
        <f t="shared" ca="1" si="74"/>
        <v>1</v>
      </c>
      <c r="D397" s="7">
        <f ca="1">IF($B397 = 1 + N("Presidente"),
    127,
    IF($B397 = 2 + N("Vice-Presidente"),
        72,
        IF($B397 = 3 + N("Secretária bilíngue"),
            13,
            RANDBETWEEN(5,COUNT(Name!$A:$A) + 1)
        )
    )
)</f>
        <v>293</v>
      </c>
      <c r="E397" s="7" t="str">
        <f ca="1" xml:space="preserve">
VLOOKUP(
  $D397,
  Name!$A:$B,
  2,
  FALSE
)
&amp; " " &amp;
IF($B397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Michael Sousa Ferrara</v>
      </c>
      <c r="F397" s="7">
        <v>2</v>
      </c>
      <c r="G397" s="7" cm="1">
        <f t="array" aca="1" ref="G397" ca="1">INDEX(States!$B:$B,RANDBETWEEN(2,COUNTA(States!$A:$A)),1)</f>
        <v>13</v>
      </c>
      <c r="H397" s="7" t="str">
        <f ca="1">VLOOKUP($D397,Name!$A:$C,3,FALSE)</f>
        <v>M</v>
      </c>
      <c r="I397" s="7" cm="1">
        <f t="array" aca="1" ref="I397" ca="1">INDEX('Marital status'!$A:$A,RANDBETWEEN(2,COUNTA('Marital status'!$A:$A)),1)</f>
        <v>5</v>
      </c>
      <c r="J397" s="7">
        <f t="shared" ca="1" si="75"/>
        <v>2</v>
      </c>
      <c r="K397" s="8">
        <f t="shared" ca="1" si="76"/>
        <v>32480</v>
      </c>
      <c r="L397" s="6">
        <f t="shared" ca="1" si="77"/>
        <v>5</v>
      </c>
      <c r="M397" s="7">
        <f ca="1" xml:space="preserve">
  IF(OR($N397 = 2, $N397 = 3, $N397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397" s="6">
        <f t="shared" ca="1" si="78"/>
        <v>8</v>
      </c>
      <c r="O397" s="6">
        <f t="shared" ca="1" si="79"/>
        <v>2</v>
      </c>
      <c r="P397" s="8">
        <f t="shared" ca="1" si="80"/>
        <v>43016</v>
      </c>
      <c r="Q397" s="6">
        <f ca="1">RANDBETWEEN(2,COUNTA('Recruitment source'!$A:$A))</f>
        <v>7</v>
      </c>
      <c r="R397" s="8" t="e">
        <f t="shared" ca="1" si="81"/>
        <v>#N/A</v>
      </c>
      <c r="S397" s="6" t="e">
        <f t="shared" ca="1" si="82"/>
        <v>#N/A</v>
      </c>
      <c r="T397" s="6">
        <f t="shared" ca="1" si="72"/>
        <v>3</v>
      </c>
      <c r="U397" s="1">
        <f t="shared" ca="1" si="83"/>
        <v>2000</v>
      </c>
    </row>
    <row r="398" spans="1:21" x14ac:dyDescent="0.2">
      <c r="A398" s="7" cm="1">
        <f t="array" aca="1" ref="A398" ca="1">INDEX(Companies!$A:$A,RANDBETWEEN(2,COUNTA(Companies!$A:$A)),1)</f>
        <v>2</v>
      </c>
      <c r="B398" s="5">
        <f t="shared" si="73"/>
        <v>397</v>
      </c>
      <c r="C398" s="6">
        <f t="shared" ca="1" si="74"/>
        <v>1</v>
      </c>
      <c r="D398" s="7">
        <f ca="1">IF($B398 = 1 + N("Presidente"),
    127,
    IF($B398 = 2 + N("Vice-Presidente"),
        72,
        IF($B398 = 3 + N("Secretária bilíngue"),
            13,
            RANDBETWEEN(5,COUNT(Name!$A:$A) + 1)
        )
    )
)</f>
        <v>251</v>
      </c>
      <c r="E398" s="7" t="str">
        <f ca="1" xml:space="preserve">
VLOOKUP(
  $D398,
  Name!$A:$B,
  2,
  FALSE
)
&amp; " " &amp;
IF($B398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Maitê Cunha Bispo</v>
      </c>
      <c r="F398" s="7">
        <v>2</v>
      </c>
      <c r="G398" s="7" cm="1">
        <f t="array" aca="1" ref="G398" ca="1">INDEX(States!$B:$B,RANDBETWEEN(2,COUNTA(States!$A:$A)),1)</f>
        <v>9</v>
      </c>
      <c r="H398" s="7" t="str">
        <f ca="1">VLOOKUP($D398,Name!$A:$C,3,FALSE)</f>
        <v>F</v>
      </c>
      <c r="I398" s="7" cm="1">
        <f t="array" aca="1" ref="I398" ca="1">INDEX('Marital status'!$A:$A,RANDBETWEEN(2,COUNTA('Marital status'!$A:$A)),1)</f>
        <v>6</v>
      </c>
      <c r="J398" s="7">
        <f t="shared" ca="1" si="75"/>
        <v>2</v>
      </c>
      <c r="K398" s="8">
        <f t="shared" ca="1" si="76"/>
        <v>20159</v>
      </c>
      <c r="L398" s="6">
        <f t="shared" ca="1" si="77"/>
        <v>4</v>
      </c>
      <c r="M398" s="7">
        <f ca="1" xml:space="preserve">
  IF(OR($N398 = 2, $N398 = 3, $N398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398" s="6">
        <f t="shared" ca="1" si="78"/>
        <v>6</v>
      </c>
      <c r="O398" s="6" t="e">
        <f t="shared" ca="1" si="79"/>
        <v>#N/A</v>
      </c>
      <c r="P398" s="8">
        <f t="shared" ca="1" si="80"/>
        <v>43717</v>
      </c>
      <c r="Q398" s="6">
        <f ca="1">RANDBETWEEN(2,COUNTA('Recruitment source'!$A:$A))</f>
        <v>2</v>
      </c>
      <c r="R398" s="8" t="e">
        <f t="shared" ca="1" si="81"/>
        <v>#N/A</v>
      </c>
      <c r="S398" s="6" t="e">
        <f t="shared" ca="1" si="82"/>
        <v>#N/A</v>
      </c>
      <c r="T398" s="6">
        <f t="shared" ca="1" si="72"/>
        <v>4</v>
      </c>
      <c r="U398" s="1">
        <f t="shared" ca="1" si="83"/>
        <v>805</v>
      </c>
    </row>
    <row r="399" spans="1:21" x14ac:dyDescent="0.2">
      <c r="A399" s="7" cm="1">
        <f t="array" aca="1" ref="A399" ca="1">INDEX(Companies!$A:$A,RANDBETWEEN(2,COUNTA(Companies!$A:$A)),1)</f>
        <v>2</v>
      </c>
      <c r="B399" s="5">
        <f t="shared" si="73"/>
        <v>398</v>
      </c>
      <c r="C399" s="6">
        <f t="shared" ca="1" si="74"/>
        <v>1</v>
      </c>
      <c r="D399" s="7">
        <f ca="1">IF($B399 = 1 + N("Presidente"),
    127,
    IF($B399 = 2 + N("Vice-Presidente"),
        72,
        IF($B399 = 3 + N("Secretária bilíngue"),
            13,
            RANDBETWEEN(5,COUNT(Name!$A:$A) + 1)
        )
    )
)</f>
        <v>43</v>
      </c>
      <c r="E399" s="7" t="str">
        <f ca="1" xml:space="preserve">
VLOOKUP(
  $D399,
  Name!$A:$B,
  2,
  FALSE
)
&amp; " " &amp;
IF($B399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Anita Barbosa Saragoça</v>
      </c>
      <c r="F399" s="7">
        <v>2</v>
      </c>
      <c r="G399" s="7" cm="1">
        <f t="array" aca="1" ref="G399" ca="1">INDEX(States!$B:$B,RANDBETWEEN(2,COUNTA(States!$A:$A)),1)</f>
        <v>21</v>
      </c>
      <c r="H399" s="7" t="str">
        <f ca="1">VLOOKUP($D399,Name!$A:$C,3,FALSE)</f>
        <v>F</v>
      </c>
      <c r="I399" s="7" cm="1">
        <f t="array" aca="1" ref="I399" ca="1">INDEX('Marital status'!$A:$A,RANDBETWEEN(2,COUNTA('Marital status'!$A:$A)),1)</f>
        <v>5</v>
      </c>
      <c r="J399" s="7">
        <f t="shared" ca="1" si="75"/>
        <v>5</v>
      </c>
      <c r="K399" s="8">
        <f t="shared" ca="1" si="76"/>
        <v>37989</v>
      </c>
      <c r="L399" s="6">
        <f t="shared" ca="1" si="77"/>
        <v>5</v>
      </c>
      <c r="M399" s="7">
        <f ca="1" xml:space="preserve">
  IF(OR($N399 = 2, $N399 = 3, $N399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399" s="6">
        <f t="shared" ca="1" si="78"/>
        <v>8</v>
      </c>
      <c r="O399" s="6">
        <f t="shared" ca="1" si="79"/>
        <v>4</v>
      </c>
      <c r="P399" s="8">
        <f t="shared" ca="1" si="80"/>
        <v>44838</v>
      </c>
      <c r="Q399" s="6">
        <f ca="1">RANDBETWEEN(2,COUNTA('Recruitment source'!$A:$A))</f>
        <v>10</v>
      </c>
      <c r="R399" s="8" t="e">
        <f t="shared" ca="1" si="81"/>
        <v>#N/A</v>
      </c>
      <c r="S399" s="6" t="e">
        <f t="shared" ca="1" si="82"/>
        <v>#N/A</v>
      </c>
      <c r="T399" s="6">
        <f t="shared" ca="1" si="72"/>
        <v>5</v>
      </c>
      <c r="U399" s="1">
        <f t="shared" ca="1" si="83"/>
        <v>2000</v>
      </c>
    </row>
    <row r="400" spans="1:21" x14ac:dyDescent="0.2">
      <c r="A400" s="7" cm="1">
        <f t="array" aca="1" ref="A400" ca="1">INDEX(Companies!$A:$A,RANDBETWEEN(2,COUNTA(Companies!$A:$A)),1)</f>
        <v>2</v>
      </c>
      <c r="B400" s="5">
        <f t="shared" si="73"/>
        <v>399</v>
      </c>
      <c r="C400" s="6">
        <f t="shared" ca="1" si="74"/>
        <v>1</v>
      </c>
      <c r="D400" s="7">
        <f ca="1">IF($B400 = 1 + N("Presidente"),
    127,
    IF($B400 = 2 + N("Vice-Presidente"),
        72,
        IF($B400 = 3 + N("Secretária bilíngue"),
            13,
            RANDBETWEEN(5,COUNT(Name!$A:$A) + 1)
        )
    )
)</f>
        <v>231</v>
      </c>
      <c r="E400" s="7" t="str">
        <f ca="1" xml:space="preserve">
VLOOKUP(
  $D400,
  Name!$A:$B,
  2,
  FALSE
)
&amp; " " &amp;
IF($B400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Lorenna Batista Rocha</v>
      </c>
      <c r="F400" s="7">
        <v>2</v>
      </c>
      <c r="G400" s="7" cm="1">
        <f t="array" aca="1" ref="G400" ca="1">INDEX(States!$B:$B,RANDBETWEEN(2,COUNTA(States!$A:$A)),1)</f>
        <v>4</v>
      </c>
      <c r="H400" s="7" t="str">
        <f ca="1">VLOOKUP($D400,Name!$A:$C,3,FALSE)</f>
        <v>F</v>
      </c>
      <c r="I400" s="7" cm="1">
        <f t="array" aca="1" ref="I400" ca="1">INDEX('Marital status'!$A:$A,RANDBETWEEN(2,COUNTA('Marital status'!$A:$A)),1)</f>
        <v>6</v>
      </c>
      <c r="J400" s="7">
        <f t="shared" ca="1" si="75"/>
        <v>2</v>
      </c>
      <c r="K400" s="8">
        <f t="shared" ca="1" si="76"/>
        <v>31108</v>
      </c>
      <c r="L400" s="6">
        <f t="shared" ca="1" si="77"/>
        <v>4</v>
      </c>
      <c r="M400" s="7">
        <f ca="1" xml:space="preserve">
  IF(OR($N400 = 2, $N400 = 3, $N400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400" s="6">
        <f t="shared" ca="1" si="78"/>
        <v>7</v>
      </c>
      <c r="O400" s="6" t="e">
        <f t="shared" ca="1" si="79"/>
        <v>#N/A</v>
      </c>
      <c r="P400" s="8">
        <f t="shared" ca="1" si="80"/>
        <v>38386</v>
      </c>
      <c r="Q400" s="6">
        <f ca="1">RANDBETWEEN(2,COUNTA('Recruitment source'!$A:$A))</f>
        <v>2</v>
      </c>
      <c r="R400" s="8" t="e">
        <f t="shared" ca="1" si="81"/>
        <v>#N/A</v>
      </c>
      <c r="S400" s="6" t="e">
        <f t="shared" ca="1" si="82"/>
        <v>#N/A</v>
      </c>
      <c r="T400" s="6">
        <f t="shared" ca="1" si="72"/>
        <v>5</v>
      </c>
      <c r="U400" s="1">
        <f t="shared" ca="1" si="83"/>
        <v>1005</v>
      </c>
    </row>
    <row r="401" spans="1:21" x14ac:dyDescent="0.2">
      <c r="A401" s="7" cm="1">
        <f t="array" aca="1" ref="A401" ca="1">INDEX(Companies!$A:$A,RANDBETWEEN(2,COUNTA(Companies!$A:$A)),1)</f>
        <v>2</v>
      </c>
      <c r="B401" s="5">
        <f t="shared" si="73"/>
        <v>400</v>
      </c>
      <c r="C401" s="6">
        <f t="shared" ca="1" si="74"/>
        <v>1</v>
      </c>
      <c r="D401" s="7">
        <f ca="1">IF($B401 = 1 + N("Presidente"),
    127,
    IF($B401 = 2 + N("Vice-Presidente"),
        72,
        IF($B401 = 3 + N("Secretária bilíngue"),
            13,
            RANDBETWEEN(5,COUNT(Name!$A:$A) + 1)
        )
    )
)</f>
        <v>92</v>
      </c>
      <c r="E401" s="7" t="str">
        <f ca="1" xml:space="preserve">
VLOOKUP(
  $D401,
  Name!$A:$B,
  2,
  FALSE
)
&amp; " " &amp;
IF($B401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Cecília Brasil Bactista</v>
      </c>
      <c r="F401" s="7">
        <v>2</v>
      </c>
      <c r="G401" s="7" cm="1">
        <f t="array" aca="1" ref="G401" ca="1">INDEX(States!$B:$B,RANDBETWEEN(2,COUNTA(States!$A:$A)),1)</f>
        <v>12</v>
      </c>
      <c r="H401" s="7" t="str">
        <f ca="1">VLOOKUP($D401,Name!$A:$C,3,FALSE)</f>
        <v>F</v>
      </c>
      <c r="I401" s="7" cm="1">
        <f t="array" aca="1" ref="I401" ca="1">INDEX('Marital status'!$A:$A,RANDBETWEEN(2,COUNTA('Marital status'!$A:$A)),1)</f>
        <v>2</v>
      </c>
      <c r="J401" s="7">
        <f t="shared" ca="1" si="75"/>
        <v>2</v>
      </c>
      <c r="K401" s="8">
        <f t="shared" ca="1" si="76"/>
        <v>37669</v>
      </c>
      <c r="L401" s="6">
        <f t="shared" ca="1" si="77"/>
        <v>4</v>
      </c>
      <c r="M401" s="7">
        <f ca="1" xml:space="preserve">
  IF(OR($N401 = 2, $N401 = 3, $N401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401" s="6">
        <f t="shared" ca="1" si="78"/>
        <v>8</v>
      </c>
      <c r="O401" s="6">
        <f t="shared" ca="1" si="79"/>
        <v>2</v>
      </c>
      <c r="P401" s="8">
        <f t="shared" ca="1" si="80"/>
        <v>37856</v>
      </c>
      <c r="Q401" s="6">
        <f ca="1">RANDBETWEEN(2,COUNTA('Recruitment source'!$A:$A))</f>
        <v>5</v>
      </c>
      <c r="R401" s="8" t="e">
        <f t="shared" ca="1" si="81"/>
        <v>#N/A</v>
      </c>
      <c r="S401" s="6" t="e">
        <f t="shared" ca="1" si="82"/>
        <v>#N/A</v>
      </c>
      <c r="T401" s="6">
        <f t="shared" ca="1" si="72"/>
        <v>4</v>
      </c>
      <c r="U401" s="1">
        <f t="shared" ca="1" si="83"/>
        <v>2080</v>
      </c>
    </row>
    <row r="402" spans="1:21" x14ac:dyDescent="0.2">
      <c r="A402" s="7" cm="1">
        <f t="array" aca="1" ref="A402" ca="1">INDEX(Companies!$A:$A,RANDBETWEEN(2,COUNTA(Companies!$A:$A)),1)</f>
        <v>2</v>
      </c>
      <c r="B402" s="5">
        <f t="shared" si="73"/>
        <v>401</v>
      </c>
      <c r="C402" s="6">
        <f t="shared" ca="1" si="74"/>
        <v>1</v>
      </c>
      <c r="D402" s="7">
        <f ca="1">IF($B402 = 1 + N("Presidente"),
    127,
    IF($B402 = 2 + N("Vice-Presidente"),
        72,
        IF($B402 = 3 + N("Secretária bilíngue"),
            13,
            RANDBETWEEN(5,COUNT(Name!$A:$A) + 1)
        )
    )
)</f>
        <v>219</v>
      </c>
      <c r="E402" s="7" t="str">
        <f ca="1" xml:space="preserve">
VLOOKUP(
  $D402,
  Name!$A:$B,
  2,
  FALSE
)
&amp; " " &amp;
IF($B402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Larissa Arruda Silva</v>
      </c>
      <c r="F402" s="7">
        <v>2</v>
      </c>
      <c r="G402" s="7" cm="1">
        <f t="array" aca="1" ref="G402" ca="1">INDEX(States!$B:$B,RANDBETWEEN(2,COUNTA(States!$A:$A)),1)</f>
        <v>15</v>
      </c>
      <c r="H402" s="7" t="str">
        <f ca="1">VLOOKUP($D402,Name!$A:$C,3,FALSE)</f>
        <v>F</v>
      </c>
      <c r="I402" s="7" cm="1">
        <f t="array" aca="1" ref="I402" ca="1">INDEX('Marital status'!$A:$A,RANDBETWEEN(2,COUNTA('Marital status'!$A:$A)),1)</f>
        <v>5</v>
      </c>
      <c r="J402" s="7">
        <f t="shared" ca="1" si="75"/>
        <v>2</v>
      </c>
      <c r="K402" s="8">
        <f t="shared" ca="1" si="76"/>
        <v>36010</v>
      </c>
      <c r="L402" s="6">
        <f t="shared" ca="1" si="77"/>
        <v>4</v>
      </c>
      <c r="M402" s="7">
        <f ca="1" xml:space="preserve">
  IF(OR($N402 = 2, $N402 = 3, $N402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402" s="6">
        <f t="shared" ca="1" si="78"/>
        <v>7</v>
      </c>
      <c r="O402" s="6" t="e">
        <f t="shared" ca="1" si="79"/>
        <v>#N/A</v>
      </c>
      <c r="P402" s="8">
        <f t="shared" ca="1" si="80"/>
        <v>39055</v>
      </c>
      <c r="Q402" s="6">
        <f ca="1">RANDBETWEEN(2,COUNTA('Recruitment source'!$A:$A))</f>
        <v>6</v>
      </c>
      <c r="R402" s="8" t="e">
        <f t="shared" ca="1" si="81"/>
        <v>#N/A</v>
      </c>
      <c r="S402" s="6" t="e">
        <f t="shared" ca="1" si="82"/>
        <v>#N/A</v>
      </c>
      <c r="T402" s="6">
        <f t="shared" ca="1" si="72"/>
        <v>2</v>
      </c>
      <c r="U402" s="1">
        <f t="shared" ca="1" si="83"/>
        <v>1085</v>
      </c>
    </row>
    <row r="403" spans="1:21" x14ac:dyDescent="0.2">
      <c r="A403" s="7" cm="1">
        <f t="array" aca="1" ref="A403" ca="1">INDEX(Companies!$A:$A,RANDBETWEEN(2,COUNTA(Companies!$A:$A)),1)</f>
        <v>2</v>
      </c>
      <c r="B403" s="5">
        <f t="shared" si="73"/>
        <v>402</v>
      </c>
      <c r="C403" s="6">
        <f t="shared" ca="1" si="74"/>
        <v>1</v>
      </c>
      <c r="D403" s="7">
        <f ca="1">IF($B403 = 1 + N("Presidente"),
    127,
    IF($B403 = 2 + N("Vice-Presidente"),
        72,
        IF($B403 = 3 + N("Secretária bilíngue"),
            13,
            RANDBETWEEN(5,COUNT(Name!$A:$A) + 1)
        )
    )
)</f>
        <v>187</v>
      </c>
      <c r="E403" s="7" t="str">
        <f ca="1" xml:space="preserve">
VLOOKUP(
  $D403,
  Name!$A:$B,
  2,
  FALSE
)
&amp; " " &amp;
IF($B403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Guilherme Seixas Gomes</v>
      </c>
      <c r="F403" s="7">
        <v>2</v>
      </c>
      <c r="G403" s="7" cm="1">
        <f t="array" aca="1" ref="G403" ca="1">INDEX(States!$B:$B,RANDBETWEEN(2,COUNTA(States!$A:$A)),1)</f>
        <v>13</v>
      </c>
      <c r="H403" s="7" t="str">
        <f ca="1">VLOOKUP($D403,Name!$A:$C,3,FALSE)</f>
        <v>M</v>
      </c>
      <c r="I403" s="7" cm="1">
        <f t="array" aca="1" ref="I403" ca="1">INDEX('Marital status'!$A:$A,RANDBETWEEN(2,COUNTA('Marital status'!$A:$A)),1)</f>
        <v>6</v>
      </c>
      <c r="J403" s="7">
        <f t="shared" ca="1" si="75"/>
        <v>2</v>
      </c>
      <c r="K403" s="8">
        <f t="shared" ca="1" si="76"/>
        <v>37085</v>
      </c>
      <c r="L403" s="6">
        <f t="shared" ca="1" si="77"/>
        <v>5</v>
      </c>
      <c r="M403" s="7">
        <f ca="1" xml:space="preserve">
  IF(OR($N403 = 2, $N403 = 3, $N403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403" s="6">
        <f t="shared" ca="1" si="78"/>
        <v>8</v>
      </c>
      <c r="O403" s="6">
        <f t="shared" ca="1" si="79"/>
        <v>2</v>
      </c>
      <c r="P403" s="8">
        <f t="shared" ca="1" si="80"/>
        <v>37855</v>
      </c>
      <c r="Q403" s="6">
        <f ca="1">RANDBETWEEN(2,COUNTA('Recruitment source'!$A:$A))</f>
        <v>12</v>
      </c>
      <c r="R403" s="8" t="e">
        <f t="shared" ca="1" si="81"/>
        <v>#N/A</v>
      </c>
      <c r="S403" s="6" t="e">
        <f t="shared" ca="1" si="82"/>
        <v>#N/A</v>
      </c>
      <c r="T403" s="6">
        <f t="shared" ca="1" si="72"/>
        <v>2</v>
      </c>
      <c r="U403" s="1">
        <f t="shared" ca="1" si="83"/>
        <v>2080</v>
      </c>
    </row>
    <row r="404" spans="1:21" x14ac:dyDescent="0.2">
      <c r="A404" s="7" cm="1">
        <f t="array" aca="1" ref="A404" ca="1">INDEX(Companies!$A:$A,RANDBETWEEN(2,COUNTA(Companies!$A:$A)),1)</f>
        <v>2</v>
      </c>
      <c r="B404" s="5">
        <f t="shared" si="73"/>
        <v>403</v>
      </c>
      <c r="C404" s="6">
        <f t="shared" ca="1" si="74"/>
        <v>1</v>
      </c>
      <c r="D404" s="7">
        <f ca="1">IF($B404 = 1 + N("Presidente"),
    127,
    IF($B404 = 2 + N("Vice-Presidente"),
        72,
        IF($B404 = 3 + N("Secretária bilíngue"),
            13,
            RANDBETWEEN(5,COUNT(Name!$A:$A) + 1)
        )
    )
)</f>
        <v>50</v>
      </c>
      <c r="E404" s="7" t="str">
        <f ca="1" xml:space="preserve">
VLOOKUP(
  $D404,
  Name!$A:$B,
  2,
  FALSE
)
&amp; " " &amp;
IF($B404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Antonella Greco Faro</v>
      </c>
      <c r="F404" s="7">
        <v>2</v>
      </c>
      <c r="G404" s="7" cm="1">
        <f t="array" aca="1" ref="G404" ca="1">INDEX(States!$B:$B,RANDBETWEEN(2,COUNTA(States!$A:$A)),1)</f>
        <v>5</v>
      </c>
      <c r="H404" s="7" t="str">
        <f ca="1">VLOOKUP($D404,Name!$A:$C,3,FALSE)</f>
        <v>F</v>
      </c>
      <c r="I404" s="7" cm="1">
        <f t="array" aca="1" ref="I404" ca="1">INDEX('Marital status'!$A:$A,RANDBETWEEN(2,COUNTA('Marital status'!$A:$A)),1)</f>
        <v>6</v>
      </c>
      <c r="J404" s="7">
        <f t="shared" ca="1" si="75"/>
        <v>2</v>
      </c>
      <c r="K404" s="8">
        <f t="shared" ca="1" si="76"/>
        <v>29866</v>
      </c>
      <c r="L404" s="6">
        <f t="shared" ca="1" si="77"/>
        <v>4</v>
      </c>
      <c r="M404" s="7">
        <f ca="1" xml:space="preserve">
  IF(OR($N404 = 2, $N404 = 3, $N404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404" s="6">
        <f t="shared" ca="1" si="78"/>
        <v>7</v>
      </c>
      <c r="O404" s="6" t="e">
        <f t="shared" ca="1" si="79"/>
        <v>#N/A</v>
      </c>
      <c r="P404" s="8">
        <f t="shared" ca="1" si="80"/>
        <v>41470</v>
      </c>
      <c r="Q404" s="6">
        <f ca="1">RANDBETWEEN(2,COUNTA('Recruitment source'!$A:$A))</f>
        <v>7</v>
      </c>
      <c r="R404" s="8" t="e">
        <f t="shared" ca="1" si="81"/>
        <v>#N/A</v>
      </c>
      <c r="S404" s="6" t="e">
        <f t="shared" ca="1" si="82"/>
        <v>#N/A</v>
      </c>
      <c r="T404" s="6">
        <f t="shared" ca="1" si="72"/>
        <v>2</v>
      </c>
      <c r="U404" s="1">
        <f t="shared" ca="1" si="83"/>
        <v>1005</v>
      </c>
    </row>
    <row r="405" spans="1:21" x14ac:dyDescent="0.2">
      <c r="A405" s="7" cm="1">
        <f t="array" aca="1" ref="A405" ca="1">INDEX(Companies!$A:$A,RANDBETWEEN(2,COUNTA(Companies!$A:$A)),1)</f>
        <v>2</v>
      </c>
      <c r="B405" s="5">
        <f t="shared" si="73"/>
        <v>404</v>
      </c>
      <c r="C405" s="6">
        <f t="shared" ca="1" si="74"/>
        <v>1</v>
      </c>
      <c r="D405" s="7">
        <f ca="1">IF($B405 = 1 + N("Presidente"),
    127,
    IF($B405 = 2 + N("Vice-Presidente"),
        72,
        IF($B405 = 3 + N("Secretária bilíngue"),
            13,
            RANDBETWEEN(5,COUNT(Name!$A:$A) + 1)
        )
    )
)</f>
        <v>64</v>
      </c>
      <c r="E405" s="7" t="str">
        <f ca="1" xml:space="preserve">
VLOOKUP(
  $D405,
  Name!$A:$B,
  2,
  FALSE
)
&amp; " " &amp;
IF($B405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Ayla Barbosa Reis</v>
      </c>
      <c r="F405" s="7">
        <v>2</v>
      </c>
      <c r="G405" s="7" cm="1">
        <f t="array" aca="1" ref="G405" ca="1">INDEX(States!$B:$B,RANDBETWEEN(2,COUNTA(States!$A:$A)),1)</f>
        <v>5</v>
      </c>
      <c r="H405" s="7" t="str">
        <f ca="1">VLOOKUP($D405,Name!$A:$C,3,FALSE)</f>
        <v>F</v>
      </c>
      <c r="I405" s="7" cm="1">
        <f t="array" aca="1" ref="I405" ca="1">INDEX('Marital status'!$A:$A,RANDBETWEEN(2,COUNTA('Marital status'!$A:$A)),1)</f>
        <v>6</v>
      </c>
      <c r="J405" s="7">
        <f t="shared" ca="1" si="75"/>
        <v>2</v>
      </c>
      <c r="K405" s="8">
        <f t="shared" ca="1" si="76"/>
        <v>35181</v>
      </c>
      <c r="L405" s="6">
        <f t="shared" ca="1" si="77"/>
        <v>5</v>
      </c>
      <c r="M405" s="7">
        <f ca="1" xml:space="preserve">
  IF(OR($N405 = 2, $N405 = 3, $N405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405" s="6">
        <f t="shared" ca="1" si="78"/>
        <v>8</v>
      </c>
      <c r="O405" s="6">
        <f t="shared" ca="1" si="79"/>
        <v>2</v>
      </c>
      <c r="P405" s="8">
        <f t="shared" ca="1" si="80"/>
        <v>39882</v>
      </c>
      <c r="Q405" s="6">
        <f ca="1">RANDBETWEEN(2,COUNTA('Recruitment source'!$A:$A))</f>
        <v>7</v>
      </c>
      <c r="R405" s="8" t="e">
        <f t="shared" ca="1" si="81"/>
        <v>#N/A</v>
      </c>
      <c r="S405" s="6" t="e">
        <f t="shared" ca="1" si="82"/>
        <v>#N/A</v>
      </c>
      <c r="T405" s="6">
        <f t="shared" ca="1" si="72"/>
        <v>5</v>
      </c>
      <c r="U405" s="1">
        <f t="shared" ca="1" si="83"/>
        <v>2000</v>
      </c>
    </row>
    <row r="406" spans="1:21" x14ac:dyDescent="0.2">
      <c r="A406" s="7" cm="1">
        <f t="array" aca="1" ref="A406" ca="1">INDEX(Companies!$A:$A,RANDBETWEEN(2,COUNTA(Companies!$A:$A)),1)</f>
        <v>2</v>
      </c>
      <c r="B406" s="5">
        <f t="shared" si="73"/>
        <v>405</v>
      </c>
      <c r="C406" s="6">
        <f t="shared" ca="1" si="74"/>
        <v>1</v>
      </c>
      <c r="D406" s="7">
        <f ca="1">IF($B406 = 1 + N("Presidente"),
    127,
    IF($B406 = 2 + N("Vice-Presidente"),
        72,
        IF($B406 = 3 + N("Secretária bilíngue"),
            13,
            RANDBETWEEN(5,COUNT(Name!$A:$A) + 1)
        )
    )
)</f>
        <v>88</v>
      </c>
      <c r="E406" s="7" t="str">
        <f ca="1" xml:space="preserve">
VLOOKUP(
  $D406,
  Name!$A:$B,
  2,
  FALSE
)
&amp; " " &amp;
IF($B406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Catarina Ferreira sobrenome</v>
      </c>
      <c r="F406" s="7">
        <v>2</v>
      </c>
      <c r="G406" s="7" cm="1">
        <f t="array" aca="1" ref="G406" ca="1">INDEX(States!$B:$B,RANDBETWEEN(2,COUNTA(States!$A:$A)),1)</f>
        <v>6</v>
      </c>
      <c r="H406" s="7" t="str">
        <f ca="1">VLOOKUP($D406,Name!$A:$C,3,FALSE)</f>
        <v>F</v>
      </c>
      <c r="I406" s="7" cm="1">
        <f t="array" aca="1" ref="I406" ca="1">INDEX('Marital status'!$A:$A,RANDBETWEEN(2,COUNTA('Marital status'!$A:$A)),1)</f>
        <v>2</v>
      </c>
      <c r="J406" s="7">
        <f t="shared" ca="1" si="75"/>
        <v>3</v>
      </c>
      <c r="K406" s="8">
        <f t="shared" ca="1" si="76"/>
        <v>31588</v>
      </c>
      <c r="L406" s="6">
        <f t="shared" ca="1" si="77"/>
        <v>4</v>
      </c>
      <c r="M406" s="7">
        <f ca="1" xml:space="preserve">
  IF(OR($N406 = 2, $N406 = 3, $N406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406" s="6">
        <f t="shared" ca="1" si="78"/>
        <v>7</v>
      </c>
      <c r="O406" s="6" t="e">
        <f t="shared" ca="1" si="79"/>
        <v>#N/A</v>
      </c>
      <c r="P406" s="8">
        <f t="shared" ca="1" si="80"/>
        <v>37739</v>
      </c>
      <c r="Q406" s="6">
        <f ca="1">RANDBETWEEN(2,COUNTA('Recruitment source'!$A:$A))</f>
        <v>9</v>
      </c>
      <c r="R406" s="8" t="e">
        <f t="shared" ca="1" si="81"/>
        <v>#N/A</v>
      </c>
      <c r="S406" s="6" t="e">
        <f t="shared" ca="1" si="82"/>
        <v>#N/A</v>
      </c>
      <c r="T406" s="6">
        <f t="shared" ca="1" si="72"/>
        <v>2</v>
      </c>
      <c r="U406" s="1">
        <f t="shared" ca="1" si="83"/>
        <v>1005</v>
      </c>
    </row>
    <row r="407" spans="1:21" x14ac:dyDescent="0.2">
      <c r="A407" s="7" cm="1">
        <f t="array" aca="1" ref="A407" ca="1">INDEX(Companies!$A:$A,RANDBETWEEN(2,COUNTA(Companies!$A:$A)),1)</f>
        <v>2</v>
      </c>
      <c r="B407" s="5">
        <f t="shared" si="73"/>
        <v>406</v>
      </c>
      <c r="C407" s="6">
        <f t="shared" ca="1" si="74"/>
        <v>1</v>
      </c>
      <c r="D407" s="7">
        <f ca="1">IF($B407 = 1 + N("Presidente"),
    127,
    IF($B407 = 2 + N("Vice-Presidente"),
        72,
        IF($B407 = 3 + N("Secretária bilíngue"),
            13,
            RANDBETWEEN(5,COUNT(Name!$A:$A) + 1)
        )
    )
)</f>
        <v>269</v>
      </c>
      <c r="E407" s="7" t="str">
        <f ca="1" xml:space="preserve">
VLOOKUP(
  $D407,
  Name!$A:$B,
  2,
  FALSE
)
&amp; " " &amp;
IF($B407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Júlia Badu de Oliveira</v>
      </c>
      <c r="F407" s="7">
        <v>2</v>
      </c>
      <c r="G407" s="7" cm="1">
        <f t="array" aca="1" ref="G407" ca="1">INDEX(States!$B:$B,RANDBETWEEN(2,COUNTA(States!$A:$A)),1)</f>
        <v>7</v>
      </c>
      <c r="H407" s="7" t="str">
        <f ca="1">VLOOKUP($D407,Name!$A:$C,3,FALSE)</f>
        <v>F</v>
      </c>
      <c r="I407" s="7" cm="1">
        <f t="array" aca="1" ref="I407" ca="1">INDEX('Marital status'!$A:$A,RANDBETWEEN(2,COUNTA('Marital status'!$A:$A)),1)</f>
        <v>5</v>
      </c>
      <c r="J407" s="7">
        <f t="shared" ca="1" si="75"/>
        <v>4</v>
      </c>
      <c r="K407" s="8">
        <f t="shared" ca="1" si="76"/>
        <v>32766</v>
      </c>
      <c r="L407" s="6">
        <f t="shared" ca="1" si="77"/>
        <v>5</v>
      </c>
      <c r="M407" s="7">
        <f ca="1" xml:space="preserve">
  IF(OR($N407 = 2, $N407 = 3, $N407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407" s="6">
        <f t="shared" ca="1" si="78"/>
        <v>8</v>
      </c>
      <c r="O407" s="6">
        <f t="shared" ca="1" si="79"/>
        <v>4</v>
      </c>
      <c r="P407" s="8">
        <f t="shared" ca="1" si="80"/>
        <v>42388</v>
      </c>
      <c r="Q407" s="6">
        <f ca="1">RANDBETWEEN(2,COUNTA('Recruitment source'!$A:$A))</f>
        <v>9</v>
      </c>
      <c r="R407" s="8" t="e">
        <f t="shared" ca="1" si="81"/>
        <v>#N/A</v>
      </c>
      <c r="S407" s="6" t="e">
        <f t="shared" ca="1" si="82"/>
        <v>#N/A</v>
      </c>
      <c r="T407" s="6">
        <f t="shared" ca="1" si="72"/>
        <v>2</v>
      </c>
      <c r="U407" s="1">
        <f t="shared" ca="1" si="83"/>
        <v>2000</v>
      </c>
    </row>
    <row r="408" spans="1:21" x14ac:dyDescent="0.2">
      <c r="A408" s="7" cm="1">
        <f t="array" aca="1" ref="A408" ca="1">INDEX(Companies!$A:$A,RANDBETWEEN(2,COUNTA(Companies!$A:$A)),1)</f>
        <v>2</v>
      </c>
      <c r="B408" s="5">
        <f t="shared" si="73"/>
        <v>407</v>
      </c>
      <c r="C408" s="6">
        <f t="shared" ca="1" si="74"/>
        <v>1</v>
      </c>
      <c r="D408" s="7">
        <f ca="1">IF($B408 = 1 + N("Presidente"),
    127,
    IF($B408 = 2 + N("Vice-Presidente"),
        72,
        IF($B408 = 3 + N("Secretária bilíngue"),
            13,
            RANDBETWEEN(5,COUNT(Name!$A:$A) + 1)
        )
    )
)</f>
        <v>332</v>
      </c>
      <c r="E408" s="7" t="str">
        <f ca="1" xml:space="preserve">
VLOOKUP(
  $D408,
  Name!$A:$B,
  2,
  FALSE
)
&amp; " " &amp;
IF($B408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Rodrigo Medeiros Malafaia</v>
      </c>
      <c r="F408" s="7">
        <v>2</v>
      </c>
      <c r="G408" s="7" cm="1">
        <f t="array" aca="1" ref="G408" ca="1">INDEX(States!$B:$B,RANDBETWEEN(2,COUNTA(States!$A:$A)),1)</f>
        <v>5</v>
      </c>
      <c r="H408" s="7" t="str">
        <f ca="1">VLOOKUP($D408,Name!$A:$C,3,FALSE)</f>
        <v>M</v>
      </c>
      <c r="I408" s="7" cm="1">
        <f t="array" aca="1" ref="I408" ca="1">INDEX('Marital status'!$A:$A,RANDBETWEEN(2,COUNTA('Marital status'!$A:$A)),1)</f>
        <v>4</v>
      </c>
      <c r="J408" s="7">
        <f t="shared" ca="1" si="75"/>
        <v>2</v>
      </c>
      <c r="K408" s="8">
        <f t="shared" ca="1" si="76"/>
        <v>25862</v>
      </c>
      <c r="L408" s="6">
        <f t="shared" ca="1" si="77"/>
        <v>4</v>
      </c>
      <c r="M408" s="7">
        <f ca="1" xml:space="preserve">
  IF(OR($N408 = 2, $N408 = 3, $N408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408" s="6">
        <f t="shared" ca="1" si="78"/>
        <v>6</v>
      </c>
      <c r="O408" s="6" t="e">
        <f t="shared" ca="1" si="79"/>
        <v>#N/A</v>
      </c>
      <c r="P408" s="8">
        <f t="shared" ca="1" si="80"/>
        <v>38231</v>
      </c>
      <c r="Q408" s="6">
        <f ca="1">RANDBETWEEN(2,COUNTA('Recruitment source'!$A:$A))</f>
        <v>11</v>
      </c>
      <c r="R408" s="8" t="e">
        <f t="shared" ca="1" si="81"/>
        <v>#N/A</v>
      </c>
      <c r="S408" s="6" t="e">
        <f t="shared" ca="1" si="82"/>
        <v>#N/A</v>
      </c>
      <c r="T408" s="6">
        <f t="shared" ca="1" si="72"/>
        <v>5</v>
      </c>
      <c r="U408" s="1">
        <f t="shared" ca="1" si="83"/>
        <v>885</v>
      </c>
    </row>
    <row r="409" spans="1:21" x14ac:dyDescent="0.2">
      <c r="A409" s="7" cm="1">
        <f t="array" aca="1" ref="A409" ca="1">INDEX(Companies!$A:$A,RANDBETWEEN(2,COUNTA(Companies!$A:$A)),1)</f>
        <v>2</v>
      </c>
      <c r="B409" s="5">
        <f t="shared" si="73"/>
        <v>408</v>
      </c>
      <c r="C409" s="6">
        <f t="shared" ca="1" si="74"/>
        <v>1</v>
      </c>
      <c r="D409" s="7">
        <f ca="1">IF($B409 = 1 + N("Presidente"),
    127,
    IF($B409 = 2 + N("Vice-Presidente"),
        72,
        IF($B409 = 3 + N("Secretária bilíngue"),
            13,
            RANDBETWEEN(5,COUNT(Name!$A:$A) + 1)
        )
    )
)</f>
        <v>98</v>
      </c>
      <c r="E409" s="7" t="str">
        <f ca="1" xml:space="preserve">
VLOOKUP(
  $D409,
  Name!$A:$B,
  2,
  FALSE
)
&amp; " " &amp;
IF($B409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Claudio Carneiro Barreto</v>
      </c>
      <c r="F409" s="7">
        <v>2</v>
      </c>
      <c r="G409" s="7" cm="1">
        <f t="array" aca="1" ref="G409" ca="1">INDEX(States!$B:$B,RANDBETWEEN(2,COUNTA(States!$A:$A)),1)</f>
        <v>17</v>
      </c>
      <c r="H409" s="7" t="str">
        <f ca="1">VLOOKUP($D409,Name!$A:$C,3,FALSE)</f>
        <v>M</v>
      </c>
      <c r="I409" s="7" cm="1">
        <f t="array" aca="1" ref="I409" ca="1">INDEX('Marital status'!$A:$A,RANDBETWEEN(2,COUNTA('Marital status'!$A:$A)),1)</f>
        <v>5</v>
      </c>
      <c r="J409" s="7">
        <f t="shared" ca="1" si="75"/>
        <v>2</v>
      </c>
      <c r="K409" s="8">
        <f t="shared" ca="1" si="76"/>
        <v>34157</v>
      </c>
      <c r="L409" s="6">
        <f t="shared" ca="1" si="77"/>
        <v>4</v>
      </c>
      <c r="M409" s="7">
        <f ca="1" xml:space="preserve">
  IF(OR($N409 = 2, $N409 = 3, $N409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409" s="6">
        <f t="shared" ca="1" si="78"/>
        <v>8</v>
      </c>
      <c r="O409" s="6">
        <f t="shared" ca="1" si="79"/>
        <v>3</v>
      </c>
      <c r="P409" s="8">
        <f t="shared" ca="1" si="80"/>
        <v>42541</v>
      </c>
      <c r="Q409" s="6">
        <f ca="1">RANDBETWEEN(2,COUNTA('Recruitment source'!$A:$A))</f>
        <v>2</v>
      </c>
      <c r="R409" s="8" t="e">
        <f t="shared" ca="1" si="81"/>
        <v>#N/A</v>
      </c>
      <c r="S409" s="6" t="e">
        <f t="shared" ca="1" si="82"/>
        <v>#N/A</v>
      </c>
      <c r="T409" s="6">
        <f t="shared" ca="1" si="72"/>
        <v>4</v>
      </c>
      <c r="U409" s="1">
        <f t="shared" ca="1" si="83"/>
        <v>2080</v>
      </c>
    </row>
    <row r="410" spans="1:21" x14ac:dyDescent="0.2">
      <c r="A410" s="7" cm="1">
        <f t="array" aca="1" ref="A410" ca="1">INDEX(Companies!$A:$A,RANDBETWEEN(2,COUNTA(Companies!$A:$A)),1)</f>
        <v>2</v>
      </c>
      <c r="B410" s="5">
        <f t="shared" si="73"/>
        <v>409</v>
      </c>
      <c r="C410" s="6">
        <f t="shared" ca="1" si="74"/>
        <v>1</v>
      </c>
      <c r="D410" s="7">
        <f ca="1">IF($B410 = 1 + N("Presidente"),
    127,
    IF($B410 = 2 + N("Vice-Presidente"),
        72,
        IF($B410 = 3 + N("Secretária bilíngue"),
            13,
            RANDBETWEEN(5,COUNT(Name!$A:$A) + 1)
        )
    )
)</f>
        <v>25</v>
      </c>
      <c r="E410" s="7" t="str">
        <f ca="1" xml:space="preserve">
VLOOKUP(
  $D410,
  Name!$A:$B,
  2,
  FALSE
)
&amp; " " &amp;
IF($B410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Sousa Pimenta</v>
      </c>
      <c r="F410" s="7">
        <v>2</v>
      </c>
      <c r="G410" s="7" cm="1">
        <f t="array" aca="1" ref="G410" ca="1">INDEX(States!$B:$B,RANDBETWEEN(2,COUNTA(States!$A:$A)),1)</f>
        <v>15</v>
      </c>
      <c r="H410" s="7" t="str">
        <f ca="1">VLOOKUP($D410,Name!$A:$C,3,FALSE)</f>
        <v>F</v>
      </c>
      <c r="I410" s="7" cm="1">
        <f t="array" aca="1" ref="I410" ca="1">INDEX('Marital status'!$A:$A,RANDBETWEEN(2,COUNTA('Marital status'!$A:$A)),1)</f>
        <v>3</v>
      </c>
      <c r="J410" s="7">
        <f t="shared" ca="1" si="75"/>
        <v>2</v>
      </c>
      <c r="K410" s="8">
        <f t="shared" ca="1" si="76"/>
        <v>34807</v>
      </c>
      <c r="L410" s="6">
        <f t="shared" ca="1" si="77"/>
        <v>4</v>
      </c>
      <c r="M410" s="7">
        <f ca="1" xml:space="preserve">
  IF(OR($N410 = 2, $N410 = 3, $N410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410" s="6">
        <f t="shared" ca="1" si="78"/>
        <v>7</v>
      </c>
      <c r="O410" s="6" t="e">
        <f t="shared" ca="1" si="79"/>
        <v>#N/A</v>
      </c>
      <c r="P410" s="8">
        <f t="shared" ca="1" si="80"/>
        <v>38417</v>
      </c>
      <c r="Q410" s="6">
        <f ca="1">RANDBETWEEN(2,COUNTA('Recruitment source'!$A:$A))</f>
        <v>6</v>
      </c>
      <c r="R410" s="8" t="e">
        <f t="shared" ca="1" si="81"/>
        <v>#N/A</v>
      </c>
      <c r="S410" s="6" t="e">
        <f t="shared" ca="1" si="82"/>
        <v>#N/A</v>
      </c>
      <c r="T410" s="6">
        <f t="shared" ca="1" si="72"/>
        <v>3</v>
      </c>
      <c r="U410" s="1">
        <f t="shared" ca="1" si="83"/>
        <v>1005</v>
      </c>
    </row>
    <row r="411" spans="1:21" x14ac:dyDescent="0.2">
      <c r="A411" s="7" cm="1">
        <f t="array" aca="1" ref="A411" ca="1">INDEX(Companies!$A:$A,RANDBETWEEN(2,COUNTA(Companies!$A:$A)),1)</f>
        <v>2</v>
      </c>
      <c r="B411" s="5">
        <f t="shared" si="73"/>
        <v>410</v>
      </c>
      <c r="C411" s="6">
        <f t="shared" ca="1" si="74"/>
        <v>1</v>
      </c>
      <c r="D411" s="7">
        <f ca="1">IF($B411 = 1 + N("Presidente"),
    127,
    IF($B411 = 2 + N("Vice-Presidente"),
        72,
        IF($B411 = 3 + N("Secretária bilíngue"),
            13,
            RANDBETWEEN(5,COUNT(Name!$A:$A) + 1)
        )
    )
)</f>
        <v>74</v>
      </c>
      <c r="E411" s="7" t="str">
        <f ca="1" xml:space="preserve">
VLOOKUP(
  $D411,
  Name!$A:$B,
  2,
  FALSE
)
&amp; " " &amp;
IF($B411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Brenda de Oliveira Leone</v>
      </c>
      <c r="F411" s="7">
        <v>2</v>
      </c>
      <c r="G411" s="7" cm="1">
        <f t="array" aca="1" ref="G411" ca="1">INDEX(States!$B:$B,RANDBETWEEN(2,COUNTA(States!$A:$A)),1)</f>
        <v>8</v>
      </c>
      <c r="H411" s="7" t="str">
        <f ca="1">VLOOKUP($D411,Name!$A:$C,3,FALSE)</f>
        <v>F</v>
      </c>
      <c r="I411" s="7" cm="1">
        <f t="array" aca="1" ref="I411" ca="1">INDEX('Marital status'!$A:$A,RANDBETWEEN(2,COUNTA('Marital status'!$A:$A)),1)</f>
        <v>4</v>
      </c>
      <c r="J411" s="7">
        <f t="shared" ca="1" si="75"/>
        <v>2</v>
      </c>
      <c r="K411" s="8">
        <f t="shared" ca="1" si="76"/>
        <v>33985</v>
      </c>
      <c r="L411" s="6">
        <f t="shared" ca="1" si="77"/>
        <v>4</v>
      </c>
      <c r="M411" s="7">
        <f ca="1" xml:space="preserve">
  IF(OR($N411 = 2, $N411 = 3, $N411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411" s="6">
        <f t="shared" ca="1" si="78"/>
        <v>8</v>
      </c>
      <c r="O411" s="6">
        <f t="shared" ca="1" si="79"/>
        <v>3</v>
      </c>
      <c r="P411" s="8">
        <f t="shared" ca="1" si="80"/>
        <v>39028</v>
      </c>
      <c r="Q411" s="6">
        <f ca="1">RANDBETWEEN(2,COUNTA('Recruitment source'!$A:$A))</f>
        <v>3</v>
      </c>
      <c r="R411" s="8" t="e">
        <f t="shared" ca="1" si="81"/>
        <v>#N/A</v>
      </c>
      <c r="S411" s="6" t="e">
        <f t="shared" ca="1" si="82"/>
        <v>#N/A</v>
      </c>
      <c r="T411" s="6">
        <f t="shared" ca="1" si="72"/>
        <v>3</v>
      </c>
      <c r="U411" s="1">
        <f t="shared" ca="1" si="83"/>
        <v>2000</v>
      </c>
    </row>
    <row r="412" spans="1:21" x14ac:dyDescent="0.2">
      <c r="A412" s="7" cm="1">
        <f t="array" aca="1" ref="A412" ca="1">INDEX(Companies!$A:$A,RANDBETWEEN(2,COUNTA(Companies!$A:$A)),1)</f>
        <v>2</v>
      </c>
      <c r="B412" s="5">
        <f t="shared" si="73"/>
        <v>411</v>
      </c>
      <c r="C412" s="6">
        <f t="shared" ca="1" si="74"/>
        <v>1</v>
      </c>
      <c r="D412" s="7">
        <f ca="1">IF($B412 = 1 + N("Presidente"),
    127,
    IF($B412 = 2 + N("Vice-Presidente"),
        72,
        IF($B412 = 3 + N("Secretária bilíngue"),
            13,
            RANDBETWEEN(5,COUNT(Name!$A:$A) + 1)
        )
    )
)</f>
        <v>354</v>
      </c>
      <c r="E412" s="7" t="str">
        <f ca="1" xml:space="preserve">
VLOOKUP(
  $D412,
  Name!$A:$B,
  2,
  FALSE
)
&amp; " " &amp;
IF($B412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Victor Lombardi Giordano</v>
      </c>
      <c r="F412" s="7">
        <v>2</v>
      </c>
      <c r="G412" s="7" cm="1">
        <f t="array" aca="1" ref="G412" ca="1">INDEX(States!$B:$B,RANDBETWEEN(2,COUNTA(States!$A:$A)),1)</f>
        <v>10</v>
      </c>
      <c r="H412" s="7" t="str">
        <f ca="1">VLOOKUP($D412,Name!$A:$C,3,FALSE)</f>
        <v>M</v>
      </c>
      <c r="I412" s="7" cm="1">
        <f t="array" aca="1" ref="I412" ca="1">INDEX('Marital status'!$A:$A,RANDBETWEEN(2,COUNTA('Marital status'!$A:$A)),1)</f>
        <v>4</v>
      </c>
      <c r="J412" s="7">
        <f t="shared" ca="1" si="75"/>
        <v>2</v>
      </c>
      <c r="K412" s="8">
        <f t="shared" ca="1" si="76"/>
        <v>29169</v>
      </c>
      <c r="L412" s="6">
        <f t="shared" ca="1" si="77"/>
        <v>4</v>
      </c>
      <c r="M412" s="7">
        <f ca="1" xml:space="preserve">
  IF(OR($N412 = 2, $N412 = 3, $N412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412" s="6">
        <f t="shared" ca="1" si="78"/>
        <v>6</v>
      </c>
      <c r="O412" s="6" t="e">
        <f t="shared" ca="1" si="79"/>
        <v>#N/A</v>
      </c>
      <c r="P412" s="8">
        <f t="shared" ca="1" si="80"/>
        <v>43778</v>
      </c>
      <c r="Q412" s="6">
        <f ca="1">RANDBETWEEN(2,COUNTA('Recruitment source'!$A:$A))</f>
        <v>7</v>
      </c>
      <c r="R412" s="8" t="e">
        <f t="shared" ca="1" si="81"/>
        <v>#N/A</v>
      </c>
      <c r="S412" s="6" t="e">
        <f t="shared" ca="1" si="82"/>
        <v>#N/A</v>
      </c>
      <c r="T412" s="6">
        <f t="shared" ca="1" si="72"/>
        <v>2</v>
      </c>
      <c r="U412" s="1">
        <f t="shared" ca="1" si="83"/>
        <v>805</v>
      </c>
    </row>
    <row r="413" spans="1:21" x14ac:dyDescent="0.2">
      <c r="A413" s="7" cm="1">
        <f t="array" aca="1" ref="A413" ca="1">INDEX(Companies!$A:$A,RANDBETWEEN(2,COUNTA(Companies!$A:$A)),1)</f>
        <v>2</v>
      </c>
      <c r="B413" s="5">
        <f t="shared" si="73"/>
        <v>412</v>
      </c>
      <c r="C413" s="6">
        <f t="shared" ca="1" si="74"/>
        <v>1</v>
      </c>
      <c r="D413" s="7">
        <f ca="1">IF($B413 = 1 + N("Presidente"),
    127,
    IF($B413 = 2 + N("Vice-Presidente"),
        72,
        IF($B413 = 3 + N("Secretária bilíngue"),
            13,
            RANDBETWEEN(5,COUNT(Name!$A:$A) + 1)
        )
    )
)</f>
        <v>317</v>
      </c>
      <c r="E413" s="7" t="str">
        <f ca="1" xml:space="preserve">
VLOOKUP(
  $D413,
  Name!$A:$B,
  2,
  FALSE
)
&amp; " " &amp;
IF($B413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Henrique Pedrosa Lombardi</v>
      </c>
      <c r="F413" s="7">
        <v>2</v>
      </c>
      <c r="G413" s="7" cm="1">
        <f t="array" aca="1" ref="G413" ca="1">INDEX(States!$B:$B,RANDBETWEEN(2,COUNTA(States!$A:$A)),1)</f>
        <v>20</v>
      </c>
      <c r="H413" s="7" t="str">
        <f ca="1">VLOOKUP($D413,Name!$A:$C,3,FALSE)</f>
        <v>M</v>
      </c>
      <c r="I413" s="7" cm="1">
        <f t="array" aca="1" ref="I413" ca="1">INDEX('Marital status'!$A:$A,RANDBETWEEN(2,COUNTA('Marital status'!$A:$A)),1)</f>
        <v>2</v>
      </c>
      <c r="J413" s="7">
        <f t="shared" ca="1" si="75"/>
        <v>3</v>
      </c>
      <c r="K413" s="8">
        <f t="shared" ca="1" si="76"/>
        <v>35682</v>
      </c>
      <c r="L413" s="6">
        <f t="shared" ca="1" si="77"/>
        <v>5</v>
      </c>
      <c r="M413" s="7">
        <f ca="1" xml:space="preserve">
  IF(OR($N413 = 2, $N413 = 3, $N413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413" s="6">
        <f t="shared" ca="1" si="78"/>
        <v>8</v>
      </c>
      <c r="O413" s="6">
        <f t="shared" ca="1" si="79"/>
        <v>2</v>
      </c>
      <c r="P413" s="8">
        <f t="shared" ca="1" si="80"/>
        <v>37532</v>
      </c>
      <c r="Q413" s="6">
        <f ca="1">RANDBETWEEN(2,COUNTA('Recruitment source'!$A:$A))</f>
        <v>12</v>
      </c>
      <c r="R413" s="8" t="e">
        <f t="shared" ca="1" si="81"/>
        <v>#N/A</v>
      </c>
      <c r="S413" s="6" t="e">
        <f t="shared" ca="1" si="82"/>
        <v>#N/A</v>
      </c>
      <c r="T413" s="6">
        <f t="shared" ca="1" si="72"/>
        <v>4</v>
      </c>
      <c r="U413" s="1">
        <f t="shared" ca="1" si="83"/>
        <v>2080</v>
      </c>
    </row>
    <row r="414" spans="1:21" x14ac:dyDescent="0.2">
      <c r="A414" s="7" cm="1">
        <f t="array" aca="1" ref="A414" ca="1">INDEX(Companies!$A:$A,RANDBETWEEN(2,COUNTA(Companies!$A:$A)),1)</f>
        <v>2</v>
      </c>
      <c r="B414" s="5">
        <f t="shared" si="73"/>
        <v>413</v>
      </c>
      <c r="C414" s="6">
        <f t="shared" ca="1" si="74"/>
        <v>1</v>
      </c>
      <c r="D414" s="7">
        <f ca="1">IF($B414 = 1 + N("Presidente"),
    127,
    IF($B414 = 2 + N("Vice-Presidente"),
        72,
        IF($B414 = 3 + N("Secretária bilíngue"),
            13,
            RANDBETWEEN(5,COUNT(Name!$A:$A) + 1)
        )
    )
)</f>
        <v>342</v>
      </c>
      <c r="E414" s="7" t="str">
        <f ca="1" xml:space="preserve">
VLOOKUP(
  $D414,
  Name!$A:$B,
  2,
  FALSE
)
&amp; " " &amp;
IF($B414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Théo Aleluia Vaz</v>
      </c>
      <c r="F414" s="7">
        <v>2</v>
      </c>
      <c r="G414" s="7" cm="1">
        <f t="array" aca="1" ref="G414" ca="1">INDEX(States!$B:$B,RANDBETWEEN(2,COUNTA(States!$A:$A)),1)</f>
        <v>8</v>
      </c>
      <c r="H414" s="7" t="str">
        <f ca="1">VLOOKUP($D414,Name!$A:$C,3,FALSE)</f>
        <v>M</v>
      </c>
      <c r="I414" s="7" cm="1">
        <f t="array" aca="1" ref="I414" ca="1">INDEX('Marital status'!$A:$A,RANDBETWEEN(2,COUNTA('Marital status'!$A:$A)),1)</f>
        <v>5</v>
      </c>
      <c r="J414" s="7">
        <f t="shared" ca="1" si="75"/>
        <v>2</v>
      </c>
      <c r="K414" s="8">
        <f t="shared" ca="1" si="76"/>
        <v>19449</v>
      </c>
      <c r="L414" s="6">
        <f t="shared" ca="1" si="77"/>
        <v>4</v>
      </c>
      <c r="M414" s="7">
        <f ca="1" xml:space="preserve">
  IF(OR($N414 = 2, $N414 = 3, $N414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414" s="6">
        <f t="shared" ca="1" si="78"/>
        <v>6</v>
      </c>
      <c r="O414" s="6" t="e">
        <f t="shared" ca="1" si="79"/>
        <v>#N/A</v>
      </c>
      <c r="P414" s="8">
        <f t="shared" ca="1" si="80"/>
        <v>37859</v>
      </c>
      <c r="Q414" s="6">
        <f ca="1">RANDBETWEEN(2,COUNTA('Recruitment source'!$A:$A))</f>
        <v>9</v>
      </c>
      <c r="R414" s="8" t="e">
        <f t="shared" ca="1" si="81"/>
        <v>#N/A</v>
      </c>
      <c r="S414" s="6" t="e">
        <f t="shared" ca="1" si="82"/>
        <v>#N/A</v>
      </c>
      <c r="T414" s="6">
        <f t="shared" ca="1" si="72"/>
        <v>2</v>
      </c>
      <c r="U414" s="1">
        <f t="shared" ca="1" si="83"/>
        <v>885</v>
      </c>
    </row>
    <row r="415" spans="1:21" x14ac:dyDescent="0.2">
      <c r="A415" s="7" cm="1">
        <f t="array" aca="1" ref="A415" ca="1">INDEX(Companies!$A:$A,RANDBETWEEN(2,COUNTA(Companies!$A:$A)),1)</f>
        <v>2</v>
      </c>
      <c r="B415" s="5">
        <f t="shared" si="73"/>
        <v>414</v>
      </c>
      <c r="C415" s="6">
        <f t="shared" ca="1" si="74"/>
        <v>1</v>
      </c>
      <c r="D415" s="7">
        <f ca="1">IF($B415 = 1 + N("Presidente"),
    127,
    IF($B415 = 2 + N("Vice-Presidente"),
        72,
        IF($B415 = 3 + N("Secretária bilíngue"),
            13,
            RANDBETWEEN(5,COUNT(Name!$A:$A) + 1)
        )
    )
)</f>
        <v>90</v>
      </c>
      <c r="E415" s="7" t="str">
        <f ca="1" xml:space="preserve">
VLOOKUP(
  $D415,
  Name!$A:$B,
  2,
  FALSE
)
&amp; " " &amp;
IF($B415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Caue Medeiros Mancini</v>
      </c>
      <c r="F415" s="7">
        <v>2</v>
      </c>
      <c r="G415" s="7" cm="1">
        <f t="array" aca="1" ref="G415" ca="1">INDEX(States!$B:$B,RANDBETWEEN(2,COUNTA(States!$A:$A)),1)</f>
        <v>17</v>
      </c>
      <c r="H415" s="7" t="str">
        <f ca="1">VLOOKUP($D415,Name!$A:$C,3,FALSE)</f>
        <v>M</v>
      </c>
      <c r="I415" s="7" cm="1">
        <f t="array" aca="1" ref="I415" ca="1">INDEX('Marital status'!$A:$A,RANDBETWEEN(2,COUNTA('Marital status'!$A:$A)),1)</f>
        <v>4</v>
      </c>
      <c r="J415" s="7">
        <f t="shared" ca="1" si="75"/>
        <v>2</v>
      </c>
      <c r="K415" s="8">
        <f t="shared" ca="1" si="76"/>
        <v>34601</v>
      </c>
      <c r="L415" s="6">
        <f t="shared" ca="1" si="77"/>
        <v>5</v>
      </c>
      <c r="M415" s="7">
        <f ca="1" xml:space="preserve">
  IF(OR($N415 = 2, $N415 = 3, $N415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415" s="6">
        <f t="shared" ca="1" si="78"/>
        <v>8</v>
      </c>
      <c r="O415" s="6">
        <f t="shared" ca="1" si="79"/>
        <v>2</v>
      </c>
      <c r="P415" s="8">
        <f t="shared" ca="1" si="80"/>
        <v>41151</v>
      </c>
      <c r="Q415" s="6">
        <f ca="1">RANDBETWEEN(2,COUNTA('Recruitment source'!$A:$A))</f>
        <v>6</v>
      </c>
      <c r="R415" s="8" t="e">
        <f t="shared" ca="1" si="81"/>
        <v>#N/A</v>
      </c>
      <c r="S415" s="6" t="e">
        <f t="shared" ca="1" si="82"/>
        <v>#N/A</v>
      </c>
      <c r="T415" s="6">
        <f t="shared" ca="1" si="72"/>
        <v>3</v>
      </c>
      <c r="U415" s="1">
        <f t="shared" ca="1" si="83"/>
        <v>2000</v>
      </c>
    </row>
    <row r="416" spans="1:21" x14ac:dyDescent="0.2">
      <c r="A416" s="7" cm="1">
        <f t="array" aca="1" ref="A416" ca="1">INDEX(Companies!$A:$A,RANDBETWEEN(2,COUNTA(Companies!$A:$A)),1)</f>
        <v>2</v>
      </c>
      <c r="B416" s="5">
        <f t="shared" si="73"/>
        <v>415</v>
      </c>
      <c r="C416" s="6">
        <f t="shared" ca="1" si="74"/>
        <v>1</v>
      </c>
      <c r="D416" s="7">
        <f ca="1">IF($B416 = 1 + N("Presidente"),
    127,
    IF($B416 = 2 + N("Vice-Presidente"),
        72,
        IF($B416 = 3 + N("Secretária bilíngue"),
            13,
            RANDBETWEEN(5,COUNT(Name!$A:$A) + 1)
        )
    )
)</f>
        <v>113</v>
      </c>
      <c r="E416" s="7" t="str">
        <f ca="1" xml:space="preserve">
VLOOKUP(
  $D416,
  Name!$A:$B,
  2,
  FALSE
)
&amp; " " &amp;
IF($B416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Desiré Abranches Paulista</v>
      </c>
      <c r="F416" s="7">
        <v>2</v>
      </c>
      <c r="G416" s="7" cm="1">
        <f t="array" aca="1" ref="G416" ca="1">INDEX(States!$B:$B,RANDBETWEEN(2,COUNTA(States!$A:$A)),1)</f>
        <v>21</v>
      </c>
      <c r="H416" s="7" t="str">
        <f ca="1">VLOOKUP($D416,Name!$A:$C,3,FALSE)</f>
        <v>F</v>
      </c>
      <c r="I416" s="7" cm="1">
        <f t="array" aca="1" ref="I416" ca="1">INDEX('Marital status'!$A:$A,RANDBETWEEN(2,COUNTA('Marital status'!$A:$A)),1)</f>
        <v>5</v>
      </c>
      <c r="J416" s="7">
        <f t="shared" ca="1" si="75"/>
        <v>2</v>
      </c>
      <c r="K416" s="8">
        <f t="shared" ca="1" si="76"/>
        <v>34012</v>
      </c>
      <c r="L416" s="6">
        <f t="shared" ca="1" si="77"/>
        <v>4</v>
      </c>
      <c r="M416" s="7">
        <f ca="1" xml:space="preserve">
  IF(OR($N416 = 2, $N416 = 3, $N416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416" s="6">
        <f t="shared" ca="1" si="78"/>
        <v>7</v>
      </c>
      <c r="O416" s="6" t="e">
        <f t="shared" ca="1" si="79"/>
        <v>#N/A</v>
      </c>
      <c r="P416" s="8">
        <f t="shared" ca="1" si="80"/>
        <v>42063</v>
      </c>
      <c r="Q416" s="6">
        <f ca="1">RANDBETWEEN(2,COUNTA('Recruitment source'!$A:$A))</f>
        <v>3</v>
      </c>
      <c r="R416" s="8" t="e">
        <f t="shared" ca="1" si="81"/>
        <v>#N/A</v>
      </c>
      <c r="S416" s="6" t="e">
        <f t="shared" ca="1" si="82"/>
        <v>#N/A</v>
      </c>
      <c r="T416" s="6">
        <f t="shared" ca="1" si="72"/>
        <v>2</v>
      </c>
      <c r="U416" s="1">
        <f t="shared" ca="1" si="83"/>
        <v>1005</v>
      </c>
    </row>
    <row r="417" spans="1:21" x14ac:dyDescent="0.2">
      <c r="A417" s="7" cm="1">
        <f t="array" aca="1" ref="A417" ca="1">INDEX(Companies!$A:$A,RANDBETWEEN(2,COUNTA(Companies!$A:$A)),1)</f>
        <v>2</v>
      </c>
      <c r="B417" s="5">
        <f t="shared" si="73"/>
        <v>416</v>
      </c>
      <c r="C417" s="6">
        <f t="shared" ca="1" si="74"/>
        <v>1</v>
      </c>
      <c r="D417" s="7">
        <f ca="1">IF($B417 = 1 + N("Presidente"),
    127,
    IF($B417 = 2 + N("Vice-Presidente"),
        72,
        IF($B417 = 3 + N("Secretária bilíngue"),
            13,
            RANDBETWEEN(5,COUNT(Name!$A:$A) + 1)
        )
    )
)</f>
        <v>157</v>
      </c>
      <c r="E417" s="7" t="str">
        <f ca="1" xml:space="preserve">
VLOOKUP(
  $D417,
  Name!$A:$B,
  2,
  FALSE
)
&amp; " " &amp;
IF($B417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Guilherme Castro Rossi</v>
      </c>
      <c r="F417" s="7">
        <v>2</v>
      </c>
      <c r="G417" s="7" cm="1">
        <f t="array" aca="1" ref="G417" ca="1">INDEX(States!$B:$B,RANDBETWEEN(2,COUNTA(States!$A:$A)),1)</f>
        <v>21</v>
      </c>
      <c r="H417" s="7" t="str">
        <f ca="1">VLOOKUP($D417,Name!$A:$C,3,FALSE)</f>
        <v>M</v>
      </c>
      <c r="I417" s="7" cm="1">
        <f t="array" aca="1" ref="I417" ca="1">INDEX('Marital status'!$A:$A,RANDBETWEEN(2,COUNTA('Marital status'!$A:$A)),1)</f>
        <v>4</v>
      </c>
      <c r="J417" s="7">
        <f t="shared" ca="1" si="75"/>
        <v>2</v>
      </c>
      <c r="K417" s="8">
        <f t="shared" ca="1" si="76"/>
        <v>37172</v>
      </c>
      <c r="L417" s="6">
        <f t="shared" ca="1" si="77"/>
        <v>4</v>
      </c>
      <c r="M417" s="7">
        <f ca="1" xml:space="preserve">
  IF(OR($N417 = 2, $N417 = 3, $N417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417" s="6">
        <f t="shared" ca="1" si="78"/>
        <v>8</v>
      </c>
      <c r="O417" s="6">
        <f t="shared" ca="1" si="79"/>
        <v>3</v>
      </c>
      <c r="P417" s="8">
        <f t="shared" ca="1" si="80"/>
        <v>40721</v>
      </c>
      <c r="Q417" s="6">
        <f ca="1">RANDBETWEEN(2,COUNTA('Recruitment source'!$A:$A))</f>
        <v>3</v>
      </c>
      <c r="R417" s="8" t="e">
        <f t="shared" ca="1" si="81"/>
        <v>#N/A</v>
      </c>
      <c r="S417" s="6" t="e">
        <f t="shared" ca="1" si="82"/>
        <v>#N/A</v>
      </c>
      <c r="T417" s="6">
        <f t="shared" ca="1" si="72"/>
        <v>5</v>
      </c>
      <c r="U417" s="1">
        <f t="shared" ca="1" si="83"/>
        <v>2000</v>
      </c>
    </row>
    <row r="418" spans="1:21" x14ac:dyDescent="0.2">
      <c r="A418" s="7" cm="1">
        <f t="array" aca="1" ref="A418" ca="1">INDEX(Companies!$A:$A,RANDBETWEEN(2,COUNTA(Companies!$A:$A)),1)</f>
        <v>2</v>
      </c>
      <c r="B418" s="5">
        <f t="shared" si="73"/>
        <v>417</v>
      </c>
      <c r="C418" s="6">
        <f t="shared" ca="1" si="74"/>
        <v>1</v>
      </c>
      <c r="D418" s="7">
        <f ca="1">IF($B418 = 1 + N("Presidente"),
    127,
    IF($B418 = 2 + N("Vice-Presidente"),
        72,
        IF($B418 = 3 + N("Secretária bilíngue"),
            13,
            RANDBETWEEN(5,COUNT(Name!$A:$A) + 1)
        )
    )
)</f>
        <v>244</v>
      </c>
      <c r="E418" s="7" t="str">
        <f ca="1" xml:space="preserve">
VLOOKUP(
  $D418,
  Name!$A:$B,
  2,
  FALSE
)
&amp; " " &amp;
IF($B418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Gustavo Faro Abranches</v>
      </c>
      <c r="F418" s="7">
        <v>2</v>
      </c>
      <c r="G418" s="7" cm="1">
        <f t="array" aca="1" ref="G418" ca="1">INDEX(States!$B:$B,RANDBETWEEN(2,COUNTA(States!$A:$A)),1)</f>
        <v>3</v>
      </c>
      <c r="H418" s="7" t="str">
        <f ca="1">VLOOKUP($D418,Name!$A:$C,3,FALSE)</f>
        <v>M</v>
      </c>
      <c r="I418" s="7" cm="1">
        <f t="array" aca="1" ref="I418" ca="1">INDEX('Marital status'!$A:$A,RANDBETWEEN(2,COUNTA('Marital status'!$A:$A)),1)</f>
        <v>2</v>
      </c>
      <c r="J418" s="7">
        <f t="shared" ca="1" si="75"/>
        <v>5</v>
      </c>
      <c r="K418" s="8">
        <f t="shared" ca="1" si="76"/>
        <v>18724</v>
      </c>
      <c r="L418" s="6">
        <f t="shared" ca="1" si="77"/>
        <v>4</v>
      </c>
      <c r="M418" s="7">
        <f ca="1" xml:space="preserve">
  IF(OR($N418 = 2, $N418 = 3, $N418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418" s="6">
        <f t="shared" ca="1" si="78"/>
        <v>6</v>
      </c>
      <c r="O418" s="6" t="e">
        <f t="shared" ca="1" si="79"/>
        <v>#N/A</v>
      </c>
      <c r="P418" s="8">
        <f t="shared" ca="1" si="80"/>
        <v>37548</v>
      </c>
      <c r="Q418" s="6">
        <f ca="1">RANDBETWEEN(2,COUNTA('Recruitment source'!$A:$A))</f>
        <v>9</v>
      </c>
      <c r="R418" s="8" t="e">
        <f t="shared" ca="1" si="81"/>
        <v>#N/A</v>
      </c>
      <c r="S418" s="6" t="e">
        <f t="shared" ca="1" si="82"/>
        <v>#N/A</v>
      </c>
      <c r="T418" s="6">
        <f t="shared" ca="1" si="72"/>
        <v>2</v>
      </c>
      <c r="U418" s="1">
        <f t="shared" ca="1" si="83"/>
        <v>885</v>
      </c>
    </row>
    <row r="419" spans="1:21" x14ac:dyDescent="0.2">
      <c r="A419" s="7" cm="1">
        <f t="array" aca="1" ref="A419" ca="1">INDEX(Companies!$A:$A,RANDBETWEEN(2,COUNTA(Companies!$A:$A)),1)</f>
        <v>2</v>
      </c>
      <c r="B419" s="5">
        <f t="shared" si="73"/>
        <v>418</v>
      </c>
      <c r="C419" s="6">
        <f t="shared" ca="1" si="74"/>
        <v>1</v>
      </c>
      <c r="D419" s="7">
        <f ca="1">IF($B419 = 1 + N("Presidente"),
    127,
    IF($B419 = 2 + N("Vice-Presidente"),
        72,
        IF($B419 = 3 + N("Secretária bilíngue"),
            13,
            RANDBETWEEN(5,COUNT(Name!$A:$A) + 1)
        )
    )
)</f>
        <v>81</v>
      </c>
      <c r="E419" s="7" t="str">
        <f ca="1" xml:space="preserve">
VLOOKUP(
  $D419,
  Name!$A:$B,
  2,
  FALSE
)
&amp; " " &amp;
IF($B419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Caio Barboza Camões</v>
      </c>
      <c r="F419" s="7">
        <v>2</v>
      </c>
      <c r="G419" s="7" cm="1">
        <f t="array" aca="1" ref="G419" ca="1">INDEX(States!$B:$B,RANDBETWEEN(2,COUNTA(States!$A:$A)),1)</f>
        <v>9</v>
      </c>
      <c r="H419" s="7" t="str">
        <f ca="1">VLOOKUP($D419,Name!$A:$C,3,FALSE)</f>
        <v>M</v>
      </c>
      <c r="I419" s="7" cm="1">
        <f t="array" aca="1" ref="I419" ca="1">INDEX('Marital status'!$A:$A,RANDBETWEEN(2,COUNTA('Marital status'!$A:$A)),1)</f>
        <v>6</v>
      </c>
      <c r="J419" s="7">
        <f t="shared" ca="1" si="75"/>
        <v>2</v>
      </c>
      <c r="K419" s="8">
        <f t="shared" ca="1" si="76"/>
        <v>37195</v>
      </c>
      <c r="L419" s="6">
        <f t="shared" ca="1" si="77"/>
        <v>4</v>
      </c>
      <c r="M419" s="7">
        <f ca="1" xml:space="preserve">
  IF(OR($N419 = 2, $N419 = 3, $N419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419" s="6">
        <f t="shared" ca="1" si="78"/>
        <v>8</v>
      </c>
      <c r="O419" s="6">
        <f t="shared" ca="1" si="79"/>
        <v>2</v>
      </c>
      <c r="P419" s="8">
        <f t="shared" ca="1" si="80"/>
        <v>40074</v>
      </c>
      <c r="Q419" s="6">
        <f ca="1">RANDBETWEEN(2,COUNTA('Recruitment source'!$A:$A))</f>
        <v>3</v>
      </c>
      <c r="R419" s="8" t="e">
        <f t="shared" ca="1" si="81"/>
        <v>#N/A</v>
      </c>
      <c r="S419" s="6" t="e">
        <f t="shared" ca="1" si="82"/>
        <v>#N/A</v>
      </c>
      <c r="T419" s="6">
        <f t="shared" ca="1" si="72"/>
        <v>3</v>
      </c>
      <c r="U419" s="1">
        <f t="shared" ca="1" si="83"/>
        <v>2000</v>
      </c>
    </row>
    <row r="420" spans="1:21" x14ac:dyDescent="0.2">
      <c r="A420" s="7" cm="1">
        <f t="array" aca="1" ref="A420" ca="1">INDEX(Companies!$A:$A,RANDBETWEEN(2,COUNTA(Companies!$A:$A)),1)</f>
        <v>2</v>
      </c>
      <c r="B420" s="5">
        <f t="shared" si="73"/>
        <v>419</v>
      </c>
      <c r="C420" s="6">
        <f t="shared" ca="1" si="74"/>
        <v>1</v>
      </c>
      <c r="D420" s="7">
        <f ca="1">IF($B420 = 1 + N("Presidente"),
    127,
    IF($B420 = 2 + N("Vice-Presidente"),
        72,
        IF($B420 = 3 + N("Secretária bilíngue"),
            13,
            RANDBETWEEN(5,COUNT(Name!$A:$A) + 1)
        )
    )
)</f>
        <v>345</v>
      </c>
      <c r="E420" s="7" t="str">
        <f ca="1" xml:space="preserve">
VLOOKUP(
  $D420,
  Name!$A:$B,
  2,
  FALSE
)
&amp; " " &amp;
IF($B420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Tiago Frasão sobrenome</v>
      </c>
      <c r="F420" s="7">
        <v>2</v>
      </c>
      <c r="G420" s="7" cm="1">
        <f t="array" aca="1" ref="G420" ca="1">INDEX(States!$B:$B,RANDBETWEEN(2,COUNTA(States!$A:$A)),1)</f>
        <v>7</v>
      </c>
      <c r="H420" s="7" t="str">
        <f ca="1">VLOOKUP($D420,Name!$A:$C,3,FALSE)</f>
        <v>M</v>
      </c>
      <c r="I420" s="7" cm="1">
        <f t="array" aca="1" ref="I420" ca="1">INDEX('Marital status'!$A:$A,RANDBETWEEN(2,COUNTA('Marital status'!$A:$A)),1)</f>
        <v>5</v>
      </c>
      <c r="J420" s="7">
        <f t="shared" ca="1" si="75"/>
        <v>3</v>
      </c>
      <c r="K420" s="8">
        <f t="shared" ca="1" si="76"/>
        <v>18862</v>
      </c>
      <c r="L420" s="6">
        <f t="shared" ca="1" si="77"/>
        <v>4</v>
      </c>
      <c r="M420" s="7">
        <f ca="1" xml:space="preserve">
  IF(OR($N420 = 2, $N420 = 3, $N420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420" s="6">
        <f t="shared" ca="1" si="78"/>
        <v>6</v>
      </c>
      <c r="O420" s="6" t="e">
        <f t="shared" ca="1" si="79"/>
        <v>#N/A</v>
      </c>
      <c r="P420" s="8">
        <f t="shared" ca="1" si="80"/>
        <v>40871</v>
      </c>
      <c r="Q420" s="6">
        <f ca="1">RANDBETWEEN(2,COUNTA('Recruitment source'!$A:$A))</f>
        <v>4</v>
      </c>
      <c r="R420" s="8" t="e">
        <f t="shared" ca="1" si="81"/>
        <v>#N/A</v>
      </c>
      <c r="S420" s="6" t="e">
        <f t="shared" ca="1" si="82"/>
        <v>#N/A</v>
      </c>
      <c r="T420" s="6">
        <f t="shared" ca="1" si="72"/>
        <v>5</v>
      </c>
      <c r="U420" s="1">
        <f t="shared" ca="1" si="83"/>
        <v>885</v>
      </c>
    </row>
    <row r="421" spans="1:21" x14ac:dyDescent="0.2">
      <c r="A421" s="7" cm="1">
        <f t="array" aca="1" ref="A421" ca="1">INDEX(Companies!$A:$A,RANDBETWEEN(2,COUNTA(Companies!$A:$A)),1)</f>
        <v>2</v>
      </c>
      <c r="B421" s="5">
        <f t="shared" si="73"/>
        <v>420</v>
      </c>
      <c r="C421" s="6">
        <f t="shared" ca="1" si="74"/>
        <v>1</v>
      </c>
      <c r="D421" s="7">
        <f ca="1">IF($B421 = 1 + N("Presidente"),
    127,
    IF($B421 = 2 + N("Vice-Presidente"),
        72,
        IF($B421 = 3 + N("Secretária bilíngue"),
            13,
            RANDBETWEEN(5,COUNT(Name!$A:$A) + 1)
        )
    )
)</f>
        <v>29</v>
      </c>
      <c r="E421" s="7" t="str">
        <f ca="1" xml:space="preserve">
VLOOKUP(
  $D421,
  Name!$A:$B,
  2,
  FALSE
)
&amp; " " &amp;
IF($B421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Cecília Leitão Moretti</v>
      </c>
      <c r="F421" s="7">
        <v>2</v>
      </c>
      <c r="G421" s="7" cm="1">
        <f t="array" aca="1" ref="G421" ca="1">INDEX(States!$B:$B,RANDBETWEEN(2,COUNTA(States!$A:$A)),1)</f>
        <v>15</v>
      </c>
      <c r="H421" s="7" t="str">
        <f ca="1">VLOOKUP($D421,Name!$A:$C,3,FALSE)</f>
        <v>F</v>
      </c>
      <c r="I421" s="7" cm="1">
        <f t="array" aca="1" ref="I421" ca="1">INDEX('Marital status'!$A:$A,RANDBETWEEN(2,COUNTA('Marital status'!$A:$A)),1)</f>
        <v>2</v>
      </c>
      <c r="J421" s="7">
        <f t="shared" ca="1" si="75"/>
        <v>2</v>
      </c>
      <c r="K421" s="8">
        <f t="shared" ca="1" si="76"/>
        <v>35226</v>
      </c>
      <c r="L421" s="6">
        <f t="shared" ca="1" si="77"/>
        <v>5</v>
      </c>
      <c r="M421" s="7">
        <f ca="1" xml:space="preserve">
  IF(OR($N421 = 2, $N421 = 3, $N421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421" s="6">
        <f t="shared" ca="1" si="78"/>
        <v>8</v>
      </c>
      <c r="O421" s="6">
        <f t="shared" ca="1" si="79"/>
        <v>3</v>
      </c>
      <c r="P421" s="8">
        <f t="shared" ca="1" si="80"/>
        <v>37809</v>
      </c>
      <c r="Q421" s="6">
        <f ca="1">RANDBETWEEN(2,COUNTA('Recruitment source'!$A:$A))</f>
        <v>3</v>
      </c>
      <c r="R421" s="8" t="e">
        <f t="shared" ca="1" si="81"/>
        <v>#N/A</v>
      </c>
      <c r="S421" s="6" t="e">
        <f t="shared" ca="1" si="82"/>
        <v>#N/A</v>
      </c>
      <c r="T421" s="6">
        <f t="shared" ca="1" si="72"/>
        <v>5</v>
      </c>
      <c r="U421" s="1">
        <f t="shared" ca="1" si="83"/>
        <v>2050</v>
      </c>
    </row>
    <row r="422" spans="1:21" x14ac:dyDescent="0.2">
      <c r="A422" s="7" cm="1">
        <f t="array" aca="1" ref="A422" ca="1">INDEX(Companies!$A:$A,RANDBETWEEN(2,COUNTA(Companies!$A:$A)),1)</f>
        <v>2</v>
      </c>
      <c r="B422" s="5">
        <f t="shared" si="73"/>
        <v>421</v>
      </c>
      <c r="C422" s="6">
        <f t="shared" ca="1" si="74"/>
        <v>1</v>
      </c>
      <c r="D422" s="7">
        <f ca="1">IF($B422 = 1 + N("Presidente"),
    127,
    IF($B422 = 2 + N("Vice-Presidente"),
        72,
        IF($B422 = 3 + N("Secretária bilíngue"),
            13,
            RANDBETWEEN(5,COUNT(Name!$A:$A) + 1)
        )
    )
)</f>
        <v>333</v>
      </c>
      <c r="E422" s="7" t="str">
        <f ca="1" xml:space="preserve">
VLOOKUP(
  $D422,
  Name!$A:$B,
  2,
  FALSE
)
&amp; " " &amp;
IF($B422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Ruan Pimentel dos Santos</v>
      </c>
      <c r="F422" s="7">
        <v>2</v>
      </c>
      <c r="G422" s="7" cm="1">
        <f t="array" aca="1" ref="G422" ca="1">INDEX(States!$B:$B,RANDBETWEEN(2,COUNTA(States!$A:$A)),1)</f>
        <v>5</v>
      </c>
      <c r="H422" s="7" t="str">
        <f ca="1">VLOOKUP($D422,Name!$A:$C,3,FALSE)</f>
        <v>M</v>
      </c>
      <c r="I422" s="7" cm="1">
        <f t="array" aca="1" ref="I422" ca="1">INDEX('Marital status'!$A:$A,RANDBETWEEN(2,COUNTA('Marital status'!$A:$A)),1)</f>
        <v>3</v>
      </c>
      <c r="J422" s="7">
        <f t="shared" ca="1" si="75"/>
        <v>2</v>
      </c>
      <c r="K422" s="8">
        <f t="shared" ca="1" si="76"/>
        <v>33785</v>
      </c>
      <c r="L422" s="6">
        <f t="shared" ca="1" si="77"/>
        <v>4</v>
      </c>
      <c r="M422" s="7">
        <f ca="1" xml:space="preserve">
  IF(OR($N422 = 2, $N422 = 3, $N422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422" s="6">
        <f t="shared" ca="1" si="78"/>
        <v>7</v>
      </c>
      <c r="O422" s="6" t="e">
        <f t="shared" ca="1" si="79"/>
        <v>#N/A</v>
      </c>
      <c r="P422" s="8">
        <f t="shared" ca="1" si="80"/>
        <v>41008</v>
      </c>
      <c r="Q422" s="6">
        <f ca="1">RANDBETWEEN(2,COUNTA('Recruitment source'!$A:$A))</f>
        <v>8</v>
      </c>
      <c r="R422" s="8" t="e">
        <f t="shared" ca="1" si="81"/>
        <v>#N/A</v>
      </c>
      <c r="S422" s="6" t="e">
        <f t="shared" ca="1" si="82"/>
        <v>#N/A</v>
      </c>
      <c r="T422" s="6">
        <f t="shared" ca="1" si="72"/>
        <v>2</v>
      </c>
      <c r="U422" s="1">
        <f t="shared" ca="1" si="83"/>
        <v>1005</v>
      </c>
    </row>
    <row r="423" spans="1:21" x14ac:dyDescent="0.2">
      <c r="A423" s="7" cm="1">
        <f t="array" aca="1" ref="A423" ca="1">INDEX(Companies!$A:$A,RANDBETWEEN(2,COUNTA(Companies!$A:$A)),1)</f>
        <v>2</v>
      </c>
      <c r="B423" s="5">
        <f t="shared" si="73"/>
        <v>422</v>
      </c>
      <c r="C423" s="6">
        <f t="shared" ca="1" si="74"/>
        <v>1</v>
      </c>
      <c r="D423" s="7">
        <f ca="1">IF($B423 = 1 + N("Presidente"),
    127,
    IF($B423 = 2 + N("Vice-Presidente"),
        72,
        IF($B423 = 3 + N("Secretária bilíngue"),
            13,
            RANDBETWEEN(5,COUNT(Name!$A:$A) + 1)
        )
    )
)</f>
        <v>119</v>
      </c>
      <c r="E423" s="7" t="str">
        <f ca="1" xml:space="preserve">
VLOOKUP(
  $D423,
  Name!$A:$B,
  2,
  FALSE
)
&amp; " " &amp;
IF($B423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Elisa Gomes Barreto</v>
      </c>
      <c r="F423" s="7">
        <v>2</v>
      </c>
      <c r="G423" s="7" cm="1">
        <f t="array" aca="1" ref="G423" ca="1">INDEX(States!$B:$B,RANDBETWEEN(2,COUNTA(States!$A:$A)),1)</f>
        <v>14</v>
      </c>
      <c r="H423" s="7" t="str">
        <f ca="1">VLOOKUP($D423,Name!$A:$C,3,FALSE)</f>
        <v>F</v>
      </c>
      <c r="I423" s="7" cm="1">
        <f t="array" aca="1" ref="I423" ca="1">INDEX('Marital status'!$A:$A,RANDBETWEEN(2,COUNTA('Marital status'!$A:$A)),1)</f>
        <v>2</v>
      </c>
      <c r="J423" s="7">
        <f t="shared" ca="1" si="75"/>
        <v>2</v>
      </c>
      <c r="K423" s="8">
        <f t="shared" ca="1" si="76"/>
        <v>34780</v>
      </c>
      <c r="L423" s="6">
        <f t="shared" ca="1" si="77"/>
        <v>4</v>
      </c>
      <c r="M423" s="7">
        <f ca="1" xml:space="preserve">
  IF(OR($N423 = 2, $N423 = 3, $N423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423" s="6">
        <f t="shared" ca="1" si="78"/>
        <v>8</v>
      </c>
      <c r="O423" s="6">
        <f t="shared" ca="1" si="79"/>
        <v>2</v>
      </c>
      <c r="P423" s="8">
        <f t="shared" ca="1" si="80"/>
        <v>40854</v>
      </c>
      <c r="Q423" s="6">
        <f ca="1">RANDBETWEEN(2,COUNTA('Recruitment source'!$A:$A))</f>
        <v>5</v>
      </c>
      <c r="R423" s="8" t="e">
        <f t="shared" ca="1" si="81"/>
        <v>#N/A</v>
      </c>
      <c r="S423" s="6" t="e">
        <f t="shared" ca="1" si="82"/>
        <v>#N/A</v>
      </c>
      <c r="T423" s="6">
        <f t="shared" ca="1" si="72"/>
        <v>4</v>
      </c>
      <c r="U423" s="1">
        <f t="shared" ca="1" si="83"/>
        <v>2080</v>
      </c>
    </row>
    <row r="424" spans="1:21" x14ac:dyDescent="0.2">
      <c r="A424" s="7" cm="1">
        <f t="array" aca="1" ref="A424" ca="1">INDEX(Companies!$A:$A,RANDBETWEEN(2,COUNTA(Companies!$A:$A)),1)</f>
        <v>2</v>
      </c>
      <c r="B424" s="5">
        <f t="shared" si="73"/>
        <v>423</v>
      </c>
      <c r="C424" s="6">
        <f t="shared" ca="1" si="74"/>
        <v>1</v>
      </c>
      <c r="D424" s="7">
        <f ca="1">IF($B424 = 1 + N("Presidente"),
    127,
    IF($B424 = 2 + N("Vice-Presidente"),
        72,
        IF($B424 = 3 + N("Secretária bilíngue"),
            13,
            RANDBETWEEN(5,COUNT(Name!$A:$A) + 1)
        )
    )
)</f>
        <v>178</v>
      </c>
      <c r="E424" s="7" t="str">
        <f ca="1" xml:space="preserve">
VLOOKUP(
  $D424,
  Name!$A:$B,
  2,
  FALSE
)
&amp; " " &amp;
IF($B424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Isabely Miranda Andrioli</v>
      </c>
      <c r="F424" s="7">
        <v>2</v>
      </c>
      <c r="G424" s="7" cm="1">
        <f t="array" aca="1" ref="G424" ca="1">INDEX(States!$B:$B,RANDBETWEEN(2,COUNTA(States!$A:$A)),1)</f>
        <v>18</v>
      </c>
      <c r="H424" s="7" t="str">
        <f ca="1">VLOOKUP($D424,Name!$A:$C,3,FALSE)</f>
        <v>F</v>
      </c>
      <c r="I424" s="7" cm="1">
        <f t="array" aca="1" ref="I424" ca="1">INDEX('Marital status'!$A:$A,RANDBETWEEN(2,COUNTA('Marital status'!$A:$A)),1)</f>
        <v>6</v>
      </c>
      <c r="J424" s="7">
        <f t="shared" ca="1" si="75"/>
        <v>2</v>
      </c>
      <c r="K424" s="8">
        <f t="shared" ca="1" si="76"/>
        <v>33457</v>
      </c>
      <c r="L424" s="6">
        <f t="shared" ca="1" si="77"/>
        <v>4</v>
      </c>
      <c r="M424" s="7">
        <f ca="1" xml:space="preserve">
  IF(OR($N424 = 2, $N424 = 3, $N424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424" s="6">
        <f t="shared" ca="1" si="78"/>
        <v>7</v>
      </c>
      <c r="O424" s="6" t="e">
        <f t="shared" ca="1" si="79"/>
        <v>#N/A</v>
      </c>
      <c r="P424" s="8">
        <f t="shared" ca="1" si="80"/>
        <v>41245</v>
      </c>
      <c r="Q424" s="6">
        <f ca="1">RANDBETWEEN(2,COUNTA('Recruitment source'!$A:$A))</f>
        <v>5</v>
      </c>
      <c r="R424" s="8" t="e">
        <f t="shared" ca="1" si="81"/>
        <v>#N/A</v>
      </c>
      <c r="S424" s="6" t="e">
        <f t="shared" ca="1" si="82"/>
        <v>#N/A</v>
      </c>
      <c r="T424" s="6">
        <f t="shared" ca="1" si="72"/>
        <v>4</v>
      </c>
      <c r="U424" s="1">
        <f t="shared" ca="1" si="83"/>
        <v>1085</v>
      </c>
    </row>
    <row r="425" spans="1:21" x14ac:dyDescent="0.2">
      <c r="A425" s="7" cm="1">
        <f t="array" aca="1" ref="A425" ca="1">INDEX(Companies!$A:$A,RANDBETWEEN(2,COUNTA(Companies!$A:$A)),1)</f>
        <v>2</v>
      </c>
      <c r="B425" s="5">
        <f t="shared" si="73"/>
        <v>424</v>
      </c>
      <c r="C425" s="6">
        <f t="shared" ca="1" si="74"/>
        <v>1</v>
      </c>
      <c r="D425" s="7">
        <f ca="1">IF($B425 = 1 + N("Presidente"),
    127,
    IF($B425 = 2 + N("Vice-Presidente"),
        72,
        IF($B425 = 3 + N("Secretária bilíngue"),
            13,
            RANDBETWEEN(5,COUNT(Name!$A:$A) + 1)
        )
    )
)</f>
        <v>127</v>
      </c>
      <c r="E425" s="7" t="str">
        <f ca="1" xml:space="preserve">
VLOOKUP(
  $D425,
  Name!$A:$B,
  2,
  FALSE
)
&amp; " " &amp;
IF($B425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Enzo Holanda Dias</v>
      </c>
      <c r="F425" s="7">
        <v>2</v>
      </c>
      <c r="G425" s="7" cm="1">
        <f t="array" aca="1" ref="G425" ca="1">INDEX(States!$B:$B,RANDBETWEEN(2,COUNTA(States!$A:$A)),1)</f>
        <v>13</v>
      </c>
      <c r="H425" s="7" t="str">
        <f ca="1">VLOOKUP($D425,Name!$A:$C,3,FALSE)</f>
        <v>M</v>
      </c>
      <c r="I425" s="7" cm="1">
        <f t="array" aca="1" ref="I425" ca="1">INDEX('Marital status'!$A:$A,RANDBETWEEN(2,COUNTA('Marital status'!$A:$A)),1)</f>
        <v>4</v>
      </c>
      <c r="J425" s="7">
        <f t="shared" ca="1" si="75"/>
        <v>2</v>
      </c>
      <c r="K425" s="8">
        <f t="shared" ca="1" si="76"/>
        <v>35869</v>
      </c>
      <c r="L425" s="6">
        <f t="shared" ca="1" si="77"/>
        <v>4</v>
      </c>
      <c r="M425" s="7">
        <f ca="1" xml:space="preserve">
  IF(OR($N425 = 2, $N425 = 3, $N425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425" s="6">
        <f t="shared" ca="1" si="78"/>
        <v>8</v>
      </c>
      <c r="O425" s="6">
        <f t="shared" ca="1" si="79"/>
        <v>3</v>
      </c>
      <c r="P425" s="8">
        <f t="shared" ca="1" si="80"/>
        <v>43704</v>
      </c>
      <c r="Q425" s="6">
        <f ca="1">RANDBETWEEN(2,COUNTA('Recruitment source'!$A:$A))</f>
        <v>9</v>
      </c>
      <c r="R425" s="8" t="e">
        <f t="shared" ca="1" si="81"/>
        <v>#N/A</v>
      </c>
      <c r="S425" s="6" t="e">
        <f t="shared" ca="1" si="82"/>
        <v>#N/A</v>
      </c>
      <c r="T425" s="6">
        <f t="shared" ca="1" si="72"/>
        <v>4</v>
      </c>
      <c r="U425" s="1">
        <f t="shared" ca="1" si="83"/>
        <v>2100</v>
      </c>
    </row>
    <row r="426" spans="1:21" x14ac:dyDescent="0.2">
      <c r="A426" s="7" cm="1">
        <f t="array" aca="1" ref="A426" ca="1">INDEX(Companies!$A:$A,RANDBETWEEN(2,COUNTA(Companies!$A:$A)),1)</f>
        <v>2</v>
      </c>
      <c r="B426" s="5">
        <f t="shared" si="73"/>
        <v>425</v>
      </c>
      <c r="C426" s="6">
        <f t="shared" ca="1" si="74"/>
        <v>1</v>
      </c>
      <c r="D426" s="7">
        <f ca="1">IF($B426 = 1 + N("Presidente"),
    127,
    IF($B426 = 2 + N("Vice-Presidente"),
        72,
        IF($B426 = 3 + N("Secretária bilíngue"),
            13,
            RANDBETWEEN(5,COUNT(Name!$A:$A) + 1)
        )
    )
)</f>
        <v>129</v>
      </c>
      <c r="E426" s="7" t="str">
        <f ca="1" xml:space="preserve">
VLOOKUP(
  $D426,
  Name!$A:$B,
  2,
  FALSE
)
&amp; " " &amp;
IF($B426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Enzo Miguel Paulista Garcia</v>
      </c>
      <c r="F426" s="7">
        <v>2</v>
      </c>
      <c r="G426" s="7" cm="1">
        <f t="array" aca="1" ref="G426" ca="1">INDEX(States!$B:$B,RANDBETWEEN(2,COUNTA(States!$A:$A)),1)</f>
        <v>18</v>
      </c>
      <c r="H426" s="7" t="str">
        <f ca="1">VLOOKUP($D426,Name!$A:$C,3,FALSE)</f>
        <v>M</v>
      </c>
      <c r="I426" s="7" cm="1">
        <f t="array" aca="1" ref="I426" ca="1">INDEX('Marital status'!$A:$A,RANDBETWEEN(2,COUNTA('Marital status'!$A:$A)),1)</f>
        <v>4</v>
      </c>
      <c r="J426" s="7">
        <f t="shared" ca="1" si="75"/>
        <v>2</v>
      </c>
      <c r="K426" s="8">
        <f t="shared" ca="1" si="76"/>
        <v>31001</v>
      </c>
      <c r="L426" s="6">
        <f t="shared" ca="1" si="77"/>
        <v>4</v>
      </c>
      <c r="M426" s="7">
        <f ca="1" xml:space="preserve">
  IF(OR($N426 = 2, $N426 = 3, $N426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426" s="6">
        <f t="shared" ca="1" si="78"/>
        <v>7</v>
      </c>
      <c r="O426" s="6" t="e">
        <f t="shared" ca="1" si="79"/>
        <v>#N/A</v>
      </c>
      <c r="P426" s="8">
        <f t="shared" ca="1" si="80"/>
        <v>39749</v>
      </c>
      <c r="Q426" s="6">
        <f ca="1">RANDBETWEEN(2,COUNTA('Recruitment source'!$A:$A))</f>
        <v>9</v>
      </c>
      <c r="R426" s="8" t="e">
        <f t="shared" ca="1" si="81"/>
        <v>#N/A</v>
      </c>
      <c r="S426" s="6" t="e">
        <f t="shared" ca="1" si="82"/>
        <v>#N/A</v>
      </c>
      <c r="T426" s="6">
        <f t="shared" ca="1" si="72"/>
        <v>2</v>
      </c>
      <c r="U426" s="1">
        <f t="shared" ca="1" si="83"/>
        <v>1085</v>
      </c>
    </row>
    <row r="427" spans="1:21" x14ac:dyDescent="0.2">
      <c r="A427" s="7" cm="1">
        <f t="array" aca="1" ref="A427" ca="1">INDEX(Companies!$A:$A,RANDBETWEEN(2,COUNTA(Companies!$A:$A)),1)</f>
        <v>2</v>
      </c>
      <c r="B427" s="5">
        <f t="shared" si="73"/>
        <v>426</v>
      </c>
      <c r="C427" s="6">
        <f t="shared" ca="1" si="74"/>
        <v>1</v>
      </c>
      <c r="D427" s="7">
        <f ca="1">IF($B427 = 1 + N("Presidente"),
    127,
    IF($B427 = 2 + N("Vice-Presidente"),
        72,
        IF($B427 = 3 + N("Secretária bilíngue"),
            13,
            RANDBETWEEN(5,COUNT(Name!$A:$A) + 1)
        )
    )
)</f>
        <v>234</v>
      </c>
      <c r="E427" s="7" t="str">
        <f ca="1" xml:space="preserve">
VLOOKUP(
  $D427,
  Name!$A:$B,
  2,
  FALSE
)
&amp; " " &amp;
IF($B427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Louise Ildelfonso Melo</v>
      </c>
      <c r="F427" s="7">
        <v>2</v>
      </c>
      <c r="G427" s="7" cm="1">
        <f t="array" aca="1" ref="G427" ca="1">INDEX(States!$B:$B,RANDBETWEEN(2,COUNTA(States!$A:$A)),1)</f>
        <v>17</v>
      </c>
      <c r="H427" s="7" t="str">
        <f ca="1">VLOOKUP($D427,Name!$A:$C,3,FALSE)</f>
        <v>F</v>
      </c>
      <c r="I427" s="7" cm="1">
        <f t="array" aca="1" ref="I427" ca="1">INDEX('Marital status'!$A:$A,RANDBETWEEN(2,COUNTA('Marital status'!$A:$A)),1)</f>
        <v>5</v>
      </c>
      <c r="J427" s="7">
        <f t="shared" ca="1" si="75"/>
        <v>3</v>
      </c>
      <c r="K427" s="8">
        <f t="shared" ca="1" si="76"/>
        <v>36089</v>
      </c>
      <c r="L427" s="6">
        <f t="shared" ca="1" si="77"/>
        <v>4</v>
      </c>
      <c r="M427" s="7">
        <f ca="1" xml:space="preserve">
  IF(OR($N427 = 2, $N427 = 3, $N427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427" s="6">
        <f t="shared" ca="1" si="78"/>
        <v>8</v>
      </c>
      <c r="O427" s="6">
        <f t="shared" ca="1" si="79"/>
        <v>3</v>
      </c>
      <c r="P427" s="8">
        <f t="shared" ca="1" si="80"/>
        <v>37987</v>
      </c>
      <c r="Q427" s="6">
        <f ca="1">RANDBETWEEN(2,COUNTA('Recruitment source'!$A:$A))</f>
        <v>8</v>
      </c>
      <c r="R427" s="8" t="e">
        <f t="shared" ca="1" si="81"/>
        <v>#N/A</v>
      </c>
      <c r="S427" s="6" t="e">
        <f t="shared" ca="1" si="82"/>
        <v>#N/A</v>
      </c>
      <c r="T427" s="6">
        <f t="shared" ca="1" si="72"/>
        <v>4</v>
      </c>
      <c r="U427" s="1">
        <f t="shared" ca="1" si="83"/>
        <v>2000</v>
      </c>
    </row>
    <row r="428" spans="1:21" x14ac:dyDescent="0.2">
      <c r="A428" s="7" cm="1">
        <f t="array" aca="1" ref="A428" ca="1">INDEX(Companies!$A:$A,RANDBETWEEN(2,COUNTA(Companies!$A:$A)),1)</f>
        <v>2</v>
      </c>
      <c r="B428" s="5">
        <f t="shared" si="73"/>
        <v>427</v>
      </c>
      <c r="C428" s="6">
        <f t="shared" ca="1" si="74"/>
        <v>1</v>
      </c>
      <c r="D428" s="7">
        <f ca="1">IF($B428 = 1 + N("Presidente"),
    127,
    IF($B428 = 2 + N("Vice-Presidente"),
        72,
        IF($B428 = 3 + N("Secretária bilíngue"),
            13,
            RANDBETWEEN(5,COUNT(Name!$A:$A) + 1)
        )
    )
)</f>
        <v>278</v>
      </c>
      <c r="E428" s="7" t="str">
        <f ca="1" xml:space="preserve">
VLOOKUP(
  $D428,
  Name!$A:$B,
  2,
  FALSE
)
&amp; " " &amp;
IF($B428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Mariana Camargo Vieira</v>
      </c>
      <c r="F428" s="7">
        <v>2</v>
      </c>
      <c r="G428" s="7" cm="1">
        <f t="array" aca="1" ref="G428" ca="1">INDEX(States!$B:$B,RANDBETWEEN(2,COUNTA(States!$A:$A)),1)</f>
        <v>17</v>
      </c>
      <c r="H428" s="7" t="str">
        <f ca="1">VLOOKUP($D428,Name!$A:$C,3,FALSE)</f>
        <v>F</v>
      </c>
      <c r="I428" s="7" cm="1">
        <f t="array" aca="1" ref="I428" ca="1">INDEX('Marital status'!$A:$A,RANDBETWEEN(2,COUNTA('Marital status'!$A:$A)),1)</f>
        <v>5</v>
      </c>
      <c r="J428" s="7">
        <f t="shared" ca="1" si="75"/>
        <v>2</v>
      </c>
      <c r="K428" s="8">
        <f t="shared" ca="1" si="76"/>
        <v>24273</v>
      </c>
      <c r="L428" s="6">
        <f t="shared" ca="1" si="77"/>
        <v>4</v>
      </c>
      <c r="M428" s="7">
        <f ca="1" xml:space="preserve">
  IF(OR($N428 = 2, $N428 = 3, $N428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428" s="6">
        <f t="shared" ca="1" si="78"/>
        <v>6</v>
      </c>
      <c r="O428" s="6" t="e">
        <f t="shared" ca="1" si="79"/>
        <v>#N/A</v>
      </c>
      <c r="P428" s="8">
        <f t="shared" ca="1" si="80"/>
        <v>36492</v>
      </c>
      <c r="Q428" s="6">
        <f ca="1">RANDBETWEEN(2,COUNTA('Recruitment source'!$A:$A))</f>
        <v>2</v>
      </c>
      <c r="R428" s="8" t="e">
        <f t="shared" ca="1" si="81"/>
        <v>#N/A</v>
      </c>
      <c r="S428" s="6" t="e">
        <f t="shared" ca="1" si="82"/>
        <v>#N/A</v>
      </c>
      <c r="T428" s="6">
        <f t="shared" ca="1" si="72"/>
        <v>3</v>
      </c>
      <c r="U428" s="1">
        <f t="shared" ca="1" si="83"/>
        <v>805</v>
      </c>
    </row>
    <row r="429" spans="1:21" x14ac:dyDescent="0.2">
      <c r="A429" s="7" cm="1">
        <f t="array" aca="1" ref="A429" ca="1">INDEX(Companies!$A:$A,RANDBETWEEN(2,COUNTA(Companies!$A:$A)),1)</f>
        <v>2</v>
      </c>
      <c r="B429" s="5">
        <f t="shared" si="73"/>
        <v>428</v>
      </c>
      <c r="C429" s="6">
        <f t="shared" ca="1" si="74"/>
        <v>1</v>
      </c>
      <c r="D429" s="7">
        <f ca="1">IF($B429 = 1 + N("Presidente"),
    127,
    IF($B429 = 2 + N("Vice-Presidente"),
        72,
        IF($B429 = 3 + N("Secretária bilíngue"),
            13,
            RANDBETWEEN(5,COUNT(Name!$A:$A) + 1)
        )
    )
)</f>
        <v>326</v>
      </c>
      <c r="E429" s="7" t="str">
        <f ca="1" xml:space="preserve">
VLOOKUP(
  $D429,
  Name!$A:$B,
  2,
  FALSE
)
&amp; " " &amp;
IF($B429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Rainah Martins Barros</v>
      </c>
      <c r="F429" s="7">
        <v>2</v>
      </c>
      <c r="G429" s="7" cm="1">
        <f t="array" aca="1" ref="G429" ca="1">INDEX(States!$B:$B,RANDBETWEEN(2,COUNTA(States!$A:$A)),1)</f>
        <v>7</v>
      </c>
      <c r="H429" s="7" t="str">
        <f ca="1">VLOOKUP($D429,Name!$A:$C,3,FALSE)</f>
        <v>F</v>
      </c>
      <c r="I429" s="7" cm="1">
        <f t="array" aca="1" ref="I429" ca="1">INDEX('Marital status'!$A:$A,RANDBETWEEN(2,COUNTA('Marital status'!$A:$A)),1)</f>
        <v>4</v>
      </c>
      <c r="J429" s="7">
        <f t="shared" ca="1" si="75"/>
        <v>4</v>
      </c>
      <c r="K429" s="8">
        <f t="shared" ca="1" si="76"/>
        <v>35123</v>
      </c>
      <c r="L429" s="6">
        <f t="shared" ca="1" si="77"/>
        <v>4</v>
      </c>
      <c r="M429" s="7">
        <f ca="1" xml:space="preserve">
  IF(OR($N429 = 2, $N429 = 3, $N429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429" s="6">
        <f t="shared" ca="1" si="78"/>
        <v>8</v>
      </c>
      <c r="O429" s="6">
        <f t="shared" ca="1" si="79"/>
        <v>3</v>
      </c>
      <c r="P429" s="8">
        <f t="shared" ca="1" si="80"/>
        <v>38760</v>
      </c>
      <c r="Q429" s="6">
        <f ca="1">RANDBETWEEN(2,COUNTA('Recruitment source'!$A:$A))</f>
        <v>5</v>
      </c>
      <c r="R429" s="8" t="e">
        <f t="shared" ca="1" si="81"/>
        <v>#N/A</v>
      </c>
      <c r="S429" s="6" t="e">
        <f t="shared" ca="1" si="82"/>
        <v>#N/A</v>
      </c>
      <c r="T429" s="6">
        <f t="shared" ca="1" si="72"/>
        <v>2</v>
      </c>
      <c r="U429" s="1">
        <f t="shared" ca="1" si="83"/>
        <v>2080</v>
      </c>
    </row>
    <row r="430" spans="1:21" x14ac:dyDescent="0.2">
      <c r="A430" s="7" cm="1">
        <f t="array" aca="1" ref="A430" ca="1">INDEX(Companies!$A:$A,RANDBETWEEN(2,COUNTA(Companies!$A:$A)),1)</f>
        <v>2</v>
      </c>
      <c r="B430" s="5">
        <f t="shared" si="73"/>
        <v>429</v>
      </c>
      <c r="C430" s="6">
        <f t="shared" ca="1" si="74"/>
        <v>1</v>
      </c>
      <c r="D430" s="7">
        <f ca="1">IF($B430 = 1 + N("Presidente"),
    127,
    IF($B430 = 2 + N("Vice-Presidente"),
        72,
        IF($B430 = 3 + N("Secretária bilíngue"),
            13,
            RANDBETWEEN(5,COUNT(Name!$A:$A) + 1)
        )
    )
)</f>
        <v>51</v>
      </c>
      <c r="E430" s="7" t="str">
        <f ca="1" xml:space="preserve">
VLOOKUP(
  $D430,
  Name!$A:$B,
  2,
  FALSE
)
&amp; " " &amp;
IF($B430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Antônia Medeiros Faria</v>
      </c>
      <c r="F430" s="7">
        <v>2</v>
      </c>
      <c r="G430" s="7" cm="1">
        <f t="array" aca="1" ref="G430" ca="1">INDEX(States!$B:$B,RANDBETWEEN(2,COUNTA(States!$A:$A)),1)</f>
        <v>6</v>
      </c>
      <c r="H430" s="7" t="str">
        <f ca="1">VLOOKUP($D430,Name!$A:$C,3,FALSE)</f>
        <v>F</v>
      </c>
      <c r="I430" s="7" cm="1">
        <f t="array" aca="1" ref="I430" ca="1">INDEX('Marital status'!$A:$A,RANDBETWEEN(2,COUNTA('Marital status'!$A:$A)),1)</f>
        <v>3</v>
      </c>
      <c r="J430" s="7">
        <f t="shared" ca="1" si="75"/>
        <v>2</v>
      </c>
      <c r="K430" s="8">
        <f t="shared" ca="1" si="76"/>
        <v>27553</v>
      </c>
      <c r="L430" s="6">
        <f t="shared" ca="1" si="77"/>
        <v>4</v>
      </c>
      <c r="M430" s="7">
        <f ca="1" xml:space="preserve">
  IF(OR($N430 = 2, $N430 = 3, $N430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430" s="6">
        <f t="shared" ca="1" si="78"/>
        <v>6</v>
      </c>
      <c r="O430" s="6" t="e">
        <f t="shared" ca="1" si="79"/>
        <v>#N/A</v>
      </c>
      <c r="P430" s="8">
        <f t="shared" ca="1" si="80"/>
        <v>44142</v>
      </c>
      <c r="Q430" s="6">
        <f ca="1">RANDBETWEEN(2,COUNTA('Recruitment source'!$A:$A))</f>
        <v>4</v>
      </c>
      <c r="R430" s="8" t="e">
        <f t="shared" ca="1" si="81"/>
        <v>#N/A</v>
      </c>
      <c r="S430" s="6" t="e">
        <f t="shared" ca="1" si="82"/>
        <v>#N/A</v>
      </c>
      <c r="T430" s="6">
        <f t="shared" ca="1" si="72"/>
        <v>3</v>
      </c>
      <c r="U430" s="1">
        <f t="shared" ca="1" si="83"/>
        <v>885</v>
      </c>
    </row>
    <row r="431" spans="1:21" x14ac:dyDescent="0.2">
      <c r="A431" s="7" cm="1">
        <f t="array" aca="1" ref="A431" ca="1">INDEX(Companies!$A:$A,RANDBETWEEN(2,COUNTA(Companies!$A:$A)),1)</f>
        <v>2</v>
      </c>
      <c r="B431" s="5">
        <f t="shared" si="73"/>
        <v>430</v>
      </c>
      <c r="C431" s="6">
        <f t="shared" ca="1" si="74"/>
        <v>1</v>
      </c>
      <c r="D431" s="7">
        <f ca="1">IF($B431 = 1 + N("Presidente"),
    127,
    IF($B431 = 2 + N("Vice-Presidente"),
        72,
        IF($B431 = 3 + N("Secretária bilíngue"),
            13,
            RANDBETWEEN(5,COUNT(Name!$A:$A) + 1)
        )
    )
)</f>
        <v>187</v>
      </c>
      <c r="E431" s="7" t="str">
        <f ca="1" xml:space="preserve">
VLOOKUP(
  $D431,
  Name!$A:$B,
  2,
  FALSE
)
&amp; " " &amp;
IF($B431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Guilherme Figo Moreira</v>
      </c>
      <c r="F431" s="7">
        <v>2</v>
      </c>
      <c r="G431" s="7" cm="1">
        <f t="array" aca="1" ref="G431" ca="1">INDEX(States!$B:$B,RANDBETWEEN(2,COUNTA(States!$A:$A)),1)</f>
        <v>11</v>
      </c>
      <c r="H431" s="7" t="str">
        <f ca="1">VLOOKUP($D431,Name!$A:$C,3,FALSE)</f>
        <v>M</v>
      </c>
      <c r="I431" s="7" cm="1">
        <f t="array" aca="1" ref="I431" ca="1">INDEX('Marital status'!$A:$A,RANDBETWEEN(2,COUNTA('Marital status'!$A:$A)),1)</f>
        <v>2</v>
      </c>
      <c r="J431" s="7">
        <f t="shared" ca="1" si="75"/>
        <v>2</v>
      </c>
      <c r="K431" s="8">
        <f t="shared" ca="1" si="76"/>
        <v>33924</v>
      </c>
      <c r="L431" s="6">
        <f t="shared" ca="1" si="77"/>
        <v>4</v>
      </c>
      <c r="M431" s="7">
        <f ca="1" xml:space="preserve">
  IF(OR($N431 = 2, $N431 = 3, $N431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431" s="6">
        <f t="shared" ca="1" si="78"/>
        <v>8</v>
      </c>
      <c r="O431" s="6">
        <f t="shared" ca="1" si="79"/>
        <v>2</v>
      </c>
      <c r="P431" s="8">
        <f t="shared" ca="1" si="80"/>
        <v>41612</v>
      </c>
      <c r="Q431" s="6">
        <f ca="1">RANDBETWEEN(2,COUNTA('Recruitment source'!$A:$A))</f>
        <v>6</v>
      </c>
      <c r="R431" s="8" t="e">
        <f t="shared" ca="1" si="81"/>
        <v>#N/A</v>
      </c>
      <c r="S431" s="6" t="e">
        <f t="shared" ca="1" si="82"/>
        <v>#N/A</v>
      </c>
      <c r="T431" s="6">
        <f t="shared" ca="1" si="72"/>
        <v>4</v>
      </c>
      <c r="U431" s="1">
        <f t="shared" ca="1" si="83"/>
        <v>2000</v>
      </c>
    </row>
    <row r="432" spans="1:21" x14ac:dyDescent="0.2">
      <c r="A432" s="7" cm="1">
        <f t="array" aca="1" ref="A432" ca="1">INDEX(Companies!$A:$A,RANDBETWEEN(2,COUNTA(Companies!$A:$A)),1)</f>
        <v>2</v>
      </c>
      <c r="B432" s="5">
        <f t="shared" si="73"/>
        <v>431</v>
      </c>
      <c r="C432" s="6">
        <f t="shared" ca="1" si="74"/>
        <v>1</v>
      </c>
      <c r="D432" s="7">
        <f ca="1">IF($B432 = 1 + N("Presidente"),
    127,
    IF($B432 = 2 + N("Vice-Presidente"),
        72,
        IF($B432 = 3 + N("Secretária bilíngue"),
            13,
            RANDBETWEEN(5,COUNT(Name!$A:$A) + 1)
        )
    )
)</f>
        <v>160</v>
      </c>
      <c r="E432" s="7" t="str">
        <f ca="1" xml:space="preserve">
VLOOKUP(
  $D432,
  Name!$A:$B,
  2,
  FALSE
)
&amp; " " &amp;
IF($B432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Hector Barbosa Pinto</v>
      </c>
      <c r="F432" s="7">
        <v>2</v>
      </c>
      <c r="G432" s="7" cm="1">
        <f t="array" aca="1" ref="G432" ca="1">INDEX(States!$B:$B,RANDBETWEEN(2,COUNTA(States!$A:$A)),1)</f>
        <v>12</v>
      </c>
      <c r="H432" s="7" t="str">
        <f ca="1">VLOOKUP($D432,Name!$A:$C,3,FALSE)</f>
        <v>M</v>
      </c>
      <c r="I432" s="7" cm="1">
        <f t="array" aca="1" ref="I432" ca="1">INDEX('Marital status'!$A:$A,RANDBETWEEN(2,COUNTA('Marital status'!$A:$A)),1)</f>
        <v>5</v>
      </c>
      <c r="J432" s="7">
        <f t="shared" ca="1" si="75"/>
        <v>2</v>
      </c>
      <c r="K432" s="8">
        <f t="shared" ca="1" si="76"/>
        <v>21237</v>
      </c>
      <c r="L432" s="6">
        <f t="shared" ca="1" si="77"/>
        <v>4</v>
      </c>
      <c r="M432" s="7">
        <f ca="1" xml:space="preserve">
  IF(OR($N432 = 2, $N432 = 3, $N432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432" s="6">
        <f t="shared" ca="1" si="78"/>
        <v>6</v>
      </c>
      <c r="O432" s="6" t="e">
        <f t="shared" ca="1" si="79"/>
        <v>#N/A</v>
      </c>
      <c r="P432" s="8">
        <f t="shared" ca="1" si="80"/>
        <v>39756</v>
      </c>
      <c r="Q432" s="6">
        <f ca="1">RANDBETWEEN(2,COUNTA('Recruitment source'!$A:$A))</f>
        <v>3</v>
      </c>
      <c r="R432" s="8" t="e">
        <f t="shared" ca="1" si="81"/>
        <v>#N/A</v>
      </c>
      <c r="S432" s="6" t="e">
        <f t="shared" ca="1" si="82"/>
        <v>#N/A</v>
      </c>
      <c r="T432" s="6">
        <f t="shared" ca="1" si="72"/>
        <v>4</v>
      </c>
      <c r="U432" s="1">
        <f t="shared" ca="1" si="83"/>
        <v>885</v>
      </c>
    </row>
    <row r="433" spans="1:21" x14ac:dyDescent="0.2">
      <c r="A433" s="7" cm="1">
        <f t="array" aca="1" ref="A433" ca="1">INDEX(Companies!$A:$A,RANDBETWEEN(2,COUNTA(Companies!$A:$A)),1)</f>
        <v>2</v>
      </c>
      <c r="B433" s="5">
        <f t="shared" si="73"/>
        <v>432</v>
      </c>
      <c r="C433" s="6">
        <f t="shared" ca="1" si="74"/>
        <v>1</v>
      </c>
      <c r="D433" s="7">
        <f ca="1">IF($B433 = 1 + N("Presidente"),
    127,
    IF($B433 = 2 + N("Vice-Presidente"),
        72,
        IF($B433 = 3 + N("Secretária bilíngue"),
            13,
            RANDBETWEEN(5,COUNT(Name!$A:$A) + 1)
        )
    )
)</f>
        <v>112</v>
      </c>
      <c r="E433" s="7" t="str">
        <f ca="1" xml:space="preserve">
VLOOKUP(
  $D433,
  Name!$A:$B,
  2,
  FALSE
)
&amp; " " &amp;
IF($B433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Deborah Alcantara Serra</v>
      </c>
      <c r="F433" s="7">
        <v>2</v>
      </c>
      <c r="G433" s="7" cm="1">
        <f t="array" aca="1" ref="G433" ca="1">INDEX(States!$B:$B,RANDBETWEEN(2,COUNTA(States!$A:$A)),1)</f>
        <v>11</v>
      </c>
      <c r="H433" s="7" t="str">
        <f ca="1">VLOOKUP($D433,Name!$A:$C,3,FALSE)</f>
        <v>F</v>
      </c>
      <c r="I433" s="7" cm="1">
        <f t="array" aca="1" ref="I433" ca="1">INDEX('Marital status'!$A:$A,RANDBETWEEN(2,COUNTA('Marital status'!$A:$A)),1)</f>
        <v>3</v>
      </c>
      <c r="J433" s="7">
        <f t="shared" ca="1" si="75"/>
        <v>2</v>
      </c>
      <c r="K433" s="8">
        <f t="shared" ca="1" si="76"/>
        <v>34404</v>
      </c>
      <c r="L433" s="6">
        <f t="shared" ca="1" si="77"/>
        <v>4</v>
      </c>
      <c r="M433" s="7">
        <f ca="1" xml:space="preserve">
  IF(OR($N433 = 2, $N433 = 3, $N433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433" s="6">
        <f t="shared" ca="1" si="78"/>
        <v>8</v>
      </c>
      <c r="O433" s="6">
        <f t="shared" ca="1" si="79"/>
        <v>4</v>
      </c>
      <c r="P433" s="8">
        <f t="shared" ca="1" si="80"/>
        <v>39103</v>
      </c>
      <c r="Q433" s="6">
        <f ca="1">RANDBETWEEN(2,COUNTA('Recruitment source'!$A:$A))</f>
        <v>9</v>
      </c>
      <c r="R433" s="8" t="e">
        <f t="shared" ca="1" si="81"/>
        <v>#N/A</v>
      </c>
      <c r="S433" s="6" t="e">
        <f t="shared" ca="1" si="82"/>
        <v>#N/A</v>
      </c>
      <c r="T433" s="6">
        <f t="shared" ca="1" si="72"/>
        <v>5</v>
      </c>
      <c r="U433" s="1">
        <f t="shared" ca="1" si="83"/>
        <v>2000</v>
      </c>
    </row>
    <row r="434" spans="1:21" x14ac:dyDescent="0.2">
      <c r="A434" s="7" cm="1">
        <f t="array" aca="1" ref="A434" ca="1">INDEX(Companies!$A:$A,RANDBETWEEN(2,COUNTA(Companies!$A:$A)),1)</f>
        <v>2</v>
      </c>
      <c r="B434" s="5">
        <f t="shared" si="73"/>
        <v>433</v>
      </c>
      <c r="C434" s="6">
        <f t="shared" ca="1" si="74"/>
        <v>1</v>
      </c>
      <c r="D434" s="7">
        <f ca="1">IF($B434 = 1 + N("Presidente"),
    127,
    IF($B434 = 2 + N("Vice-Presidente"),
        72,
        IF($B434 = 3 + N("Secretária bilíngue"),
            13,
            RANDBETWEEN(5,COUNT(Name!$A:$A) + 1)
        )
    )
)</f>
        <v>17</v>
      </c>
      <c r="E434" s="7" t="str">
        <f ca="1" xml:space="preserve">
VLOOKUP(
  $D434,
  Name!$A:$B,
  2,
  FALSE
)
&amp; " " &amp;
IF($B434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Alicia Tavares Mancini</v>
      </c>
      <c r="F434" s="7">
        <v>2</v>
      </c>
      <c r="G434" s="7" cm="1">
        <f t="array" aca="1" ref="G434" ca="1">INDEX(States!$B:$B,RANDBETWEEN(2,COUNTA(States!$A:$A)),1)</f>
        <v>18</v>
      </c>
      <c r="H434" s="7" t="str">
        <f ca="1">VLOOKUP($D434,Name!$A:$C,3,FALSE)</f>
        <v>F</v>
      </c>
      <c r="I434" s="7" cm="1">
        <f t="array" aca="1" ref="I434" ca="1">INDEX('Marital status'!$A:$A,RANDBETWEEN(2,COUNTA('Marital status'!$A:$A)),1)</f>
        <v>5</v>
      </c>
      <c r="J434" s="7">
        <f t="shared" ca="1" si="75"/>
        <v>3</v>
      </c>
      <c r="K434" s="8">
        <f t="shared" ca="1" si="76"/>
        <v>28946</v>
      </c>
      <c r="L434" s="6">
        <f t="shared" ca="1" si="77"/>
        <v>4</v>
      </c>
      <c r="M434" s="7">
        <f ca="1" xml:space="preserve">
  IF(OR($N434 = 2, $N434 = 3, $N434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434" s="6">
        <f t="shared" ca="1" si="78"/>
        <v>7</v>
      </c>
      <c r="O434" s="6" t="e">
        <f t="shared" ca="1" si="79"/>
        <v>#N/A</v>
      </c>
      <c r="P434" s="8">
        <f t="shared" ca="1" si="80"/>
        <v>39378</v>
      </c>
      <c r="Q434" s="6">
        <f ca="1">RANDBETWEEN(2,COUNTA('Recruitment source'!$A:$A))</f>
        <v>10</v>
      </c>
      <c r="R434" s="8" t="e">
        <f t="shared" ca="1" si="81"/>
        <v>#N/A</v>
      </c>
      <c r="S434" s="6" t="e">
        <f t="shared" ca="1" si="82"/>
        <v>#N/A</v>
      </c>
      <c r="T434" s="6">
        <f t="shared" ca="1" si="72"/>
        <v>5</v>
      </c>
      <c r="U434" s="1">
        <f t="shared" ca="1" si="83"/>
        <v>1085</v>
      </c>
    </row>
    <row r="435" spans="1:21" x14ac:dyDescent="0.2">
      <c r="A435" s="7" cm="1">
        <f t="array" aca="1" ref="A435" ca="1">INDEX(Companies!$A:$A,RANDBETWEEN(2,COUNTA(Companies!$A:$A)),1)</f>
        <v>2</v>
      </c>
      <c r="B435" s="5">
        <f t="shared" si="73"/>
        <v>434</v>
      </c>
      <c r="C435" s="6">
        <f t="shared" ca="1" si="74"/>
        <v>1</v>
      </c>
      <c r="D435" s="7">
        <f ca="1">IF($B435 = 1 + N("Presidente"),
    127,
    IF($B435 = 2 + N("Vice-Presidente"),
        72,
        IF($B435 = 3 + N("Secretária bilíngue"),
            13,
            RANDBETWEEN(5,COUNT(Name!$A:$A) + 1)
        )
    )
)</f>
        <v>229</v>
      </c>
      <c r="E435" s="7" t="str">
        <f ca="1" xml:space="preserve">
VLOOKUP(
  $D435,
  Name!$A:$B,
  2,
  FALSE
)
&amp; " " &amp;
IF($B435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Liz Moretti Vaz</v>
      </c>
      <c r="F435" s="7">
        <v>2</v>
      </c>
      <c r="G435" s="7" cm="1">
        <f t="array" aca="1" ref="G435" ca="1">INDEX(States!$B:$B,RANDBETWEEN(2,COUNTA(States!$A:$A)),1)</f>
        <v>3</v>
      </c>
      <c r="H435" s="7" t="str">
        <f ca="1">VLOOKUP($D435,Name!$A:$C,3,FALSE)</f>
        <v>F</v>
      </c>
      <c r="I435" s="7" cm="1">
        <f t="array" aca="1" ref="I435" ca="1">INDEX('Marital status'!$A:$A,RANDBETWEEN(2,COUNTA('Marital status'!$A:$A)),1)</f>
        <v>6</v>
      </c>
      <c r="J435" s="7">
        <f t="shared" ca="1" si="75"/>
        <v>2</v>
      </c>
      <c r="K435" s="8">
        <f t="shared" ca="1" si="76"/>
        <v>36821</v>
      </c>
      <c r="L435" s="6">
        <f t="shared" ca="1" si="77"/>
        <v>4</v>
      </c>
      <c r="M435" s="7">
        <f ca="1" xml:space="preserve">
  IF(OR($N435 = 2, $N435 = 3, $N435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435" s="6">
        <f t="shared" ca="1" si="78"/>
        <v>8</v>
      </c>
      <c r="O435" s="6">
        <f t="shared" ca="1" si="79"/>
        <v>2</v>
      </c>
      <c r="P435" s="8">
        <f t="shared" ca="1" si="80"/>
        <v>36801</v>
      </c>
      <c r="Q435" s="6">
        <f ca="1">RANDBETWEEN(2,COUNTA('Recruitment source'!$A:$A))</f>
        <v>11</v>
      </c>
      <c r="R435" s="8" t="e">
        <f t="shared" ca="1" si="81"/>
        <v>#N/A</v>
      </c>
      <c r="S435" s="6" t="e">
        <f t="shared" ca="1" si="82"/>
        <v>#N/A</v>
      </c>
      <c r="T435" s="6">
        <f t="shared" ca="1" si="72"/>
        <v>4</v>
      </c>
      <c r="U435" s="1">
        <f t="shared" ca="1" si="83"/>
        <v>2000</v>
      </c>
    </row>
    <row r="436" spans="1:21" x14ac:dyDescent="0.2">
      <c r="A436" s="7" cm="1">
        <f t="array" aca="1" ref="A436" ca="1">INDEX(Companies!$A:$A,RANDBETWEEN(2,COUNTA(Companies!$A:$A)),1)</f>
        <v>2</v>
      </c>
      <c r="B436" s="5">
        <f t="shared" si="73"/>
        <v>435</v>
      </c>
      <c r="C436" s="6">
        <f t="shared" ca="1" si="74"/>
        <v>1</v>
      </c>
      <c r="D436" s="7">
        <f ca="1">IF($B436 = 1 + N("Presidente"),
    127,
    IF($B436 = 2 + N("Vice-Presidente"),
        72,
        IF($B436 = 3 + N("Secretária bilíngue"),
            13,
            RANDBETWEEN(5,COUNT(Name!$A:$A) + 1)
        )
    )
)</f>
        <v>150</v>
      </c>
      <c r="E436" s="7" t="str">
        <f ca="1" xml:space="preserve">
VLOOKUP(
  $D436,
  Name!$A:$B,
  2,
  FALSE
)
&amp; " " &amp;
IF($B436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Gabriela Oliveira Miranda</v>
      </c>
      <c r="F436" s="7">
        <v>2</v>
      </c>
      <c r="G436" s="7" cm="1">
        <f t="array" aca="1" ref="G436" ca="1">INDEX(States!$B:$B,RANDBETWEEN(2,COUNTA(States!$A:$A)),1)</f>
        <v>10</v>
      </c>
      <c r="H436" s="7" t="str">
        <f ca="1">VLOOKUP($D436,Name!$A:$C,3,FALSE)</f>
        <v>F</v>
      </c>
      <c r="I436" s="7" cm="1">
        <f t="array" aca="1" ref="I436" ca="1">INDEX('Marital status'!$A:$A,RANDBETWEEN(2,COUNTA('Marital status'!$A:$A)),1)</f>
        <v>4</v>
      </c>
      <c r="J436" s="7">
        <f t="shared" ca="1" si="75"/>
        <v>2</v>
      </c>
      <c r="K436" s="8">
        <f t="shared" ca="1" si="76"/>
        <v>31267</v>
      </c>
      <c r="L436" s="6">
        <f t="shared" ca="1" si="77"/>
        <v>4</v>
      </c>
      <c r="M436" s="7">
        <f ca="1" xml:space="preserve">
  IF(OR($N436 = 2, $N436 = 3, $N436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436" s="6">
        <f t="shared" ca="1" si="78"/>
        <v>7</v>
      </c>
      <c r="O436" s="6" t="e">
        <f t="shared" ca="1" si="79"/>
        <v>#N/A</v>
      </c>
      <c r="P436" s="8">
        <f t="shared" ca="1" si="80"/>
        <v>39966</v>
      </c>
      <c r="Q436" s="6">
        <f ca="1">RANDBETWEEN(2,COUNTA('Recruitment source'!$A:$A))</f>
        <v>9</v>
      </c>
      <c r="R436" s="8" t="e">
        <f t="shared" ca="1" si="81"/>
        <v>#N/A</v>
      </c>
      <c r="S436" s="6" t="e">
        <f t="shared" ca="1" si="82"/>
        <v>#N/A</v>
      </c>
      <c r="T436" s="6">
        <f t="shared" ca="1" si="72"/>
        <v>4</v>
      </c>
      <c r="U436" s="1">
        <f t="shared" ca="1" si="83"/>
        <v>1005</v>
      </c>
    </row>
    <row r="437" spans="1:21" x14ac:dyDescent="0.2">
      <c r="A437" s="7" cm="1">
        <f t="array" aca="1" ref="A437" ca="1">INDEX(Companies!$A:$A,RANDBETWEEN(2,COUNTA(Companies!$A:$A)),1)</f>
        <v>2</v>
      </c>
      <c r="B437" s="5">
        <f t="shared" si="73"/>
        <v>436</v>
      </c>
      <c r="C437" s="6">
        <f t="shared" ca="1" si="74"/>
        <v>1</v>
      </c>
      <c r="D437" s="7">
        <f ca="1">IF($B437 = 1 + N("Presidente"),
    127,
    IF($B437 = 2 + N("Vice-Presidente"),
        72,
        IF($B437 = 3 + N("Secretária bilíngue"),
            13,
            RANDBETWEEN(5,COUNT(Name!$A:$A) + 1)
        )
    )
)</f>
        <v>310</v>
      </c>
      <c r="E437" s="7" t="str">
        <f ca="1" xml:space="preserve">
VLOOKUP(
  $D437,
  Name!$A:$B,
  2,
  FALSE
)
&amp; " " &amp;
IF($B437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Oliver Peçanha Medeiros</v>
      </c>
      <c r="F437" s="7">
        <v>2</v>
      </c>
      <c r="G437" s="7" cm="1">
        <f t="array" aca="1" ref="G437" ca="1">INDEX(States!$B:$B,RANDBETWEEN(2,COUNTA(States!$A:$A)),1)</f>
        <v>7</v>
      </c>
      <c r="H437" s="7" t="str">
        <f ca="1">VLOOKUP($D437,Name!$A:$C,3,FALSE)</f>
        <v>M</v>
      </c>
      <c r="I437" s="7" cm="1">
        <f t="array" aca="1" ref="I437" ca="1">INDEX('Marital status'!$A:$A,RANDBETWEEN(2,COUNTA('Marital status'!$A:$A)),1)</f>
        <v>2</v>
      </c>
      <c r="J437" s="7">
        <f t="shared" ca="1" si="75"/>
        <v>5</v>
      </c>
      <c r="K437" s="8">
        <f t="shared" ca="1" si="76"/>
        <v>36567</v>
      </c>
      <c r="L437" s="6">
        <f t="shared" ca="1" si="77"/>
        <v>5</v>
      </c>
      <c r="M437" s="7">
        <f ca="1" xml:space="preserve">
  IF(OR($N437 = 2, $N437 = 3, $N437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437" s="6">
        <f t="shared" ca="1" si="78"/>
        <v>8</v>
      </c>
      <c r="O437" s="6">
        <f t="shared" ca="1" si="79"/>
        <v>2</v>
      </c>
      <c r="P437" s="8">
        <f t="shared" ca="1" si="80"/>
        <v>37006</v>
      </c>
      <c r="Q437" s="6">
        <f ca="1">RANDBETWEEN(2,COUNTA('Recruitment source'!$A:$A))</f>
        <v>10</v>
      </c>
      <c r="R437" s="8" t="e">
        <f t="shared" ca="1" si="81"/>
        <v>#N/A</v>
      </c>
      <c r="S437" s="6" t="e">
        <f t="shared" ca="1" si="82"/>
        <v>#N/A</v>
      </c>
      <c r="T437" s="6">
        <f t="shared" ca="1" si="72"/>
        <v>5</v>
      </c>
      <c r="U437" s="1">
        <f t="shared" ca="1" si="83"/>
        <v>2000</v>
      </c>
    </row>
    <row r="438" spans="1:21" x14ac:dyDescent="0.2">
      <c r="A438" s="7" cm="1">
        <f t="array" aca="1" ref="A438" ca="1">INDEX(Companies!$A:$A,RANDBETWEEN(2,COUNTA(Companies!$A:$A)),1)</f>
        <v>2</v>
      </c>
      <c r="B438" s="5">
        <f t="shared" si="73"/>
        <v>437</v>
      </c>
      <c r="C438" s="6">
        <f t="shared" ca="1" si="74"/>
        <v>1</v>
      </c>
      <c r="D438" s="7">
        <f ca="1">IF($B438 = 1 + N("Presidente"),
    127,
    IF($B438 = 2 + N("Vice-Presidente"),
        72,
        IF($B438 = 3 + N("Secretária bilíngue"),
            13,
            RANDBETWEEN(5,COUNT(Name!$A:$A) + 1)
        )
    )
)</f>
        <v>155</v>
      </c>
      <c r="E438" s="7" t="str">
        <f ca="1" xml:space="preserve">
VLOOKUP(
  $D438,
  Name!$A:$B,
  2,
  FALSE
)
&amp; " " &amp;
IF($B438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Gloria Testa Nascimento</v>
      </c>
      <c r="F438" s="7">
        <v>2</v>
      </c>
      <c r="G438" s="7" cm="1">
        <f t="array" aca="1" ref="G438" ca="1">INDEX(States!$B:$B,RANDBETWEEN(2,COUNTA(States!$A:$A)),1)</f>
        <v>16</v>
      </c>
      <c r="H438" s="7" t="str">
        <f ca="1">VLOOKUP($D438,Name!$A:$C,3,FALSE)</f>
        <v>F</v>
      </c>
      <c r="I438" s="7" cm="1">
        <f t="array" aca="1" ref="I438" ca="1">INDEX('Marital status'!$A:$A,RANDBETWEEN(2,COUNTA('Marital status'!$A:$A)),1)</f>
        <v>4</v>
      </c>
      <c r="J438" s="7">
        <f t="shared" ca="1" si="75"/>
        <v>2</v>
      </c>
      <c r="K438" s="8">
        <f t="shared" ca="1" si="76"/>
        <v>32271</v>
      </c>
      <c r="L438" s="6">
        <f t="shared" ca="1" si="77"/>
        <v>4</v>
      </c>
      <c r="M438" s="7">
        <f ca="1" xml:space="preserve">
  IF(OR($N438 = 2, $N438 = 3, $N438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438" s="6">
        <f t="shared" ca="1" si="78"/>
        <v>6</v>
      </c>
      <c r="O438" s="6" t="e">
        <f t="shared" ca="1" si="79"/>
        <v>#N/A</v>
      </c>
      <c r="P438" s="8">
        <f t="shared" ca="1" si="80"/>
        <v>40584</v>
      </c>
      <c r="Q438" s="6">
        <f ca="1">RANDBETWEEN(2,COUNTA('Recruitment source'!$A:$A))</f>
        <v>6</v>
      </c>
      <c r="R438" s="8" t="e">
        <f t="shared" ca="1" si="81"/>
        <v>#N/A</v>
      </c>
      <c r="S438" s="6" t="e">
        <f t="shared" ca="1" si="82"/>
        <v>#N/A</v>
      </c>
      <c r="T438" s="6">
        <f t="shared" ca="1" si="72"/>
        <v>5</v>
      </c>
      <c r="U438" s="1">
        <f t="shared" ca="1" si="83"/>
        <v>805</v>
      </c>
    </row>
    <row r="439" spans="1:21" x14ac:dyDescent="0.2">
      <c r="A439" s="7" cm="1">
        <f t="array" aca="1" ref="A439" ca="1">INDEX(Companies!$A:$A,RANDBETWEEN(2,COUNTA(Companies!$A:$A)),1)</f>
        <v>2</v>
      </c>
      <c r="B439" s="5">
        <f t="shared" si="73"/>
        <v>438</v>
      </c>
      <c r="C439" s="6">
        <f t="shared" ca="1" si="74"/>
        <v>1</v>
      </c>
      <c r="D439" s="7">
        <f ca="1">IF($B439 = 1 + N("Presidente"),
    127,
    IF($B439 = 2 + N("Vice-Presidente"),
        72,
        IF($B439 = 3 + N("Secretária bilíngue"),
            13,
            RANDBETWEEN(5,COUNT(Name!$A:$A) + 1)
        )
    )
)</f>
        <v>54</v>
      </c>
      <c r="E439" s="7" t="str">
        <f ca="1" xml:space="preserve">
VLOOKUP(
  $D439,
  Name!$A:$B,
  2,
  FALSE
)
&amp; " " &amp;
IF($B439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Ariela Poeta Fernandes</v>
      </c>
      <c r="F439" s="7">
        <v>2</v>
      </c>
      <c r="G439" s="7" cm="1">
        <f t="array" aca="1" ref="G439" ca="1">INDEX(States!$B:$B,RANDBETWEEN(2,COUNTA(States!$A:$A)),1)</f>
        <v>8</v>
      </c>
      <c r="H439" s="7" t="str">
        <f ca="1">VLOOKUP($D439,Name!$A:$C,3,FALSE)</f>
        <v>F</v>
      </c>
      <c r="I439" s="7" cm="1">
        <f t="array" aca="1" ref="I439" ca="1">INDEX('Marital status'!$A:$A,RANDBETWEEN(2,COUNTA('Marital status'!$A:$A)),1)</f>
        <v>2</v>
      </c>
      <c r="J439" s="7">
        <f t="shared" ca="1" si="75"/>
        <v>2</v>
      </c>
      <c r="K439" s="8">
        <f t="shared" ca="1" si="76"/>
        <v>35523</v>
      </c>
      <c r="L439" s="6">
        <f t="shared" ca="1" si="77"/>
        <v>4</v>
      </c>
      <c r="M439" s="7">
        <f ca="1" xml:space="preserve">
  IF(OR($N439 = 2, $N439 = 3, $N439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439" s="6">
        <f t="shared" ca="1" si="78"/>
        <v>8</v>
      </c>
      <c r="O439" s="6">
        <f t="shared" ca="1" si="79"/>
        <v>4</v>
      </c>
      <c r="P439" s="8">
        <f t="shared" ca="1" si="80"/>
        <v>37415</v>
      </c>
      <c r="Q439" s="6">
        <f ca="1">RANDBETWEEN(2,COUNTA('Recruitment source'!$A:$A))</f>
        <v>3</v>
      </c>
      <c r="R439" s="8" t="e">
        <f t="shared" ca="1" si="81"/>
        <v>#N/A</v>
      </c>
      <c r="S439" s="6" t="e">
        <f t="shared" ca="1" si="82"/>
        <v>#N/A</v>
      </c>
      <c r="T439" s="6">
        <f t="shared" ca="1" si="72"/>
        <v>5</v>
      </c>
      <c r="U439" s="1">
        <f t="shared" ca="1" si="83"/>
        <v>2080</v>
      </c>
    </row>
    <row r="440" spans="1:21" x14ac:dyDescent="0.2">
      <c r="A440" s="7" cm="1">
        <f t="array" aca="1" ref="A440" ca="1">INDEX(Companies!$A:$A,RANDBETWEEN(2,COUNTA(Companies!$A:$A)),1)</f>
        <v>2</v>
      </c>
      <c r="B440" s="5">
        <f t="shared" si="73"/>
        <v>439</v>
      </c>
      <c r="C440" s="6">
        <f t="shared" ca="1" si="74"/>
        <v>1</v>
      </c>
      <c r="D440" s="7">
        <f ca="1">IF($B440 = 1 + N("Presidente"),
    127,
    IF($B440 = 2 + N("Vice-Presidente"),
        72,
        IF($B440 = 3 + N("Secretária bilíngue"),
            13,
            RANDBETWEEN(5,COUNT(Name!$A:$A) + 1)
        )
    )
)</f>
        <v>312</v>
      </c>
      <c r="E440" s="7" t="str">
        <f ca="1" xml:space="preserve">
VLOOKUP(
  $D440,
  Name!$A:$B,
  2,
  FALSE
)
&amp; " " &amp;
IF($B440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Otávio Saragoça Morais</v>
      </c>
      <c r="F440" s="7">
        <v>2</v>
      </c>
      <c r="G440" s="7" cm="1">
        <f t="array" aca="1" ref="G440" ca="1">INDEX(States!$B:$B,RANDBETWEEN(2,COUNTA(States!$A:$A)),1)</f>
        <v>18</v>
      </c>
      <c r="H440" s="7" t="str">
        <f ca="1">VLOOKUP($D440,Name!$A:$C,3,FALSE)</f>
        <v>M</v>
      </c>
      <c r="I440" s="7" cm="1">
        <f t="array" aca="1" ref="I440" ca="1">INDEX('Marital status'!$A:$A,RANDBETWEEN(2,COUNTA('Marital status'!$A:$A)),1)</f>
        <v>5</v>
      </c>
      <c r="J440" s="7">
        <f t="shared" ca="1" si="75"/>
        <v>4</v>
      </c>
      <c r="K440" s="8">
        <f t="shared" ca="1" si="76"/>
        <v>31078</v>
      </c>
      <c r="L440" s="6">
        <f t="shared" ca="1" si="77"/>
        <v>4</v>
      </c>
      <c r="M440" s="7">
        <f ca="1" xml:space="preserve">
  IF(OR($N440 = 2, $N440 = 3, $N440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440" s="6">
        <f t="shared" ca="1" si="78"/>
        <v>7</v>
      </c>
      <c r="O440" s="6" t="e">
        <f t="shared" ca="1" si="79"/>
        <v>#N/A</v>
      </c>
      <c r="P440" s="8">
        <f t="shared" ca="1" si="80"/>
        <v>38613</v>
      </c>
      <c r="Q440" s="6">
        <f ca="1">RANDBETWEEN(2,COUNTA('Recruitment source'!$A:$A))</f>
        <v>12</v>
      </c>
      <c r="R440" s="8" t="e">
        <f t="shared" ca="1" si="81"/>
        <v>#N/A</v>
      </c>
      <c r="S440" s="6" t="e">
        <f t="shared" ca="1" si="82"/>
        <v>#N/A</v>
      </c>
      <c r="T440" s="6">
        <f t="shared" ca="1" si="72"/>
        <v>2</v>
      </c>
      <c r="U440" s="1">
        <f t="shared" ca="1" si="83"/>
        <v>1085</v>
      </c>
    </row>
    <row r="441" spans="1:21" x14ac:dyDescent="0.2">
      <c r="A441" s="7" cm="1">
        <f t="array" aca="1" ref="A441" ca="1">INDEX(Companies!$A:$A,RANDBETWEEN(2,COUNTA(Companies!$A:$A)),1)</f>
        <v>2</v>
      </c>
      <c r="B441" s="5">
        <f t="shared" si="73"/>
        <v>440</v>
      </c>
      <c r="C441" s="6">
        <f t="shared" ca="1" si="74"/>
        <v>1</v>
      </c>
      <c r="D441" s="7">
        <f ca="1">IF($B441 = 1 + N("Presidente"),
    127,
    IF($B441 = 2 + N("Vice-Presidente"),
        72,
        IF($B441 = 3 + N("Secretária bilíngue"),
            13,
            RANDBETWEEN(5,COUNT(Name!$A:$A) + 1)
        )
    )
)</f>
        <v>359</v>
      </c>
      <c r="E441" s="7" t="str">
        <f ca="1" xml:space="preserve">
VLOOKUP(
  $D441,
  Name!$A:$B,
  2,
  FALSE
)
&amp; " " &amp;
IF($B441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Vitor Aleluia Moretti</v>
      </c>
      <c r="F441" s="7">
        <v>2</v>
      </c>
      <c r="G441" s="7" cm="1">
        <f t="array" aca="1" ref="G441" ca="1">INDEX(States!$B:$B,RANDBETWEEN(2,COUNTA(States!$A:$A)),1)</f>
        <v>14</v>
      </c>
      <c r="H441" s="7" t="str">
        <f ca="1">VLOOKUP($D441,Name!$A:$C,3,FALSE)</f>
        <v>M</v>
      </c>
      <c r="I441" s="7" cm="1">
        <f t="array" aca="1" ref="I441" ca="1">INDEX('Marital status'!$A:$A,RANDBETWEEN(2,COUNTA('Marital status'!$A:$A)),1)</f>
        <v>4</v>
      </c>
      <c r="J441" s="7">
        <f t="shared" ca="1" si="75"/>
        <v>3</v>
      </c>
      <c r="K441" s="8">
        <f t="shared" ca="1" si="76"/>
        <v>37991</v>
      </c>
      <c r="L441" s="6">
        <f t="shared" ca="1" si="77"/>
        <v>5</v>
      </c>
      <c r="M441" s="7">
        <f ca="1" xml:space="preserve">
  IF(OR($N441 = 2, $N441 = 3, $N441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441" s="6">
        <f t="shared" ca="1" si="78"/>
        <v>8</v>
      </c>
      <c r="O441" s="6">
        <f t="shared" ca="1" si="79"/>
        <v>2</v>
      </c>
      <c r="P441" s="8">
        <f t="shared" ca="1" si="80"/>
        <v>44838</v>
      </c>
      <c r="Q441" s="6">
        <f ca="1">RANDBETWEEN(2,COUNTA('Recruitment source'!$A:$A))</f>
        <v>3</v>
      </c>
      <c r="R441" s="8" t="e">
        <f t="shared" ca="1" si="81"/>
        <v>#N/A</v>
      </c>
      <c r="S441" s="6" t="e">
        <f t="shared" ca="1" si="82"/>
        <v>#N/A</v>
      </c>
      <c r="T441" s="6">
        <f t="shared" ca="1" si="72"/>
        <v>3</v>
      </c>
      <c r="U441" s="1">
        <f t="shared" ca="1" si="83"/>
        <v>2080</v>
      </c>
    </row>
    <row r="442" spans="1:21" x14ac:dyDescent="0.2">
      <c r="A442" s="7" cm="1">
        <f t="array" aca="1" ref="A442" ca="1">INDEX(Companies!$A:$A,RANDBETWEEN(2,COUNTA(Companies!$A:$A)),1)</f>
        <v>2</v>
      </c>
      <c r="B442" s="5">
        <f t="shared" si="73"/>
        <v>441</v>
      </c>
      <c r="C442" s="6">
        <f t="shared" ca="1" si="74"/>
        <v>1</v>
      </c>
      <c r="D442" s="7">
        <f ca="1">IF($B442 = 1 + N("Presidente"),
    127,
    IF($B442 = 2 + N("Vice-Presidente"),
        72,
        IF($B442 = 3 + N("Secretária bilíngue"),
            13,
            RANDBETWEEN(5,COUNT(Name!$A:$A) + 1)
        )
    )
)</f>
        <v>266</v>
      </c>
      <c r="E442" s="7" t="str">
        <f ca="1" xml:space="preserve">
VLOOKUP(
  $D442,
  Name!$A:$B,
  2,
  FALSE
)
&amp; " " &amp;
IF($B442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Helena Garcia Leone</v>
      </c>
      <c r="F442" s="7">
        <v>2</v>
      </c>
      <c r="G442" s="7" cm="1">
        <f t="array" aca="1" ref="G442" ca="1">INDEX(States!$B:$B,RANDBETWEEN(2,COUNTA(States!$A:$A)),1)</f>
        <v>21</v>
      </c>
      <c r="H442" s="7" t="str">
        <f ca="1">VLOOKUP($D442,Name!$A:$C,3,FALSE)</f>
        <v>F</v>
      </c>
      <c r="I442" s="7" cm="1">
        <f t="array" aca="1" ref="I442" ca="1">INDEX('Marital status'!$A:$A,RANDBETWEEN(2,COUNTA('Marital status'!$A:$A)),1)</f>
        <v>6</v>
      </c>
      <c r="J442" s="7">
        <f t="shared" ca="1" si="75"/>
        <v>2</v>
      </c>
      <c r="K442" s="8">
        <f t="shared" ca="1" si="76"/>
        <v>27360</v>
      </c>
      <c r="L442" s="6">
        <f t="shared" ca="1" si="77"/>
        <v>4</v>
      </c>
      <c r="M442" s="7">
        <f ca="1" xml:space="preserve">
  IF(OR($N442 = 2, $N442 = 3, $N442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442" s="6">
        <f t="shared" ca="1" si="78"/>
        <v>6</v>
      </c>
      <c r="O442" s="6" t="e">
        <f t="shared" ca="1" si="79"/>
        <v>#N/A</v>
      </c>
      <c r="P442" s="8">
        <f t="shared" ca="1" si="80"/>
        <v>42569</v>
      </c>
      <c r="Q442" s="6">
        <f ca="1">RANDBETWEEN(2,COUNTA('Recruitment source'!$A:$A))</f>
        <v>11</v>
      </c>
      <c r="R442" s="8" t="e">
        <f t="shared" ca="1" si="81"/>
        <v>#N/A</v>
      </c>
      <c r="S442" s="6" t="e">
        <f t="shared" ca="1" si="82"/>
        <v>#N/A</v>
      </c>
      <c r="T442" s="6">
        <f t="shared" ca="1" si="72"/>
        <v>4</v>
      </c>
      <c r="U442" s="1">
        <f t="shared" ca="1" si="83"/>
        <v>885</v>
      </c>
    </row>
    <row r="443" spans="1:21" x14ac:dyDescent="0.2">
      <c r="A443" s="7" cm="1">
        <f t="array" aca="1" ref="A443" ca="1">INDEX(Companies!$A:$A,RANDBETWEEN(2,COUNTA(Companies!$A:$A)),1)</f>
        <v>2</v>
      </c>
      <c r="B443" s="5">
        <f t="shared" si="73"/>
        <v>442</v>
      </c>
      <c r="C443" s="6">
        <f t="shared" ca="1" si="74"/>
        <v>1</v>
      </c>
      <c r="D443" s="7">
        <f ca="1">IF($B443 = 1 + N("Presidente"),
    127,
    IF($B443 = 2 + N("Vice-Presidente"),
        72,
        IF($B443 = 3 + N("Secretária bilíngue"),
            13,
            RANDBETWEEN(5,COUNT(Name!$A:$A) + 1)
        )
    )
)</f>
        <v>67</v>
      </c>
      <c r="E443" s="7" t="str">
        <f ca="1" xml:space="preserve">
VLOOKUP(
  $D443,
  Name!$A:$B,
  2,
  FALSE
)
&amp; " " &amp;
IF($B443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Beatriz Marino Martini</v>
      </c>
      <c r="F443" s="7">
        <v>2</v>
      </c>
      <c r="G443" s="7" cm="1">
        <f t="array" aca="1" ref="G443" ca="1">INDEX(States!$B:$B,RANDBETWEEN(2,COUNTA(States!$A:$A)),1)</f>
        <v>15</v>
      </c>
      <c r="H443" s="7" t="str">
        <f ca="1">VLOOKUP($D443,Name!$A:$C,3,FALSE)</f>
        <v>F</v>
      </c>
      <c r="I443" s="7" cm="1">
        <f t="array" aca="1" ref="I443" ca="1">INDEX('Marital status'!$A:$A,RANDBETWEEN(2,COUNTA('Marital status'!$A:$A)),1)</f>
        <v>4</v>
      </c>
      <c r="J443" s="7">
        <f t="shared" ca="1" si="75"/>
        <v>2</v>
      </c>
      <c r="K443" s="8">
        <f t="shared" ca="1" si="76"/>
        <v>36909</v>
      </c>
      <c r="L443" s="6">
        <f t="shared" ca="1" si="77"/>
        <v>4</v>
      </c>
      <c r="M443" s="7">
        <f ca="1" xml:space="preserve">
  IF(OR($N443 = 2, $N443 = 3, $N443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443" s="6">
        <f t="shared" ca="1" si="78"/>
        <v>8</v>
      </c>
      <c r="O443" s="6">
        <f t="shared" ca="1" si="79"/>
        <v>3</v>
      </c>
      <c r="P443" s="8">
        <f t="shared" ca="1" si="80"/>
        <v>39580</v>
      </c>
      <c r="Q443" s="6">
        <f ca="1">RANDBETWEEN(2,COUNTA('Recruitment source'!$A:$A))</f>
        <v>11</v>
      </c>
      <c r="R443" s="8" t="e">
        <f t="shared" ca="1" si="81"/>
        <v>#N/A</v>
      </c>
      <c r="S443" s="6" t="e">
        <f t="shared" ca="1" si="82"/>
        <v>#N/A</v>
      </c>
      <c r="T443" s="6">
        <f t="shared" ca="1" si="72"/>
        <v>5</v>
      </c>
      <c r="U443" s="1">
        <f t="shared" ca="1" si="83"/>
        <v>2080</v>
      </c>
    </row>
    <row r="444" spans="1:21" x14ac:dyDescent="0.2">
      <c r="A444" s="7" cm="1">
        <f t="array" aca="1" ref="A444" ca="1">INDEX(Companies!$A:$A,RANDBETWEEN(2,COUNTA(Companies!$A:$A)),1)</f>
        <v>2</v>
      </c>
      <c r="B444" s="5">
        <f t="shared" si="73"/>
        <v>443</v>
      </c>
      <c r="C444" s="6">
        <f t="shared" ca="1" si="74"/>
        <v>0</v>
      </c>
      <c r="D444" s="7">
        <f ca="1">IF($B444 = 1 + N("Presidente"),
    127,
    IF($B444 = 2 + N("Vice-Presidente"),
        72,
        IF($B444 = 3 + N("Secretária bilíngue"),
            13,
            RANDBETWEEN(5,COUNT(Name!$A:$A) + 1)
        )
    )
)</f>
        <v>114</v>
      </c>
      <c r="E444" s="7" t="str">
        <f ca="1" xml:space="preserve">
VLOOKUP(
  $D444,
  Name!$A:$B,
  2,
  FALSE
)
&amp; " " &amp;
IF($B444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Domingos Nunes Trindade</v>
      </c>
      <c r="F444" s="7">
        <v>2</v>
      </c>
      <c r="G444" s="7" cm="1">
        <f t="array" aca="1" ref="G444" ca="1">INDEX(States!$B:$B,RANDBETWEEN(2,COUNTA(States!$A:$A)),1)</f>
        <v>6</v>
      </c>
      <c r="H444" s="7" t="str">
        <f ca="1">VLOOKUP($D444,Name!$A:$C,3,FALSE)</f>
        <v>M</v>
      </c>
      <c r="I444" s="7" cm="1">
        <f t="array" aca="1" ref="I444" ca="1">INDEX('Marital status'!$A:$A,RANDBETWEEN(2,COUNTA('Marital status'!$A:$A)),1)</f>
        <v>2</v>
      </c>
      <c r="J444" s="7">
        <f t="shared" ca="1" si="75"/>
        <v>2</v>
      </c>
      <c r="K444" s="8">
        <f t="shared" ca="1" si="76"/>
        <v>33017</v>
      </c>
      <c r="L444" s="6">
        <f t="shared" ca="1" si="77"/>
        <v>4</v>
      </c>
      <c r="M444" s="7">
        <f ca="1" xml:space="preserve">
  IF(OR($N444 = 2, $N444 = 3, $N444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444" s="6">
        <f t="shared" ca="1" si="78"/>
        <v>6</v>
      </c>
      <c r="O444" s="6" t="e">
        <f t="shared" ca="1" si="79"/>
        <v>#N/A</v>
      </c>
      <c r="P444" s="8">
        <f t="shared" ca="1" si="80"/>
        <v>43007</v>
      </c>
      <c r="Q444" s="6">
        <f ca="1">RANDBETWEEN(2,COUNTA('Recruitment source'!$A:$A))</f>
        <v>7</v>
      </c>
      <c r="R444" s="8">
        <f t="shared" ca="1" si="81"/>
        <v>43467</v>
      </c>
      <c r="S444" s="6">
        <f t="shared" ca="1" si="82"/>
        <v>6</v>
      </c>
      <c r="T444" s="6">
        <f t="shared" ca="1" si="72"/>
        <v>3</v>
      </c>
      <c r="U444" s="1">
        <f t="shared" ca="1" si="83"/>
        <v>805</v>
      </c>
    </row>
    <row r="445" spans="1:21" x14ac:dyDescent="0.2">
      <c r="A445" s="7" cm="1">
        <f t="array" aca="1" ref="A445" ca="1">INDEX(Companies!$A:$A,RANDBETWEEN(2,COUNTA(Companies!$A:$A)),1)</f>
        <v>2</v>
      </c>
      <c r="B445" s="5">
        <f t="shared" si="73"/>
        <v>444</v>
      </c>
      <c r="C445" s="6">
        <f t="shared" ca="1" si="74"/>
        <v>1</v>
      </c>
      <c r="D445" s="7">
        <f ca="1">IF($B445 = 1 + N("Presidente"),
    127,
    IF($B445 = 2 + N("Vice-Presidente"),
        72,
        IF($B445 = 3 + N("Secretária bilíngue"),
            13,
            RANDBETWEEN(5,COUNT(Name!$A:$A) + 1)
        )
    )
)</f>
        <v>341</v>
      </c>
      <c r="E445" s="7" t="str">
        <f ca="1" xml:space="preserve">
VLOOKUP(
  $D445,
  Name!$A:$B,
  2,
  FALSE
)
&amp; " " &amp;
IF($B445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Theo Garcia Zil</v>
      </c>
      <c r="F445" s="7">
        <v>2</v>
      </c>
      <c r="G445" s="7" cm="1">
        <f t="array" aca="1" ref="G445" ca="1">INDEX(States!$B:$B,RANDBETWEEN(2,COUNTA(States!$A:$A)),1)</f>
        <v>15</v>
      </c>
      <c r="H445" s="7" t="str">
        <f ca="1">VLOOKUP($D445,Name!$A:$C,3,FALSE)</f>
        <v>M</v>
      </c>
      <c r="I445" s="7" cm="1">
        <f t="array" aca="1" ref="I445" ca="1">INDEX('Marital status'!$A:$A,RANDBETWEEN(2,COUNTA('Marital status'!$A:$A)),1)</f>
        <v>4</v>
      </c>
      <c r="J445" s="7">
        <f t="shared" ca="1" si="75"/>
        <v>2</v>
      </c>
      <c r="K445" s="8">
        <f t="shared" ca="1" si="76"/>
        <v>32989</v>
      </c>
      <c r="L445" s="6">
        <f t="shared" ca="1" si="77"/>
        <v>5</v>
      </c>
      <c r="M445" s="7">
        <f ca="1" xml:space="preserve">
  IF(OR($N445 = 2, $N445 = 3, $N445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445" s="6">
        <f t="shared" ca="1" si="78"/>
        <v>8</v>
      </c>
      <c r="O445" s="6">
        <f t="shared" ca="1" si="79"/>
        <v>3</v>
      </c>
      <c r="P445" s="8">
        <f t="shared" ca="1" si="80"/>
        <v>37006</v>
      </c>
      <c r="Q445" s="6">
        <f ca="1">RANDBETWEEN(2,COUNTA('Recruitment source'!$A:$A))</f>
        <v>7</v>
      </c>
      <c r="R445" s="8" t="e">
        <f t="shared" ca="1" si="81"/>
        <v>#N/A</v>
      </c>
      <c r="S445" s="6" t="e">
        <f t="shared" ca="1" si="82"/>
        <v>#N/A</v>
      </c>
      <c r="T445" s="6">
        <f t="shared" ca="1" si="72"/>
        <v>3</v>
      </c>
      <c r="U445" s="1">
        <f t="shared" ca="1" si="83"/>
        <v>2000</v>
      </c>
    </row>
    <row r="446" spans="1:21" x14ac:dyDescent="0.2">
      <c r="A446" s="7" cm="1">
        <f t="array" aca="1" ref="A446" ca="1">INDEX(Companies!$A:$A,RANDBETWEEN(2,COUNTA(Companies!$A:$A)),1)</f>
        <v>2</v>
      </c>
      <c r="B446" s="5">
        <f t="shared" si="73"/>
        <v>445</v>
      </c>
      <c r="C446" s="6">
        <f t="shared" ca="1" si="74"/>
        <v>1</v>
      </c>
      <c r="D446" s="7">
        <f ca="1">IF($B446 = 1 + N("Presidente"),
    127,
    IF($B446 = 2 + N("Vice-Presidente"),
        72,
        IF($B446 = 3 + N("Secretária bilíngue"),
            13,
            RANDBETWEEN(5,COUNT(Name!$A:$A) + 1)
        )
    )
)</f>
        <v>173</v>
      </c>
      <c r="E446" s="7" t="str">
        <f ca="1" xml:space="preserve">
VLOOKUP(
  $D446,
  Name!$A:$B,
  2,
  FALSE
)
&amp; " " &amp;
IF($B446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Isaac Mazza Alencar</v>
      </c>
      <c r="F446" s="7">
        <v>2</v>
      </c>
      <c r="G446" s="7" cm="1">
        <f t="array" aca="1" ref="G446" ca="1">INDEX(States!$B:$B,RANDBETWEEN(2,COUNTA(States!$A:$A)),1)</f>
        <v>17</v>
      </c>
      <c r="H446" s="7" t="str">
        <f ca="1">VLOOKUP($D446,Name!$A:$C,3,FALSE)</f>
        <v>M</v>
      </c>
      <c r="I446" s="7" cm="1">
        <f t="array" aca="1" ref="I446" ca="1">INDEX('Marital status'!$A:$A,RANDBETWEEN(2,COUNTA('Marital status'!$A:$A)),1)</f>
        <v>2</v>
      </c>
      <c r="J446" s="7">
        <f t="shared" ca="1" si="75"/>
        <v>2</v>
      </c>
      <c r="K446" s="8">
        <f t="shared" ca="1" si="76"/>
        <v>30803</v>
      </c>
      <c r="L446" s="6">
        <f t="shared" ca="1" si="77"/>
        <v>4</v>
      </c>
      <c r="M446" s="7">
        <f ca="1" xml:space="preserve">
  IF(OR($N446 = 2, $N446 = 3, $N446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446" s="6">
        <f t="shared" ca="1" si="78"/>
        <v>6</v>
      </c>
      <c r="O446" s="6" t="e">
        <f t="shared" ca="1" si="79"/>
        <v>#N/A</v>
      </c>
      <c r="P446" s="8">
        <f t="shared" ca="1" si="80"/>
        <v>36958</v>
      </c>
      <c r="Q446" s="6">
        <f ca="1">RANDBETWEEN(2,COUNTA('Recruitment source'!$A:$A))</f>
        <v>3</v>
      </c>
      <c r="R446" s="8" t="e">
        <f t="shared" ca="1" si="81"/>
        <v>#N/A</v>
      </c>
      <c r="S446" s="6" t="e">
        <f t="shared" ca="1" si="82"/>
        <v>#N/A</v>
      </c>
      <c r="T446" s="6">
        <f t="shared" ca="1" si="72"/>
        <v>3</v>
      </c>
      <c r="U446" s="1">
        <f t="shared" ca="1" si="83"/>
        <v>805</v>
      </c>
    </row>
    <row r="447" spans="1:21" x14ac:dyDescent="0.2">
      <c r="A447" s="7" cm="1">
        <f t="array" aca="1" ref="A447" ca="1">INDEX(Companies!$A:$A,RANDBETWEEN(2,COUNTA(Companies!$A:$A)),1)</f>
        <v>2</v>
      </c>
      <c r="B447" s="5">
        <f t="shared" si="73"/>
        <v>446</v>
      </c>
      <c r="C447" s="6">
        <f t="shared" ca="1" si="74"/>
        <v>1</v>
      </c>
      <c r="D447" s="7">
        <f ca="1">IF($B447 = 1 + N("Presidente"),
    127,
    IF($B447 = 2 + N("Vice-Presidente"),
        72,
        IF($B447 = 3 + N("Secretária bilíngue"),
            13,
            RANDBETWEEN(5,COUNT(Name!$A:$A) + 1)
        )
    )
)</f>
        <v>154</v>
      </c>
      <c r="E447" s="7" t="str">
        <f ca="1" xml:space="preserve">
VLOOKUP(
  $D447,
  Name!$A:$B,
  2,
  FALSE
)
&amp; " " &amp;
IF($B447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Giovanna Auth Camacho</v>
      </c>
      <c r="F447" s="7">
        <v>2</v>
      </c>
      <c r="G447" s="7" cm="1">
        <f t="array" aca="1" ref="G447" ca="1">INDEX(States!$B:$B,RANDBETWEEN(2,COUNTA(States!$A:$A)),1)</f>
        <v>4</v>
      </c>
      <c r="H447" s="7" t="str">
        <f ca="1">VLOOKUP($D447,Name!$A:$C,3,FALSE)</f>
        <v>F</v>
      </c>
      <c r="I447" s="7" cm="1">
        <f t="array" aca="1" ref="I447" ca="1">INDEX('Marital status'!$A:$A,RANDBETWEEN(2,COUNTA('Marital status'!$A:$A)),1)</f>
        <v>6</v>
      </c>
      <c r="J447" s="7">
        <f t="shared" ca="1" si="75"/>
        <v>2</v>
      </c>
      <c r="K447" s="8">
        <f t="shared" ca="1" si="76"/>
        <v>36121</v>
      </c>
      <c r="L447" s="6">
        <f t="shared" ca="1" si="77"/>
        <v>4</v>
      </c>
      <c r="M447" s="7">
        <f ca="1" xml:space="preserve">
  IF(OR($N447 = 2, $N447 = 3, $N447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447" s="6">
        <f t="shared" ca="1" si="78"/>
        <v>8</v>
      </c>
      <c r="O447" s="6">
        <f t="shared" ca="1" si="79"/>
        <v>3</v>
      </c>
      <c r="P447" s="8">
        <f t="shared" ca="1" si="80"/>
        <v>43201</v>
      </c>
      <c r="Q447" s="6">
        <f ca="1">RANDBETWEEN(2,COUNTA('Recruitment source'!$A:$A))</f>
        <v>3</v>
      </c>
      <c r="R447" s="8" t="e">
        <f t="shared" ca="1" si="81"/>
        <v>#N/A</v>
      </c>
      <c r="S447" s="6" t="e">
        <f t="shared" ca="1" si="82"/>
        <v>#N/A</v>
      </c>
      <c r="T447" s="6">
        <f t="shared" ca="1" si="72"/>
        <v>3</v>
      </c>
      <c r="U447" s="1">
        <f t="shared" ca="1" si="83"/>
        <v>2080</v>
      </c>
    </row>
    <row r="448" spans="1:21" x14ac:dyDescent="0.2">
      <c r="A448" s="7" cm="1">
        <f t="array" aca="1" ref="A448" ca="1">INDEX(Companies!$A:$A,RANDBETWEEN(2,COUNTA(Companies!$A:$A)),1)</f>
        <v>2</v>
      </c>
      <c r="B448" s="5">
        <f t="shared" si="73"/>
        <v>447</v>
      </c>
      <c r="C448" s="6">
        <f t="shared" ca="1" si="74"/>
        <v>1</v>
      </c>
      <c r="D448" s="7">
        <f ca="1">IF($B448 = 1 + N("Presidente"),
    127,
    IF($B448 = 2 + N("Vice-Presidente"),
        72,
        IF($B448 = 3 + N("Secretária bilíngue"),
            13,
            RANDBETWEEN(5,COUNT(Name!$A:$A) + 1)
        )
    )
)</f>
        <v>106</v>
      </c>
      <c r="E448" s="7" t="str">
        <f ca="1" xml:space="preserve">
VLOOKUP(
  $D448,
  Name!$A:$B,
  2,
  FALSE
)
&amp; " " &amp;
IF($B448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Lucas Ramos Araújo</v>
      </c>
      <c r="F448" s="7">
        <v>2</v>
      </c>
      <c r="G448" s="7" cm="1">
        <f t="array" aca="1" ref="G448" ca="1">INDEX(States!$B:$B,RANDBETWEEN(2,COUNTA(States!$A:$A)),1)</f>
        <v>2</v>
      </c>
      <c r="H448" s="7" t="str">
        <f ca="1">VLOOKUP($D448,Name!$A:$C,3,FALSE)</f>
        <v>M</v>
      </c>
      <c r="I448" s="7" cm="1">
        <f t="array" aca="1" ref="I448" ca="1">INDEX('Marital status'!$A:$A,RANDBETWEEN(2,COUNTA('Marital status'!$A:$A)),1)</f>
        <v>5</v>
      </c>
      <c r="J448" s="7">
        <f t="shared" ca="1" si="75"/>
        <v>3</v>
      </c>
      <c r="K448" s="8">
        <f t="shared" ca="1" si="76"/>
        <v>33778</v>
      </c>
      <c r="L448" s="6">
        <f t="shared" ca="1" si="77"/>
        <v>4</v>
      </c>
      <c r="M448" s="7">
        <f ca="1" xml:space="preserve">
  IF(OR($N448 = 2, $N448 = 3, $N448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448" s="6">
        <f t="shared" ca="1" si="78"/>
        <v>7</v>
      </c>
      <c r="O448" s="6" t="e">
        <f t="shared" ca="1" si="79"/>
        <v>#N/A</v>
      </c>
      <c r="P448" s="8">
        <f t="shared" ca="1" si="80"/>
        <v>39838</v>
      </c>
      <c r="Q448" s="6">
        <f ca="1">RANDBETWEEN(2,COUNTA('Recruitment source'!$A:$A))</f>
        <v>12</v>
      </c>
      <c r="R448" s="8" t="e">
        <f t="shared" ca="1" si="81"/>
        <v>#N/A</v>
      </c>
      <c r="S448" s="6" t="e">
        <f t="shared" ca="1" si="82"/>
        <v>#N/A</v>
      </c>
      <c r="T448" s="6">
        <f t="shared" ca="1" si="72"/>
        <v>3</v>
      </c>
      <c r="U448" s="1">
        <f t="shared" ca="1" si="83"/>
        <v>1085</v>
      </c>
    </row>
    <row r="449" spans="1:21" x14ac:dyDescent="0.2">
      <c r="A449" s="7" cm="1">
        <f t="array" aca="1" ref="A449" ca="1">INDEX(Companies!$A:$A,RANDBETWEEN(2,COUNTA(Companies!$A:$A)),1)</f>
        <v>2</v>
      </c>
      <c r="B449" s="5">
        <f t="shared" si="73"/>
        <v>448</v>
      </c>
      <c r="C449" s="6">
        <f t="shared" ca="1" si="74"/>
        <v>1</v>
      </c>
      <c r="D449" s="7">
        <f ca="1">IF($B449 = 1 + N("Presidente"),
    127,
    IF($B449 = 2 + N("Vice-Presidente"),
        72,
        IF($B449 = 3 + N("Secretária bilíngue"),
            13,
            RANDBETWEEN(5,COUNT(Name!$A:$A) + 1)
        )
    )
)</f>
        <v>167</v>
      </c>
      <c r="E449" s="7" t="str">
        <f ca="1" xml:space="preserve">
VLOOKUP(
  $D449,
  Name!$A:$B,
  2,
  FALSE
)
&amp; " " &amp;
IF($B449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Henrique Nunes Frasão</v>
      </c>
      <c r="F449" s="7">
        <v>2</v>
      </c>
      <c r="G449" s="7" cm="1">
        <f t="array" aca="1" ref="G449" ca="1">INDEX(States!$B:$B,RANDBETWEEN(2,COUNTA(States!$A:$A)),1)</f>
        <v>4</v>
      </c>
      <c r="H449" s="7" t="str">
        <f ca="1">VLOOKUP($D449,Name!$A:$C,3,FALSE)</f>
        <v>M</v>
      </c>
      <c r="I449" s="7" cm="1">
        <f t="array" aca="1" ref="I449" ca="1">INDEX('Marital status'!$A:$A,RANDBETWEEN(2,COUNTA('Marital status'!$A:$A)),1)</f>
        <v>6</v>
      </c>
      <c r="J449" s="7">
        <f t="shared" ca="1" si="75"/>
        <v>2</v>
      </c>
      <c r="K449" s="8">
        <f t="shared" ca="1" si="76"/>
        <v>35743</v>
      </c>
      <c r="L449" s="6">
        <f t="shared" ca="1" si="77"/>
        <v>5</v>
      </c>
      <c r="M449" s="7">
        <f ca="1" xml:space="preserve">
  IF(OR($N449 = 2, $N449 = 3, $N449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449" s="6">
        <f t="shared" ca="1" si="78"/>
        <v>8</v>
      </c>
      <c r="O449" s="6">
        <f t="shared" ca="1" si="79"/>
        <v>2</v>
      </c>
      <c r="P449" s="8">
        <f t="shared" ca="1" si="80"/>
        <v>38364</v>
      </c>
      <c r="Q449" s="6">
        <f ca="1">RANDBETWEEN(2,COUNTA('Recruitment source'!$A:$A))</f>
        <v>4</v>
      </c>
      <c r="R449" s="8" t="e">
        <f t="shared" ca="1" si="81"/>
        <v>#N/A</v>
      </c>
      <c r="S449" s="6" t="e">
        <f t="shared" ca="1" si="82"/>
        <v>#N/A</v>
      </c>
      <c r="T449" s="6">
        <f t="shared" ca="1" si="72"/>
        <v>5</v>
      </c>
      <c r="U449" s="1">
        <f t="shared" ca="1" si="83"/>
        <v>2080</v>
      </c>
    </row>
    <row r="450" spans="1:21" x14ac:dyDescent="0.2">
      <c r="A450" s="7" cm="1">
        <f t="array" aca="1" ref="A450" ca="1">INDEX(Companies!$A:$A,RANDBETWEEN(2,COUNTA(Companies!$A:$A)),1)</f>
        <v>2</v>
      </c>
      <c r="B450" s="5">
        <f t="shared" si="73"/>
        <v>449</v>
      </c>
      <c r="C450" s="6">
        <f t="shared" ca="1" si="74"/>
        <v>1</v>
      </c>
      <c r="D450" s="7">
        <f ca="1">IF($B450 = 1 + N("Presidente"),
    127,
    IF($B450 = 2 + N("Vice-Presidente"),
        72,
        IF($B450 = 3 + N("Secretária bilíngue"),
            13,
            RANDBETWEEN(5,COUNT(Name!$A:$A) + 1)
        )
    )
)</f>
        <v>187</v>
      </c>
      <c r="E450" s="7" t="str">
        <f ca="1" xml:space="preserve">
VLOOKUP(
  $D450,
  Name!$A:$B,
  2,
  FALSE
)
&amp; " " &amp;
IF($B450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Guilherme Mancini sobrenome</v>
      </c>
      <c r="F450" s="7">
        <v>2</v>
      </c>
      <c r="G450" s="7" cm="1">
        <f t="array" aca="1" ref="G450" ca="1">INDEX(States!$B:$B,RANDBETWEEN(2,COUNTA(States!$A:$A)),1)</f>
        <v>10</v>
      </c>
      <c r="H450" s="7" t="str">
        <f ca="1">VLOOKUP($D450,Name!$A:$C,3,FALSE)</f>
        <v>M</v>
      </c>
      <c r="I450" s="7" cm="1">
        <f t="array" aca="1" ref="I450" ca="1">INDEX('Marital status'!$A:$A,RANDBETWEEN(2,COUNTA('Marital status'!$A:$A)),1)</f>
        <v>4</v>
      </c>
      <c r="J450" s="7">
        <f t="shared" ca="1" si="75"/>
        <v>2</v>
      </c>
      <c r="K450" s="8">
        <f t="shared" ca="1" si="76"/>
        <v>28761</v>
      </c>
      <c r="L450" s="6">
        <f t="shared" ca="1" si="77"/>
        <v>4</v>
      </c>
      <c r="M450" s="7">
        <f ca="1" xml:space="preserve">
  IF(OR($N450 = 2, $N450 = 3, $N450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450" s="6">
        <f t="shared" ca="1" si="78"/>
        <v>6</v>
      </c>
      <c r="O450" s="6" t="e">
        <f t="shared" ca="1" si="79"/>
        <v>#N/A</v>
      </c>
      <c r="P450" s="8">
        <f t="shared" ca="1" si="80"/>
        <v>40807</v>
      </c>
      <c r="Q450" s="6">
        <f ca="1">RANDBETWEEN(2,COUNTA('Recruitment source'!$A:$A))</f>
        <v>11</v>
      </c>
      <c r="R450" s="8" t="e">
        <f t="shared" ca="1" si="81"/>
        <v>#N/A</v>
      </c>
      <c r="S450" s="6" t="e">
        <f t="shared" ca="1" si="82"/>
        <v>#N/A</v>
      </c>
      <c r="T450" s="6">
        <f t="shared" ref="T450:T513" ca="1" si="84" xml:space="preserve">
IF(
 ISNA($R450),
 IF(
   $N450 = 2,
   5,
   IF(
     OR($N450=3,$N450=4,$N450=5),
     RANDBETWEEN(4,5),
     IF(
       OR($N450=11,$N450=12),
       RANDBETWEEN(3,5),
       RANDBETWEEN(2,5)
     )
   )
 ),
 RANDBETWEEN(1,3)
)</f>
        <v>2</v>
      </c>
      <c r="U450" s="1">
        <f t="shared" ca="1" si="83"/>
        <v>805</v>
      </c>
    </row>
    <row r="451" spans="1:21" x14ac:dyDescent="0.2">
      <c r="A451" s="7" cm="1">
        <f t="array" aca="1" ref="A451" ca="1">INDEX(Companies!$A:$A,RANDBETWEEN(2,COUNTA(Companies!$A:$A)),1)</f>
        <v>2</v>
      </c>
      <c r="B451" s="5">
        <f t="shared" ref="B451:B514" si="85">ROW() - 1</f>
        <v>450</v>
      </c>
      <c r="C451" s="6">
        <f t="shared" ref="C451:C514" ca="1" si="86">IF(ISNA($R451),1,0)</f>
        <v>1</v>
      </c>
      <c r="D451" s="7">
        <f ca="1">IF($B451 = 1 + N("Presidente"),
    127,
    IF($B451 = 2 + N("Vice-Presidente"),
        72,
        IF($B451 = 3 + N("Secretária bilíngue"),
            13,
            RANDBETWEEN(5,COUNT(Name!$A:$A) + 1)
        )
    )
)</f>
        <v>305</v>
      </c>
      <c r="E451" s="7" t="str">
        <f ca="1" xml:space="preserve">
VLOOKUP(
  $D451,
  Name!$A:$B,
  2,
  FALSE
)
&amp; " " &amp;
IF($B451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Nathan Romano Conti</v>
      </c>
      <c r="F451" s="7">
        <v>2</v>
      </c>
      <c r="G451" s="7" cm="1">
        <f t="array" aca="1" ref="G451" ca="1">INDEX(States!$B:$B,RANDBETWEEN(2,COUNTA(States!$A:$A)),1)</f>
        <v>10</v>
      </c>
      <c r="H451" s="7" t="str">
        <f ca="1">VLOOKUP($D451,Name!$A:$C,3,FALSE)</f>
        <v>M</v>
      </c>
      <c r="I451" s="7" cm="1">
        <f t="array" aca="1" ref="I451" ca="1">INDEX('Marital status'!$A:$A,RANDBETWEEN(2,COUNTA('Marital status'!$A:$A)),1)</f>
        <v>2</v>
      </c>
      <c r="J451" s="7">
        <f t="shared" ref="J451:J514" ca="1" si="87" xml:space="preserve">
IF(AND($N451 &gt;= 2, $N451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4</v>
      </c>
      <c r="K451" s="8">
        <f t="shared" ref="K451:K514" ca="1" si="88" xml:space="preserve">
IF($N451 = 5 + N("CEO"),
    TODAY() - 16340,
    IF($N451 = 8 + N("Secretary"),
        RANDBETWEEN(TODAY() - 12418.5, TODAY()-6574.5),
        IF(OR($N451 = 7, $N451 = 14),
            RANDBETWEEN(TODAY() - 16071, TODAY() - 8766),
            IF(OR($N451 = 13, $N451 = 12, $N451 = 11),
                RANDBETWEEN(TODAY() - 27393.75, TODAY() - 12783.75),
                RANDBETWEEN(TODAY() - 27393.75, TODAY()-10957.5)
            )
        )
    )
)</f>
        <v>33353</v>
      </c>
      <c r="L451" s="6">
        <f t="shared" ref="L451:L514" ca="1" si="89" xml:space="preserve">
IF(OR($N451 = 2, $N451 = 3) + N("Se for presidente ou vice-presidente"),
    7 + N("Doutor"),
    IF($N451 = 4 + N("Se for diretor"),
        RANDBETWEEN(5,7) + N("Graduate school or Master’s degree or Doctorate"),
        IF($N451 = 11 + N("Se for gerente"),
            RANDBETWEEN(4,6) + N("Undergraduate degree or Graduate school or Master’s degree"),
            IF(AND($N451 &gt;= 8, $N451 &lt;= 10) + N("If coordinator or specialist or analyst"),
                RANDBETWEEN(4,5),
                4
            )
        )
    )
)</f>
        <v>4</v>
      </c>
      <c r="M451" s="7">
        <f ca="1" xml:space="preserve">
  IF(OR($N451 = 2, $N451 = 3, $N451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451" s="6">
        <f t="shared" ref="N451:N514" ca="1" si="90" xml:space="preserve">
IF($B451 = 1 + N("Se matrícula for 1"),
  2 + N("Presidente"),
  IF($B451 = 2 + N("Se matrícula for 2"),
    3 + N("Vice-presidente"),
    IF($B451 = 3 + N("Se matrícula for 3"),
      5 + N("Secretária bilíngue"),
      IF(AND($B451 &gt;= 4, $B451 &lt;=14),
        4 + N("Diretor"),
        IF(AND($B451 &gt;= 15, $B451 &lt;= 25),
          11 + N("Manager"),
          IF(AND($B451 &gt;= 26, $B451 &lt;= 36),
            10 + N("Coordinador"),
            IF(AND($B451 &gt;= 37, $B451 &lt;= 47),
              9 + N("Especialista"),
                IF(MOD($B451,2) = 0,
                  8 + N("Analista"),
                  RANDBETWEEN(6,7) + N("Estagiário ou Trainee")
                )
            )
          )
        )
      )
    )
  )
)</f>
        <v>8</v>
      </c>
      <c r="O451" s="6">
        <f t="shared" ref="O451:O514" ca="1" si="91" xml:space="preserve">
IF($N451 =8 + N("Analyst"),
    RANDBETWEEN(2, 4) + N("Jr, Pleno, Sr"),
    NA()
)</f>
        <v>2</v>
      </c>
      <c r="P451" s="8">
        <f t="shared" ref="P451:P514" ca="1" si="92" xml:space="preserve">
IF(
   $N451=2 + N("Presidente"),
   36161,
   IF(
       OR(
         $N451=3 + N("Vice-Presidente"),
         $N451=4 + N("Diretor"),
         $N451=5 + N("Secretária bilíngue")
       ),
       RANDBETWEEN(36161,36411),
       IF(
         ((TODAY() - $K451) / 365) &lt; 19,
         TODAY(),
         RANDBETWEEN(36161,TODAY())
       )
   )
)</f>
        <v>40749</v>
      </c>
      <c r="Q451" s="6">
        <f ca="1">RANDBETWEEN(2,COUNTA('Recruitment source'!$A:$A))</f>
        <v>11</v>
      </c>
      <c r="R451" s="8" t="e">
        <f t="shared" ref="R451:R514" ca="1" si="93" xml:space="preserve">
IF(MOD(
     ROW(),111
   )=0,
   RANDBETWEEN($P451 + 1,TODAY() - 1),NA()
)</f>
        <v>#N/A</v>
      </c>
      <c r="S451" s="6" t="e">
        <f t="shared" ref="S451:S514" ca="1" si="94" xml:space="preserve">
IF(
  ISNA(R451),
  NA(),
  RANDBETWEEN(2,IF($H451="F",10,9))
)</f>
        <v>#N/A</v>
      </c>
      <c r="T451" s="6">
        <f t="shared" ca="1" si="84"/>
        <v>2</v>
      </c>
      <c r="U451" s="1">
        <f t="shared" ref="U451:U514" ca="1" si="95" xml:space="preserve">
IF($N451 = 2 + N("Presidente"),
    25000,
    IF($N451 = 3 + N("Vice-presidente"),
        23000,
        IF(OR($N451 = 5, $N451= 10, $N451 = 9) + N("Secretária bilíngue ou coordenador ou especialista"),
            8000,
            IF($N451 = 4 + N("Diretor"),
                15000,
                IF($N451 = 11 + N("Gerente"),
                    12000,
                    IF($N451 = 6 + N("Estagiário"),
                        805,
                        IF($N451 = 7 + N("Trainee"),
                            1005,
                            IF($N451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IF($L451 = 7,
  100,
  IF($L451 = 8,
    200,
    IF($L451 = 9,
      300,
      IF($L451 = 10,
        400,
        0
      )
    )
  )
)
+
N("Adicional no salário por área")
+
IF($M451 = 14 + N("Tecnologia da Informação"),
  120,
  IF($M451 = 16 + N("Vendas"),
    110,
    IF($M451 = 15 + N("Jurídico"),
      100,
      IF(OR($M451 = 8, $M451 = 9, $M451 = 11) + N("Recursos humanos ou comercial ou comunicação e marketing"),
        80,
        0
      )
    )
  )
)
+
N("Adicionando pegadinha")
+
IF(AND($M451 = 13, $N451 = 8) + N("Se for de vendas e analista"),
  IF($J451 = 2,
    50,
    0
  )
  +
  IF($H451 = "M",
    50,
    0
  ),
  0
)</f>
        <v>2000</v>
      </c>
    </row>
    <row r="452" spans="1:21" x14ac:dyDescent="0.2">
      <c r="A452" s="7" cm="1">
        <f t="array" aca="1" ref="A452" ca="1">INDEX(Companies!$A:$A,RANDBETWEEN(2,COUNTA(Companies!$A:$A)),1)</f>
        <v>2</v>
      </c>
      <c r="B452" s="5">
        <f t="shared" si="85"/>
        <v>451</v>
      </c>
      <c r="C452" s="6">
        <f t="shared" ca="1" si="86"/>
        <v>1</v>
      </c>
      <c r="D452" s="7">
        <f ca="1">IF($B452 = 1 + N("Presidente"),
    127,
    IF($B452 = 2 + N("Vice-Presidente"),
        72,
        IF($B452 = 3 + N("Secretária bilíngue"),
            13,
            RANDBETWEEN(5,COUNT(Name!$A:$A) + 1)
        )
    )
)</f>
        <v>284</v>
      </c>
      <c r="E452" s="7" t="str">
        <f ca="1" xml:space="preserve">
VLOOKUP(
  $D452,
  Name!$A:$B,
  2,
  FALSE
)
&amp; " " &amp;
IF($B452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Martim Rocha Barbosa</v>
      </c>
      <c r="F452" s="7">
        <v>2</v>
      </c>
      <c r="G452" s="7" cm="1">
        <f t="array" aca="1" ref="G452" ca="1">INDEX(States!$B:$B,RANDBETWEEN(2,COUNTA(States!$A:$A)),1)</f>
        <v>10</v>
      </c>
      <c r="H452" s="7" t="str">
        <f ca="1">VLOOKUP($D452,Name!$A:$C,3,FALSE)</f>
        <v>M</v>
      </c>
      <c r="I452" s="7" cm="1">
        <f t="array" aca="1" ref="I452" ca="1">INDEX('Marital status'!$A:$A,RANDBETWEEN(2,COUNTA('Marital status'!$A:$A)),1)</f>
        <v>6</v>
      </c>
      <c r="J452" s="7">
        <f t="shared" ca="1" si="87"/>
        <v>2</v>
      </c>
      <c r="K452" s="8">
        <f t="shared" ca="1" si="88"/>
        <v>25066</v>
      </c>
      <c r="L452" s="6">
        <f t="shared" ca="1" si="89"/>
        <v>4</v>
      </c>
      <c r="M452" s="7">
        <f ca="1" xml:space="preserve">
  IF(OR($N452 = 2, $N452 = 3, $N452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452" s="6">
        <f t="shared" ca="1" si="90"/>
        <v>6</v>
      </c>
      <c r="O452" s="6" t="e">
        <f t="shared" ca="1" si="91"/>
        <v>#N/A</v>
      </c>
      <c r="P452" s="8">
        <f t="shared" ca="1" si="92"/>
        <v>43401</v>
      </c>
      <c r="Q452" s="6">
        <f ca="1">RANDBETWEEN(2,COUNTA('Recruitment source'!$A:$A))</f>
        <v>12</v>
      </c>
      <c r="R452" s="8" t="e">
        <f t="shared" ca="1" si="93"/>
        <v>#N/A</v>
      </c>
      <c r="S452" s="6" t="e">
        <f t="shared" ca="1" si="94"/>
        <v>#N/A</v>
      </c>
      <c r="T452" s="6">
        <f t="shared" ca="1" si="84"/>
        <v>2</v>
      </c>
      <c r="U452" s="1">
        <f t="shared" ca="1" si="95"/>
        <v>805</v>
      </c>
    </row>
    <row r="453" spans="1:21" x14ac:dyDescent="0.2">
      <c r="A453" s="7" cm="1">
        <f t="array" aca="1" ref="A453" ca="1">INDEX(Companies!$A:$A,RANDBETWEEN(2,COUNTA(Companies!$A:$A)),1)</f>
        <v>2</v>
      </c>
      <c r="B453" s="5">
        <f t="shared" si="85"/>
        <v>452</v>
      </c>
      <c r="C453" s="6">
        <f t="shared" ca="1" si="86"/>
        <v>1</v>
      </c>
      <c r="D453" s="7">
        <f ca="1">IF($B453 = 1 + N("Presidente"),
    127,
    IF($B453 = 2 + N("Vice-Presidente"),
        72,
        IF($B453 = 3 + N("Secretária bilíngue"),
            13,
            RANDBETWEEN(5,COUNT(Name!$A:$A) + 1)
        )
    )
)</f>
        <v>326</v>
      </c>
      <c r="E453" s="7" t="str">
        <f ca="1" xml:space="preserve">
VLOOKUP(
  $D453,
  Name!$A:$B,
  2,
  FALSE
)
&amp; " " &amp;
IF($B453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Rainah Giordano Aragão</v>
      </c>
      <c r="F453" s="7">
        <v>2</v>
      </c>
      <c r="G453" s="7" cm="1">
        <f t="array" aca="1" ref="G453" ca="1">INDEX(States!$B:$B,RANDBETWEEN(2,COUNTA(States!$A:$A)),1)</f>
        <v>8</v>
      </c>
      <c r="H453" s="7" t="str">
        <f ca="1">VLOOKUP($D453,Name!$A:$C,3,FALSE)</f>
        <v>F</v>
      </c>
      <c r="I453" s="7" cm="1">
        <f t="array" aca="1" ref="I453" ca="1">INDEX('Marital status'!$A:$A,RANDBETWEEN(2,COUNTA('Marital status'!$A:$A)),1)</f>
        <v>4</v>
      </c>
      <c r="J453" s="7">
        <f t="shared" ca="1" si="87"/>
        <v>2</v>
      </c>
      <c r="K453" s="8">
        <f t="shared" ca="1" si="88"/>
        <v>33471</v>
      </c>
      <c r="L453" s="6">
        <f t="shared" ca="1" si="89"/>
        <v>5</v>
      </c>
      <c r="M453" s="7">
        <f ca="1" xml:space="preserve">
  IF(OR($N453 = 2, $N453 = 3, $N453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453" s="6">
        <f t="shared" ca="1" si="90"/>
        <v>8</v>
      </c>
      <c r="O453" s="6">
        <f t="shared" ca="1" si="91"/>
        <v>2</v>
      </c>
      <c r="P453" s="8">
        <f t="shared" ca="1" si="92"/>
        <v>40231</v>
      </c>
      <c r="Q453" s="6">
        <f ca="1">RANDBETWEEN(2,COUNTA('Recruitment source'!$A:$A))</f>
        <v>5</v>
      </c>
      <c r="R453" s="8" t="e">
        <f t="shared" ca="1" si="93"/>
        <v>#N/A</v>
      </c>
      <c r="S453" s="6" t="e">
        <f t="shared" ca="1" si="94"/>
        <v>#N/A</v>
      </c>
      <c r="T453" s="6">
        <f t="shared" ca="1" si="84"/>
        <v>2</v>
      </c>
      <c r="U453" s="1">
        <f t="shared" ca="1" si="95"/>
        <v>2000</v>
      </c>
    </row>
    <row r="454" spans="1:21" x14ac:dyDescent="0.2">
      <c r="A454" s="7" cm="1">
        <f t="array" aca="1" ref="A454" ca="1">INDEX(Companies!$A:$A,RANDBETWEEN(2,COUNTA(Companies!$A:$A)),1)</f>
        <v>2</v>
      </c>
      <c r="B454" s="5">
        <f t="shared" si="85"/>
        <v>453</v>
      </c>
      <c r="C454" s="6">
        <f t="shared" ca="1" si="86"/>
        <v>1</v>
      </c>
      <c r="D454" s="7">
        <f ca="1">IF($B454 = 1 + N("Presidente"),
    127,
    IF($B454 = 2 + N("Vice-Presidente"),
        72,
        IF($B454 = 3 + N("Secretária bilíngue"),
            13,
            RANDBETWEEN(5,COUNT(Name!$A:$A) + 1)
        )
    )
)</f>
        <v>200</v>
      </c>
      <c r="E454" s="7" t="str">
        <f ca="1" xml:space="preserve">
VLOOKUP(
  $D454,
  Name!$A:$B,
  2,
  FALSE
)
&amp; " " &amp;
IF($B454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Heleno Pinheiro Cabral</v>
      </c>
      <c r="F454" s="7">
        <v>2</v>
      </c>
      <c r="G454" s="7" cm="1">
        <f t="array" aca="1" ref="G454" ca="1">INDEX(States!$B:$B,RANDBETWEEN(2,COUNTA(States!$A:$A)),1)</f>
        <v>19</v>
      </c>
      <c r="H454" s="7" t="str">
        <f ca="1">VLOOKUP($D454,Name!$A:$C,3,FALSE)</f>
        <v>M</v>
      </c>
      <c r="I454" s="7" cm="1">
        <f t="array" aca="1" ref="I454" ca="1">INDEX('Marital status'!$A:$A,RANDBETWEEN(2,COUNTA('Marital status'!$A:$A)),1)</f>
        <v>2</v>
      </c>
      <c r="J454" s="7">
        <f t="shared" ca="1" si="87"/>
        <v>2</v>
      </c>
      <c r="K454" s="8">
        <f t="shared" ca="1" si="88"/>
        <v>26820</v>
      </c>
      <c r="L454" s="6">
        <f t="shared" ca="1" si="89"/>
        <v>4</v>
      </c>
      <c r="M454" s="7">
        <f ca="1" xml:space="preserve">
  IF(OR($N454 = 2, $N454 = 3, $N454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454" s="6">
        <f t="shared" ca="1" si="90"/>
        <v>6</v>
      </c>
      <c r="O454" s="6" t="e">
        <f t="shared" ca="1" si="91"/>
        <v>#N/A</v>
      </c>
      <c r="P454" s="8">
        <f t="shared" ca="1" si="92"/>
        <v>36913</v>
      </c>
      <c r="Q454" s="6">
        <f ca="1">RANDBETWEEN(2,COUNTA('Recruitment source'!$A:$A))</f>
        <v>4</v>
      </c>
      <c r="R454" s="8" t="e">
        <f t="shared" ca="1" si="93"/>
        <v>#N/A</v>
      </c>
      <c r="S454" s="6" t="e">
        <f t="shared" ca="1" si="94"/>
        <v>#N/A</v>
      </c>
      <c r="T454" s="6">
        <f t="shared" ca="1" si="84"/>
        <v>4</v>
      </c>
      <c r="U454" s="1">
        <f t="shared" ca="1" si="95"/>
        <v>885</v>
      </c>
    </row>
    <row r="455" spans="1:21" x14ac:dyDescent="0.2">
      <c r="A455" s="7" cm="1">
        <f t="array" aca="1" ref="A455" ca="1">INDEX(Companies!$A:$A,RANDBETWEEN(2,COUNTA(Companies!$A:$A)),1)</f>
        <v>2</v>
      </c>
      <c r="B455" s="5">
        <f t="shared" si="85"/>
        <v>454</v>
      </c>
      <c r="C455" s="6">
        <f t="shared" ca="1" si="86"/>
        <v>1</v>
      </c>
      <c r="D455" s="7">
        <f ca="1">IF($B455 = 1 + N("Presidente"),
    127,
    IF($B455 = 2 + N("Vice-Presidente"),
        72,
        IF($B455 = 3 + N("Secretária bilíngue"),
            13,
            RANDBETWEEN(5,COUNT(Name!$A:$A) + 1)
        )
    )
)</f>
        <v>217</v>
      </c>
      <c r="E455" s="7" t="str">
        <f ca="1" xml:space="preserve">
VLOOKUP(
  $D455,
  Name!$A:$B,
  2,
  FALSE
)
&amp; " " &amp;
IF($B455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Lara Machado Costa</v>
      </c>
      <c r="F455" s="7">
        <v>2</v>
      </c>
      <c r="G455" s="7" cm="1">
        <f t="array" aca="1" ref="G455" ca="1">INDEX(States!$B:$B,RANDBETWEEN(2,COUNTA(States!$A:$A)),1)</f>
        <v>17</v>
      </c>
      <c r="H455" s="7" t="str">
        <f ca="1">VLOOKUP($D455,Name!$A:$C,3,FALSE)</f>
        <v>F</v>
      </c>
      <c r="I455" s="7" cm="1">
        <f t="array" aca="1" ref="I455" ca="1">INDEX('Marital status'!$A:$A,RANDBETWEEN(2,COUNTA('Marital status'!$A:$A)),1)</f>
        <v>3</v>
      </c>
      <c r="J455" s="7">
        <f t="shared" ca="1" si="87"/>
        <v>3</v>
      </c>
      <c r="K455" s="8">
        <f t="shared" ca="1" si="88"/>
        <v>34307</v>
      </c>
      <c r="L455" s="6">
        <f t="shared" ca="1" si="89"/>
        <v>5</v>
      </c>
      <c r="M455" s="7">
        <f ca="1" xml:space="preserve">
  IF(OR($N455 = 2, $N455 = 3, $N455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455" s="6">
        <f t="shared" ca="1" si="90"/>
        <v>8</v>
      </c>
      <c r="O455" s="6">
        <f t="shared" ca="1" si="91"/>
        <v>2</v>
      </c>
      <c r="P455" s="8">
        <f t="shared" ca="1" si="92"/>
        <v>36974</v>
      </c>
      <c r="Q455" s="6">
        <f ca="1">RANDBETWEEN(2,COUNTA('Recruitment source'!$A:$A))</f>
        <v>11</v>
      </c>
      <c r="R455" s="8" t="e">
        <f t="shared" ca="1" si="93"/>
        <v>#N/A</v>
      </c>
      <c r="S455" s="6" t="e">
        <f t="shared" ca="1" si="94"/>
        <v>#N/A</v>
      </c>
      <c r="T455" s="6">
        <f t="shared" ca="1" si="84"/>
        <v>3</v>
      </c>
      <c r="U455" s="1">
        <f t="shared" ca="1" si="95"/>
        <v>2000</v>
      </c>
    </row>
    <row r="456" spans="1:21" x14ac:dyDescent="0.2">
      <c r="A456" s="7" cm="1">
        <f t="array" aca="1" ref="A456" ca="1">INDEX(Companies!$A:$A,RANDBETWEEN(2,COUNTA(Companies!$A:$A)),1)</f>
        <v>2</v>
      </c>
      <c r="B456" s="5">
        <f t="shared" si="85"/>
        <v>455</v>
      </c>
      <c r="C456" s="6">
        <f t="shared" ca="1" si="86"/>
        <v>1</v>
      </c>
      <c r="D456" s="7">
        <f ca="1">IF($B456 = 1 + N("Presidente"),
    127,
    IF($B456 = 2 + N("Vice-Presidente"),
        72,
        IF($B456 = 3 + N("Secretária bilíngue"),
            13,
            RANDBETWEEN(5,COUNT(Name!$A:$A) + 1)
        )
    )
)</f>
        <v>268</v>
      </c>
      <c r="E456" s="7" t="str">
        <f ca="1" xml:space="preserve">
VLOOKUP(
  $D456,
  Name!$A:$B,
  2,
  FALSE
)
&amp; " " &amp;
IF($B456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Isis Santana Arruda</v>
      </c>
      <c r="F456" s="7">
        <v>2</v>
      </c>
      <c r="G456" s="7" cm="1">
        <f t="array" aca="1" ref="G456" ca="1">INDEX(States!$B:$B,RANDBETWEEN(2,COUNTA(States!$A:$A)),1)</f>
        <v>6</v>
      </c>
      <c r="H456" s="7" t="str">
        <f ca="1">VLOOKUP($D456,Name!$A:$C,3,FALSE)</f>
        <v>F</v>
      </c>
      <c r="I456" s="7" cm="1">
        <f t="array" aca="1" ref="I456" ca="1">INDEX('Marital status'!$A:$A,RANDBETWEEN(2,COUNTA('Marital status'!$A:$A)),1)</f>
        <v>4</v>
      </c>
      <c r="J456" s="7">
        <f t="shared" ca="1" si="87"/>
        <v>5</v>
      </c>
      <c r="K456" s="8">
        <f t="shared" ca="1" si="88"/>
        <v>32011</v>
      </c>
      <c r="L456" s="6">
        <f t="shared" ca="1" si="89"/>
        <v>4</v>
      </c>
      <c r="M456" s="7">
        <f ca="1" xml:space="preserve">
  IF(OR($N456 = 2, $N456 = 3, $N456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456" s="6">
        <f t="shared" ca="1" si="90"/>
        <v>7</v>
      </c>
      <c r="O456" s="6" t="e">
        <f t="shared" ca="1" si="91"/>
        <v>#N/A</v>
      </c>
      <c r="P456" s="8">
        <f t="shared" ca="1" si="92"/>
        <v>44589</v>
      </c>
      <c r="Q456" s="6">
        <f ca="1">RANDBETWEEN(2,COUNTA('Recruitment source'!$A:$A))</f>
        <v>5</v>
      </c>
      <c r="R456" s="8" t="e">
        <f t="shared" ca="1" si="93"/>
        <v>#N/A</v>
      </c>
      <c r="S456" s="6" t="e">
        <f t="shared" ca="1" si="94"/>
        <v>#N/A</v>
      </c>
      <c r="T456" s="6">
        <f t="shared" ca="1" si="84"/>
        <v>2</v>
      </c>
      <c r="U456" s="1">
        <f t="shared" ca="1" si="95"/>
        <v>1085</v>
      </c>
    </row>
    <row r="457" spans="1:21" x14ac:dyDescent="0.2">
      <c r="A457" s="7" cm="1">
        <f t="array" aca="1" ref="A457" ca="1">INDEX(Companies!$A:$A,RANDBETWEEN(2,COUNTA(Companies!$A:$A)),1)</f>
        <v>2</v>
      </c>
      <c r="B457" s="5">
        <f t="shared" si="85"/>
        <v>456</v>
      </c>
      <c r="C457" s="6">
        <f t="shared" ca="1" si="86"/>
        <v>1</v>
      </c>
      <c r="D457" s="7">
        <f ca="1">IF($B457 = 1 + N("Presidente"),
    127,
    IF($B457 = 2 + N("Vice-Presidente"),
        72,
        IF($B457 = 3 + N("Secretária bilíngue"),
            13,
            RANDBETWEEN(5,COUNT(Name!$A:$A) + 1)
        )
    )
)</f>
        <v>227</v>
      </c>
      <c r="E457" s="7" t="str">
        <f ca="1" xml:space="preserve">
VLOOKUP(
  $D457,
  Name!$A:$B,
  2,
  FALSE
)
&amp; " " &amp;
IF($B457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Lia Morato Camões</v>
      </c>
      <c r="F457" s="7">
        <v>2</v>
      </c>
      <c r="G457" s="7" cm="1">
        <f t="array" aca="1" ref="G457" ca="1">INDEX(States!$B:$B,RANDBETWEEN(2,COUNTA(States!$A:$A)),1)</f>
        <v>14</v>
      </c>
      <c r="H457" s="7" t="str">
        <f ca="1">VLOOKUP($D457,Name!$A:$C,3,FALSE)</f>
        <v>F</v>
      </c>
      <c r="I457" s="7" cm="1">
        <f t="array" aca="1" ref="I457" ca="1">INDEX('Marital status'!$A:$A,RANDBETWEEN(2,COUNTA('Marital status'!$A:$A)),1)</f>
        <v>5</v>
      </c>
      <c r="J457" s="7">
        <f t="shared" ca="1" si="87"/>
        <v>2</v>
      </c>
      <c r="K457" s="8">
        <f t="shared" ca="1" si="88"/>
        <v>34435</v>
      </c>
      <c r="L457" s="6">
        <f t="shared" ca="1" si="89"/>
        <v>4</v>
      </c>
      <c r="M457" s="7">
        <f ca="1" xml:space="preserve">
  IF(OR($N457 = 2, $N457 = 3, $N457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457" s="6">
        <f t="shared" ca="1" si="90"/>
        <v>8</v>
      </c>
      <c r="O457" s="6">
        <f t="shared" ca="1" si="91"/>
        <v>3</v>
      </c>
      <c r="P457" s="8">
        <f t="shared" ca="1" si="92"/>
        <v>36787</v>
      </c>
      <c r="Q457" s="6">
        <f ca="1">RANDBETWEEN(2,COUNTA('Recruitment source'!$A:$A))</f>
        <v>5</v>
      </c>
      <c r="R457" s="8" t="e">
        <f t="shared" ca="1" si="93"/>
        <v>#N/A</v>
      </c>
      <c r="S457" s="6" t="e">
        <f t="shared" ca="1" si="94"/>
        <v>#N/A</v>
      </c>
      <c r="T457" s="6">
        <f t="shared" ca="1" si="84"/>
        <v>3</v>
      </c>
      <c r="U457" s="1">
        <f t="shared" ca="1" si="95"/>
        <v>2000</v>
      </c>
    </row>
    <row r="458" spans="1:21" x14ac:dyDescent="0.2">
      <c r="A458" s="7" cm="1">
        <f t="array" aca="1" ref="A458" ca="1">INDEX(Companies!$A:$A,RANDBETWEEN(2,COUNTA(Companies!$A:$A)),1)</f>
        <v>2</v>
      </c>
      <c r="B458" s="5">
        <f t="shared" si="85"/>
        <v>457</v>
      </c>
      <c r="C458" s="6">
        <f t="shared" ca="1" si="86"/>
        <v>1</v>
      </c>
      <c r="D458" s="7">
        <f ca="1">IF($B458 = 1 + N("Presidente"),
    127,
    IF($B458 = 2 + N("Vice-Presidente"),
        72,
        IF($B458 = 3 + N("Secretária bilíngue"),
            13,
            RANDBETWEEN(5,COUNT(Name!$A:$A) + 1)
        )
    )
)</f>
        <v>138</v>
      </c>
      <c r="E458" s="7" t="str">
        <f ca="1" xml:space="preserve">
VLOOKUP(
  $D458,
  Name!$A:$B,
  2,
  FALSE
)
&amp; " " &amp;
IF($B458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Freitas Figo</v>
      </c>
      <c r="F458" s="7">
        <v>2</v>
      </c>
      <c r="G458" s="7" cm="1">
        <f t="array" aca="1" ref="G458" ca="1">INDEX(States!$B:$B,RANDBETWEEN(2,COUNTA(States!$A:$A)),1)</f>
        <v>6</v>
      </c>
      <c r="H458" s="7" t="str">
        <f ca="1">VLOOKUP($D458,Name!$A:$C,3,FALSE)</f>
        <v>M</v>
      </c>
      <c r="I458" s="7" cm="1">
        <f t="array" aca="1" ref="I458" ca="1">INDEX('Marital status'!$A:$A,RANDBETWEEN(2,COUNTA('Marital status'!$A:$A)),1)</f>
        <v>6</v>
      </c>
      <c r="J458" s="7">
        <f t="shared" ca="1" si="87"/>
        <v>2</v>
      </c>
      <c r="K458" s="8">
        <f t="shared" ca="1" si="88"/>
        <v>35772</v>
      </c>
      <c r="L458" s="6">
        <f t="shared" ca="1" si="89"/>
        <v>4</v>
      </c>
      <c r="M458" s="7">
        <f ca="1" xml:space="preserve">
  IF(OR($N458 = 2, $N458 = 3, $N458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458" s="6">
        <f t="shared" ca="1" si="90"/>
        <v>7</v>
      </c>
      <c r="O458" s="6" t="e">
        <f t="shared" ca="1" si="91"/>
        <v>#N/A</v>
      </c>
      <c r="P458" s="8">
        <f t="shared" ca="1" si="92"/>
        <v>39985</v>
      </c>
      <c r="Q458" s="6">
        <f ca="1">RANDBETWEEN(2,COUNTA('Recruitment source'!$A:$A))</f>
        <v>6</v>
      </c>
      <c r="R458" s="8" t="e">
        <f t="shared" ca="1" si="93"/>
        <v>#N/A</v>
      </c>
      <c r="S458" s="6" t="e">
        <f t="shared" ca="1" si="94"/>
        <v>#N/A</v>
      </c>
      <c r="T458" s="6">
        <f t="shared" ca="1" si="84"/>
        <v>2</v>
      </c>
      <c r="U458" s="1">
        <f t="shared" ca="1" si="95"/>
        <v>1005</v>
      </c>
    </row>
    <row r="459" spans="1:21" x14ac:dyDescent="0.2">
      <c r="A459" s="7" cm="1">
        <f t="array" aca="1" ref="A459" ca="1">INDEX(Companies!$A:$A,RANDBETWEEN(2,COUNTA(Companies!$A:$A)),1)</f>
        <v>2</v>
      </c>
      <c r="B459" s="5">
        <f t="shared" si="85"/>
        <v>458</v>
      </c>
      <c r="C459" s="6">
        <f t="shared" ca="1" si="86"/>
        <v>1</v>
      </c>
      <c r="D459" s="7">
        <f ca="1">IF($B459 = 1 + N("Presidente"),
    127,
    IF($B459 = 2 + N("Vice-Presidente"),
        72,
        IF($B459 = 3 + N("Secretária bilíngue"),
            13,
            RANDBETWEEN(5,COUNT(Name!$A:$A) + 1)
        )
    )
)</f>
        <v>35</v>
      </c>
      <c r="E459" s="7" t="str">
        <f ca="1" xml:space="preserve">
VLOOKUP(
  $D459,
  Name!$A:$B,
  2,
  FALSE
)
&amp; " " &amp;
IF($B459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Luiza Alves Alvarenga</v>
      </c>
      <c r="F459" s="7">
        <v>2</v>
      </c>
      <c r="G459" s="7" cm="1">
        <f t="array" aca="1" ref="G459" ca="1">INDEX(States!$B:$B,RANDBETWEEN(2,COUNTA(States!$A:$A)),1)</f>
        <v>14</v>
      </c>
      <c r="H459" s="7" t="str">
        <f ca="1">VLOOKUP($D459,Name!$A:$C,3,FALSE)</f>
        <v>F</v>
      </c>
      <c r="I459" s="7" cm="1">
        <f t="array" aca="1" ref="I459" ca="1">INDEX('Marital status'!$A:$A,RANDBETWEEN(2,COUNTA('Marital status'!$A:$A)),1)</f>
        <v>5</v>
      </c>
      <c r="J459" s="7">
        <f t="shared" ca="1" si="87"/>
        <v>2</v>
      </c>
      <c r="K459" s="8">
        <f t="shared" ca="1" si="88"/>
        <v>33601</v>
      </c>
      <c r="L459" s="6">
        <f t="shared" ca="1" si="89"/>
        <v>5</v>
      </c>
      <c r="M459" s="7">
        <f ca="1" xml:space="preserve">
  IF(OR($N459 = 2, $N459 = 3, $N459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459" s="6">
        <f t="shared" ca="1" si="90"/>
        <v>8</v>
      </c>
      <c r="O459" s="6">
        <f t="shared" ca="1" si="91"/>
        <v>4</v>
      </c>
      <c r="P459" s="8">
        <f t="shared" ca="1" si="92"/>
        <v>40742</v>
      </c>
      <c r="Q459" s="6">
        <f ca="1">RANDBETWEEN(2,COUNTA('Recruitment source'!$A:$A))</f>
        <v>11</v>
      </c>
      <c r="R459" s="8" t="e">
        <f t="shared" ca="1" si="93"/>
        <v>#N/A</v>
      </c>
      <c r="S459" s="6" t="e">
        <f t="shared" ca="1" si="94"/>
        <v>#N/A</v>
      </c>
      <c r="T459" s="6">
        <f t="shared" ca="1" si="84"/>
        <v>2</v>
      </c>
      <c r="U459" s="1">
        <f t="shared" ca="1" si="95"/>
        <v>2000</v>
      </c>
    </row>
    <row r="460" spans="1:21" x14ac:dyDescent="0.2">
      <c r="A460" s="7" cm="1">
        <f t="array" aca="1" ref="A460" ca="1">INDEX(Companies!$A:$A,RANDBETWEEN(2,COUNTA(Companies!$A:$A)),1)</f>
        <v>2</v>
      </c>
      <c r="B460" s="5">
        <f t="shared" si="85"/>
        <v>459</v>
      </c>
      <c r="C460" s="6">
        <f t="shared" ca="1" si="86"/>
        <v>1</v>
      </c>
      <c r="D460" s="7">
        <f ca="1">IF($B460 = 1 + N("Presidente"),
    127,
    IF($B460 = 2 + N("Vice-Presidente"),
        72,
        IF($B460 = 3 + N("Secretária bilíngue"),
            13,
            RANDBETWEEN(5,COUNT(Name!$A:$A) + 1)
        )
    )
)</f>
        <v>360</v>
      </c>
      <c r="E460" s="7" t="str">
        <f ca="1" xml:space="preserve">
VLOOKUP(
  $D460,
  Name!$A:$B,
  2,
  FALSE
)
&amp; " " &amp;
IF($B460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Vitória Moraes Moreira</v>
      </c>
      <c r="F460" s="7">
        <v>2</v>
      </c>
      <c r="G460" s="7" cm="1">
        <f t="array" aca="1" ref="G460" ca="1">INDEX(States!$B:$B,RANDBETWEEN(2,COUNTA(States!$A:$A)),1)</f>
        <v>21</v>
      </c>
      <c r="H460" s="7" t="str">
        <f ca="1">VLOOKUP($D460,Name!$A:$C,3,FALSE)</f>
        <v>F</v>
      </c>
      <c r="I460" s="7" cm="1">
        <f t="array" aca="1" ref="I460" ca="1">INDEX('Marital status'!$A:$A,RANDBETWEEN(2,COUNTA('Marital status'!$A:$A)),1)</f>
        <v>4</v>
      </c>
      <c r="J460" s="7">
        <f t="shared" ca="1" si="87"/>
        <v>2</v>
      </c>
      <c r="K460" s="8">
        <f t="shared" ca="1" si="88"/>
        <v>21365</v>
      </c>
      <c r="L460" s="6">
        <f t="shared" ca="1" si="89"/>
        <v>4</v>
      </c>
      <c r="M460" s="7">
        <f ca="1" xml:space="preserve">
  IF(OR($N460 = 2, $N460 = 3, $N460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460" s="6">
        <f t="shared" ca="1" si="90"/>
        <v>6</v>
      </c>
      <c r="O460" s="6" t="e">
        <f t="shared" ca="1" si="91"/>
        <v>#N/A</v>
      </c>
      <c r="P460" s="8">
        <f t="shared" ca="1" si="92"/>
        <v>40107</v>
      </c>
      <c r="Q460" s="6">
        <f ca="1">RANDBETWEEN(2,COUNTA('Recruitment source'!$A:$A))</f>
        <v>7</v>
      </c>
      <c r="R460" s="8" t="e">
        <f t="shared" ca="1" si="93"/>
        <v>#N/A</v>
      </c>
      <c r="S460" s="6" t="e">
        <f t="shared" ca="1" si="94"/>
        <v>#N/A</v>
      </c>
      <c r="T460" s="6">
        <f t="shared" ca="1" si="84"/>
        <v>3</v>
      </c>
      <c r="U460" s="1">
        <f t="shared" ca="1" si="95"/>
        <v>885</v>
      </c>
    </row>
    <row r="461" spans="1:21" x14ac:dyDescent="0.2">
      <c r="A461" s="7" cm="1">
        <f t="array" aca="1" ref="A461" ca="1">INDEX(Companies!$A:$A,RANDBETWEEN(2,COUNTA(Companies!$A:$A)),1)</f>
        <v>2</v>
      </c>
      <c r="B461" s="5">
        <f t="shared" si="85"/>
        <v>460</v>
      </c>
      <c r="C461" s="6">
        <f t="shared" ca="1" si="86"/>
        <v>1</v>
      </c>
      <c r="D461" s="7">
        <f ca="1">IF($B461 = 1 + N("Presidente"),
    127,
    IF($B461 = 2 + N("Vice-Presidente"),
        72,
        IF($B461 = 3 + N("Secretária bilíngue"),
            13,
            RANDBETWEEN(5,COUNT(Name!$A:$A) + 1)
        )
    )
)</f>
        <v>18</v>
      </c>
      <c r="E461" s="7" t="str">
        <f ca="1" xml:space="preserve">
VLOOKUP(
  $D461,
  Name!$A:$B,
  2,
  FALSE
)
&amp; " " &amp;
IF($B461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Alícia Melo Alvaregna</v>
      </c>
      <c r="F461" s="7">
        <v>2</v>
      </c>
      <c r="G461" s="7" cm="1">
        <f t="array" aca="1" ref="G461" ca="1">INDEX(States!$B:$B,RANDBETWEEN(2,COUNTA(States!$A:$A)),1)</f>
        <v>5</v>
      </c>
      <c r="H461" s="7" t="str">
        <f ca="1">VLOOKUP($D461,Name!$A:$C,3,FALSE)</f>
        <v>F</v>
      </c>
      <c r="I461" s="7" cm="1">
        <f t="array" aca="1" ref="I461" ca="1">INDEX('Marital status'!$A:$A,RANDBETWEEN(2,COUNTA('Marital status'!$A:$A)),1)</f>
        <v>2</v>
      </c>
      <c r="J461" s="7">
        <f t="shared" ca="1" si="87"/>
        <v>2</v>
      </c>
      <c r="K461" s="8">
        <f t="shared" ca="1" si="88"/>
        <v>32797</v>
      </c>
      <c r="L461" s="6">
        <f t="shared" ca="1" si="89"/>
        <v>5</v>
      </c>
      <c r="M461" s="7">
        <f ca="1" xml:space="preserve">
  IF(OR($N461 = 2, $N461 = 3, $N461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461" s="6">
        <f t="shared" ca="1" si="90"/>
        <v>8</v>
      </c>
      <c r="O461" s="6">
        <f t="shared" ca="1" si="91"/>
        <v>2</v>
      </c>
      <c r="P461" s="8">
        <f t="shared" ca="1" si="92"/>
        <v>38080</v>
      </c>
      <c r="Q461" s="6">
        <f ca="1">RANDBETWEEN(2,COUNTA('Recruitment source'!$A:$A))</f>
        <v>11</v>
      </c>
      <c r="R461" s="8" t="e">
        <f t="shared" ca="1" si="93"/>
        <v>#N/A</v>
      </c>
      <c r="S461" s="6" t="e">
        <f t="shared" ca="1" si="94"/>
        <v>#N/A</v>
      </c>
      <c r="T461" s="6">
        <f t="shared" ca="1" si="84"/>
        <v>5</v>
      </c>
      <c r="U461" s="1">
        <f t="shared" ca="1" si="95"/>
        <v>2000</v>
      </c>
    </row>
    <row r="462" spans="1:21" x14ac:dyDescent="0.2">
      <c r="A462" s="7" cm="1">
        <f t="array" aca="1" ref="A462" ca="1">INDEX(Companies!$A:$A,RANDBETWEEN(2,COUNTA(Companies!$A:$A)),1)</f>
        <v>2</v>
      </c>
      <c r="B462" s="5">
        <f t="shared" si="85"/>
        <v>461</v>
      </c>
      <c r="C462" s="6">
        <f t="shared" ca="1" si="86"/>
        <v>1</v>
      </c>
      <c r="D462" s="7">
        <f ca="1">IF($B462 = 1 + N("Presidente"),
    127,
    IF($B462 = 2 + N("Vice-Presidente"),
        72,
        IF($B462 = 3 + N("Secretária bilíngue"),
            13,
            RANDBETWEEN(5,COUNT(Name!$A:$A) + 1)
        )
    )
)</f>
        <v>121</v>
      </c>
      <c r="E462" s="7" t="str">
        <f ca="1" xml:space="preserve">
VLOOKUP(
  $D462,
  Name!$A:$B,
  2,
  FALSE
)
&amp; " " &amp;
IF($B462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Eloá Alcantara Pedroso</v>
      </c>
      <c r="F462" s="7">
        <v>2</v>
      </c>
      <c r="G462" s="7" cm="1">
        <f t="array" aca="1" ref="G462" ca="1">INDEX(States!$B:$B,RANDBETWEEN(2,COUNTA(States!$A:$A)),1)</f>
        <v>19</v>
      </c>
      <c r="H462" s="7" t="str">
        <f ca="1">VLOOKUP($D462,Name!$A:$C,3,FALSE)</f>
        <v>F</v>
      </c>
      <c r="I462" s="7" cm="1">
        <f t="array" aca="1" ref="I462" ca="1">INDEX('Marital status'!$A:$A,RANDBETWEEN(2,COUNTA('Marital status'!$A:$A)),1)</f>
        <v>3</v>
      </c>
      <c r="J462" s="7">
        <f t="shared" ca="1" si="87"/>
        <v>4</v>
      </c>
      <c r="K462" s="8">
        <f t="shared" ca="1" si="88"/>
        <v>21991</v>
      </c>
      <c r="L462" s="6">
        <f t="shared" ca="1" si="89"/>
        <v>4</v>
      </c>
      <c r="M462" s="7">
        <f ca="1" xml:space="preserve">
  IF(OR($N462 = 2, $N462 = 3, $N462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462" s="6">
        <f t="shared" ca="1" si="90"/>
        <v>6</v>
      </c>
      <c r="O462" s="6" t="e">
        <f t="shared" ca="1" si="91"/>
        <v>#N/A</v>
      </c>
      <c r="P462" s="8">
        <f t="shared" ca="1" si="92"/>
        <v>40948</v>
      </c>
      <c r="Q462" s="6">
        <f ca="1">RANDBETWEEN(2,COUNTA('Recruitment source'!$A:$A))</f>
        <v>5</v>
      </c>
      <c r="R462" s="8" t="e">
        <f t="shared" ca="1" si="93"/>
        <v>#N/A</v>
      </c>
      <c r="S462" s="6" t="e">
        <f t="shared" ca="1" si="94"/>
        <v>#N/A</v>
      </c>
      <c r="T462" s="6">
        <f t="shared" ca="1" si="84"/>
        <v>4</v>
      </c>
      <c r="U462" s="1">
        <f t="shared" ca="1" si="95"/>
        <v>805</v>
      </c>
    </row>
    <row r="463" spans="1:21" x14ac:dyDescent="0.2">
      <c r="A463" s="7" cm="1">
        <f t="array" aca="1" ref="A463" ca="1">INDEX(Companies!$A:$A,RANDBETWEEN(2,COUNTA(Companies!$A:$A)),1)</f>
        <v>2</v>
      </c>
      <c r="B463" s="5">
        <f t="shared" si="85"/>
        <v>462</v>
      </c>
      <c r="C463" s="6">
        <f t="shared" ca="1" si="86"/>
        <v>1</v>
      </c>
      <c r="D463" s="7">
        <f ca="1">IF($B463 = 1 + N("Presidente"),
    127,
    IF($B463 = 2 + N("Vice-Presidente"),
        72,
        IF($B463 = 3 + N("Secretária bilíngue"),
            13,
            RANDBETWEEN(5,COUNT(Name!$A:$A) + 1)
        )
    )
)</f>
        <v>345</v>
      </c>
      <c r="E463" s="7" t="str">
        <f ca="1" xml:space="preserve">
VLOOKUP(
  $D463,
  Name!$A:$B,
  2,
  FALSE
)
&amp; " " &amp;
IF($B463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Tiago Ferrara Alencar</v>
      </c>
      <c r="F463" s="7">
        <v>2</v>
      </c>
      <c r="G463" s="7" cm="1">
        <f t="array" aca="1" ref="G463" ca="1">INDEX(States!$B:$B,RANDBETWEEN(2,COUNTA(States!$A:$A)),1)</f>
        <v>15</v>
      </c>
      <c r="H463" s="7" t="str">
        <f ca="1">VLOOKUP($D463,Name!$A:$C,3,FALSE)</f>
        <v>M</v>
      </c>
      <c r="I463" s="7" cm="1">
        <f t="array" aca="1" ref="I463" ca="1">INDEX('Marital status'!$A:$A,RANDBETWEEN(2,COUNTA('Marital status'!$A:$A)),1)</f>
        <v>2</v>
      </c>
      <c r="J463" s="7">
        <f t="shared" ca="1" si="87"/>
        <v>2</v>
      </c>
      <c r="K463" s="8">
        <f t="shared" ca="1" si="88"/>
        <v>33169</v>
      </c>
      <c r="L463" s="6">
        <f t="shared" ca="1" si="89"/>
        <v>5</v>
      </c>
      <c r="M463" s="7">
        <f ca="1" xml:space="preserve">
  IF(OR($N463 = 2, $N463 = 3, $N463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463" s="6">
        <f t="shared" ca="1" si="90"/>
        <v>8</v>
      </c>
      <c r="O463" s="6">
        <f t="shared" ca="1" si="91"/>
        <v>2</v>
      </c>
      <c r="P463" s="8">
        <f t="shared" ca="1" si="92"/>
        <v>38383</v>
      </c>
      <c r="Q463" s="6">
        <f ca="1">RANDBETWEEN(2,COUNTA('Recruitment source'!$A:$A))</f>
        <v>3</v>
      </c>
      <c r="R463" s="8" t="e">
        <f t="shared" ca="1" si="93"/>
        <v>#N/A</v>
      </c>
      <c r="S463" s="6" t="e">
        <f t="shared" ca="1" si="94"/>
        <v>#N/A</v>
      </c>
      <c r="T463" s="6">
        <f t="shared" ca="1" si="84"/>
        <v>4</v>
      </c>
      <c r="U463" s="1">
        <f t="shared" ca="1" si="95"/>
        <v>2000</v>
      </c>
    </row>
    <row r="464" spans="1:21" x14ac:dyDescent="0.2">
      <c r="A464" s="7" cm="1">
        <f t="array" aca="1" ref="A464" ca="1">INDEX(Companies!$A:$A,RANDBETWEEN(2,COUNTA(Companies!$A:$A)),1)</f>
        <v>2</v>
      </c>
      <c r="B464" s="5">
        <f t="shared" si="85"/>
        <v>463</v>
      </c>
      <c r="C464" s="6">
        <f t="shared" ca="1" si="86"/>
        <v>1</v>
      </c>
      <c r="D464" s="7">
        <f ca="1">IF($B464 = 1 + N("Presidente"),
    127,
    IF($B464 = 2 + N("Vice-Presidente"),
        72,
        IF($B464 = 3 + N("Secretária bilíngue"),
            13,
            RANDBETWEEN(5,COUNT(Name!$A:$A) + 1)
        )
    )
)</f>
        <v>359</v>
      </c>
      <c r="E464" s="7" t="str">
        <f ca="1" xml:space="preserve">
VLOOKUP(
  $D464,
  Name!$A:$B,
  2,
  FALSE
)
&amp; " " &amp;
IF($B464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Vitor Vieira Pinto</v>
      </c>
      <c r="F464" s="7">
        <v>2</v>
      </c>
      <c r="G464" s="7" cm="1">
        <f t="array" aca="1" ref="G464" ca="1">INDEX(States!$B:$B,RANDBETWEEN(2,COUNTA(States!$A:$A)),1)</f>
        <v>3</v>
      </c>
      <c r="H464" s="7" t="str">
        <f ca="1">VLOOKUP($D464,Name!$A:$C,3,FALSE)</f>
        <v>M</v>
      </c>
      <c r="I464" s="7" cm="1">
        <f t="array" aca="1" ref="I464" ca="1">INDEX('Marital status'!$A:$A,RANDBETWEEN(2,COUNTA('Marital status'!$A:$A)),1)</f>
        <v>4</v>
      </c>
      <c r="J464" s="7">
        <f t="shared" ca="1" si="87"/>
        <v>2</v>
      </c>
      <c r="K464" s="8">
        <f t="shared" ca="1" si="88"/>
        <v>31192</v>
      </c>
      <c r="L464" s="6">
        <f t="shared" ca="1" si="89"/>
        <v>4</v>
      </c>
      <c r="M464" s="7">
        <f ca="1" xml:space="preserve">
  IF(OR($N464 = 2, $N464 = 3, $N464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464" s="6">
        <f t="shared" ca="1" si="90"/>
        <v>7</v>
      </c>
      <c r="O464" s="6" t="e">
        <f t="shared" ca="1" si="91"/>
        <v>#N/A</v>
      </c>
      <c r="P464" s="8">
        <f t="shared" ca="1" si="92"/>
        <v>40340</v>
      </c>
      <c r="Q464" s="6">
        <f ca="1">RANDBETWEEN(2,COUNTA('Recruitment source'!$A:$A))</f>
        <v>2</v>
      </c>
      <c r="R464" s="8" t="e">
        <f t="shared" ca="1" si="93"/>
        <v>#N/A</v>
      </c>
      <c r="S464" s="6" t="e">
        <f t="shared" ca="1" si="94"/>
        <v>#N/A</v>
      </c>
      <c r="T464" s="6">
        <f t="shared" ca="1" si="84"/>
        <v>3</v>
      </c>
      <c r="U464" s="1">
        <f t="shared" ca="1" si="95"/>
        <v>1005</v>
      </c>
    </row>
    <row r="465" spans="1:21" x14ac:dyDescent="0.2">
      <c r="A465" s="7" cm="1">
        <f t="array" aca="1" ref="A465" ca="1">INDEX(Companies!$A:$A,RANDBETWEEN(2,COUNTA(Companies!$A:$A)),1)</f>
        <v>2</v>
      </c>
      <c r="B465" s="5">
        <f t="shared" si="85"/>
        <v>464</v>
      </c>
      <c r="C465" s="6">
        <f t="shared" ca="1" si="86"/>
        <v>1</v>
      </c>
      <c r="D465" s="7">
        <f ca="1">IF($B465 = 1 + N("Presidente"),
    127,
    IF($B465 = 2 + N("Vice-Presidente"),
        72,
        IF($B465 = 3 + N("Secretária bilíngue"),
            13,
            RANDBETWEEN(5,COUNT(Name!$A:$A) + 1)
        )
    )
)</f>
        <v>231</v>
      </c>
      <c r="E465" s="7" t="str">
        <f ca="1" xml:space="preserve">
VLOOKUP(
  $D465,
  Name!$A:$B,
  2,
  FALSE
)
&amp; " " &amp;
IF($B465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Lorenna Lopes Caminha</v>
      </c>
      <c r="F465" s="7">
        <v>2</v>
      </c>
      <c r="G465" s="7" cm="1">
        <f t="array" aca="1" ref="G465" ca="1">INDEX(States!$B:$B,RANDBETWEEN(2,COUNTA(States!$A:$A)),1)</f>
        <v>5</v>
      </c>
      <c r="H465" s="7" t="str">
        <f ca="1">VLOOKUP($D465,Name!$A:$C,3,FALSE)</f>
        <v>F</v>
      </c>
      <c r="I465" s="7" cm="1">
        <f t="array" aca="1" ref="I465" ca="1">INDEX('Marital status'!$A:$A,RANDBETWEEN(2,COUNTA('Marital status'!$A:$A)),1)</f>
        <v>5</v>
      </c>
      <c r="J465" s="7">
        <f t="shared" ca="1" si="87"/>
        <v>2</v>
      </c>
      <c r="K465" s="8">
        <f t="shared" ca="1" si="88"/>
        <v>35812</v>
      </c>
      <c r="L465" s="6">
        <f t="shared" ca="1" si="89"/>
        <v>5</v>
      </c>
      <c r="M465" s="7">
        <f ca="1" xml:space="preserve">
  IF(OR($N465 = 2, $N465 = 3, $N465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465" s="6">
        <f t="shared" ca="1" si="90"/>
        <v>8</v>
      </c>
      <c r="O465" s="6">
        <f t="shared" ca="1" si="91"/>
        <v>4</v>
      </c>
      <c r="P465" s="8">
        <f t="shared" ca="1" si="92"/>
        <v>38724</v>
      </c>
      <c r="Q465" s="6">
        <f ca="1">RANDBETWEEN(2,COUNTA('Recruitment source'!$A:$A))</f>
        <v>6</v>
      </c>
      <c r="R465" s="8" t="e">
        <f t="shared" ca="1" si="93"/>
        <v>#N/A</v>
      </c>
      <c r="S465" s="6" t="e">
        <f t="shared" ca="1" si="94"/>
        <v>#N/A</v>
      </c>
      <c r="T465" s="6">
        <f t="shared" ca="1" si="84"/>
        <v>5</v>
      </c>
      <c r="U465" s="1">
        <f t="shared" ca="1" si="95"/>
        <v>2000</v>
      </c>
    </row>
    <row r="466" spans="1:21" x14ac:dyDescent="0.2">
      <c r="A466" s="7" cm="1">
        <f t="array" aca="1" ref="A466" ca="1">INDEX(Companies!$A:$A,RANDBETWEEN(2,COUNTA(Companies!$A:$A)),1)</f>
        <v>2</v>
      </c>
      <c r="B466" s="5">
        <f t="shared" si="85"/>
        <v>465</v>
      </c>
      <c r="C466" s="6">
        <f t="shared" ca="1" si="86"/>
        <v>1</v>
      </c>
      <c r="D466" s="7">
        <f ca="1">IF($B466 = 1 + N("Presidente"),
    127,
    IF($B466 = 2 + N("Vice-Presidente"),
        72,
        IF($B466 = 3 + N("Secretária bilíngue"),
            13,
            RANDBETWEEN(5,COUNT(Name!$A:$A) + 1)
        )
    )
)</f>
        <v>88</v>
      </c>
      <c r="E466" s="7" t="str">
        <f ca="1" xml:space="preserve">
VLOOKUP(
  $D466,
  Name!$A:$B,
  2,
  FALSE
)
&amp; " " &amp;
IF($B466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Catarina Aragão Fernandes</v>
      </c>
      <c r="F466" s="7">
        <v>2</v>
      </c>
      <c r="G466" s="7" cm="1">
        <f t="array" aca="1" ref="G466" ca="1">INDEX(States!$B:$B,RANDBETWEEN(2,COUNTA(States!$A:$A)),1)</f>
        <v>9</v>
      </c>
      <c r="H466" s="7" t="str">
        <f ca="1">VLOOKUP($D466,Name!$A:$C,3,FALSE)</f>
        <v>F</v>
      </c>
      <c r="I466" s="7" cm="1">
        <f t="array" aca="1" ref="I466" ca="1">INDEX('Marital status'!$A:$A,RANDBETWEEN(2,COUNTA('Marital status'!$A:$A)),1)</f>
        <v>3</v>
      </c>
      <c r="J466" s="7">
        <f t="shared" ca="1" si="87"/>
        <v>2</v>
      </c>
      <c r="K466" s="8">
        <f t="shared" ca="1" si="88"/>
        <v>31770</v>
      </c>
      <c r="L466" s="6">
        <f t="shared" ca="1" si="89"/>
        <v>4</v>
      </c>
      <c r="M466" s="7">
        <f ca="1" xml:space="preserve">
  IF(OR($N466 = 2, $N466 = 3, $N466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466" s="6">
        <f t="shared" ca="1" si="90"/>
        <v>6</v>
      </c>
      <c r="O466" s="6" t="e">
        <f t="shared" ca="1" si="91"/>
        <v>#N/A</v>
      </c>
      <c r="P466" s="8">
        <f t="shared" ca="1" si="92"/>
        <v>36976</v>
      </c>
      <c r="Q466" s="6">
        <f ca="1">RANDBETWEEN(2,COUNTA('Recruitment source'!$A:$A))</f>
        <v>3</v>
      </c>
      <c r="R466" s="8" t="e">
        <f t="shared" ca="1" si="93"/>
        <v>#N/A</v>
      </c>
      <c r="S466" s="6" t="e">
        <f t="shared" ca="1" si="94"/>
        <v>#N/A</v>
      </c>
      <c r="T466" s="6">
        <f t="shared" ca="1" si="84"/>
        <v>3</v>
      </c>
      <c r="U466" s="1">
        <f t="shared" ca="1" si="95"/>
        <v>805</v>
      </c>
    </row>
    <row r="467" spans="1:21" x14ac:dyDescent="0.2">
      <c r="A467" s="7" cm="1">
        <f t="array" aca="1" ref="A467" ca="1">INDEX(Companies!$A:$A,RANDBETWEEN(2,COUNTA(Companies!$A:$A)),1)</f>
        <v>2</v>
      </c>
      <c r="B467" s="5">
        <f t="shared" si="85"/>
        <v>466</v>
      </c>
      <c r="C467" s="6">
        <f t="shared" ca="1" si="86"/>
        <v>1</v>
      </c>
      <c r="D467" s="7">
        <f ca="1">IF($B467 = 1 + N("Presidente"),
    127,
    IF($B467 = 2 + N("Vice-Presidente"),
        72,
        IF($B467 = 3 + N("Secretária bilíngue"),
            13,
            RANDBETWEEN(5,COUNT(Name!$A:$A) + 1)
        )
    )
)</f>
        <v>274</v>
      </c>
      <c r="E467" s="7" t="str">
        <f ca="1" xml:space="preserve">
VLOOKUP(
  $D467,
  Name!$A:$B,
  2,
  FALSE
)
&amp; " " &amp;
IF($B467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Valentina Farias Teixeira</v>
      </c>
      <c r="F467" s="7">
        <v>2</v>
      </c>
      <c r="G467" s="7" cm="1">
        <f t="array" aca="1" ref="G467" ca="1">INDEX(States!$B:$B,RANDBETWEEN(2,COUNTA(States!$A:$A)),1)</f>
        <v>16</v>
      </c>
      <c r="H467" s="7" t="str">
        <f ca="1">VLOOKUP($D467,Name!$A:$C,3,FALSE)</f>
        <v>F</v>
      </c>
      <c r="I467" s="7" cm="1">
        <f t="array" aca="1" ref="I467" ca="1">INDEX('Marital status'!$A:$A,RANDBETWEEN(2,COUNTA('Marital status'!$A:$A)),1)</f>
        <v>5</v>
      </c>
      <c r="J467" s="7">
        <f t="shared" ca="1" si="87"/>
        <v>2</v>
      </c>
      <c r="K467" s="8">
        <f t="shared" ca="1" si="88"/>
        <v>36922</v>
      </c>
      <c r="L467" s="6">
        <f t="shared" ca="1" si="89"/>
        <v>5</v>
      </c>
      <c r="M467" s="7">
        <f ca="1" xml:space="preserve">
  IF(OR($N467 = 2, $N467 = 3, $N467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467" s="6">
        <f t="shared" ca="1" si="90"/>
        <v>8</v>
      </c>
      <c r="O467" s="6">
        <f t="shared" ca="1" si="91"/>
        <v>2</v>
      </c>
      <c r="P467" s="8">
        <f t="shared" ca="1" si="92"/>
        <v>39608</v>
      </c>
      <c r="Q467" s="6">
        <f ca="1">RANDBETWEEN(2,COUNTA('Recruitment source'!$A:$A))</f>
        <v>9</v>
      </c>
      <c r="R467" s="8" t="e">
        <f t="shared" ca="1" si="93"/>
        <v>#N/A</v>
      </c>
      <c r="S467" s="6" t="e">
        <f t="shared" ca="1" si="94"/>
        <v>#N/A</v>
      </c>
      <c r="T467" s="6">
        <f t="shared" ca="1" si="84"/>
        <v>3</v>
      </c>
      <c r="U467" s="1">
        <f t="shared" ca="1" si="95"/>
        <v>2000</v>
      </c>
    </row>
    <row r="468" spans="1:21" x14ac:dyDescent="0.2">
      <c r="A468" s="7" cm="1">
        <f t="array" aca="1" ref="A468" ca="1">INDEX(Companies!$A:$A,RANDBETWEEN(2,COUNTA(Companies!$A:$A)),1)</f>
        <v>2</v>
      </c>
      <c r="B468" s="5">
        <f t="shared" si="85"/>
        <v>467</v>
      </c>
      <c r="C468" s="6">
        <f t="shared" ca="1" si="86"/>
        <v>1</v>
      </c>
      <c r="D468" s="7">
        <f ca="1">IF($B468 = 1 + N("Presidente"),
    127,
    IF($B468 = 2 + N("Vice-Presidente"),
        72,
        IF($B468 = 3 + N("Secretária bilíngue"),
            13,
            RANDBETWEEN(5,COUNT(Name!$A:$A) + 1)
        )
    )
)</f>
        <v>82</v>
      </c>
      <c r="E468" s="7" t="str">
        <f ca="1" xml:space="preserve">
VLOOKUP(
  $D468,
  Name!$A:$B,
  2,
  FALSE
)
&amp; " " &amp;
IF($B468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Caleb Azeredo Ramos</v>
      </c>
      <c r="F468" s="7">
        <v>2</v>
      </c>
      <c r="G468" s="7" cm="1">
        <f t="array" aca="1" ref="G468" ca="1">INDEX(States!$B:$B,RANDBETWEEN(2,COUNTA(States!$A:$A)),1)</f>
        <v>13</v>
      </c>
      <c r="H468" s="7" t="str">
        <f ca="1">VLOOKUP($D468,Name!$A:$C,3,FALSE)</f>
        <v>M</v>
      </c>
      <c r="I468" s="7" cm="1">
        <f t="array" aca="1" ref="I468" ca="1">INDEX('Marital status'!$A:$A,RANDBETWEEN(2,COUNTA('Marital status'!$A:$A)),1)</f>
        <v>3</v>
      </c>
      <c r="J468" s="7">
        <f t="shared" ca="1" si="87"/>
        <v>2</v>
      </c>
      <c r="K468" s="8">
        <f t="shared" ca="1" si="88"/>
        <v>28792</v>
      </c>
      <c r="L468" s="6">
        <f t="shared" ca="1" si="89"/>
        <v>4</v>
      </c>
      <c r="M468" s="7">
        <f ca="1" xml:space="preserve">
  IF(OR($N468 = 2, $N468 = 3, $N468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468" s="6">
        <f t="shared" ca="1" si="90"/>
        <v>7</v>
      </c>
      <c r="O468" s="6" t="e">
        <f t="shared" ca="1" si="91"/>
        <v>#N/A</v>
      </c>
      <c r="P468" s="8">
        <f t="shared" ca="1" si="92"/>
        <v>40245</v>
      </c>
      <c r="Q468" s="6">
        <f ca="1">RANDBETWEEN(2,COUNTA('Recruitment source'!$A:$A))</f>
        <v>6</v>
      </c>
      <c r="R468" s="8" t="e">
        <f t="shared" ca="1" si="93"/>
        <v>#N/A</v>
      </c>
      <c r="S468" s="6" t="e">
        <f t="shared" ca="1" si="94"/>
        <v>#N/A</v>
      </c>
      <c r="T468" s="6">
        <f t="shared" ca="1" si="84"/>
        <v>3</v>
      </c>
      <c r="U468" s="1">
        <f t="shared" ca="1" si="95"/>
        <v>1005</v>
      </c>
    </row>
    <row r="469" spans="1:21" x14ac:dyDescent="0.2">
      <c r="A469" s="7" cm="1">
        <f t="array" aca="1" ref="A469" ca="1">INDEX(Companies!$A:$A,RANDBETWEEN(2,COUNTA(Companies!$A:$A)),1)</f>
        <v>2</v>
      </c>
      <c r="B469" s="5">
        <f t="shared" si="85"/>
        <v>468</v>
      </c>
      <c r="C469" s="6">
        <f t="shared" ca="1" si="86"/>
        <v>1</v>
      </c>
      <c r="D469" s="7">
        <f ca="1">IF($B469 = 1 + N("Presidente"),
    127,
    IF($B469 = 2 + N("Vice-Presidente"),
        72,
        IF($B469 = 3 + N("Secretária bilíngue"),
            13,
            RANDBETWEEN(5,COUNT(Name!$A:$A) + 1)
        )
    )
)</f>
        <v>220</v>
      </c>
      <c r="E469" s="7" t="str">
        <f ca="1" xml:space="preserve">
VLOOKUP(
  $D469,
  Name!$A:$B,
  2,
  FALSE
)
&amp; " " &amp;
IF($B469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Laura dos Santos Cândido</v>
      </c>
      <c r="F469" s="7">
        <v>2</v>
      </c>
      <c r="G469" s="7" cm="1">
        <f t="array" aca="1" ref="G469" ca="1">INDEX(States!$B:$B,RANDBETWEEN(2,COUNTA(States!$A:$A)),1)</f>
        <v>14</v>
      </c>
      <c r="H469" s="7" t="str">
        <f ca="1">VLOOKUP($D469,Name!$A:$C,3,FALSE)</f>
        <v>F</v>
      </c>
      <c r="I469" s="7" cm="1">
        <f t="array" aca="1" ref="I469" ca="1">INDEX('Marital status'!$A:$A,RANDBETWEEN(2,COUNTA('Marital status'!$A:$A)),1)</f>
        <v>3</v>
      </c>
      <c r="J469" s="7">
        <f t="shared" ca="1" si="87"/>
        <v>3</v>
      </c>
      <c r="K469" s="8">
        <f t="shared" ca="1" si="88"/>
        <v>36225</v>
      </c>
      <c r="L469" s="6">
        <f t="shared" ca="1" si="89"/>
        <v>5</v>
      </c>
      <c r="M469" s="7">
        <f ca="1" xml:space="preserve">
  IF(OR($N469 = 2, $N469 = 3, $N469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469" s="6">
        <f t="shared" ca="1" si="90"/>
        <v>8</v>
      </c>
      <c r="O469" s="6">
        <f t="shared" ca="1" si="91"/>
        <v>4</v>
      </c>
      <c r="P469" s="8">
        <f t="shared" ca="1" si="92"/>
        <v>40086</v>
      </c>
      <c r="Q469" s="6">
        <f ca="1">RANDBETWEEN(2,COUNTA('Recruitment source'!$A:$A))</f>
        <v>6</v>
      </c>
      <c r="R469" s="8" t="e">
        <f t="shared" ca="1" si="93"/>
        <v>#N/A</v>
      </c>
      <c r="S469" s="6" t="e">
        <f t="shared" ca="1" si="94"/>
        <v>#N/A</v>
      </c>
      <c r="T469" s="6">
        <f t="shared" ca="1" si="84"/>
        <v>5</v>
      </c>
      <c r="U469" s="1">
        <f t="shared" ca="1" si="95"/>
        <v>2000</v>
      </c>
    </row>
    <row r="470" spans="1:21" x14ac:dyDescent="0.2">
      <c r="A470" s="7" cm="1">
        <f t="array" aca="1" ref="A470" ca="1">INDEX(Companies!$A:$A,RANDBETWEEN(2,COUNTA(Companies!$A:$A)),1)</f>
        <v>2</v>
      </c>
      <c r="B470" s="5">
        <f t="shared" si="85"/>
        <v>469</v>
      </c>
      <c r="C470" s="6">
        <f t="shared" ca="1" si="86"/>
        <v>1</v>
      </c>
      <c r="D470" s="7">
        <f ca="1">IF($B470 = 1 + N("Presidente"),
    127,
    IF($B470 = 2 + N("Vice-Presidente"),
        72,
        IF($B470 = 3 + N("Secretária bilíngue"),
            13,
            RANDBETWEEN(5,COUNT(Name!$A:$A) + 1)
        )
    )
)</f>
        <v>346</v>
      </c>
      <c r="E470" s="7" t="str">
        <f ca="1" xml:space="preserve">
VLOOKUP(
  $D470,
  Name!$A:$B,
  2,
  FALSE
)
&amp; " " &amp;
IF($B470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Tomas Noronha Pedrosa</v>
      </c>
      <c r="F470" s="7">
        <v>2</v>
      </c>
      <c r="G470" s="7" cm="1">
        <f t="array" aca="1" ref="G470" ca="1">INDEX(States!$B:$B,RANDBETWEEN(2,COUNTA(States!$A:$A)),1)</f>
        <v>20</v>
      </c>
      <c r="H470" s="7" t="str">
        <f ca="1">VLOOKUP($D470,Name!$A:$C,3,FALSE)</f>
        <v>M</v>
      </c>
      <c r="I470" s="7" cm="1">
        <f t="array" aca="1" ref="I470" ca="1">INDEX('Marital status'!$A:$A,RANDBETWEEN(2,COUNTA('Marital status'!$A:$A)),1)</f>
        <v>2</v>
      </c>
      <c r="J470" s="7">
        <f t="shared" ca="1" si="87"/>
        <v>2</v>
      </c>
      <c r="K470" s="8">
        <f t="shared" ca="1" si="88"/>
        <v>30029</v>
      </c>
      <c r="L470" s="6">
        <f t="shared" ca="1" si="89"/>
        <v>4</v>
      </c>
      <c r="M470" s="7">
        <f ca="1" xml:space="preserve">
  IF(OR($N470 = 2, $N470 = 3, $N470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470" s="6">
        <f t="shared" ca="1" si="90"/>
        <v>7</v>
      </c>
      <c r="O470" s="6" t="e">
        <f t="shared" ca="1" si="91"/>
        <v>#N/A</v>
      </c>
      <c r="P470" s="8">
        <f t="shared" ca="1" si="92"/>
        <v>38257</v>
      </c>
      <c r="Q470" s="6">
        <f ca="1">RANDBETWEEN(2,COUNTA('Recruitment source'!$A:$A))</f>
        <v>4</v>
      </c>
      <c r="R470" s="8" t="e">
        <f t="shared" ca="1" si="93"/>
        <v>#N/A</v>
      </c>
      <c r="S470" s="6" t="e">
        <f t="shared" ca="1" si="94"/>
        <v>#N/A</v>
      </c>
      <c r="T470" s="6">
        <f t="shared" ca="1" si="84"/>
        <v>2</v>
      </c>
      <c r="U470" s="1">
        <f t="shared" ca="1" si="95"/>
        <v>1005</v>
      </c>
    </row>
    <row r="471" spans="1:21" x14ac:dyDescent="0.2">
      <c r="A471" s="7" cm="1">
        <f t="array" aca="1" ref="A471" ca="1">INDEX(Companies!$A:$A,RANDBETWEEN(2,COUNTA(Companies!$A:$A)),1)</f>
        <v>2</v>
      </c>
      <c r="B471" s="5">
        <f t="shared" si="85"/>
        <v>470</v>
      </c>
      <c r="C471" s="6">
        <f t="shared" ca="1" si="86"/>
        <v>1</v>
      </c>
      <c r="D471" s="7">
        <f ca="1">IF($B471 = 1 + N("Presidente"),
    127,
    IF($B471 = 2 + N("Vice-Presidente"),
        72,
        IF($B471 = 3 + N("Secretária bilíngue"),
            13,
            RANDBETWEEN(5,COUNT(Name!$A:$A) + 1)
        )
    )
)</f>
        <v>283</v>
      </c>
      <c r="E471" s="7" t="str">
        <f ca="1" xml:space="preserve">
VLOOKUP(
  $D471,
  Name!$A:$B,
  2,
  FALSE
)
&amp; " " &amp;
IF($B471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Marta Pimentel Ricci</v>
      </c>
      <c r="F471" s="7">
        <v>2</v>
      </c>
      <c r="G471" s="7" cm="1">
        <f t="array" aca="1" ref="G471" ca="1">INDEX(States!$B:$B,RANDBETWEEN(2,COUNTA(States!$A:$A)),1)</f>
        <v>17</v>
      </c>
      <c r="H471" s="7" t="str">
        <f ca="1">VLOOKUP($D471,Name!$A:$C,3,FALSE)</f>
        <v>F</v>
      </c>
      <c r="I471" s="7" cm="1">
        <f t="array" aca="1" ref="I471" ca="1">INDEX('Marital status'!$A:$A,RANDBETWEEN(2,COUNTA('Marital status'!$A:$A)),1)</f>
        <v>2</v>
      </c>
      <c r="J471" s="7">
        <f t="shared" ca="1" si="87"/>
        <v>2</v>
      </c>
      <c r="K471" s="8">
        <f t="shared" ca="1" si="88"/>
        <v>36962</v>
      </c>
      <c r="L471" s="6">
        <f t="shared" ca="1" si="89"/>
        <v>4</v>
      </c>
      <c r="M471" s="7">
        <f ca="1" xml:space="preserve">
  IF(OR($N471 = 2, $N471 = 3, $N471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471" s="6">
        <f t="shared" ca="1" si="90"/>
        <v>8</v>
      </c>
      <c r="O471" s="6">
        <f t="shared" ca="1" si="91"/>
        <v>4</v>
      </c>
      <c r="P471" s="8">
        <f t="shared" ca="1" si="92"/>
        <v>43905</v>
      </c>
      <c r="Q471" s="6">
        <f ca="1">RANDBETWEEN(2,COUNTA('Recruitment source'!$A:$A))</f>
        <v>7</v>
      </c>
      <c r="R471" s="8" t="e">
        <f t="shared" ca="1" si="93"/>
        <v>#N/A</v>
      </c>
      <c r="S471" s="6" t="e">
        <f t="shared" ca="1" si="94"/>
        <v>#N/A</v>
      </c>
      <c r="T471" s="6">
        <f t="shared" ca="1" si="84"/>
        <v>4</v>
      </c>
      <c r="U471" s="1">
        <f t="shared" ca="1" si="95"/>
        <v>2000</v>
      </c>
    </row>
    <row r="472" spans="1:21" x14ac:dyDescent="0.2">
      <c r="A472" s="7" cm="1">
        <f t="array" aca="1" ref="A472" ca="1">INDEX(Companies!$A:$A,RANDBETWEEN(2,COUNTA(Companies!$A:$A)),1)</f>
        <v>2</v>
      </c>
      <c r="B472" s="5">
        <f t="shared" si="85"/>
        <v>471</v>
      </c>
      <c r="C472" s="6">
        <f t="shared" ca="1" si="86"/>
        <v>1</v>
      </c>
      <c r="D472" s="7">
        <f ca="1">IF($B472 = 1 + N("Presidente"),
    127,
    IF($B472 = 2 + N("Vice-Presidente"),
        72,
        IF($B472 = 3 + N("Secretária bilíngue"),
            13,
            RANDBETWEEN(5,COUNT(Name!$A:$A) + 1)
        )
    )
)</f>
        <v>50</v>
      </c>
      <c r="E472" s="7" t="str">
        <f ca="1" xml:space="preserve">
VLOOKUP(
  $D472,
  Name!$A:$B,
  2,
  FALSE
)
&amp; " " &amp;
IF($B472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Antonella Trindade Trindade</v>
      </c>
      <c r="F472" s="7">
        <v>2</v>
      </c>
      <c r="G472" s="7" cm="1">
        <f t="array" aca="1" ref="G472" ca="1">INDEX(States!$B:$B,RANDBETWEEN(2,COUNTA(States!$A:$A)),1)</f>
        <v>10</v>
      </c>
      <c r="H472" s="7" t="str">
        <f ca="1">VLOOKUP($D472,Name!$A:$C,3,FALSE)</f>
        <v>F</v>
      </c>
      <c r="I472" s="7" cm="1">
        <f t="array" aca="1" ref="I472" ca="1">INDEX('Marital status'!$A:$A,RANDBETWEEN(2,COUNTA('Marital status'!$A:$A)),1)</f>
        <v>3</v>
      </c>
      <c r="J472" s="7">
        <f t="shared" ca="1" si="87"/>
        <v>2</v>
      </c>
      <c r="K472" s="8">
        <f t="shared" ca="1" si="88"/>
        <v>29258</v>
      </c>
      <c r="L472" s="6">
        <f t="shared" ca="1" si="89"/>
        <v>4</v>
      </c>
      <c r="M472" s="7">
        <f ca="1" xml:space="preserve">
  IF(OR($N472 = 2, $N472 = 3, $N472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472" s="6">
        <f t="shared" ca="1" si="90"/>
        <v>6</v>
      </c>
      <c r="O472" s="6" t="e">
        <f t="shared" ca="1" si="91"/>
        <v>#N/A</v>
      </c>
      <c r="P472" s="8">
        <f t="shared" ca="1" si="92"/>
        <v>40187</v>
      </c>
      <c r="Q472" s="6">
        <f ca="1">RANDBETWEEN(2,COUNTA('Recruitment source'!$A:$A))</f>
        <v>10</v>
      </c>
      <c r="R472" s="8" t="e">
        <f t="shared" ca="1" si="93"/>
        <v>#N/A</v>
      </c>
      <c r="S472" s="6" t="e">
        <f t="shared" ca="1" si="94"/>
        <v>#N/A</v>
      </c>
      <c r="T472" s="6">
        <f t="shared" ca="1" si="84"/>
        <v>5</v>
      </c>
      <c r="U472" s="1">
        <f t="shared" ca="1" si="95"/>
        <v>805</v>
      </c>
    </row>
    <row r="473" spans="1:21" x14ac:dyDescent="0.2">
      <c r="A473" s="7" cm="1">
        <f t="array" aca="1" ref="A473" ca="1">INDEX(Companies!$A:$A,RANDBETWEEN(2,COUNTA(Companies!$A:$A)),1)</f>
        <v>2</v>
      </c>
      <c r="B473" s="5">
        <f t="shared" si="85"/>
        <v>472</v>
      </c>
      <c r="C473" s="6">
        <f t="shared" ca="1" si="86"/>
        <v>1</v>
      </c>
      <c r="D473" s="7">
        <f ca="1">IF($B473 = 1 + N("Presidente"),
    127,
    IF($B473 = 2 + N("Vice-Presidente"),
        72,
        IF($B473 = 3 + N("Secretária bilíngue"),
            13,
            RANDBETWEEN(5,COUNT(Name!$A:$A) + 1)
        )
    )
)</f>
        <v>280</v>
      </c>
      <c r="E473" s="7" t="str">
        <f ca="1" xml:space="preserve">
VLOOKUP(
  $D473,
  Name!$A:$B,
  2,
  FALSE
)
&amp; " " &amp;
IF($B473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Marianna Marino Brasil</v>
      </c>
      <c r="F473" s="7">
        <v>2</v>
      </c>
      <c r="G473" s="7" cm="1">
        <f t="array" aca="1" ref="G473" ca="1">INDEX(States!$B:$B,RANDBETWEEN(2,COUNTA(States!$A:$A)),1)</f>
        <v>6</v>
      </c>
      <c r="H473" s="7" t="str">
        <f ca="1">VLOOKUP($D473,Name!$A:$C,3,FALSE)</f>
        <v>F</v>
      </c>
      <c r="I473" s="7" cm="1">
        <f t="array" aca="1" ref="I473" ca="1">INDEX('Marital status'!$A:$A,RANDBETWEEN(2,COUNTA('Marital status'!$A:$A)),1)</f>
        <v>3</v>
      </c>
      <c r="J473" s="7">
        <f t="shared" ca="1" si="87"/>
        <v>4</v>
      </c>
      <c r="K473" s="8">
        <f t="shared" ca="1" si="88"/>
        <v>37491</v>
      </c>
      <c r="L473" s="6">
        <f t="shared" ca="1" si="89"/>
        <v>5</v>
      </c>
      <c r="M473" s="7">
        <f ca="1" xml:space="preserve">
  IF(OR($N473 = 2, $N473 = 3, $N473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473" s="6">
        <f t="shared" ca="1" si="90"/>
        <v>8</v>
      </c>
      <c r="O473" s="6">
        <f t="shared" ca="1" si="91"/>
        <v>3</v>
      </c>
      <c r="P473" s="8">
        <f t="shared" ca="1" si="92"/>
        <v>36860</v>
      </c>
      <c r="Q473" s="6">
        <f ca="1">RANDBETWEEN(2,COUNTA('Recruitment source'!$A:$A))</f>
        <v>8</v>
      </c>
      <c r="R473" s="8" t="e">
        <f t="shared" ca="1" si="93"/>
        <v>#N/A</v>
      </c>
      <c r="S473" s="6" t="e">
        <f t="shared" ca="1" si="94"/>
        <v>#N/A</v>
      </c>
      <c r="T473" s="6">
        <f t="shared" ca="1" si="84"/>
        <v>2</v>
      </c>
      <c r="U473" s="1">
        <f t="shared" ca="1" si="95"/>
        <v>2080</v>
      </c>
    </row>
    <row r="474" spans="1:21" x14ac:dyDescent="0.2">
      <c r="A474" s="7" cm="1">
        <f t="array" aca="1" ref="A474" ca="1">INDEX(Companies!$A:$A,RANDBETWEEN(2,COUNTA(Companies!$A:$A)),1)</f>
        <v>2</v>
      </c>
      <c r="B474" s="5">
        <f t="shared" si="85"/>
        <v>473</v>
      </c>
      <c r="C474" s="6">
        <f t="shared" ca="1" si="86"/>
        <v>1</v>
      </c>
      <c r="D474" s="7">
        <f ca="1">IF($B474 = 1 + N("Presidente"),
    127,
    IF($B474 = 2 + N("Vice-Presidente"),
        72,
        IF($B474 = 3 + N("Secretária bilíngue"),
            13,
            RANDBETWEEN(5,COUNT(Name!$A:$A) + 1)
        )
    )
)</f>
        <v>242</v>
      </c>
      <c r="E474" s="7" t="str">
        <f ca="1" xml:space="preserve">
VLOOKUP(
  $D474,
  Name!$A:$B,
  2,
  FALSE
)
&amp; " " &amp;
IF($B474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Luisa Negrão Rangel</v>
      </c>
      <c r="F474" s="7">
        <v>2</v>
      </c>
      <c r="G474" s="7" cm="1">
        <f t="array" aca="1" ref="G474" ca="1">INDEX(States!$B:$B,RANDBETWEEN(2,COUNTA(States!$A:$A)),1)</f>
        <v>10</v>
      </c>
      <c r="H474" s="7" t="str">
        <f ca="1">VLOOKUP($D474,Name!$A:$C,3,FALSE)</f>
        <v>F</v>
      </c>
      <c r="I474" s="7" cm="1">
        <f t="array" aca="1" ref="I474" ca="1">INDEX('Marital status'!$A:$A,RANDBETWEEN(2,COUNTA('Marital status'!$A:$A)),1)</f>
        <v>4</v>
      </c>
      <c r="J474" s="7">
        <f t="shared" ca="1" si="87"/>
        <v>2</v>
      </c>
      <c r="K474" s="8">
        <f t="shared" ca="1" si="88"/>
        <v>32374</v>
      </c>
      <c r="L474" s="6">
        <f t="shared" ca="1" si="89"/>
        <v>4</v>
      </c>
      <c r="M474" s="7">
        <f ca="1" xml:space="preserve">
  IF(OR($N474 = 2, $N474 = 3, $N474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474" s="6">
        <f t="shared" ca="1" si="90"/>
        <v>7</v>
      </c>
      <c r="O474" s="6" t="e">
        <f t="shared" ca="1" si="91"/>
        <v>#N/A</v>
      </c>
      <c r="P474" s="8">
        <f t="shared" ca="1" si="92"/>
        <v>37304</v>
      </c>
      <c r="Q474" s="6">
        <f ca="1">RANDBETWEEN(2,COUNTA('Recruitment source'!$A:$A))</f>
        <v>10</v>
      </c>
      <c r="R474" s="8" t="e">
        <f t="shared" ca="1" si="93"/>
        <v>#N/A</v>
      </c>
      <c r="S474" s="6" t="e">
        <f t="shared" ca="1" si="94"/>
        <v>#N/A</v>
      </c>
      <c r="T474" s="6">
        <f t="shared" ca="1" si="84"/>
        <v>2</v>
      </c>
      <c r="U474" s="1">
        <f t="shared" ca="1" si="95"/>
        <v>1005</v>
      </c>
    </row>
    <row r="475" spans="1:21" x14ac:dyDescent="0.2">
      <c r="A475" s="7" cm="1">
        <f t="array" aca="1" ref="A475" ca="1">INDEX(Companies!$A:$A,RANDBETWEEN(2,COUNTA(Companies!$A:$A)),1)</f>
        <v>2</v>
      </c>
      <c r="B475" s="5">
        <f t="shared" si="85"/>
        <v>474</v>
      </c>
      <c r="C475" s="6">
        <f t="shared" ca="1" si="86"/>
        <v>1</v>
      </c>
      <c r="D475" s="7">
        <f ca="1">IF($B475 = 1 + N("Presidente"),
    127,
    IF($B475 = 2 + N("Vice-Presidente"),
        72,
        IF($B475 = 3 + N("Secretária bilíngue"),
            13,
            RANDBETWEEN(5,COUNT(Name!$A:$A) + 1)
        )
    )
)</f>
        <v>195</v>
      </c>
      <c r="E475" s="7" t="str">
        <f ca="1" xml:space="preserve">
VLOOKUP(
  $D475,
  Name!$A:$B,
  2,
  FALSE
)
&amp; " " &amp;
IF($B475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Joaquim Junqueira Padrão</v>
      </c>
      <c r="F475" s="7">
        <v>2</v>
      </c>
      <c r="G475" s="7" cm="1">
        <f t="array" aca="1" ref="G475" ca="1">INDEX(States!$B:$B,RANDBETWEEN(2,COUNTA(States!$A:$A)),1)</f>
        <v>6</v>
      </c>
      <c r="H475" s="7" t="str">
        <f ca="1">VLOOKUP($D475,Name!$A:$C,3,FALSE)</f>
        <v>M</v>
      </c>
      <c r="I475" s="7" cm="1">
        <f t="array" aca="1" ref="I475" ca="1">INDEX('Marital status'!$A:$A,RANDBETWEEN(2,COUNTA('Marital status'!$A:$A)),1)</f>
        <v>5</v>
      </c>
      <c r="J475" s="7">
        <f t="shared" ca="1" si="87"/>
        <v>5</v>
      </c>
      <c r="K475" s="8">
        <f t="shared" ca="1" si="88"/>
        <v>34055</v>
      </c>
      <c r="L475" s="6">
        <f t="shared" ca="1" si="89"/>
        <v>5</v>
      </c>
      <c r="M475" s="7">
        <f ca="1" xml:space="preserve">
  IF(OR($N475 = 2, $N475 = 3, $N475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475" s="6">
        <f t="shared" ca="1" si="90"/>
        <v>8</v>
      </c>
      <c r="O475" s="6">
        <f t="shared" ca="1" si="91"/>
        <v>4</v>
      </c>
      <c r="P475" s="8">
        <f t="shared" ca="1" si="92"/>
        <v>38874</v>
      </c>
      <c r="Q475" s="6">
        <f ca="1">RANDBETWEEN(2,COUNTA('Recruitment source'!$A:$A))</f>
        <v>9</v>
      </c>
      <c r="R475" s="8" t="e">
        <f t="shared" ca="1" si="93"/>
        <v>#N/A</v>
      </c>
      <c r="S475" s="6" t="e">
        <f t="shared" ca="1" si="94"/>
        <v>#N/A</v>
      </c>
      <c r="T475" s="6">
        <f t="shared" ca="1" si="84"/>
        <v>4</v>
      </c>
      <c r="U475" s="1">
        <f t="shared" ca="1" si="95"/>
        <v>2000</v>
      </c>
    </row>
    <row r="476" spans="1:21" x14ac:dyDescent="0.2">
      <c r="A476" s="7" cm="1">
        <f t="array" aca="1" ref="A476" ca="1">INDEX(Companies!$A:$A,RANDBETWEEN(2,COUNTA(Companies!$A:$A)),1)</f>
        <v>2</v>
      </c>
      <c r="B476" s="5">
        <f t="shared" si="85"/>
        <v>475</v>
      </c>
      <c r="C476" s="6">
        <f t="shared" ca="1" si="86"/>
        <v>1</v>
      </c>
      <c r="D476" s="7">
        <f ca="1">IF($B476 = 1 + N("Presidente"),
    127,
    IF($B476 = 2 + N("Vice-Presidente"),
        72,
        IF($B476 = 3 + N("Secretária bilíngue"),
            13,
            RANDBETWEEN(5,COUNT(Name!$A:$A) + 1)
        )
    )
)</f>
        <v>293</v>
      </c>
      <c r="E476" s="7" t="str">
        <f ca="1" xml:space="preserve">
VLOOKUP(
  $D476,
  Name!$A:$B,
  2,
  FALSE
)
&amp; " " &amp;
IF($B476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Michael Ricci Morato</v>
      </c>
      <c r="F476" s="7">
        <v>2</v>
      </c>
      <c r="G476" s="7" cm="1">
        <f t="array" aca="1" ref="G476" ca="1">INDEX(States!$B:$B,RANDBETWEEN(2,COUNTA(States!$A:$A)),1)</f>
        <v>7</v>
      </c>
      <c r="H476" s="7" t="str">
        <f ca="1">VLOOKUP($D476,Name!$A:$C,3,FALSE)</f>
        <v>M</v>
      </c>
      <c r="I476" s="7" cm="1">
        <f t="array" aca="1" ref="I476" ca="1">INDEX('Marital status'!$A:$A,RANDBETWEEN(2,COUNTA('Marital status'!$A:$A)),1)</f>
        <v>4</v>
      </c>
      <c r="J476" s="7">
        <f t="shared" ca="1" si="87"/>
        <v>3</v>
      </c>
      <c r="K476" s="8">
        <f t="shared" ca="1" si="88"/>
        <v>31422</v>
      </c>
      <c r="L476" s="6">
        <f t="shared" ca="1" si="89"/>
        <v>4</v>
      </c>
      <c r="M476" s="7">
        <f ca="1" xml:space="preserve">
  IF(OR($N476 = 2, $N476 = 3, $N476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476" s="6">
        <f t="shared" ca="1" si="90"/>
        <v>6</v>
      </c>
      <c r="O476" s="6" t="e">
        <f t="shared" ca="1" si="91"/>
        <v>#N/A</v>
      </c>
      <c r="P476" s="8">
        <f t="shared" ca="1" si="92"/>
        <v>41944</v>
      </c>
      <c r="Q476" s="6">
        <f ca="1">RANDBETWEEN(2,COUNTA('Recruitment source'!$A:$A))</f>
        <v>7</v>
      </c>
      <c r="R476" s="8" t="e">
        <f t="shared" ca="1" si="93"/>
        <v>#N/A</v>
      </c>
      <c r="S476" s="6" t="e">
        <f t="shared" ca="1" si="94"/>
        <v>#N/A</v>
      </c>
      <c r="T476" s="6">
        <f t="shared" ca="1" si="84"/>
        <v>4</v>
      </c>
      <c r="U476" s="1">
        <f t="shared" ca="1" si="95"/>
        <v>805</v>
      </c>
    </row>
    <row r="477" spans="1:21" x14ac:dyDescent="0.2">
      <c r="A477" s="7" cm="1">
        <f t="array" aca="1" ref="A477" ca="1">INDEX(Companies!$A:$A,RANDBETWEEN(2,COUNTA(Companies!$A:$A)),1)</f>
        <v>2</v>
      </c>
      <c r="B477" s="5">
        <f t="shared" si="85"/>
        <v>476</v>
      </c>
      <c r="C477" s="6">
        <f t="shared" ca="1" si="86"/>
        <v>1</v>
      </c>
      <c r="D477" s="7">
        <f ca="1">IF($B477 = 1 + N("Presidente"),
    127,
    IF($B477 = 2 + N("Vice-Presidente"),
        72,
        IF($B477 = 3 + N("Secretária bilíngue"),
            13,
            RANDBETWEEN(5,COUNT(Name!$A:$A) + 1)
        )
    )
)</f>
        <v>119</v>
      </c>
      <c r="E477" s="7" t="str">
        <f ca="1" xml:space="preserve">
VLOOKUP(
  $D477,
  Name!$A:$B,
  2,
  FALSE
)
&amp; " " &amp;
IF($B477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Elisa Gonçalves Evangelista</v>
      </c>
      <c r="F477" s="7">
        <v>2</v>
      </c>
      <c r="G477" s="7" cm="1">
        <f t="array" aca="1" ref="G477" ca="1">INDEX(States!$B:$B,RANDBETWEEN(2,COUNTA(States!$A:$A)),1)</f>
        <v>16</v>
      </c>
      <c r="H477" s="7" t="str">
        <f ca="1">VLOOKUP($D477,Name!$A:$C,3,FALSE)</f>
        <v>F</v>
      </c>
      <c r="I477" s="7" cm="1">
        <f t="array" aca="1" ref="I477" ca="1">INDEX('Marital status'!$A:$A,RANDBETWEEN(2,COUNTA('Marital status'!$A:$A)),1)</f>
        <v>5</v>
      </c>
      <c r="J477" s="7">
        <f t="shared" ca="1" si="87"/>
        <v>2</v>
      </c>
      <c r="K477" s="8">
        <f t="shared" ca="1" si="88"/>
        <v>35451</v>
      </c>
      <c r="L477" s="6">
        <f t="shared" ca="1" si="89"/>
        <v>4</v>
      </c>
      <c r="M477" s="7">
        <f ca="1" xml:space="preserve">
  IF(OR($N477 = 2, $N477 = 3, $N477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477" s="6">
        <f t="shared" ca="1" si="90"/>
        <v>8</v>
      </c>
      <c r="O477" s="6">
        <f t="shared" ca="1" si="91"/>
        <v>2</v>
      </c>
      <c r="P477" s="8">
        <f t="shared" ca="1" si="92"/>
        <v>40294</v>
      </c>
      <c r="Q477" s="6">
        <f ca="1">RANDBETWEEN(2,COUNTA('Recruitment source'!$A:$A))</f>
        <v>6</v>
      </c>
      <c r="R477" s="8" t="e">
        <f t="shared" ca="1" si="93"/>
        <v>#N/A</v>
      </c>
      <c r="S477" s="6" t="e">
        <f t="shared" ca="1" si="94"/>
        <v>#N/A</v>
      </c>
      <c r="T477" s="6">
        <f t="shared" ca="1" si="84"/>
        <v>4</v>
      </c>
      <c r="U477" s="1">
        <f t="shared" ca="1" si="95"/>
        <v>2080</v>
      </c>
    </row>
    <row r="478" spans="1:21" x14ac:dyDescent="0.2">
      <c r="A478" s="7" cm="1">
        <f t="array" aca="1" ref="A478" ca="1">INDEX(Companies!$A:$A,RANDBETWEEN(2,COUNTA(Companies!$A:$A)),1)</f>
        <v>2</v>
      </c>
      <c r="B478" s="5">
        <f t="shared" si="85"/>
        <v>477</v>
      </c>
      <c r="C478" s="6">
        <f t="shared" ca="1" si="86"/>
        <v>1</v>
      </c>
      <c r="D478" s="7">
        <f ca="1">IF($B478 = 1 + N("Presidente"),
    127,
    IF($B478 = 2 + N("Vice-Presidente"),
        72,
        IF($B478 = 3 + N("Secretária bilíngue"),
            13,
            RANDBETWEEN(5,COUNT(Name!$A:$A) + 1)
        )
    )
)</f>
        <v>340</v>
      </c>
      <c r="E478" s="7" t="str">
        <f ca="1" xml:space="preserve">
VLOOKUP(
  $D478,
  Name!$A:$B,
  2,
  FALSE
)
&amp; " " &amp;
IF($B478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Stella Caminha Siqueira</v>
      </c>
      <c r="F478" s="7">
        <v>2</v>
      </c>
      <c r="G478" s="7" cm="1">
        <f t="array" aca="1" ref="G478" ca="1">INDEX(States!$B:$B,RANDBETWEEN(2,COUNTA(States!$A:$A)),1)</f>
        <v>10</v>
      </c>
      <c r="H478" s="7" t="str">
        <f ca="1">VLOOKUP($D478,Name!$A:$C,3,FALSE)</f>
        <v>F</v>
      </c>
      <c r="I478" s="7" cm="1">
        <f t="array" aca="1" ref="I478" ca="1">INDEX('Marital status'!$A:$A,RANDBETWEEN(2,COUNTA('Marital status'!$A:$A)),1)</f>
        <v>6</v>
      </c>
      <c r="J478" s="7">
        <f t="shared" ca="1" si="87"/>
        <v>2</v>
      </c>
      <c r="K478" s="8">
        <f t="shared" ca="1" si="88"/>
        <v>22106</v>
      </c>
      <c r="L478" s="6">
        <f t="shared" ca="1" si="89"/>
        <v>4</v>
      </c>
      <c r="M478" s="7">
        <f ca="1" xml:space="preserve">
  IF(OR($N478 = 2, $N478 = 3, $N478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478" s="6">
        <f t="shared" ca="1" si="90"/>
        <v>6</v>
      </c>
      <c r="O478" s="6" t="e">
        <f t="shared" ca="1" si="91"/>
        <v>#N/A</v>
      </c>
      <c r="P478" s="8">
        <f t="shared" ca="1" si="92"/>
        <v>41706</v>
      </c>
      <c r="Q478" s="6">
        <f ca="1">RANDBETWEEN(2,COUNTA('Recruitment source'!$A:$A))</f>
        <v>2</v>
      </c>
      <c r="R478" s="8" t="e">
        <f t="shared" ca="1" si="93"/>
        <v>#N/A</v>
      </c>
      <c r="S478" s="6" t="e">
        <f t="shared" ca="1" si="94"/>
        <v>#N/A</v>
      </c>
      <c r="T478" s="6">
        <f t="shared" ca="1" si="84"/>
        <v>4</v>
      </c>
      <c r="U478" s="1">
        <f t="shared" ca="1" si="95"/>
        <v>805</v>
      </c>
    </row>
    <row r="479" spans="1:21" x14ac:dyDescent="0.2">
      <c r="A479" s="7" cm="1">
        <f t="array" aca="1" ref="A479" ca="1">INDEX(Companies!$A:$A,RANDBETWEEN(2,COUNTA(Companies!$A:$A)),1)</f>
        <v>2</v>
      </c>
      <c r="B479" s="5">
        <f t="shared" si="85"/>
        <v>478</v>
      </c>
      <c r="C479" s="6">
        <f t="shared" ca="1" si="86"/>
        <v>1</v>
      </c>
      <c r="D479" s="7">
        <f ca="1">IF($B479 = 1 + N("Presidente"),
    127,
    IF($B479 = 2 + N("Vice-Presidente"),
        72,
        IF($B479 = 3 + N("Secretária bilíngue"),
            13,
            RANDBETWEEN(5,COUNT(Name!$A:$A) + 1)
        )
    )
)</f>
        <v>201</v>
      </c>
      <c r="E479" s="7" t="str">
        <f ca="1" xml:space="preserve">
VLOOKUP(
  $D479,
  Name!$A:$B,
  2,
  FALSE
)
&amp; " " &amp;
IF($B479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Júlia Trindade Pinheiro</v>
      </c>
      <c r="F479" s="7">
        <v>2</v>
      </c>
      <c r="G479" s="7" cm="1">
        <f t="array" aca="1" ref="G479" ca="1">INDEX(States!$B:$B,RANDBETWEEN(2,COUNTA(States!$A:$A)),1)</f>
        <v>7</v>
      </c>
      <c r="H479" s="7" t="str">
        <f ca="1">VLOOKUP($D479,Name!$A:$C,3,FALSE)</f>
        <v>F</v>
      </c>
      <c r="I479" s="7" cm="1">
        <f t="array" aca="1" ref="I479" ca="1">INDEX('Marital status'!$A:$A,RANDBETWEEN(2,COUNTA('Marital status'!$A:$A)),1)</f>
        <v>4</v>
      </c>
      <c r="J479" s="7">
        <f t="shared" ca="1" si="87"/>
        <v>2</v>
      </c>
      <c r="K479" s="8">
        <f t="shared" ca="1" si="88"/>
        <v>32689</v>
      </c>
      <c r="L479" s="6">
        <f t="shared" ca="1" si="89"/>
        <v>5</v>
      </c>
      <c r="M479" s="7">
        <f ca="1" xml:space="preserve">
  IF(OR($N479 = 2, $N479 = 3, $N479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479" s="6">
        <f t="shared" ca="1" si="90"/>
        <v>8</v>
      </c>
      <c r="O479" s="6">
        <f t="shared" ca="1" si="91"/>
        <v>2</v>
      </c>
      <c r="P479" s="8">
        <f t="shared" ca="1" si="92"/>
        <v>44519</v>
      </c>
      <c r="Q479" s="6">
        <f ca="1">RANDBETWEEN(2,COUNTA('Recruitment source'!$A:$A))</f>
        <v>5</v>
      </c>
      <c r="R479" s="8" t="e">
        <f t="shared" ca="1" si="93"/>
        <v>#N/A</v>
      </c>
      <c r="S479" s="6" t="e">
        <f t="shared" ca="1" si="94"/>
        <v>#N/A</v>
      </c>
      <c r="T479" s="6">
        <f t="shared" ca="1" si="84"/>
        <v>5</v>
      </c>
      <c r="U479" s="1">
        <f t="shared" ca="1" si="95"/>
        <v>2080</v>
      </c>
    </row>
    <row r="480" spans="1:21" x14ac:dyDescent="0.2">
      <c r="A480" s="7" cm="1">
        <f t="array" aca="1" ref="A480" ca="1">INDEX(Companies!$A:$A,RANDBETWEEN(2,COUNTA(Companies!$A:$A)),1)</f>
        <v>2</v>
      </c>
      <c r="B480" s="5">
        <f t="shared" si="85"/>
        <v>479</v>
      </c>
      <c r="C480" s="6">
        <f t="shared" ca="1" si="86"/>
        <v>1</v>
      </c>
      <c r="D480" s="7">
        <f ca="1">IF($B480 = 1 + N("Presidente"),
    127,
    IF($B480 = 2 + N("Vice-Presidente"),
        72,
        IF($B480 = 3 + N("Secretária bilíngue"),
            13,
            RANDBETWEEN(5,COUNT(Name!$A:$A) + 1)
        )
    )
)</f>
        <v>75</v>
      </c>
      <c r="E480" s="7" t="str">
        <f ca="1" xml:space="preserve">
VLOOKUP(
  $D480,
  Name!$A:$B,
  2,
  FALSE
)
&amp; " " &amp;
IF($B480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Breno Duarte Aleluia</v>
      </c>
      <c r="F480" s="7">
        <v>2</v>
      </c>
      <c r="G480" s="7" cm="1">
        <f t="array" aca="1" ref="G480" ca="1">INDEX(States!$B:$B,RANDBETWEEN(2,COUNTA(States!$A:$A)),1)</f>
        <v>17</v>
      </c>
      <c r="H480" s="7" t="str">
        <f ca="1">VLOOKUP($D480,Name!$A:$C,3,FALSE)</f>
        <v>M</v>
      </c>
      <c r="I480" s="7" cm="1">
        <f t="array" aca="1" ref="I480" ca="1">INDEX('Marital status'!$A:$A,RANDBETWEEN(2,COUNTA('Marital status'!$A:$A)),1)</f>
        <v>3</v>
      </c>
      <c r="J480" s="7">
        <f t="shared" ca="1" si="87"/>
        <v>2</v>
      </c>
      <c r="K480" s="8">
        <f t="shared" ca="1" si="88"/>
        <v>34490</v>
      </c>
      <c r="L480" s="6">
        <f t="shared" ca="1" si="89"/>
        <v>4</v>
      </c>
      <c r="M480" s="7">
        <f ca="1" xml:space="preserve">
  IF(OR($N480 = 2, $N480 = 3, $N480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480" s="6">
        <f t="shared" ca="1" si="90"/>
        <v>7</v>
      </c>
      <c r="O480" s="6" t="e">
        <f t="shared" ca="1" si="91"/>
        <v>#N/A</v>
      </c>
      <c r="P480" s="8">
        <f t="shared" ca="1" si="92"/>
        <v>44255</v>
      </c>
      <c r="Q480" s="6">
        <f ca="1">RANDBETWEEN(2,COUNTA('Recruitment source'!$A:$A))</f>
        <v>12</v>
      </c>
      <c r="R480" s="8" t="e">
        <f t="shared" ca="1" si="93"/>
        <v>#N/A</v>
      </c>
      <c r="S480" s="6" t="e">
        <f t="shared" ca="1" si="94"/>
        <v>#N/A</v>
      </c>
      <c r="T480" s="6">
        <f t="shared" ca="1" si="84"/>
        <v>4</v>
      </c>
      <c r="U480" s="1">
        <f t="shared" ca="1" si="95"/>
        <v>1005</v>
      </c>
    </row>
    <row r="481" spans="1:21" x14ac:dyDescent="0.2">
      <c r="A481" s="7" cm="1">
        <f t="array" aca="1" ref="A481" ca="1">INDEX(Companies!$A:$A,RANDBETWEEN(2,COUNTA(Companies!$A:$A)),1)</f>
        <v>2</v>
      </c>
      <c r="B481" s="5">
        <f t="shared" si="85"/>
        <v>480</v>
      </c>
      <c r="C481" s="6">
        <f t="shared" ca="1" si="86"/>
        <v>1</v>
      </c>
      <c r="D481" s="7">
        <f ca="1">IF($B481 = 1 + N("Presidente"),
    127,
    IF($B481 = 2 + N("Vice-Presidente"),
        72,
        IF($B481 = 3 + N("Secretária bilíngue"),
            13,
            RANDBETWEEN(5,COUNT(Name!$A:$A) + 1)
        )
    )
)</f>
        <v>327</v>
      </c>
      <c r="E481" s="7" t="str">
        <f ca="1" xml:space="preserve">
VLOOKUP(
  $D481,
  Name!$A:$B,
  2,
  FALSE
)
&amp; " " &amp;
IF($B481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Raquel Asvilla Castro</v>
      </c>
      <c r="F481" s="7">
        <v>2</v>
      </c>
      <c r="G481" s="7" cm="1">
        <f t="array" aca="1" ref="G481" ca="1">INDEX(States!$B:$B,RANDBETWEEN(2,COUNTA(States!$A:$A)),1)</f>
        <v>19</v>
      </c>
      <c r="H481" s="7" t="str">
        <f ca="1">VLOOKUP($D481,Name!$A:$C,3,FALSE)</f>
        <v>F</v>
      </c>
      <c r="I481" s="7" cm="1">
        <f t="array" aca="1" ref="I481" ca="1">INDEX('Marital status'!$A:$A,RANDBETWEEN(2,COUNTA('Marital status'!$A:$A)),1)</f>
        <v>4</v>
      </c>
      <c r="J481" s="7">
        <f t="shared" ca="1" si="87"/>
        <v>2</v>
      </c>
      <c r="K481" s="8">
        <f t="shared" ca="1" si="88"/>
        <v>37196</v>
      </c>
      <c r="L481" s="6">
        <f t="shared" ca="1" si="89"/>
        <v>4</v>
      </c>
      <c r="M481" s="7">
        <f ca="1" xml:space="preserve">
  IF(OR($N481 = 2, $N481 = 3, $N481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481" s="6">
        <f t="shared" ca="1" si="90"/>
        <v>8</v>
      </c>
      <c r="O481" s="6">
        <f t="shared" ca="1" si="91"/>
        <v>2</v>
      </c>
      <c r="P481" s="8">
        <f t="shared" ca="1" si="92"/>
        <v>39117</v>
      </c>
      <c r="Q481" s="6">
        <f ca="1">RANDBETWEEN(2,COUNTA('Recruitment source'!$A:$A))</f>
        <v>5</v>
      </c>
      <c r="R481" s="8" t="e">
        <f t="shared" ca="1" si="93"/>
        <v>#N/A</v>
      </c>
      <c r="S481" s="6" t="e">
        <f t="shared" ca="1" si="94"/>
        <v>#N/A</v>
      </c>
      <c r="T481" s="6">
        <f t="shared" ca="1" si="84"/>
        <v>5</v>
      </c>
      <c r="U481" s="1">
        <f t="shared" ca="1" si="95"/>
        <v>2000</v>
      </c>
    </row>
    <row r="482" spans="1:21" x14ac:dyDescent="0.2">
      <c r="A482" s="7" cm="1">
        <f t="array" aca="1" ref="A482" ca="1">INDEX(Companies!$A:$A,RANDBETWEEN(2,COUNTA(Companies!$A:$A)),1)</f>
        <v>2</v>
      </c>
      <c r="B482" s="5">
        <f t="shared" si="85"/>
        <v>481</v>
      </c>
      <c r="C482" s="6">
        <f t="shared" ca="1" si="86"/>
        <v>1</v>
      </c>
      <c r="D482" s="7">
        <f ca="1">IF($B482 = 1 + N("Presidente"),
    127,
    IF($B482 = 2 + N("Vice-Presidente"),
        72,
        IF($B482 = 3 + N("Secretária bilíngue"),
            13,
            RANDBETWEEN(5,COUNT(Name!$A:$A) + 1)
        )
    )
)</f>
        <v>308</v>
      </c>
      <c r="E482" s="7" t="str">
        <f ca="1" xml:space="preserve">
VLOOKUP(
  $D482,
  Name!$A:$B,
  2,
  FALSE
)
&amp; " " &amp;
IF($B482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Noah Mello Asvilla</v>
      </c>
      <c r="F482" s="7">
        <v>2</v>
      </c>
      <c r="G482" s="7" cm="1">
        <f t="array" aca="1" ref="G482" ca="1">INDEX(States!$B:$B,RANDBETWEEN(2,COUNTA(States!$A:$A)),1)</f>
        <v>2</v>
      </c>
      <c r="H482" s="7" t="str">
        <f ca="1">VLOOKUP($D482,Name!$A:$C,3,FALSE)</f>
        <v>M</v>
      </c>
      <c r="I482" s="7" cm="1">
        <f t="array" aca="1" ref="I482" ca="1">INDEX('Marital status'!$A:$A,RANDBETWEEN(2,COUNTA('Marital status'!$A:$A)),1)</f>
        <v>3</v>
      </c>
      <c r="J482" s="7">
        <f t="shared" ca="1" si="87"/>
        <v>2</v>
      </c>
      <c r="K482" s="8">
        <f t="shared" ca="1" si="88"/>
        <v>26336</v>
      </c>
      <c r="L482" s="6">
        <f t="shared" ca="1" si="89"/>
        <v>4</v>
      </c>
      <c r="M482" s="7">
        <f ca="1" xml:space="preserve">
  IF(OR($N482 = 2, $N482 = 3, $N482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482" s="6">
        <f t="shared" ca="1" si="90"/>
        <v>6</v>
      </c>
      <c r="O482" s="6" t="e">
        <f t="shared" ca="1" si="91"/>
        <v>#N/A</v>
      </c>
      <c r="P482" s="8">
        <f t="shared" ca="1" si="92"/>
        <v>40274</v>
      </c>
      <c r="Q482" s="6">
        <f ca="1">RANDBETWEEN(2,COUNTA('Recruitment source'!$A:$A))</f>
        <v>3</v>
      </c>
      <c r="R482" s="8" t="e">
        <f t="shared" ca="1" si="93"/>
        <v>#N/A</v>
      </c>
      <c r="S482" s="6" t="e">
        <f t="shared" ca="1" si="94"/>
        <v>#N/A</v>
      </c>
      <c r="T482" s="6">
        <f t="shared" ca="1" si="84"/>
        <v>4</v>
      </c>
      <c r="U482" s="1">
        <f t="shared" ca="1" si="95"/>
        <v>805</v>
      </c>
    </row>
    <row r="483" spans="1:21" x14ac:dyDescent="0.2">
      <c r="A483" s="7" cm="1">
        <f t="array" aca="1" ref="A483" ca="1">INDEX(Companies!$A:$A,RANDBETWEEN(2,COUNTA(Companies!$A:$A)),1)</f>
        <v>2</v>
      </c>
      <c r="B483" s="5">
        <f t="shared" si="85"/>
        <v>482</v>
      </c>
      <c r="C483" s="6">
        <f t="shared" ca="1" si="86"/>
        <v>1</v>
      </c>
      <c r="D483" s="7">
        <f ca="1">IF($B483 = 1 + N("Presidente"),
    127,
    IF($B483 = 2 + N("Vice-Presidente"),
        72,
        IF($B483 = 3 + N("Secretária bilíngue"),
            13,
            RANDBETWEEN(5,COUNT(Name!$A:$A) + 1)
        )
    )
)</f>
        <v>156</v>
      </c>
      <c r="E483" s="7" t="str">
        <f ca="1" xml:space="preserve">
VLOOKUP(
  $D483,
  Name!$A:$B,
  2,
  FALSE
)
&amp; " " &amp;
IF($B483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Glória Maria Alvim Pedroso</v>
      </c>
      <c r="F483" s="7">
        <v>2</v>
      </c>
      <c r="G483" s="7" cm="1">
        <f t="array" aca="1" ref="G483" ca="1">INDEX(States!$B:$B,RANDBETWEEN(2,COUNTA(States!$A:$A)),1)</f>
        <v>16</v>
      </c>
      <c r="H483" s="7" t="str">
        <f ca="1">VLOOKUP($D483,Name!$A:$C,3,FALSE)</f>
        <v>F</v>
      </c>
      <c r="I483" s="7" cm="1">
        <f t="array" aca="1" ref="I483" ca="1">INDEX('Marital status'!$A:$A,RANDBETWEEN(2,COUNTA('Marital status'!$A:$A)),1)</f>
        <v>5</v>
      </c>
      <c r="J483" s="7">
        <f t="shared" ca="1" si="87"/>
        <v>3</v>
      </c>
      <c r="K483" s="8">
        <f t="shared" ca="1" si="88"/>
        <v>33915</v>
      </c>
      <c r="L483" s="6">
        <f t="shared" ca="1" si="89"/>
        <v>5</v>
      </c>
      <c r="M483" s="7">
        <f ca="1" xml:space="preserve">
  IF(OR($N483 = 2, $N483 = 3, $N483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483" s="6">
        <f t="shared" ca="1" si="90"/>
        <v>8</v>
      </c>
      <c r="O483" s="6">
        <f t="shared" ca="1" si="91"/>
        <v>2</v>
      </c>
      <c r="P483" s="8">
        <f t="shared" ca="1" si="92"/>
        <v>36810</v>
      </c>
      <c r="Q483" s="6">
        <f ca="1">RANDBETWEEN(2,COUNTA('Recruitment source'!$A:$A))</f>
        <v>11</v>
      </c>
      <c r="R483" s="8" t="e">
        <f t="shared" ca="1" si="93"/>
        <v>#N/A</v>
      </c>
      <c r="S483" s="6" t="e">
        <f t="shared" ca="1" si="94"/>
        <v>#N/A</v>
      </c>
      <c r="T483" s="6">
        <f t="shared" ca="1" si="84"/>
        <v>3</v>
      </c>
      <c r="U483" s="1">
        <f t="shared" ca="1" si="95"/>
        <v>2000</v>
      </c>
    </row>
    <row r="484" spans="1:21" x14ac:dyDescent="0.2">
      <c r="A484" s="7" cm="1">
        <f t="array" aca="1" ref="A484" ca="1">INDEX(Companies!$A:$A,RANDBETWEEN(2,COUNTA(Companies!$A:$A)),1)</f>
        <v>2</v>
      </c>
      <c r="B484" s="5">
        <f t="shared" si="85"/>
        <v>483</v>
      </c>
      <c r="C484" s="6">
        <f t="shared" ca="1" si="86"/>
        <v>1</v>
      </c>
      <c r="D484" s="7">
        <f ca="1">IF($B484 = 1 + N("Presidente"),
    127,
    IF($B484 = 2 + N("Vice-Presidente"),
        72,
        IF($B484 = 3 + N("Secretária bilíngue"),
            13,
            RANDBETWEEN(5,COUNT(Name!$A:$A) + 1)
        )
    )
)</f>
        <v>83</v>
      </c>
      <c r="E484" s="7" t="str">
        <f ca="1" xml:space="preserve">
VLOOKUP(
  $D484,
  Name!$A:$B,
  2,
  FALSE
)
&amp; " " &amp;
IF($B484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Camila Furtado Siqueira</v>
      </c>
      <c r="F484" s="7">
        <v>2</v>
      </c>
      <c r="G484" s="7" cm="1">
        <f t="array" aca="1" ref="G484" ca="1">INDEX(States!$B:$B,RANDBETWEEN(2,COUNTA(States!$A:$A)),1)</f>
        <v>2</v>
      </c>
      <c r="H484" s="7" t="str">
        <f ca="1">VLOOKUP($D484,Name!$A:$C,3,FALSE)</f>
        <v>F</v>
      </c>
      <c r="I484" s="7" cm="1">
        <f t="array" aca="1" ref="I484" ca="1">INDEX('Marital status'!$A:$A,RANDBETWEEN(2,COUNTA('Marital status'!$A:$A)),1)</f>
        <v>5</v>
      </c>
      <c r="J484" s="7">
        <f t="shared" ca="1" si="87"/>
        <v>4</v>
      </c>
      <c r="K484" s="8">
        <f t="shared" ca="1" si="88"/>
        <v>25843</v>
      </c>
      <c r="L484" s="6">
        <f t="shared" ca="1" si="89"/>
        <v>4</v>
      </c>
      <c r="M484" s="7">
        <f ca="1" xml:space="preserve">
  IF(OR($N484 = 2, $N484 = 3, $N484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484" s="6">
        <f t="shared" ca="1" si="90"/>
        <v>6</v>
      </c>
      <c r="O484" s="6" t="e">
        <f t="shared" ca="1" si="91"/>
        <v>#N/A</v>
      </c>
      <c r="P484" s="8">
        <f t="shared" ca="1" si="92"/>
        <v>38781</v>
      </c>
      <c r="Q484" s="6">
        <f ca="1">RANDBETWEEN(2,COUNTA('Recruitment source'!$A:$A))</f>
        <v>4</v>
      </c>
      <c r="R484" s="8" t="e">
        <f t="shared" ca="1" si="93"/>
        <v>#N/A</v>
      </c>
      <c r="S484" s="6" t="e">
        <f t="shared" ca="1" si="94"/>
        <v>#N/A</v>
      </c>
      <c r="T484" s="6">
        <f t="shared" ca="1" si="84"/>
        <v>5</v>
      </c>
      <c r="U484" s="1">
        <f t="shared" ca="1" si="95"/>
        <v>885</v>
      </c>
    </row>
    <row r="485" spans="1:21" x14ac:dyDescent="0.2">
      <c r="A485" s="7" cm="1">
        <f t="array" aca="1" ref="A485" ca="1">INDEX(Companies!$A:$A,RANDBETWEEN(2,COUNTA(Companies!$A:$A)),1)</f>
        <v>2</v>
      </c>
      <c r="B485" s="5">
        <f t="shared" si="85"/>
        <v>484</v>
      </c>
      <c r="C485" s="6">
        <f t="shared" ca="1" si="86"/>
        <v>1</v>
      </c>
      <c r="D485" s="7">
        <f ca="1">IF($B485 = 1 + N("Presidente"),
    127,
    IF($B485 = 2 + N("Vice-Presidente"),
        72,
        IF($B485 = 3 + N("Secretária bilíngue"),
            13,
            RANDBETWEEN(5,COUNT(Name!$A:$A) + 1)
        )
    )
)</f>
        <v>245</v>
      </c>
      <c r="E485" s="7" t="str">
        <f ca="1" xml:space="preserve">
VLOOKUP(
  $D485,
  Name!$A:$B,
  2,
  FALSE
)
&amp; " " &amp;
IF($B485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Henrique Badu Serra</v>
      </c>
      <c r="F485" s="7">
        <v>2</v>
      </c>
      <c r="G485" s="7" cm="1">
        <f t="array" aca="1" ref="G485" ca="1">INDEX(States!$B:$B,RANDBETWEEN(2,COUNTA(States!$A:$A)),1)</f>
        <v>7</v>
      </c>
      <c r="H485" s="7" t="str">
        <f ca="1">VLOOKUP($D485,Name!$A:$C,3,FALSE)</f>
        <v>M</v>
      </c>
      <c r="I485" s="7" cm="1">
        <f t="array" aca="1" ref="I485" ca="1">INDEX('Marital status'!$A:$A,RANDBETWEEN(2,COUNTA('Marital status'!$A:$A)),1)</f>
        <v>4</v>
      </c>
      <c r="J485" s="7">
        <f t="shared" ca="1" si="87"/>
        <v>2</v>
      </c>
      <c r="K485" s="8">
        <f t="shared" ca="1" si="88"/>
        <v>34664</v>
      </c>
      <c r="L485" s="6">
        <f t="shared" ca="1" si="89"/>
        <v>5</v>
      </c>
      <c r="M485" s="7">
        <f ca="1" xml:space="preserve">
  IF(OR($N485 = 2, $N485 = 3, $N485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485" s="6">
        <f t="shared" ca="1" si="90"/>
        <v>8</v>
      </c>
      <c r="O485" s="6">
        <f t="shared" ca="1" si="91"/>
        <v>2</v>
      </c>
      <c r="P485" s="8">
        <f t="shared" ca="1" si="92"/>
        <v>42775</v>
      </c>
      <c r="Q485" s="6">
        <f ca="1">RANDBETWEEN(2,COUNTA('Recruitment source'!$A:$A))</f>
        <v>7</v>
      </c>
      <c r="R485" s="8" t="e">
        <f t="shared" ca="1" si="93"/>
        <v>#N/A</v>
      </c>
      <c r="S485" s="6" t="e">
        <f t="shared" ca="1" si="94"/>
        <v>#N/A</v>
      </c>
      <c r="T485" s="6">
        <f t="shared" ca="1" si="84"/>
        <v>3</v>
      </c>
      <c r="U485" s="1">
        <f t="shared" ca="1" si="95"/>
        <v>2080</v>
      </c>
    </row>
    <row r="486" spans="1:21" x14ac:dyDescent="0.2">
      <c r="A486" s="7" cm="1">
        <f t="array" aca="1" ref="A486" ca="1">INDEX(Companies!$A:$A,RANDBETWEEN(2,COUNTA(Companies!$A:$A)),1)</f>
        <v>2</v>
      </c>
      <c r="B486" s="5">
        <f t="shared" si="85"/>
        <v>485</v>
      </c>
      <c r="C486" s="6">
        <f t="shared" ca="1" si="86"/>
        <v>1</v>
      </c>
      <c r="D486" s="7">
        <f ca="1">IF($B486 = 1 + N("Presidente"),
    127,
    IF($B486 = 2 + N("Vice-Presidente"),
        72,
        IF($B486 = 3 + N("Secretária bilíngue"),
            13,
            RANDBETWEEN(5,COUNT(Name!$A:$A) + 1)
        )
    )
)</f>
        <v>232</v>
      </c>
      <c r="E486" s="7" t="str">
        <f ca="1" xml:space="preserve">
VLOOKUP(
  $D486,
  Name!$A:$B,
  2,
  FALSE
)
&amp; " " &amp;
IF($B486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Lorenzo Junqueira Santos</v>
      </c>
      <c r="F486" s="7">
        <v>2</v>
      </c>
      <c r="G486" s="7" cm="1">
        <f t="array" aca="1" ref="G486" ca="1">INDEX(States!$B:$B,RANDBETWEEN(2,COUNTA(States!$A:$A)),1)</f>
        <v>5</v>
      </c>
      <c r="H486" s="7" t="str">
        <f ca="1">VLOOKUP($D486,Name!$A:$C,3,FALSE)</f>
        <v>M</v>
      </c>
      <c r="I486" s="7" cm="1">
        <f t="array" aca="1" ref="I486" ca="1">INDEX('Marital status'!$A:$A,RANDBETWEEN(2,COUNTA('Marital status'!$A:$A)),1)</f>
        <v>6</v>
      </c>
      <c r="J486" s="7">
        <f t="shared" ca="1" si="87"/>
        <v>2</v>
      </c>
      <c r="K486" s="8">
        <f t="shared" ca="1" si="88"/>
        <v>33638</v>
      </c>
      <c r="L486" s="6">
        <f t="shared" ca="1" si="89"/>
        <v>4</v>
      </c>
      <c r="M486" s="7">
        <f ca="1" xml:space="preserve">
  IF(OR($N486 = 2, $N486 = 3, $N486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486" s="6">
        <f t="shared" ca="1" si="90"/>
        <v>7</v>
      </c>
      <c r="O486" s="6" t="e">
        <f t="shared" ca="1" si="91"/>
        <v>#N/A</v>
      </c>
      <c r="P486" s="8">
        <f t="shared" ca="1" si="92"/>
        <v>40129</v>
      </c>
      <c r="Q486" s="6">
        <f ca="1">RANDBETWEEN(2,COUNTA('Recruitment source'!$A:$A))</f>
        <v>7</v>
      </c>
      <c r="R486" s="8" t="e">
        <f t="shared" ca="1" si="93"/>
        <v>#N/A</v>
      </c>
      <c r="S486" s="6" t="e">
        <f t="shared" ca="1" si="94"/>
        <v>#N/A</v>
      </c>
      <c r="T486" s="6">
        <f t="shared" ca="1" si="84"/>
        <v>2</v>
      </c>
      <c r="U486" s="1">
        <f t="shared" ca="1" si="95"/>
        <v>1005</v>
      </c>
    </row>
    <row r="487" spans="1:21" x14ac:dyDescent="0.2">
      <c r="A487" s="7" cm="1">
        <f t="array" aca="1" ref="A487" ca="1">INDEX(Companies!$A:$A,RANDBETWEEN(2,COUNTA(Companies!$A:$A)),1)</f>
        <v>2</v>
      </c>
      <c r="B487" s="5">
        <f t="shared" si="85"/>
        <v>486</v>
      </c>
      <c r="C487" s="6">
        <f t="shared" ca="1" si="86"/>
        <v>1</v>
      </c>
      <c r="D487" s="7">
        <f ca="1">IF($B487 = 1 + N("Presidente"),
    127,
    IF($B487 = 2 + N("Vice-Presidente"),
        72,
        IF($B487 = 3 + N("Secretária bilíngue"),
            13,
            RANDBETWEEN(5,COUNT(Name!$A:$A) + 1)
        )
    )
)</f>
        <v>323</v>
      </c>
      <c r="E487" s="7" t="str">
        <f ca="1" xml:space="preserve">
VLOOKUP(
  $D487,
  Name!$A:$B,
  2,
  FALSE
)
&amp; " " &amp;
IF($B487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Rachel Ferrari Evangelista</v>
      </c>
      <c r="F487" s="7">
        <v>2</v>
      </c>
      <c r="G487" s="7" cm="1">
        <f t="array" aca="1" ref="G487" ca="1">INDEX(States!$B:$B,RANDBETWEEN(2,COUNTA(States!$A:$A)),1)</f>
        <v>16</v>
      </c>
      <c r="H487" s="7" t="str">
        <f ca="1">VLOOKUP($D487,Name!$A:$C,3,FALSE)</f>
        <v>F</v>
      </c>
      <c r="I487" s="7" cm="1">
        <f t="array" aca="1" ref="I487" ca="1">INDEX('Marital status'!$A:$A,RANDBETWEEN(2,COUNTA('Marital status'!$A:$A)),1)</f>
        <v>6</v>
      </c>
      <c r="J487" s="7">
        <f t="shared" ca="1" si="87"/>
        <v>2</v>
      </c>
      <c r="K487" s="8">
        <f t="shared" ca="1" si="88"/>
        <v>37011</v>
      </c>
      <c r="L487" s="6">
        <f t="shared" ca="1" si="89"/>
        <v>5</v>
      </c>
      <c r="M487" s="7">
        <f ca="1" xml:space="preserve">
  IF(OR($N487 = 2, $N487 = 3, $N487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487" s="6">
        <f t="shared" ca="1" si="90"/>
        <v>8</v>
      </c>
      <c r="O487" s="6">
        <f t="shared" ca="1" si="91"/>
        <v>3</v>
      </c>
      <c r="P487" s="8">
        <f t="shared" ca="1" si="92"/>
        <v>38262</v>
      </c>
      <c r="Q487" s="6">
        <f ca="1">RANDBETWEEN(2,COUNTA('Recruitment source'!$A:$A))</f>
        <v>5</v>
      </c>
      <c r="R487" s="8" t="e">
        <f t="shared" ca="1" si="93"/>
        <v>#N/A</v>
      </c>
      <c r="S487" s="6" t="e">
        <f t="shared" ca="1" si="94"/>
        <v>#N/A</v>
      </c>
      <c r="T487" s="6">
        <f t="shared" ca="1" si="84"/>
        <v>3</v>
      </c>
      <c r="U487" s="1">
        <f t="shared" ca="1" si="95"/>
        <v>2080</v>
      </c>
    </row>
    <row r="488" spans="1:21" x14ac:dyDescent="0.2">
      <c r="A488" s="7" cm="1">
        <f t="array" aca="1" ref="A488" ca="1">INDEX(Companies!$A:$A,RANDBETWEEN(2,COUNTA(Companies!$A:$A)),1)</f>
        <v>2</v>
      </c>
      <c r="B488" s="5">
        <f t="shared" si="85"/>
        <v>487</v>
      </c>
      <c r="C488" s="6">
        <f t="shared" ca="1" si="86"/>
        <v>1</v>
      </c>
      <c r="D488" s="7">
        <f ca="1">IF($B488 = 1 + N("Presidente"),
    127,
    IF($B488 = 2 + N("Vice-Presidente"),
        72,
        IF($B488 = 3 + N("Secretária bilíngue"),
            13,
            RANDBETWEEN(5,COUNT(Name!$A:$A) + 1)
        )
    )
)</f>
        <v>165</v>
      </c>
      <c r="E488" s="7" t="str">
        <f ca="1" xml:space="preserve">
VLOOKUP(
  $D488,
  Name!$A:$B,
  2,
  FALSE
)
&amp; " " &amp;
IF($B488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Heloise Asvilla Poeta</v>
      </c>
      <c r="F488" s="7">
        <v>2</v>
      </c>
      <c r="G488" s="7" cm="1">
        <f t="array" aca="1" ref="G488" ca="1">INDEX(States!$B:$B,RANDBETWEEN(2,COUNTA(States!$A:$A)),1)</f>
        <v>14</v>
      </c>
      <c r="H488" s="7" t="str">
        <f ca="1">VLOOKUP($D488,Name!$A:$C,3,FALSE)</f>
        <v>F</v>
      </c>
      <c r="I488" s="7" cm="1">
        <f t="array" aca="1" ref="I488" ca="1">INDEX('Marital status'!$A:$A,RANDBETWEEN(2,COUNTA('Marital status'!$A:$A)),1)</f>
        <v>3</v>
      </c>
      <c r="J488" s="7">
        <f t="shared" ca="1" si="87"/>
        <v>2</v>
      </c>
      <c r="K488" s="8">
        <f t="shared" ca="1" si="88"/>
        <v>29312</v>
      </c>
      <c r="L488" s="6">
        <f t="shared" ca="1" si="89"/>
        <v>4</v>
      </c>
      <c r="M488" s="7">
        <f ca="1" xml:space="preserve">
  IF(OR($N488 = 2, $N488 = 3, $N488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488" s="6">
        <f t="shared" ca="1" si="90"/>
        <v>7</v>
      </c>
      <c r="O488" s="6" t="e">
        <f t="shared" ca="1" si="91"/>
        <v>#N/A</v>
      </c>
      <c r="P488" s="8">
        <f t="shared" ca="1" si="92"/>
        <v>42096</v>
      </c>
      <c r="Q488" s="6">
        <f ca="1">RANDBETWEEN(2,COUNTA('Recruitment source'!$A:$A))</f>
        <v>10</v>
      </c>
      <c r="R488" s="8" t="e">
        <f t="shared" ca="1" si="93"/>
        <v>#N/A</v>
      </c>
      <c r="S488" s="6" t="e">
        <f t="shared" ca="1" si="94"/>
        <v>#N/A</v>
      </c>
      <c r="T488" s="6">
        <f t="shared" ca="1" si="84"/>
        <v>5</v>
      </c>
      <c r="U488" s="1">
        <f t="shared" ca="1" si="95"/>
        <v>1005</v>
      </c>
    </row>
    <row r="489" spans="1:21" x14ac:dyDescent="0.2">
      <c r="A489" s="7" cm="1">
        <f t="array" aca="1" ref="A489" ca="1">INDEX(Companies!$A:$A,RANDBETWEEN(2,COUNTA(Companies!$A:$A)),1)</f>
        <v>2</v>
      </c>
      <c r="B489" s="5">
        <f t="shared" si="85"/>
        <v>488</v>
      </c>
      <c r="C489" s="6">
        <f t="shared" ca="1" si="86"/>
        <v>1</v>
      </c>
      <c r="D489" s="7">
        <f ca="1">IF($B489 = 1 + N("Presidente"),
    127,
    IF($B489 = 2 + N("Vice-Presidente"),
        72,
        IF($B489 = 3 + N("Secretária bilíngue"),
            13,
            RANDBETWEEN(5,COUNT(Name!$A:$A) + 1)
        )
    )
)</f>
        <v>220</v>
      </c>
      <c r="E489" s="7" t="str">
        <f ca="1" xml:space="preserve">
VLOOKUP(
  $D489,
  Name!$A:$B,
  2,
  FALSE
)
&amp; " " &amp;
IF($B489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Laura Serra Marino</v>
      </c>
      <c r="F489" s="7">
        <v>2</v>
      </c>
      <c r="G489" s="7" cm="1">
        <f t="array" aca="1" ref="G489" ca="1">INDEX(States!$B:$B,RANDBETWEEN(2,COUNTA(States!$A:$A)),1)</f>
        <v>7</v>
      </c>
      <c r="H489" s="7" t="str">
        <f ca="1">VLOOKUP($D489,Name!$A:$C,3,FALSE)</f>
        <v>F</v>
      </c>
      <c r="I489" s="7" cm="1">
        <f t="array" aca="1" ref="I489" ca="1">INDEX('Marital status'!$A:$A,RANDBETWEEN(2,COUNTA('Marital status'!$A:$A)),1)</f>
        <v>4</v>
      </c>
      <c r="J489" s="7">
        <f t="shared" ca="1" si="87"/>
        <v>2</v>
      </c>
      <c r="K489" s="8">
        <f t="shared" ca="1" si="88"/>
        <v>36614</v>
      </c>
      <c r="L489" s="6">
        <f t="shared" ca="1" si="89"/>
        <v>4</v>
      </c>
      <c r="M489" s="7">
        <f ca="1" xml:space="preserve">
  IF(OR($N489 = 2, $N489 = 3, $N489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489" s="6">
        <f t="shared" ca="1" si="90"/>
        <v>8</v>
      </c>
      <c r="O489" s="6">
        <f t="shared" ca="1" si="91"/>
        <v>4</v>
      </c>
      <c r="P489" s="8">
        <f t="shared" ca="1" si="92"/>
        <v>37796</v>
      </c>
      <c r="Q489" s="6">
        <f ca="1">RANDBETWEEN(2,COUNTA('Recruitment source'!$A:$A))</f>
        <v>2</v>
      </c>
      <c r="R489" s="8" t="e">
        <f t="shared" ca="1" si="93"/>
        <v>#N/A</v>
      </c>
      <c r="S489" s="6" t="e">
        <f t="shared" ca="1" si="94"/>
        <v>#N/A</v>
      </c>
      <c r="T489" s="6">
        <f t="shared" ca="1" si="84"/>
        <v>5</v>
      </c>
      <c r="U489" s="1">
        <f t="shared" ca="1" si="95"/>
        <v>2000</v>
      </c>
    </row>
    <row r="490" spans="1:21" x14ac:dyDescent="0.2">
      <c r="A490" s="7" cm="1">
        <f t="array" aca="1" ref="A490" ca="1">INDEX(Companies!$A:$A,RANDBETWEEN(2,COUNTA(Companies!$A:$A)),1)</f>
        <v>2</v>
      </c>
      <c r="B490" s="5">
        <f t="shared" si="85"/>
        <v>489</v>
      </c>
      <c r="C490" s="6">
        <f t="shared" ca="1" si="86"/>
        <v>1</v>
      </c>
      <c r="D490" s="7">
        <f ca="1">IF($B490 = 1 + N("Presidente"),
    127,
    IF($B490 = 2 + N("Vice-Presidente"),
        72,
        IF($B490 = 3 + N("Secretária bilíngue"),
            13,
            RANDBETWEEN(5,COUNT(Name!$A:$A) + 1)
        )
    )
)</f>
        <v>77</v>
      </c>
      <c r="E490" s="7" t="str">
        <f ca="1" xml:space="preserve">
VLOOKUP(
  $D490,
  Name!$A:$B,
  2,
  FALSE
)
&amp; " " &amp;
IF($B490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Bruno Pedrosa Teixeira</v>
      </c>
      <c r="F490" s="7">
        <v>2</v>
      </c>
      <c r="G490" s="7" cm="1">
        <f t="array" aca="1" ref="G490" ca="1">INDEX(States!$B:$B,RANDBETWEEN(2,COUNTA(States!$A:$A)),1)</f>
        <v>14</v>
      </c>
      <c r="H490" s="7" t="str">
        <f ca="1">VLOOKUP($D490,Name!$A:$C,3,FALSE)</f>
        <v>M</v>
      </c>
      <c r="I490" s="7" cm="1">
        <f t="array" aca="1" ref="I490" ca="1">INDEX('Marital status'!$A:$A,RANDBETWEEN(2,COUNTA('Marital status'!$A:$A)),1)</f>
        <v>2</v>
      </c>
      <c r="J490" s="7">
        <f t="shared" ca="1" si="87"/>
        <v>3</v>
      </c>
      <c r="K490" s="8">
        <f t="shared" ca="1" si="88"/>
        <v>32216</v>
      </c>
      <c r="L490" s="6">
        <f t="shared" ca="1" si="89"/>
        <v>4</v>
      </c>
      <c r="M490" s="7">
        <f ca="1" xml:space="preserve">
  IF(OR($N490 = 2, $N490 = 3, $N490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490" s="6">
        <f t="shared" ca="1" si="90"/>
        <v>7</v>
      </c>
      <c r="O490" s="6" t="e">
        <f t="shared" ca="1" si="91"/>
        <v>#N/A</v>
      </c>
      <c r="P490" s="8">
        <f t="shared" ca="1" si="92"/>
        <v>44276</v>
      </c>
      <c r="Q490" s="6">
        <f ca="1">RANDBETWEEN(2,COUNTA('Recruitment source'!$A:$A))</f>
        <v>2</v>
      </c>
      <c r="R490" s="8" t="e">
        <f t="shared" ca="1" si="93"/>
        <v>#N/A</v>
      </c>
      <c r="S490" s="6" t="e">
        <f t="shared" ca="1" si="94"/>
        <v>#N/A</v>
      </c>
      <c r="T490" s="6">
        <f t="shared" ca="1" si="84"/>
        <v>4</v>
      </c>
      <c r="U490" s="1">
        <f t="shared" ca="1" si="95"/>
        <v>1005</v>
      </c>
    </row>
    <row r="491" spans="1:21" x14ac:dyDescent="0.2">
      <c r="A491" s="7" cm="1">
        <f t="array" aca="1" ref="A491" ca="1">INDEX(Companies!$A:$A,RANDBETWEEN(2,COUNTA(Companies!$A:$A)),1)</f>
        <v>2</v>
      </c>
      <c r="B491" s="5">
        <f t="shared" si="85"/>
        <v>490</v>
      </c>
      <c r="C491" s="6">
        <f t="shared" ca="1" si="86"/>
        <v>1</v>
      </c>
      <c r="D491" s="7">
        <f ca="1">IF($B491 = 1 + N("Presidente"),
    127,
    IF($B491 = 2 + N("Vice-Presidente"),
        72,
        IF($B491 = 3 + N("Secretária bilíngue"),
            13,
            RANDBETWEEN(5,COUNT(Name!$A:$A) + 1)
        )
    )
)</f>
        <v>238</v>
      </c>
      <c r="E491" s="7" t="str">
        <f ca="1" xml:space="preserve">
VLOOKUP(
  $D491,
  Name!$A:$B,
  2,
  FALSE
)
&amp; " " &amp;
IF($B491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Lucas Gouveia Evangelista</v>
      </c>
      <c r="F491" s="7">
        <v>2</v>
      </c>
      <c r="G491" s="7" cm="1">
        <f t="array" aca="1" ref="G491" ca="1">INDEX(States!$B:$B,RANDBETWEEN(2,COUNTA(States!$A:$A)),1)</f>
        <v>16</v>
      </c>
      <c r="H491" s="7" t="str">
        <f ca="1">VLOOKUP($D491,Name!$A:$C,3,FALSE)</f>
        <v>M</v>
      </c>
      <c r="I491" s="7" cm="1">
        <f t="array" aca="1" ref="I491" ca="1">INDEX('Marital status'!$A:$A,RANDBETWEEN(2,COUNTA('Marital status'!$A:$A)),1)</f>
        <v>6</v>
      </c>
      <c r="J491" s="7">
        <f t="shared" ca="1" si="87"/>
        <v>2</v>
      </c>
      <c r="K491" s="8">
        <f t="shared" ca="1" si="88"/>
        <v>32554</v>
      </c>
      <c r="L491" s="6">
        <f t="shared" ca="1" si="89"/>
        <v>4</v>
      </c>
      <c r="M491" s="7">
        <f ca="1" xml:space="preserve">
  IF(OR($N491 = 2, $N491 = 3, $N491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491" s="6">
        <f t="shared" ca="1" si="90"/>
        <v>8</v>
      </c>
      <c r="O491" s="6">
        <f t="shared" ca="1" si="91"/>
        <v>2</v>
      </c>
      <c r="P491" s="8">
        <f t="shared" ca="1" si="92"/>
        <v>42186</v>
      </c>
      <c r="Q491" s="6">
        <f ca="1">RANDBETWEEN(2,COUNTA('Recruitment source'!$A:$A))</f>
        <v>10</v>
      </c>
      <c r="R491" s="8" t="e">
        <f t="shared" ca="1" si="93"/>
        <v>#N/A</v>
      </c>
      <c r="S491" s="6" t="e">
        <f t="shared" ca="1" si="94"/>
        <v>#N/A</v>
      </c>
      <c r="T491" s="6">
        <f t="shared" ca="1" si="84"/>
        <v>4</v>
      </c>
      <c r="U491" s="1">
        <f t="shared" ca="1" si="95"/>
        <v>2080</v>
      </c>
    </row>
    <row r="492" spans="1:21" x14ac:dyDescent="0.2">
      <c r="A492" s="7" cm="1">
        <f t="array" aca="1" ref="A492" ca="1">INDEX(Companies!$A:$A,RANDBETWEEN(2,COUNTA(Companies!$A:$A)),1)</f>
        <v>2</v>
      </c>
      <c r="B492" s="5">
        <f t="shared" si="85"/>
        <v>491</v>
      </c>
      <c r="C492" s="6">
        <f t="shared" ca="1" si="86"/>
        <v>1</v>
      </c>
      <c r="D492" s="7">
        <f ca="1">IF($B492 = 1 + N("Presidente"),
    127,
    IF($B492 = 2 + N("Vice-Presidente"),
        72,
        IF($B492 = 3 + N("Secretária bilíngue"),
            13,
            RANDBETWEEN(5,COUNT(Name!$A:$A) + 1)
        )
    )
)</f>
        <v>153</v>
      </c>
      <c r="E492" s="7" t="str">
        <f ca="1" xml:space="preserve">
VLOOKUP(
  $D492,
  Name!$A:$B,
  2,
  FALSE
)
&amp; " " &amp;
IF($B492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Giovana Veiga Poeta</v>
      </c>
      <c r="F492" s="7">
        <v>2</v>
      </c>
      <c r="G492" s="7" cm="1">
        <f t="array" aca="1" ref="G492" ca="1">INDEX(States!$B:$B,RANDBETWEEN(2,COUNTA(States!$A:$A)),1)</f>
        <v>13</v>
      </c>
      <c r="H492" s="7" t="str">
        <f ca="1">VLOOKUP($D492,Name!$A:$C,3,FALSE)</f>
        <v>F</v>
      </c>
      <c r="I492" s="7" cm="1">
        <f t="array" aca="1" ref="I492" ca="1">INDEX('Marital status'!$A:$A,RANDBETWEEN(2,COUNTA('Marital status'!$A:$A)),1)</f>
        <v>6</v>
      </c>
      <c r="J492" s="7">
        <f t="shared" ca="1" si="87"/>
        <v>2</v>
      </c>
      <c r="K492" s="8">
        <f t="shared" ca="1" si="88"/>
        <v>30780</v>
      </c>
      <c r="L492" s="6">
        <f t="shared" ca="1" si="89"/>
        <v>4</v>
      </c>
      <c r="M492" s="7">
        <f ca="1" xml:space="preserve">
  IF(OR($N492 = 2, $N492 = 3, $N492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492" s="6">
        <f t="shared" ca="1" si="90"/>
        <v>7</v>
      </c>
      <c r="O492" s="6" t="e">
        <f t="shared" ca="1" si="91"/>
        <v>#N/A</v>
      </c>
      <c r="P492" s="8">
        <f t="shared" ca="1" si="92"/>
        <v>43142</v>
      </c>
      <c r="Q492" s="6">
        <f ca="1">RANDBETWEEN(2,COUNTA('Recruitment source'!$A:$A))</f>
        <v>3</v>
      </c>
      <c r="R492" s="8" t="e">
        <f t="shared" ca="1" si="93"/>
        <v>#N/A</v>
      </c>
      <c r="S492" s="6" t="e">
        <f t="shared" ca="1" si="94"/>
        <v>#N/A</v>
      </c>
      <c r="T492" s="6">
        <f t="shared" ca="1" si="84"/>
        <v>2</v>
      </c>
      <c r="U492" s="1">
        <f t="shared" ca="1" si="95"/>
        <v>1005</v>
      </c>
    </row>
    <row r="493" spans="1:21" x14ac:dyDescent="0.2">
      <c r="A493" s="7" cm="1">
        <f t="array" aca="1" ref="A493" ca="1">INDEX(Companies!$A:$A,RANDBETWEEN(2,COUNTA(Companies!$A:$A)),1)</f>
        <v>2</v>
      </c>
      <c r="B493" s="5">
        <f t="shared" si="85"/>
        <v>492</v>
      </c>
      <c r="C493" s="6">
        <f t="shared" ca="1" si="86"/>
        <v>1</v>
      </c>
      <c r="D493" s="7">
        <f ca="1">IF($B493 = 1 + N("Presidente"),
    127,
    IF($B493 = 2 + N("Vice-Presidente"),
        72,
        IF($B493 = 3 + N("Secretária bilíngue"),
            13,
            RANDBETWEEN(5,COUNT(Name!$A:$A) + 1)
        )
    )
)</f>
        <v>199</v>
      </c>
      <c r="E493" s="7" t="str">
        <f ca="1" xml:space="preserve">
VLOOKUP(
  $D493,
  Name!$A:$B,
  2,
  FALSE
)
&amp; " " &amp;
IF($B493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Francisco Castro Andrioli</v>
      </c>
      <c r="F493" s="7">
        <v>2</v>
      </c>
      <c r="G493" s="7" cm="1">
        <f t="array" aca="1" ref="G493" ca="1">INDEX(States!$B:$B,RANDBETWEEN(2,COUNTA(States!$A:$A)),1)</f>
        <v>6</v>
      </c>
      <c r="H493" s="7" t="str">
        <f ca="1">VLOOKUP($D493,Name!$A:$C,3,FALSE)</f>
        <v>M</v>
      </c>
      <c r="I493" s="7" cm="1">
        <f t="array" aca="1" ref="I493" ca="1">INDEX('Marital status'!$A:$A,RANDBETWEEN(2,COUNTA('Marital status'!$A:$A)),1)</f>
        <v>6</v>
      </c>
      <c r="J493" s="7">
        <f t="shared" ca="1" si="87"/>
        <v>2</v>
      </c>
      <c r="K493" s="8">
        <f t="shared" ca="1" si="88"/>
        <v>38107</v>
      </c>
      <c r="L493" s="6">
        <f t="shared" ca="1" si="89"/>
        <v>5</v>
      </c>
      <c r="M493" s="7">
        <f ca="1" xml:space="preserve">
  IF(OR($N493 = 2, $N493 = 3, $N493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493" s="6">
        <f t="shared" ca="1" si="90"/>
        <v>8</v>
      </c>
      <c r="O493" s="6">
        <f t="shared" ca="1" si="91"/>
        <v>3</v>
      </c>
      <c r="P493" s="8">
        <f t="shared" ca="1" si="92"/>
        <v>44838</v>
      </c>
      <c r="Q493" s="6">
        <f ca="1">RANDBETWEEN(2,COUNTA('Recruitment source'!$A:$A))</f>
        <v>12</v>
      </c>
      <c r="R493" s="8" t="e">
        <f t="shared" ca="1" si="93"/>
        <v>#N/A</v>
      </c>
      <c r="S493" s="6" t="e">
        <f t="shared" ca="1" si="94"/>
        <v>#N/A</v>
      </c>
      <c r="T493" s="6">
        <f t="shared" ca="1" si="84"/>
        <v>4</v>
      </c>
      <c r="U493" s="1">
        <f t="shared" ca="1" si="95"/>
        <v>2080</v>
      </c>
    </row>
    <row r="494" spans="1:21" x14ac:dyDescent="0.2">
      <c r="A494" s="7" cm="1">
        <f t="array" aca="1" ref="A494" ca="1">INDEX(Companies!$A:$A,RANDBETWEEN(2,COUNTA(Companies!$A:$A)),1)</f>
        <v>2</v>
      </c>
      <c r="B494" s="5">
        <f t="shared" si="85"/>
        <v>493</v>
      </c>
      <c r="C494" s="6">
        <f t="shared" ca="1" si="86"/>
        <v>1</v>
      </c>
      <c r="D494" s="7">
        <f ca="1">IF($B494 = 1 + N("Presidente"),
    127,
    IF($B494 = 2 + N("Vice-Presidente"),
        72,
        IF($B494 = 3 + N("Secretária bilíngue"),
            13,
            RANDBETWEEN(5,COUNT(Name!$A:$A) + 1)
        )
    )
)</f>
        <v>159</v>
      </c>
      <c r="E494" s="7" t="str">
        <f ca="1" xml:space="preserve">
VLOOKUP(
  $D494,
  Name!$A:$B,
  2,
  FALSE
)
&amp; " " &amp;
IF($B494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Gustavo Saragoça Anjos</v>
      </c>
      <c r="F494" s="7">
        <v>2</v>
      </c>
      <c r="G494" s="7" cm="1">
        <f t="array" aca="1" ref="G494" ca="1">INDEX(States!$B:$B,RANDBETWEEN(2,COUNTA(States!$A:$A)),1)</f>
        <v>12</v>
      </c>
      <c r="H494" s="7" t="str">
        <f ca="1">VLOOKUP($D494,Name!$A:$C,3,FALSE)</f>
        <v>M</v>
      </c>
      <c r="I494" s="7" cm="1">
        <f t="array" aca="1" ref="I494" ca="1">INDEX('Marital status'!$A:$A,RANDBETWEEN(2,COUNTA('Marital status'!$A:$A)),1)</f>
        <v>4</v>
      </c>
      <c r="J494" s="7">
        <f t="shared" ca="1" si="87"/>
        <v>5</v>
      </c>
      <c r="K494" s="8">
        <f t="shared" ca="1" si="88"/>
        <v>29066</v>
      </c>
      <c r="L494" s="6">
        <f t="shared" ca="1" si="89"/>
        <v>4</v>
      </c>
      <c r="M494" s="7">
        <f ca="1" xml:space="preserve">
  IF(OR($N494 = 2, $N494 = 3, $N494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494" s="6">
        <f t="shared" ca="1" si="90"/>
        <v>7</v>
      </c>
      <c r="O494" s="6" t="e">
        <f t="shared" ca="1" si="91"/>
        <v>#N/A</v>
      </c>
      <c r="P494" s="8">
        <f t="shared" ca="1" si="92"/>
        <v>41139</v>
      </c>
      <c r="Q494" s="6">
        <f ca="1">RANDBETWEEN(2,COUNTA('Recruitment source'!$A:$A))</f>
        <v>12</v>
      </c>
      <c r="R494" s="8" t="e">
        <f t="shared" ca="1" si="93"/>
        <v>#N/A</v>
      </c>
      <c r="S494" s="6" t="e">
        <f t="shared" ca="1" si="94"/>
        <v>#N/A</v>
      </c>
      <c r="T494" s="6">
        <f t="shared" ca="1" si="84"/>
        <v>4</v>
      </c>
      <c r="U494" s="1">
        <f t="shared" ca="1" si="95"/>
        <v>1085</v>
      </c>
    </row>
    <row r="495" spans="1:21" x14ac:dyDescent="0.2">
      <c r="A495" s="7" cm="1">
        <f t="array" aca="1" ref="A495" ca="1">INDEX(Companies!$A:$A,RANDBETWEEN(2,COUNTA(Companies!$A:$A)),1)</f>
        <v>2</v>
      </c>
      <c r="B495" s="5">
        <f t="shared" si="85"/>
        <v>494</v>
      </c>
      <c r="C495" s="6">
        <f t="shared" ca="1" si="86"/>
        <v>1</v>
      </c>
      <c r="D495" s="7">
        <f ca="1">IF($B495 = 1 + N("Presidente"),
    127,
    IF($B495 = 2 + N("Vice-Presidente"),
        72,
        IF($B495 = 3 + N("Secretária bilíngue"),
            13,
            RANDBETWEEN(5,COUNT(Name!$A:$A) + 1)
        )
    )
)</f>
        <v>147</v>
      </c>
      <c r="E495" s="7" t="str">
        <f ca="1" xml:space="preserve">
VLOOKUP(
  $D495,
  Name!$A:$B,
  2,
  FALSE
)
&amp; " " &amp;
IF($B495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Francisco Emanuel Sousa Souza</v>
      </c>
      <c r="F495" s="7">
        <v>2</v>
      </c>
      <c r="G495" s="7" cm="1">
        <f t="array" aca="1" ref="G495" ca="1">INDEX(States!$B:$B,RANDBETWEEN(2,COUNTA(States!$A:$A)),1)</f>
        <v>15</v>
      </c>
      <c r="H495" s="7" t="str">
        <f ca="1">VLOOKUP($D495,Name!$A:$C,3,FALSE)</f>
        <v>M</v>
      </c>
      <c r="I495" s="7" cm="1">
        <f t="array" aca="1" ref="I495" ca="1">INDEX('Marital status'!$A:$A,RANDBETWEEN(2,COUNTA('Marital status'!$A:$A)),1)</f>
        <v>3</v>
      </c>
      <c r="J495" s="7">
        <f t="shared" ca="1" si="87"/>
        <v>4</v>
      </c>
      <c r="K495" s="8">
        <f t="shared" ca="1" si="88"/>
        <v>35636</v>
      </c>
      <c r="L495" s="6">
        <f t="shared" ca="1" si="89"/>
        <v>4</v>
      </c>
      <c r="M495" s="7">
        <f ca="1" xml:space="preserve">
  IF(OR($N495 = 2, $N495 = 3, $N495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495" s="6">
        <f t="shared" ca="1" si="90"/>
        <v>8</v>
      </c>
      <c r="O495" s="6">
        <f t="shared" ca="1" si="91"/>
        <v>4</v>
      </c>
      <c r="P495" s="8">
        <f t="shared" ca="1" si="92"/>
        <v>37607</v>
      </c>
      <c r="Q495" s="6">
        <f ca="1">RANDBETWEEN(2,COUNTA('Recruitment source'!$A:$A))</f>
        <v>2</v>
      </c>
      <c r="R495" s="8" t="e">
        <f t="shared" ca="1" si="93"/>
        <v>#N/A</v>
      </c>
      <c r="S495" s="6" t="e">
        <f t="shared" ca="1" si="94"/>
        <v>#N/A</v>
      </c>
      <c r="T495" s="6">
        <f t="shared" ca="1" si="84"/>
        <v>2</v>
      </c>
      <c r="U495" s="1">
        <f t="shared" ca="1" si="95"/>
        <v>2000</v>
      </c>
    </row>
    <row r="496" spans="1:21" x14ac:dyDescent="0.2">
      <c r="A496" s="7" cm="1">
        <f t="array" aca="1" ref="A496" ca="1">INDEX(Companies!$A:$A,RANDBETWEEN(2,COUNTA(Companies!$A:$A)),1)</f>
        <v>2</v>
      </c>
      <c r="B496" s="5">
        <f t="shared" si="85"/>
        <v>495</v>
      </c>
      <c r="C496" s="6">
        <f t="shared" ca="1" si="86"/>
        <v>1</v>
      </c>
      <c r="D496" s="7">
        <f ca="1">IF($B496 = 1 + N("Presidente"),
    127,
    IF($B496 = 2 + N("Vice-Presidente"),
        72,
        IF($B496 = 3 + N("Secretária bilíngue"),
            13,
            RANDBETWEEN(5,COUNT(Name!$A:$A) + 1)
        )
    )
)</f>
        <v>158</v>
      </c>
      <c r="E496" s="7" t="str">
        <f ca="1" xml:space="preserve">
VLOOKUP(
  $D496,
  Name!$A:$B,
  2,
  FALSE
)
&amp; " " &amp;
IF($B496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Guilherme Augusto Santacruz Chaves</v>
      </c>
      <c r="F496" s="7">
        <v>2</v>
      </c>
      <c r="G496" s="7" cm="1">
        <f t="array" aca="1" ref="G496" ca="1">INDEX(States!$B:$B,RANDBETWEEN(2,COUNTA(States!$A:$A)),1)</f>
        <v>21</v>
      </c>
      <c r="H496" s="7" t="str">
        <f ca="1">VLOOKUP($D496,Name!$A:$C,3,FALSE)</f>
        <v>M</v>
      </c>
      <c r="I496" s="7" cm="1">
        <f t="array" aca="1" ref="I496" ca="1">INDEX('Marital status'!$A:$A,RANDBETWEEN(2,COUNTA('Marital status'!$A:$A)),1)</f>
        <v>5</v>
      </c>
      <c r="J496" s="7">
        <f t="shared" ca="1" si="87"/>
        <v>2</v>
      </c>
      <c r="K496" s="8">
        <f t="shared" ca="1" si="88"/>
        <v>29042</v>
      </c>
      <c r="L496" s="6">
        <f t="shared" ca="1" si="89"/>
        <v>4</v>
      </c>
      <c r="M496" s="7">
        <f ca="1" xml:space="preserve">
  IF(OR($N496 = 2, $N496 = 3, $N496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496" s="6">
        <f t="shared" ca="1" si="90"/>
        <v>7</v>
      </c>
      <c r="O496" s="6" t="e">
        <f t="shared" ca="1" si="91"/>
        <v>#N/A</v>
      </c>
      <c r="P496" s="8">
        <f t="shared" ca="1" si="92"/>
        <v>43126</v>
      </c>
      <c r="Q496" s="6">
        <f ca="1">RANDBETWEEN(2,COUNTA('Recruitment source'!$A:$A))</f>
        <v>8</v>
      </c>
      <c r="R496" s="8" t="e">
        <f t="shared" ca="1" si="93"/>
        <v>#N/A</v>
      </c>
      <c r="S496" s="6" t="e">
        <f t="shared" ca="1" si="94"/>
        <v>#N/A</v>
      </c>
      <c r="T496" s="6">
        <f t="shared" ca="1" si="84"/>
        <v>5</v>
      </c>
      <c r="U496" s="1">
        <f t="shared" ca="1" si="95"/>
        <v>1085</v>
      </c>
    </row>
    <row r="497" spans="1:21" x14ac:dyDescent="0.2">
      <c r="A497" s="7" cm="1">
        <f t="array" aca="1" ref="A497" ca="1">INDEX(Companies!$A:$A,RANDBETWEEN(2,COUNTA(Companies!$A:$A)),1)</f>
        <v>2</v>
      </c>
      <c r="B497" s="5">
        <f t="shared" si="85"/>
        <v>496</v>
      </c>
      <c r="C497" s="6">
        <f t="shared" ca="1" si="86"/>
        <v>1</v>
      </c>
      <c r="D497" s="7">
        <f ca="1">IF($B497 = 1 + N("Presidente"),
    127,
    IF($B497 = 2 + N("Vice-Presidente"),
        72,
        IF($B497 = 3 + N("Secretária bilíngue"),
            13,
            RANDBETWEEN(5,COUNT(Name!$A:$A) + 1)
        )
    )
)</f>
        <v>39</v>
      </c>
      <c r="E497" s="7" t="str">
        <f ca="1" xml:space="preserve">
VLOOKUP(
  $D497,
  Name!$A:$B,
  2,
  FALSE
)
&amp; " " &amp;
IF($B497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Ananda Morato Anjos</v>
      </c>
      <c r="F497" s="7">
        <v>2</v>
      </c>
      <c r="G497" s="7" cm="1">
        <f t="array" aca="1" ref="G497" ca="1">INDEX(States!$B:$B,RANDBETWEEN(2,COUNTA(States!$A:$A)),1)</f>
        <v>5</v>
      </c>
      <c r="H497" s="7" t="str">
        <f ca="1">VLOOKUP($D497,Name!$A:$C,3,FALSE)</f>
        <v>F</v>
      </c>
      <c r="I497" s="7" cm="1">
        <f t="array" aca="1" ref="I497" ca="1">INDEX('Marital status'!$A:$A,RANDBETWEEN(2,COUNTA('Marital status'!$A:$A)),1)</f>
        <v>2</v>
      </c>
      <c r="J497" s="7">
        <f t="shared" ca="1" si="87"/>
        <v>3</v>
      </c>
      <c r="K497" s="8">
        <f t="shared" ca="1" si="88"/>
        <v>34758</v>
      </c>
      <c r="L497" s="6">
        <f t="shared" ca="1" si="89"/>
        <v>5</v>
      </c>
      <c r="M497" s="7">
        <f ca="1" xml:space="preserve">
  IF(OR($N497 = 2, $N497 = 3, $N497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497" s="6">
        <f t="shared" ca="1" si="90"/>
        <v>8</v>
      </c>
      <c r="O497" s="6">
        <f t="shared" ca="1" si="91"/>
        <v>2</v>
      </c>
      <c r="P497" s="8">
        <f t="shared" ca="1" si="92"/>
        <v>39423</v>
      </c>
      <c r="Q497" s="6">
        <f ca="1">RANDBETWEEN(2,COUNTA('Recruitment source'!$A:$A))</f>
        <v>10</v>
      </c>
      <c r="R497" s="8" t="e">
        <f t="shared" ca="1" si="93"/>
        <v>#N/A</v>
      </c>
      <c r="S497" s="6" t="e">
        <f t="shared" ca="1" si="94"/>
        <v>#N/A</v>
      </c>
      <c r="T497" s="6">
        <f t="shared" ca="1" si="84"/>
        <v>4</v>
      </c>
      <c r="U497" s="1">
        <f t="shared" ca="1" si="95"/>
        <v>2000</v>
      </c>
    </row>
    <row r="498" spans="1:21" x14ac:dyDescent="0.2">
      <c r="A498" s="7" cm="1">
        <f t="array" aca="1" ref="A498" ca="1">INDEX(Companies!$A:$A,RANDBETWEEN(2,COUNTA(Companies!$A:$A)),1)</f>
        <v>2</v>
      </c>
      <c r="B498" s="5">
        <f t="shared" si="85"/>
        <v>497</v>
      </c>
      <c r="C498" s="6">
        <f t="shared" ca="1" si="86"/>
        <v>1</v>
      </c>
      <c r="D498" s="7">
        <f ca="1">IF($B498 = 1 + N("Presidente"),
    127,
    IF($B498 = 2 + N("Vice-Presidente"),
        72,
        IF($B498 = 3 + N("Secretária bilíngue"),
            13,
            RANDBETWEEN(5,COUNT(Name!$A:$A) + 1)
        )
    )
)</f>
        <v>69</v>
      </c>
      <c r="E498" s="7" t="str">
        <f ca="1" xml:space="preserve">
VLOOKUP(
  $D498,
  Name!$A:$B,
  2,
  FALSE
)
&amp; " " &amp;
IF($B498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Benjamin Amor Rizzo</v>
      </c>
      <c r="F498" s="7">
        <v>2</v>
      </c>
      <c r="G498" s="7" cm="1">
        <f t="array" aca="1" ref="G498" ca="1">INDEX(States!$B:$B,RANDBETWEEN(2,COUNTA(States!$A:$A)),1)</f>
        <v>14</v>
      </c>
      <c r="H498" s="7" t="str">
        <f ca="1">VLOOKUP($D498,Name!$A:$C,3,FALSE)</f>
        <v>M</v>
      </c>
      <c r="I498" s="7" cm="1">
        <f t="array" aca="1" ref="I498" ca="1">INDEX('Marital status'!$A:$A,RANDBETWEEN(2,COUNTA('Marital status'!$A:$A)),1)</f>
        <v>3</v>
      </c>
      <c r="J498" s="7">
        <f t="shared" ca="1" si="87"/>
        <v>2</v>
      </c>
      <c r="K498" s="8">
        <f t="shared" ca="1" si="88"/>
        <v>31979</v>
      </c>
      <c r="L498" s="6">
        <f t="shared" ca="1" si="89"/>
        <v>4</v>
      </c>
      <c r="M498" s="7">
        <f ca="1" xml:space="preserve">
  IF(OR($N498 = 2, $N498 = 3, $N498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498" s="6">
        <f t="shared" ca="1" si="90"/>
        <v>7</v>
      </c>
      <c r="O498" s="6" t="e">
        <f t="shared" ca="1" si="91"/>
        <v>#N/A</v>
      </c>
      <c r="P498" s="8">
        <f t="shared" ca="1" si="92"/>
        <v>43326</v>
      </c>
      <c r="Q498" s="6">
        <f ca="1">RANDBETWEEN(2,COUNTA('Recruitment source'!$A:$A))</f>
        <v>3</v>
      </c>
      <c r="R498" s="8" t="e">
        <f t="shared" ca="1" si="93"/>
        <v>#N/A</v>
      </c>
      <c r="S498" s="6" t="e">
        <f t="shared" ca="1" si="94"/>
        <v>#N/A</v>
      </c>
      <c r="T498" s="6">
        <f t="shared" ca="1" si="84"/>
        <v>3</v>
      </c>
      <c r="U498" s="1">
        <f t="shared" ca="1" si="95"/>
        <v>1085</v>
      </c>
    </row>
    <row r="499" spans="1:21" x14ac:dyDescent="0.2">
      <c r="A499" s="7" cm="1">
        <f t="array" aca="1" ref="A499" ca="1">INDEX(Companies!$A:$A,RANDBETWEEN(2,COUNTA(Companies!$A:$A)),1)</f>
        <v>2</v>
      </c>
      <c r="B499" s="5">
        <f t="shared" si="85"/>
        <v>498</v>
      </c>
      <c r="C499" s="6">
        <f t="shared" ca="1" si="86"/>
        <v>1</v>
      </c>
      <c r="D499" s="7">
        <f ca="1">IF($B499 = 1 + N("Presidente"),
    127,
    IF($B499 = 2 + N("Vice-Presidente"),
        72,
        IF($B499 = 3 + N("Secretária bilíngue"),
            13,
            RANDBETWEEN(5,COUNT(Name!$A:$A) + 1)
        )
    )
)</f>
        <v>268</v>
      </c>
      <c r="E499" s="7" t="str">
        <f ca="1" xml:space="preserve">
VLOOKUP(
  $D499,
  Name!$A:$B,
  2,
  FALSE
)
&amp; " " &amp;
IF($B499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Isis Azeredo Sá</v>
      </c>
      <c r="F499" s="7">
        <v>2</v>
      </c>
      <c r="G499" s="7" cm="1">
        <f t="array" aca="1" ref="G499" ca="1">INDEX(States!$B:$B,RANDBETWEEN(2,COUNTA(States!$A:$A)),1)</f>
        <v>7</v>
      </c>
      <c r="H499" s="7" t="str">
        <f ca="1">VLOOKUP($D499,Name!$A:$C,3,FALSE)</f>
        <v>F</v>
      </c>
      <c r="I499" s="7" cm="1">
        <f t="array" aca="1" ref="I499" ca="1">INDEX('Marital status'!$A:$A,RANDBETWEEN(2,COUNTA('Marital status'!$A:$A)),1)</f>
        <v>6</v>
      </c>
      <c r="J499" s="7">
        <f t="shared" ca="1" si="87"/>
        <v>2</v>
      </c>
      <c r="K499" s="8">
        <f t="shared" ca="1" si="88"/>
        <v>33878</v>
      </c>
      <c r="L499" s="6">
        <f t="shared" ca="1" si="89"/>
        <v>5</v>
      </c>
      <c r="M499" s="7">
        <f ca="1" xml:space="preserve">
  IF(OR($N499 = 2, $N499 = 3, $N499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499" s="6">
        <f t="shared" ca="1" si="90"/>
        <v>8</v>
      </c>
      <c r="O499" s="6">
        <f t="shared" ca="1" si="91"/>
        <v>2</v>
      </c>
      <c r="P499" s="8">
        <f t="shared" ca="1" si="92"/>
        <v>42999</v>
      </c>
      <c r="Q499" s="6">
        <f ca="1">RANDBETWEEN(2,COUNTA('Recruitment source'!$A:$A))</f>
        <v>3</v>
      </c>
      <c r="R499" s="8" t="e">
        <f t="shared" ca="1" si="93"/>
        <v>#N/A</v>
      </c>
      <c r="S499" s="6" t="e">
        <f t="shared" ca="1" si="94"/>
        <v>#N/A</v>
      </c>
      <c r="T499" s="6">
        <f t="shared" ca="1" si="84"/>
        <v>3</v>
      </c>
      <c r="U499" s="1">
        <f t="shared" ca="1" si="95"/>
        <v>2080</v>
      </c>
    </row>
    <row r="500" spans="1:21" x14ac:dyDescent="0.2">
      <c r="A500" s="7" cm="1">
        <f t="array" aca="1" ref="A500" ca="1">INDEX(Companies!$A:$A,RANDBETWEEN(2,COUNTA(Companies!$A:$A)),1)</f>
        <v>2</v>
      </c>
      <c r="B500" s="5">
        <f t="shared" si="85"/>
        <v>499</v>
      </c>
      <c r="C500" s="6">
        <f t="shared" ca="1" si="86"/>
        <v>1</v>
      </c>
      <c r="D500" s="7">
        <f ca="1">IF($B500 = 1 + N("Presidente"),
    127,
    IF($B500 = 2 + N("Vice-Presidente"),
        72,
        IF($B500 = 3 + N("Secretária bilíngue"),
            13,
            RANDBETWEEN(5,COUNT(Name!$A:$A) + 1)
        )
    )
)</f>
        <v>271</v>
      </c>
      <c r="E500" s="7" t="str">
        <f ca="1" xml:space="preserve">
VLOOKUP(
  $D500,
  Name!$A:$B,
  2,
  FALSE
)
&amp; " " &amp;
IF($B500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Luiza Moura Dantas</v>
      </c>
      <c r="F500" s="7">
        <v>2</v>
      </c>
      <c r="G500" s="7" cm="1">
        <f t="array" aca="1" ref="G500" ca="1">INDEX(States!$B:$B,RANDBETWEEN(2,COUNTA(States!$A:$A)),1)</f>
        <v>18</v>
      </c>
      <c r="H500" s="7" t="str">
        <f ca="1">VLOOKUP($D500,Name!$A:$C,3,FALSE)</f>
        <v>F</v>
      </c>
      <c r="I500" s="7" cm="1">
        <f t="array" aca="1" ref="I500" ca="1">INDEX('Marital status'!$A:$A,RANDBETWEEN(2,COUNTA('Marital status'!$A:$A)),1)</f>
        <v>4</v>
      </c>
      <c r="J500" s="7">
        <f t="shared" ca="1" si="87"/>
        <v>2</v>
      </c>
      <c r="K500" s="8">
        <f t="shared" ca="1" si="88"/>
        <v>32588</v>
      </c>
      <c r="L500" s="6">
        <f t="shared" ca="1" si="89"/>
        <v>4</v>
      </c>
      <c r="M500" s="7">
        <f ca="1" xml:space="preserve">
  IF(OR($N500 = 2, $N500 = 3, $N500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500" s="6">
        <f t="shared" ca="1" si="90"/>
        <v>6</v>
      </c>
      <c r="O500" s="6" t="e">
        <f t="shared" ca="1" si="91"/>
        <v>#N/A</v>
      </c>
      <c r="P500" s="8">
        <f t="shared" ca="1" si="92"/>
        <v>44443</v>
      </c>
      <c r="Q500" s="6">
        <f ca="1">RANDBETWEEN(2,COUNTA('Recruitment source'!$A:$A))</f>
        <v>11</v>
      </c>
      <c r="R500" s="8" t="e">
        <f t="shared" ca="1" si="93"/>
        <v>#N/A</v>
      </c>
      <c r="S500" s="6" t="e">
        <f t="shared" ca="1" si="94"/>
        <v>#N/A</v>
      </c>
      <c r="T500" s="6">
        <f t="shared" ca="1" si="84"/>
        <v>3</v>
      </c>
      <c r="U500" s="1">
        <f t="shared" ca="1" si="95"/>
        <v>805</v>
      </c>
    </row>
    <row r="501" spans="1:21" x14ac:dyDescent="0.2">
      <c r="A501" s="7" cm="1">
        <f t="array" aca="1" ref="A501" ca="1">INDEX(Companies!$A:$A,RANDBETWEEN(2,COUNTA(Companies!$A:$A)),1)</f>
        <v>2</v>
      </c>
      <c r="B501" s="5">
        <f t="shared" si="85"/>
        <v>500</v>
      </c>
      <c r="C501" s="6">
        <f t="shared" ca="1" si="86"/>
        <v>1</v>
      </c>
      <c r="D501" s="7">
        <f ca="1">IF($B501 = 1 + N("Presidente"),
    127,
    IF($B501 = 2 + N("Vice-Presidente"),
        72,
        IF($B501 = 3 + N("Secretária bilíngue"),
            13,
            RANDBETWEEN(5,COUNT(Name!$A:$A) + 1)
        )
    )
)</f>
        <v>23</v>
      </c>
      <c r="E501" s="7" t="str">
        <f ca="1" xml:space="preserve">
VLOOKUP(
  $D501,
  Name!$A:$B,
  2,
  FALSE
)
&amp; " " &amp;
IF($B501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Amanda Pimentel Teixeira</v>
      </c>
      <c r="F501" s="7">
        <v>2</v>
      </c>
      <c r="G501" s="7" cm="1">
        <f t="array" aca="1" ref="G501" ca="1">INDEX(States!$B:$B,RANDBETWEEN(2,COUNTA(States!$A:$A)),1)</f>
        <v>13</v>
      </c>
      <c r="H501" s="7" t="str">
        <f ca="1">VLOOKUP($D501,Name!$A:$C,3,FALSE)</f>
        <v>F</v>
      </c>
      <c r="I501" s="7" cm="1">
        <f t="array" aca="1" ref="I501" ca="1">INDEX('Marital status'!$A:$A,RANDBETWEEN(2,COUNTA('Marital status'!$A:$A)),1)</f>
        <v>5</v>
      </c>
      <c r="J501" s="7">
        <f t="shared" ca="1" si="87"/>
        <v>2</v>
      </c>
      <c r="K501" s="8">
        <f t="shared" ca="1" si="88"/>
        <v>34325</v>
      </c>
      <c r="L501" s="6">
        <f t="shared" ca="1" si="89"/>
        <v>5</v>
      </c>
      <c r="M501" s="7">
        <f ca="1" xml:space="preserve">
  IF(OR($N501 = 2, $N501 = 3, $N501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501" s="6">
        <f t="shared" ca="1" si="90"/>
        <v>8</v>
      </c>
      <c r="O501" s="6">
        <f t="shared" ca="1" si="91"/>
        <v>4</v>
      </c>
      <c r="P501" s="8">
        <f t="shared" ca="1" si="92"/>
        <v>44159</v>
      </c>
      <c r="Q501" s="6">
        <f ca="1">RANDBETWEEN(2,COUNTA('Recruitment source'!$A:$A))</f>
        <v>10</v>
      </c>
      <c r="R501" s="8" t="e">
        <f t="shared" ca="1" si="93"/>
        <v>#N/A</v>
      </c>
      <c r="S501" s="6" t="e">
        <f t="shared" ca="1" si="94"/>
        <v>#N/A</v>
      </c>
      <c r="T501" s="6">
        <f t="shared" ca="1" si="84"/>
        <v>2</v>
      </c>
      <c r="U501" s="1">
        <f t="shared" ca="1" si="95"/>
        <v>2000</v>
      </c>
    </row>
    <row r="502" spans="1:21" x14ac:dyDescent="0.2">
      <c r="A502" s="7" cm="1">
        <f t="array" aca="1" ref="A502" ca="1">INDEX(Companies!$A:$A,RANDBETWEEN(2,COUNTA(Companies!$A:$A)),1)</f>
        <v>2</v>
      </c>
      <c r="B502" s="5">
        <f t="shared" si="85"/>
        <v>501</v>
      </c>
      <c r="C502" s="6">
        <f t="shared" ca="1" si="86"/>
        <v>1</v>
      </c>
      <c r="D502" s="7">
        <f ca="1">IF($B502 = 1 + N("Presidente"),
    127,
    IF($B502 = 2 + N("Vice-Presidente"),
        72,
        IF($B502 = 3 + N("Secretária bilíngue"),
            13,
            RANDBETWEEN(5,COUNT(Name!$A:$A) + 1)
        )
    )
)</f>
        <v>231</v>
      </c>
      <c r="E502" s="7" t="str">
        <f ca="1" xml:space="preserve">
VLOOKUP(
  $D502,
  Name!$A:$B,
  2,
  FALSE
)
&amp; " " &amp;
IF($B502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Lorenna Bispo Bactista</v>
      </c>
      <c r="F502" s="7">
        <v>2</v>
      </c>
      <c r="G502" s="7" cm="1">
        <f t="array" aca="1" ref="G502" ca="1">INDEX(States!$B:$B,RANDBETWEEN(2,COUNTA(States!$A:$A)),1)</f>
        <v>2</v>
      </c>
      <c r="H502" s="7" t="str">
        <f ca="1">VLOOKUP($D502,Name!$A:$C,3,FALSE)</f>
        <v>F</v>
      </c>
      <c r="I502" s="7" cm="1">
        <f t="array" aca="1" ref="I502" ca="1">INDEX('Marital status'!$A:$A,RANDBETWEEN(2,COUNTA('Marital status'!$A:$A)),1)</f>
        <v>2</v>
      </c>
      <c r="J502" s="7">
        <f t="shared" ca="1" si="87"/>
        <v>2</v>
      </c>
      <c r="K502" s="8">
        <f t="shared" ca="1" si="88"/>
        <v>24422</v>
      </c>
      <c r="L502" s="6">
        <f t="shared" ca="1" si="89"/>
        <v>4</v>
      </c>
      <c r="M502" s="7">
        <f ca="1" xml:space="preserve">
  IF(OR($N502 = 2, $N502 = 3, $N502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502" s="6">
        <f t="shared" ca="1" si="90"/>
        <v>6</v>
      </c>
      <c r="O502" s="6" t="e">
        <f t="shared" ca="1" si="91"/>
        <v>#N/A</v>
      </c>
      <c r="P502" s="8">
        <f t="shared" ca="1" si="92"/>
        <v>40947</v>
      </c>
      <c r="Q502" s="6">
        <f ca="1">RANDBETWEEN(2,COUNTA('Recruitment source'!$A:$A))</f>
        <v>2</v>
      </c>
      <c r="R502" s="8" t="e">
        <f t="shared" ca="1" si="93"/>
        <v>#N/A</v>
      </c>
      <c r="S502" s="6" t="e">
        <f t="shared" ca="1" si="94"/>
        <v>#N/A</v>
      </c>
      <c r="T502" s="6">
        <f t="shared" ca="1" si="84"/>
        <v>5</v>
      </c>
      <c r="U502" s="1">
        <f t="shared" ca="1" si="95"/>
        <v>805</v>
      </c>
    </row>
    <row r="503" spans="1:21" x14ac:dyDescent="0.2">
      <c r="A503" s="7" cm="1">
        <f t="array" aca="1" ref="A503" ca="1">INDEX(Companies!$A:$A,RANDBETWEEN(2,COUNTA(Companies!$A:$A)),1)</f>
        <v>2</v>
      </c>
      <c r="B503" s="5">
        <f t="shared" si="85"/>
        <v>502</v>
      </c>
      <c r="C503" s="6">
        <f t="shared" ca="1" si="86"/>
        <v>1</v>
      </c>
      <c r="D503" s="7">
        <f ca="1">IF($B503 = 1 + N("Presidente"),
    127,
    IF($B503 = 2 + N("Vice-Presidente"),
        72,
        IF($B503 = 3 + N("Secretária bilíngue"),
            13,
            RANDBETWEEN(5,COUNT(Name!$A:$A) + 1)
        )
    )
)</f>
        <v>297</v>
      </c>
      <c r="E503" s="7" t="str">
        <f ca="1" xml:space="preserve">
VLOOKUP(
  $D503,
  Name!$A:$B,
  2,
  FALSE
)
&amp; " " &amp;
IF($B503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Miguelito Poeta Cunha</v>
      </c>
      <c r="F503" s="7">
        <v>2</v>
      </c>
      <c r="G503" s="7" cm="1">
        <f t="array" aca="1" ref="G503" ca="1">INDEX(States!$B:$B,RANDBETWEEN(2,COUNTA(States!$A:$A)),1)</f>
        <v>10</v>
      </c>
      <c r="H503" s="7" t="str">
        <f ca="1">VLOOKUP($D503,Name!$A:$C,3,FALSE)</f>
        <v>M</v>
      </c>
      <c r="I503" s="7" cm="1">
        <f t="array" aca="1" ref="I503" ca="1">INDEX('Marital status'!$A:$A,RANDBETWEEN(2,COUNTA('Marital status'!$A:$A)),1)</f>
        <v>6</v>
      </c>
      <c r="J503" s="7">
        <f t="shared" ca="1" si="87"/>
        <v>2</v>
      </c>
      <c r="K503" s="8">
        <f t="shared" ca="1" si="88"/>
        <v>36407</v>
      </c>
      <c r="L503" s="6">
        <f t="shared" ca="1" si="89"/>
        <v>5</v>
      </c>
      <c r="M503" s="7">
        <f ca="1" xml:space="preserve">
  IF(OR($N503 = 2, $N503 = 3, $N503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503" s="6">
        <f t="shared" ca="1" si="90"/>
        <v>8</v>
      </c>
      <c r="O503" s="6">
        <f t="shared" ca="1" si="91"/>
        <v>2</v>
      </c>
      <c r="P503" s="8">
        <f t="shared" ca="1" si="92"/>
        <v>40474</v>
      </c>
      <c r="Q503" s="6">
        <f ca="1">RANDBETWEEN(2,COUNTA('Recruitment source'!$A:$A))</f>
        <v>11</v>
      </c>
      <c r="R503" s="8" t="e">
        <f t="shared" ca="1" si="93"/>
        <v>#N/A</v>
      </c>
      <c r="S503" s="6" t="e">
        <f t="shared" ca="1" si="94"/>
        <v>#N/A</v>
      </c>
      <c r="T503" s="6">
        <f t="shared" ca="1" si="84"/>
        <v>2</v>
      </c>
      <c r="U503" s="1">
        <f t="shared" ca="1" si="95"/>
        <v>2000</v>
      </c>
    </row>
    <row r="504" spans="1:21" x14ac:dyDescent="0.2">
      <c r="A504" s="7" cm="1">
        <f t="array" aca="1" ref="A504" ca="1">INDEX(Companies!$A:$A,RANDBETWEEN(2,COUNTA(Companies!$A:$A)),1)</f>
        <v>2</v>
      </c>
      <c r="B504" s="5">
        <f t="shared" si="85"/>
        <v>503</v>
      </c>
      <c r="C504" s="6">
        <f t="shared" ca="1" si="86"/>
        <v>1</v>
      </c>
      <c r="D504" s="7">
        <f ca="1">IF($B504 = 1 + N("Presidente"),
    127,
    IF($B504 = 2 + N("Vice-Presidente"),
        72,
        IF($B504 = 3 + N("Secretária bilíngue"),
            13,
            RANDBETWEEN(5,COUNT(Name!$A:$A) + 1)
        )
    )
)</f>
        <v>211</v>
      </c>
      <c r="E504" s="7" t="str">
        <f ca="1" xml:space="preserve">
VLOOKUP(
  $D504,
  Name!$A:$B,
  2,
  FALSE
)
&amp; " " &amp;
IF($B504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Kauê Auth Rinaldi</v>
      </c>
      <c r="F504" s="7">
        <v>2</v>
      </c>
      <c r="G504" s="7" cm="1">
        <f t="array" aca="1" ref="G504" ca="1">INDEX(States!$B:$B,RANDBETWEEN(2,COUNTA(States!$A:$A)),1)</f>
        <v>10</v>
      </c>
      <c r="H504" s="7" t="str">
        <f ca="1">VLOOKUP($D504,Name!$A:$C,3,FALSE)</f>
        <v>M</v>
      </c>
      <c r="I504" s="7" cm="1">
        <f t="array" aca="1" ref="I504" ca="1">INDEX('Marital status'!$A:$A,RANDBETWEEN(2,COUNTA('Marital status'!$A:$A)),1)</f>
        <v>5</v>
      </c>
      <c r="J504" s="7">
        <f t="shared" ca="1" si="87"/>
        <v>3</v>
      </c>
      <c r="K504" s="8">
        <f t="shared" ca="1" si="88"/>
        <v>29973</v>
      </c>
      <c r="L504" s="6">
        <f t="shared" ca="1" si="89"/>
        <v>4</v>
      </c>
      <c r="M504" s="7">
        <f ca="1" xml:space="preserve">
  IF(OR($N504 = 2, $N504 = 3, $N504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504" s="6">
        <f t="shared" ca="1" si="90"/>
        <v>7</v>
      </c>
      <c r="O504" s="6" t="e">
        <f t="shared" ca="1" si="91"/>
        <v>#N/A</v>
      </c>
      <c r="P504" s="8">
        <f t="shared" ca="1" si="92"/>
        <v>38105</v>
      </c>
      <c r="Q504" s="6">
        <f ca="1">RANDBETWEEN(2,COUNTA('Recruitment source'!$A:$A))</f>
        <v>4</v>
      </c>
      <c r="R504" s="8" t="e">
        <f t="shared" ca="1" si="93"/>
        <v>#N/A</v>
      </c>
      <c r="S504" s="6" t="e">
        <f t="shared" ca="1" si="94"/>
        <v>#N/A</v>
      </c>
      <c r="T504" s="6">
        <f t="shared" ca="1" si="84"/>
        <v>4</v>
      </c>
      <c r="U504" s="1">
        <f t="shared" ca="1" si="95"/>
        <v>1005</v>
      </c>
    </row>
    <row r="505" spans="1:21" x14ac:dyDescent="0.2">
      <c r="A505" s="7" cm="1">
        <f t="array" aca="1" ref="A505" ca="1">INDEX(Companies!$A:$A,RANDBETWEEN(2,COUNTA(Companies!$A:$A)),1)</f>
        <v>2</v>
      </c>
      <c r="B505" s="5">
        <f t="shared" si="85"/>
        <v>504</v>
      </c>
      <c r="C505" s="6">
        <f t="shared" ca="1" si="86"/>
        <v>1</v>
      </c>
      <c r="D505" s="7">
        <f ca="1">IF($B505 = 1 + N("Presidente"),
    127,
    IF($B505 = 2 + N("Vice-Presidente"),
        72,
        IF($B505 = 3 + N("Secretária bilíngue"),
            13,
            RANDBETWEEN(5,COUNT(Name!$A:$A) + 1)
        )
    )
)</f>
        <v>26</v>
      </c>
      <c r="E505" s="7" t="str">
        <f ca="1" xml:space="preserve">
VLOOKUP(
  $D505,
  Name!$A:$B,
  2,
  FALSE
)
&amp; " " &amp;
IF($B505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Beatriz Caruso Andrade</v>
      </c>
      <c r="F505" s="7">
        <v>2</v>
      </c>
      <c r="G505" s="7" cm="1">
        <f t="array" aca="1" ref="G505" ca="1">INDEX(States!$B:$B,RANDBETWEEN(2,COUNTA(States!$A:$A)),1)</f>
        <v>17</v>
      </c>
      <c r="H505" s="7" t="str">
        <f ca="1">VLOOKUP($D505,Name!$A:$C,3,FALSE)</f>
        <v>F</v>
      </c>
      <c r="I505" s="7" cm="1">
        <f t="array" aca="1" ref="I505" ca="1">INDEX('Marital status'!$A:$A,RANDBETWEEN(2,COUNTA('Marital status'!$A:$A)),1)</f>
        <v>3</v>
      </c>
      <c r="J505" s="7">
        <f t="shared" ca="1" si="87"/>
        <v>2</v>
      </c>
      <c r="K505" s="8">
        <f t="shared" ca="1" si="88"/>
        <v>38161</v>
      </c>
      <c r="L505" s="6">
        <f t="shared" ca="1" si="89"/>
        <v>4</v>
      </c>
      <c r="M505" s="7">
        <f ca="1" xml:space="preserve">
  IF(OR($N505 = 2, $N505 = 3, $N505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505" s="6">
        <f t="shared" ca="1" si="90"/>
        <v>8</v>
      </c>
      <c r="O505" s="6">
        <f t="shared" ca="1" si="91"/>
        <v>3</v>
      </c>
      <c r="P505" s="8">
        <f t="shared" ca="1" si="92"/>
        <v>44838</v>
      </c>
      <c r="Q505" s="6">
        <f ca="1">RANDBETWEEN(2,COUNTA('Recruitment source'!$A:$A))</f>
        <v>8</v>
      </c>
      <c r="R505" s="8" t="e">
        <f t="shared" ca="1" si="93"/>
        <v>#N/A</v>
      </c>
      <c r="S505" s="6" t="e">
        <f t="shared" ca="1" si="94"/>
        <v>#N/A</v>
      </c>
      <c r="T505" s="6">
        <f t="shared" ca="1" si="84"/>
        <v>2</v>
      </c>
      <c r="U505" s="1">
        <f t="shared" ca="1" si="95"/>
        <v>2000</v>
      </c>
    </row>
    <row r="506" spans="1:21" x14ac:dyDescent="0.2">
      <c r="A506" s="7" cm="1">
        <f t="array" aca="1" ref="A506" ca="1">INDEX(Companies!$A:$A,RANDBETWEEN(2,COUNTA(Companies!$A:$A)),1)</f>
        <v>2</v>
      </c>
      <c r="B506" s="5">
        <f t="shared" si="85"/>
        <v>505</v>
      </c>
      <c r="C506" s="6">
        <f t="shared" ca="1" si="86"/>
        <v>1</v>
      </c>
      <c r="D506" s="7">
        <f ca="1">IF($B506 = 1 + N("Presidente"),
    127,
    IF($B506 = 2 + N("Vice-Presidente"),
        72,
        IF($B506 = 3 + N("Secretária bilíngue"),
            13,
            RANDBETWEEN(5,COUNT(Name!$A:$A) + 1)
        )
    )
)</f>
        <v>266</v>
      </c>
      <c r="E506" s="7" t="str">
        <f ca="1" xml:space="preserve">
VLOOKUP(
  $D506,
  Name!$A:$B,
  2,
  FALSE
)
&amp; " " &amp;
IF($B506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Helena Santana Carneiro</v>
      </c>
      <c r="F506" s="7">
        <v>2</v>
      </c>
      <c r="G506" s="7" cm="1">
        <f t="array" aca="1" ref="G506" ca="1">INDEX(States!$B:$B,RANDBETWEEN(2,COUNTA(States!$A:$A)),1)</f>
        <v>12</v>
      </c>
      <c r="H506" s="7" t="str">
        <f ca="1">VLOOKUP($D506,Name!$A:$C,3,FALSE)</f>
        <v>F</v>
      </c>
      <c r="I506" s="7" cm="1">
        <f t="array" aca="1" ref="I506" ca="1">INDEX('Marital status'!$A:$A,RANDBETWEEN(2,COUNTA('Marital status'!$A:$A)),1)</f>
        <v>3</v>
      </c>
      <c r="J506" s="7">
        <f t="shared" ca="1" si="87"/>
        <v>4</v>
      </c>
      <c r="K506" s="8">
        <f t="shared" ca="1" si="88"/>
        <v>33620</v>
      </c>
      <c r="L506" s="6">
        <f t="shared" ca="1" si="89"/>
        <v>4</v>
      </c>
      <c r="M506" s="7">
        <f ca="1" xml:space="preserve">
  IF(OR($N506 = 2, $N506 = 3, $N506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506" s="6">
        <f t="shared" ca="1" si="90"/>
        <v>6</v>
      </c>
      <c r="O506" s="6" t="e">
        <f t="shared" ca="1" si="91"/>
        <v>#N/A</v>
      </c>
      <c r="P506" s="8">
        <f t="shared" ca="1" si="92"/>
        <v>36548</v>
      </c>
      <c r="Q506" s="6">
        <f ca="1">RANDBETWEEN(2,COUNTA('Recruitment source'!$A:$A))</f>
        <v>6</v>
      </c>
      <c r="R506" s="8" t="e">
        <f t="shared" ca="1" si="93"/>
        <v>#N/A</v>
      </c>
      <c r="S506" s="6" t="e">
        <f t="shared" ca="1" si="94"/>
        <v>#N/A</v>
      </c>
      <c r="T506" s="6">
        <f t="shared" ca="1" si="84"/>
        <v>2</v>
      </c>
      <c r="U506" s="1">
        <f t="shared" ca="1" si="95"/>
        <v>885</v>
      </c>
    </row>
    <row r="507" spans="1:21" x14ac:dyDescent="0.2">
      <c r="A507" s="7" cm="1">
        <f t="array" aca="1" ref="A507" ca="1">INDEX(Companies!$A:$A,RANDBETWEEN(2,COUNTA(Companies!$A:$A)),1)</f>
        <v>2</v>
      </c>
      <c r="B507" s="5">
        <f t="shared" si="85"/>
        <v>506</v>
      </c>
      <c r="C507" s="6">
        <f t="shared" ca="1" si="86"/>
        <v>1</v>
      </c>
      <c r="D507" s="7">
        <f ca="1">IF($B507 = 1 + N("Presidente"),
    127,
    IF($B507 = 2 + N("Vice-Presidente"),
        72,
        IF($B507 = 3 + N("Secretária bilíngue"),
            13,
            RANDBETWEEN(5,COUNT(Name!$A:$A) + 1)
        )
    )
)</f>
        <v>271</v>
      </c>
      <c r="E507" s="7" t="str">
        <f ca="1" xml:space="preserve">
VLOOKUP(
  $D507,
  Name!$A:$B,
  2,
  FALSE
)
&amp; " " &amp;
IF($B507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Luiza Rangel Monti</v>
      </c>
      <c r="F507" s="7">
        <v>2</v>
      </c>
      <c r="G507" s="7" cm="1">
        <f t="array" aca="1" ref="G507" ca="1">INDEX(States!$B:$B,RANDBETWEEN(2,COUNTA(States!$A:$A)),1)</f>
        <v>19</v>
      </c>
      <c r="H507" s="7" t="str">
        <f ca="1">VLOOKUP($D507,Name!$A:$C,3,FALSE)</f>
        <v>F</v>
      </c>
      <c r="I507" s="7" cm="1">
        <f t="array" aca="1" ref="I507" ca="1">INDEX('Marital status'!$A:$A,RANDBETWEEN(2,COUNTA('Marital status'!$A:$A)),1)</f>
        <v>6</v>
      </c>
      <c r="J507" s="7">
        <f t="shared" ca="1" si="87"/>
        <v>2</v>
      </c>
      <c r="K507" s="8">
        <f t="shared" ca="1" si="88"/>
        <v>34413</v>
      </c>
      <c r="L507" s="6">
        <f t="shared" ca="1" si="89"/>
        <v>4</v>
      </c>
      <c r="M507" s="7">
        <f ca="1" xml:space="preserve">
  IF(OR($N507 = 2, $N507 = 3, $N507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507" s="6">
        <f t="shared" ca="1" si="90"/>
        <v>8</v>
      </c>
      <c r="O507" s="6">
        <f t="shared" ca="1" si="91"/>
        <v>2</v>
      </c>
      <c r="P507" s="8">
        <f t="shared" ca="1" si="92"/>
        <v>41012</v>
      </c>
      <c r="Q507" s="6">
        <f ca="1">RANDBETWEEN(2,COUNTA('Recruitment source'!$A:$A))</f>
        <v>10</v>
      </c>
      <c r="R507" s="8" t="e">
        <f t="shared" ca="1" si="93"/>
        <v>#N/A</v>
      </c>
      <c r="S507" s="6" t="e">
        <f t="shared" ca="1" si="94"/>
        <v>#N/A</v>
      </c>
      <c r="T507" s="6">
        <f t="shared" ca="1" si="84"/>
        <v>2</v>
      </c>
      <c r="U507" s="1">
        <f t="shared" ca="1" si="95"/>
        <v>2000</v>
      </c>
    </row>
    <row r="508" spans="1:21" x14ac:dyDescent="0.2">
      <c r="A508" s="7" cm="1">
        <f t="array" aca="1" ref="A508" ca="1">INDEX(Companies!$A:$A,RANDBETWEEN(2,COUNTA(Companies!$A:$A)),1)</f>
        <v>2</v>
      </c>
      <c r="B508" s="5">
        <f t="shared" si="85"/>
        <v>507</v>
      </c>
      <c r="C508" s="6">
        <f t="shared" ca="1" si="86"/>
        <v>1</v>
      </c>
      <c r="D508" s="7">
        <f ca="1">IF($B508 = 1 + N("Presidente"),
    127,
    IF($B508 = 2 + N("Vice-Presidente"),
        72,
        IF($B508 = 3 + N("Secretária bilíngue"),
            13,
            RANDBETWEEN(5,COUNT(Name!$A:$A) + 1)
        )
    )
)</f>
        <v>133</v>
      </c>
      <c r="E508" s="7" t="str">
        <f ca="1" xml:space="preserve">
VLOOKUP(
  $D508,
  Name!$A:$B,
  2,
  FALSE
)
&amp; " " &amp;
IF($B508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Esther Marino Oliveira</v>
      </c>
      <c r="F508" s="7">
        <v>2</v>
      </c>
      <c r="G508" s="7" cm="1">
        <f t="array" aca="1" ref="G508" ca="1">INDEX(States!$B:$B,RANDBETWEEN(2,COUNTA(States!$A:$A)),1)</f>
        <v>18</v>
      </c>
      <c r="H508" s="7" t="str">
        <f ca="1">VLOOKUP($D508,Name!$A:$C,3,FALSE)</f>
        <v>F</v>
      </c>
      <c r="I508" s="7" cm="1">
        <f t="array" aca="1" ref="I508" ca="1">INDEX('Marital status'!$A:$A,RANDBETWEEN(2,COUNTA('Marital status'!$A:$A)),1)</f>
        <v>3</v>
      </c>
      <c r="J508" s="7">
        <f t="shared" ca="1" si="87"/>
        <v>2</v>
      </c>
      <c r="K508" s="8">
        <f t="shared" ca="1" si="88"/>
        <v>31481</v>
      </c>
      <c r="L508" s="6">
        <f t="shared" ca="1" si="89"/>
        <v>4</v>
      </c>
      <c r="M508" s="7">
        <f ca="1" xml:space="preserve">
  IF(OR($N508 = 2, $N508 = 3, $N508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508" s="6">
        <f t="shared" ca="1" si="90"/>
        <v>7</v>
      </c>
      <c r="O508" s="6" t="e">
        <f t="shared" ca="1" si="91"/>
        <v>#N/A</v>
      </c>
      <c r="P508" s="8">
        <f t="shared" ca="1" si="92"/>
        <v>36283</v>
      </c>
      <c r="Q508" s="6">
        <f ca="1">RANDBETWEEN(2,COUNTA('Recruitment source'!$A:$A))</f>
        <v>11</v>
      </c>
      <c r="R508" s="8" t="e">
        <f t="shared" ca="1" si="93"/>
        <v>#N/A</v>
      </c>
      <c r="S508" s="6" t="e">
        <f t="shared" ca="1" si="94"/>
        <v>#N/A</v>
      </c>
      <c r="T508" s="6">
        <f t="shared" ca="1" si="84"/>
        <v>2</v>
      </c>
      <c r="U508" s="1">
        <f t="shared" ca="1" si="95"/>
        <v>1005</v>
      </c>
    </row>
    <row r="509" spans="1:21" x14ac:dyDescent="0.2">
      <c r="A509" s="7" cm="1">
        <f t="array" aca="1" ref="A509" ca="1">INDEX(Companies!$A:$A,RANDBETWEEN(2,COUNTA(Companies!$A:$A)),1)</f>
        <v>2</v>
      </c>
      <c r="B509" s="5">
        <f t="shared" si="85"/>
        <v>508</v>
      </c>
      <c r="C509" s="6">
        <f t="shared" ca="1" si="86"/>
        <v>1</v>
      </c>
      <c r="D509" s="7">
        <f ca="1">IF($B509 = 1 + N("Presidente"),
    127,
    IF($B509 = 2 + N("Vice-Presidente"),
        72,
        IF($B509 = 3 + N("Secretária bilíngue"),
            13,
            RANDBETWEEN(5,COUNT(Name!$A:$A) + 1)
        )
    )
)</f>
        <v>189</v>
      </c>
      <c r="E509" s="7" t="str">
        <f ca="1" xml:space="preserve">
VLOOKUP(
  $D509,
  Name!$A:$B,
  2,
  FALSE
)
&amp; " " &amp;
IF($B509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Luccas Evangelista Farias</v>
      </c>
      <c r="F509" s="7">
        <v>2</v>
      </c>
      <c r="G509" s="7" cm="1">
        <f t="array" aca="1" ref="G509" ca="1">INDEX(States!$B:$B,RANDBETWEEN(2,COUNTA(States!$A:$A)),1)</f>
        <v>18</v>
      </c>
      <c r="H509" s="7" t="str">
        <f ca="1">VLOOKUP($D509,Name!$A:$C,3,FALSE)</f>
        <v>M</v>
      </c>
      <c r="I509" s="7" cm="1">
        <f t="array" aca="1" ref="I509" ca="1">INDEX('Marital status'!$A:$A,RANDBETWEEN(2,COUNTA('Marital status'!$A:$A)),1)</f>
        <v>5</v>
      </c>
      <c r="J509" s="7">
        <f t="shared" ca="1" si="87"/>
        <v>2</v>
      </c>
      <c r="K509" s="8">
        <f t="shared" ca="1" si="88"/>
        <v>33534</v>
      </c>
      <c r="L509" s="6">
        <f t="shared" ca="1" si="89"/>
        <v>4</v>
      </c>
      <c r="M509" s="7">
        <f ca="1" xml:space="preserve">
  IF(OR($N509 = 2, $N509 = 3, $N509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509" s="6">
        <f t="shared" ca="1" si="90"/>
        <v>8</v>
      </c>
      <c r="O509" s="6">
        <f t="shared" ca="1" si="91"/>
        <v>3</v>
      </c>
      <c r="P509" s="8">
        <f t="shared" ca="1" si="92"/>
        <v>43395</v>
      </c>
      <c r="Q509" s="6">
        <f ca="1">RANDBETWEEN(2,COUNTA('Recruitment source'!$A:$A))</f>
        <v>9</v>
      </c>
      <c r="R509" s="8" t="e">
        <f t="shared" ca="1" si="93"/>
        <v>#N/A</v>
      </c>
      <c r="S509" s="6" t="e">
        <f t="shared" ca="1" si="94"/>
        <v>#N/A</v>
      </c>
      <c r="T509" s="6">
        <f t="shared" ca="1" si="84"/>
        <v>4</v>
      </c>
      <c r="U509" s="1">
        <f t="shared" ca="1" si="95"/>
        <v>2080</v>
      </c>
    </row>
    <row r="510" spans="1:21" x14ac:dyDescent="0.2">
      <c r="A510" s="7" cm="1">
        <f t="array" aca="1" ref="A510" ca="1">INDEX(Companies!$A:$A,RANDBETWEEN(2,COUNTA(Companies!$A:$A)),1)</f>
        <v>2</v>
      </c>
      <c r="B510" s="5">
        <f t="shared" si="85"/>
        <v>509</v>
      </c>
      <c r="C510" s="6">
        <f t="shared" ca="1" si="86"/>
        <v>1</v>
      </c>
      <c r="D510" s="7">
        <f ca="1">IF($B510 = 1 + N("Presidente"),
    127,
    IF($B510 = 2 + N("Vice-Presidente"),
        72,
        IF($B510 = 3 + N("Secretária bilíngue"),
            13,
            RANDBETWEEN(5,COUNT(Name!$A:$A) + 1)
        )
    )
)</f>
        <v>105</v>
      </c>
      <c r="E510" s="7" t="str">
        <f ca="1" xml:space="preserve">
VLOOKUP(
  $D510,
  Name!$A:$B,
  2,
  FALSE
)
&amp; " " &amp;
IF($B510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Martini Figo</v>
      </c>
      <c r="F510" s="7">
        <v>2</v>
      </c>
      <c r="G510" s="7" cm="1">
        <f t="array" aca="1" ref="G510" ca="1">INDEX(States!$B:$B,RANDBETWEEN(2,COUNTA(States!$A:$A)),1)</f>
        <v>16</v>
      </c>
      <c r="H510" s="7" t="str">
        <f ca="1">VLOOKUP($D510,Name!$A:$C,3,FALSE)</f>
        <v>M</v>
      </c>
      <c r="I510" s="7" cm="1">
        <f t="array" aca="1" ref="I510" ca="1">INDEX('Marital status'!$A:$A,RANDBETWEEN(2,COUNTA('Marital status'!$A:$A)),1)</f>
        <v>4</v>
      </c>
      <c r="J510" s="7">
        <f t="shared" ca="1" si="87"/>
        <v>2</v>
      </c>
      <c r="K510" s="8">
        <f t="shared" ca="1" si="88"/>
        <v>34748</v>
      </c>
      <c r="L510" s="6">
        <f t="shared" ca="1" si="89"/>
        <v>4</v>
      </c>
      <c r="M510" s="7">
        <f ca="1" xml:space="preserve">
  IF(OR($N510 = 2, $N510 = 3, $N510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510" s="6">
        <f t="shared" ca="1" si="90"/>
        <v>7</v>
      </c>
      <c r="O510" s="6" t="e">
        <f t="shared" ca="1" si="91"/>
        <v>#N/A</v>
      </c>
      <c r="P510" s="8">
        <f t="shared" ca="1" si="92"/>
        <v>37688</v>
      </c>
      <c r="Q510" s="6">
        <f ca="1">RANDBETWEEN(2,COUNTA('Recruitment source'!$A:$A))</f>
        <v>12</v>
      </c>
      <c r="R510" s="8" t="e">
        <f t="shared" ca="1" si="93"/>
        <v>#N/A</v>
      </c>
      <c r="S510" s="6" t="e">
        <f t="shared" ca="1" si="94"/>
        <v>#N/A</v>
      </c>
      <c r="T510" s="6">
        <f t="shared" ca="1" si="84"/>
        <v>5</v>
      </c>
      <c r="U510" s="1">
        <f t="shared" ca="1" si="95"/>
        <v>1085</v>
      </c>
    </row>
    <row r="511" spans="1:21" x14ac:dyDescent="0.2">
      <c r="A511" s="7" cm="1">
        <f t="array" aca="1" ref="A511" ca="1">INDEX(Companies!$A:$A,RANDBETWEEN(2,COUNTA(Companies!$A:$A)),1)</f>
        <v>2</v>
      </c>
      <c r="B511" s="5">
        <f t="shared" si="85"/>
        <v>510</v>
      </c>
      <c r="C511" s="6">
        <f t="shared" ca="1" si="86"/>
        <v>1</v>
      </c>
      <c r="D511" s="7">
        <f ca="1">IF($B511 = 1 + N("Presidente"),
    127,
    IF($B511 = 2 + N("Vice-Presidente"),
        72,
        IF($B511 = 3 + N("Secretária bilíngue"),
            13,
            RANDBETWEEN(5,COUNT(Name!$A:$A) + 1)
        )
    )
)</f>
        <v>112</v>
      </c>
      <c r="E511" s="7" t="str">
        <f ca="1" xml:space="preserve">
VLOOKUP(
  $D511,
  Name!$A:$B,
  2,
  FALSE
)
&amp; " " &amp;
IF($B511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Deborah Bactista Pimentel</v>
      </c>
      <c r="F511" s="7">
        <v>2</v>
      </c>
      <c r="G511" s="7" cm="1">
        <f t="array" aca="1" ref="G511" ca="1">INDEX(States!$B:$B,RANDBETWEEN(2,COUNTA(States!$A:$A)),1)</f>
        <v>15</v>
      </c>
      <c r="H511" s="7" t="str">
        <f ca="1">VLOOKUP($D511,Name!$A:$C,3,FALSE)</f>
        <v>F</v>
      </c>
      <c r="I511" s="7" cm="1">
        <f t="array" aca="1" ref="I511" ca="1">INDEX('Marital status'!$A:$A,RANDBETWEEN(2,COUNTA('Marital status'!$A:$A)),1)</f>
        <v>5</v>
      </c>
      <c r="J511" s="7">
        <f t="shared" ca="1" si="87"/>
        <v>3</v>
      </c>
      <c r="K511" s="8">
        <f t="shared" ca="1" si="88"/>
        <v>33928</v>
      </c>
      <c r="L511" s="6">
        <f t="shared" ca="1" si="89"/>
        <v>5</v>
      </c>
      <c r="M511" s="7">
        <f ca="1" xml:space="preserve">
  IF(OR($N511 = 2, $N511 = 3, $N511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511" s="6">
        <f t="shared" ca="1" si="90"/>
        <v>8</v>
      </c>
      <c r="O511" s="6">
        <f t="shared" ca="1" si="91"/>
        <v>2</v>
      </c>
      <c r="P511" s="8">
        <f t="shared" ca="1" si="92"/>
        <v>40646</v>
      </c>
      <c r="Q511" s="6">
        <f ca="1">RANDBETWEEN(2,COUNTA('Recruitment source'!$A:$A))</f>
        <v>5</v>
      </c>
      <c r="R511" s="8" t="e">
        <f t="shared" ca="1" si="93"/>
        <v>#N/A</v>
      </c>
      <c r="S511" s="6" t="e">
        <f t="shared" ca="1" si="94"/>
        <v>#N/A</v>
      </c>
      <c r="T511" s="6">
        <f t="shared" ca="1" si="84"/>
        <v>5</v>
      </c>
      <c r="U511" s="1">
        <f t="shared" ca="1" si="95"/>
        <v>2080</v>
      </c>
    </row>
    <row r="512" spans="1:21" x14ac:dyDescent="0.2">
      <c r="A512" s="7" cm="1">
        <f t="array" aca="1" ref="A512" ca="1">INDEX(Companies!$A:$A,RANDBETWEEN(2,COUNTA(Companies!$A:$A)),1)</f>
        <v>2</v>
      </c>
      <c r="B512" s="5">
        <f t="shared" si="85"/>
        <v>511</v>
      </c>
      <c r="C512" s="6">
        <f t="shared" ca="1" si="86"/>
        <v>1</v>
      </c>
      <c r="D512" s="7">
        <f ca="1">IF($B512 = 1 + N("Presidente"),
    127,
    IF($B512 = 2 + N("Vice-Presidente"),
        72,
        IF($B512 = 3 + N("Secretária bilíngue"),
            13,
            RANDBETWEEN(5,COUNT(Name!$A:$A) + 1)
        )
    )
)</f>
        <v>27</v>
      </c>
      <c r="E512" s="7" t="str">
        <f ca="1" xml:space="preserve">
VLOOKUP(
  $D512,
  Name!$A:$B,
  2,
  FALSE
)
&amp; " " &amp;
IF($B512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Carolina Tavarez Ramos</v>
      </c>
      <c r="F512" s="7">
        <v>2</v>
      </c>
      <c r="G512" s="7" cm="1">
        <f t="array" aca="1" ref="G512" ca="1">INDEX(States!$B:$B,RANDBETWEEN(2,COUNTA(States!$A:$A)),1)</f>
        <v>7</v>
      </c>
      <c r="H512" s="7" t="str">
        <f ca="1">VLOOKUP($D512,Name!$A:$C,3,FALSE)</f>
        <v>F</v>
      </c>
      <c r="I512" s="7" cm="1">
        <f t="array" aca="1" ref="I512" ca="1">INDEX('Marital status'!$A:$A,RANDBETWEEN(2,COUNTA('Marital status'!$A:$A)),1)</f>
        <v>6</v>
      </c>
      <c r="J512" s="7">
        <f t="shared" ca="1" si="87"/>
        <v>2</v>
      </c>
      <c r="K512" s="8">
        <f t="shared" ca="1" si="88"/>
        <v>30023</v>
      </c>
      <c r="L512" s="6">
        <f t="shared" ca="1" si="89"/>
        <v>4</v>
      </c>
      <c r="M512" s="7">
        <f ca="1" xml:space="preserve">
  IF(OR($N512 = 2, $N512 = 3, $N512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512" s="6">
        <f t="shared" ca="1" si="90"/>
        <v>6</v>
      </c>
      <c r="O512" s="6" t="e">
        <f t="shared" ca="1" si="91"/>
        <v>#N/A</v>
      </c>
      <c r="P512" s="8">
        <f t="shared" ca="1" si="92"/>
        <v>43443</v>
      </c>
      <c r="Q512" s="6">
        <f ca="1">RANDBETWEEN(2,COUNTA('Recruitment source'!$A:$A))</f>
        <v>9</v>
      </c>
      <c r="R512" s="8" t="e">
        <f t="shared" ca="1" si="93"/>
        <v>#N/A</v>
      </c>
      <c r="S512" s="6" t="e">
        <f t="shared" ca="1" si="94"/>
        <v>#N/A</v>
      </c>
      <c r="T512" s="6">
        <f t="shared" ca="1" si="84"/>
        <v>3</v>
      </c>
      <c r="U512" s="1">
        <f t="shared" ca="1" si="95"/>
        <v>805</v>
      </c>
    </row>
    <row r="513" spans="1:21" x14ac:dyDescent="0.2">
      <c r="A513" s="7" cm="1">
        <f t="array" aca="1" ref="A513" ca="1">INDEX(Companies!$A:$A,RANDBETWEEN(2,COUNTA(Companies!$A:$A)),1)</f>
        <v>2</v>
      </c>
      <c r="B513" s="5">
        <f t="shared" si="85"/>
        <v>512</v>
      </c>
      <c r="C513" s="6">
        <f t="shared" ca="1" si="86"/>
        <v>1</v>
      </c>
      <c r="D513" s="7">
        <f ca="1">IF($B513 = 1 + N("Presidente"),
    127,
    IF($B513 = 2 + N("Vice-Presidente"),
        72,
        IF($B513 = 3 + N("Secretária bilíngue"),
            13,
            RANDBETWEEN(5,COUNT(Name!$A:$A) + 1)
        )
    )
)</f>
        <v>272</v>
      </c>
      <c r="E513" s="7" t="str">
        <f ca="1" xml:space="preserve">
VLOOKUP(
  $D513,
  Name!$A:$B,
  2,
  FALSE
)
&amp; " " &amp;
IF($B513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Madalena Albuquerque Alvim</v>
      </c>
      <c r="F513" s="7">
        <v>2</v>
      </c>
      <c r="G513" s="7" cm="1">
        <f t="array" aca="1" ref="G513" ca="1">INDEX(States!$B:$B,RANDBETWEEN(2,COUNTA(States!$A:$A)),1)</f>
        <v>12</v>
      </c>
      <c r="H513" s="7" t="str">
        <f ca="1">VLOOKUP($D513,Name!$A:$C,3,FALSE)</f>
        <v>F</v>
      </c>
      <c r="I513" s="7" cm="1">
        <f t="array" aca="1" ref="I513" ca="1">INDEX('Marital status'!$A:$A,RANDBETWEEN(2,COUNTA('Marital status'!$A:$A)),1)</f>
        <v>5</v>
      </c>
      <c r="J513" s="7">
        <f t="shared" ca="1" si="87"/>
        <v>5</v>
      </c>
      <c r="K513" s="8">
        <f t="shared" ca="1" si="88"/>
        <v>36157</v>
      </c>
      <c r="L513" s="6">
        <f t="shared" ca="1" si="89"/>
        <v>4</v>
      </c>
      <c r="M513" s="7">
        <f ca="1" xml:space="preserve">
  IF(OR($N513 = 2, $N513 = 3, $N513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513" s="6">
        <f t="shared" ca="1" si="90"/>
        <v>8</v>
      </c>
      <c r="O513" s="6">
        <f t="shared" ca="1" si="91"/>
        <v>4</v>
      </c>
      <c r="P513" s="8">
        <f t="shared" ca="1" si="92"/>
        <v>42496</v>
      </c>
      <c r="Q513" s="6">
        <f ca="1">RANDBETWEEN(2,COUNTA('Recruitment source'!$A:$A))</f>
        <v>4</v>
      </c>
      <c r="R513" s="8" t="e">
        <f t="shared" ca="1" si="93"/>
        <v>#N/A</v>
      </c>
      <c r="S513" s="6" t="e">
        <f t="shared" ca="1" si="94"/>
        <v>#N/A</v>
      </c>
      <c r="T513" s="6">
        <f t="shared" ca="1" si="84"/>
        <v>5</v>
      </c>
      <c r="U513" s="1">
        <f t="shared" ca="1" si="95"/>
        <v>2000</v>
      </c>
    </row>
    <row r="514" spans="1:21" x14ac:dyDescent="0.2">
      <c r="A514" s="7" cm="1">
        <f t="array" aca="1" ref="A514" ca="1">INDEX(Companies!$A:$A,RANDBETWEEN(2,COUNTA(Companies!$A:$A)),1)</f>
        <v>2</v>
      </c>
      <c r="B514" s="5">
        <f t="shared" si="85"/>
        <v>513</v>
      </c>
      <c r="C514" s="6">
        <f t="shared" ca="1" si="86"/>
        <v>1</v>
      </c>
      <c r="D514" s="7">
        <f ca="1">IF($B514 = 1 + N("Presidente"),
    127,
    IF($B514 = 2 + N("Vice-Presidente"),
        72,
        IF($B514 = 3 + N("Secretária bilíngue"),
            13,
            RANDBETWEEN(5,COUNT(Name!$A:$A) + 1)
        )
    )
)</f>
        <v>139</v>
      </c>
      <c r="E514" s="7" t="str">
        <f ca="1" xml:space="preserve">
VLOOKUP(
  $D514,
  Name!$A:$B,
  2,
  FALSE
)
&amp; " " &amp;
IF($B514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Mariano Marino Ferreira</v>
      </c>
      <c r="F514" s="7">
        <v>2</v>
      </c>
      <c r="G514" s="7" cm="1">
        <f t="array" aca="1" ref="G514" ca="1">INDEX(States!$B:$B,RANDBETWEEN(2,COUNTA(States!$A:$A)),1)</f>
        <v>8</v>
      </c>
      <c r="H514" s="7" t="str">
        <f ca="1">VLOOKUP($D514,Name!$A:$C,3,FALSE)</f>
        <v>M</v>
      </c>
      <c r="I514" s="7" cm="1">
        <f t="array" aca="1" ref="I514" ca="1">INDEX('Marital status'!$A:$A,RANDBETWEEN(2,COUNTA('Marital status'!$A:$A)),1)</f>
        <v>5</v>
      </c>
      <c r="J514" s="7">
        <f t="shared" ca="1" si="87"/>
        <v>2</v>
      </c>
      <c r="K514" s="8">
        <f t="shared" ca="1" si="88"/>
        <v>34685</v>
      </c>
      <c r="L514" s="6">
        <f t="shared" ca="1" si="89"/>
        <v>4</v>
      </c>
      <c r="M514" s="7">
        <f ca="1" xml:space="preserve">
  IF(OR($N514 = 2, $N514 = 3, $N514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514" s="6">
        <f t="shared" ca="1" si="90"/>
        <v>7</v>
      </c>
      <c r="O514" s="6" t="e">
        <f t="shared" ca="1" si="91"/>
        <v>#N/A</v>
      </c>
      <c r="P514" s="8">
        <f t="shared" ca="1" si="92"/>
        <v>41414</v>
      </c>
      <c r="Q514" s="6">
        <f ca="1">RANDBETWEEN(2,COUNTA('Recruitment source'!$A:$A))</f>
        <v>8</v>
      </c>
      <c r="R514" s="8" t="e">
        <f t="shared" ca="1" si="93"/>
        <v>#N/A</v>
      </c>
      <c r="S514" s="6" t="e">
        <f t="shared" ca="1" si="94"/>
        <v>#N/A</v>
      </c>
      <c r="T514" s="6">
        <f t="shared" ref="T514:T577" ca="1" si="96" xml:space="preserve">
IF(
 ISNA($R514),
 IF(
   $N514 = 2,
   5,
   IF(
     OR($N514=3,$N514=4,$N514=5),
     RANDBETWEEN(4,5),
     IF(
       OR($N514=11,$N514=12),
       RANDBETWEEN(3,5),
       RANDBETWEEN(2,5)
     )
   )
 ),
 RANDBETWEEN(1,3)
)</f>
        <v>2</v>
      </c>
      <c r="U514" s="1">
        <f t="shared" ca="1" si="95"/>
        <v>1005</v>
      </c>
    </row>
    <row r="515" spans="1:21" x14ac:dyDescent="0.2">
      <c r="A515" s="7" cm="1">
        <f t="array" aca="1" ref="A515" ca="1">INDEX(Companies!$A:$A,RANDBETWEEN(2,COUNTA(Companies!$A:$A)),1)</f>
        <v>2</v>
      </c>
      <c r="B515" s="5">
        <f t="shared" ref="B515:B578" si="97">ROW() - 1</f>
        <v>514</v>
      </c>
      <c r="C515" s="6">
        <f t="shared" ref="C515:C578" ca="1" si="98">IF(ISNA($R515),1,0)</f>
        <v>1</v>
      </c>
      <c r="D515" s="7">
        <f ca="1">IF($B515 = 1 + N("Presidente"),
    127,
    IF($B515 = 2 + N("Vice-Presidente"),
        72,
        IF($B515 = 3 + N("Secretária bilíngue"),
            13,
            RANDBETWEEN(5,COUNT(Name!$A:$A) + 1)
        )
    )
)</f>
        <v>211</v>
      </c>
      <c r="E515" s="7" t="str">
        <f ca="1" xml:space="preserve">
VLOOKUP(
  $D515,
  Name!$A:$B,
  2,
  FALSE
)
&amp; " " &amp;
IF($B515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Kauê Marino Anunciação</v>
      </c>
      <c r="F515" s="7">
        <v>2</v>
      </c>
      <c r="G515" s="7" cm="1">
        <f t="array" aca="1" ref="G515" ca="1">INDEX(States!$B:$B,RANDBETWEEN(2,COUNTA(States!$A:$A)),1)</f>
        <v>2</v>
      </c>
      <c r="H515" s="7" t="str">
        <f ca="1">VLOOKUP($D515,Name!$A:$C,3,FALSE)</f>
        <v>M</v>
      </c>
      <c r="I515" s="7" cm="1">
        <f t="array" aca="1" ref="I515" ca="1">INDEX('Marital status'!$A:$A,RANDBETWEEN(2,COUNTA('Marital status'!$A:$A)),1)</f>
        <v>5</v>
      </c>
      <c r="J515" s="7">
        <f t="shared" ref="J515:J578" ca="1" si="99" xml:space="preserve">
IF(AND($N515 &gt;= 2, $N515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515" s="8">
        <f t="shared" ref="K515:K578" ca="1" si="100" xml:space="preserve">
IF($N515 = 5 + N("CEO"),
    TODAY() - 16340,
    IF($N515 = 8 + N("Secretary"),
        RANDBETWEEN(TODAY() - 12418.5, TODAY()-6574.5),
        IF(OR($N515 = 7, $N515 = 14),
            RANDBETWEEN(TODAY() - 16071, TODAY() - 8766),
            IF(OR($N515 = 13, $N515 = 12, $N515 = 11),
                RANDBETWEEN(TODAY() - 27393.75, TODAY() - 12783.75),
                RANDBETWEEN(TODAY() - 27393.75, TODAY()-10957.5)
            )
        )
    )
)</f>
        <v>35214</v>
      </c>
      <c r="L515" s="6">
        <f t="shared" ref="L515:L578" ca="1" si="101" xml:space="preserve">
IF(OR($N515 = 2, $N515 = 3) + N("Se for presidente ou vice-presidente"),
    7 + N("Doutor"),
    IF($N515 = 4 + N("Se for diretor"),
        RANDBETWEEN(5,7) + N("Graduate school or Master’s degree or Doctorate"),
        IF($N515 = 11 + N("Se for gerente"),
            RANDBETWEEN(4,6) + N("Undergraduate degree or Graduate school or Master’s degree"),
            IF(AND($N515 &gt;= 8, $N515 &lt;= 10) + N("If coordinator or specialist or analyst"),
                RANDBETWEEN(4,5),
                4
            )
        )
    )
)</f>
        <v>5</v>
      </c>
      <c r="M515" s="7">
        <f ca="1" xml:space="preserve">
  IF(OR($N515 = 2, $N515 = 3, $N515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515" s="6">
        <f t="shared" ref="N515:N578" ca="1" si="102" xml:space="preserve">
IF($B515 = 1 + N("Se matrícula for 1"),
  2 + N("Presidente"),
  IF($B515 = 2 + N("Se matrícula for 2"),
    3 + N("Vice-presidente"),
    IF($B515 = 3 + N("Se matrícula for 3"),
      5 + N("Secretária bilíngue"),
      IF(AND($B515 &gt;= 4, $B515 &lt;=14),
        4 + N("Diretor"),
        IF(AND($B515 &gt;= 15, $B515 &lt;= 25),
          11 + N("Manager"),
          IF(AND($B515 &gt;= 26, $B515 &lt;= 36),
            10 + N("Coordinador"),
            IF(AND($B515 &gt;= 37, $B515 &lt;= 47),
              9 + N("Especialista"),
                IF(MOD($B515,2) = 0,
                  8 + N("Analista"),
                  RANDBETWEEN(6,7) + N("Estagiário ou Trainee")
                )
            )
          )
        )
      )
    )
  )
)</f>
        <v>8</v>
      </c>
      <c r="O515" s="6">
        <f t="shared" ref="O515:O578" ca="1" si="103" xml:space="preserve">
IF($N515 =8 + N("Analyst"),
    RANDBETWEEN(2, 4) + N("Jr, Pleno, Sr"),
    NA()
)</f>
        <v>2</v>
      </c>
      <c r="P515" s="8">
        <f t="shared" ref="P515:P578" ca="1" si="104" xml:space="preserve">
IF(
   $N515=2 + N("Presidente"),
   36161,
   IF(
       OR(
         $N515=3 + N("Vice-Presidente"),
         $N515=4 + N("Diretor"),
         $N515=5 + N("Secretária bilíngue")
       ),
       RANDBETWEEN(36161,36411),
       IF(
         ((TODAY() - $K515) / 365) &lt; 19,
         TODAY(),
         RANDBETWEEN(36161,TODAY())
       )
   )
)</f>
        <v>43285</v>
      </c>
      <c r="Q515" s="6">
        <f ca="1">RANDBETWEEN(2,COUNTA('Recruitment source'!$A:$A))</f>
        <v>2</v>
      </c>
      <c r="R515" s="8" t="e">
        <f t="shared" ref="R515:R578" ca="1" si="105" xml:space="preserve">
IF(MOD(
     ROW(),111
   )=0,
   RANDBETWEEN($P515 + 1,TODAY() - 1),NA()
)</f>
        <v>#N/A</v>
      </c>
      <c r="S515" s="6" t="e">
        <f t="shared" ref="S515:S578" ca="1" si="106" xml:space="preserve">
IF(
  ISNA(R515),
  NA(),
  RANDBETWEEN(2,IF($H515="F",10,9))
)</f>
        <v>#N/A</v>
      </c>
      <c r="T515" s="6">
        <f t="shared" ca="1" si="96"/>
        <v>3</v>
      </c>
      <c r="U515" s="1">
        <f t="shared" ref="U515:U578" ca="1" si="107" xml:space="preserve">
IF($N515 = 2 + N("Presidente"),
    25000,
    IF($N515 = 3 + N("Vice-presidente"),
        23000,
        IF(OR($N515 = 5, $N515= 10, $N515 = 9) + N("Secretária bilíngue ou coordenador ou especialista"),
            8000,
            IF($N515 = 4 + N("Diretor"),
                15000,
                IF($N515 = 11 + N("Gerente"),
                    12000,
                    IF($N515 = 6 + N("Estagiário"),
                        805,
                        IF($N515 = 7 + N("Trainee"),
                            1005,
                            IF($N515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IF($L515 = 7,
  100,
  IF($L515 = 8,
    200,
    IF($L515 = 9,
      300,
      IF($L515 = 10,
        400,
        0
      )
    )
  )
)
+
N("Adicional no salário por área")
+
IF($M515 = 14 + N("Tecnologia da Informação"),
  120,
  IF($M515 = 16 + N("Vendas"),
    110,
    IF($M515 = 15 + N("Jurídico"),
      100,
      IF(OR($M515 = 8, $M515 = 9, $M515 = 11) + N("Recursos humanos ou comercial ou comunicação e marketing"),
        80,
        0
      )
    )
  )
)
+
N("Adicionando pegadinha")
+
IF(AND($M515 = 13, $N515 = 8) + N("Se for de vendas e analista"),
  IF($J515 = 2,
    50,
    0
  )
  +
  IF($H515 = "M",
    50,
    0
  ),
  0
)</f>
        <v>2000</v>
      </c>
    </row>
    <row r="516" spans="1:21" x14ac:dyDescent="0.2">
      <c r="A516" s="7" cm="1">
        <f t="array" aca="1" ref="A516" ca="1">INDEX(Companies!$A:$A,RANDBETWEEN(2,COUNTA(Companies!$A:$A)),1)</f>
        <v>2</v>
      </c>
      <c r="B516" s="5">
        <f t="shared" si="97"/>
        <v>515</v>
      </c>
      <c r="C516" s="6">
        <f t="shared" ca="1" si="98"/>
        <v>1</v>
      </c>
      <c r="D516" s="7">
        <f ca="1">IF($B516 = 1 + N("Presidente"),
    127,
    IF($B516 = 2 + N("Vice-Presidente"),
        72,
        IF($B516 = 3 + N("Secretária bilíngue"),
            13,
            RANDBETWEEN(5,COUNT(Name!$A:$A) + 1)
        )
    )
)</f>
        <v>140</v>
      </c>
      <c r="E516" s="7" t="str">
        <f ca="1" xml:space="preserve">
VLOOKUP(
  $D516,
  Name!$A:$B,
  2,
  FALSE
)
&amp; " " &amp;
IF($B516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Manuel Castro Cabral</v>
      </c>
      <c r="F516" s="7">
        <v>2</v>
      </c>
      <c r="G516" s="7" cm="1">
        <f t="array" aca="1" ref="G516" ca="1">INDEX(States!$B:$B,RANDBETWEEN(2,COUNTA(States!$A:$A)),1)</f>
        <v>9</v>
      </c>
      <c r="H516" s="7" t="str">
        <f ca="1">VLOOKUP($D516,Name!$A:$C,3,FALSE)</f>
        <v>M</v>
      </c>
      <c r="I516" s="7" cm="1">
        <f t="array" aca="1" ref="I516" ca="1">INDEX('Marital status'!$A:$A,RANDBETWEEN(2,COUNTA('Marital status'!$A:$A)),1)</f>
        <v>5</v>
      </c>
      <c r="J516" s="7">
        <f t="shared" ca="1" si="99"/>
        <v>2</v>
      </c>
      <c r="K516" s="8">
        <f t="shared" ca="1" si="100"/>
        <v>30598</v>
      </c>
      <c r="L516" s="6">
        <f t="shared" ca="1" si="101"/>
        <v>4</v>
      </c>
      <c r="M516" s="7">
        <f ca="1" xml:space="preserve">
  IF(OR($N516 = 2, $N516 = 3, $N516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516" s="6">
        <f t="shared" ca="1" si="102"/>
        <v>7</v>
      </c>
      <c r="O516" s="6" t="e">
        <f t="shared" ca="1" si="103"/>
        <v>#N/A</v>
      </c>
      <c r="P516" s="8">
        <f t="shared" ca="1" si="104"/>
        <v>39710</v>
      </c>
      <c r="Q516" s="6">
        <f ca="1">RANDBETWEEN(2,COUNTA('Recruitment source'!$A:$A))</f>
        <v>2</v>
      </c>
      <c r="R516" s="8" t="e">
        <f t="shared" ca="1" si="105"/>
        <v>#N/A</v>
      </c>
      <c r="S516" s="6" t="e">
        <f t="shared" ca="1" si="106"/>
        <v>#N/A</v>
      </c>
      <c r="T516" s="6">
        <f t="shared" ca="1" si="96"/>
        <v>2</v>
      </c>
      <c r="U516" s="1">
        <f t="shared" ca="1" si="107"/>
        <v>1005</v>
      </c>
    </row>
    <row r="517" spans="1:21" x14ac:dyDescent="0.2">
      <c r="A517" s="7" cm="1">
        <f t="array" aca="1" ref="A517" ca="1">INDEX(Companies!$A:$A,RANDBETWEEN(2,COUNTA(Companies!$A:$A)),1)</f>
        <v>2</v>
      </c>
      <c r="B517" s="5">
        <f t="shared" si="97"/>
        <v>516</v>
      </c>
      <c r="C517" s="6">
        <f t="shared" ca="1" si="98"/>
        <v>1</v>
      </c>
      <c r="D517" s="7">
        <f ca="1">IF($B517 = 1 + N("Presidente"),
    127,
    IF($B517 = 2 + N("Vice-Presidente"),
        72,
        IF($B517 = 3 + N("Secretária bilíngue"),
            13,
            RANDBETWEEN(5,COUNT(Name!$A:$A) + 1)
        )
    )
)</f>
        <v>242</v>
      </c>
      <c r="E517" s="7" t="str">
        <f ca="1" xml:space="preserve">
VLOOKUP(
  $D517,
  Name!$A:$B,
  2,
  FALSE
)
&amp; " " &amp;
IF($B517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Luisa Esteves Noronha</v>
      </c>
      <c r="F517" s="7">
        <v>2</v>
      </c>
      <c r="G517" s="7" cm="1">
        <f t="array" aca="1" ref="G517" ca="1">INDEX(States!$B:$B,RANDBETWEEN(2,COUNTA(States!$A:$A)),1)</f>
        <v>15</v>
      </c>
      <c r="H517" s="7" t="str">
        <f ca="1">VLOOKUP($D517,Name!$A:$C,3,FALSE)</f>
        <v>F</v>
      </c>
      <c r="I517" s="7" cm="1">
        <f t="array" aca="1" ref="I517" ca="1">INDEX('Marital status'!$A:$A,RANDBETWEEN(2,COUNTA('Marital status'!$A:$A)),1)</f>
        <v>4</v>
      </c>
      <c r="J517" s="7">
        <f t="shared" ca="1" si="99"/>
        <v>4</v>
      </c>
      <c r="K517" s="8">
        <f t="shared" ca="1" si="100"/>
        <v>33141</v>
      </c>
      <c r="L517" s="6">
        <f t="shared" ca="1" si="101"/>
        <v>4</v>
      </c>
      <c r="M517" s="7">
        <f ca="1" xml:space="preserve">
  IF(OR($N517 = 2, $N517 = 3, $N517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517" s="6">
        <f t="shared" ca="1" si="102"/>
        <v>8</v>
      </c>
      <c r="O517" s="6">
        <f t="shared" ca="1" si="103"/>
        <v>3</v>
      </c>
      <c r="P517" s="8">
        <f t="shared" ca="1" si="104"/>
        <v>36405</v>
      </c>
      <c r="Q517" s="6">
        <f ca="1">RANDBETWEEN(2,COUNTA('Recruitment source'!$A:$A))</f>
        <v>11</v>
      </c>
      <c r="R517" s="8" t="e">
        <f t="shared" ca="1" si="105"/>
        <v>#N/A</v>
      </c>
      <c r="S517" s="6" t="e">
        <f t="shared" ca="1" si="106"/>
        <v>#N/A</v>
      </c>
      <c r="T517" s="6">
        <f t="shared" ca="1" si="96"/>
        <v>2</v>
      </c>
      <c r="U517" s="1">
        <f t="shared" ca="1" si="107"/>
        <v>2080</v>
      </c>
    </row>
    <row r="518" spans="1:21" x14ac:dyDescent="0.2">
      <c r="A518" s="7" cm="1">
        <f t="array" aca="1" ref="A518" ca="1">INDEX(Companies!$A:$A,RANDBETWEEN(2,COUNTA(Companies!$A:$A)),1)</f>
        <v>2</v>
      </c>
      <c r="B518" s="5">
        <f t="shared" si="97"/>
        <v>517</v>
      </c>
      <c r="C518" s="6">
        <f t="shared" ca="1" si="98"/>
        <v>1</v>
      </c>
      <c r="D518" s="7">
        <f ca="1">IF($B518 = 1 + N("Presidente"),
    127,
    IF($B518 = 2 + N("Vice-Presidente"),
        72,
        IF($B518 = 3 + N("Secretária bilíngue"),
            13,
            RANDBETWEEN(5,COUNT(Name!$A:$A) + 1)
        )
    )
)</f>
        <v>292</v>
      </c>
      <c r="E518" s="7" t="str">
        <f ca="1" xml:space="preserve">
VLOOKUP(
  $D518,
  Name!$A:$B,
  2,
  FALSE
)
&amp; " " &amp;
IF($B518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Micaela Morais Machado</v>
      </c>
      <c r="F518" s="7">
        <v>2</v>
      </c>
      <c r="G518" s="7" cm="1">
        <f t="array" aca="1" ref="G518" ca="1">INDEX(States!$B:$B,RANDBETWEEN(2,COUNTA(States!$A:$A)),1)</f>
        <v>8</v>
      </c>
      <c r="H518" s="7" t="str">
        <f ca="1">VLOOKUP($D518,Name!$A:$C,3,FALSE)</f>
        <v>F</v>
      </c>
      <c r="I518" s="7" cm="1">
        <f t="array" aca="1" ref="I518" ca="1">INDEX('Marital status'!$A:$A,RANDBETWEEN(2,COUNTA('Marital status'!$A:$A)),1)</f>
        <v>5</v>
      </c>
      <c r="J518" s="7">
        <f t="shared" ca="1" si="99"/>
        <v>3</v>
      </c>
      <c r="K518" s="8">
        <f t="shared" ca="1" si="100"/>
        <v>32407</v>
      </c>
      <c r="L518" s="6">
        <f t="shared" ca="1" si="101"/>
        <v>4</v>
      </c>
      <c r="M518" s="7">
        <f ca="1" xml:space="preserve">
  IF(OR($N518 = 2, $N518 = 3, $N518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518" s="6">
        <f t="shared" ca="1" si="102"/>
        <v>7</v>
      </c>
      <c r="O518" s="6" t="e">
        <f t="shared" ca="1" si="103"/>
        <v>#N/A</v>
      </c>
      <c r="P518" s="8">
        <f t="shared" ca="1" si="104"/>
        <v>40900</v>
      </c>
      <c r="Q518" s="6">
        <f ca="1">RANDBETWEEN(2,COUNTA('Recruitment source'!$A:$A))</f>
        <v>2</v>
      </c>
      <c r="R518" s="8" t="e">
        <f t="shared" ca="1" si="105"/>
        <v>#N/A</v>
      </c>
      <c r="S518" s="6" t="e">
        <f t="shared" ca="1" si="106"/>
        <v>#N/A</v>
      </c>
      <c r="T518" s="6">
        <f t="shared" ca="1" si="96"/>
        <v>3</v>
      </c>
      <c r="U518" s="1">
        <f t="shared" ca="1" si="107"/>
        <v>1005</v>
      </c>
    </row>
    <row r="519" spans="1:21" x14ac:dyDescent="0.2">
      <c r="A519" s="7" cm="1">
        <f t="array" aca="1" ref="A519" ca="1">INDEX(Companies!$A:$A,RANDBETWEEN(2,COUNTA(Companies!$A:$A)),1)</f>
        <v>2</v>
      </c>
      <c r="B519" s="5">
        <f t="shared" si="97"/>
        <v>518</v>
      </c>
      <c r="C519" s="6">
        <f t="shared" ca="1" si="98"/>
        <v>1</v>
      </c>
      <c r="D519" s="7">
        <f ca="1">IF($B519 = 1 + N("Presidente"),
    127,
    IF($B519 = 2 + N("Vice-Presidente"),
        72,
        IF($B519 = 3 + N("Secretária bilíngue"),
            13,
            RANDBETWEEN(5,COUNT(Name!$A:$A) + 1)
        )
    )
)</f>
        <v>343</v>
      </c>
      <c r="E519" s="7" t="str">
        <f ca="1" xml:space="preserve">
VLOOKUP(
  $D519,
  Name!$A:$B,
  2,
  FALSE
)
&amp; " " &amp;
IF($B519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Thiago Freitas Gomes</v>
      </c>
      <c r="F519" s="7">
        <v>2</v>
      </c>
      <c r="G519" s="7" cm="1">
        <f t="array" aca="1" ref="G519" ca="1">INDEX(States!$B:$B,RANDBETWEEN(2,COUNTA(States!$A:$A)),1)</f>
        <v>20</v>
      </c>
      <c r="H519" s="7" t="str">
        <f ca="1">VLOOKUP($D519,Name!$A:$C,3,FALSE)</f>
        <v>M</v>
      </c>
      <c r="I519" s="7" cm="1">
        <f t="array" aca="1" ref="I519" ca="1">INDEX('Marital status'!$A:$A,RANDBETWEEN(2,COUNTA('Marital status'!$A:$A)),1)</f>
        <v>4</v>
      </c>
      <c r="J519" s="7">
        <f t="shared" ca="1" si="99"/>
        <v>2</v>
      </c>
      <c r="K519" s="8">
        <f t="shared" ca="1" si="100"/>
        <v>34231</v>
      </c>
      <c r="L519" s="6">
        <f t="shared" ca="1" si="101"/>
        <v>5</v>
      </c>
      <c r="M519" s="7">
        <f ca="1" xml:space="preserve">
  IF(OR($N519 = 2, $N519 = 3, $N519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519" s="6">
        <f t="shared" ca="1" si="102"/>
        <v>8</v>
      </c>
      <c r="O519" s="6">
        <f t="shared" ca="1" si="103"/>
        <v>2</v>
      </c>
      <c r="P519" s="8">
        <f t="shared" ca="1" si="104"/>
        <v>41049</v>
      </c>
      <c r="Q519" s="6">
        <f ca="1">RANDBETWEEN(2,COUNTA('Recruitment source'!$A:$A))</f>
        <v>8</v>
      </c>
      <c r="R519" s="8" t="e">
        <f t="shared" ca="1" si="105"/>
        <v>#N/A</v>
      </c>
      <c r="S519" s="6" t="e">
        <f t="shared" ca="1" si="106"/>
        <v>#N/A</v>
      </c>
      <c r="T519" s="6">
        <f t="shared" ca="1" si="96"/>
        <v>2</v>
      </c>
      <c r="U519" s="1">
        <f t="shared" ca="1" si="107"/>
        <v>2000</v>
      </c>
    </row>
    <row r="520" spans="1:21" x14ac:dyDescent="0.2">
      <c r="A520" s="7" cm="1">
        <f t="array" aca="1" ref="A520" ca="1">INDEX(Companies!$A:$A,RANDBETWEEN(2,COUNTA(Companies!$A:$A)),1)</f>
        <v>2</v>
      </c>
      <c r="B520" s="5">
        <f t="shared" si="97"/>
        <v>519</v>
      </c>
      <c r="C520" s="6">
        <f t="shared" ca="1" si="98"/>
        <v>1</v>
      </c>
      <c r="D520" s="7">
        <f ca="1">IF($B520 = 1 + N("Presidente"),
    127,
    IF($B520 = 2 + N("Vice-Presidente"),
        72,
        IF($B520 = 3 + N("Secretária bilíngue"),
            13,
            RANDBETWEEN(5,COUNT(Name!$A:$A) + 1)
        )
    )
)</f>
        <v>307</v>
      </c>
      <c r="E520" s="7" t="str">
        <f ca="1" xml:space="preserve">
VLOOKUP(
  $D520,
  Name!$A:$B,
  2,
  FALSE
)
&amp; " " &amp;
IF($B520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Nicole Evangelista Brasil</v>
      </c>
      <c r="F520" s="7">
        <v>2</v>
      </c>
      <c r="G520" s="7" cm="1">
        <f t="array" aca="1" ref="G520" ca="1">INDEX(States!$B:$B,RANDBETWEEN(2,COUNTA(States!$A:$A)),1)</f>
        <v>15</v>
      </c>
      <c r="H520" s="7" t="str">
        <f ca="1">VLOOKUP($D520,Name!$A:$C,3,FALSE)</f>
        <v>F</v>
      </c>
      <c r="I520" s="7" cm="1">
        <f t="array" aca="1" ref="I520" ca="1">INDEX('Marital status'!$A:$A,RANDBETWEEN(2,COUNTA('Marital status'!$A:$A)),1)</f>
        <v>2</v>
      </c>
      <c r="J520" s="7">
        <f t="shared" ca="1" si="99"/>
        <v>2</v>
      </c>
      <c r="K520" s="8">
        <f t="shared" ca="1" si="100"/>
        <v>26107</v>
      </c>
      <c r="L520" s="6">
        <f t="shared" ca="1" si="101"/>
        <v>4</v>
      </c>
      <c r="M520" s="7">
        <f ca="1" xml:space="preserve">
  IF(OR($N520 = 2, $N520 = 3, $N520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520" s="6">
        <f t="shared" ca="1" si="102"/>
        <v>6</v>
      </c>
      <c r="O520" s="6" t="e">
        <f t="shared" ca="1" si="103"/>
        <v>#N/A</v>
      </c>
      <c r="P520" s="8">
        <f t="shared" ca="1" si="104"/>
        <v>42634</v>
      </c>
      <c r="Q520" s="6">
        <f ca="1">RANDBETWEEN(2,COUNTA('Recruitment source'!$A:$A))</f>
        <v>10</v>
      </c>
      <c r="R520" s="8" t="e">
        <f t="shared" ca="1" si="105"/>
        <v>#N/A</v>
      </c>
      <c r="S520" s="6" t="e">
        <f t="shared" ca="1" si="106"/>
        <v>#N/A</v>
      </c>
      <c r="T520" s="6">
        <f t="shared" ca="1" si="96"/>
        <v>3</v>
      </c>
      <c r="U520" s="1">
        <f t="shared" ca="1" si="107"/>
        <v>885</v>
      </c>
    </row>
    <row r="521" spans="1:21" x14ac:dyDescent="0.2">
      <c r="A521" s="7" cm="1">
        <f t="array" aca="1" ref="A521" ca="1">INDEX(Companies!$A:$A,RANDBETWEEN(2,COUNTA(Companies!$A:$A)),1)</f>
        <v>2</v>
      </c>
      <c r="B521" s="5">
        <f t="shared" si="97"/>
        <v>520</v>
      </c>
      <c r="C521" s="6">
        <f t="shared" ca="1" si="98"/>
        <v>1</v>
      </c>
      <c r="D521" s="7">
        <f ca="1">IF($B521 = 1 + N("Presidente"),
    127,
    IF($B521 = 2 + N("Vice-Presidente"),
        72,
        IF($B521 = 3 + N("Secretária bilíngue"),
            13,
            RANDBETWEEN(5,COUNT(Name!$A:$A) + 1)
        )
    )
)</f>
        <v>243</v>
      </c>
      <c r="E521" s="7" t="str">
        <f ca="1" xml:space="preserve">
VLOOKUP(
  $D521,
  Name!$A:$B,
  2,
  FALSE
)
&amp; " " &amp;
IF($B521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Felipe Moraes Carvalho</v>
      </c>
      <c r="F521" s="7">
        <v>2</v>
      </c>
      <c r="G521" s="7" cm="1">
        <f t="array" aca="1" ref="G521" ca="1">INDEX(States!$B:$B,RANDBETWEEN(2,COUNTA(States!$A:$A)),1)</f>
        <v>5</v>
      </c>
      <c r="H521" s="7" t="str">
        <f ca="1">VLOOKUP($D521,Name!$A:$C,3,FALSE)</f>
        <v>M</v>
      </c>
      <c r="I521" s="7" cm="1">
        <f t="array" aca="1" ref="I521" ca="1">INDEX('Marital status'!$A:$A,RANDBETWEEN(2,COUNTA('Marital status'!$A:$A)),1)</f>
        <v>6</v>
      </c>
      <c r="J521" s="7">
        <f t="shared" ca="1" si="99"/>
        <v>2</v>
      </c>
      <c r="K521" s="8">
        <f t="shared" ca="1" si="100"/>
        <v>32612</v>
      </c>
      <c r="L521" s="6">
        <f t="shared" ca="1" si="101"/>
        <v>4</v>
      </c>
      <c r="M521" s="7">
        <f ca="1" xml:space="preserve">
  IF(OR($N521 = 2, $N521 = 3, $N521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521" s="6">
        <f t="shared" ca="1" si="102"/>
        <v>8</v>
      </c>
      <c r="O521" s="6">
        <f t="shared" ca="1" si="103"/>
        <v>3</v>
      </c>
      <c r="P521" s="8">
        <f t="shared" ca="1" si="104"/>
        <v>40451</v>
      </c>
      <c r="Q521" s="6">
        <f ca="1">RANDBETWEEN(2,COUNTA('Recruitment source'!$A:$A))</f>
        <v>11</v>
      </c>
      <c r="R521" s="8" t="e">
        <f t="shared" ca="1" si="105"/>
        <v>#N/A</v>
      </c>
      <c r="S521" s="6" t="e">
        <f t="shared" ca="1" si="106"/>
        <v>#N/A</v>
      </c>
      <c r="T521" s="6">
        <f t="shared" ca="1" si="96"/>
        <v>3</v>
      </c>
      <c r="U521" s="1">
        <f t="shared" ca="1" si="107"/>
        <v>2000</v>
      </c>
    </row>
    <row r="522" spans="1:21" x14ac:dyDescent="0.2">
      <c r="A522" s="7" cm="1">
        <f t="array" aca="1" ref="A522" ca="1">INDEX(Companies!$A:$A,RANDBETWEEN(2,COUNTA(Companies!$A:$A)),1)</f>
        <v>2</v>
      </c>
      <c r="B522" s="5">
        <f t="shared" si="97"/>
        <v>521</v>
      </c>
      <c r="C522" s="6">
        <f t="shared" ca="1" si="98"/>
        <v>1</v>
      </c>
      <c r="D522" s="7">
        <f ca="1">IF($B522 = 1 + N("Presidente"),
    127,
    IF($B522 = 2 + N("Vice-Presidente"),
        72,
        IF($B522 = 3 + N("Secretária bilíngue"),
            13,
            RANDBETWEEN(5,COUNT(Name!$A:$A) + 1)
        )
    )
)</f>
        <v>125</v>
      </c>
      <c r="E522" s="7" t="str">
        <f ca="1" xml:space="preserve">
VLOOKUP(
  $D522,
  Name!$A:$B,
  2,
  FALSE
)
&amp; " " &amp;
IF($B522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Emmanuel Martinelli Borba</v>
      </c>
      <c r="F522" s="7">
        <v>2</v>
      </c>
      <c r="G522" s="7" cm="1">
        <f t="array" aca="1" ref="G522" ca="1">INDEX(States!$B:$B,RANDBETWEEN(2,COUNTA(States!$A:$A)),1)</f>
        <v>20</v>
      </c>
      <c r="H522" s="7" t="str">
        <f ca="1">VLOOKUP($D522,Name!$A:$C,3,FALSE)</f>
        <v>M</v>
      </c>
      <c r="I522" s="7" cm="1">
        <f t="array" aca="1" ref="I522" ca="1">INDEX('Marital status'!$A:$A,RANDBETWEEN(2,COUNTA('Marital status'!$A:$A)),1)</f>
        <v>2</v>
      </c>
      <c r="J522" s="7">
        <f t="shared" ca="1" si="99"/>
        <v>2</v>
      </c>
      <c r="K522" s="8">
        <f t="shared" ca="1" si="100"/>
        <v>24736</v>
      </c>
      <c r="L522" s="6">
        <f t="shared" ca="1" si="101"/>
        <v>4</v>
      </c>
      <c r="M522" s="7">
        <f ca="1" xml:space="preserve">
  IF(OR($N522 = 2, $N522 = 3, $N522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522" s="6">
        <f t="shared" ca="1" si="102"/>
        <v>6</v>
      </c>
      <c r="O522" s="6" t="e">
        <f t="shared" ca="1" si="103"/>
        <v>#N/A</v>
      </c>
      <c r="P522" s="8">
        <f t="shared" ca="1" si="104"/>
        <v>40065</v>
      </c>
      <c r="Q522" s="6">
        <f ca="1">RANDBETWEEN(2,COUNTA('Recruitment source'!$A:$A))</f>
        <v>11</v>
      </c>
      <c r="R522" s="8" t="e">
        <f t="shared" ca="1" si="105"/>
        <v>#N/A</v>
      </c>
      <c r="S522" s="6" t="e">
        <f t="shared" ca="1" si="106"/>
        <v>#N/A</v>
      </c>
      <c r="T522" s="6">
        <f t="shared" ca="1" si="96"/>
        <v>2</v>
      </c>
      <c r="U522" s="1">
        <f t="shared" ca="1" si="107"/>
        <v>885</v>
      </c>
    </row>
    <row r="523" spans="1:21" x14ac:dyDescent="0.2">
      <c r="A523" s="7" cm="1">
        <f t="array" aca="1" ref="A523" ca="1">INDEX(Companies!$A:$A,RANDBETWEEN(2,COUNTA(Companies!$A:$A)),1)</f>
        <v>2</v>
      </c>
      <c r="B523" s="5">
        <f t="shared" si="97"/>
        <v>522</v>
      </c>
      <c r="C523" s="6">
        <f t="shared" ca="1" si="98"/>
        <v>1</v>
      </c>
      <c r="D523" s="7">
        <f ca="1">IF($B523 = 1 + N("Presidente"),
    127,
    IF($B523 = 2 + N("Vice-Presidente"),
        72,
        IF($B523 = 3 + N("Secretária bilíngue"),
            13,
            RANDBETWEEN(5,COUNT(Name!$A:$A) + 1)
        )
    )
)</f>
        <v>134</v>
      </c>
      <c r="E523" s="7" t="str">
        <f ca="1" xml:space="preserve">
VLOOKUP(
  $D523,
  Name!$A:$B,
  2,
  FALSE
)
&amp; " " &amp;
IF($B523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Eva Resende Pereira</v>
      </c>
      <c r="F523" s="7">
        <v>2</v>
      </c>
      <c r="G523" s="7" cm="1">
        <f t="array" aca="1" ref="G523" ca="1">INDEX(States!$B:$B,RANDBETWEEN(2,COUNTA(States!$A:$A)),1)</f>
        <v>3</v>
      </c>
      <c r="H523" s="7" t="str">
        <f ca="1">VLOOKUP($D523,Name!$A:$C,3,FALSE)</f>
        <v>F</v>
      </c>
      <c r="I523" s="7" cm="1">
        <f t="array" aca="1" ref="I523" ca="1">INDEX('Marital status'!$A:$A,RANDBETWEEN(2,COUNTA('Marital status'!$A:$A)),1)</f>
        <v>3</v>
      </c>
      <c r="J523" s="7">
        <f t="shared" ca="1" si="99"/>
        <v>2</v>
      </c>
      <c r="K523" s="8">
        <f t="shared" ca="1" si="100"/>
        <v>37764</v>
      </c>
      <c r="L523" s="6">
        <f t="shared" ca="1" si="101"/>
        <v>5</v>
      </c>
      <c r="M523" s="7">
        <f ca="1" xml:space="preserve">
  IF(OR($N523 = 2, $N523 = 3, $N523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523" s="6">
        <f t="shared" ca="1" si="102"/>
        <v>8</v>
      </c>
      <c r="O523" s="6">
        <f t="shared" ca="1" si="103"/>
        <v>4</v>
      </c>
      <c r="P523" s="8">
        <f t="shared" ca="1" si="104"/>
        <v>42827</v>
      </c>
      <c r="Q523" s="6">
        <f ca="1">RANDBETWEEN(2,COUNTA('Recruitment source'!$A:$A))</f>
        <v>9</v>
      </c>
      <c r="R523" s="8" t="e">
        <f t="shared" ca="1" si="105"/>
        <v>#N/A</v>
      </c>
      <c r="S523" s="6" t="e">
        <f t="shared" ca="1" si="106"/>
        <v>#N/A</v>
      </c>
      <c r="T523" s="6">
        <f t="shared" ca="1" si="96"/>
        <v>4</v>
      </c>
      <c r="U523" s="1">
        <f t="shared" ca="1" si="107"/>
        <v>2080</v>
      </c>
    </row>
    <row r="524" spans="1:21" x14ac:dyDescent="0.2">
      <c r="A524" s="7" cm="1">
        <f t="array" aca="1" ref="A524" ca="1">INDEX(Companies!$A:$A,RANDBETWEEN(2,COUNTA(Companies!$A:$A)),1)</f>
        <v>2</v>
      </c>
      <c r="B524" s="5">
        <f t="shared" si="97"/>
        <v>523</v>
      </c>
      <c r="C524" s="6">
        <f t="shared" ca="1" si="98"/>
        <v>1</v>
      </c>
      <c r="D524" s="7">
        <f ca="1">IF($B524 = 1 + N("Presidente"),
    127,
    IF($B524 = 2 + N("Vice-Presidente"),
        72,
        IF($B524 = 3 + N("Secretária bilíngue"),
            13,
            RANDBETWEEN(5,COUNT(Name!$A:$A) + 1)
        )
    )
)</f>
        <v>304</v>
      </c>
      <c r="E524" s="7" t="str">
        <f ca="1" xml:space="preserve">
VLOOKUP(
  $D524,
  Name!$A:$B,
  2,
  FALSE
)
&amp; " " &amp;
IF($B524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Natanael Sá Figo</v>
      </c>
      <c r="F524" s="7">
        <v>2</v>
      </c>
      <c r="G524" s="7" cm="1">
        <f t="array" aca="1" ref="G524" ca="1">INDEX(States!$B:$B,RANDBETWEEN(2,COUNTA(States!$A:$A)),1)</f>
        <v>16</v>
      </c>
      <c r="H524" s="7" t="str">
        <f ca="1">VLOOKUP($D524,Name!$A:$C,3,FALSE)</f>
        <v>M</v>
      </c>
      <c r="I524" s="7" cm="1">
        <f t="array" aca="1" ref="I524" ca="1">INDEX('Marital status'!$A:$A,RANDBETWEEN(2,COUNTA('Marital status'!$A:$A)),1)</f>
        <v>6</v>
      </c>
      <c r="J524" s="7">
        <f t="shared" ca="1" si="99"/>
        <v>2</v>
      </c>
      <c r="K524" s="8">
        <f t="shared" ca="1" si="100"/>
        <v>24268</v>
      </c>
      <c r="L524" s="6">
        <f t="shared" ca="1" si="101"/>
        <v>4</v>
      </c>
      <c r="M524" s="7">
        <f ca="1" xml:space="preserve">
  IF(OR($N524 = 2, $N524 = 3, $N524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524" s="6">
        <f t="shared" ca="1" si="102"/>
        <v>6</v>
      </c>
      <c r="O524" s="6" t="e">
        <f t="shared" ca="1" si="103"/>
        <v>#N/A</v>
      </c>
      <c r="P524" s="8">
        <f t="shared" ca="1" si="104"/>
        <v>37571</v>
      </c>
      <c r="Q524" s="6">
        <f ca="1">RANDBETWEEN(2,COUNTA('Recruitment source'!$A:$A))</f>
        <v>11</v>
      </c>
      <c r="R524" s="8" t="e">
        <f t="shared" ca="1" si="105"/>
        <v>#N/A</v>
      </c>
      <c r="S524" s="6" t="e">
        <f t="shared" ca="1" si="106"/>
        <v>#N/A</v>
      </c>
      <c r="T524" s="6">
        <f t="shared" ca="1" si="96"/>
        <v>2</v>
      </c>
      <c r="U524" s="1">
        <f t="shared" ca="1" si="107"/>
        <v>805</v>
      </c>
    </row>
    <row r="525" spans="1:21" x14ac:dyDescent="0.2">
      <c r="A525" s="7" cm="1">
        <f t="array" aca="1" ref="A525" ca="1">INDEX(Companies!$A:$A,RANDBETWEEN(2,COUNTA(Companies!$A:$A)),1)</f>
        <v>2</v>
      </c>
      <c r="B525" s="5">
        <f t="shared" si="97"/>
        <v>524</v>
      </c>
      <c r="C525" s="6">
        <f t="shared" ca="1" si="98"/>
        <v>1</v>
      </c>
      <c r="D525" s="7">
        <f ca="1">IF($B525 = 1 + N("Presidente"),
    127,
    IF($B525 = 2 + N("Vice-Presidente"),
        72,
        IF($B525 = 3 + N("Secretária bilíngue"),
            13,
            RANDBETWEEN(5,COUNT(Name!$A:$A) + 1)
        )
    )
)</f>
        <v>269</v>
      </c>
      <c r="E525" s="7" t="str">
        <f ca="1" xml:space="preserve">
VLOOKUP(
  $D525,
  Name!$A:$B,
  2,
  FALSE
)
&amp; " " &amp;
IF($B525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Júlia Mariani Alvarenga</v>
      </c>
      <c r="F525" s="7">
        <v>2</v>
      </c>
      <c r="G525" s="7" cm="1">
        <f t="array" aca="1" ref="G525" ca="1">INDEX(States!$B:$B,RANDBETWEEN(2,COUNTA(States!$A:$A)),1)</f>
        <v>2</v>
      </c>
      <c r="H525" s="7" t="str">
        <f ca="1">VLOOKUP($D525,Name!$A:$C,3,FALSE)</f>
        <v>F</v>
      </c>
      <c r="I525" s="7" cm="1">
        <f t="array" aca="1" ref="I525" ca="1">INDEX('Marital status'!$A:$A,RANDBETWEEN(2,COUNTA('Marital status'!$A:$A)),1)</f>
        <v>2</v>
      </c>
      <c r="J525" s="7">
        <f t="shared" ca="1" si="99"/>
        <v>3</v>
      </c>
      <c r="K525" s="8">
        <f t="shared" ca="1" si="100"/>
        <v>35588</v>
      </c>
      <c r="L525" s="6">
        <f t="shared" ca="1" si="101"/>
        <v>5</v>
      </c>
      <c r="M525" s="7">
        <f ca="1" xml:space="preserve">
  IF(OR($N525 = 2, $N525 = 3, $N525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525" s="6">
        <f t="shared" ca="1" si="102"/>
        <v>8</v>
      </c>
      <c r="O525" s="6">
        <f t="shared" ca="1" si="103"/>
        <v>4</v>
      </c>
      <c r="P525" s="8">
        <f t="shared" ca="1" si="104"/>
        <v>37931</v>
      </c>
      <c r="Q525" s="6">
        <f ca="1">RANDBETWEEN(2,COUNTA('Recruitment source'!$A:$A))</f>
        <v>4</v>
      </c>
      <c r="R525" s="8" t="e">
        <f t="shared" ca="1" si="105"/>
        <v>#N/A</v>
      </c>
      <c r="S525" s="6" t="e">
        <f t="shared" ca="1" si="106"/>
        <v>#N/A</v>
      </c>
      <c r="T525" s="6">
        <f t="shared" ca="1" si="96"/>
        <v>5</v>
      </c>
      <c r="U525" s="1">
        <f t="shared" ca="1" si="107"/>
        <v>2080</v>
      </c>
    </row>
    <row r="526" spans="1:21" x14ac:dyDescent="0.2">
      <c r="A526" s="7" cm="1">
        <f t="array" aca="1" ref="A526" ca="1">INDEX(Companies!$A:$A,RANDBETWEEN(2,COUNTA(Companies!$A:$A)),1)</f>
        <v>2</v>
      </c>
      <c r="B526" s="5">
        <f t="shared" si="97"/>
        <v>525</v>
      </c>
      <c r="C526" s="6">
        <f t="shared" ca="1" si="98"/>
        <v>1</v>
      </c>
      <c r="D526" s="7">
        <f ca="1">IF($B526 = 1 + N("Presidente"),
    127,
    IF($B526 = 2 + N("Vice-Presidente"),
        72,
        IF($B526 = 3 + N("Secretária bilíngue"),
            13,
            RANDBETWEEN(5,COUNT(Name!$A:$A) + 1)
        )
    )
)</f>
        <v>113</v>
      </c>
      <c r="E526" s="7" t="str">
        <f ca="1" xml:space="preserve">
VLOOKUP(
  $D526,
  Name!$A:$B,
  2,
  FALSE
)
&amp; " " &amp;
IF($B526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Desiré Rossi Martins</v>
      </c>
      <c r="F526" s="7">
        <v>2</v>
      </c>
      <c r="G526" s="7" cm="1">
        <f t="array" aca="1" ref="G526" ca="1">INDEX(States!$B:$B,RANDBETWEEN(2,COUNTA(States!$A:$A)),1)</f>
        <v>20</v>
      </c>
      <c r="H526" s="7" t="str">
        <f ca="1">VLOOKUP($D526,Name!$A:$C,3,FALSE)</f>
        <v>F</v>
      </c>
      <c r="I526" s="7" cm="1">
        <f t="array" aca="1" ref="I526" ca="1">INDEX('Marital status'!$A:$A,RANDBETWEEN(2,COUNTA('Marital status'!$A:$A)),1)</f>
        <v>3</v>
      </c>
      <c r="J526" s="7">
        <f t="shared" ca="1" si="99"/>
        <v>2</v>
      </c>
      <c r="K526" s="8">
        <f t="shared" ca="1" si="100"/>
        <v>32192</v>
      </c>
      <c r="L526" s="6">
        <f t="shared" ca="1" si="101"/>
        <v>4</v>
      </c>
      <c r="M526" s="7">
        <f ca="1" xml:space="preserve">
  IF(OR($N526 = 2, $N526 = 3, $N526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526" s="6">
        <f t="shared" ca="1" si="102"/>
        <v>7</v>
      </c>
      <c r="O526" s="6" t="e">
        <f t="shared" ca="1" si="103"/>
        <v>#N/A</v>
      </c>
      <c r="P526" s="8">
        <f t="shared" ca="1" si="104"/>
        <v>40549</v>
      </c>
      <c r="Q526" s="6">
        <f ca="1">RANDBETWEEN(2,COUNTA('Recruitment source'!$A:$A))</f>
        <v>3</v>
      </c>
      <c r="R526" s="8" t="e">
        <f t="shared" ca="1" si="105"/>
        <v>#N/A</v>
      </c>
      <c r="S526" s="6" t="e">
        <f t="shared" ca="1" si="106"/>
        <v>#N/A</v>
      </c>
      <c r="T526" s="6">
        <f t="shared" ca="1" si="96"/>
        <v>5</v>
      </c>
      <c r="U526" s="1">
        <f t="shared" ca="1" si="107"/>
        <v>1085</v>
      </c>
    </row>
    <row r="527" spans="1:21" x14ac:dyDescent="0.2">
      <c r="A527" s="7" cm="1">
        <f t="array" aca="1" ref="A527" ca="1">INDEX(Companies!$A:$A,RANDBETWEEN(2,COUNTA(Companies!$A:$A)),1)</f>
        <v>2</v>
      </c>
      <c r="B527" s="5">
        <f t="shared" si="97"/>
        <v>526</v>
      </c>
      <c r="C527" s="6">
        <f t="shared" ca="1" si="98"/>
        <v>1</v>
      </c>
      <c r="D527" s="7">
        <f ca="1">IF($B527 = 1 + N("Presidente"),
    127,
    IF($B527 = 2 + N("Vice-Presidente"),
        72,
        IF($B527 = 3 + N("Secretária bilíngue"),
            13,
            RANDBETWEEN(5,COUNT(Name!$A:$A) + 1)
        )
    )
)</f>
        <v>62</v>
      </c>
      <c r="E527" s="7" t="str">
        <f ca="1" xml:space="preserve">
VLOOKUP(
  $D527,
  Name!$A:$B,
  2,
  FALSE
)
&amp; " " &amp;
IF($B527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Aurora Monti Seixas</v>
      </c>
      <c r="F527" s="7">
        <v>2</v>
      </c>
      <c r="G527" s="7" cm="1">
        <f t="array" aca="1" ref="G527" ca="1">INDEX(States!$B:$B,RANDBETWEEN(2,COUNTA(States!$A:$A)),1)</f>
        <v>12</v>
      </c>
      <c r="H527" s="7" t="str">
        <f ca="1">VLOOKUP($D527,Name!$A:$C,3,FALSE)</f>
        <v>F</v>
      </c>
      <c r="I527" s="7" cm="1">
        <f t="array" aca="1" ref="I527" ca="1">INDEX('Marital status'!$A:$A,RANDBETWEEN(2,COUNTA('Marital status'!$A:$A)),1)</f>
        <v>5</v>
      </c>
      <c r="J527" s="7">
        <f t="shared" ca="1" si="99"/>
        <v>2</v>
      </c>
      <c r="K527" s="8">
        <f t="shared" ca="1" si="100"/>
        <v>38224</v>
      </c>
      <c r="L527" s="6">
        <f t="shared" ca="1" si="101"/>
        <v>4</v>
      </c>
      <c r="M527" s="7">
        <f ca="1" xml:space="preserve">
  IF(OR($N527 = 2, $N527 = 3, $N527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527" s="6">
        <f t="shared" ca="1" si="102"/>
        <v>8</v>
      </c>
      <c r="O527" s="6">
        <f t="shared" ca="1" si="103"/>
        <v>3</v>
      </c>
      <c r="P527" s="8">
        <f t="shared" ca="1" si="104"/>
        <v>44838</v>
      </c>
      <c r="Q527" s="6">
        <f ca="1">RANDBETWEEN(2,COUNTA('Recruitment source'!$A:$A))</f>
        <v>9</v>
      </c>
      <c r="R527" s="8" t="e">
        <f t="shared" ca="1" si="105"/>
        <v>#N/A</v>
      </c>
      <c r="S527" s="6" t="e">
        <f t="shared" ca="1" si="106"/>
        <v>#N/A</v>
      </c>
      <c r="T527" s="6">
        <f t="shared" ca="1" si="96"/>
        <v>2</v>
      </c>
      <c r="U527" s="1">
        <f t="shared" ca="1" si="107"/>
        <v>2050</v>
      </c>
    </row>
    <row r="528" spans="1:21" x14ac:dyDescent="0.2">
      <c r="A528" s="7" cm="1">
        <f t="array" aca="1" ref="A528" ca="1">INDEX(Companies!$A:$A,RANDBETWEEN(2,COUNTA(Companies!$A:$A)),1)</f>
        <v>2</v>
      </c>
      <c r="B528" s="5">
        <f t="shared" si="97"/>
        <v>527</v>
      </c>
      <c r="C528" s="6">
        <f t="shared" ca="1" si="98"/>
        <v>1</v>
      </c>
      <c r="D528" s="7">
        <f ca="1">IF($B528 = 1 + N("Presidente"),
    127,
    IF($B528 = 2 + N("Vice-Presidente"),
        72,
        IF($B528 = 3 + N("Secretária bilíngue"),
            13,
            RANDBETWEEN(5,COUNT(Name!$A:$A) + 1)
        )
    )
)</f>
        <v>317</v>
      </c>
      <c r="E528" s="7" t="str">
        <f ca="1" xml:space="preserve">
VLOOKUP(
  $D528,
  Name!$A:$B,
  2,
  FALSE
)
&amp; " " &amp;
IF($B528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Henrique Leitão Pasquim</v>
      </c>
      <c r="F528" s="7">
        <v>2</v>
      </c>
      <c r="G528" s="7" cm="1">
        <f t="array" aca="1" ref="G528" ca="1">INDEX(States!$B:$B,RANDBETWEEN(2,COUNTA(States!$A:$A)),1)</f>
        <v>8</v>
      </c>
      <c r="H528" s="7" t="str">
        <f ca="1">VLOOKUP($D528,Name!$A:$C,3,FALSE)</f>
        <v>M</v>
      </c>
      <c r="I528" s="7" cm="1">
        <f t="array" aca="1" ref="I528" ca="1">INDEX('Marital status'!$A:$A,RANDBETWEEN(2,COUNTA('Marital status'!$A:$A)),1)</f>
        <v>5</v>
      </c>
      <c r="J528" s="7">
        <f t="shared" ca="1" si="99"/>
        <v>4</v>
      </c>
      <c r="K528" s="8">
        <f t="shared" ca="1" si="100"/>
        <v>25775</v>
      </c>
      <c r="L528" s="6">
        <f t="shared" ca="1" si="101"/>
        <v>4</v>
      </c>
      <c r="M528" s="7">
        <f ca="1" xml:space="preserve">
  IF(OR($N528 = 2, $N528 = 3, $N528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528" s="6">
        <f t="shared" ca="1" si="102"/>
        <v>6</v>
      </c>
      <c r="O528" s="6" t="e">
        <f t="shared" ca="1" si="103"/>
        <v>#N/A</v>
      </c>
      <c r="P528" s="8">
        <f t="shared" ca="1" si="104"/>
        <v>44651</v>
      </c>
      <c r="Q528" s="6">
        <f ca="1">RANDBETWEEN(2,COUNTA('Recruitment source'!$A:$A))</f>
        <v>5</v>
      </c>
      <c r="R528" s="8" t="e">
        <f t="shared" ca="1" si="105"/>
        <v>#N/A</v>
      </c>
      <c r="S528" s="6" t="e">
        <f t="shared" ca="1" si="106"/>
        <v>#N/A</v>
      </c>
      <c r="T528" s="6">
        <f t="shared" ca="1" si="96"/>
        <v>5</v>
      </c>
      <c r="U528" s="1">
        <f t="shared" ca="1" si="107"/>
        <v>885</v>
      </c>
    </row>
    <row r="529" spans="1:21" x14ac:dyDescent="0.2">
      <c r="A529" s="7" cm="1">
        <f t="array" aca="1" ref="A529" ca="1">INDEX(Companies!$A:$A,RANDBETWEEN(2,COUNTA(Companies!$A:$A)),1)</f>
        <v>2</v>
      </c>
      <c r="B529" s="5">
        <f t="shared" si="97"/>
        <v>528</v>
      </c>
      <c r="C529" s="6">
        <f t="shared" ca="1" si="98"/>
        <v>1</v>
      </c>
      <c r="D529" s="7">
        <f ca="1">IF($B529 = 1 + N("Presidente"),
    127,
    IF($B529 = 2 + N("Vice-Presidente"),
        72,
        IF($B529 = 3 + N("Secretária bilíngue"),
            13,
            RANDBETWEEN(5,COUNT(Name!$A:$A) + 1)
        )
    )
)</f>
        <v>324</v>
      </c>
      <c r="E529" s="7" t="str">
        <f ca="1" xml:space="preserve">
VLOOKUP(
  $D529,
  Name!$A:$B,
  2,
  FALSE
)
&amp; " " &amp;
IF($B529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Rafael Dias Bispo</v>
      </c>
      <c r="F529" s="7">
        <v>2</v>
      </c>
      <c r="G529" s="7" cm="1">
        <f t="array" aca="1" ref="G529" ca="1">INDEX(States!$B:$B,RANDBETWEEN(2,COUNTA(States!$A:$A)),1)</f>
        <v>17</v>
      </c>
      <c r="H529" s="7" t="str">
        <f ca="1">VLOOKUP($D529,Name!$A:$C,3,FALSE)</f>
        <v>M</v>
      </c>
      <c r="I529" s="7" cm="1">
        <f t="array" aca="1" ref="I529" ca="1">INDEX('Marital status'!$A:$A,RANDBETWEEN(2,COUNTA('Marital status'!$A:$A)),1)</f>
        <v>6</v>
      </c>
      <c r="J529" s="7">
        <f t="shared" ca="1" si="99"/>
        <v>2</v>
      </c>
      <c r="K529" s="8">
        <f t="shared" ca="1" si="100"/>
        <v>36460</v>
      </c>
      <c r="L529" s="6">
        <f t="shared" ca="1" si="101"/>
        <v>5</v>
      </c>
      <c r="M529" s="7">
        <f ca="1" xml:space="preserve">
  IF(OR($N529 = 2, $N529 = 3, $N529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529" s="6">
        <f t="shared" ca="1" si="102"/>
        <v>8</v>
      </c>
      <c r="O529" s="6">
        <f t="shared" ca="1" si="103"/>
        <v>4</v>
      </c>
      <c r="P529" s="8">
        <f t="shared" ca="1" si="104"/>
        <v>42186</v>
      </c>
      <c r="Q529" s="6">
        <f ca="1">RANDBETWEEN(2,COUNTA('Recruitment source'!$A:$A))</f>
        <v>2</v>
      </c>
      <c r="R529" s="8" t="e">
        <f t="shared" ca="1" si="105"/>
        <v>#N/A</v>
      </c>
      <c r="S529" s="6" t="e">
        <f t="shared" ca="1" si="106"/>
        <v>#N/A</v>
      </c>
      <c r="T529" s="6">
        <f t="shared" ca="1" si="96"/>
        <v>3</v>
      </c>
      <c r="U529" s="1">
        <f t="shared" ca="1" si="107"/>
        <v>2000</v>
      </c>
    </row>
    <row r="530" spans="1:21" x14ac:dyDescent="0.2">
      <c r="A530" s="7" cm="1">
        <f t="array" aca="1" ref="A530" ca="1">INDEX(Companies!$A:$A,RANDBETWEEN(2,COUNTA(Companies!$A:$A)),1)</f>
        <v>2</v>
      </c>
      <c r="B530" s="5">
        <f t="shared" si="97"/>
        <v>529</v>
      </c>
      <c r="C530" s="6">
        <f t="shared" ca="1" si="98"/>
        <v>1</v>
      </c>
      <c r="D530" s="7">
        <f ca="1">IF($B530 = 1 + N("Presidente"),
    127,
    IF($B530 = 2 + N("Vice-Presidente"),
        72,
        IF($B530 = 3 + N("Secretária bilíngue"),
            13,
            RANDBETWEEN(5,COUNT(Name!$A:$A) + 1)
        )
    )
)</f>
        <v>321</v>
      </c>
      <c r="E530" s="7" t="str">
        <f ca="1" xml:space="preserve">
VLOOKUP(
  $D530,
  Name!$A:$B,
  2,
  FALSE
)
&amp; " " &amp;
IF($B530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Pietra Almeida Longo</v>
      </c>
      <c r="F530" s="7">
        <v>2</v>
      </c>
      <c r="G530" s="7" cm="1">
        <f t="array" aca="1" ref="G530" ca="1">INDEX(States!$B:$B,RANDBETWEEN(2,COUNTA(States!$A:$A)),1)</f>
        <v>15</v>
      </c>
      <c r="H530" s="7" t="str">
        <f ca="1">VLOOKUP($D530,Name!$A:$C,3,FALSE)</f>
        <v>F</v>
      </c>
      <c r="I530" s="7" cm="1">
        <f t="array" aca="1" ref="I530" ca="1">INDEX('Marital status'!$A:$A,RANDBETWEEN(2,COUNTA('Marital status'!$A:$A)),1)</f>
        <v>5</v>
      </c>
      <c r="J530" s="7">
        <f t="shared" ca="1" si="99"/>
        <v>2</v>
      </c>
      <c r="K530" s="8">
        <f t="shared" ca="1" si="100"/>
        <v>19950</v>
      </c>
      <c r="L530" s="6">
        <f t="shared" ca="1" si="101"/>
        <v>4</v>
      </c>
      <c r="M530" s="7">
        <f ca="1" xml:space="preserve">
  IF(OR($N530 = 2, $N530 = 3, $N530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530" s="6">
        <f t="shared" ca="1" si="102"/>
        <v>6</v>
      </c>
      <c r="O530" s="6" t="e">
        <f t="shared" ca="1" si="103"/>
        <v>#N/A</v>
      </c>
      <c r="P530" s="8">
        <f t="shared" ca="1" si="104"/>
        <v>37014</v>
      </c>
      <c r="Q530" s="6">
        <f ca="1">RANDBETWEEN(2,COUNTA('Recruitment source'!$A:$A))</f>
        <v>4</v>
      </c>
      <c r="R530" s="8" t="e">
        <f t="shared" ca="1" si="105"/>
        <v>#N/A</v>
      </c>
      <c r="S530" s="6" t="e">
        <f t="shared" ca="1" si="106"/>
        <v>#N/A</v>
      </c>
      <c r="T530" s="6">
        <f t="shared" ca="1" si="96"/>
        <v>2</v>
      </c>
      <c r="U530" s="1">
        <f t="shared" ca="1" si="107"/>
        <v>805</v>
      </c>
    </row>
    <row r="531" spans="1:21" x14ac:dyDescent="0.2">
      <c r="A531" s="7" cm="1">
        <f t="array" aca="1" ref="A531" ca="1">INDEX(Companies!$A:$A,RANDBETWEEN(2,COUNTA(Companies!$A:$A)),1)</f>
        <v>2</v>
      </c>
      <c r="B531" s="5">
        <f t="shared" si="97"/>
        <v>530</v>
      </c>
      <c r="C531" s="6">
        <f t="shared" ca="1" si="98"/>
        <v>1</v>
      </c>
      <c r="D531" s="7">
        <f ca="1">IF($B531 = 1 + N("Presidente"),
    127,
    IF($B531 = 2 + N("Vice-Presidente"),
        72,
        IF($B531 = 3 + N("Secretária bilíngue"),
            13,
            RANDBETWEEN(5,COUNT(Name!$A:$A) + 1)
        )
    )
)</f>
        <v>258</v>
      </c>
      <c r="E531" s="7" t="str">
        <f ca="1" xml:space="preserve">
VLOOKUP(
  $D531,
  Name!$A:$B,
  2,
  FALSE
)
&amp; " " &amp;
IF($B531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Alice Pimenta Brasão</v>
      </c>
      <c r="F531" s="7">
        <v>2</v>
      </c>
      <c r="G531" s="7" cm="1">
        <f t="array" aca="1" ref="G531" ca="1">INDEX(States!$B:$B,RANDBETWEEN(2,COUNTA(States!$A:$A)),1)</f>
        <v>9</v>
      </c>
      <c r="H531" s="7" t="str">
        <f ca="1">VLOOKUP($D531,Name!$A:$C,3,FALSE)</f>
        <v>F</v>
      </c>
      <c r="I531" s="7" cm="1">
        <f t="array" aca="1" ref="I531" ca="1">INDEX('Marital status'!$A:$A,RANDBETWEEN(2,COUNTA('Marital status'!$A:$A)),1)</f>
        <v>2</v>
      </c>
      <c r="J531" s="7">
        <f t="shared" ca="1" si="99"/>
        <v>2</v>
      </c>
      <c r="K531" s="8">
        <f t="shared" ca="1" si="100"/>
        <v>32910</v>
      </c>
      <c r="L531" s="6">
        <f t="shared" ca="1" si="101"/>
        <v>5</v>
      </c>
      <c r="M531" s="7">
        <f ca="1" xml:space="preserve">
  IF(OR($N531 = 2, $N531 = 3, $N531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531" s="6">
        <f t="shared" ca="1" si="102"/>
        <v>8</v>
      </c>
      <c r="O531" s="6">
        <f t="shared" ca="1" si="103"/>
        <v>3</v>
      </c>
      <c r="P531" s="8">
        <f t="shared" ca="1" si="104"/>
        <v>39607</v>
      </c>
      <c r="Q531" s="6">
        <f ca="1">RANDBETWEEN(2,COUNTA('Recruitment source'!$A:$A))</f>
        <v>11</v>
      </c>
      <c r="R531" s="8" t="e">
        <f t="shared" ca="1" si="105"/>
        <v>#N/A</v>
      </c>
      <c r="S531" s="6" t="e">
        <f t="shared" ca="1" si="106"/>
        <v>#N/A</v>
      </c>
      <c r="T531" s="6">
        <f t="shared" ca="1" si="96"/>
        <v>3</v>
      </c>
      <c r="U531" s="1">
        <f t="shared" ca="1" si="107"/>
        <v>2000</v>
      </c>
    </row>
    <row r="532" spans="1:21" x14ac:dyDescent="0.2">
      <c r="A532" s="7" cm="1">
        <f t="array" aca="1" ref="A532" ca="1">INDEX(Companies!$A:$A,RANDBETWEEN(2,COUNTA(Companies!$A:$A)),1)</f>
        <v>2</v>
      </c>
      <c r="B532" s="5">
        <f t="shared" si="97"/>
        <v>531</v>
      </c>
      <c r="C532" s="6">
        <f t="shared" ca="1" si="98"/>
        <v>1</v>
      </c>
      <c r="D532" s="7">
        <f ca="1">IF($B532 = 1 + N("Presidente"),
    127,
    IF($B532 = 2 + N("Vice-Presidente"),
        72,
        IF($B532 = 3 + N("Secretária bilíngue"),
            13,
            RANDBETWEEN(5,COUNT(Name!$A:$A) + 1)
        )
    )
)</f>
        <v>88</v>
      </c>
      <c r="E532" s="7" t="str">
        <f ca="1" xml:space="preserve">
VLOOKUP(
  $D532,
  Name!$A:$B,
  2,
  FALSE
)
&amp; " " &amp;
IF($B532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Catarina Junqueira Cunha</v>
      </c>
      <c r="F532" s="7">
        <v>2</v>
      </c>
      <c r="G532" s="7" cm="1">
        <f t="array" aca="1" ref="G532" ca="1">INDEX(States!$B:$B,RANDBETWEEN(2,COUNTA(States!$A:$A)),1)</f>
        <v>17</v>
      </c>
      <c r="H532" s="7" t="str">
        <f ca="1">VLOOKUP($D532,Name!$A:$C,3,FALSE)</f>
        <v>F</v>
      </c>
      <c r="I532" s="7" cm="1">
        <f t="array" aca="1" ref="I532" ca="1">INDEX('Marital status'!$A:$A,RANDBETWEEN(2,COUNTA('Marital status'!$A:$A)),1)</f>
        <v>5</v>
      </c>
      <c r="J532" s="7">
        <f t="shared" ca="1" si="99"/>
        <v>5</v>
      </c>
      <c r="K532" s="8">
        <f t="shared" ca="1" si="100"/>
        <v>17503</v>
      </c>
      <c r="L532" s="6">
        <f t="shared" ca="1" si="101"/>
        <v>4</v>
      </c>
      <c r="M532" s="7">
        <f ca="1" xml:space="preserve">
  IF(OR($N532 = 2, $N532 = 3, $N532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532" s="6">
        <f t="shared" ca="1" si="102"/>
        <v>6</v>
      </c>
      <c r="O532" s="6" t="e">
        <f t="shared" ca="1" si="103"/>
        <v>#N/A</v>
      </c>
      <c r="P532" s="8">
        <f t="shared" ca="1" si="104"/>
        <v>40129</v>
      </c>
      <c r="Q532" s="6">
        <f ca="1">RANDBETWEEN(2,COUNTA('Recruitment source'!$A:$A))</f>
        <v>9</v>
      </c>
      <c r="R532" s="8" t="e">
        <f t="shared" ca="1" si="105"/>
        <v>#N/A</v>
      </c>
      <c r="S532" s="6" t="e">
        <f t="shared" ca="1" si="106"/>
        <v>#N/A</v>
      </c>
      <c r="T532" s="6">
        <f t="shared" ca="1" si="96"/>
        <v>4</v>
      </c>
      <c r="U532" s="1">
        <f t="shared" ca="1" si="107"/>
        <v>805</v>
      </c>
    </row>
    <row r="533" spans="1:21" x14ac:dyDescent="0.2">
      <c r="A533" s="7" cm="1">
        <f t="array" aca="1" ref="A533" ca="1">INDEX(Companies!$A:$A,RANDBETWEEN(2,COUNTA(Companies!$A:$A)),1)</f>
        <v>2</v>
      </c>
      <c r="B533" s="5">
        <f t="shared" si="97"/>
        <v>532</v>
      </c>
      <c r="C533" s="6">
        <f t="shared" ca="1" si="98"/>
        <v>1</v>
      </c>
      <c r="D533" s="7">
        <f ca="1">IF($B533 = 1 + N("Presidente"),
    127,
    IF($B533 = 2 + N("Vice-Presidente"),
        72,
        IF($B533 = 3 + N("Secretária bilíngue"),
            13,
            RANDBETWEEN(5,COUNT(Name!$A:$A) + 1)
        )
    )
)</f>
        <v>285</v>
      </c>
      <c r="E533" s="7" t="str">
        <f ca="1" xml:space="preserve">
VLOOKUP(
  $D533,
  Name!$A:$B,
  2,
  FALSE
)
&amp; " " &amp;
IF($B533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Martin Brito Santoro</v>
      </c>
      <c r="F533" s="7">
        <v>2</v>
      </c>
      <c r="G533" s="7" cm="1">
        <f t="array" aca="1" ref="G533" ca="1">INDEX(States!$B:$B,RANDBETWEEN(2,COUNTA(States!$A:$A)),1)</f>
        <v>19</v>
      </c>
      <c r="H533" s="7" t="str">
        <f ca="1">VLOOKUP($D533,Name!$A:$C,3,FALSE)</f>
        <v>M</v>
      </c>
      <c r="I533" s="7" cm="1">
        <f t="array" aca="1" ref="I533" ca="1">INDEX('Marital status'!$A:$A,RANDBETWEEN(2,COUNTA('Marital status'!$A:$A)),1)</f>
        <v>4</v>
      </c>
      <c r="J533" s="7">
        <f t="shared" ca="1" si="99"/>
        <v>2</v>
      </c>
      <c r="K533" s="8">
        <f t="shared" ca="1" si="100"/>
        <v>34226</v>
      </c>
      <c r="L533" s="6">
        <f t="shared" ca="1" si="101"/>
        <v>5</v>
      </c>
      <c r="M533" s="7">
        <f ca="1" xml:space="preserve">
  IF(OR($N533 = 2, $N533 = 3, $N533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533" s="6">
        <f t="shared" ca="1" si="102"/>
        <v>8</v>
      </c>
      <c r="O533" s="6">
        <f t="shared" ca="1" si="103"/>
        <v>3</v>
      </c>
      <c r="P533" s="8">
        <f t="shared" ca="1" si="104"/>
        <v>40931</v>
      </c>
      <c r="Q533" s="6">
        <f ca="1">RANDBETWEEN(2,COUNTA('Recruitment source'!$A:$A))</f>
        <v>12</v>
      </c>
      <c r="R533" s="8" t="e">
        <f t="shared" ca="1" si="105"/>
        <v>#N/A</v>
      </c>
      <c r="S533" s="6" t="e">
        <f t="shared" ca="1" si="106"/>
        <v>#N/A</v>
      </c>
      <c r="T533" s="6">
        <f t="shared" ca="1" si="96"/>
        <v>5</v>
      </c>
      <c r="U533" s="1">
        <f t="shared" ca="1" si="107"/>
        <v>2080</v>
      </c>
    </row>
    <row r="534" spans="1:21" x14ac:dyDescent="0.2">
      <c r="A534" s="7" cm="1">
        <f t="array" aca="1" ref="A534" ca="1">INDEX(Companies!$A:$A,RANDBETWEEN(2,COUNTA(Companies!$A:$A)),1)</f>
        <v>2</v>
      </c>
      <c r="B534" s="5">
        <f t="shared" si="97"/>
        <v>533</v>
      </c>
      <c r="C534" s="6">
        <f t="shared" ca="1" si="98"/>
        <v>1</v>
      </c>
      <c r="D534" s="7">
        <f ca="1">IF($B534 = 1 + N("Presidente"),
    127,
    IF($B534 = 2 + N("Vice-Presidente"),
        72,
        IF($B534 = 3 + N("Secretária bilíngue"),
            13,
            RANDBETWEEN(5,COUNT(Name!$A:$A) + 1)
        )
    )
)</f>
        <v>349</v>
      </c>
      <c r="E534" s="7" t="str">
        <f ca="1" xml:space="preserve">
VLOOKUP(
  $D534,
  Name!$A:$B,
  2,
  FALSE
)
&amp; " " &amp;
IF($B534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Valentina Barbosa Abranches</v>
      </c>
      <c r="F534" s="7">
        <v>2</v>
      </c>
      <c r="G534" s="7" cm="1">
        <f t="array" aca="1" ref="G534" ca="1">INDEX(States!$B:$B,RANDBETWEEN(2,COUNTA(States!$A:$A)),1)</f>
        <v>20</v>
      </c>
      <c r="H534" s="7" t="str">
        <f ca="1">VLOOKUP($D534,Name!$A:$C,3,FALSE)</f>
        <v>F</v>
      </c>
      <c r="I534" s="7" cm="1">
        <f t="array" aca="1" ref="I534" ca="1">INDEX('Marital status'!$A:$A,RANDBETWEEN(2,COUNTA('Marital status'!$A:$A)),1)</f>
        <v>3</v>
      </c>
      <c r="J534" s="7">
        <f t="shared" ca="1" si="99"/>
        <v>2</v>
      </c>
      <c r="K534" s="8">
        <f t="shared" ca="1" si="100"/>
        <v>34385</v>
      </c>
      <c r="L534" s="6">
        <f t="shared" ca="1" si="101"/>
        <v>4</v>
      </c>
      <c r="M534" s="7">
        <f ca="1" xml:space="preserve">
  IF(OR($N534 = 2, $N534 = 3, $N534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534" s="6">
        <f t="shared" ca="1" si="102"/>
        <v>7</v>
      </c>
      <c r="O534" s="6" t="e">
        <f t="shared" ca="1" si="103"/>
        <v>#N/A</v>
      </c>
      <c r="P534" s="8">
        <f t="shared" ca="1" si="104"/>
        <v>37289</v>
      </c>
      <c r="Q534" s="6">
        <f ca="1">RANDBETWEEN(2,COUNTA('Recruitment source'!$A:$A))</f>
        <v>4</v>
      </c>
      <c r="R534" s="8" t="e">
        <f t="shared" ca="1" si="105"/>
        <v>#N/A</v>
      </c>
      <c r="S534" s="6" t="e">
        <f t="shared" ca="1" si="106"/>
        <v>#N/A</v>
      </c>
      <c r="T534" s="6">
        <f t="shared" ca="1" si="96"/>
        <v>2</v>
      </c>
      <c r="U534" s="1">
        <f t="shared" ca="1" si="107"/>
        <v>1085</v>
      </c>
    </row>
    <row r="535" spans="1:21" x14ac:dyDescent="0.2">
      <c r="A535" s="7" cm="1">
        <f t="array" aca="1" ref="A535" ca="1">INDEX(Companies!$A:$A,RANDBETWEEN(2,COUNTA(Companies!$A:$A)),1)</f>
        <v>2</v>
      </c>
      <c r="B535" s="5">
        <f t="shared" si="97"/>
        <v>534</v>
      </c>
      <c r="C535" s="6">
        <f t="shared" ca="1" si="98"/>
        <v>1</v>
      </c>
      <c r="D535" s="7">
        <f ca="1">IF($B535 = 1 + N("Presidente"),
    127,
    IF($B535 = 2 + N("Vice-Presidente"),
        72,
        IF($B535 = 3 + N("Secretária bilíngue"),
            13,
            RANDBETWEEN(5,COUNT(Name!$A:$A) + 1)
        )
    )
)</f>
        <v>332</v>
      </c>
      <c r="E535" s="7" t="str">
        <f ca="1" xml:space="preserve">
VLOOKUP(
  $D535,
  Name!$A:$B,
  2,
  FALSE
)
&amp; " " &amp;
IF($B535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Rodrigo Russo Pinto</v>
      </c>
      <c r="F535" s="7">
        <v>2</v>
      </c>
      <c r="G535" s="7" cm="1">
        <f t="array" aca="1" ref="G535" ca="1">INDEX(States!$B:$B,RANDBETWEEN(2,COUNTA(States!$A:$A)),1)</f>
        <v>18</v>
      </c>
      <c r="H535" s="7" t="str">
        <f ca="1">VLOOKUP($D535,Name!$A:$C,3,FALSE)</f>
        <v>M</v>
      </c>
      <c r="I535" s="7" cm="1">
        <f t="array" aca="1" ref="I535" ca="1">INDEX('Marital status'!$A:$A,RANDBETWEEN(2,COUNTA('Marital status'!$A:$A)),1)</f>
        <v>4</v>
      </c>
      <c r="J535" s="7">
        <f t="shared" ca="1" si="99"/>
        <v>2</v>
      </c>
      <c r="K535" s="8">
        <f t="shared" ca="1" si="100"/>
        <v>35664</v>
      </c>
      <c r="L535" s="6">
        <f t="shared" ca="1" si="101"/>
        <v>4</v>
      </c>
      <c r="M535" s="7">
        <f ca="1" xml:space="preserve">
  IF(OR($N535 = 2, $N535 = 3, $N535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535" s="6">
        <f t="shared" ca="1" si="102"/>
        <v>8</v>
      </c>
      <c r="O535" s="6">
        <f t="shared" ca="1" si="103"/>
        <v>4</v>
      </c>
      <c r="P535" s="8">
        <f t="shared" ca="1" si="104"/>
        <v>40023</v>
      </c>
      <c r="Q535" s="6">
        <f ca="1">RANDBETWEEN(2,COUNTA('Recruitment source'!$A:$A))</f>
        <v>6</v>
      </c>
      <c r="R535" s="8" t="e">
        <f t="shared" ca="1" si="105"/>
        <v>#N/A</v>
      </c>
      <c r="S535" s="6" t="e">
        <f t="shared" ca="1" si="106"/>
        <v>#N/A</v>
      </c>
      <c r="T535" s="6">
        <f t="shared" ca="1" si="96"/>
        <v>2</v>
      </c>
      <c r="U535" s="1">
        <f t="shared" ca="1" si="107"/>
        <v>2080</v>
      </c>
    </row>
    <row r="536" spans="1:21" x14ac:dyDescent="0.2">
      <c r="A536" s="7" cm="1">
        <f t="array" aca="1" ref="A536" ca="1">INDEX(Companies!$A:$A,RANDBETWEEN(2,COUNTA(Companies!$A:$A)),1)</f>
        <v>2</v>
      </c>
      <c r="B536" s="5">
        <f t="shared" si="97"/>
        <v>535</v>
      </c>
      <c r="C536" s="6">
        <f t="shared" ca="1" si="98"/>
        <v>1</v>
      </c>
      <c r="D536" s="7">
        <f ca="1">IF($B536 = 1 + N("Presidente"),
    127,
    IF($B536 = 2 + N("Vice-Presidente"),
        72,
        IF($B536 = 3 + N("Secretária bilíngue"),
            13,
            RANDBETWEEN(5,COUNT(Name!$A:$A) + 1)
        )
    )
)</f>
        <v>175</v>
      </c>
      <c r="E536" s="7" t="str">
        <f ca="1" xml:space="preserve">
VLOOKUP(
  $D536,
  Name!$A:$B,
  2,
  FALSE
)
&amp; " " &amp;
IF($B536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Isabella Braga Russo</v>
      </c>
      <c r="F536" s="7">
        <v>2</v>
      </c>
      <c r="G536" s="7" cm="1">
        <f t="array" aca="1" ref="G536" ca="1">INDEX(States!$B:$B,RANDBETWEEN(2,COUNTA(States!$A:$A)),1)</f>
        <v>15</v>
      </c>
      <c r="H536" s="7" t="str">
        <f ca="1">VLOOKUP($D536,Name!$A:$C,3,FALSE)</f>
        <v>F</v>
      </c>
      <c r="I536" s="7" cm="1">
        <f t="array" aca="1" ref="I536" ca="1">INDEX('Marital status'!$A:$A,RANDBETWEEN(2,COUNTA('Marital status'!$A:$A)),1)</f>
        <v>2</v>
      </c>
      <c r="J536" s="7">
        <f t="shared" ca="1" si="99"/>
        <v>2</v>
      </c>
      <c r="K536" s="8">
        <f t="shared" ca="1" si="100"/>
        <v>31484</v>
      </c>
      <c r="L536" s="6">
        <f t="shared" ca="1" si="101"/>
        <v>4</v>
      </c>
      <c r="M536" s="7">
        <f ca="1" xml:space="preserve">
  IF(OR($N536 = 2, $N536 = 3, $N536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536" s="6">
        <f t="shared" ca="1" si="102"/>
        <v>6</v>
      </c>
      <c r="O536" s="6" t="e">
        <f t="shared" ca="1" si="103"/>
        <v>#N/A</v>
      </c>
      <c r="P536" s="8">
        <f t="shared" ca="1" si="104"/>
        <v>40844</v>
      </c>
      <c r="Q536" s="6">
        <f ca="1">RANDBETWEEN(2,COUNTA('Recruitment source'!$A:$A))</f>
        <v>9</v>
      </c>
      <c r="R536" s="8" t="e">
        <f t="shared" ca="1" si="105"/>
        <v>#N/A</v>
      </c>
      <c r="S536" s="6" t="e">
        <f t="shared" ca="1" si="106"/>
        <v>#N/A</v>
      </c>
      <c r="T536" s="6">
        <f t="shared" ca="1" si="96"/>
        <v>5</v>
      </c>
      <c r="U536" s="1">
        <f t="shared" ca="1" si="107"/>
        <v>805</v>
      </c>
    </row>
    <row r="537" spans="1:21" x14ac:dyDescent="0.2">
      <c r="A537" s="7" cm="1">
        <f t="array" aca="1" ref="A537" ca="1">INDEX(Companies!$A:$A,RANDBETWEEN(2,COUNTA(Companies!$A:$A)),1)</f>
        <v>2</v>
      </c>
      <c r="B537" s="5">
        <f t="shared" si="97"/>
        <v>536</v>
      </c>
      <c r="C537" s="6">
        <f t="shared" ca="1" si="98"/>
        <v>1</v>
      </c>
      <c r="D537" s="7">
        <f ca="1">IF($B537 = 1 + N("Presidente"),
    127,
    IF($B537 = 2 + N("Vice-Presidente"),
        72,
        IF($B537 = 3 + N("Secretária bilíngue"),
            13,
            RANDBETWEEN(5,COUNT(Name!$A:$A) + 1)
        )
    )
)</f>
        <v>136</v>
      </c>
      <c r="E537" s="7" t="str">
        <f ca="1" xml:space="preserve">
VLOOKUP(
  $D537,
  Name!$A:$B,
  2,
  FALSE
)
&amp; " " &amp;
IF($B537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Fellipe Amor Chaves</v>
      </c>
      <c r="F537" s="7">
        <v>2</v>
      </c>
      <c r="G537" s="7" cm="1">
        <f t="array" aca="1" ref="G537" ca="1">INDEX(States!$B:$B,RANDBETWEEN(2,COUNTA(States!$A:$A)),1)</f>
        <v>2</v>
      </c>
      <c r="H537" s="7" t="str">
        <f ca="1">VLOOKUP($D537,Name!$A:$C,3,FALSE)</f>
        <v>M</v>
      </c>
      <c r="I537" s="7" cm="1">
        <f t="array" aca="1" ref="I537" ca="1">INDEX('Marital status'!$A:$A,RANDBETWEEN(2,COUNTA('Marital status'!$A:$A)),1)</f>
        <v>3</v>
      </c>
      <c r="J537" s="7">
        <f t="shared" ca="1" si="99"/>
        <v>2</v>
      </c>
      <c r="K537" s="8">
        <f t="shared" ca="1" si="100"/>
        <v>32867</v>
      </c>
      <c r="L537" s="6">
        <f t="shared" ca="1" si="101"/>
        <v>4</v>
      </c>
      <c r="M537" s="7">
        <f ca="1" xml:space="preserve">
  IF(OR($N537 = 2, $N537 = 3, $N537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537" s="6">
        <f t="shared" ca="1" si="102"/>
        <v>8</v>
      </c>
      <c r="O537" s="6">
        <f t="shared" ca="1" si="103"/>
        <v>3</v>
      </c>
      <c r="P537" s="8">
        <f t="shared" ca="1" si="104"/>
        <v>36762</v>
      </c>
      <c r="Q537" s="6">
        <f ca="1">RANDBETWEEN(2,COUNTA('Recruitment source'!$A:$A))</f>
        <v>12</v>
      </c>
      <c r="R537" s="8" t="e">
        <f t="shared" ca="1" si="105"/>
        <v>#N/A</v>
      </c>
      <c r="S537" s="6" t="e">
        <f t="shared" ca="1" si="106"/>
        <v>#N/A</v>
      </c>
      <c r="T537" s="6">
        <f t="shared" ca="1" si="96"/>
        <v>4</v>
      </c>
      <c r="U537" s="1">
        <f t="shared" ca="1" si="107"/>
        <v>2000</v>
      </c>
    </row>
    <row r="538" spans="1:21" x14ac:dyDescent="0.2">
      <c r="A538" s="7" cm="1">
        <f t="array" aca="1" ref="A538" ca="1">INDEX(Companies!$A:$A,RANDBETWEEN(2,COUNTA(Companies!$A:$A)),1)</f>
        <v>2</v>
      </c>
      <c r="B538" s="5">
        <f t="shared" si="97"/>
        <v>537</v>
      </c>
      <c r="C538" s="6">
        <f t="shared" ca="1" si="98"/>
        <v>1</v>
      </c>
      <c r="D538" s="7">
        <f ca="1">IF($B538 = 1 + N("Presidente"),
    127,
    IF($B538 = 2 + N("Vice-Presidente"),
        72,
        IF($B538 = 3 + N("Secretária bilíngue"),
            13,
            RANDBETWEEN(5,COUNT(Name!$A:$A) + 1)
        )
    )
)</f>
        <v>177</v>
      </c>
      <c r="E538" s="7" t="str">
        <f ca="1" xml:space="preserve">
VLOOKUP(
  $D538,
  Name!$A:$B,
  2,
  FALSE
)
&amp; " " &amp;
IF($B538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Isabelly Battaglia Bicalho</v>
      </c>
      <c r="F538" s="7">
        <v>2</v>
      </c>
      <c r="G538" s="7" cm="1">
        <f t="array" aca="1" ref="G538" ca="1">INDEX(States!$B:$B,RANDBETWEEN(2,COUNTA(States!$A:$A)),1)</f>
        <v>3</v>
      </c>
      <c r="H538" s="7" t="str">
        <f ca="1">VLOOKUP($D538,Name!$A:$C,3,FALSE)</f>
        <v>F</v>
      </c>
      <c r="I538" s="7" cm="1">
        <f t="array" aca="1" ref="I538" ca="1">INDEX('Marital status'!$A:$A,RANDBETWEEN(2,COUNTA('Marital status'!$A:$A)),1)</f>
        <v>4</v>
      </c>
      <c r="J538" s="7">
        <f t="shared" ca="1" si="99"/>
        <v>2</v>
      </c>
      <c r="K538" s="8">
        <f t="shared" ca="1" si="100"/>
        <v>30965</v>
      </c>
      <c r="L538" s="6">
        <f t="shared" ca="1" si="101"/>
        <v>4</v>
      </c>
      <c r="M538" s="7">
        <f ca="1" xml:space="preserve">
  IF(OR($N538 = 2, $N538 = 3, $N538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538" s="6">
        <f t="shared" ca="1" si="102"/>
        <v>6</v>
      </c>
      <c r="O538" s="6" t="e">
        <f t="shared" ca="1" si="103"/>
        <v>#N/A</v>
      </c>
      <c r="P538" s="8">
        <f t="shared" ca="1" si="104"/>
        <v>42621</v>
      </c>
      <c r="Q538" s="6">
        <f ca="1">RANDBETWEEN(2,COUNTA('Recruitment source'!$A:$A))</f>
        <v>4</v>
      </c>
      <c r="R538" s="8" t="e">
        <f t="shared" ca="1" si="105"/>
        <v>#N/A</v>
      </c>
      <c r="S538" s="6" t="e">
        <f t="shared" ca="1" si="106"/>
        <v>#N/A</v>
      </c>
      <c r="T538" s="6">
        <f t="shared" ca="1" si="96"/>
        <v>4</v>
      </c>
      <c r="U538" s="1">
        <f t="shared" ca="1" si="107"/>
        <v>805</v>
      </c>
    </row>
    <row r="539" spans="1:21" x14ac:dyDescent="0.2">
      <c r="A539" s="7" cm="1">
        <f t="array" aca="1" ref="A539" ca="1">INDEX(Companies!$A:$A,RANDBETWEEN(2,COUNTA(Companies!$A:$A)),1)</f>
        <v>2</v>
      </c>
      <c r="B539" s="5">
        <f t="shared" si="97"/>
        <v>538</v>
      </c>
      <c r="C539" s="6">
        <f t="shared" ca="1" si="98"/>
        <v>1</v>
      </c>
      <c r="D539" s="7">
        <f ca="1">IF($B539 = 1 + N("Presidente"),
    127,
    IF($B539 = 2 + N("Vice-Presidente"),
        72,
        IF($B539 = 3 + N("Secretária bilíngue"),
            13,
            RANDBETWEEN(5,COUNT(Name!$A:$A) + 1)
        )
    )
)</f>
        <v>327</v>
      </c>
      <c r="E539" s="7" t="str">
        <f ca="1" xml:space="preserve">
VLOOKUP(
  $D539,
  Name!$A:$B,
  2,
  FALSE
)
&amp; " " &amp;
IF($B539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Raquel Pinto Pinto</v>
      </c>
      <c r="F539" s="7">
        <v>2</v>
      </c>
      <c r="G539" s="7" cm="1">
        <f t="array" aca="1" ref="G539" ca="1">INDEX(States!$B:$B,RANDBETWEEN(2,COUNTA(States!$A:$A)),1)</f>
        <v>10</v>
      </c>
      <c r="H539" s="7" t="str">
        <f ca="1">VLOOKUP($D539,Name!$A:$C,3,FALSE)</f>
        <v>F</v>
      </c>
      <c r="I539" s="7" cm="1">
        <f t="array" aca="1" ref="I539" ca="1">INDEX('Marital status'!$A:$A,RANDBETWEEN(2,COUNTA('Marital status'!$A:$A)),1)</f>
        <v>3</v>
      </c>
      <c r="J539" s="7">
        <f t="shared" ca="1" si="99"/>
        <v>4</v>
      </c>
      <c r="K539" s="8">
        <f t="shared" ca="1" si="100"/>
        <v>36658</v>
      </c>
      <c r="L539" s="6">
        <f t="shared" ca="1" si="101"/>
        <v>4</v>
      </c>
      <c r="M539" s="7">
        <f ca="1" xml:space="preserve">
  IF(OR($N539 = 2, $N539 = 3, $N539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539" s="6">
        <f t="shared" ca="1" si="102"/>
        <v>8</v>
      </c>
      <c r="O539" s="6">
        <f t="shared" ca="1" si="103"/>
        <v>3</v>
      </c>
      <c r="P539" s="8">
        <f t="shared" ca="1" si="104"/>
        <v>38993</v>
      </c>
      <c r="Q539" s="6">
        <f ca="1">RANDBETWEEN(2,COUNTA('Recruitment source'!$A:$A))</f>
        <v>8</v>
      </c>
      <c r="R539" s="8" t="e">
        <f t="shared" ca="1" si="105"/>
        <v>#N/A</v>
      </c>
      <c r="S539" s="6" t="e">
        <f t="shared" ca="1" si="106"/>
        <v>#N/A</v>
      </c>
      <c r="T539" s="6">
        <f t="shared" ca="1" si="96"/>
        <v>2</v>
      </c>
      <c r="U539" s="1">
        <f t="shared" ca="1" si="107"/>
        <v>2080</v>
      </c>
    </row>
    <row r="540" spans="1:21" x14ac:dyDescent="0.2">
      <c r="A540" s="7" cm="1">
        <f t="array" aca="1" ref="A540" ca="1">INDEX(Companies!$A:$A,RANDBETWEEN(2,COUNTA(Companies!$A:$A)),1)</f>
        <v>2</v>
      </c>
      <c r="B540" s="5">
        <f t="shared" si="97"/>
        <v>539</v>
      </c>
      <c r="C540" s="6">
        <f t="shared" ca="1" si="98"/>
        <v>1</v>
      </c>
      <c r="D540" s="7">
        <f ca="1">IF($B540 = 1 + N("Presidente"),
    127,
    IF($B540 = 2 + N("Vice-Presidente"),
        72,
        IF($B540 = 3 + N("Secretária bilíngue"),
            13,
            RANDBETWEEN(5,COUNT(Name!$A:$A) + 1)
        )
    )
)</f>
        <v>203</v>
      </c>
      <c r="E540" s="7" t="str">
        <f ca="1" xml:space="preserve">
VLOOKUP(
  $D540,
  Name!$A:$B,
  2,
  FALSE
)
&amp; " " &amp;
IF($B540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Juliana sobrenome Farina</v>
      </c>
      <c r="F540" s="7">
        <v>2</v>
      </c>
      <c r="G540" s="7" cm="1">
        <f t="array" aca="1" ref="G540" ca="1">INDEX(States!$B:$B,RANDBETWEEN(2,COUNTA(States!$A:$A)),1)</f>
        <v>19</v>
      </c>
      <c r="H540" s="7" t="str">
        <f ca="1">VLOOKUP($D540,Name!$A:$C,3,FALSE)</f>
        <v>F</v>
      </c>
      <c r="I540" s="7" cm="1">
        <f t="array" aca="1" ref="I540" ca="1">INDEX('Marital status'!$A:$A,RANDBETWEEN(2,COUNTA('Marital status'!$A:$A)),1)</f>
        <v>3</v>
      </c>
      <c r="J540" s="7">
        <f t="shared" ca="1" si="99"/>
        <v>2</v>
      </c>
      <c r="K540" s="8">
        <f t="shared" ca="1" si="100"/>
        <v>31359</v>
      </c>
      <c r="L540" s="6">
        <f t="shared" ca="1" si="101"/>
        <v>4</v>
      </c>
      <c r="M540" s="7">
        <f ca="1" xml:space="preserve">
  IF(OR($N540 = 2, $N540 = 3, $N540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540" s="6">
        <f t="shared" ca="1" si="102"/>
        <v>7</v>
      </c>
      <c r="O540" s="6" t="e">
        <f t="shared" ca="1" si="103"/>
        <v>#N/A</v>
      </c>
      <c r="P540" s="8">
        <f t="shared" ca="1" si="104"/>
        <v>37471</v>
      </c>
      <c r="Q540" s="6">
        <f ca="1">RANDBETWEEN(2,COUNTA('Recruitment source'!$A:$A))</f>
        <v>4</v>
      </c>
      <c r="R540" s="8" t="e">
        <f t="shared" ca="1" si="105"/>
        <v>#N/A</v>
      </c>
      <c r="S540" s="6" t="e">
        <f t="shared" ca="1" si="106"/>
        <v>#N/A</v>
      </c>
      <c r="T540" s="6">
        <f t="shared" ca="1" si="96"/>
        <v>5</v>
      </c>
      <c r="U540" s="1">
        <f t="shared" ca="1" si="107"/>
        <v>1005</v>
      </c>
    </row>
    <row r="541" spans="1:21" x14ac:dyDescent="0.2">
      <c r="A541" s="7" cm="1">
        <f t="array" aca="1" ref="A541" ca="1">INDEX(Companies!$A:$A,RANDBETWEEN(2,COUNTA(Companies!$A:$A)),1)</f>
        <v>2</v>
      </c>
      <c r="B541" s="5">
        <f t="shared" si="97"/>
        <v>540</v>
      </c>
      <c r="C541" s="6">
        <f t="shared" ca="1" si="98"/>
        <v>1</v>
      </c>
      <c r="D541" s="7">
        <f ca="1">IF($B541 = 1 + N("Presidente"),
    127,
    IF($B541 = 2 + N("Vice-Presidente"),
        72,
        IF($B541 = 3 + N("Secretária bilíngue"),
            13,
            RANDBETWEEN(5,COUNT(Name!$A:$A) + 1)
        )
    )
)</f>
        <v>86</v>
      </c>
      <c r="E541" s="7" t="str">
        <f ca="1" xml:space="preserve">
VLOOKUP(
  $D541,
  Name!$A:$B,
  2,
  FALSE
)
&amp; " " &amp;
IF($B541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Carolina Ramos Anjos</v>
      </c>
      <c r="F541" s="7">
        <v>2</v>
      </c>
      <c r="G541" s="7" cm="1">
        <f t="array" aca="1" ref="G541" ca="1">INDEX(States!$B:$B,RANDBETWEEN(2,COUNTA(States!$A:$A)),1)</f>
        <v>16</v>
      </c>
      <c r="H541" s="7" t="str">
        <f ca="1">VLOOKUP($D541,Name!$A:$C,3,FALSE)</f>
        <v>F</v>
      </c>
      <c r="I541" s="7" cm="1">
        <f t="array" aca="1" ref="I541" ca="1">INDEX('Marital status'!$A:$A,RANDBETWEEN(2,COUNTA('Marital status'!$A:$A)),1)</f>
        <v>2</v>
      </c>
      <c r="J541" s="7">
        <f t="shared" ca="1" si="99"/>
        <v>2</v>
      </c>
      <c r="K541" s="8">
        <f t="shared" ca="1" si="100"/>
        <v>35958</v>
      </c>
      <c r="L541" s="6">
        <f t="shared" ca="1" si="101"/>
        <v>5</v>
      </c>
      <c r="M541" s="7">
        <f ca="1" xml:space="preserve">
  IF(OR($N541 = 2, $N541 = 3, $N541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541" s="6">
        <f t="shared" ca="1" si="102"/>
        <v>8</v>
      </c>
      <c r="O541" s="6">
        <f t="shared" ca="1" si="103"/>
        <v>4</v>
      </c>
      <c r="P541" s="8">
        <f t="shared" ca="1" si="104"/>
        <v>37512</v>
      </c>
      <c r="Q541" s="6">
        <f ca="1">RANDBETWEEN(2,COUNTA('Recruitment source'!$A:$A))</f>
        <v>6</v>
      </c>
      <c r="R541" s="8" t="e">
        <f t="shared" ca="1" si="105"/>
        <v>#N/A</v>
      </c>
      <c r="S541" s="6" t="e">
        <f t="shared" ca="1" si="106"/>
        <v>#N/A</v>
      </c>
      <c r="T541" s="6">
        <f t="shared" ca="1" si="96"/>
        <v>4</v>
      </c>
      <c r="U541" s="1">
        <f t="shared" ca="1" si="107"/>
        <v>2080</v>
      </c>
    </row>
    <row r="542" spans="1:21" x14ac:dyDescent="0.2">
      <c r="A542" s="7" cm="1">
        <f t="array" aca="1" ref="A542" ca="1">INDEX(Companies!$A:$A,RANDBETWEEN(2,COUNTA(Companies!$A:$A)),1)</f>
        <v>2</v>
      </c>
      <c r="B542" s="5">
        <f t="shared" si="97"/>
        <v>541</v>
      </c>
      <c r="C542" s="6">
        <f t="shared" ca="1" si="98"/>
        <v>1</v>
      </c>
      <c r="D542" s="7">
        <f ca="1">IF($B542 = 1 + N("Presidente"),
    127,
    IF($B542 = 2 + N("Vice-Presidente"),
        72,
        IF($B542 = 3 + N("Secretária bilíngue"),
            13,
            RANDBETWEEN(5,COUNT(Name!$A:$A) + 1)
        )
    )
)</f>
        <v>243</v>
      </c>
      <c r="E542" s="7" t="str">
        <f ca="1" xml:space="preserve">
VLOOKUP(
  $D542,
  Name!$A:$B,
  2,
  FALSE
)
&amp; " " &amp;
IF($B542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Felipe Holanda Morais</v>
      </c>
      <c r="F542" s="7">
        <v>2</v>
      </c>
      <c r="G542" s="7" cm="1">
        <f t="array" aca="1" ref="G542" ca="1">INDEX(States!$B:$B,RANDBETWEEN(2,COUNTA(States!$A:$A)),1)</f>
        <v>9</v>
      </c>
      <c r="H542" s="7" t="str">
        <f ca="1">VLOOKUP($D542,Name!$A:$C,3,FALSE)</f>
        <v>M</v>
      </c>
      <c r="I542" s="7" cm="1">
        <f t="array" aca="1" ref="I542" ca="1">INDEX('Marital status'!$A:$A,RANDBETWEEN(2,COUNTA('Marital status'!$A:$A)),1)</f>
        <v>3</v>
      </c>
      <c r="J542" s="7">
        <f t="shared" ca="1" si="99"/>
        <v>2</v>
      </c>
      <c r="K542" s="8">
        <f t="shared" ca="1" si="100"/>
        <v>22321</v>
      </c>
      <c r="L542" s="6">
        <f t="shared" ca="1" si="101"/>
        <v>4</v>
      </c>
      <c r="M542" s="7">
        <f ca="1" xml:space="preserve">
  IF(OR($N542 = 2, $N542 = 3, $N542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542" s="6">
        <f t="shared" ca="1" si="102"/>
        <v>6</v>
      </c>
      <c r="O542" s="6" t="e">
        <f t="shared" ca="1" si="103"/>
        <v>#N/A</v>
      </c>
      <c r="P542" s="8">
        <f t="shared" ca="1" si="104"/>
        <v>36738</v>
      </c>
      <c r="Q542" s="6">
        <f ca="1">RANDBETWEEN(2,COUNTA('Recruitment source'!$A:$A))</f>
        <v>3</v>
      </c>
      <c r="R542" s="8" t="e">
        <f t="shared" ca="1" si="105"/>
        <v>#N/A</v>
      </c>
      <c r="S542" s="6" t="e">
        <f t="shared" ca="1" si="106"/>
        <v>#N/A</v>
      </c>
      <c r="T542" s="6">
        <f t="shared" ca="1" si="96"/>
        <v>3</v>
      </c>
      <c r="U542" s="1">
        <f t="shared" ca="1" si="107"/>
        <v>805</v>
      </c>
    </row>
    <row r="543" spans="1:21" x14ac:dyDescent="0.2">
      <c r="A543" s="7" cm="1">
        <f t="array" aca="1" ref="A543" ca="1">INDEX(Companies!$A:$A,RANDBETWEEN(2,COUNTA(Companies!$A:$A)),1)</f>
        <v>2</v>
      </c>
      <c r="B543" s="5">
        <f t="shared" si="97"/>
        <v>542</v>
      </c>
      <c r="C543" s="6">
        <f t="shared" ca="1" si="98"/>
        <v>1</v>
      </c>
      <c r="D543" s="7">
        <f ca="1">IF($B543 = 1 + N("Presidente"),
    127,
    IF($B543 = 2 + N("Vice-Presidente"),
        72,
        IF($B543 = 3 + N("Secretária bilíngue"),
            13,
            RANDBETWEEN(5,COUNT(Name!$A:$A) + 1)
        )
    )
)</f>
        <v>305</v>
      </c>
      <c r="E543" s="7" t="str">
        <f ca="1" xml:space="preserve">
VLOOKUP(
  $D543,
  Name!$A:$B,
  2,
  FALSE
)
&amp; " " &amp;
IF($B543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Nathan Mazza Brito</v>
      </c>
      <c r="F543" s="7">
        <v>2</v>
      </c>
      <c r="G543" s="7" cm="1">
        <f t="array" aca="1" ref="G543" ca="1">INDEX(States!$B:$B,RANDBETWEEN(2,COUNTA(States!$A:$A)),1)</f>
        <v>21</v>
      </c>
      <c r="H543" s="7" t="str">
        <f ca="1">VLOOKUP($D543,Name!$A:$C,3,FALSE)</f>
        <v>M</v>
      </c>
      <c r="I543" s="7" cm="1">
        <f t="array" aca="1" ref="I543" ca="1">INDEX('Marital status'!$A:$A,RANDBETWEEN(2,COUNTA('Marital status'!$A:$A)),1)</f>
        <v>3</v>
      </c>
      <c r="J543" s="7">
        <f t="shared" ca="1" si="99"/>
        <v>2</v>
      </c>
      <c r="K543" s="8">
        <f t="shared" ca="1" si="100"/>
        <v>35270</v>
      </c>
      <c r="L543" s="6">
        <f t="shared" ca="1" si="101"/>
        <v>4</v>
      </c>
      <c r="M543" s="7">
        <f ca="1" xml:space="preserve">
  IF(OR($N543 = 2, $N543 = 3, $N543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543" s="6">
        <f t="shared" ca="1" si="102"/>
        <v>8</v>
      </c>
      <c r="O543" s="6">
        <f t="shared" ca="1" si="103"/>
        <v>2</v>
      </c>
      <c r="P543" s="8">
        <f t="shared" ca="1" si="104"/>
        <v>37938</v>
      </c>
      <c r="Q543" s="6">
        <f ca="1">RANDBETWEEN(2,COUNTA('Recruitment source'!$A:$A))</f>
        <v>12</v>
      </c>
      <c r="R543" s="8" t="e">
        <f t="shared" ca="1" si="105"/>
        <v>#N/A</v>
      </c>
      <c r="S543" s="6" t="e">
        <f t="shared" ca="1" si="106"/>
        <v>#N/A</v>
      </c>
      <c r="T543" s="6">
        <f t="shared" ca="1" si="96"/>
        <v>2</v>
      </c>
      <c r="U543" s="1">
        <f t="shared" ca="1" si="107"/>
        <v>2080</v>
      </c>
    </row>
    <row r="544" spans="1:21" x14ac:dyDescent="0.2">
      <c r="A544" s="7" cm="1">
        <f t="array" aca="1" ref="A544" ca="1">INDEX(Companies!$A:$A,RANDBETWEEN(2,COUNTA(Companies!$A:$A)),1)</f>
        <v>2</v>
      </c>
      <c r="B544" s="5">
        <f t="shared" si="97"/>
        <v>543</v>
      </c>
      <c r="C544" s="6">
        <f t="shared" ca="1" si="98"/>
        <v>1</v>
      </c>
      <c r="D544" s="7">
        <f ca="1">IF($B544 = 1 + N("Presidente"),
    127,
    IF($B544 = 2 + N("Vice-Presidente"),
        72,
        IF($B544 = 3 + N("Secretária bilíngue"),
            13,
            RANDBETWEEN(5,COUNT(Name!$A:$A) + 1)
        )
    )
)</f>
        <v>121</v>
      </c>
      <c r="E544" s="7" t="str">
        <f ca="1" xml:space="preserve">
VLOOKUP(
  $D544,
  Name!$A:$B,
  2,
  FALSE
)
&amp; " " &amp;
IF($B544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Eloá Junqueira Medeiros</v>
      </c>
      <c r="F544" s="7">
        <v>2</v>
      </c>
      <c r="G544" s="7" cm="1">
        <f t="array" aca="1" ref="G544" ca="1">INDEX(States!$B:$B,RANDBETWEEN(2,COUNTA(States!$A:$A)),1)</f>
        <v>3</v>
      </c>
      <c r="H544" s="7" t="str">
        <f ca="1">VLOOKUP($D544,Name!$A:$C,3,FALSE)</f>
        <v>F</v>
      </c>
      <c r="I544" s="7" cm="1">
        <f t="array" aca="1" ref="I544" ca="1">INDEX('Marital status'!$A:$A,RANDBETWEEN(2,COUNTA('Marital status'!$A:$A)),1)</f>
        <v>6</v>
      </c>
      <c r="J544" s="7">
        <f t="shared" ca="1" si="99"/>
        <v>2</v>
      </c>
      <c r="K544" s="8">
        <f t="shared" ca="1" si="100"/>
        <v>29223</v>
      </c>
      <c r="L544" s="6">
        <f t="shared" ca="1" si="101"/>
        <v>4</v>
      </c>
      <c r="M544" s="7">
        <f ca="1" xml:space="preserve">
  IF(OR($N544 = 2, $N544 = 3, $N544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544" s="6">
        <f t="shared" ca="1" si="102"/>
        <v>6</v>
      </c>
      <c r="O544" s="6" t="e">
        <f t="shared" ca="1" si="103"/>
        <v>#N/A</v>
      </c>
      <c r="P544" s="8">
        <f t="shared" ca="1" si="104"/>
        <v>36619</v>
      </c>
      <c r="Q544" s="6">
        <f ca="1">RANDBETWEEN(2,COUNTA('Recruitment source'!$A:$A))</f>
        <v>10</v>
      </c>
      <c r="R544" s="8" t="e">
        <f t="shared" ca="1" si="105"/>
        <v>#N/A</v>
      </c>
      <c r="S544" s="6" t="e">
        <f t="shared" ca="1" si="106"/>
        <v>#N/A</v>
      </c>
      <c r="T544" s="6">
        <f t="shared" ca="1" si="96"/>
        <v>5</v>
      </c>
      <c r="U544" s="1">
        <f t="shared" ca="1" si="107"/>
        <v>805</v>
      </c>
    </row>
    <row r="545" spans="1:21" x14ac:dyDescent="0.2">
      <c r="A545" s="7" cm="1">
        <f t="array" aca="1" ref="A545" ca="1">INDEX(Companies!$A:$A,RANDBETWEEN(2,COUNTA(Companies!$A:$A)),1)</f>
        <v>2</v>
      </c>
      <c r="B545" s="5">
        <f t="shared" si="97"/>
        <v>544</v>
      </c>
      <c r="C545" s="6">
        <f t="shared" ca="1" si="98"/>
        <v>1</v>
      </c>
      <c r="D545" s="7">
        <f ca="1">IF($B545 = 1 + N("Presidente"),
    127,
    IF($B545 = 2 + N("Vice-Presidente"),
        72,
        IF($B545 = 3 + N("Secretária bilíngue"),
            13,
            RANDBETWEEN(5,COUNT(Name!$A:$A) + 1)
        )
    )
)</f>
        <v>107</v>
      </c>
      <c r="E545" s="7" t="str">
        <f ca="1" xml:space="preserve">
VLOOKUP(
  $D545,
  Name!$A:$B,
  2,
  FALSE
)
&amp; " " &amp;
IF($B545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Lucca Carvalho Morais</v>
      </c>
      <c r="F545" s="7">
        <v>2</v>
      </c>
      <c r="G545" s="7" cm="1">
        <f t="array" aca="1" ref="G545" ca="1">INDEX(States!$B:$B,RANDBETWEEN(2,COUNTA(States!$A:$A)),1)</f>
        <v>17</v>
      </c>
      <c r="H545" s="7" t="str">
        <f ca="1">VLOOKUP($D545,Name!$A:$C,3,FALSE)</f>
        <v>M</v>
      </c>
      <c r="I545" s="7" cm="1">
        <f t="array" aca="1" ref="I545" ca="1">INDEX('Marital status'!$A:$A,RANDBETWEEN(2,COUNTA('Marital status'!$A:$A)),1)</f>
        <v>5</v>
      </c>
      <c r="J545" s="7">
        <f t="shared" ca="1" si="99"/>
        <v>2</v>
      </c>
      <c r="K545" s="8">
        <f t="shared" ca="1" si="100"/>
        <v>36501</v>
      </c>
      <c r="L545" s="6">
        <f t="shared" ca="1" si="101"/>
        <v>5</v>
      </c>
      <c r="M545" s="7">
        <f ca="1" xml:space="preserve">
  IF(OR($N545 = 2, $N545 = 3, $N545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545" s="6">
        <f t="shared" ca="1" si="102"/>
        <v>8</v>
      </c>
      <c r="O545" s="6">
        <f t="shared" ca="1" si="103"/>
        <v>4</v>
      </c>
      <c r="P545" s="8">
        <f t="shared" ca="1" si="104"/>
        <v>42124</v>
      </c>
      <c r="Q545" s="6">
        <f ca="1">RANDBETWEEN(2,COUNTA('Recruitment source'!$A:$A))</f>
        <v>7</v>
      </c>
      <c r="R545" s="8" t="e">
        <f t="shared" ca="1" si="105"/>
        <v>#N/A</v>
      </c>
      <c r="S545" s="6" t="e">
        <f t="shared" ca="1" si="106"/>
        <v>#N/A</v>
      </c>
      <c r="T545" s="6">
        <f t="shared" ca="1" si="96"/>
        <v>5</v>
      </c>
      <c r="U545" s="1">
        <f t="shared" ca="1" si="107"/>
        <v>2000</v>
      </c>
    </row>
    <row r="546" spans="1:21" x14ac:dyDescent="0.2">
      <c r="A546" s="7" cm="1">
        <f t="array" aca="1" ref="A546" ca="1">INDEX(Companies!$A:$A,RANDBETWEEN(2,COUNTA(Companies!$A:$A)),1)</f>
        <v>2</v>
      </c>
      <c r="B546" s="5">
        <f t="shared" si="97"/>
        <v>545</v>
      </c>
      <c r="C546" s="6">
        <f t="shared" ca="1" si="98"/>
        <v>1</v>
      </c>
      <c r="D546" s="7">
        <f ca="1">IF($B546 = 1 + N("Presidente"),
    127,
    IF($B546 = 2 + N("Vice-Presidente"),
        72,
        IF($B546 = 3 + N("Secretária bilíngue"),
            13,
            RANDBETWEEN(5,COUNT(Name!$A:$A) + 1)
        )
    )
)</f>
        <v>288</v>
      </c>
      <c r="E546" s="7" t="str">
        <f ca="1" xml:space="preserve">
VLOOKUP(
  $D546,
  Name!$A:$B,
  2,
  FALSE
)
&amp; " " &amp;
IF($B546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Matheus Bruno Leite Romano</v>
      </c>
      <c r="F546" s="7">
        <v>2</v>
      </c>
      <c r="G546" s="7" cm="1">
        <f t="array" aca="1" ref="G546" ca="1">INDEX(States!$B:$B,RANDBETWEEN(2,COUNTA(States!$A:$A)),1)</f>
        <v>16</v>
      </c>
      <c r="H546" s="7" t="str">
        <f ca="1">VLOOKUP($D546,Name!$A:$C,3,FALSE)</f>
        <v>M</v>
      </c>
      <c r="I546" s="7" cm="1">
        <f t="array" aca="1" ref="I546" ca="1">INDEX('Marital status'!$A:$A,RANDBETWEEN(2,COUNTA('Marital status'!$A:$A)),1)</f>
        <v>5</v>
      </c>
      <c r="J546" s="7">
        <f t="shared" ca="1" si="99"/>
        <v>3</v>
      </c>
      <c r="K546" s="8">
        <f t="shared" ca="1" si="100"/>
        <v>18866</v>
      </c>
      <c r="L546" s="6">
        <f t="shared" ca="1" si="101"/>
        <v>4</v>
      </c>
      <c r="M546" s="7">
        <f ca="1" xml:space="preserve">
  IF(OR($N546 = 2, $N546 = 3, $N546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546" s="6">
        <f t="shared" ca="1" si="102"/>
        <v>6</v>
      </c>
      <c r="O546" s="6" t="e">
        <f t="shared" ca="1" si="103"/>
        <v>#N/A</v>
      </c>
      <c r="P546" s="8">
        <f t="shared" ca="1" si="104"/>
        <v>41125</v>
      </c>
      <c r="Q546" s="6">
        <f ca="1">RANDBETWEEN(2,COUNTA('Recruitment source'!$A:$A))</f>
        <v>7</v>
      </c>
      <c r="R546" s="8" t="e">
        <f t="shared" ca="1" si="105"/>
        <v>#N/A</v>
      </c>
      <c r="S546" s="6" t="e">
        <f t="shared" ca="1" si="106"/>
        <v>#N/A</v>
      </c>
      <c r="T546" s="6">
        <f t="shared" ca="1" si="96"/>
        <v>5</v>
      </c>
      <c r="U546" s="1">
        <f t="shared" ca="1" si="107"/>
        <v>805</v>
      </c>
    </row>
    <row r="547" spans="1:21" x14ac:dyDescent="0.2">
      <c r="A547" s="7" cm="1">
        <f t="array" aca="1" ref="A547" ca="1">INDEX(Companies!$A:$A,RANDBETWEEN(2,COUNTA(Companies!$A:$A)),1)</f>
        <v>2</v>
      </c>
      <c r="B547" s="5">
        <f t="shared" si="97"/>
        <v>546</v>
      </c>
      <c r="C547" s="6">
        <f t="shared" ca="1" si="98"/>
        <v>1</v>
      </c>
      <c r="D547" s="7">
        <f ca="1">IF($B547 = 1 + N("Presidente"),
    127,
    IF($B547 = 2 + N("Vice-Presidente"),
        72,
        IF($B547 = 3 + N("Secretária bilíngue"),
            13,
            RANDBETWEEN(5,COUNT(Name!$A:$A) + 1)
        )
    )
)</f>
        <v>78</v>
      </c>
      <c r="E547" s="7" t="str">
        <f ca="1" xml:space="preserve">
VLOOKUP(
  $D547,
  Name!$A:$B,
  2,
  FALSE
)
&amp; " " &amp;
IF($B547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Bryan Noronha Faro</v>
      </c>
      <c r="F547" s="7">
        <v>2</v>
      </c>
      <c r="G547" s="7" cm="1">
        <f t="array" aca="1" ref="G547" ca="1">INDEX(States!$B:$B,RANDBETWEEN(2,COUNTA(States!$A:$A)),1)</f>
        <v>10</v>
      </c>
      <c r="H547" s="7" t="str">
        <f ca="1">VLOOKUP($D547,Name!$A:$C,3,FALSE)</f>
        <v>M</v>
      </c>
      <c r="I547" s="7" cm="1">
        <f t="array" aca="1" ref="I547" ca="1">INDEX('Marital status'!$A:$A,RANDBETWEEN(2,COUNTA('Marital status'!$A:$A)),1)</f>
        <v>6</v>
      </c>
      <c r="J547" s="7">
        <f t="shared" ca="1" si="99"/>
        <v>2</v>
      </c>
      <c r="K547" s="8">
        <f t="shared" ca="1" si="100"/>
        <v>32720</v>
      </c>
      <c r="L547" s="6">
        <f t="shared" ca="1" si="101"/>
        <v>5</v>
      </c>
      <c r="M547" s="7">
        <f ca="1" xml:space="preserve">
  IF(OR($N547 = 2, $N547 = 3, $N547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547" s="6">
        <f t="shared" ca="1" si="102"/>
        <v>8</v>
      </c>
      <c r="O547" s="6">
        <f t="shared" ca="1" si="103"/>
        <v>4</v>
      </c>
      <c r="P547" s="8">
        <f t="shared" ca="1" si="104"/>
        <v>42301</v>
      </c>
      <c r="Q547" s="6">
        <f ca="1">RANDBETWEEN(2,COUNTA('Recruitment source'!$A:$A))</f>
        <v>6</v>
      </c>
      <c r="R547" s="8" t="e">
        <f t="shared" ca="1" si="105"/>
        <v>#N/A</v>
      </c>
      <c r="S547" s="6" t="e">
        <f t="shared" ca="1" si="106"/>
        <v>#N/A</v>
      </c>
      <c r="T547" s="6">
        <f t="shared" ca="1" si="96"/>
        <v>4</v>
      </c>
      <c r="U547" s="1">
        <f t="shared" ca="1" si="107"/>
        <v>2000</v>
      </c>
    </row>
    <row r="548" spans="1:21" x14ac:dyDescent="0.2">
      <c r="A548" s="7" cm="1">
        <f t="array" aca="1" ref="A548" ca="1">INDEX(Companies!$A:$A,RANDBETWEEN(2,COUNTA(Companies!$A:$A)),1)</f>
        <v>2</v>
      </c>
      <c r="B548" s="5">
        <f t="shared" si="97"/>
        <v>547</v>
      </c>
      <c r="C548" s="6">
        <f t="shared" ca="1" si="98"/>
        <v>1</v>
      </c>
      <c r="D548" s="7">
        <f ca="1">IF($B548 = 1 + N("Presidente"),
    127,
    IF($B548 = 2 + N("Vice-Presidente"),
        72,
        IF($B548 = 3 + N("Secretária bilíngue"),
            13,
            RANDBETWEEN(5,COUNT(Name!$A:$A) + 1)
        )
    )
)</f>
        <v>134</v>
      </c>
      <c r="E548" s="7" t="str">
        <f ca="1" xml:space="preserve">
VLOOKUP(
  $D548,
  Name!$A:$B,
  2,
  FALSE
)
&amp; " " &amp;
IF($B548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Eva Dantas Arruda</v>
      </c>
      <c r="F548" s="7">
        <v>2</v>
      </c>
      <c r="G548" s="7" cm="1">
        <f t="array" aca="1" ref="G548" ca="1">INDEX(States!$B:$B,RANDBETWEEN(2,COUNTA(States!$A:$A)),1)</f>
        <v>20</v>
      </c>
      <c r="H548" s="7" t="str">
        <f ca="1">VLOOKUP($D548,Name!$A:$C,3,FALSE)</f>
        <v>F</v>
      </c>
      <c r="I548" s="7" cm="1">
        <f t="array" aca="1" ref="I548" ca="1">INDEX('Marital status'!$A:$A,RANDBETWEEN(2,COUNTA('Marital status'!$A:$A)),1)</f>
        <v>5</v>
      </c>
      <c r="J548" s="7">
        <f t="shared" ca="1" si="99"/>
        <v>2</v>
      </c>
      <c r="K548" s="8">
        <f t="shared" ca="1" si="100"/>
        <v>32319</v>
      </c>
      <c r="L548" s="6">
        <f t="shared" ca="1" si="101"/>
        <v>4</v>
      </c>
      <c r="M548" s="7">
        <f ca="1" xml:space="preserve">
  IF(OR($N548 = 2, $N548 = 3, $N548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548" s="6">
        <f t="shared" ca="1" si="102"/>
        <v>6</v>
      </c>
      <c r="O548" s="6" t="e">
        <f t="shared" ca="1" si="103"/>
        <v>#N/A</v>
      </c>
      <c r="P548" s="8">
        <f t="shared" ca="1" si="104"/>
        <v>44233</v>
      </c>
      <c r="Q548" s="6">
        <f ca="1">RANDBETWEEN(2,COUNTA('Recruitment source'!$A:$A))</f>
        <v>7</v>
      </c>
      <c r="R548" s="8" t="e">
        <f t="shared" ca="1" si="105"/>
        <v>#N/A</v>
      </c>
      <c r="S548" s="6" t="e">
        <f t="shared" ca="1" si="106"/>
        <v>#N/A</v>
      </c>
      <c r="T548" s="6">
        <f t="shared" ca="1" si="96"/>
        <v>3</v>
      </c>
      <c r="U548" s="1">
        <f t="shared" ca="1" si="107"/>
        <v>805</v>
      </c>
    </row>
    <row r="549" spans="1:21" x14ac:dyDescent="0.2">
      <c r="A549" s="7" cm="1">
        <f t="array" aca="1" ref="A549" ca="1">INDEX(Companies!$A:$A,RANDBETWEEN(2,COUNTA(Companies!$A:$A)),1)</f>
        <v>2</v>
      </c>
      <c r="B549" s="5">
        <f t="shared" si="97"/>
        <v>548</v>
      </c>
      <c r="C549" s="6">
        <f t="shared" ca="1" si="98"/>
        <v>1</v>
      </c>
      <c r="D549" s="7">
        <f ca="1">IF($B549 = 1 + N("Presidente"),
    127,
    IF($B549 = 2 + N("Vice-Presidente"),
        72,
        IF($B549 = 3 + N("Secretária bilíngue"),
            13,
            RANDBETWEEN(5,COUNT(Name!$A:$A) + 1)
        )
    )
)</f>
        <v>353</v>
      </c>
      <c r="E549" s="7" t="str">
        <f ca="1" xml:space="preserve">
VLOOKUP(
  $D549,
  Name!$A:$B,
  2,
  FALSE
)
&amp; " " &amp;
IF($B549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Vicente Veiga Rangel</v>
      </c>
      <c r="F549" s="7">
        <v>2</v>
      </c>
      <c r="G549" s="7" cm="1">
        <f t="array" aca="1" ref="G549" ca="1">INDEX(States!$B:$B,RANDBETWEEN(2,COUNTA(States!$A:$A)),1)</f>
        <v>12</v>
      </c>
      <c r="H549" s="7" t="str">
        <f ca="1">VLOOKUP($D549,Name!$A:$C,3,FALSE)</f>
        <v>M</v>
      </c>
      <c r="I549" s="7" cm="1">
        <f t="array" aca="1" ref="I549" ca="1">INDEX('Marital status'!$A:$A,RANDBETWEEN(2,COUNTA('Marital status'!$A:$A)),1)</f>
        <v>6</v>
      </c>
      <c r="J549" s="7">
        <f t="shared" ca="1" si="99"/>
        <v>2</v>
      </c>
      <c r="K549" s="8">
        <f t="shared" ca="1" si="100"/>
        <v>36034</v>
      </c>
      <c r="L549" s="6">
        <f t="shared" ca="1" si="101"/>
        <v>5</v>
      </c>
      <c r="M549" s="7">
        <f ca="1" xml:space="preserve">
  IF(OR($N549 = 2, $N549 = 3, $N549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549" s="6">
        <f t="shared" ca="1" si="102"/>
        <v>8</v>
      </c>
      <c r="O549" s="6">
        <f t="shared" ca="1" si="103"/>
        <v>2</v>
      </c>
      <c r="P549" s="8">
        <f t="shared" ca="1" si="104"/>
        <v>36270</v>
      </c>
      <c r="Q549" s="6">
        <f ca="1">RANDBETWEEN(2,COUNTA('Recruitment source'!$A:$A))</f>
        <v>8</v>
      </c>
      <c r="R549" s="8" t="e">
        <f t="shared" ca="1" si="105"/>
        <v>#N/A</v>
      </c>
      <c r="S549" s="6" t="e">
        <f t="shared" ca="1" si="106"/>
        <v>#N/A</v>
      </c>
      <c r="T549" s="6">
        <f t="shared" ca="1" si="96"/>
        <v>4</v>
      </c>
      <c r="U549" s="1">
        <f t="shared" ca="1" si="107"/>
        <v>2000</v>
      </c>
    </row>
    <row r="550" spans="1:21" x14ac:dyDescent="0.2">
      <c r="A550" s="7" cm="1">
        <f t="array" aca="1" ref="A550" ca="1">INDEX(Companies!$A:$A,RANDBETWEEN(2,COUNTA(Companies!$A:$A)),1)</f>
        <v>2</v>
      </c>
      <c r="B550" s="5">
        <f t="shared" si="97"/>
        <v>549</v>
      </c>
      <c r="C550" s="6">
        <f t="shared" ca="1" si="98"/>
        <v>1</v>
      </c>
      <c r="D550" s="7">
        <f ca="1">IF($B550 = 1 + N("Presidente"),
    127,
    IF($B550 = 2 + N("Vice-Presidente"),
        72,
        IF($B550 = 3 + N("Secretária bilíngue"),
            13,
            RANDBETWEEN(5,COUNT(Name!$A:$A) + 1)
        )
    )
)</f>
        <v>147</v>
      </c>
      <c r="E550" s="7" t="str">
        <f ca="1" xml:space="preserve">
VLOOKUP(
  $D550,
  Name!$A:$B,
  2,
  FALSE
)
&amp; " " &amp;
IF($B550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Francisco Emanuel Costatini Santana</v>
      </c>
      <c r="F550" s="7">
        <v>2</v>
      </c>
      <c r="G550" s="7" cm="1">
        <f t="array" aca="1" ref="G550" ca="1">INDEX(States!$B:$B,RANDBETWEEN(2,COUNTA(States!$A:$A)),1)</f>
        <v>6</v>
      </c>
      <c r="H550" s="7" t="str">
        <f ca="1">VLOOKUP($D550,Name!$A:$C,3,FALSE)</f>
        <v>M</v>
      </c>
      <c r="I550" s="7" cm="1">
        <f t="array" aca="1" ref="I550" ca="1">INDEX('Marital status'!$A:$A,RANDBETWEEN(2,COUNTA('Marital status'!$A:$A)),1)</f>
        <v>5</v>
      </c>
      <c r="J550" s="7">
        <f t="shared" ca="1" si="99"/>
        <v>4</v>
      </c>
      <c r="K550" s="8">
        <f t="shared" ca="1" si="100"/>
        <v>33123</v>
      </c>
      <c r="L550" s="6">
        <f t="shared" ca="1" si="101"/>
        <v>4</v>
      </c>
      <c r="M550" s="7">
        <f ca="1" xml:space="preserve">
  IF(OR($N550 = 2, $N550 = 3, $N550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550" s="6">
        <f t="shared" ca="1" si="102"/>
        <v>6</v>
      </c>
      <c r="O550" s="6" t="e">
        <f t="shared" ca="1" si="103"/>
        <v>#N/A</v>
      </c>
      <c r="P550" s="8">
        <f t="shared" ca="1" si="104"/>
        <v>40116</v>
      </c>
      <c r="Q550" s="6">
        <f ca="1">RANDBETWEEN(2,COUNTA('Recruitment source'!$A:$A))</f>
        <v>10</v>
      </c>
      <c r="R550" s="8" t="e">
        <f t="shared" ca="1" si="105"/>
        <v>#N/A</v>
      </c>
      <c r="S550" s="6" t="e">
        <f t="shared" ca="1" si="106"/>
        <v>#N/A</v>
      </c>
      <c r="T550" s="6">
        <f t="shared" ca="1" si="96"/>
        <v>2</v>
      </c>
      <c r="U550" s="1">
        <f t="shared" ca="1" si="107"/>
        <v>805</v>
      </c>
    </row>
    <row r="551" spans="1:21" x14ac:dyDescent="0.2">
      <c r="A551" s="7" cm="1">
        <f t="array" aca="1" ref="A551" ca="1">INDEX(Companies!$A:$A,RANDBETWEEN(2,COUNTA(Companies!$A:$A)),1)</f>
        <v>2</v>
      </c>
      <c r="B551" s="5">
        <f t="shared" si="97"/>
        <v>550</v>
      </c>
      <c r="C551" s="6">
        <f t="shared" ca="1" si="98"/>
        <v>1</v>
      </c>
      <c r="D551" s="7">
        <f ca="1">IF($B551 = 1 + N("Presidente"),
    127,
    IF($B551 = 2 + N("Vice-Presidente"),
        72,
        IF($B551 = 3 + N("Secretária bilíngue"),
            13,
            RANDBETWEEN(5,COUNT(Name!$A:$A) + 1)
        )
    )
)</f>
        <v>210</v>
      </c>
      <c r="E551" s="7" t="str">
        <f ca="1" xml:space="preserve">
VLOOKUP(
  $D551,
  Name!$A:$B,
  2,
  FALSE
)
&amp; " " &amp;
IF($B551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Kauã Rinaldi Trindade</v>
      </c>
      <c r="F551" s="7">
        <v>2</v>
      </c>
      <c r="G551" s="7" cm="1">
        <f t="array" aca="1" ref="G551" ca="1">INDEX(States!$B:$B,RANDBETWEEN(2,COUNTA(States!$A:$A)),1)</f>
        <v>10</v>
      </c>
      <c r="H551" s="7" t="str">
        <f ca="1">VLOOKUP($D551,Name!$A:$C,3,FALSE)</f>
        <v>M</v>
      </c>
      <c r="I551" s="7" cm="1">
        <f t="array" aca="1" ref="I551" ca="1">INDEX('Marital status'!$A:$A,RANDBETWEEN(2,COUNTA('Marital status'!$A:$A)),1)</f>
        <v>2</v>
      </c>
      <c r="J551" s="7">
        <f t="shared" ca="1" si="99"/>
        <v>5</v>
      </c>
      <c r="K551" s="8">
        <f t="shared" ca="1" si="100"/>
        <v>36135</v>
      </c>
      <c r="L551" s="6">
        <f t="shared" ca="1" si="101"/>
        <v>5</v>
      </c>
      <c r="M551" s="7">
        <f ca="1" xml:space="preserve">
  IF(OR($N551 = 2, $N551 = 3, $N551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551" s="6">
        <f t="shared" ca="1" si="102"/>
        <v>8</v>
      </c>
      <c r="O551" s="6">
        <f t="shared" ca="1" si="103"/>
        <v>4</v>
      </c>
      <c r="P551" s="8">
        <f t="shared" ca="1" si="104"/>
        <v>37811</v>
      </c>
      <c r="Q551" s="6">
        <f ca="1">RANDBETWEEN(2,COUNTA('Recruitment source'!$A:$A))</f>
        <v>4</v>
      </c>
      <c r="R551" s="8" t="e">
        <f t="shared" ca="1" si="105"/>
        <v>#N/A</v>
      </c>
      <c r="S551" s="6" t="e">
        <f t="shared" ca="1" si="106"/>
        <v>#N/A</v>
      </c>
      <c r="T551" s="6">
        <f t="shared" ca="1" si="96"/>
        <v>2</v>
      </c>
      <c r="U551" s="1">
        <f t="shared" ca="1" si="107"/>
        <v>2000</v>
      </c>
    </row>
    <row r="552" spans="1:21" x14ac:dyDescent="0.2">
      <c r="A552" s="7" cm="1">
        <f t="array" aca="1" ref="A552" ca="1">INDEX(Companies!$A:$A,RANDBETWEEN(2,COUNTA(Companies!$A:$A)),1)</f>
        <v>2</v>
      </c>
      <c r="B552" s="5">
        <f t="shared" si="97"/>
        <v>551</v>
      </c>
      <c r="C552" s="6">
        <f t="shared" ca="1" si="98"/>
        <v>1</v>
      </c>
      <c r="D552" s="7">
        <f ca="1">IF($B552 = 1 + N("Presidente"),
    127,
    IF($B552 = 2 + N("Vice-Presidente"),
        72,
        IF($B552 = 3 + N("Secretária bilíngue"),
            13,
            RANDBETWEEN(5,COUNT(Name!$A:$A) + 1)
        )
    )
)</f>
        <v>133</v>
      </c>
      <c r="E552" s="7" t="str">
        <f ca="1" xml:space="preserve">
VLOOKUP(
  $D552,
  Name!$A:$B,
  2,
  FALSE
)
&amp; " " &amp;
IF($B552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Esther Abranches Camargo</v>
      </c>
      <c r="F552" s="7">
        <v>2</v>
      </c>
      <c r="G552" s="7" cm="1">
        <f t="array" aca="1" ref="G552" ca="1">INDEX(States!$B:$B,RANDBETWEEN(2,COUNTA(States!$A:$A)),1)</f>
        <v>9</v>
      </c>
      <c r="H552" s="7" t="str">
        <f ca="1">VLOOKUP($D552,Name!$A:$C,3,FALSE)</f>
        <v>F</v>
      </c>
      <c r="I552" s="7" cm="1">
        <f t="array" aca="1" ref="I552" ca="1">INDEX('Marital status'!$A:$A,RANDBETWEEN(2,COUNTA('Marital status'!$A:$A)),1)</f>
        <v>6</v>
      </c>
      <c r="J552" s="7">
        <f t="shared" ca="1" si="99"/>
        <v>2</v>
      </c>
      <c r="K552" s="8">
        <f t="shared" ca="1" si="100"/>
        <v>30436</v>
      </c>
      <c r="L552" s="6">
        <f t="shared" ca="1" si="101"/>
        <v>4</v>
      </c>
      <c r="M552" s="7">
        <f ca="1" xml:space="preserve">
  IF(OR($N552 = 2, $N552 = 3, $N552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552" s="6">
        <f t="shared" ca="1" si="102"/>
        <v>6</v>
      </c>
      <c r="O552" s="6" t="e">
        <f t="shared" ca="1" si="103"/>
        <v>#N/A</v>
      </c>
      <c r="P552" s="8">
        <f t="shared" ca="1" si="104"/>
        <v>36827</v>
      </c>
      <c r="Q552" s="6">
        <f ca="1">RANDBETWEEN(2,COUNTA('Recruitment source'!$A:$A))</f>
        <v>8</v>
      </c>
      <c r="R552" s="8" t="e">
        <f t="shared" ca="1" si="105"/>
        <v>#N/A</v>
      </c>
      <c r="S552" s="6" t="e">
        <f t="shared" ca="1" si="106"/>
        <v>#N/A</v>
      </c>
      <c r="T552" s="6">
        <f t="shared" ca="1" si="96"/>
        <v>2</v>
      </c>
      <c r="U552" s="1">
        <f t="shared" ca="1" si="107"/>
        <v>805</v>
      </c>
    </row>
    <row r="553" spans="1:21" x14ac:dyDescent="0.2">
      <c r="A553" s="7" cm="1">
        <f t="array" aca="1" ref="A553" ca="1">INDEX(Companies!$A:$A,RANDBETWEEN(2,COUNTA(Companies!$A:$A)),1)</f>
        <v>2</v>
      </c>
      <c r="B553" s="5">
        <f t="shared" si="97"/>
        <v>552</v>
      </c>
      <c r="C553" s="6">
        <f t="shared" ca="1" si="98"/>
        <v>1</v>
      </c>
      <c r="D553" s="7">
        <f ca="1">IF($B553 = 1 + N("Presidente"),
    127,
    IF($B553 = 2 + N("Vice-Presidente"),
        72,
        IF($B553 = 3 + N("Secretária bilíngue"),
            13,
            RANDBETWEEN(5,COUNT(Name!$A:$A) + 1)
        )
    )
)</f>
        <v>137</v>
      </c>
      <c r="E553" s="7" t="str">
        <f ca="1" xml:space="preserve">
VLOOKUP(
  $D553,
  Name!$A:$B,
  2,
  FALSE
)
&amp; " " &amp;
IF($B553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Fernanda Brasão Gonçalves</v>
      </c>
      <c r="F553" s="7">
        <v>2</v>
      </c>
      <c r="G553" s="7" cm="1">
        <f t="array" aca="1" ref="G553" ca="1">INDEX(States!$B:$B,RANDBETWEEN(2,COUNTA(States!$A:$A)),1)</f>
        <v>3</v>
      </c>
      <c r="H553" s="7" t="str">
        <f ca="1">VLOOKUP($D553,Name!$A:$C,3,FALSE)</f>
        <v>F</v>
      </c>
      <c r="I553" s="7" cm="1">
        <f t="array" aca="1" ref="I553" ca="1">INDEX('Marital status'!$A:$A,RANDBETWEEN(2,COUNTA('Marital status'!$A:$A)),1)</f>
        <v>2</v>
      </c>
      <c r="J553" s="7">
        <f t="shared" ca="1" si="99"/>
        <v>3</v>
      </c>
      <c r="K553" s="8">
        <f t="shared" ca="1" si="100"/>
        <v>35469</v>
      </c>
      <c r="L553" s="6">
        <f t="shared" ca="1" si="101"/>
        <v>4</v>
      </c>
      <c r="M553" s="7">
        <f ca="1" xml:space="preserve">
  IF(OR($N553 = 2, $N553 = 3, $N553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553" s="6">
        <f t="shared" ca="1" si="102"/>
        <v>8</v>
      </c>
      <c r="O553" s="6">
        <f t="shared" ca="1" si="103"/>
        <v>3</v>
      </c>
      <c r="P553" s="8">
        <f t="shared" ca="1" si="104"/>
        <v>36904</v>
      </c>
      <c r="Q553" s="6">
        <f ca="1">RANDBETWEEN(2,COUNTA('Recruitment source'!$A:$A))</f>
        <v>3</v>
      </c>
      <c r="R553" s="8" t="e">
        <f t="shared" ca="1" si="105"/>
        <v>#N/A</v>
      </c>
      <c r="S553" s="6" t="e">
        <f t="shared" ca="1" si="106"/>
        <v>#N/A</v>
      </c>
      <c r="T553" s="6">
        <f t="shared" ca="1" si="96"/>
        <v>2</v>
      </c>
      <c r="U553" s="1">
        <f t="shared" ca="1" si="107"/>
        <v>2080</v>
      </c>
    </row>
    <row r="554" spans="1:21" x14ac:dyDescent="0.2">
      <c r="A554" s="7" cm="1">
        <f t="array" aca="1" ref="A554" ca="1">INDEX(Companies!$A:$A,RANDBETWEEN(2,COUNTA(Companies!$A:$A)),1)</f>
        <v>2</v>
      </c>
      <c r="B554" s="5">
        <f t="shared" si="97"/>
        <v>553</v>
      </c>
      <c r="C554" s="6">
        <f t="shared" ca="1" si="98"/>
        <v>1</v>
      </c>
      <c r="D554" s="7">
        <f ca="1">IF($B554 = 1 + N("Presidente"),
    127,
    IF($B554 = 2 + N("Vice-Presidente"),
        72,
        IF($B554 = 3 + N("Secretária bilíngue"),
            13,
            RANDBETWEEN(5,COUNT(Name!$A:$A) + 1)
        )
    )
)</f>
        <v>218</v>
      </c>
      <c r="E554" s="7" t="str">
        <f ca="1" xml:space="preserve">
VLOOKUP(
  $D554,
  Name!$A:$B,
  2,
  FALSE
)
&amp; " " &amp;
IF($B554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Larisa Bandeira Rossi</v>
      </c>
      <c r="F554" s="7">
        <v>2</v>
      </c>
      <c r="G554" s="7" cm="1">
        <f t="array" aca="1" ref="G554" ca="1">INDEX(States!$B:$B,RANDBETWEEN(2,COUNTA(States!$A:$A)),1)</f>
        <v>21</v>
      </c>
      <c r="H554" s="7" t="str">
        <f ca="1">VLOOKUP($D554,Name!$A:$C,3,FALSE)</f>
        <v>F</v>
      </c>
      <c r="I554" s="7" cm="1">
        <f t="array" aca="1" ref="I554" ca="1">INDEX('Marital status'!$A:$A,RANDBETWEEN(2,COUNTA('Marital status'!$A:$A)),1)</f>
        <v>5</v>
      </c>
      <c r="J554" s="7">
        <f t="shared" ca="1" si="99"/>
        <v>2</v>
      </c>
      <c r="K554" s="8">
        <f t="shared" ca="1" si="100"/>
        <v>26635</v>
      </c>
      <c r="L554" s="6">
        <f t="shared" ca="1" si="101"/>
        <v>4</v>
      </c>
      <c r="M554" s="7">
        <f ca="1" xml:space="preserve">
  IF(OR($N554 = 2, $N554 = 3, $N554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554" s="6">
        <f t="shared" ca="1" si="102"/>
        <v>6</v>
      </c>
      <c r="O554" s="6" t="e">
        <f t="shared" ca="1" si="103"/>
        <v>#N/A</v>
      </c>
      <c r="P554" s="8">
        <f t="shared" ca="1" si="104"/>
        <v>40485</v>
      </c>
      <c r="Q554" s="6">
        <f ca="1">RANDBETWEEN(2,COUNTA('Recruitment source'!$A:$A))</f>
        <v>9</v>
      </c>
      <c r="R554" s="8" t="e">
        <f t="shared" ca="1" si="105"/>
        <v>#N/A</v>
      </c>
      <c r="S554" s="6" t="e">
        <f t="shared" ca="1" si="106"/>
        <v>#N/A</v>
      </c>
      <c r="T554" s="6">
        <f t="shared" ca="1" si="96"/>
        <v>3</v>
      </c>
      <c r="U554" s="1">
        <f t="shared" ca="1" si="107"/>
        <v>805</v>
      </c>
    </row>
    <row r="555" spans="1:21" x14ac:dyDescent="0.2">
      <c r="A555" s="7" cm="1">
        <f t="array" aca="1" ref="A555" ca="1">INDEX(Companies!$A:$A,RANDBETWEEN(2,COUNTA(Companies!$A:$A)),1)</f>
        <v>2</v>
      </c>
      <c r="B555" s="5">
        <f t="shared" si="97"/>
        <v>554</v>
      </c>
      <c r="C555" s="6">
        <f t="shared" ca="1" si="98"/>
        <v>0</v>
      </c>
      <c r="D555" s="7">
        <f ca="1">IF($B555 = 1 + N("Presidente"),
    127,
    IF($B555 = 2 + N("Vice-Presidente"),
        72,
        IF($B555 = 3 + N("Secretária bilíngue"),
            13,
            RANDBETWEEN(5,COUNT(Name!$A:$A) + 1)
        )
    )
)</f>
        <v>117</v>
      </c>
      <c r="E555" s="7" t="str">
        <f ca="1" xml:space="preserve">
VLOOKUP(
  $D555,
  Name!$A:$B,
  2,
  FALSE
)
&amp; " " &amp;
IF($B555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Eduardo Amor Moreira</v>
      </c>
      <c r="F555" s="7">
        <v>2</v>
      </c>
      <c r="G555" s="7" cm="1">
        <f t="array" aca="1" ref="G555" ca="1">INDEX(States!$B:$B,RANDBETWEEN(2,COUNTA(States!$A:$A)),1)</f>
        <v>18</v>
      </c>
      <c r="H555" s="7" t="str">
        <f ca="1">VLOOKUP($D555,Name!$A:$C,3,FALSE)</f>
        <v>M</v>
      </c>
      <c r="I555" s="7" cm="1">
        <f t="array" aca="1" ref="I555" ca="1">INDEX('Marital status'!$A:$A,RANDBETWEEN(2,COUNTA('Marital status'!$A:$A)),1)</f>
        <v>3</v>
      </c>
      <c r="J555" s="7">
        <f t="shared" ca="1" si="99"/>
        <v>2</v>
      </c>
      <c r="K555" s="8">
        <f t="shared" ca="1" si="100"/>
        <v>34333</v>
      </c>
      <c r="L555" s="6">
        <f t="shared" ca="1" si="101"/>
        <v>5</v>
      </c>
      <c r="M555" s="7">
        <f ca="1" xml:space="preserve">
  IF(OR($N555 = 2, $N555 = 3, $N555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555" s="6">
        <f t="shared" ca="1" si="102"/>
        <v>8</v>
      </c>
      <c r="O555" s="6">
        <f t="shared" ca="1" si="103"/>
        <v>2</v>
      </c>
      <c r="P555" s="8">
        <f t="shared" ca="1" si="104"/>
        <v>43605</v>
      </c>
      <c r="Q555" s="6">
        <f ca="1">RANDBETWEEN(2,COUNTA('Recruitment source'!$A:$A))</f>
        <v>2</v>
      </c>
      <c r="R555" s="8">
        <f t="shared" ca="1" si="105"/>
        <v>43611</v>
      </c>
      <c r="S555" s="6">
        <f t="shared" ca="1" si="106"/>
        <v>4</v>
      </c>
      <c r="T555" s="6">
        <f t="shared" ca="1" si="96"/>
        <v>1</v>
      </c>
      <c r="U555" s="1">
        <f t="shared" ca="1" si="107"/>
        <v>2080</v>
      </c>
    </row>
    <row r="556" spans="1:21" x14ac:dyDescent="0.2">
      <c r="A556" s="7" cm="1">
        <f t="array" aca="1" ref="A556" ca="1">INDEX(Companies!$A:$A,RANDBETWEEN(2,COUNTA(Companies!$A:$A)),1)</f>
        <v>2</v>
      </c>
      <c r="B556" s="5">
        <f t="shared" si="97"/>
        <v>555</v>
      </c>
      <c r="C556" s="6">
        <f t="shared" ca="1" si="98"/>
        <v>1</v>
      </c>
      <c r="D556" s="7">
        <f ca="1">IF($B556 = 1 + N("Presidente"),
    127,
    IF($B556 = 2 + N("Vice-Presidente"),
        72,
        IF($B556 = 3 + N("Secretária bilíngue"),
            13,
            RANDBETWEEN(5,COUNT(Name!$A:$A) + 1)
        )
    )
)</f>
        <v>288</v>
      </c>
      <c r="E556" s="7" t="str">
        <f ca="1" xml:space="preserve">
VLOOKUP(
  $D556,
  Name!$A:$B,
  2,
  FALSE
)
&amp; " " &amp;
IF($B556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Matheus Bruno Gouveia Brasil</v>
      </c>
      <c r="F556" s="7">
        <v>2</v>
      </c>
      <c r="G556" s="7" cm="1">
        <f t="array" aca="1" ref="G556" ca="1">INDEX(States!$B:$B,RANDBETWEEN(2,COUNTA(States!$A:$A)),1)</f>
        <v>11</v>
      </c>
      <c r="H556" s="7" t="str">
        <f ca="1">VLOOKUP($D556,Name!$A:$C,3,FALSE)</f>
        <v>M</v>
      </c>
      <c r="I556" s="7" cm="1">
        <f t="array" aca="1" ref="I556" ca="1">INDEX('Marital status'!$A:$A,RANDBETWEEN(2,COUNTA('Marital status'!$A:$A)),1)</f>
        <v>3</v>
      </c>
      <c r="J556" s="7">
        <f t="shared" ca="1" si="99"/>
        <v>2</v>
      </c>
      <c r="K556" s="8">
        <f t="shared" ca="1" si="100"/>
        <v>22135</v>
      </c>
      <c r="L556" s="6">
        <f t="shared" ca="1" si="101"/>
        <v>4</v>
      </c>
      <c r="M556" s="7">
        <f ca="1" xml:space="preserve">
  IF(OR($N556 = 2, $N556 = 3, $N556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556" s="6">
        <f t="shared" ca="1" si="102"/>
        <v>6</v>
      </c>
      <c r="O556" s="6" t="e">
        <f t="shared" ca="1" si="103"/>
        <v>#N/A</v>
      </c>
      <c r="P556" s="8">
        <f t="shared" ca="1" si="104"/>
        <v>44180</v>
      </c>
      <c r="Q556" s="6">
        <f ca="1">RANDBETWEEN(2,COUNTA('Recruitment source'!$A:$A))</f>
        <v>7</v>
      </c>
      <c r="R556" s="8" t="e">
        <f t="shared" ca="1" si="105"/>
        <v>#N/A</v>
      </c>
      <c r="S556" s="6" t="e">
        <f t="shared" ca="1" si="106"/>
        <v>#N/A</v>
      </c>
      <c r="T556" s="6">
        <f t="shared" ca="1" si="96"/>
        <v>2</v>
      </c>
      <c r="U556" s="1">
        <f t="shared" ca="1" si="107"/>
        <v>805</v>
      </c>
    </row>
    <row r="557" spans="1:21" x14ac:dyDescent="0.2">
      <c r="A557" s="7" cm="1">
        <f t="array" aca="1" ref="A557" ca="1">INDEX(Companies!$A:$A,RANDBETWEEN(2,COUNTA(Companies!$A:$A)),1)</f>
        <v>2</v>
      </c>
      <c r="B557" s="5">
        <f t="shared" si="97"/>
        <v>556</v>
      </c>
      <c r="C557" s="6">
        <f t="shared" ca="1" si="98"/>
        <v>1</v>
      </c>
      <c r="D557" s="7">
        <f ca="1">IF($B557 = 1 + N("Presidente"),
    127,
    IF($B557 = 2 + N("Vice-Presidente"),
        72,
        IF($B557 = 3 + N("Secretária bilíngue"),
            13,
            RANDBETWEEN(5,COUNT(Name!$A:$A) + 1)
        )
    )
)</f>
        <v>162</v>
      </c>
      <c r="E557" s="7" t="str">
        <f ca="1" xml:space="preserve">
VLOOKUP(
  $D557,
  Name!$A:$B,
  2,
  FALSE
)
&amp; " " &amp;
IF($B557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Helena Ferrari Nunes</v>
      </c>
      <c r="F557" s="7">
        <v>2</v>
      </c>
      <c r="G557" s="7" cm="1">
        <f t="array" aca="1" ref="G557" ca="1">INDEX(States!$B:$B,RANDBETWEEN(2,COUNTA(States!$A:$A)),1)</f>
        <v>11</v>
      </c>
      <c r="H557" s="7" t="str">
        <f ca="1">VLOOKUP($D557,Name!$A:$C,3,FALSE)</f>
        <v>F</v>
      </c>
      <c r="I557" s="7" cm="1">
        <f t="array" aca="1" ref="I557" ca="1">INDEX('Marital status'!$A:$A,RANDBETWEEN(2,COUNTA('Marital status'!$A:$A)),1)</f>
        <v>6</v>
      </c>
      <c r="J557" s="7">
        <f t="shared" ca="1" si="99"/>
        <v>2</v>
      </c>
      <c r="K557" s="8">
        <f t="shared" ca="1" si="100"/>
        <v>36589</v>
      </c>
      <c r="L557" s="6">
        <f t="shared" ca="1" si="101"/>
        <v>4</v>
      </c>
      <c r="M557" s="7">
        <f ca="1" xml:space="preserve">
  IF(OR($N557 = 2, $N557 = 3, $N557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557" s="6">
        <f t="shared" ca="1" si="102"/>
        <v>8</v>
      </c>
      <c r="O557" s="6">
        <f t="shared" ca="1" si="103"/>
        <v>4</v>
      </c>
      <c r="P557" s="8">
        <f t="shared" ca="1" si="104"/>
        <v>43220</v>
      </c>
      <c r="Q557" s="6">
        <f ca="1">RANDBETWEEN(2,COUNTA('Recruitment source'!$A:$A))</f>
        <v>7</v>
      </c>
      <c r="R557" s="8" t="e">
        <f t="shared" ca="1" si="105"/>
        <v>#N/A</v>
      </c>
      <c r="S557" s="6" t="e">
        <f t="shared" ca="1" si="106"/>
        <v>#N/A</v>
      </c>
      <c r="T557" s="6">
        <f t="shared" ca="1" si="96"/>
        <v>2</v>
      </c>
      <c r="U557" s="1">
        <f t="shared" ca="1" si="107"/>
        <v>2080</v>
      </c>
    </row>
    <row r="558" spans="1:21" x14ac:dyDescent="0.2">
      <c r="A558" s="7" cm="1">
        <f t="array" aca="1" ref="A558" ca="1">INDEX(Companies!$A:$A,RANDBETWEEN(2,COUNTA(Companies!$A:$A)),1)</f>
        <v>2</v>
      </c>
      <c r="B558" s="5">
        <f t="shared" si="97"/>
        <v>557</v>
      </c>
      <c r="C558" s="6">
        <f t="shared" ca="1" si="98"/>
        <v>1</v>
      </c>
      <c r="D558" s="7">
        <f ca="1">IF($B558 = 1 + N("Presidente"),
    127,
    IF($B558 = 2 + N("Vice-Presidente"),
        72,
        IF($B558 = 3 + N("Secretária bilíngue"),
            13,
            RANDBETWEEN(5,COUNT(Name!$A:$A) + 1)
        )
    )
)</f>
        <v>268</v>
      </c>
      <c r="E558" s="7" t="str">
        <f ca="1" xml:space="preserve">
VLOOKUP(
  $D558,
  Name!$A:$B,
  2,
  FALSE
)
&amp; " " &amp;
IF($B558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Isis Barbieri Santana</v>
      </c>
      <c r="F558" s="7">
        <v>2</v>
      </c>
      <c r="G558" s="7" cm="1">
        <f t="array" aca="1" ref="G558" ca="1">INDEX(States!$B:$B,RANDBETWEEN(2,COUNTA(States!$A:$A)),1)</f>
        <v>6</v>
      </c>
      <c r="H558" s="7" t="str">
        <f ca="1">VLOOKUP($D558,Name!$A:$C,3,FALSE)</f>
        <v>F</v>
      </c>
      <c r="I558" s="7" cm="1">
        <f t="array" aca="1" ref="I558" ca="1">INDEX('Marital status'!$A:$A,RANDBETWEEN(2,COUNTA('Marital status'!$A:$A)),1)</f>
        <v>5</v>
      </c>
      <c r="J558" s="7">
        <f t="shared" ca="1" si="99"/>
        <v>2</v>
      </c>
      <c r="K558" s="8">
        <f t="shared" ca="1" si="100"/>
        <v>31732</v>
      </c>
      <c r="L558" s="6">
        <f t="shared" ca="1" si="101"/>
        <v>4</v>
      </c>
      <c r="M558" s="7">
        <f ca="1" xml:space="preserve">
  IF(OR($N558 = 2, $N558 = 3, $N558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558" s="6">
        <f t="shared" ca="1" si="102"/>
        <v>7</v>
      </c>
      <c r="O558" s="6" t="e">
        <f t="shared" ca="1" si="103"/>
        <v>#N/A</v>
      </c>
      <c r="P558" s="8">
        <f t="shared" ca="1" si="104"/>
        <v>36362</v>
      </c>
      <c r="Q558" s="6">
        <f ca="1">RANDBETWEEN(2,COUNTA('Recruitment source'!$A:$A))</f>
        <v>6</v>
      </c>
      <c r="R558" s="8" t="e">
        <f t="shared" ca="1" si="105"/>
        <v>#N/A</v>
      </c>
      <c r="S558" s="6" t="e">
        <f t="shared" ca="1" si="106"/>
        <v>#N/A</v>
      </c>
      <c r="T558" s="6">
        <f t="shared" ca="1" si="96"/>
        <v>5</v>
      </c>
      <c r="U558" s="1">
        <f t="shared" ca="1" si="107"/>
        <v>1085</v>
      </c>
    </row>
    <row r="559" spans="1:21" x14ac:dyDescent="0.2">
      <c r="A559" s="7" cm="1">
        <f t="array" aca="1" ref="A559" ca="1">INDEX(Companies!$A:$A,RANDBETWEEN(2,COUNTA(Companies!$A:$A)),1)</f>
        <v>2</v>
      </c>
      <c r="B559" s="5">
        <f t="shared" si="97"/>
        <v>558</v>
      </c>
      <c r="C559" s="6">
        <f t="shared" ca="1" si="98"/>
        <v>1</v>
      </c>
      <c r="D559" s="7">
        <f ca="1">IF($B559 = 1 + N("Presidente"),
    127,
    IF($B559 = 2 + N("Vice-Presidente"),
        72,
        IF($B559 = 3 + N("Secretária bilíngue"),
            13,
            RANDBETWEEN(5,COUNT(Name!$A:$A) + 1)
        )
    )
)</f>
        <v>119</v>
      </c>
      <c r="E559" s="7" t="str">
        <f ca="1" xml:space="preserve">
VLOOKUP(
  $D559,
  Name!$A:$B,
  2,
  FALSE
)
&amp; " " &amp;
IF($B559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Elisa Caminha Holanda</v>
      </c>
      <c r="F559" s="7">
        <v>2</v>
      </c>
      <c r="G559" s="7" cm="1">
        <f t="array" aca="1" ref="G559" ca="1">INDEX(States!$B:$B,RANDBETWEEN(2,COUNTA(States!$A:$A)),1)</f>
        <v>16</v>
      </c>
      <c r="H559" s="7" t="str">
        <f ca="1">VLOOKUP($D559,Name!$A:$C,3,FALSE)</f>
        <v>F</v>
      </c>
      <c r="I559" s="7" cm="1">
        <f t="array" aca="1" ref="I559" ca="1">INDEX('Marital status'!$A:$A,RANDBETWEEN(2,COUNTA('Marital status'!$A:$A)),1)</f>
        <v>5</v>
      </c>
      <c r="J559" s="7">
        <f t="shared" ca="1" si="99"/>
        <v>2</v>
      </c>
      <c r="K559" s="8">
        <f t="shared" ca="1" si="100"/>
        <v>36770</v>
      </c>
      <c r="L559" s="6">
        <f t="shared" ca="1" si="101"/>
        <v>5</v>
      </c>
      <c r="M559" s="7">
        <f ca="1" xml:space="preserve">
  IF(OR($N559 = 2, $N559 = 3, $N559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559" s="6">
        <f t="shared" ca="1" si="102"/>
        <v>8</v>
      </c>
      <c r="O559" s="6">
        <f t="shared" ca="1" si="103"/>
        <v>2</v>
      </c>
      <c r="P559" s="8">
        <f t="shared" ca="1" si="104"/>
        <v>41347</v>
      </c>
      <c r="Q559" s="6">
        <f ca="1">RANDBETWEEN(2,COUNTA('Recruitment source'!$A:$A))</f>
        <v>12</v>
      </c>
      <c r="R559" s="8" t="e">
        <f t="shared" ca="1" si="105"/>
        <v>#N/A</v>
      </c>
      <c r="S559" s="6" t="e">
        <f t="shared" ca="1" si="106"/>
        <v>#N/A</v>
      </c>
      <c r="T559" s="6">
        <f t="shared" ca="1" si="96"/>
        <v>2</v>
      </c>
      <c r="U559" s="1">
        <f t="shared" ca="1" si="107"/>
        <v>2000</v>
      </c>
    </row>
    <row r="560" spans="1:21" x14ac:dyDescent="0.2">
      <c r="A560" s="7" cm="1">
        <f t="array" aca="1" ref="A560" ca="1">INDEX(Companies!$A:$A,RANDBETWEEN(2,COUNTA(Companies!$A:$A)),1)</f>
        <v>2</v>
      </c>
      <c r="B560" s="5">
        <f t="shared" si="97"/>
        <v>559</v>
      </c>
      <c r="C560" s="6">
        <f t="shared" ca="1" si="98"/>
        <v>1</v>
      </c>
      <c r="D560" s="7">
        <f ca="1">IF($B560 = 1 + N("Presidente"),
    127,
    IF($B560 = 2 + N("Vice-Presidente"),
        72,
        IF($B560 = 3 + N("Secretária bilíngue"),
            13,
            RANDBETWEEN(5,COUNT(Name!$A:$A) + 1)
        )
    )
)</f>
        <v>169</v>
      </c>
      <c r="E560" s="7" t="str">
        <f ca="1" xml:space="preserve">
VLOOKUP(
  $D560,
  Name!$A:$B,
  2,
  FALSE
)
&amp; " " &amp;
IF($B560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Ian Frasão De Luca</v>
      </c>
      <c r="F560" s="7">
        <v>2</v>
      </c>
      <c r="G560" s="7" cm="1">
        <f t="array" aca="1" ref="G560" ca="1">INDEX(States!$B:$B,RANDBETWEEN(2,COUNTA(States!$A:$A)),1)</f>
        <v>12</v>
      </c>
      <c r="H560" s="7" t="str">
        <f ca="1">VLOOKUP($D560,Name!$A:$C,3,FALSE)</f>
        <v>M</v>
      </c>
      <c r="I560" s="7" cm="1">
        <f t="array" aca="1" ref="I560" ca="1">INDEX('Marital status'!$A:$A,RANDBETWEEN(2,COUNTA('Marital status'!$A:$A)),1)</f>
        <v>6</v>
      </c>
      <c r="J560" s="7">
        <f t="shared" ca="1" si="99"/>
        <v>3</v>
      </c>
      <c r="K560" s="8">
        <f t="shared" ca="1" si="100"/>
        <v>29504</v>
      </c>
      <c r="L560" s="6">
        <f t="shared" ca="1" si="101"/>
        <v>4</v>
      </c>
      <c r="M560" s="7">
        <f ca="1" xml:space="preserve">
  IF(OR($N560 = 2, $N560 = 3, $N560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560" s="6">
        <f t="shared" ca="1" si="102"/>
        <v>6</v>
      </c>
      <c r="O560" s="6" t="e">
        <f t="shared" ca="1" si="103"/>
        <v>#N/A</v>
      </c>
      <c r="P560" s="8">
        <f t="shared" ca="1" si="104"/>
        <v>36586</v>
      </c>
      <c r="Q560" s="6">
        <f ca="1">RANDBETWEEN(2,COUNTA('Recruitment source'!$A:$A))</f>
        <v>5</v>
      </c>
      <c r="R560" s="8" t="e">
        <f t="shared" ca="1" si="105"/>
        <v>#N/A</v>
      </c>
      <c r="S560" s="6" t="e">
        <f t="shared" ca="1" si="106"/>
        <v>#N/A</v>
      </c>
      <c r="T560" s="6">
        <f t="shared" ca="1" si="96"/>
        <v>2</v>
      </c>
      <c r="U560" s="1">
        <f t="shared" ca="1" si="107"/>
        <v>805</v>
      </c>
    </row>
    <row r="561" spans="1:21" x14ac:dyDescent="0.2">
      <c r="A561" s="7" cm="1">
        <f t="array" aca="1" ref="A561" ca="1">INDEX(Companies!$A:$A,RANDBETWEEN(2,COUNTA(Companies!$A:$A)),1)</f>
        <v>2</v>
      </c>
      <c r="B561" s="5">
        <f t="shared" si="97"/>
        <v>560</v>
      </c>
      <c r="C561" s="6">
        <f t="shared" ca="1" si="98"/>
        <v>1</v>
      </c>
      <c r="D561" s="7">
        <f ca="1">IF($B561 = 1 + N("Presidente"),
    127,
    IF($B561 = 2 + N("Vice-Presidente"),
        72,
        IF($B561 = 3 + N("Secretária bilíngue"),
            13,
            RANDBETWEEN(5,COUNT(Name!$A:$A) + 1)
        )
    )
)</f>
        <v>93</v>
      </c>
      <c r="E561" s="7" t="str">
        <f ca="1" xml:space="preserve">
VLOOKUP(
  $D561,
  Name!$A:$B,
  2,
  FALSE
)
&amp; " " &amp;
IF($B561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César Nascimento Moreira</v>
      </c>
      <c r="F561" s="7">
        <v>2</v>
      </c>
      <c r="G561" s="7" cm="1">
        <f t="array" aca="1" ref="G561" ca="1">INDEX(States!$B:$B,RANDBETWEEN(2,COUNTA(States!$A:$A)),1)</f>
        <v>16</v>
      </c>
      <c r="H561" s="7" t="str">
        <f ca="1">VLOOKUP($D561,Name!$A:$C,3,FALSE)</f>
        <v>M</v>
      </c>
      <c r="I561" s="7" cm="1">
        <f t="array" aca="1" ref="I561" ca="1">INDEX('Marital status'!$A:$A,RANDBETWEEN(2,COUNTA('Marital status'!$A:$A)),1)</f>
        <v>3</v>
      </c>
      <c r="J561" s="7">
        <f t="shared" ca="1" si="99"/>
        <v>4</v>
      </c>
      <c r="K561" s="8">
        <f t="shared" ca="1" si="100"/>
        <v>37144</v>
      </c>
      <c r="L561" s="6">
        <f t="shared" ca="1" si="101"/>
        <v>4</v>
      </c>
      <c r="M561" s="7">
        <f ca="1" xml:space="preserve">
  IF(OR($N561 = 2, $N561 = 3, $N561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561" s="6">
        <f t="shared" ca="1" si="102"/>
        <v>8</v>
      </c>
      <c r="O561" s="6">
        <f t="shared" ca="1" si="103"/>
        <v>2</v>
      </c>
      <c r="P561" s="8">
        <f t="shared" ca="1" si="104"/>
        <v>38353</v>
      </c>
      <c r="Q561" s="6">
        <f ca="1">RANDBETWEEN(2,COUNTA('Recruitment source'!$A:$A))</f>
        <v>4</v>
      </c>
      <c r="R561" s="8" t="e">
        <f t="shared" ca="1" si="105"/>
        <v>#N/A</v>
      </c>
      <c r="S561" s="6" t="e">
        <f t="shared" ca="1" si="106"/>
        <v>#N/A</v>
      </c>
      <c r="T561" s="6">
        <f t="shared" ca="1" si="96"/>
        <v>4</v>
      </c>
      <c r="U561" s="1">
        <f t="shared" ca="1" si="107"/>
        <v>2050</v>
      </c>
    </row>
    <row r="562" spans="1:21" x14ac:dyDescent="0.2">
      <c r="A562" s="7" cm="1">
        <f t="array" aca="1" ref="A562" ca="1">INDEX(Companies!$A:$A,RANDBETWEEN(2,COUNTA(Companies!$A:$A)),1)</f>
        <v>2</v>
      </c>
      <c r="B562" s="5">
        <f t="shared" si="97"/>
        <v>561</v>
      </c>
      <c r="C562" s="6">
        <f t="shared" ca="1" si="98"/>
        <v>1</v>
      </c>
      <c r="D562" s="7">
        <f ca="1">IF($B562 = 1 + N("Presidente"),
    127,
    IF($B562 = 2 + N("Vice-Presidente"),
        72,
        IF($B562 = 3 + N("Secretária bilíngue"),
            13,
            RANDBETWEEN(5,COUNT(Name!$A:$A) + 1)
        )
    )
)</f>
        <v>288</v>
      </c>
      <c r="E562" s="7" t="str">
        <f ca="1" xml:space="preserve">
VLOOKUP(
  $D562,
  Name!$A:$B,
  2,
  FALSE
)
&amp; " " &amp;
IF($B562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Matheus Bruno Russo Romano</v>
      </c>
      <c r="F562" s="7">
        <v>2</v>
      </c>
      <c r="G562" s="7" cm="1">
        <f t="array" aca="1" ref="G562" ca="1">INDEX(States!$B:$B,RANDBETWEEN(2,COUNTA(States!$A:$A)),1)</f>
        <v>16</v>
      </c>
      <c r="H562" s="7" t="str">
        <f ca="1">VLOOKUP($D562,Name!$A:$C,3,FALSE)</f>
        <v>M</v>
      </c>
      <c r="I562" s="7" cm="1">
        <f t="array" aca="1" ref="I562" ca="1">INDEX('Marital status'!$A:$A,RANDBETWEEN(2,COUNTA('Marital status'!$A:$A)),1)</f>
        <v>5</v>
      </c>
      <c r="J562" s="7">
        <f t="shared" ca="1" si="99"/>
        <v>2</v>
      </c>
      <c r="K562" s="8">
        <f t="shared" ca="1" si="100"/>
        <v>35649</v>
      </c>
      <c r="L562" s="6">
        <f t="shared" ca="1" si="101"/>
        <v>4</v>
      </c>
      <c r="M562" s="7">
        <f ca="1" xml:space="preserve">
  IF(OR($N562 = 2, $N562 = 3, $N562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562" s="6">
        <f t="shared" ca="1" si="102"/>
        <v>7</v>
      </c>
      <c r="O562" s="6" t="e">
        <f t="shared" ca="1" si="103"/>
        <v>#N/A</v>
      </c>
      <c r="P562" s="8">
        <f t="shared" ca="1" si="104"/>
        <v>38830</v>
      </c>
      <c r="Q562" s="6">
        <f ca="1">RANDBETWEEN(2,COUNTA('Recruitment source'!$A:$A))</f>
        <v>12</v>
      </c>
      <c r="R562" s="8" t="e">
        <f t="shared" ca="1" si="105"/>
        <v>#N/A</v>
      </c>
      <c r="S562" s="6" t="e">
        <f t="shared" ca="1" si="106"/>
        <v>#N/A</v>
      </c>
      <c r="T562" s="6">
        <f t="shared" ca="1" si="96"/>
        <v>5</v>
      </c>
      <c r="U562" s="1">
        <f t="shared" ca="1" si="107"/>
        <v>1005</v>
      </c>
    </row>
    <row r="563" spans="1:21" x14ac:dyDescent="0.2">
      <c r="A563" s="7" cm="1">
        <f t="array" aca="1" ref="A563" ca="1">INDEX(Companies!$A:$A,RANDBETWEEN(2,COUNTA(Companies!$A:$A)),1)</f>
        <v>2</v>
      </c>
      <c r="B563" s="5">
        <f t="shared" si="97"/>
        <v>562</v>
      </c>
      <c r="C563" s="6">
        <f t="shared" ca="1" si="98"/>
        <v>1</v>
      </c>
      <c r="D563" s="7">
        <f ca="1">IF($B563 = 1 + N("Presidente"),
    127,
    IF($B563 = 2 + N("Vice-Presidente"),
        72,
        IF($B563 = 3 + N("Secretária bilíngue"),
            13,
            RANDBETWEEN(5,COUNT(Name!$A:$A) + 1)
        )
    )
)</f>
        <v>152</v>
      </c>
      <c r="E563" s="7" t="str">
        <f ca="1" xml:space="preserve">
VLOOKUP(
  $D563,
  Name!$A:$B,
  2,
  FALSE
)
&amp; " " &amp;
IF($B563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Gael Amor Testa</v>
      </c>
      <c r="F563" s="7">
        <v>2</v>
      </c>
      <c r="G563" s="7" cm="1">
        <f t="array" aca="1" ref="G563" ca="1">INDEX(States!$B:$B,RANDBETWEEN(2,COUNTA(States!$A:$A)),1)</f>
        <v>10</v>
      </c>
      <c r="H563" s="7" t="str">
        <f ca="1">VLOOKUP($D563,Name!$A:$C,3,FALSE)</f>
        <v>M</v>
      </c>
      <c r="I563" s="7" cm="1">
        <f t="array" aca="1" ref="I563" ca="1">INDEX('Marital status'!$A:$A,RANDBETWEEN(2,COUNTA('Marital status'!$A:$A)),1)</f>
        <v>6</v>
      </c>
      <c r="J563" s="7">
        <f t="shared" ca="1" si="99"/>
        <v>2</v>
      </c>
      <c r="K563" s="8">
        <f t="shared" ca="1" si="100"/>
        <v>33035</v>
      </c>
      <c r="L563" s="6">
        <f t="shared" ca="1" si="101"/>
        <v>5</v>
      </c>
      <c r="M563" s="7">
        <f ca="1" xml:space="preserve">
  IF(OR($N563 = 2, $N563 = 3, $N563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563" s="6">
        <f t="shared" ca="1" si="102"/>
        <v>8</v>
      </c>
      <c r="O563" s="6">
        <f t="shared" ca="1" si="103"/>
        <v>4</v>
      </c>
      <c r="P563" s="8">
        <f t="shared" ca="1" si="104"/>
        <v>41075</v>
      </c>
      <c r="Q563" s="6">
        <f ca="1">RANDBETWEEN(2,COUNTA('Recruitment source'!$A:$A))</f>
        <v>5</v>
      </c>
      <c r="R563" s="8" t="e">
        <f t="shared" ca="1" si="105"/>
        <v>#N/A</v>
      </c>
      <c r="S563" s="6" t="e">
        <f t="shared" ca="1" si="106"/>
        <v>#N/A</v>
      </c>
      <c r="T563" s="6">
        <f t="shared" ca="1" si="96"/>
        <v>3</v>
      </c>
      <c r="U563" s="1">
        <f t="shared" ca="1" si="107"/>
        <v>2000</v>
      </c>
    </row>
    <row r="564" spans="1:21" x14ac:dyDescent="0.2">
      <c r="A564" s="7" cm="1">
        <f t="array" aca="1" ref="A564" ca="1">INDEX(Companies!$A:$A,RANDBETWEEN(2,COUNTA(Companies!$A:$A)),1)</f>
        <v>2</v>
      </c>
      <c r="B564" s="5">
        <f t="shared" si="97"/>
        <v>563</v>
      </c>
      <c r="C564" s="6">
        <f t="shared" ca="1" si="98"/>
        <v>1</v>
      </c>
      <c r="D564" s="7">
        <f ca="1">IF($B564 = 1 + N("Presidente"),
    127,
    IF($B564 = 2 + N("Vice-Presidente"),
        72,
        IF($B564 = 3 + N("Secretária bilíngue"),
            13,
            RANDBETWEEN(5,COUNT(Name!$A:$A) + 1)
        )
    )
)</f>
        <v>43</v>
      </c>
      <c r="E564" s="7" t="str">
        <f ca="1" xml:space="preserve">
VLOOKUP(
  $D564,
  Name!$A:$B,
  2,
  FALSE
)
&amp; " " &amp;
IF($B564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Anita Rizzo Faro</v>
      </c>
      <c r="F564" s="7">
        <v>2</v>
      </c>
      <c r="G564" s="7" cm="1">
        <f t="array" aca="1" ref="G564" ca="1">INDEX(States!$B:$B,RANDBETWEEN(2,COUNTA(States!$A:$A)),1)</f>
        <v>18</v>
      </c>
      <c r="H564" s="7" t="str">
        <f ca="1">VLOOKUP($D564,Name!$A:$C,3,FALSE)</f>
        <v>F</v>
      </c>
      <c r="I564" s="7" cm="1">
        <f t="array" aca="1" ref="I564" ca="1">INDEX('Marital status'!$A:$A,RANDBETWEEN(2,COUNTA('Marital status'!$A:$A)),1)</f>
        <v>5</v>
      </c>
      <c r="J564" s="7">
        <f t="shared" ca="1" si="99"/>
        <v>2</v>
      </c>
      <c r="K564" s="8">
        <f t="shared" ca="1" si="100"/>
        <v>35837</v>
      </c>
      <c r="L564" s="6">
        <f t="shared" ca="1" si="101"/>
        <v>4</v>
      </c>
      <c r="M564" s="7">
        <f ca="1" xml:space="preserve">
  IF(OR($N564 = 2, $N564 = 3, $N564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564" s="6">
        <f t="shared" ca="1" si="102"/>
        <v>7</v>
      </c>
      <c r="O564" s="6" t="e">
        <f t="shared" ca="1" si="103"/>
        <v>#N/A</v>
      </c>
      <c r="P564" s="8">
        <f t="shared" ca="1" si="104"/>
        <v>42472</v>
      </c>
      <c r="Q564" s="6">
        <f ca="1">RANDBETWEEN(2,COUNTA('Recruitment source'!$A:$A))</f>
        <v>5</v>
      </c>
      <c r="R564" s="8" t="e">
        <f t="shared" ca="1" si="105"/>
        <v>#N/A</v>
      </c>
      <c r="S564" s="6" t="e">
        <f t="shared" ca="1" si="106"/>
        <v>#N/A</v>
      </c>
      <c r="T564" s="6">
        <f t="shared" ca="1" si="96"/>
        <v>4</v>
      </c>
      <c r="U564" s="1">
        <f t="shared" ca="1" si="107"/>
        <v>1005</v>
      </c>
    </row>
    <row r="565" spans="1:21" x14ac:dyDescent="0.2">
      <c r="A565" s="7" cm="1">
        <f t="array" aca="1" ref="A565" ca="1">INDEX(Companies!$A:$A,RANDBETWEEN(2,COUNTA(Companies!$A:$A)),1)</f>
        <v>2</v>
      </c>
      <c r="B565" s="5">
        <f t="shared" si="97"/>
        <v>564</v>
      </c>
      <c r="C565" s="6">
        <f t="shared" ca="1" si="98"/>
        <v>1</v>
      </c>
      <c r="D565" s="7">
        <f ca="1">IF($B565 = 1 + N("Presidente"),
    127,
    IF($B565 = 2 + N("Vice-Presidente"),
        72,
        IF($B565 = 3 + N("Secretária bilíngue"),
            13,
            RANDBETWEEN(5,COUNT(Name!$A:$A) + 1)
        )
    )
)</f>
        <v>256</v>
      </c>
      <c r="E565" s="7" t="str">
        <f ca="1" xml:space="preserve">
VLOOKUP(
  $D565,
  Name!$A:$B,
  2,
  FALSE
)
&amp; " " &amp;
IF($B565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Marcelo Campos Ferreira</v>
      </c>
      <c r="F565" s="7">
        <v>2</v>
      </c>
      <c r="G565" s="7" cm="1">
        <f t="array" aca="1" ref="G565" ca="1">INDEX(States!$B:$B,RANDBETWEEN(2,COUNTA(States!$A:$A)),1)</f>
        <v>3</v>
      </c>
      <c r="H565" s="7" t="str">
        <f ca="1">VLOOKUP($D565,Name!$A:$C,3,FALSE)</f>
        <v>M</v>
      </c>
      <c r="I565" s="7" cm="1">
        <f t="array" aca="1" ref="I565" ca="1">INDEX('Marital status'!$A:$A,RANDBETWEEN(2,COUNTA('Marital status'!$A:$A)),1)</f>
        <v>3</v>
      </c>
      <c r="J565" s="7">
        <f t="shared" ca="1" si="99"/>
        <v>2</v>
      </c>
      <c r="K565" s="8">
        <f t="shared" ca="1" si="100"/>
        <v>38029</v>
      </c>
      <c r="L565" s="6">
        <f t="shared" ca="1" si="101"/>
        <v>4</v>
      </c>
      <c r="M565" s="7">
        <f ca="1" xml:space="preserve">
  IF(OR($N565 = 2, $N565 = 3, $N565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565" s="6">
        <f t="shared" ca="1" si="102"/>
        <v>8</v>
      </c>
      <c r="O565" s="6">
        <f t="shared" ca="1" si="103"/>
        <v>2</v>
      </c>
      <c r="P565" s="8">
        <f t="shared" ca="1" si="104"/>
        <v>44838</v>
      </c>
      <c r="Q565" s="6">
        <f ca="1">RANDBETWEEN(2,COUNTA('Recruitment source'!$A:$A))</f>
        <v>2</v>
      </c>
      <c r="R565" s="8" t="e">
        <f t="shared" ca="1" si="105"/>
        <v>#N/A</v>
      </c>
      <c r="S565" s="6" t="e">
        <f t="shared" ca="1" si="106"/>
        <v>#N/A</v>
      </c>
      <c r="T565" s="6">
        <f t="shared" ca="1" si="96"/>
        <v>2</v>
      </c>
      <c r="U565" s="1">
        <f t="shared" ca="1" si="107"/>
        <v>2000</v>
      </c>
    </row>
    <row r="566" spans="1:21" x14ac:dyDescent="0.2">
      <c r="A566" s="7" cm="1">
        <f t="array" aca="1" ref="A566" ca="1">INDEX(Companies!$A:$A,RANDBETWEEN(2,COUNTA(Companies!$A:$A)),1)</f>
        <v>2</v>
      </c>
      <c r="B566" s="5">
        <f t="shared" si="97"/>
        <v>565</v>
      </c>
      <c r="C566" s="6">
        <f t="shared" ca="1" si="98"/>
        <v>1</v>
      </c>
      <c r="D566" s="7">
        <f ca="1">IF($B566 = 1 + N("Presidente"),
    127,
    IF($B566 = 2 + N("Vice-Presidente"),
        72,
        IF($B566 = 3 + N("Secretária bilíngue"),
            13,
            RANDBETWEEN(5,COUNT(Name!$A:$A) + 1)
        )
    )
)</f>
        <v>248</v>
      </c>
      <c r="E566" s="7" t="str">
        <f ca="1" xml:space="preserve">
VLOOKUP(
  $D566,
  Name!$A:$B,
  2,
  FALSE
)
&amp; " " &amp;
IF($B566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Luiza Costatini Morais</v>
      </c>
      <c r="F566" s="7">
        <v>2</v>
      </c>
      <c r="G566" s="7" cm="1">
        <f t="array" aca="1" ref="G566" ca="1">INDEX(States!$B:$B,RANDBETWEEN(2,COUNTA(States!$A:$A)),1)</f>
        <v>16</v>
      </c>
      <c r="H566" s="7" t="str">
        <f ca="1">VLOOKUP($D566,Name!$A:$C,3,FALSE)</f>
        <v>F</v>
      </c>
      <c r="I566" s="7" cm="1">
        <f t="array" aca="1" ref="I566" ca="1">INDEX('Marital status'!$A:$A,RANDBETWEEN(2,COUNTA('Marital status'!$A:$A)),1)</f>
        <v>4</v>
      </c>
      <c r="J566" s="7">
        <f t="shared" ca="1" si="99"/>
        <v>2</v>
      </c>
      <c r="K566" s="8">
        <f t="shared" ca="1" si="100"/>
        <v>32066</v>
      </c>
      <c r="L566" s="6">
        <f t="shared" ca="1" si="101"/>
        <v>4</v>
      </c>
      <c r="M566" s="7">
        <f ca="1" xml:space="preserve">
  IF(OR($N566 = 2, $N566 = 3, $N566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566" s="6">
        <f t="shared" ca="1" si="102"/>
        <v>7</v>
      </c>
      <c r="O566" s="6" t="e">
        <f t="shared" ca="1" si="103"/>
        <v>#N/A</v>
      </c>
      <c r="P566" s="8">
        <f t="shared" ca="1" si="104"/>
        <v>43541</v>
      </c>
      <c r="Q566" s="6">
        <f ca="1">RANDBETWEEN(2,COUNTA('Recruitment source'!$A:$A))</f>
        <v>7</v>
      </c>
      <c r="R566" s="8" t="e">
        <f t="shared" ca="1" si="105"/>
        <v>#N/A</v>
      </c>
      <c r="S566" s="6" t="e">
        <f t="shared" ca="1" si="106"/>
        <v>#N/A</v>
      </c>
      <c r="T566" s="6">
        <f t="shared" ca="1" si="96"/>
        <v>3</v>
      </c>
      <c r="U566" s="1">
        <f t="shared" ca="1" si="107"/>
        <v>1085</v>
      </c>
    </row>
    <row r="567" spans="1:21" x14ac:dyDescent="0.2">
      <c r="A567" s="7" cm="1">
        <f t="array" aca="1" ref="A567" ca="1">INDEX(Companies!$A:$A,RANDBETWEEN(2,COUNTA(Companies!$A:$A)),1)</f>
        <v>2</v>
      </c>
      <c r="B567" s="5">
        <f t="shared" si="97"/>
        <v>566</v>
      </c>
      <c r="C567" s="6">
        <f t="shared" ca="1" si="98"/>
        <v>1</v>
      </c>
      <c r="D567" s="7">
        <f ca="1">IF($B567 = 1 + N("Presidente"),
    127,
    IF($B567 = 2 + N("Vice-Presidente"),
        72,
        IF($B567 = 3 + N("Secretária bilíngue"),
            13,
            RANDBETWEEN(5,COUNT(Name!$A:$A) + 1)
        )
    )
)</f>
        <v>16</v>
      </c>
      <c r="E567" s="7" t="str">
        <f ca="1" xml:space="preserve">
VLOOKUP(
  $D567,
  Name!$A:$B,
  2,
  FALSE
)
&amp; " " &amp;
IF($B567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Alice Morato Reis</v>
      </c>
      <c r="F567" s="7">
        <v>2</v>
      </c>
      <c r="G567" s="7" cm="1">
        <f t="array" aca="1" ref="G567" ca="1">INDEX(States!$B:$B,RANDBETWEEN(2,COUNTA(States!$A:$A)),1)</f>
        <v>7</v>
      </c>
      <c r="H567" s="7" t="str">
        <f ca="1">VLOOKUP($D567,Name!$A:$C,3,FALSE)</f>
        <v>F</v>
      </c>
      <c r="I567" s="7" cm="1">
        <f t="array" aca="1" ref="I567" ca="1">INDEX('Marital status'!$A:$A,RANDBETWEEN(2,COUNTA('Marital status'!$A:$A)),1)</f>
        <v>6</v>
      </c>
      <c r="J567" s="7">
        <f t="shared" ca="1" si="99"/>
        <v>3</v>
      </c>
      <c r="K567" s="8">
        <f t="shared" ca="1" si="100"/>
        <v>33480</v>
      </c>
      <c r="L567" s="6">
        <f t="shared" ca="1" si="101"/>
        <v>4</v>
      </c>
      <c r="M567" s="7">
        <f ca="1" xml:space="preserve">
  IF(OR($N567 = 2, $N567 = 3, $N567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567" s="6">
        <f t="shared" ca="1" si="102"/>
        <v>8</v>
      </c>
      <c r="O567" s="6">
        <f t="shared" ca="1" si="103"/>
        <v>3</v>
      </c>
      <c r="P567" s="8">
        <f t="shared" ca="1" si="104"/>
        <v>39747</v>
      </c>
      <c r="Q567" s="6">
        <f ca="1">RANDBETWEEN(2,COUNTA('Recruitment source'!$A:$A))</f>
        <v>7</v>
      </c>
      <c r="R567" s="8" t="e">
        <f t="shared" ca="1" si="105"/>
        <v>#N/A</v>
      </c>
      <c r="S567" s="6" t="e">
        <f t="shared" ca="1" si="106"/>
        <v>#N/A</v>
      </c>
      <c r="T567" s="6">
        <f t="shared" ca="1" si="96"/>
        <v>2</v>
      </c>
      <c r="U567" s="1">
        <f t="shared" ca="1" si="107"/>
        <v>2000</v>
      </c>
    </row>
    <row r="568" spans="1:21" x14ac:dyDescent="0.2">
      <c r="A568" s="7" cm="1">
        <f t="array" aca="1" ref="A568" ca="1">INDEX(Companies!$A:$A,RANDBETWEEN(2,COUNTA(Companies!$A:$A)),1)</f>
        <v>2</v>
      </c>
      <c r="B568" s="5">
        <f t="shared" si="97"/>
        <v>567</v>
      </c>
      <c r="C568" s="6">
        <f t="shared" ca="1" si="98"/>
        <v>1</v>
      </c>
      <c r="D568" s="7">
        <f ca="1">IF($B568 = 1 + N("Presidente"),
    127,
    IF($B568 = 2 + N("Vice-Presidente"),
        72,
        IF($B568 = 3 + N("Secretária bilíngue"),
            13,
            RANDBETWEEN(5,COUNT(Name!$A:$A) + 1)
        )
    )
)</f>
        <v>123</v>
      </c>
      <c r="E568" s="7" t="str">
        <f ca="1" xml:space="preserve">
VLOOKUP(
  $D568,
  Name!$A:$B,
  2,
  FALSE
)
&amp; " " &amp;
IF($B568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Emanuelly Vaz Gallo</v>
      </c>
      <c r="F568" s="7">
        <v>2</v>
      </c>
      <c r="G568" s="7" cm="1">
        <f t="array" aca="1" ref="G568" ca="1">INDEX(States!$B:$B,RANDBETWEEN(2,COUNTA(States!$A:$A)),1)</f>
        <v>21</v>
      </c>
      <c r="H568" s="7" t="str">
        <f ca="1">VLOOKUP($D568,Name!$A:$C,3,FALSE)</f>
        <v>F</v>
      </c>
      <c r="I568" s="7" cm="1">
        <f t="array" aca="1" ref="I568" ca="1">INDEX('Marital status'!$A:$A,RANDBETWEEN(2,COUNTA('Marital status'!$A:$A)),1)</f>
        <v>3</v>
      </c>
      <c r="J568" s="7">
        <f t="shared" ca="1" si="99"/>
        <v>2</v>
      </c>
      <c r="K568" s="8">
        <f t="shared" ca="1" si="100"/>
        <v>23422</v>
      </c>
      <c r="L568" s="6">
        <f t="shared" ca="1" si="101"/>
        <v>4</v>
      </c>
      <c r="M568" s="7">
        <f ca="1" xml:space="preserve">
  IF(OR($N568 = 2, $N568 = 3, $N568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568" s="6">
        <f t="shared" ca="1" si="102"/>
        <v>6</v>
      </c>
      <c r="O568" s="6" t="e">
        <f t="shared" ca="1" si="103"/>
        <v>#N/A</v>
      </c>
      <c r="P568" s="8">
        <f t="shared" ca="1" si="104"/>
        <v>38863</v>
      </c>
      <c r="Q568" s="6">
        <f ca="1">RANDBETWEEN(2,COUNTA('Recruitment source'!$A:$A))</f>
        <v>9</v>
      </c>
      <c r="R568" s="8" t="e">
        <f t="shared" ca="1" si="105"/>
        <v>#N/A</v>
      </c>
      <c r="S568" s="6" t="e">
        <f t="shared" ca="1" si="106"/>
        <v>#N/A</v>
      </c>
      <c r="T568" s="6">
        <f t="shared" ca="1" si="96"/>
        <v>2</v>
      </c>
      <c r="U568" s="1">
        <f t="shared" ca="1" si="107"/>
        <v>805</v>
      </c>
    </row>
    <row r="569" spans="1:21" x14ac:dyDescent="0.2">
      <c r="A569" s="7" cm="1">
        <f t="array" aca="1" ref="A569" ca="1">INDEX(Companies!$A:$A,RANDBETWEEN(2,COUNTA(Companies!$A:$A)),1)</f>
        <v>2</v>
      </c>
      <c r="B569" s="5">
        <f t="shared" si="97"/>
        <v>568</v>
      </c>
      <c r="C569" s="6">
        <f t="shared" ca="1" si="98"/>
        <v>1</v>
      </c>
      <c r="D569" s="7">
        <f ca="1">IF($B569 = 1 + N("Presidente"),
    127,
    IF($B569 = 2 + N("Vice-Presidente"),
        72,
        IF($B569 = 3 + N("Secretária bilíngue"),
            13,
            RANDBETWEEN(5,COUNT(Name!$A:$A) + 1)
        )
    )
)</f>
        <v>222</v>
      </c>
      <c r="E569" s="7" t="str">
        <f ca="1" xml:space="preserve">
VLOOKUP(
  $D569,
  Name!$A:$B,
  2,
  FALSE
)
&amp; " " &amp;
IF($B569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Lavignia Carneiro Figo</v>
      </c>
      <c r="F569" s="7">
        <v>2</v>
      </c>
      <c r="G569" s="7" cm="1">
        <f t="array" aca="1" ref="G569" ca="1">INDEX(States!$B:$B,RANDBETWEEN(2,COUNTA(States!$A:$A)),1)</f>
        <v>5</v>
      </c>
      <c r="H569" s="7" t="str">
        <f ca="1">VLOOKUP($D569,Name!$A:$C,3,FALSE)</f>
        <v>F</v>
      </c>
      <c r="I569" s="7" cm="1">
        <f t="array" aca="1" ref="I569" ca="1">INDEX('Marital status'!$A:$A,RANDBETWEEN(2,COUNTA('Marital status'!$A:$A)),1)</f>
        <v>6</v>
      </c>
      <c r="J569" s="7">
        <f t="shared" ca="1" si="99"/>
        <v>2</v>
      </c>
      <c r="K569" s="8">
        <f t="shared" ca="1" si="100"/>
        <v>32953</v>
      </c>
      <c r="L569" s="6">
        <f t="shared" ca="1" si="101"/>
        <v>5</v>
      </c>
      <c r="M569" s="7">
        <f ca="1" xml:space="preserve">
  IF(OR($N569 = 2, $N569 = 3, $N569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569" s="6">
        <f t="shared" ca="1" si="102"/>
        <v>8</v>
      </c>
      <c r="O569" s="6">
        <f t="shared" ca="1" si="103"/>
        <v>4</v>
      </c>
      <c r="P569" s="8">
        <f t="shared" ca="1" si="104"/>
        <v>44006</v>
      </c>
      <c r="Q569" s="6">
        <f ca="1">RANDBETWEEN(2,COUNTA('Recruitment source'!$A:$A))</f>
        <v>12</v>
      </c>
      <c r="R569" s="8" t="e">
        <f t="shared" ca="1" si="105"/>
        <v>#N/A</v>
      </c>
      <c r="S569" s="6" t="e">
        <f t="shared" ca="1" si="106"/>
        <v>#N/A</v>
      </c>
      <c r="T569" s="6">
        <f t="shared" ca="1" si="96"/>
        <v>3</v>
      </c>
      <c r="U569" s="1">
        <f t="shared" ca="1" si="107"/>
        <v>2000</v>
      </c>
    </row>
    <row r="570" spans="1:21" x14ac:dyDescent="0.2">
      <c r="A570" s="7" cm="1">
        <f t="array" aca="1" ref="A570" ca="1">INDEX(Companies!$A:$A,RANDBETWEEN(2,COUNTA(Companies!$A:$A)),1)</f>
        <v>2</v>
      </c>
      <c r="B570" s="5">
        <f t="shared" si="97"/>
        <v>569</v>
      </c>
      <c r="C570" s="6">
        <f t="shared" ca="1" si="98"/>
        <v>1</v>
      </c>
      <c r="D570" s="7">
        <f ca="1">IF($B570 = 1 + N("Presidente"),
    127,
    IF($B570 = 2 + N("Vice-Presidente"),
        72,
        IF($B570 = 3 + N("Secretária bilíngue"),
            13,
            RANDBETWEEN(5,COUNT(Name!$A:$A) + 1)
        )
    )
)</f>
        <v>312</v>
      </c>
      <c r="E570" s="7" t="str">
        <f ca="1" xml:space="preserve">
VLOOKUP(
  $D570,
  Name!$A:$B,
  2,
  FALSE
)
&amp; " " &amp;
IF($B570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Otávio Rangel Brito</v>
      </c>
      <c r="F570" s="7">
        <v>2</v>
      </c>
      <c r="G570" s="7" cm="1">
        <f t="array" aca="1" ref="G570" ca="1">INDEX(States!$B:$B,RANDBETWEEN(2,COUNTA(States!$A:$A)),1)</f>
        <v>17</v>
      </c>
      <c r="H570" s="7" t="str">
        <f ca="1">VLOOKUP($D570,Name!$A:$C,3,FALSE)</f>
        <v>M</v>
      </c>
      <c r="I570" s="7" cm="1">
        <f t="array" aca="1" ref="I570" ca="1">INDEX('Marital status'!$A:$A,RANDBETWEEN(2,COUNTA('Marital status'!$A:$A)),1)</f>
        <v>2</v>
      </c>
      <c r="J570" s="7">
        <f t="shared" ca="1" si="99"/>
        <v>5</v>
      </c>
      <c r="K570" s="8">
        <f t="shared" ca="1" si="100"/>
        <v>24300</v>
      </c>
      <c r="L570" s="6">
        <f t="shared" ca="1" si="101"/>
        <v>4</v>
      </c>
      <c r="M570" s="7">
        <f ca="1" xml:space="preserve">
  IF(OR($N570 = 2, $N570 = 3, $N570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570" s="6">
        <f t="shared" ca="1" si="102"/>
        <v>6</v>
      </c>
      <c r="O570" s="6" t="e">
        <f t="shared" ca="1" si="103"/>
        <v>#N/A</v>
      </c>
      <c r="P570" s="8">
        <f t="shared" ca="1" si="104"/>
        <v>42215</v>
      </c>
      <c r="Q570" s="6">
        <f ca="1">RANDBETWEEN(2,COUNTA('Recruitment source'!$A:$A))</f>
        <v>10</v>
      </c>
      <c r="R570" s="8" t="e">
        <f t="shared" ca="1" si="105"/>
        <v>#N/A</v>
      </c>
      <c r="S570" s="6" t="e">
        <f t="shared" ca="1" si="106"/>
        <v>#N/A</v>
      </c>
      <c r="T570" s="6">
        <f t="shared" ca="1" si="96"/>
        <v>3</v>
      </c>
      <c r="U570" s="1">
        <f t="shared" ca="1" si="107"/>
        <v>805</v>
      </c>
    </row>
    <row r="571" spans="1:21" x14ac:dyDescent="0.2">
      <c r="A571" s="7" cm="1">
        <f t="array" aca="1" ref="A571" ca="1">INDEX(Companies!$A:$A,RANDBETWEEN(2,COUNTA(Companies!$A:$A)),1)</f>
        <v>2</v>
      </c>
      <c r="B571" s="5">
        <f t="shared" si="97"/>
        <v>570</v>
      </c>
      <c r="C571" s="6">
        <f t="shared" ca="1" si="98"/>
        <v>1</v>
      </c>
      <c r="D571" s="7">
        <f ca="1">IF($B571 = 1 + N("Presidente"),
    127,
    IF($B571 = 2 + N("Vice-Presidente"),
        72,
        IF($B571 = 3 + N("Secretária bilíngue"),
            13,
            RANDBETWEEN(5,COUNT(Name!$A:$A) + 1)
        )
    )
)</f>
        <v>345</v>
      </c>
      <c r="E571" s="7" t="str">
        <f ca="1" xml:space="preserve">
VLOOKUP(
  $D571,
  Name!$A:$B,
  2,
  FALSE
)
&amp; " " &amp;
IF($B571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Tiago Campos Nunes</v>
      </c>
      <c r="F571" s="7">
        <v>2</v>
      </c>
      <c r="G571" s="7" cm="1">
        <f t="array" aca="1" ref="G571" ca="1">INDEX(States!$B:$B,RANDBETWEEN(2,COUNTA(States!$A:$A)),1)</f>
        <v>15</v>
      </c>
      <c r="H571" s="7" t="str">
        <f ca="1">VLOOKUP($D571,Name!$A:$C,3,FALSE)</f>
        <v>M</v>
      </c>
      <c r="I571" s="7" cm="1">
        <f t="array" aca="1" ref="I571" ca="1">INDEX('Marital status'!$A:$A,RANDBETWEEN(2,COUNTA('Marital status'!$A:$A)),1)</f>
        <v>3</v>
      </c>
      <c r="J571" s="7">
        <f t="shared" ca="1" si="99"/>
        <v>2</v>
      </c>
      <c r="K571" s="8">
        <f t="shared" ca="1" si="100"/>
        <v>34203</v>
      </c>
      <c r="L571" s="6">
        <f t="shared" ca="1" si="101"/>
        <v>5</v>
      </c>
      <c r="M571" s="7">
        <f ca="1" xml:space="preserve">
  IF(OR($N571 = 2, $N571 = 3, $N571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571" s="6">
        <f t="shared" ca="1" si="102"/>
        <v>8</v>
      </c>
      <c r="O571" s="6">
        <f t="shared" ca="1" si="103"/>
        <v>4</v>
      </c>
      <c r="P571" s="8">
        <f t="shared" ca="1" si="104"/>
        <v>39456</v>
      </c>
      <c r="Q571" s="6">
        <f ca="1">RANDBETWEEN(2,COUNTA('Recruitment source'!$A:$A))</f>
        <v>4</v>
      </c>
      <c r="R571" s="8" t="e">
        <f t="shared" ca="1" si="105"/>
        <v>#N/A</v>
      </c>
      <c r="S571" s="6" t="e">
        <f t="shared" ca="1" si="106"/>
        <v>#N/A</v>
      </c>
      <c r="T571" s="6">
        <f t="shared" ca="1" si="96"/>
        <v>4</v>
      </c>
      <c r="U571" s="1">
        <f t="shared" ca="1" si="107"/>
        <v>2000</v>
      </c>
    </row>
    <row r="572" spans="1:21" x14ac:dyDescent="0.2">
      <c r="A572" s="7" cm="1">
        <f t="array" aca="1" ref="A572" ca="1">INDEX(Companies!$A:$A,RANDBETWEEN(2,COUNTA(Companies!$A:$A)),1)</f>
        <v>2</v>
      </c>
      <c r="B572" s="5">
        <f t="shared" si="97"/>
        <v>571</v>
      </c>
      <c r="C572" s="6">
        <f t="shared" ca="1" si="98"/>
        <v>1</v>
      </c>
      <c r="D572" s="7">
        <f ca="1">IF($B572 = 1 + N("Presidente"),
    127,
    IF($B572 = 2 + N("Vice-Presidente"),
        72,
        IF($B572 = 3 + N("Secretária bilíngue"),
            13,
            RANDBETWEEN(5,COUNT(Name!$A:$A) + 1)
        )
    )
)</f>
        <v>104</v>
      </c>
      <c r="E572" s="7" t="str">
        <f ca="1" xml:space="preserve">
VLOOKUP(
  $D572,
  Name!$A:$B,
  2,
  FALSE
)
&amp; " " &amp;
IF($B572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Danylo Mancini Morais</v>
      </c>
      <c r="F572" s="7">
        <v>2</v>
      </c>
      <c r="G572" s="7" cm="1">
        <f t="array" aca="1" ref="G572" ca="1">INDEX(States!$B:$B,RANDBETWEEN(2,COUNTA(States!$A:$A)),1)</f>
        <v>18</v>
      </c>
      <c r="H572" s="7" t="str">
        <f ca="1">VLOOKUP($D572,Name!$A:$C,3,FALSE)</f>
        <v>M</v>
      </c>
      <c r="I572" s="7" cm="1">
        <f t="array" aca="1" ref="I572" ca="1">INDEX('Marital status'!$A:$A,RANDBETWEEN(2,COUNTA('Marital status'!$A:$A)),1)</f>
        <v>6</v>
      </c>
      <c r="J572" s="7">
        <f t="shared" ca="1" si="99"/>
        <v>4</v>
      </c>
      <c r="K572" s="8">
        <f t="shared" ca="1" si="100"/>
        <v>32637</v>
      </c>
      <c r="L572" s="6">
        <f t="shared" ca="1" si="101"/>
        <v>4</v>
      </c>
      <c r="M572" s="7">
        <f ca="1" xml:space="preserve">
  IF(OR($N572 = 2, $N572 = 3, $N572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572" s="6">
        <f t="shared" ca="1" si="102"/>
        <v>7</v>
      </c>
      <c r="O572" s="6" t="e">
        <f t="shared" ca="1" si="103"/>
        <v>#N/A</v>
      </c>
      <c r="P572" s="8">
        <f t="shared" ca="1" si="104"/>
        <v>37260</v>
      </c>
      <c r="Q572" s="6">
        <f ca="1">RANDBETWEEN(2,COUNTA('Recruitment source'!$A:$A))</f>
        <v>5</v>
      </c>
      <c r="R572" s="8" t="e">
        <f t="shared" ca="1" si="105"/>
        <v>#N/A</v>
      </c>
      <c r="S572" s="6" t="e">
        <f t="shared" ca="1" si="106"/>
        <v>#N/A</v>
      </c>
      <c r="T572" s="6">
        <f t="shared" ca="1" si="96"/>
        <v>5</v>
      </c>
      <c r="U572" s="1">
        <f t="shared" ca="1" si="107"/>
        <v>1005</v>
      </c>
    </row>
    <row r="573" spans="1:21" x14ac:dyDescent="0.2">
      <c r="A573" s="7" cm="1">
        <f t="array" aca="1" ref="A573" ca="1">INDEX(Companies!$A:$A,RANDBETWEEN(2,COUNTA(Companies!$A:$A)),1)</f>
        <v>2</v>
      </c>
      <c r="B573" s="5">
        <f t="shared" si="97"/>
        <v>572</v>
      </c>
      <c r="C573" s="6">
        <f t="shared" ca="1" si="98"/>
        <v>1</v>
      </c>
      <c r="D573" s="7">
        <f ca="1">IF($B573 = 1 + N("Presidente"),
    127,
    IF($B573 = 2 + N("Vice-Presidente"),
        72,
        IF($B573 = 3 + N("Secretária bilíngue"),
            13,
            RANDBETWEEN(5,COUNT(Name!$A:$A) + 1)
        )
    )
)</f>
        <v>156</v>
      </c>
      <c r="E573" s="7" t="str">
        <f ca="1" xml:space="preserve">
VLOOKUP(
  $D573,
  Name!$A:$B,
  2,
  FALSE
)
&amp; " " &amp;
IF($B573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Glória Maria Vaz Anjos</v>
      </c>
      <c r="F573" s="7">
        <v>2</v>
      </c>
      <c r="G573" s="7" cm="1">
        <f t="array" aca="1" ref="G573" ca="1">INDEX(States!$B:$B,RANDBETWEEN(2,COUNTA(States!$A:$A)),1)</f>
        <v>9</v>
      </c>
      <c r="H573" s="7" t="str">
        <f ca="1">VLOOKUP($D573,Name!$A:$C,3,FALSE)</f>
        <v>F</v>
      </c>
      <c r="I573" s="7" cm="1">
        <f t="array" aca="1" ref="I573" ca="1">INDEX('Marital status'!$A:$A,RANDBETWEEN(2,COUNTA('Marital status'!$A:$A)),1)</f>
        <v>2</v>
      </c>
      <c r="J573" s="7">
        <f t="shared" ca="1" si="99"/>
        <v>2</v>
      </c>
      <c r="K573" s="8">
        <f t="shared" ca="1" si="100"/>
        <v>35491</v>
      </c>
      <c r="L573" s="6">
        <f t="shared" ca="1" si="101"/>
        <v>4</v>
      </c>
      <c r="M573" s="7">
        <f ca="1" xml:space="preserve">
  IF(OR($N573 = 2, $N573 = 3, $N573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573" s="6">
        <f t="shared" ca="1" si="102"/>
        <v>8</v>
      </c>
      <c r="O573" s="6">
        <f t="shared" ca="1" si="103"/>
        <v>4</v>
      </c>
      <c r="P573" s="8">
        <f t="shared" ca="1" si="104"/>
        <v>41554</v>
      </c>
      <c r="Q573" s="6">
        <f ca="1">RANDBETWEEN(2,COUNTA('Recruitment source'!$A:$A))</f>
        <v>7</v>
      </c>
      <c r="R573" s="8" t="e">
        <f t="shared" ca="1" si="105"/>
        <v>#N/A</v>
      </c>
      <c r="S573" s="6" t="e">
        <f t="shared" ca="1" si="106"/>
        <v>#N/A</v>
      </c>
      <c r="T573" s="6">
        <f t="shared" ca="1" si="96"/>
        <v>2</v>
      </c>
      <c r="U573" s="1">
        <f t="shared" ca="1" si="107"/>
        <v>2000</v>
      </c>
    </row>
    <row r="574" spans="1:21" x14ac:dyDescent="0.2">
      <c r="A574" s="7" cm="1">
        <f t="array" aca="1" ref="A574" ca="1">INDEX(Companies!$A:$A,RANDBETWEEN(2,COUNTA(Companies!$A:$A)),1)</f>
        <v>2</v>
      </c>
      <c r="B574" s="5">
        <f t="shared" si="97"/>
        <v>573</v>
      </c>
      <c r="C574" s="6">
        <f t="shared" ca="1" si="98"/>
        <v>1</v>
      </c>
      <c r="D574" s="7">
        <f ca="1">IF($B574 = 1 + N("Presidente"),
    127,
    IF($B574 = 2 + N("Vice-Presidente"),
        72,
        IF($B574 = 3 + N("Secretária bilíngue"),
            13,
            RANDBETWEEN(5,COUNT(Name!$A:$A) + 1)
        )
    )
)</f>
        <v>272</v>
      </c>
      <c r="E574" s="7" t="str">
        <f ca="1" xml:space="preserve">
VLOOKUP(
  $D574,
  Name!$A:$B,
  2,
  FALSE
)
&amp; " " &amp;
IF($B574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Madalena Carneiro Ferrão</v>
      </c>
      <c r="F574" s="7">
        <v>2</v>
      </c>
      <c r="G574" s="7" cm="1">
        <f t="array" aca="1" ref="G574" ca="1">INDEX(States!$B:$B,RANDBETWEEN(2,COUNTA(States!$A:$A)),1)</f>
        <v>7</v>
      </c>
      <c r="H574" s="7" t="str">
        <f ca="1">VLOOKUP($D574,Name!$A:$C,3,FALSE)</f>
        <v>F</v>
      </c>
      <c r="I574" s="7" cm="1">
        <f t="array" aca="1" ref="I574" ca="1">INDEX('Marital status'!$A:$A,RANDBETWEEN(2,COUNTA('Marital status'!$A:$A)),1)</f>
        <v>4</v>
      </c>
      <c r="J574" s="7">
        <f t="shared" ca="1" si="99"/>
        <v>3</v>
      </c>
      <c r="K574" s="8">
        <f t="shared" ca="1" si="100"/>
        <v>34639</v>
      </c>
      <c r="L574" s="6">
        <f t="shared" ca="1" si="101"/>
        <v>4</v>
      </c>
      <c r="M574" s="7">
        <f ca="1" xml:space="preserve">
  IF(OR($N574 = 2, $N574 = 3, $N574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574" s="6">
        <f t="shared" ca="1" si="102"/>
        <v>7</v>
      </c>
      <c r="O574" s="6" t="e">
        <f t="shared" ca="1" si="103"/>
        <v>#N/A</v>
      </c>
      <c r="P574" s="8">
        <f t="shared" ca="1" si="104"/>
        <v>39589</v>
      </c>
      <c r="Q574" s="6">
        <f ca="1">RANDBETWEEN(2,COUNTA('Recruitment source'!$A:$A))</f>
        <v>8</v>
      </c>
      <c r="R574" s="8" t="e">
        <f t="shared" ca="1" si="105"/>
        <v>#N/A</v>
      </c>
      <c r="S574" s="6" t="e">
        <f t="shared" ca="1" si="106"/>
        <v>#N/A</v>
      </c>
      <c r="T574" s="6">
        <f t="shared" ca="1" si="96"/>
        <v>5</v>
      </c>
      <c r="U574" s="1">
        <f t="shared" ca="1" si="107"/>
        <v>1005</v>
      </c>
    </row>
    <row r="575" spans="1:21" x14ac:dyDescent="0.2">
      <c r="A575" s="7" cm="1">
        <f t="array" aca="1" ref="A575" ca="1">INDEX(Companies!$A:$A,RANDBETWEEN(2,COUNTA(Companies!$A:$A)),1)</f>
        <v>2</v>
      </c>
      <c r="B575" s="5">
        <f t="shared" si="97"/>
        <v>574</v>
      </c>
      <c r="C575" s="6">
        <f t="shared" ca="1" si="98"/>
        <v>1</v>
      </c>
      <c r="D575" s="7">
        <f ca="1">IF($B575 = 1 + N("Presidente"),
    127,
    IF($B575 = 2 + N("Vice-Presidente"),
        72,
        IF($B575 = 3 + N("Secretária bilíngue"),
            13,
            RANDBETWEEN(5,COUNT(Name!$A:$A) + 1)
        )
    )
)</f>
        <v>103</v>
      </c>
      <c r="E575" s="7" t="str">
        <f ca="1" xml:space="preserve">
VLOOKUP(
  $D575,
  Name!$A:$B,
  2,
  FALSE
)
&amp; " " &amp;
IF($B575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Danniel Esposito Alves</v>
      </c>
      <c r="F575" s="7">
        <v>2</v>
      </c>
      <c r="G575" s="7" cm="1">
        <f t="array" aca="1" ref="G575" ca="1">INDEX(States!$B:$B,RANDBETWEEN(2,COUNTA(States!$A:$A)),1)</f>
        <v>17</v>
      </c>
      <c r="H575" s="7" t="str">
        <f ca="1">VLOOKUP($D575,Name!$A:$C,3,FALSE)</f>
        <v>M</v>
      </c>
      <c r="I575" s="7" cm="1">
        <f t="array" aca="1" ref="I575" ca="1">INDEX('Marital status'!$A:$A,RANDBETWEEN(2,COUNTA('Marital status'!$A:$A)),1)</f>
        <v>2</v>
      </c>
      <c r="J575" s="7">
        <f t="shared" ca="1" si="99"/>
        <v>2</v>
      </c>
      <c r="K575" s="8">
        <f t="shared" ca="1" si="100"/>
        <v>36167</v>
      </c>
      <c r="L575" s="6">
        <f t="shared" ca="1" si="101"/>
        <v>4</v>
      </c>
      <c r="M575" s="7">
        <f ca="1" xml:space="preserve">
  IF(OR($N575 = 2, $N575 = 3, $N575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575" s="6">
        <f t="shared" ca="1" si="102"/>
        <v>8</v>
      </c>
      <c r="O575" s="6">
        <f t="shared" ca="1" si="103"/>
        <v>4</v>
      </c>
      <c r="P575" s="8">
        <f t="shared" ca="1" si="104"/>
        <v>37926</v>
      </c>
      <c r="Q575" s="6">
        <f ca="1">RANDBETWEEN(2,COUNTA('Recruitment source'!$A:$A))</f>
        <v>11</v>
      </c>
      <c r="R575" s="8" t="e">
        <f t="shared" ca="1" si="105"/>
        <v>#N/A</v>
      </c>
      <c r="S575" s="6" t="e">
        <f t="shared" ca="1" si="106"/>
        <v>#N/A</v>
      </c>
      <c r="T575" s="6">
        <f t="shared" ca="1" si="96"/>
        <v>2</v>
      </c>
      <c r="U575" s="1">
        <f t="shared" ca="1" si="107"/>
        <v>2000</v>
      </c>
    </row>
    <row r="576" spans="1:21" x14ac:dyDescent="0.2">
      <c r="A576" s="7" cm="1">
        <f t="array" aca="1" ref="A576" ca="1">INDEX(Companies!$A:$A,RANDBETWEEN(2,COUNTA(Companies!$A:$A)),1)</f>
        <v>2</v>
      </c>
      <c r="B576" s="5">
        <f t="shared" si="97"/>
        <v>575</v>
      </c>
      <c r="C576" s="6">
        <f t="shared" ca="1" si="98"/>
        <v>1</v>
      </c>
      <c r="D576" s="7">
        <f ca="1">IF($B576 = 1 + N("Presidente"),
    127,
    IF($B576 = 2 + N("Vice-Presidente"),
        72,
        IF($B576 = 3 + N("Secretária bilíngue"),
            13,
            RANDBETWEEN(5,COUNT(Name!$A:$A) + 1)
        )
    )
)</f>
        <v>297</v>
      </c>
      <c r="E576" s="7" t="str">
        <f ca="1" xml:space="preserve">
VLOOKUP(
  $D576,
  Name!$A:$B,
  2,
  FALSE
)
&amp; " " &amp;
IF($B576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Miguelito Siqueira Greco</v>
      </c>
      <c r="F576" s="7">
        <v>2</v>
      </c>
      <c r="G576" s="7" cm="1">
        <f t="array" aca="1" ref="G576" ca="1">INDEX(States!$B:$B,RANDBETWEEN(2,COUNTA(States!$A:$A)),1)</f>
        <v>13</v>
      </c>
      <c r="H576" s="7" t="str">
        <f ca="1">VLOOKUP($D576,Name!$A:$C,3,FALSE)</f>
        <v>M</v>
      </c>
      <c r="I576" s="7" cm="1">
        <f t="array" aca="1" ref="I576" ca="1">INDEX('Marital status'!$A:$A,RANDBETWEEN(2,COUNTA('Marital status'!$A:$A)),1)</f>
        <v>5</v>
      </c>
      <c r="J576" s="7">
        <f t="shared" ca="1" si="99"/>
        <v>2</v>
      </c>
      <c r="K576" s="8">
        <f t="shared" ca="1" si="100"/>
        <v>26225</v>
      </c>
      <c r="L576" s="6">
        <f t="shared" ca="1" si="101"/>
        <v>4</v>
      </c>
      <c r="M576" s="7">
        <f ca="1" xml:space="preserve">
  IF(OR($N576 = 2, $N576 = 3, $N576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576" s="6">
        <f t="shared" ca="1" si="102"/>
        <v>6</v>
      </c>
      <c r="O576" s="6" t="e">
        <f t="shared" ca="1" si="103"/>
        <v>#N/A</v>
      </c>
      <c r="P576" s="8">
        <f t="shared" ca="1" si="104"/>
        <v>43115</v>
      </c>
      <c r="Q576" s="6">
        <f ca="1">RANDBETWEEN(2,COUNTA('Recruitment source'!$A:$A))</f>
        <v>9</v>
      </c>
      <c r="R576" s="8" t="e">
        <f t="shared" ca="1" si="105"/>
        <v>#N/A</v>
      </c>
      <c r="S576" s="6" t="e">
        <f t="shared" ca="1" si="106"/>
        <v>#N/A</v>
      </c>
      <c r="T576" s="6">
        <f t="shared" ca="1" si="96"/>
        <v>3</v>
      </c>
      <c r="U576" s="1">
        <f t="shared" ca="1" si="107"/>
        <v>805</v>
      </c>
    </row>
    <row r="577" spans="1:21" x14ac:dyDescent="0.2">
      <c r="A577" s="7" cm="1">
        <f t="array" aca="1" ref="A577" ca="1">INDEX(Companies!$A:$A,RANDBETWEEN(2,COUNTA(Companies!$A:$A)),1)</f>
        <v>2</v>
      </c>
      <c r="B577" s="5">
        <f t="shared" si="97"/>
        <v>576</v>
      </c>
      <c r="C577" s="6">
        <f t="shared" ca="1" si="98"/>
        <v>1</v>
      </c>
      <c r="D577" s="7">
        <f ca="1">IF($B577 = 1 + N("Presidente"),
    127,
    IF($B577 = 2 + N("Vice-Presidente"),
        72,
        IF($B577 = 3 + N("Secretária bilíngue"),
            13,
            RANDBETWEEN(5,COUNT(Name!$A:$A) + 1)
        )
    )
)</f>
        <v>13</v>
      </c>
      <c r="E577" s="7" t="str">
        <f ca="1" xml:space="preserve">
VLOOKUP(
  $D577,
  Name!$A:$B,
  2,
  FALSE
)
&amp; " " &amp;
IF($B577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Alessandra Gomes Gouveia</v>
      </c>
      <c r="F577" s="7">
        <v>2</v>
      </c>
      <c r="G577" s="7" cm="1">
        <f t="array" aca="1" ref="G577" ca="1">INDEX(States!$B:$B,RANDBETWEEN(2,COUNTA(States!$A:$A)),1)</f>
        <v>19</v>
      </c>
      <c r="H577" s="7" t="str">
        <f ca="1">VLOOKUP($D577,Name!$A:$C,3,FALSE)</f>
        <v>F</v>
      </c>
      <c r="I577" s="7" cm="1">
        <f t="array" aca="1" ref="I577" ca="1">INDEX('Marital status'!$A:$A,RANDBETWEEN(2,COUNTA('Marital status'!$A:$A)),1)</f>
        <v>3</v>
      </c>
      <c r="J577" s="7">
        <f t="shared" ca="1" si="99"/>
        <v>2</v>
      </c>
      <c r="K577" s="8">
        <f t="shared" ca="1" si="100"/>
        <v>36581</v>
      </c>
      <c r="L577" s="6">
        <f t="shared" ca="1" si="101"/>
        <v>4</v>
      </c>
      <c r="M577" s="7">
        <f ca="1" xml:space="preserve">
  IF(OR($N577 = 2, $N577 = 3, $N577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577" s="6">
        <f t="shared" ca="1" si="102"/>
        <v>8</v>
      </c>
      <c r="O577" s="6">
        <f t="shared" ca="1" si="103"/>
        <v>4</v>
      </c>
      <c r="P577" s="8">
        <f t="shared" ca="1" si="104"/>
        <v>44452</v>
      </c>
      <c r="Q577" s="6">
        <f ca="1">RANDBETWEEN(2,COUNTA('Recruitment source'!$A:$A))</f>
        <v>10</v>
      </c>
      <c r="R577" s="8" t="e">
        <f t="shared" ca="1" si="105"/>
        <v>#N/A</v>
      </c>
      <c r="S577" s="6" t="e">
        <f t="shared" ca="1" si="106"/>
        <v>#N/A</v>
      </c>
      <c r="T577" s="6">
        <f t="shared" ca="1" si="96"/>
        <v>3</v>
      </c>
      <c r="U577" s="1">
        <f t="shared" ca="1" si="107"/>
        <v>2000</v>
      </c>
    </row>
    <row r="578" spans="1:21" x14ac:dyDescent="0.2">
      <c r="A578" s="7" cm="1">
        <f t="array" aca="1" ref="A578" ca="1">INDEX(Companies!$A:$A,RANDBETWEEN(2,COUNTA(Companies!$A:$A)),1)</f>
        <v>2</v>
      </c>
      <c r="B578" s="5">
        <f t="shared" si="97"/>
        <v>577</v>
      </c>
      <c r="C578" s="6">
        <f t="shared" ca="1" si="98"/>
        <v>1</v>
      </c>
      <c r="D578" s="7">
        <f ca="1">IF($B578 = 1 + N("Presidente"),
    127,
    IF($B578 = 2 + N("Vice-Presidente"),
        72,
        IF($B578 = 3 + N("Secretária bilíngue"),
            13,
            RANDBETWEEN(5,COUNT(Name!$A:$A) + 1)
        )
    )
)</f>
        <v>336</v>
      </c>
      <c r="E578" s="7" t="str">
        <f ca="1" xml:space="preserve">
VLOOKUP(
  $D578,
  Name!$A:$B,
  2,
  FALSE
)
&amp; " " &amp;
IF($B578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Samuel Alencar Fontana</v>
      </c>
      <c r="F578" s="7">
        <v>2</v>
      </c>
      <c r="G578" s="7" cm="1">
        <f t="array" aca="1" ref="G578" ca="1">INDEX(States!$B:$B,RANDBETWEEN(2,COUNTA(States!$A:$A)),1)</f>
        <v>5</v>
      </c>
      <c r="H578" s="7" t="str">
        <f ca="1">VLOOKUP($D578,Name!$A:$C,3,FALSE)</f>
        <v>M</v>
      </c>
      <c r="I578" s="7" cm="1">
        <f t="array" aca="1" ref="I578" ca="1">INDEX('Marital status'!$A:$A,RANDBETWEEN(2,COUNTA('Marital status'!$A:$A)),1)</f>
        <v>3</v>
      </c>
      <c r="J578" s="7">
        <f t="shared" ca="1" si="99"/>
        <v>2</v>
      </c>
      <c r="K578" s="8">
        <f t="shared" ca="1" si="100"/>
        <v>30091</v>
      </c>
      <c r="L578" s="6">
        <f t="shared" ca="1" si="101"/>
        <v>4</v>
      </c>
      <c r="M578" s="7">
        <f ca="1" xml:space="preserve">
  IF(OR($N578 = 2, $N578 = 3, $N578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578" s="6">
        <f t="shared" ca="1" si="102"/>
        <v>7</v>
      </c>
      <c r="O578" s="6" t="e">
        <f t="shared" ca="1" si="103"/>
        <v>#N/A</v>
      </c>
      <c r="P578" s="8">
        <f t="shared" ca="1" si="104"/>
        <v>42419</v>
      </c>
      <c r="Q578" s="6">
        <f ca="1">RANDBETWEEN(2,COUNTA('Recruitment source'!$A:$A))</f>
        <v>8</v>
      </c>
      <c r="R578" s="8" t="e">
        <f t="shared" ca="1" si="105"/>
        <v>#N/A</v>
      </c>
      <c r="S578" s="6" t="e">
        <f t="shared" ca="1" si="106"/>
        <v>#N/A</v>
      </c>
      <c r="T578" s="6">
        <f t="shared" ref="T578:T641" ca="1" si="108" xml:space="preserve">
IF(
 ISNA($R578),
 IF(
   $N578 = 2,
   5,
   IF(
     OR($N578=3,$N578=4,$N578=5),
     RANDBETWEEN(4,5),
     IF(
       OR($N578=11,$N578=12),
       RANDBETWEEN(3,5),
       RANDBETWEEN(2,5)
     )
   )
 ),
 RANDBETWEEN(1,3)
)</f>
        <v>5</v>
      </c>
      <c r="U578" s="1">
        <f t="shared" ca="1" si="107"/>
        <v>1005</v>
      </c>
    </row>
    <row r="579" spans="1:21" x14ac:dyDescent="0.2">
      <c r="A579" s="7" cm="1">
        <f t="array" aca="1" ref="A579" ca="1">INDEX(Companies!$A:$A,RANDBETWEEN(2,COUNTA(Companies!$A:$A)),1)</f>
        <v>2</v>
      </c>
      <c r="B579" s="5">
        <f t="shared" ref="B579:B642" si="109">ROW() - 1</f>
        <v>578</v>
      </c>
      <c r="C579" s="6">
        <f t="shared" ref="C579:C642" ca="1" si="110">IF(ISNA($R579),1,0)</f>
        <v>1</v>
      </c>
      <c r="D579" s="7">
        <f ca="1">IF($B579 = 1 + N("Presidente"),
    127,
    IF($B579 = 2 + N("Vice-Presidente"),
        72,
        IF($B579 = 3 + N("Secretária bilíngue"),
            13,
            RANDBETWEEN(5,COUNT(Name!$A:$A) + 1)
        )
    )
)</f>
        <v>197</v>
      </c>
      <c r="E579" s="7" t="str">
        <f ca="1" xml:space="preserve">
VLOOKUP(
  $D579,
  Name!$A:$B,
  2,
  FALSE
)
&amp; " " &amp;
IF($B579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Faria Faro</v>
      </c>
      <c r="F579" s="7">
        <v>2</v>
      </c>
      <c r="G579" s="7" cm="1">
        <f t="array" aca="1" ref="G579" ca="1">INDEX(States!$B:$B,RANDBETWEEN(2,COUNTA(States!$A:$A)),1)</f>
        <v>7</v>
      </c>
      <c r="H579" s="7" t="str">
        <f ca="1">VLOOKUP($D579,Name!$A:$C,3,FALSE)</f>
        <v>M</v>
      </c>
      <c r="I579" s="7" cm="1">
        <f t="array" aca="1" ref="I579" ca="1">INDEX('Marital status'!$A:$A,RANDBETWEEN(2,COUNTA('Marital status'!$A:$A)),1)</f>
        <v>2</v>
      </c>
      <c r="J579" s="7">
        <f t="shared" ref="J579:J642" ca="1" si="111" xml:space="preserve">
IF(AND($N579 &gt;= 2, $N579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579" s="8">
        <f t="shared" ref="K579:K642" ca="1" si="112" xml:space="preserve">
IF($N579 = 5 + N("CEO"),
    TODAY() - 16340,
    IF($N579 = 8 + N("Secretary"),
        RANDBETWEEN(TODAY() - 12418.5, TODAY()-6574.5),
        IF(OR($N579 = 7, $N579 = 14),
            RANDBETWEEN(TODAY() - 16071, TODAY() - 8766),
            IF(OR($N579 = 13, $N579 = 12, $N579 = 11),
                RANDBETWEEN(TODAY() - 27393.75, TODAY() - 12783.75),
                RANDBETWEEN(TODAY() - 27393.75, TODAY()-10957.5)
            )
        )
    )
)</f>
        <v>32699</v>
      </c>
      <c r="L579" s="6">
        <f t="shared" ref="L579:L642" ca="1" si="113" xml:space="preserve">
IF(OR($N579 = 2, $N579 = 3) + N("Se for presidente ou vice-presidente"),
    7 + N("Doutor"),
    IF($N579 = 4 + N("Se for diretor"),
        RANDBETWEEN(5,7) + N("Graduate school or Master’s degree or Doctorate"),
        IF($N579 = 11 + N("Se for gerente"),
            RANDBETWEEN(4,6) + N("Undergraduate degree or Graduate school or Master’s degree"),
            IF(AND($N579 &gt;= 8, $N579 &lt;= 10) + N("If coordinator or specialist or analyst"),
                RANDBETWEEN(4,5),
                4
            )
        )
    )
)</f>
        <v>5</v>
      </c>
      <c r="M579" s="7">
        <f ca="1" xml:space="preserve">
  IF(OR($N579 = 2, $N579 = 3, $N579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579" s="6">
        <f t="shared" ref="N579:N642" ca="1" si="114" xml:space="preserve">
IF($B579 = 1 + N("Se matrícula for 1"),
  2 + N("Presidente"),
  IF($B579 = 2 + N("Se matrícula for 2"),
    3 + N("Vice-presidente"),
    IF($B579 = 3 + N("Se matrícula for 3"),
      5 + N("Secretária bilíngue"),
      IF(AND($B579 &gt;= 4, $B579 &lt;=14),
        4 + N("Diretor"),
        IF(AND($B579 &gt;= 15, $B579 &lt;= 25),
          11 + N("Manager"),
          IF(AND($B579 &gt;= 26, $B579 &lt;= 36),
            10 + N("Coordinador"),
            IF(AND($B579 &gt;= 37, $B579 &lt;= 47),
              9 + N("Especialista"),
                IF(MOD($B579,2) = 0,
                  8 + N("Analista"),
                  RANDBETWEEN(6,7) + N("Estagiário ou Trainee")
                )
            )
          )
        )
      )
    )
  )
)</f>
        <v>8</v>
      </c>
      <c r="O579" s="6">
        <f t="shared" ref="O579:O642" ca="1" si="115" xml:space="preserve">
IF($N579 =8 + N("Analyst"),
    RANDBETWEEN(2, 4) + N("Jr, Pleno, Sr"),
    NA()
)</f>
        <v>4</v>
      </c>
      <c r="P579" s="8">
        <f t="shared" ref="P579:P642" ca="1" si="116" xml:space="preserve">
IF(
   $N579=2 + N("Presidente"),
   36161,
   IF(
       OR(
         $N579=3 + N("Vice-Presidente"),
         $N579=4 + N("Diretor"),
         $N579=5 + N("Secretária bilíngue")
       ),
       RANDBETWEEN(36161,36411),
       IF(
         ((TODAY() - $K579) / 365) &lt; 19,
         TODAY(),
         RANDBETWEEN(36161,TODAY())
       )
   )
)</f>
        <v>39238</v>
      </c>
      <c r="Q579" s="6">
        <f ca="1">RANDBETWEEN(2,COUNTA('Recruitment source'!$A:$A))</f>
        <v>8</v>
      </c>
      <c r="R579" s="8" t="e">
        <f t="shared" ref="R579:R642" ca="1" si="117" xml:space="preserve">
IF(MOD(
     ROW(),111
   )=0,
   RANDBETWEEN($P579 + 1,TODAY() - 1),NA()
)</f>
        <v>#N/A</v>
      </c>
      <c r="S579" s="6" t="e">
        <f t="shared" ref="S579:S642" ca="1" si="118" xml:space="preserve">
IF(
  ISNA(R579),
  NA(),
  RANDBETWEEN(2,IF($H579="F",10,9))
)</f>
        <v>#N/A</v>
      </c>
      <c r="T579" s="6">
        <f t="shared" ca="1" si="108"/>
        <v>3</v>
      </c>
      <c r="U579" s="1">
        <f t="shared" ref="U579:U642" ca="1" si="119" xml:space="preserve">
IF($N579 = 2 + N("Presidente"),
    25000,
    IF($N579 = 3 + N("Vice-presidente"),
        23000,
        IF(OR($N579 = 5, $N579= 10, $N579 = 9) + N("Secretária bilíngue ou coordenador ou especialista"),
            8000,
            IF($N579 = 4 + N("Diretor"),
                15000,
                IF($N579 = 11 + N("Gerente"),
                    12000,
                    IF($N579 = 6 + N("Estagiário"),
                        805,
                        IF($N579 = 7 + N("Trainee"),
                            1005,
                            IF($N579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IF($L579 = 7,
  100,
  IF($L579 = 8,
    200,
    IF($L579 = 9,
      300,
      IF($L579 = 10,
        400,
        0
      )
    )
  )
)
+
N("Adicional no salário por área")
+
IF($M579 = 14 + N("Tecnologia da Informação"),
  120,
  IF($M579 = 16 + N("Vendas"),
    110,
    IF($M579 = 15 + N("Jurídico"),
      100,
      IF(OR($M579 = 8, $M579 = 9, $M579 = 11) + N("Recursos humanos ou comercial ou comunicação e marketing"),
        80,
        0
      )
    )
  )
)
+
N("Adicionando pegadinha")
+
IF(AND($M579 = 13, $N579 = 8) + N("Se for de vendas e analista"),
  IF($J579 = 2,
    50,
    0
  )
  +
  IF($H579 = "M",
    50,
    0
  ),
  0
)</f>
        <v>2080</v>
      </c>
    </row>
    <row r="580" spans="1:21" x14ac:dyDescent="0.2">
      <c r="A580" s="7" cm="1">
        <f t="array" aca="1" ref="A580" ca="1">INDEX(Companies!$A:$A,RANDBETWEEN(2,COUNTA(Companies!$A:$A)),1)</f>
        <v>2</v>
      </c>
      <c r="B580" s="5">
        <f t="shared" si="109"/>
        <v>579</v>
      </c>
      <c r="C580" s="6">
        <f t="shared" ca="1" si="110"/>
        <v>1</v>
      </c>
      <c r="D580" s="7">
        <f ca="1">IF($B580 = 1 + N("Presidente"),
    127,
    IF($B580 = 2 + N("Vice-Presidente"),
        72,
        IF($B580 = 3 + N("Secretária bilíngue"),
            13,
            RANDBETWEEN(5,COUNT(Name!$A:$A) + 1)
        )
    )
)</f>
        <v>311</v>
      </c>
      <c r="E580" s="7" t="str">
        <f ca="1" xml:space="preserve">
VLOOKUP(
  $D580,
  Name!$A:$B,
  2,
  FALSE
)
&amp; " " &amp;
IF($B580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Olívia Faria Barros</v>
      </c>
      <c r="F580" s="7">
        <v>2</v>
      </c>
      <c r="G580" s="7" cm="1">
        <f t="array" aca="1" ref="G580" ca="1">INDEX(States!$B:$B,RANDBETWEEN(2,COUNTA(States!$A:$A)),1)</f>
        <v>7</v>
      </c>
      <c r="H580" s="7" t="str">
        <f ca="1">VLOOKUP($D580,Name!$A:$C,3,FALSE)</f>
        <v>F</v>
      </c>
      <c r="I580" s="7" cm="1">
        <f t="array" aca="1" ref="I580" ca="1">INDEX('Marital status'!$A:$A,RANDBETWEEN(2,COUNTA('Marital status'!$A:$A)),1)</f>
        <v>4</v>
      </c>
      <c r="J580" s="7">
        <f t="shared" ca="1" si="111"/>
        <v>2</v>
      </c>
      <c r="K580" s="8">
        <f t="shared" ca="1" si="112"/>
        <v>24828</v>
      </c>
      <c r="L580" s="6">
        <f t="shared" ca="1" si="113"/>
        <v>4</v>
      </c>
      <c r="M580" s="7">
        <f ca="1" xml:space="preserve">
  IF(OR($N580 = 2, $N580 = 3, $N580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580" s="6">
        <f t="shared" ca="1" si="114"/>
        <v>6</v>
      </c>
      <c r="O580" s="6" t="e">
        <f t="shared" ca="1" si="115"/>
        <v>#N/A</v>
      </c>
      <c r="P580" s="8">
        <f t="shared" ca="1" si="116"/>
        <v>38695</v>
      </c>
      <c r="Q580" s="6">
        <f ca="1">RANDBETWEEN(2,COUNTA('Recruitment source'!$A:$A))</f>
        <v>6</v>
      </c>
      <c r="R580" s="8" t="e">
        <f t="shared" ca="1" si="117"/>
        <v>#N/A</v>
      </c>
      <c r="S580" s="6" t="e">
        <f t="shared" ca="1" si="118"/>
        <v>#N/A</v>
      </c>
      <c r="T580" s="6">
        <f t="shared" ca="1" si="108"/>
        <v>3</v>
      </c>
      <c r="U580" s="1">
        <f t="shared" ca="1" si="119"/>
        <v>885</v>
      </c>
    </row>
    <row r="581" spans="1:21" x14ac:dyDescent="0.2">
      <c r="A581" s="7" cm="1">
        <f t="array" aca="1" ref="A581" ca="1">INDEX(Companies!$A:$A,RANDBETWEEN(2,COUNTA(Companies!$A:$A)),1)</f>
        <v>2</v>
      </c>
      <c r="B581" s="5">
        <f t="shared" si="109"/>
        <v>580</v>
      </c>
      <c r="C581" s="6">
        <f t="shared" ca="1" si="110"/>
        <v>1</v>
      </c>
      <c r="D581" s="7">
        <f ca="1">IF($B581 = 1 + N("Presidente"),
    127,
    IF($B581 = 2 + N("Vice-Presidente"),
        72,
        IF($B581 = 3 + N("Secretária bilíngue"),
            13,
            RANDBETWEEN(5,COUNT(Name!$A:$A) + 1)
        )
    )
)</f>
        <v>331</v>
      </c>
      <c r="E581" s="7" t="str">
        <f ca="1" xml:space="preserve">
VLOOKUP(
  $D581,
  Name!$A:$B,
  2,
  FALSE
)
&amp; " " &amp;
IF($B581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Renato Farina Camacho</v>
      </c>
      <c r="F581" s="7">
        <v>2</v>
      </c>
      <c r="G581" s="7" cm="1">
        <f t="array" aca="1" ref="G581" ca="1">INDEX(States!$B:$B,RANDBETWEEN(2,COUNTA(States!$A:$A)),1)</f>
        <v>13</v>
      </c>
      <c r="H581" s="7" t="str">
        <f ca="1">VLOOKUP($D581,Name!$A:$C,3,FALSE)</f>
        <v>M</v>
      </c>
      <c r="I581" s="7" cm="1">
        <f t="array" aca="1" ref="I581" ca="1">INDEX('Marital status'!$A:$A,RANDBETWEEN(2,COUNTA('Marital status'!$A:$A)),1)</f>
        <v>5</v>
      </c>
      <c r="J581" s="7">
        <f t="shared" ca="1" si="111"/>
        <v>3</v>
      </c>
      <c r="K581" s="8">
        <f t="shared" ca="1" si="112"/>
        <v>38192</v>
      </c>
      <c r="L581" s="6">
        <f t="shared" ca="1" si="113"/>
        <v>4</v>
      </c>
      <c r="M581" s="7">
        <f ca="1" xml:space="preserve">
  IF(OR($N581 = 2, $N581 = 3, $N581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581" s="6">
        <f t="shared" ca="1" si="114"/>
        <v>8</v>
      </c>
      <c r="O581" s="6">
        <f t="shared" ca="1" si="115"/>
        <v>2</v>
      </c>
      <c r="P581" s="8">
        <f t="shared" ca="1" si="116"/>
        <v>44838</v>
      </c>
      <c r="Q581" s="6">
        <f ca="1">RANDBETWEEN(2,COUNTA('Recruitment source'!$A:$A))</f>
        <v>2</v>
      </c>
      <c r="R581" s="8" t="e">
        <f t="shared" ca="1" si="117"/>
        <v>#N/A</v>
      </c>
      <c r="S581" s="6" t="e">
        <f t="shared" ca="1" si="118"/>
        <v>#N/A</v>
      </c>
      <c r="T581" s="6">
        <f t="shared" ca="1" si="108"/>
        <v>2</v>
      </c>
      <c r="U581" s="1">
        <f t="shared" ca="1" si="119"/>
        <v>2050</v>
      </c>
    </row>
    <row r="582" spans="1:21" x14ac:dyDescent="0.2">
      <c r="A582" s="7" cm="1">
        <f t="array" aca="1" ref="A582" ca="1">INDEX(Companies!$A:$A,RANDBETWEEN(2,COUNTA(Companies!$A:$A)),1)</f>
        <v>2</v>
      </c>
      <c r="B582" s="5">
        <f t="shared" si="109"/>
        <v>581</v>
      </c>
      <c r="C582" s="6">
        <f t="shared" ca="1" si="110"/>
        <v>1</v>
      </c>
      <c r="D582" s="7">
        <f ca="1">IF($B582 = 1 + N("Presidente"),
    127,
    IF($B582 = 2 + N("Vice-Presidente"),
        72,
        IF($B582 = 3 + N("Secretária bilíngue"),
            13,
            RANDBETWEEN(5,COUNT(Name!$A:$A) + 1)
        )
    )
)</f>
        <v>85</v>
      </c>
      <c r="E582" s="7" t="str">
        <f ca="1" xml:space="preserve">
VLOOKUP(
  $D582,
  Name!$A:$B,
  2,
  FALSE
)
&amp; " " &amp;
IF($B582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Carlos Eduardo Peçanha Bispo</v>
      </c>
      <c r="F582" s="7">
        <v>2</v>
      </c>
      <c r="G582" s="7" cm="1">
        <f t="array" aca="1" ref="G582" ca="1">INDEX(States!$B:$B,RANDBETWEEN(2,COUNTA(States!$A:$A)),1)</f>
        <v>2</v>
      </c>
      <c r="H582" s="7" t="str">
        <f ca="1">VLOOKUP($D582,Name!$A:$C,3,FALSE)</f>
        <v>M</v>
      </c>
      <c r="I582" s="7" cm="1">
        <f t="array" aca="1" ref="I582" ca="1">INDEX('Marital status'!$A:$A,RANDBETWEEN(2,COUNTA('Marital status'!$A:$A)),1)</f>
        <v>5</v>
      </c>
      <c r="J582" s="7">
        <f t="shared" ca="1" si="111"/>
        <v>2</v>
      </c>
      <c r="K582" s="8">
        <f t="shared" ca="1" si="112"/>
        <v>34818</v>
      </c>
      <c r="L582" s="6">
        <f t="shared" ca="1" si="113"/>
        <v>4</v>
      </c>
      <c r="M582" s="7">
        <f ca="1" xml:space="preserve">
  IF(OR($N582 = 2, $N582 = 3, $N582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582" s="6">
        <f t="shared" ca="1" si="114"/>
        <v>7</v>
      </c>
      <c r="O582" s="6" t="e">
        <f t="shared" ca="1" si="115"/>
        <v>#N/A</v>
      </c>
      <c r="P582" s="8">
        <f t="shared" ca="1" si="116"/>
        <v>41063</v>
      </c>
      <c r="Q582" s="6">
        <f ca="1">RANDBETWEEN(2,COUNTA('Recruitment source'!$A:$A))</f>
        <v>9</v>
      </c>
      <c r="R582" s="8" t="e">
        <f t="shared" ca="1" si="117"/>
        <v>#N/A</v>
      </c>
      <c r="S582" s="6" t="e">
        <f t="shared" ca="1" si="118"/>
        <v>#N/A</v>
      </c>
      <c r="T582" s="6">
        <f t="shared" ca="1" si="108"/>
        <v>2</v>
      </c>
      <c r="U582" s="1">
        <f t="shared" ca="1" si="119"/>
        <v>1005</v>
      </c>
    </row>
    <row r="583" spans="1:21" x14ac:dyDescent="0.2">
      <c r="A583" s="7" cm="1">
        <f t="array" aca="1" ref="A583" ca="1">INDEX(Companies!$A:$A,RANDBETWEEN(2,COUNTA(Companies!$A:$A)),1)</f>
        <v>2</v>
      </c>
      <c r="B583" s="5">
        <f t="shared" si="109"/>
        <v>582</v>
      </c>
      <c r="C583" s="6">
        <f t="shared" ca="1" si="110"/>
        <v>1</v>
      </c>
      <c r="D583" s="7">
        <f ca="1">IF($B583 = 1 + N("Presidente"),
    127,
    IF($B583 = 2 + N("Vice-Presidente"),
        72,
        IF($B583 = 3 + N("Secretária bilíngue"),
            13,
            RANDBETWEEN(5,COUNT(Name!$A:$A) + 1)
        )
    )
)</f>
        <v>172</v>
      </c>
      <c r="E583" s="7" t="str">
        <f ca="1" xml:space="preserve">
VLOOKUP(
  $D583,
  Name!$A:$B,
  2,
  FALSE
)
&amp; " " &amp;
IF($B583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 Farias Barbosa</v>
      </c>
      <c r="F583" s="7">
        <v>2</v>
      </c>
      <c r="G583" s="7" cm="1">
        <f t="array" aca="1" ref="G583" ca="1">INDEX(States!$B:$B,RANDBETWEEN(2,COUNTA(States!$A:$A)),1)</f>
        <v>2</v>
      </c>
      <c r="H583" s="7" t="str">
        <f ca="1">VLOOKUP($D583,Name!$A:$C,3,FALSE)</f>
        <v>F</v>
      </c>
      <c r="I583" s="7" cm="1">
        <f t="array" aca="1" ref="I583" ca="1">INDEX('Marital status'!$A:$A,RANDBETWEEN(2,COUNTA('Marital status'!$A:$A)),1)</f>
        <v>5</v>
      </c>
      <c r="J583" s="7">
        <f t="shared" ca="1" si="111"/>
        <v>4</v>
      </c>
      <c r="K583" s="8">
        <f t="shared" ca="1" si="112"/>
        <v>34806</v>
      </c>
      <c r="L583" s="6">
        <f t="shared" ca="1" si="113"/>
        <v>5</v>
      </c>
      <c r="M583" s="7">
        <f ca="1" xml:space="preserve">
  IF(OR($N583 = 2, $N583 = 3, $N583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583" s="6">
        <f t="shared" ca="1" si="114"/>
        <v>8</v>
      </c>
      <c r="O583" s="6">
        <f t="shared" ca="1" si="115"/>
        <v>4</v>
      </c>
      <c r="P583" s="8">
        <f t="shared" ca="1" si="116"/>
        <v>42066</v>
      </c>
      <c r="Q583" s="6">
        <f ca="1">RANDBETWEEN(2,COUNTA('Recruitment source'!$A:$A))</f>
        <v>2</v>
      </c>
      <c r="R583" s="8" t="e">
        <f t="shared" ca="1" si="117"/>
        <v>#N/A</v>
      </c>
      <c r="S583" s="6" t="e">
        <f t="shared" ca="1" si="118"/>
        <v>#N/A</v>
      </c>
      <c r="T583" s="6">
        <f t="shared" ca="1" si="108"/>
        <v>2</v>
      </c>
      <c r="U583" s="1">
        <f t="shared" ca="1" si="119"/>
        <v>2000</v>
      </c>
    </row>
    <row r="584" spans="1:21" x14ac:dyDescent="0.2">
      <c r="A584" s="7" cm="1">
        <f t="array" aca="1" ref="A584" ca="1">INDEX(Companies!$A:$A,RANDBETWEEN(2,COUNTA(Companies!$A:$A)),1)</f>
        <v>2</v>
      </c>
      <c r="B584" s="5">
        <f t="shared" si="109"/>
        <v>583</v>
      </c>
      <c r="C584" s="6">
        <f t="shared" ca="1" si="110"/>
        <v>1</v>
      </c>
      <c r="D584" s="7">
        <f ca="1">IF($B584 = 1 + N("Presidente"),
    127,
    IF($B584 = 2 + N("Vice-Presidente"),
        72,
        IF($B584 = 3 + N("Secretária bilíngue"),
            13,
            RANDBETWEEN(5,COUNT(Name!$A:$A) + 1)
        )
    )
)</f>
        <v>318</v>
      </c>
      <c r="E584" s="7" t="str">
        <f ca="1" xml:space="preserve">
VLOOKUP(
  $D584,
  Name!$A:$B,
  2,
  FALSE
)
&amp; " " &amp;
IF($B584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Lucas Mazza Nascimento</v>
      </c>
      <c r="F584" s="7">
        <v>2</v>
      </c>
      <c r="G584" s="7" cm="1">
        <f t="array" aca="1" ref="G584" ca="1">INDEX(States!$B:$B,RANDBETWEEN(2,COUNTA(States!$A:$A)),1)</f>
        <v>7</v>
      </c>
      <c r="H584" s="7" t="str">
        <f ca="1">VLOOKUP($D584,Name!$A:$C,3,FALSE)</f>
        <v>M</v>
      </c>
      <c r="I584" s="7" cm="1">
        <f t="array" aca="1" ref="I584" ca="1">INDEX('Marital status'!$A:$A,RANDBETWEEN(2,COUNTA('Marital status'!$A:$A)),1)</f>
        <v>2</v>
      </c>
      <c r="J584" s="7">
        <f t="shared" ca="1" si="111"/>
        <v>2</v>
      </c>
      <c r="K584" s="8">
        <f t="shared" ca="1" si="112"/>
        <v>17464</v>
      </c>
      <c r="L584" s="6">
        <f t="shared" ca="1" si="113"/>
        <v>4</v>
      </c>
      <c r="M584" s="7">
        <f ca="1" xml:space="preserve">
  IF(OR($N584 = 2, $N584 = 3, $N584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584" s="6">
        <f t="shared" ca="1" si="114"/>
        <v>6</v>
      </c>
      <c r="O584" s="6" t="e">
        <f t="shared" ca="1" si="115"/>
        <v>#N/A</v>
      </c>
      <c r="P584" s="8">
        <f t="shared" ca="1" si="116"/>
        <v>41092</v>
      </c>
      <c r="Q584" s="6">
        <f ca="1">RANDBETWEEN(2,COUNTA('Recruitment source'!$A:$A))</f>
        <v>12</v>
      </c>
      <c r="R584" s="8" t="e">
        <f t="shared" ca="1" si="117"/>
        <v>#N/A</v>
      </c>
      <c r="S584" s="6" t="e">
        <f t="shared" ca="1" si="118"/>
        <v>#N/A</v>
      </c>
      <c r="T584" s="6">
        <f t="shared" ca="1" si="108"/>
        <v>4</v>
      </c>
      <c r="U584" s="1">
        <f t="shared" ca="1" si="119"/>
        <v>805</v>
      </c>
    </row>
    <row r="585" spans="1:21" x14ac:dyDescent="0.2">
      <c r="A585" s="7" cm="1">
        <f t="array" aca="1" ref="A585" ca="1">INDEX(Companies!$A:$A,RANDBETWEEN(2,COUNTA(Companies!$A:$A)),1)</f>
        <v>2</v>
      </c>
      <c r="B585" s="5">
        <f t="shared" si="109"/>
        <v>584</v>
      </c>
      <c r="C585" s="6">
        <f t="shared" ca="1" si="110"/>
        <v>1</v>
      </c>
      <c r="D585" s="7">
        <f ca="1">IF($B585 = 1 + N("Presidente"),
    127,
    IF($B585 = 2 + N("Vice-Presidente"),
        72,
        IF($B585 = 3 + N("Secretária bilíngue"),
            13,
            RANDBETWEEN(5,COUNT(Name!$A:$A) + 1)
        )
    )
)</f>
        <v>229</v>
      </c>
      <c r="E585" s="7" t="str">
        <f ca="1" xml:space="preserve">
VLOOKUP(
  $D585,
  Name!$A:$B,
  2,
  FALSE
)
&amp; " " &amp;
IF($B585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Liz Mariani Dantas</v>
      </c>
      <c r="F585" s="7">
        <v>2</v>
      </c>
      <c r="G585" s="7" cm="1">
        <f t="array" aca="1" ref="G585" ca="1">INDEX(States!$B:$B,RANDBETWEEN(2,COUNTA(States!$A:$A)),1)</f>
        <v>2</v>
      </c>
      <c r="H585" s="7" t="str">
        <f ca="1">VLOOKUP($D585,Name!$A:$C,3,FALSE)</f>
        <v>F</v>
      </c>
      <c r="I585" s="7" cm="1">
        <f t="array" aca="1" ref="I585" ca="1">INDEX('Marital status'!$A:$A,RANDBETWEEN(2,COUNTA('Marital status'!$A:$A)),1)</f>
        <v>3</v>
      </c>
      <c r="J585" s="7">
        <f t="shared" ca="1" si="111"/>
        <v>2</v>
      </c>
      <c r="K585" s="8">
        <f t="shared" ca="1" si="112"/>
        <v>35671</v>
      </c>
      <c r="L585" s="6">
        <f t="shared" ca="1" si="113"/>
        <v>4</v>
      </c>
      <c r="M585" s="7">
        <f ca="1" xml:space="preserve">
  IF(OR($N585 = 2, $N585 = 3, $N585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585" s="6">
        <f t="shared" ca="1" si="114"/>
        <v>8</v>
      </c>
      <c r="O585" s="6">
        <f t="shared" ca="1" si="115"/>
        <v>3</v>
      </c>
      <c r="P585" s="8">
        <f t="shared" ca="1" si="116"/>
        <v>39385</v>
      </c>
      <c r="Q585" s="6">
        <f ca="1">RANDBETWEEN(2,COUNTA('Recruitment source'!$A:$A))</f>
        <v>4</v>
      </c>
      <c r="R585" s="8" t="e">
        <f t="shared" ca="1" si="117"/>
        <v>#N/A</v>
      </c>
      <c r="S585" s="6" t="e">
        <f t="shared" ca="1" si="118"/>
        <v>#N/A</v>
      </c>
      <c r="T585" s="6">
        <f t="shared" ca="1" si="108"/>
        <v>3</v>
      </c>
      <c r="U585" s="1">
        <f t="shared" ca="1" si="119"/>
        <v>2050</v>
      </c>
    </row>
    <row r="586" spans="1:21" x14ac:dyDescent="0.2">
      <c r="A586" s="7" cm="1">
        <f t="array" aca="1" ref="A586" ca="1">INDEX(Companies!$A:$A,RANDBETWEEN(2,COUNTA(Companies!$A:$A)),1)</f>
        <v>2</v>
      </c>
      <c r="B586" s="5">
        <f t="shared" si="109"/>
        <v>585</v>
      </c>
      <c r="C586" s="6">
        <f t="shared" ca="1" si="110"/>
        <v>1</v>
      </c>
      <c r="D586" s="7">
        <f ca="1">IF($B586 = 1 + N("Presidente"),
    127,
    IF($B586 = 2 + N("Vice-Presidente"),
        72,
        IF($B586 = 3 + N("Secretária bilíngue"),
            13,
            RANDBETWEEN(5,COUNT(Name!$A:$A) + 1)
        )
    )
)</f>
        <v>276</v>
      </c>
      <c r="E586" s="7" t="str">
        <f ca="1" xml:space="preserve">
VLOOKUP(
  $D586,
  Name!$A:$B,
  2,
  FALSE
)
&amp; " " &amp;
IF($B586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Mariah Borba Ribeiro</v>
      </c>
      <c r="F586" s="7">
        <v>2</v>
      </c>
      <c r="G586" s="7" cm="1">
        <f t="array" aca="1" ref="G586" ca="1">INDEX(States!$B:$B,RANDBETWEEN(2,COUNTA(States!$A:$A)),1)</f>
        <v>16</v>
      </c>
      <c r="H586" s="7" t="str">
        <f ca="1">VLOOKUP($D586,Name!$A:$C,3,FALSE)</f>
        <v>F</v>
      </c>
      <c r="I586" s="7" cm="1">
        <f t="array" aca="1" ref="I586" ca="1">INDEX('Marital status'!$A:$A,RANDBETWEEN(2,COUNTA('Marital status'!$A:$A)),1)</f>
        <v>4</v>
      </c>
      <c r="J586" s="7">
        <f t="shared" ca="1" si="111"/>
        <v>2</v>
      </c>
      <c r="K586" s="8">
        <f t="shared" ca="1" si="112"/>
        <v>20776</v>
      </c>
      <c r="L586" s="6">
        <f t="shared" ca="1" si="113"/>
        <v>4</v>
      </c>
      <c r="M586" s="7">
        <f ca="1" xml:space="preserve">
  IF(OR($N586 = 2, $N586 = 3, $N586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586" s="6">
        <f t="shared" ca="1" si="114"/>
        <v>6</v>
      </c>
      <c r="O586" s="6" t="e">
        <f t="shared" ca="1" si="115"/>
        <v>#N/A</v>
      </c>
      <c r="P586" s="8">
        <f t="shared" ca="1" si="116"/>
        <v>40577</v>
      </c>
      <c r="Q586" s="6">
        <f ca="1">RANDBETWEEN(2,COUNTA('Recruitment source'!$A:$A))</f>
        <v>2</v>
      </c>
      <c r="R586" s="8" t="e">
        <f t="shared" ca="1" si="117"/>
        <v>#N/A</v>
      </c>
      <c r="S586" s="6" t="e">
        <f t="shared" ca="1" si="118"/>
        <v>#N/A</v>
      </c>
      <c r="T586" s="6">
        <f t="shared" ca="1" si="108"/>
        <v>5</v>
      </c>
      <c r="U586" s="1">
        <f t="shared" ca="1" si="119"/>
        <v>805</v>
      </c>
    </row>
    <row r="587" spans="1:21" x14ac:dyDescent="0.2">
      <c r="A587" s="7" cm="1">
        <f t="array" aca="1" ref="A587" ca="1">INDEX(Companies!$A:$A,RANDBETWEEN(2,COUNTA(Companies!$A:$A)),1)</f>
        <v>2</v>
      </c>
      <c r="B587" s="5">
        <f t="shared" si="109"/>
        <v>586</v>
      </c>
      <c r="C587" s="6">
        <f t="shared" ca="1" si="110"/>
        <v>1</v>
      </c>
      <c r="D587" s="7">
        <f ca="1">IF($B587 = 1 + N("Presidente"),
    127,
    IF($B587 = 2 + N("Vice-Presidente"),
        72,
        IF($B587 = 3 + N("Secretária bilíngue"),
            13,
            RANDBETWEEN(5,COUNT(Name!$A:$A) + 1)
        )
    )
)</f>
        <v>36</v>
      </c>
      <c r="E587" s="7" t="str">
        <f ca="1" xml:space="preserve">
VLOOKUP(
  $D587,
  Name!$A:$B,
  2,
  FALSE
)
&amp; " " &amp;
IF($B587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Sophia Campos Malafaia</v>
      </c>
      <c r="F587" s="7">
        <v>2</v>
      </c>
      <c r="G587" s="7" cm="1">
        <f t="array" aca="1" ref="G587" ca="1">INDEX(States!$B:$B,RANDBETWEEN(2,COUNTA(States!$A:$A)),1)</f>
        <v>2</v>
      </c>
      <c r="H587" s="7" t="str">
        <f ca="1">VLOOKUP($D587,Name!$A:$C,3,FALSE)</f>
        <v>F</v>
      </c>
      <c r="I587" s="7" cm="1">
        <f t="array" aca="1" ref="I587" ca="1">INDEX('Marital status'!$A:$A,RANDBETWEEN(2,COUNTA('Marital status'!$A:$A)),1)</f>
        <v>4</v>
      </c>
      <c r="J587" s="7">
        <f t="shared" ca="1" si="111"/>
        <v>2</v>
      </c>
      <c r="K587" s="8">
        <f t="shared" ca="1" si="112"/>
        <v>36112</v>
      </c>
      <c r="L587" s="6">
        <f t="shared" ca="1" si="113"/>
        <v>4</v>
      </c>
      <c r="M587" s="7">
        <f ca="1" xml:space="preserve">
  IF(OR($N587 = 2, $N587 = 3, $N587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587" s="6">
        <f t="shared" ca="1" si="114"/>
        <v>8</v>
      </c>
      <c r="O587" s="6">
        <f t="shared" ca="1" si="115"/>
        <v>3</v>
      </c>
      <c r="P587" s="8">
        <f t="shared" ca="1" si="116"/>
        <v>39169</v>
      </c>
      <c r="Q587" s="6">
        <f ca="1">RANDBETWEEN(2,COUNTA('Recruitment source'!$A:$A))</f>
        <v>9</v>
      </c>
      <c r="R587" s="8" t="e">
        <f t="shared" ca="1" si="117"/>
        <v>#N/A</v>
      </c>
      <c r="S587" s="6" t="e">
        <f t="shared" ca="1" si="118"/>
        <v>#N/A</v>
      </c>
      <c r="T587" s="6">
        <f t="shared" ca="1" si="108"/>
        <v>2</v>
      </c>
      <c r="U587" s="1">
        <f t="shared" ca="1" si="119"/>
        <v>2080</v>
      </c>
    </row>
    <row r="588" spans="1:21" x14ac:dyDescent="0.2">
      <c r="A588" s="7" cm="1">
        <f t="array" aca="1" ref="A588" ca="1">INDEX(Companies!$A:$A,RANDBETWEEN(2,COUNTA(Companies!$A:$A)),1)</f>
        <v>2</v>
      </c>
      <c r="B588" s="5">
        <f t="shared" si="109"/>
        <v>587</v>
      </c>
      <c r="C588" s="6">
        <f t="shared" ca="1" si="110"/>
        <v>1</v>
      </c>
      <c r="D588" s="7">
        <f ca="1">IF($B588 = 1 + N("Presidente"),
    127,
    IF($B588 = 2 + N("Vice-Presidente"),
        72,
        IF($B588 = 3 + N("Secretária bilíngue"),
            13,
            RANDBETWEEN(5,COUNT(Name!$A:$A) + 1)
        )
    )
)</f>
        <v>152</v>
      </c>
      <c r="E588" s="7" t="str">
        <f ca="1" xml:space="preserve">
VLOOKUP(
  $D588,
  Name!$A:$B,
  2,
  FALSE
)
&amp; " " &amp;
IF($B588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Gael Pedrosa Aguiar</v>
      </c>
      <c r="F588" s="7">
        <v>2</v>
      </c>
      <c r="G588" s="7" cm="1">
        <f t="array" aca="1" ref="G588" ca="1">INDEX(States!$B:$B,RANDBETWEEN(2,COUNTA(States!$A:$A)),1)</f>
        <v>20</v>
      </c>
      <c r="H588" s="7" t="str">
        <f ca="1">VLOOKUP($D588,Name!$A:$C,3,FALSE)</f>
        <v>M</v>
      </c>
      <c r="I588" s="7" cm="1">
        <f t="array" aca="1" ref="I588" ca="1">INDEX('Marital status'!$A:$A,RANDBETWEEN(2,COUNTA('Marital status'!$A:$A)),1)</f>
        <v>5</v>
      </c>
      <c r="J588" s="7">
        <f t="shared" ca="1" si="111"/>
        <v>3</v>
      </c>
      <c r="K588" s="8">
        <f t="shared" ca="1" si="112"/>
        <v>29294</v>
      </c>
      <c r="L588" s="6">
        <f t="shared" ca="1" si="113"/>
        <v>4</v>
      </c>
      <c r="M588" s="7">
        <f ca="1" xml:space="preserve">
  IF(OR($N588 = 2, $N588 = 3, $N588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588" s="6">
        <f t="shared" ca="1" si="114"/>
        <v>7</v>
      </c>
      <c r="O588" s="6" t="e">
        <f t="shared" ca="1" si="115"/>
        <v>#N/A</v>
      </c>
      <c r="P588" s="8">
        <f t="shared" ca="1" si="116"/>
        <v>38191</v>
      </c>
      <c r="Q588" s="6">
        <f ca="1">RANDBETWEEN(2,COUNTA('Recruitment source'!$A:$A))</f>
        <v>5</v>
      </c>
      <c r="R588" s="8" t="e">
        <f t="shared" ca="1" si="117"/>
        <v>#N/A</v>
      </c>
      <c r="S588" s="6" t="e">
        <f t="shared" ca="1" si="118"/>
        <v>#N/A</v>
      </c>
      <c r="T588" s="6">
        <f t="shared" ca="1" si="108"/>
        <v>5</v>
      </c>
      <c r="U588" s="1">
        <f t="shared" ca="1" si="119"/>
        <v>1005</v>
      </c>
    </row>
    <row r="589" spans="1:21" x14ac:dyDescent="0.2">
      <c r="A589" s="7" cm="1">
        <f t="array" aca="1" ref="A589" ca="1">INDEX(Companies!$A:$A,RANDBETWEEN(2,COUNTA(Companies!$A:$A)),1)</f>
        <v>2</v>
      </c>
      <c r="B589" s="5">
        <f t="shared" si="109"/>
        <v>588</v>
      </c>
      <c r="C589" s="6">
        <f t="shared" ca="1" si="110"/>
        <v>1</v>
      </c>
      <c r="D589" s="7">
        <f ca="1">IF($B589 = 1 + N("Presidente"),
    127,
    IF($B589 = 2 + N("Vice-Presidente"),
        72,
        IF($B589 = 3 + N("Secretária bilíngue"),
            13,
            RANDBETWEEN(5,COUNT(Name!$A:$A) + 1)
        )
    )
)</f>
        <v>289</v>
      </c>
      <c r="E589" s="7" t="str">
        <f ca="1" xml:space="preserve">
VLOOKUP(
  $D589,
  Name!$A:$B,
  2,
  FALSE
)
&amp; " " &amp;
IF($B589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Maya Simões Oliveira</v>
      </c>
      <c r="F589" s="7">
        <v>2</v>
      </c>
      <c r="G589" s="7" cm="1">
        <f t="array" aca="1" ref="G589" ca="1">INDEX(States!$B:$B,RANDBETWEEN(2,COUNTA(States!$A:$A)),1)</f>
        <v>18</v>
      </c>
      <c r="H589" s="7" t="str">
        <f ca="1">VLOOKUP($D589,Name!$A:$C,3,FALSE)</f>
        <v>F</v>
      </c>
      <c r="I589" s="7" cm="1">
        <f t="array" aca="1" ref="I589" ca="1">INDEX('Marital status'!$A:$A,RANDBETWEEN(2,COUNTA('Marital status'!$A:$A)),1)</f>
        <v>3</v>
      </c>
      <c r="J589" s="7">
        <f t="shared" ca="1" si="111"/>
        <v>5</v>
      </c>
      <c r="K589" s="8">
        <f t="shared" ca="1" si="112"/>
        <v>38053</v>
      </c>
      <c r="L589" s="6">
        <f t="shared" ca="1" si="113"/>
        <v>5</v>
      </c>
      <c r="M589" s="7">
        <f ca="1" xml:space="preserve">
  IF(OR($N589 = 2, $N589 = 3, $N589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589" s="6">
        <f t="shared" ca="1" si="114"/>
        <v>8</v>
      </c>
      <c r="O589" s="6">
        <f t="shared" ca="1" si="115"/>
        <v>2</v>
      </c>
      <c r="P589" s="8">
        <f t="shared" ca="1" si="116"/>
        <v>44838</v>
      </c>
      <c r="Q589" s="6">
        <f ca="1">RANDBETWEEN(2,COUNTA('Recruitment source'!$A:$A))</f>
        <v>9</v>
      </c>
      <c r="R589" s="8" t="e">
        <f t="shared" ca="1" si="117"/>
        <v>#N/A</v>
      </c>
      <c r="S589" s="6" t="e">
        <f t="shared" ca="1" si="118"/>
        <v>#N/A</v>
      </c>
      <c r="T589" s="6">
        <f t="shared" ca="1" si="108"/>
        <v>5</v>
      </c>
      <c r="U589" s="1">
        <f t="shared" ca="1" si="119"/>
        <v>2000</v>
      </c>
    </row>
    <row r="590" spans="1:21" x14ac:dyDescent="0.2">
      <c r="A590" s="7" cm="1">
        <f t="array" aca="1" ref="A590" ca="1">INDEX(Companies!$A:$A,RANDBETWEEN(2,COUNTA(Companies!$A:$A)),1)</f>
        <v>2</v>
      </c>
      <c r="B590" s="5">
        <f t="shared" si="109"/>
        <v>589</v>
      </c>
      <c r="C590" s="6">
        <f t="shared" ca="1" si="110"/>
        <v>1</v>
      </c>
      <c r="D590" s="7">
        <f ca="1">IF($B590 = 1 + N("Presidente"),
    127,
    IF($B590 = 2 + N("Vice-Presidente"),
        72,
        IF($B590 = 3 + N("Secretária bilíngue"),
            13,
            RANDBETWEEN(5,COUNT(Name!$A:$A) + 1)
        )
    )
)</f>
        <v>269</v>
      </c>
      <c r="E590" s="7" t="str">
        <f ca="1" xml:space="preserve">
VLOOKUP(
  $D590,
  Name!$A:$B,
  2,
  FALSE
)
&amp; " " &amp;
IF($B590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Júlia Moura Abranches</v>
      </c>
      <c r="F590" s="7">
        <v>2</v>
      </c>
      <c r="G590" s="7" cm="1">
        <f t="array" aca="1" ref="G590" ca="1">INDEX(States!$B:$B,RANDBETWEEN(2,COUNTA(States!$A:$A)),1)</f>
        <v>13</v>
      </c>
      <c r="H590" s="7" t="str">
        <f ca="1">VLOOKUP($D590,Name!$A:$C,3,FALSE)</f>
        <v>F</v>
      </c>
      <c r="I590" s="7" cm="1">
        <f t="array" aca="1" ref="I590" ca="1">INDEX('Marital status'!$A:$A,RANDBETWEEN(2,COUNTA('Marital status'!$A:$A)),1)</f>
        <v>2</v>
      </c>
      <c r="J590" s="7">
        <f t="shared" ca="1" si="111"/>
        <v>2</v>
      </c>
      <c r="K590" s="8">
        <f t="shared" ca="1" si="112"/>
        <v>18570</v>
      </c>
      <c r="L590" s="6">
        <f t="shared" ca="1" si="113"/>
        <v>4</v>
      </c>
      <c r="M590" s="7">
        <f ca="1" xml:space="preserve">
  IF(OR($N590 = 2, $N590 = 3, $N590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590" s="6">
        <f t="shared" ca="1" si="114"/>
        <v>6</v>
      </c>
      <c r="O590" s="6" t="e">
        <f t="shared" ca="1" si="115"/>
        <v>#N/A</v>
      </c>
      <c r="P590" s="8">
        <f t="shared" ca="1" si="116"/>
        <v>43823</v>
      </c>
      <c r="Q590" s="6">
        <f ca="1">RANDBETWEEN(2,COUNTA('Recruitment source'!$A:$A))</f>
        <v>3</v>
      </c>
      <c r="R590" s="8" t="e">
        <f t="shared" ca="1" si="117"/>
        <v>#N/A</v>
      </c>
      <c r="S590" s="6" t="e">
        <f t="shared" ca="1" si="118"/>
        <v>#N/A</v>
      </c>
      <c r="T590" s="6">
        <f t="shared" ca="1" si="108"/>
        <v>5</v>
      </c>
      <c r="U590" s="1">
        <f t="shared" ca="1" si="119"/>
        <v>805</v>
      </c>
    </row>
    <row r="591" spans="1:21" x14ac:dyDescent="0.2">
      <c r="A591" s="7" cm="1">
        <f t="array" aca="1" ref="A591" ca="1">INDEX(Companies!$A:$A,RANDBETWEEN(2,COUNTA(Companies!$A:$A)),1)</f>
        <v>2</v>
      </c>
      <c r="B591" s="5">
        <f t="shared" si="109"/>
        <v>590</v>
      </c>
      <c r="C591" s="6">
        <f t="shared" ca="1" si="110"/>
        <v>1</v>
      </c>
      <c r="D591" s="7">
        <f ca="1">IF($B591 = 1 + N("Presidente"),
    127,
    IF($B591 = 2 + N("Vice-Presidente"),
        72,
        IF($B591 = 3 + N("Secretária bilíngue"),
            13,
            RANDBETWEEN(5,COUNT(Name!$A:$A) + 1)
        )
    )
)</f>
        <v>358</v>
      </c>
      <c r="E591" s="7" t="str">
        <f ca="1" xml:space="preserve">
VLOOKUP(
  $D591,
  Name!$A:$B,
  2,
  FALSE
)
&amp; " " &amp;
IF($B591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Vinícius Moura Malafaia</v>
      </c>
      <c r="F591" s="7">
        <v>2</v>
      </c>
      <c r="G591" s="7" cm="1">
        <f t="array" aca="1" ref="G591" ca="1">INDEX(States!$B:$B,RANDBETWEEN(2,COUNTA(States!$A:$A)),1)</f>
        <v>2</v>
      </c>
      <c r="H591" s="7" t="str">
        <f ca="1">VLOOKUP($D591,Name!$A:$C,3,FALSE)</f>
        <v>M</v>
      </c>
      <c r="I591" s="7" cm="1">
        <f t="array" aca="1" ref="I591" ca="1">INDEX('Marital status'!$A:$A,RANDBETWEEN(2,COUNTA('Marital status'!$A:$A)),1)</f>
        <v>2</v>
      </c>
      <c r="J591" s="7">
        <f t="shared" ca="1" si="111"/>
        <v>2</v>
      </c>
      <c r="K591" s="8">
        <f t="shared" ca="1" si="112"/>
        <v>36173</v>
      </c>
      <c r="L591" s="6">
        <f t="shared" ca="1" si="113"/>
        <v>5</v>
      </c>
      <c r="M591" s="7">
        <f ca="1" xml:space="preserve">
  IF(OR($N591 = 2, $N591 = 3, $N591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591" s="6">
        <f t="shared" ca="1" si="114"/>
        <v>8</v>
      </c>
      <c r="O591" s="6">
        <f t="shared" ca="1" si="115"/>
        <v>3</v>
      </c>
      <c r="P591" s="8">
        <f t="shared" ca="1" si="116"/>
        <v>36511</v>
      </c>
      <c r="Q591" s="6">
        <f ca="1">RANDBETWEEN(2,COUNTA('Recruitment source'!$A:$A))</f>
        <v>6</v>
      </c>
      <c r="R591" s="8" t="e">
        <f t="shared" ca="1" si="117"/>
        <v>#N/A</v>
      </c>
      <c r="S591" s="6" t="e">
        <f t="shared" ca="1" si="118"/>
        <v>#N/A</v>
      </c>
      <c r="T591" s="6">
        <f t="shared" ca="1" si="108"/>
        <v>2</v>
      </c>
      <c r="U591" s="1">
        <f t="shared" ca="1" si="119"/>
        <v>2000</v>
      </c>
    </row>
    <row r="592" spans="1:21" x14ac:dyDescent="0.2">
      <c r="A592" s="7" cm="1">
        <f t="array" aca="1" ref="A592" ca="1">INDEX(Companies!$A:$A,RANDBETWEEN(2,COUNTA(Companies!$A:$A)),1)</f>
        <v>2</v>
      </c>
      <c r="B592" s="5">
        <f t="shared" si="109"/>
        <v>591</v>
      </c>
      <c r="C592" s="6">
        <f t="shared" ca="1" si="110"/>
        <v>1</v>
      </c>
      <c r="D592" s="7">
        <f ca="1">IF($B592 = 1 + N("Presidente"),
    127,
    IF($B592 = 2 + N("Vice-Presidente"),
        72,
        IF($B592 = 3 + N("Secretária bilíngue"),
            13,
            RANDBETWEEN(5,COUNT(Name!$A:$A) + 1)
        )
    )
)</f>
        <v>206</v>
      </c>
      <c r="E592" s="7" t="str">
        <f ca="1" xml:space="preserve">
VLOOKUP(
  $D592,
  Name!$A:$B,
  2,
  FALSE
)
&amp; " " &amp;
IF($B592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Kamilla Nunes Tavares</v>
      </c>
      <c r="F592" s="7">
        <v>2</v>
      </c>
      <c r="G592" s="7" cm="1">
        <f t="array" aca="1" ref="G592" ca="1">INDEX(States!$B:$B,RANDBETWEEN(2,COUNTA(States!$A:$A)),1)</f>
        <v>18</v>
      </c>
      <c r="H592" s="7" t="str">
        <f ca="1">VLOOKUP($D592,Name!$A:$C,3,FALSE)</f>
        <v>F</v>
      </c>
      <c r="I592" s="7" cm="1">
        <f t="array" aca="1" ref="I592" ca="1">INDEX('Marital status'!$A:$A,RANDBETWEEN(2,COUNTA('Marital status'!$A:$A)),1)</f>
        <v>3</v>
      </c>
      <c r="J592" s="7">
        <f t="shared" ca="1" si="111"/>
        <v>2</v>
      </c>
      <c r="K592" s="8">
        <f t="shared" ca="1" si="112"/>
        <v>30930</v>
      </c>
      <c r="L592" s="6">
        <f t="shared" ca="1" si="113"/>
        <v>4</v>
      </c>
      <c r="M592" s="7">
        <f ca="1" xml:space="preserve">
  IF(OR($N592 = 2, $N592 = 3, $N592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592" s="6">
        <f t="shared" ca="1" si="114"/>
        <v>7</v>
      </c>
      <c r="O592" s="6" t="e">
        <f t="shared" ca="1" si="115"/>
        <v>#N/A</v>
      </c>
      <c r="P592" s="8">
        <f t="shared" ca="1" si="116"/>
        <v>38670</v>
      </c>
      <c r="Q592" s="6">
        <f ca="1">RANDBETWEEN(2,COUNTA('Recruitment source'!$A:$A))</f>
        <v>2</v>
      </c>
      <c r="R592" s="8" t="e">
        <f t="shared" ca="1" si="117"/>
        <v>#N/A</v>
      </c>
      <c r="S592" s="6" t="e">
        <f t="shared" ca="1" si="118"/>
        <v>#N/A</v>
      </c>
      <c r="T592" s="6">
        <f t="shared" ca="1" si="108"/>
        <v>5</v>
      </c>
      <c r="U592" s="1">
        <f t="shared" ca="1" si="119"/>
        <v>1005</v>
      </c>
    </row>
    <row r="593" spans="1:21" x14ac:dyDescent="0.2">
      <c r="A593" s="7" cm="1">
        <f t="array" aca="1" ref="A593" ca="1">INDEX(Companies!$A:$A,RANDBETWEEN(2,COUNTA(Companies!$A:$A)),1)</f>
        <v>2</v>
      </c>
      <c r="B593" s="5">
        <f t="shared" si="109"/>
        <v>592</v>
      </c>
      <c r="C593" s="6">
        <f t="shared" ca="1" si="110"/>
        <v>1</v>
      </c>
      <c r="D593" s="7">
        <f ca="1">IF($B593 = 1 + N("Presidente"),
    127,
    IF($B593 = 2 + N("Vice-Presidente"),
        72,
        IF($B593 = 3 + N("Secretária bilíngue"),
            13,
            RANDBETWEEN(5,COUNT(Name!$A:$A) + 1)
        )
    )
)</f>
        <v>214</v>
      </c>
      <c r="E593" s="7" t="str">
        <f ca="1" xml:space="preserve">
VLOOKUP(
  $D593,
  Name!$A:$B,
  2,
  FALSE
)
&amp; " " &amp;
IF($B593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Kleriston Anunciação Cabral</v>
      </c>
      <c r="F593" s="7">
        <v>2</v>
      </c>
      <c r="G593" s="7" cm="1">
        <f t="array" aca="1" ref="G593" ca="1">INDEX(States!$B:$B,RANDBETWEEN(2,COUNTA(States!$A:$A)),1)</f>
        <v>18</v>
      </c>
      <c r="H593" s="7" t="str">
        <f ca="1">VLOOKUP($D593,Name!$A:$C,3,FALSE)</f>
        <v>M</v>
      </c>
      <c r="I593" s="7" cm="1">
        <f t="array" aca="1" ref="I593" ca="1">INDEX('Marital status'!$A:$A,RANDBETWEEN(2,COUNTA('Marital status'!$A:$A)),1)</f>
        <v>4</v>
      </c>
      <c r="J593" s="7">
        <f t="shared" ca="1" si="111"/>
        <v>2</v>
      </c>
      <c r="K593" s="8">
        <f t="shared" ca="1" si="112"/>
        <v>35573</v>
      </c>
      <c r="L593" s="6">
        <f t="shared" ca="1" si="113"/>
        <v>4</v>
      </c>
      <c r="M593" s="7">
        <f ca="1" xml:space="preserve">
  IF(OR($N593 = 2, $N593 = 3, $N593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593" s="6">
        <f t="shared" ca="1" si="114"/>
        <v>8</v>
      </c>
      <c r="O593" s="6">
        <f t="shared" ca="1" si="115"/>
        <v>3</v>
      </c>
      <c r="P593" s="8">
        <f t="shared" ca="1" si="116"/>
        <v>41800</v>
      </c>
      <c r="Q593" s="6">
        <f ca="1">RANDBETWEEN(2,COUNTA('Recruitment source'!$A:$A))</f>
        <v>3</v>
      </c>
      <c r="R593" s="8" t="e">
        <f t="shared" ca="1" si="117"/>
        <v>#N/A</v>
      </c>
      <c r="S593" s="6" t="e">
        <f t="shared" ca="1" si="118"/>
        <v>#N/A</v>
      </c>
      <c r="T593" s="6">
        <f t="shared" ca="1" si="108"/>
        <v>4</v>
      </c>
      <c r="U593" s="1">
        <f t="shared" ca="1" si="119"/>
        <v>2000</v>
      </c>
    </row>
    <row r="594" spans="1:21" x14ac:dyDescent="0.2">
      <c r="A594" s="7" cm="1">
        <f t="array" aca="1" ref="A594" ca="1">INDEX(Companies!$A:$A,RANDBETWEEN(2,COUNTA(Companies!$A:$A)),1)</f>
        <v>2</v>
      </c>
      <c r="B594" s="5">
        <f t="shared" si="109"/>
        <v>593</v>
      </c>
      <c r="C594" s="6">
        <f t="shared" ca="1" si="110"/>
        <v>1</v>
      </c>
      <c r="D594" s="7">
        <f ca="1">IF($B594 = 1 + N("Presidente"),
    127,
    IF($B594 = 2 + N("Vice-Presidente"),
        72,
        IF($B594 = 3 + N("Secretária bilíngue"),
            13,
            RANDBETWEEN(5,COUNT(Name!$A:$A) + 1)
        )
    )
)</f>
        <v>188</v>
      </c>
      <c r="E594" s="7" t="str">
        <f ca="1" xml:space="preserve">
VLOOKUP(
  $D594,
  Name!$A:$B,
  2,
  FALSE
)
&amp; " " &amp;
IF($B594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Lucas Anjos Poeta</v>
      </c>
      <c r="F594" s="7">
        <v>2</v>
      </c>
      <c r="G594" s="7" cm="1">
        <f t="array" aca="1" ref="G594" ca="1">INDEX(States!$B:$B,RANDBETWEEN(2,COUNTA(States!$A:$A)),1)</f>
        <v>6</v>
      </c>
      <c r="H594" s="7" t="str">
        <f ca="1">VLOOKUP($D594,Name!$A:$C,3,FALSE)</f>
        <v>M</v>
      </c>
      <c r="I594" s="7" cm="1">
        <f t="array" aca="1" ref="I594" ca="1">INDEX('Marital status'!$A:$A,RANDBETWEEN(2,COUNTA('Marital status'!$A:$A)),1)</f>
        <v>5</v>
      </c>
      <c r="J594" s="7">
        <f t="shared" ca="1" si="111"/>
        <v>4</v>
      </c>
      <c r="K594" s="8">
        <f t="shared" ca="1" si="112"/>
        <v>35469</v>
      </c>
      <c r="L594" s="6">
        <f t="shared" ca="1" si="113"/>
        <v>4</v>
      </c>
      <c r="M594" s="7">
        <f ca="1" xml:space="preserve">
  IF(OR($N594 = 2, $N594 = 3, $N594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594" s="6">
        <f t="shared" ca="1" si="114"/>
        <v>7</v>
      </c>
      <c r="O594" s="6" t="e">
        <f t="shared" ca="1" si="115"/>
        <v>#N/A</v>
      </c>
      <c r="P594" s="8">
        <f t="shared" ca="1" si="116"/>
        <v>44002</v>
      </c>
      <c r="Q594" s="6">
        <f ca="1">RANDBETWEEN(2,COUNTA('Recruitment source'!$A:$A))</f>
        <v>7</v>
      </c>
      <c r="R594" s="8" t="e">
        <f t="shared" ca="1" si="117"/>
        <v>#N/A</v>
      </c>
      <c r="S594" s="6" t="e">
        <f t="shared" ca="1" si="118"/>
        <v>#N/A</v>
      </c>
      <c r="T594" s="6">
        <f t="shared" ca="1" si="108"/>
        <v>3</v>
      </c>
      <c r="U594" s="1">
        <f t="shared" ca="1" si="119"/>
        <v>1005</v>
      </c>
    </row>
    <row r="595" spans="1:21" x14ac:dyDescent="0.2">
      <c r="A595" s="7" cm="1">
        <f t="array" aca="1" ref="A595" ca="1">INDEX(Companies!$A:$A,RANDBETWEEN(2,COUNTA(Companies!$A:$A)),1)</f>
        <v>2</v>
      </c>
      <c r="B595" s="5">
        <f t="shared" si="109"/>
        <v>594</v>
      </c>
      <c r="C595" s="6">
        <f t="shared" ca="1" si="110"/>
        <v>1</v>
      </c>
      <c r="D595" s="7">
        <f ca="1">IF($B595 = 1 + N("Presidente"),
    127,
    IF($B595 = 2 + N("Vice-Presidente"),
        72,
        IF($B595 = 3 + N("Secretária bilíngue"),
            13,
            RANDBETWEEN(5,COUNT(Name!$A:$A) + 1)
        )
    )
)</f>
        <v>194</v>
      </c>
      <c r="E595" s="7" t="str">
        <f ca="1" xml:space="preserve">
VLOOKUP(
  $D595,
  Name!$A:$B,
  2,
  FALSE
)
&amp; " " &amp;
IF($B595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Vitor Carvalho Barros</v>
      </c>
      <c r="F595" s="7">
        <v>2</v>
      </c>
      <c r="G595" s="7" cm="1">
        <f t="array" aca="1" ref="G595" ca="1">INDEX(States!$B:$B,RANDBETWEEN(2,COUNTA(States!$A:$A)),1)</f>
        <v>21</v>
      </c>
      <c r="H595" s="7" t="str">
        <f ca="1">VLOOKUP($D595,Name!$A:$C,3,FALSE)</f>
        <v>M</v>
      </c>
      <c r="I595" s="7" cm="1">
        <f t="array" aca="1" ref="I595" ca="1">INDEX('Marital status'!$A:$A,RANDBETWEEN(2,COUNTA('Marital status'!$A:$A)),1)</f>
        <v>6</v>
      </c>
      <c r="J595" s="7">
        <f t="shared" ca="1" si="111"/>
        <v>3</v>
      </c>
      <c r="K595" s="8">
        <f t="shared" ca="1" si="112"/>
        <v>35222</v>
      </c>
      <c r="L595" s="6">
        <f t="shared" ca="1" si="113"/>
        <v>5</v>
      </c>
      <c r="M595" s="7">
        <f ca="1" xml:space="preserve">
  IF(OR($N595 = 2, $N595 = 3, $N595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595" s="6">
        <f t="shared" ca="1" si="114"/>
        <v>8</v>
      </c>
      <c r="O595" s="6">
        <f t="shared" ca="1" si="115"/>
        <v>2</v>
      </c>
      <c r="P595" s="8">
        <f t="shared" ca="1" si="116"/>
        <v>38772</v>
      </c>
      <c r="Q595" s="6">
        <f ca="1">RANDBETWEEN(2,COUNTA('Recruitment source'!$A:$A))</f>
        <v>6</v>
      </c>
      <c r="R595" s="8" t="e">
        <f t="shared" ca="1" si="117"/>
        <v>#N/A</v>
      </c>
      <c r="S595" s="6" t="e">
        <f t="shared" ca="1" si="118"/>
        <v>#N/A</v>
      </c>
      <c r="T595" s="6">
        <f t="shared" ca="1" si="108"/>
        <v>4</v>
      </c>
      <c r="U595" s="1">
        <f t="shared" ca="1" si="119"/>
        <v>2000</v>
      </c>
    </row>
    <row r="596" spans="1:21" x14ac:dyDescent="0.2">
      <c r="A596" s="7" cm="1">
        <f t="array" aca="1" ref="A596" ca="1">INDEX(Companies!$A:$A,RANDBETWEEN(2,COUNTA(Companies!$A:$A)),1)</f>
        <v>2</v>
      </c>
      <c r="B596" s="5">
        <f t="shared" si="109"/>
        <v>595</v>
      </c>
      <c r="C596" s="6">
        <f t="shared" ca="1" si="110"/>
        <v>1</v>
      </c>
      <c r="D596" s="7">
        <f ca="1">IF($B596 = 1 + N("Presidente"),
    127,
    IF($B596 = 2 + N("Vice-Presidente"),
        72,
        IF($B596 = 3 + N("Secretária bilíngue"),
            13,
            RANDBETWEEN(5,COUNT(Name!$A:$A) + 1)
        )
    )
)</f>
        <v>146</v>
      </c>
      <c r="E596" s="7" t="str">
        <f ca="1" xml:space="preserve">
VLOOKUP(
  $D596,
  Name!$A:$B,
  2,
  FALSE
)
&amp; " " &amp;
IF($B596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Francisco Melo Conti</v>
      </c>
      <c r="F596" s="7">
        <v>2</v>
      </c>
      <c r="G596" s="7" cm="1">
        <f t="array" aca="1" ref="G596" ca="1">INDEX(States!$B:$B,RANDBETWEEN(2,COUNTA(States!$A:$A)),1)</f>
        <v>2</v>
      </c>
      <c r="H596" s="7" t="str">
        <f ca="1">VLOOKUP($D596,Name!$A:$C,3,FALSE)</f>
        <v>M</v>
      </c>
      <c r="I596" s="7" cm="1">
        <f t="array" aca="1" ref="I596" ca="1">INDEX('Marital status'!$A:$A,RANDBETWEEN(2,COUNTA('Marital status'!$A:$A)),1)</f>
        <v>4</v>
      </c>
      <c r="J596" s="7">
        <f t="shared" ca="1" si="111"/>
        <v>2</v>
      </c>
      <c r="K596" s="8">
        <f t="shared" ca="1" si="112"/>
        <v>34001</v>
      </c>
      <c r="L596" s="6">
        <f t="shared" ca="1" si="113"/>
        <v>4</v>
      </c>
      <c r="M596" s="7">
        <f ca="1" xml:space="preserve">
  IF(OR($N596 = 2, $N596 = 3, $N596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596" s="6">
        <f t="shared" ca="1" si="114"/>
        <v>7</v>
      </c>
      <c r="O596" s="6" t="e">
        <f t="shared" ca="1" si="115"/>
        <v>#N/A</v>
      </c>
      <c r="P596" s="8">
        <f t="shared" ca="1" si="116"/>
        <v>40327</v>
      </c>
      <c r="Q596" s="6">
        <f ca="1">RANDBETWEEN(2,COUNTA('Recruitment source'!$A:$A))</f>
        <v>9</v>
      </c>
      <c r="R596" s="8" t="e">
        <f t="shared" ca="1" si="117"/>
        <v>#N/A</v>
      </c>
      <c r="S596" s="6" t="e">
        <f t="shared" ca="1" si="118"/>
        <v>#N/A</v>
      </c>
      <c r="T596" s="6">
        <f t="shared" ca="1" si="108"/>
        <v>3</v>
      </c>
      <c r="U596" s="1">
        <f t="shared" ca="1" si="119"/>
        <v>1005</v>
      </c>
    </row>
    <row r="597" spans="1:21" x14ac:dyDescent="0.2">
      <c r="A597" s="7" cm="1">
        <f t="array" aca="1" ref="A597" ca="1">INDEX(Companies!$A:$A,RANDBETWEEN(2,COUNTA(Companies!$A:$A)),1)</f>
        <v>2</v>
      </c>
      <c r="B597" s="5">
        <f t="shared" si="109"/>
        <v>596</v>
      </c>
      <c r="C597" s="6">
        <f t="shared" ca="1" si="110"/>
        <v>1</v>
      </c>
      <c r="D597" s="7">
        <f ca="1">IF($B597 = 1 + N("Presidente"),
    127,
    IF($B597 = 2 + N("Vice-Presidente"),
        72,
        IF($B597 = 3 + N("Secretária bilíngue"),
            13,
            RANDBETWEEN(5,COUNT(Name!$A:$A) + 1)
        )
    )
)</f>
        <v>65</v>
      </c>
      <c r="E597" s="7" t="str">
        <f ca="1" xml:space="preserve">
VLOOKUP(
  $D597,
  Name!$A:$B,
  2,
  FALSE
)
&amp; " " &amp;
IF($B597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Bárbara Barboza Seixas</v>
      </c>
      <c r="F597" s="7">
        <v>2</v>
      </c>
      <c r="G597" s="7" cm="1">
        <f t="array" aca="1" ref="G597" ca="1">INDEX(States!$B:$B,RANDBETWEEN(2,COUNTA(States!$A:$A)),1)</f>
        <v>11</v>
      </c>
      <c r="H597" s="7" t="str">
        <f ca="1">VLOOKUP($D597,Name!$A:$C,3,FALSE)</f>
        <v>F</v>
      </c>
      <c r="I597" s="7" cm="1">
        <f t="array" aca="1" ref="I597" ca="1">INDEX('Marital status'!$A:$A,RANDBETWEEN(2,COUNTA('Marital status'!$A:$A)),1)</f>
        <v>2</v>
      </c>
      <c r="J597" s="7">
        <f t="shared" ca="1" si="111"/>
        <v>2</v>
      </c>
      <c r="K597" s="8">
        <f t="shared" ca="1" si="112"/>
        <v>37856</v>
      </c>
      <c r="L597" s="6">
        <f t="shared" ca="1" si="113"/>
        <v>5</v>
      </c>
      <c r="M597" s="7">
        <f ca="1" xml:space="preserve">
  IF(OR($N597 = 2, $N597 = 3, $N597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597" s="6">
        <f t="shared" ca="1" si="114"/>
        <v>8</v>
      </c>
      <c r="O597" s="6">
        <f t="shared" ca="1" si="115"/>
        <v>3</v>
      </c>
      <c r="P597" s="8">
        <f t="shared" ca="1" si="116"/>
        <v>43906</v>
      </c>
      <c r="Q597" s="6">
        <f ca="1">RANDBETWEEN(2,COUNTA('Recruitment source'!$A:$A))</f>
        <v>8</v>
      </c>
      <c r="R597" s="8" t="e">
        <f t="shared" ca="1" si="117"/>
        <v>#N/A</v>
      </c>
      <c r="S597" s="6" t="e">
        <f t="shared" ca="1" si="118"/>
        <v>#N/A</v>
      </c>
      <c r="T597" s="6">
        <f t="shared" ca="1" si="108"/>
        <v>5</v>
      </c>
      <c r="U597" s="1">
        <f t="shared" ca="1" si="119"/>
        <v>2000</v>
      </c>
    </row>
    <row r="598" spans="1:21" x14ac:dyDescent="0.2">
      <c r="A598" s="7" cm="1">
        <f t="array" aca="1" ref="A598" ca="1">INDEX(Companies!$A:$A,RANDBETWEEN(2,COUNTA(Companies!$A:$A)),1)</f>
        <v>2</v>
      </c>
      <c r="B598" s="5">
        <f t="shared" si="109"/>
        <v>597</v>
      </c>
      <c r="C598" s="6">
        <f t="shared" ca="1" si="110"/>
        <v>1</v>
      </c>
      <c r="D598" s="7">
        <f ca="1">IF($B598 = 1 + N("Presidente"),
    127,
    IF($B598 = 2 + N("Vice-Presidente"),
        72,
        IF($B598 = 3 + N("Secretária bilíngue"),
            13,
            RANDBETWEEN(5,COUNT(Name!$A:$A) + 1)
        )
    )
)</f>
        <v>277</v>
      </c>
      <c r="E598" s="7" t="str">
        <f ca="1" xml:space="preserve">
VLOOKUP(
  $D598,
  Name!$A:$B,
  2,
  FALSE
)
&amp; " " &amp;
IF($B598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Maryah Alves Soares</v>
      </c>
      <c r="F598" s="7">
        <v>2</v>
      </c>
      <c r="G598" s="7" cm="1">
        <f t="array" aca="1" ref="G598" ca="1">INDEX(States!$B:$B,RANDBETWEEN(2,COUNTA(States!$A:$A)),1)</f>
        <v>9</v>
      </c>
      <c r="H598" s="7" t="str">
        <f ca="1">VLOOKUP($D598,Name!$A:$C,3,FALSE)</f>
        <v>F</v>
      </c>
      <c r="I598" s="7" cm="1">
        <f t="array" aca="1" ref="I598" ca="1">INDEX('Marital status'!$A:$A,RANDBETWEEN(2,COUNTA('Marital status'!$A:$A)),1)</f>
        <v>5</v>
      </c>
      <c r="J598" s="7">
        <f t="shared" ca="1" si="111"/>
        <v>2</v>
      </c>
      <c r="K598" s="8">
        <f t="shared" ca="1" si="112"/>
        <v>30630</v>
      </c>
      <c r="L598" s="6">
        <f t="shared" ca="1" si="113"/>
        <v>4</v>
      </c>
      <c r="M598" s="7">
        <f ca="1" xml:space="preserve">
  IF(OR($N598 = 2, $N598 = 3, $N598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598" s="6">
        <f t="shared" ca="1" si="114"/>
        <v>7</v>
      </c>
      <c r="O598" s="6" t="e">
        <f t="shared" ca="1" si="115"/>
        <v>#N/A</v>
      </c>
      <c r="P598" s="8">
        <f t="shared" ca="1" si="116"/>
        <v>36568</v>
      </c>
      <c r="Q598" s="6">
        <f ca="1">RANDBETWEEN(2,COUNTA('Recruitment source'!$A:$A))</f>
        <v>4</v>
      </c>
      <c r="R598" s="8" t="e">
        <f t="shared" ca="1" si="117"/>
        <v>#N/A</v>
      </c>
      <c r="S598" s="6" t="e">
        <f t="shared" ca="1" si="118"/>
        <v>#N/A</v>
      </c>
      <c r="T598" s="6">
        <f t="shared" ca="1" si="108"/>
        <v>5</v>
      </c>
      <c r="U598" s="1">
        <f t="shared" ca="1" si="119"/>
        <v>1005</v>
      </c>
    </row>
    <row r="599" spans="1:21" x14ac:dyDescent="0.2">
      <c r="A599" s="7" cm="1">
        <f t="array" aca="1" ref="A599" ca="1">INDEX(Companies!$A:$A,RANDBETWEEN(2,COUNTA(Companies!$A:$A)),1)</f>
        <v>2</v>
      </c>
      <c r="B599" s="5">
        <f t="shared" si="109"/>
        <v>598</v>
      </c>
      <c r="C599" s="6">
        <f t="shared" ca="1" si="110"/>
        <v>1</v>
      </c>
      <c r="D599" s="7">
        <f ca="1">IF($B599 = 1 + N("Presidente"),
    127,
    IF($B599 = 2 + N("Vice-Presidente"),
        72,
        IF($B599 = 3 + N("Secretária bilíngue"),
            13,
            RANDBETWEEN(5,COUNT(Name!$A:$A) + 1)
        )
    )
)</f>
        <v>205</v>
      </c>
      <c r="E599" s="7" t="str">
        <f ca="1" xml:space="preserve">
VLOOKUP(
  $D599,
  Name!$A:$B,
  2,
  FALSE
)
&amp; " " &amp;
IF($B599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Kaique Barboza Longo</v>
      </c>
      <c r="F599" s="7">
        <v>2</v>
      </c>
      <c r="G599" s="7" cm="1">
        <f t="array" aca="1" ref="G599" ca="1">INDEX(States!$B:$B,RANDBETWEEN(2,COUNTA(States!$A:$A)),1)</f>
        <v>13</v>
      </c>
      <c r="H599" s="7" t="str">
        <f ca="1">VLOOKUP($D599,Name!$A:$C,3,FALSE)</f>
        <v>M</v>
      </c>
      <c r="I599" s="7" cm="1">
        <f t="array" aca="1" ref="I599" ca="1">INDEX('Marital status'!$A:$A,RANDBETWEEN(2,COUNTA('Marital status'!$A:$A)),1)</f>
        <v>3</v>
      </c>
      <c r="J599" s="7">
        <f t="shared" ca="1" si="111"/>
        <v>2</v>
      </c>
      <c r="K599" s="8">
        <f t="shared" ca="1" si="112"/>
        <v>35981</v>
      </c>
      <c r="L599" s="6">
        <f t="shared" ca="1" si="113"/>
        <v>5</v>
      </c>
      <c r="M599" s="7">
        <f ca="1" xml:space="preserve">
  IF(OR($N599 = 2, $N599 = 3, $N599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599" s="6">
        <f t="shared" ca="1" si="114"/>
        <v>8</v>
      </c>
      <c r="O599" s="6">
        <f t="shared" ca="1" si="115"/>
        <v>4</v>
      </c>
      <c r="P599" s="8">
        <f t="shared" ca="1" si="116"/>
        <v>39387</v>
      </c>
      <c r="Q599" s="6">
        <f ca="1">RANDBETWEEN(2,COUNTA('Recruitment source'!$A:$A))</f>
        <v>3</v>
      </c>
      <c r="R599" s="8" t="e">
        <f t="shared" ca="1" si="117"/>
        <v>#N/A</v>
      </c>
      <c r="S599" s="6" t="e">
        <f t="shared" ca="1" si="118"/>
        <v>#N/A</v>
      </c>
      <c r="T599" s="6">
        <f t="shared" ca="1" si="108"/>
        <v>2</v>
      </c>
      <c r="U599" s="1">
        <f t="shared" ca="1" si="119"/>
        <v>2080</v>
      </c>
    </row>
    <row r="600" spans="1:21" x14ac:dyDescent="0.2">
      <c r="A600" s="7" cm="1">
        <f t="array" aca="1" ref="A600" ca="1">INDEX(Companies!$A:$A,RANDBETWEEN(2,COUNTA(Companies!$A:$A)),1)</f>
        <v>2</v>
      </c>
      <c r="B600" s="5">
        <f t="shared" si="109"/>
        <v>599</v>
      </c>
      <c r="C600" s="6">
        <f t="shared" ca="1" si="110"/>
        <v>1</v>
      </c>
      <c r="D600" s="7">
        <f ca="1">IF($B600 = 1 + N("Presidente"),
    127,
    IF($B600 = 2 + N("Vice-Presidente"),
        72,
        IF($B600 = 3 + N("Secretária bilíngue"),
            13,
            RANDBETWEEN(5,COUNT(Name!$A:$A) + 1)
        )
    )
)</f>
        <v>316</v>
      </c>
      <c r="E600" s="7" t="str">
        <f ca="1" xml:space="preserve">
VLOOKUP(
  $D600,
  Name!$A:$B,
  2,
  FALSE
)
&amp; " " &amp;
IF($B600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Fernandes Bactista</v>
      </c>
      <c r="F600" s="7">
        <v>2</v>
      </c>
      <c r="G600" s="7" cm="1">
        <f t="array" aca="1" ref="G600" ca="1">INDEX(States!$B:$B,RANDBETWEEN(2,COUNTA(States!$A:$A)),1)</f>
        <v>13</v>
      </c>
      <c r="H600" s="7" t="str">
        <f ca="1">VLOOKUP($D600,Name!$A:$C,3,FALSE)</f>
        <v>M</v>
      </c>
      <c r="I600" s="7" cm="1">
        <f t="array" aca="1" ref="I600" ca="1">INDEX('Marital status'!$A:$A,RANDBETWEEN(2,COUNTA('Marital status'!$A:$A)),1)</f>
        <v>6</v>
      </c>
      <c r="J600" s="7">
        <f t="shared" ca="1" si="111"/>
        <v>2</v>
      </c>
      <c r="K600" s="8">
        <f t="shared" ca="1" si="112"/>
        <v>26180</v>
      </c>
      <c r="L600" s="6">
        <f t="shared" ca="1" si="113"/>
        <v>4</v>
      </c>
      <c r="M600" s="7">
        <f ca="1" xml:space="preserve">
  IF(OR($N600 = 2, $N600 = 3, $N600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600" s="6">
        <f t="shared" ca="1" si="114"/>
        <v>6</v>
      </c>
      <c r="O600" s="6" t="e">
        <f t="shared" ca="1" si="115"/>
        <v>#N/A</v>
      </c>
      <c r="P600" s="8">
        <f t="shared" ca="1" si="116"/>
        <v>43133</v>
      </c>
      <c r="Q600" s="6">
        <f ca="1">RANDBETWEEN(2,COUNTA('Recruitment source'!$A:$A))</f>
        <v>10</v>
      </c>
      <c r="R600" s="8" t="e">
        <f t="shared" ca="1" si="117"/>
        <v>#N/A</v>
      </c>
      <c r="S600" s="6" t="e">
        <f t="shared" ca="1" si="118"/>
        <v>#N/A</v>
      </c>
      <c r="T600" s="6">
        <f t="shared" ca="1" si="108"/>
        <v>2</v>
      </c>
      <c r="U600" s="1">
        <f t="shared" ca="1" si="119"/>
        <v>805</v>
      </c>
    </row>
    <row r="601" spans="1:21" x14ac:dyDescent="0.2">
      <c r="A601" s="7" cm="1">
        <f t="array" aca="1" ref="A601" ca="1">INDEX(Companies!$A:$A,RANDBETWEEN(2,COUNTA(Companies!$A:$A)),1)</f>
        <v>2</v>
      </c>
      <c r="B601" s="5">
        <f t="shared" si="109"/>
        <v>600</v>
      </c>
      <c r="C601" s="6">
        <f t="shared" ca="1" si="110"/>
        <v>1</v>
      </c>
      <c r="D601" s="7">
        <f ca="1">IF($B601 = 1 + N("Presidente"),
    127,
    IF($B601 = 2 + N("Vice-Presidente"),
        72,
        IF($B601 = 3 + N("Secretária bilíngue"),
            13,
            RANDBETWEEN(5,COUNT(Name!$A:$A) + 1)
        )
    )
)</f>
        <v>86</v>
      </c>
      <c r="E601" s="7" t="str">
        <f ca="1" xml:space="preserve">
VLOOKUP(
  $D601,
  Name!$A:$B,
  2,
  FALSE
)
&amp; " " &amp;
IF($B601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Carolina Ferreira Fernandes</v>
      </c>
      <c r="F601" s="7">
        <v>2</v>
      </c>
      <c r="G601" s="7" cm="1">
        <f t="array" aca="1" ref="G601" ca="1">INDEX(States!$B:$B,RANDBETWEEN(2,COUNTA(States!$A:$A)),1)</f>
        <v>18</v>
      </c>
      <c r="H601" s="7" t="str">
        <f ca="1">VLOOKUP($D601,Name!$A:$C,3,FALSE)</f>
        <v>F</v>
      </c>
      <c r="I601" s="7" cm="1">
        <f t="array" aca="1" ref="I601" ca="1">INDEX('Marital status'!$A:$A,RANDBETWEEN(2,COUNTA('Marital status'!$A:$A)),1)</f>
        <v>5</v>
      </c>
      <c r="J601" s="7">
        <f t="shared" ca="1" si="111"/>
        <v>2</v>
      </c>
      <c r="K601" s="8">
        <f t="shared" ca="1" si="112"/>
        <v>35204</v>
      </c>
      <c r="L601" s="6">
        <f t="shared" ca="1" si="113"/>
        <v>4</v>
      </c>
      <c r="M601" s="7">
        <f ca="1" xml:space="preserve">
  IF(OR($N601 = 2, $N601 = 3, $N601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601" s="6">
        <f t="shared" ca="1" si="114"/>
        <v>8</v>
      </c>
      <c r="O601" s="6">
        <f t="shared" ca="1" si="115"/>
        <v>4</v>
      </c>
      <c r="P601" s="8">
        <f t="shared" ca="1" si="116"/>
        <v>41704</v>
      </c>
      <c r="Q601" s="6">
        <f ca="1">RANDBETWEEN(2,COUNTA('Recruitment source'!$A:$A))</f>
        <v>3</v>
      </c>
      <c r="R601" s="8" t="e">
        <f t="shared" ca="1" si="117"/>
        <v>#N/A</v>
      </c>
      <c r="S601" s="6" t="e">
        <f t="shared" ca="1" si="118"/>
        <v>#N/A</v>
      </c>
      <c r="T601" s="6">
        <f t="shared" ca="1" si="108"/>
        <v>5</v>
      </c>
      <c r="U601" s="1">
        <f t="shared" ca="1" si="119"/>
        <v>2000</v>
      </c>
    </row>
    <row r="602" spans="1:21" x14ac:dyDescent="0.2">
      <c r="A602" s="7" cm="1">
        <f t="array" aca="1" ref="A602" ca="1">INDEX(Companies!$A:$A,RANDBETWEEN(2,COUNTA(Companies!$A:$A)),1)</f>
        <v>2</v>
      </c>
      <c r="B602" s="5">
        <f t="shared" si="109"/>
        <v>601</v>
      </c>
      <c r="C602" s="6">
        <f t="shared" ca="1" si="110"/>
        <v>1</v>
      </c>
      <c r="D602" s="7">
        <f ca="1">IF($B602 = 1 + N("Presidente"),
    127,
    IF($B602 = 2 + N("Vice-Presidente"),
        72,
        IF($B602 = 3 + N("Secretária bilíngue"),
            13,
            RANDBETWEEN(5,COUNT(Name!$A:$A) + 1)
        )
    )
)</f>
        <v>82</v>
      </c>
      <c r="E602" s="7" t="str">
        <f ca="1" xml:space="preserve">
VLOOKUP(
  $D602,
  Name!$A:$B,
  2,
  FALSE
)
&amp; " " &amp;
IF($B602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Caleb Bermudes Pasquim</v>
      </c>
      <c r="F602" s="7">
        <v>2</v>
      </c>
      <c r="G602" s="7" cm="1">
        <f t="array" aca="1" ref="G602" ca="1">INDEX(States!$B:$B,RANDBETWEEN(2,COUNTA(States!$A:$A)),1)</f>
        <v>12</v>
      </c>
      <c r="H602" s="7" t="str">
        <f ca="1">VLOOKUP($D602,Name!$A:$C,3,FALSE)</f>
        <v>M</v>
      </c>
      <c r="I602" s="7" cm="1">
        <f t="array" aca="1" ref="I602" ca="1">INDEX('Marital status'!$A:$A,RANDBETWEEN(2,COUNTA('Marital status'!$A:$A)),1)</f>
        <v>5</v>
      </c>
      <c r="J602" s="7">
        <f t="shared" ca="1" si="111"/>
        <v>3</v>
      </c>
      <c r="K602" s="8">
        <f t="shared" ca="1" si="112"/>
        <v>28543</v>
      </c>
      <c r="L602" s="6">
        <f t="shared" ca="1" si="113"/>
        <v>4</v>
      </c>
      <c r="M602" s="7">
        <f ca="1" xml:space="preserve">
  IF(OR($N602 = 2, $N602 = 3, $N602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602" s="6">
        <f t="shared" ca="1" si="114"/>
        <v>6</v>
      </c>
      <c r="O602" s="6" t="e">
        <f t="shared" ca="1" si="115"/>
        <v>#N/A</v>
      </c>
      <c r="P602" s="8">
        <f t="shared" ca="1" si="116"/>
        <v>38349</v>
      </c>
      <c r="Q602" s="6">
        <f ca="1">RANDBETWEEN(2,COUNTA('Recruitment source'!$A:$A))</f>
        <v>8</v>
      </c>
      <c r="R602" s="8" t="e">
        <f t="shared" ca="1" si="117"/>
        <v>#N/A</v>
      </c>
      <c r="S602" s="6" t="e">
        <f t="shared" ca="1" si="118"/>
        <v>#N/A</v>
      </c>
      <c r="T602" s="6">
        <f t="shared" ca="1" si="108"/>
        <v>2</v>
      </c>
      <c r="U602" s="1">
        <f t="shared" ca="1" si="119"/>
        <v>885</v>
      </c>
    </row>
    <row r="603" spans="1:21" x14ac:dyDescent="0.2">
      <c r="A603" s="7" cm="1">
        <f t="array" aca="1" ref="A603" ca="1">INDEX(Companies!$A:$A,RANDBETWEEN(2,COUNTA(Companies!$A:$A)),1)</f>
        <v>2</v>
      </c>
      <c r="B603" s="5">
        <f t="shared" si="109"/>
        <v>602</v>
      </c>
      <c r="C603" s="6">
        <f t="shared" ca="1" si="110"/>
        <v>1</v>
      </c>
      <c r="D603" s="7">
        <f ca="1">IF($B603 = 1 + N("Presidente"),
    127,
    IF($B603 = 2 + N("Vice-Presidente"),
        72,
        IF($B603 = 3 + N("Secretária bilíngue"),
            13,
            RANDBETWEEN(5,COUNT(Name!$A:$A) + 1)
        )
    )
)</f>
        <v>197</v>
      </c>
      <c r="E603" s="7" t="str">
        <f ca="1" xml:space="preserve">
VLOOKUP(
  $D603,
  Name!$A:$B,
  2,
  FALSE
)
&amp; " " &amp;
IF($B603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Abranches de Oliveira</v>
      </c>
      <c r="F603" s="7">
        <v>2</v>
      </c>
      <c r="G603" s="7" cm="1">
        <f t="array" aca="1" ref="G603" ca="1">INDEX(States!$B:$B,RANDBETWEEN(2,COUNTA(States!$A:$A)),1)</f>
        <v>9</v>
      </c>
      <c r="H603" s="7" t="str">
        <f ca="1">VLOOKUP($D603,Name!$A:$C,3,FALSE)</f>
        <v>M</v>
      </c>
      <c r="I603" s="7" cm="1">
        <f t="array" aca="1" ref="I603" ca="1">INDEX('Marital status'!$A:$A,RANDBETWEEN(2,COUNTA('Marital status'!$A:$A)),1)</f>
        <v>4</v>
      </c>
      <c r="J603" s="7">
        <f t="shared" ca="1" si="111"/>
        <v>2</v>
      </c>
      <c r="K603" s="8">
        <f t="shared" ca="1" si="112"/>
        <v>35287</v>
      </c>
      <c r="L603" s="6">
        <f t="shared" ca="1" si="113"/>
        <v>5</v>
      </c>
      <c r="M603" s="7">
        <f ca="1" xml:space="preserve">
  IF(OR($N603 = 2, $N603 = 3, $N603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603" s="6">
        <f t="shared" ca="1" si="114"/>
        <v>8</v>
      </c>
      <c r="O603" s="6">
        <f t="shared" ca="1" si="115"/>
        <v>3</v>
      </c>
      <c r="P603" s="8">
        <f t="shared" ca="1" si="116"/>
        <v>38815</v>
      </c>
      <c r="Q603" s="6">
        <f ca="1">RANDBETWEEN(2,COUNTA('Recruitment source'!$A:$A))</f>
        <v>6</v>
      </c>
      <c r="R603" s="8" t="e">
        <f t="shared" ca="1" si="117"/>
        <v>#N/A</v>
      </c>
      <c r="S603" s="6" t="e">
        <f t="shared" ca="1" si="118"/>
        <v>#N/A</v>
      </c>
      <c r="T603" s="6">
        <f t="shared" ca="1" si="108"/>
        <v>4</v>
      </c>
      <c r="U603" s="1">
        <f t="shared" ca="1" si="119"/>
        <v>2080</v>
      </c>
    </row>
    <row r="604" spans="1:21" x14ac:dyDescent="0.2">
      <c r="A604" s="7" cm="1">
        <f t="array" aca="1" ref="A604" ca="1">INDEX(Companies!$A:$A,RANDBETWEEN(2,COUNTA(Companies!$A:$A)),1)</f>
        <v>2</v>
      </c>
      <c r="B604" s="5">
        <f t="shared" si="109"/>
        <v>603</v>
      </c>
      <c r="C604" s="6">
        <f t="shared" ca="1" si="110"/>
        <v>1</v>
      </c>
      <c r="D604" s="7">
        <f ca="1">IF($B604 = 1 + N("Presidente"),
    127,
    IF($B604 = 2 + N("Vice-Presidente"),
        72,
        IF($B604 = 3 + N("Secretária bilíngue"),
            13,
            RANDBETWEEN(5,COUNT(Name!$A:$A) + 1)
        )
    )
)</f>
        <v>302</v>
      </c>
      <c r="E604" s="7" t="str">
        <f ca="1" xml:space="preserve">
VLOOKUP(
  $D604,
  Name!$A:$B,
  2,
  FALSE
)
&amp; " " &amp;
IF($B604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Natália de Oliveira Aleluia</v>
      </c>
      <c r="F604" s="7">
        <v>2</v>
      </c>
      <c r="G604" s="7" cm="1">
        <f t="array" aca="1" ref="G604" ca="1">INDEX(States!$B:$B,RANDBETWEEN(2,COUNTA(States!$A:$A)),1)</f>
        <v>9</v>
      </c>
      <c r="H604" s="7" t="str">
        <f ca="1">VLOOKUP($D604,Name!$A:$C,3,FALSE)</f>
        <v>F</v>
      </c>
      <c r="I604" s="7" cm="1">
        <f t="array" aca="1" ref="I604" ca="1">INDEX('Marital status'!$A:$A,RANDBETWEEN(2,COUNTA('Marital status'!$A:$A)),1)</f>
        <v>6</v>
      </c>
      <c r="J604" s="7">
        <f t="shared" ca="1" si="111"/>
        <v>2</v>
      </c>
      <c r="K604" s="8">
        <f t="shared" ca="1" si="112"/>
        <v>31558</v>
      </c>
      <c r="L604" s="6">
        <f t="shared" ca="1" si="113"/>
        <v>4</v>
      </c>
      <c r="M604" s="7">
        <f ca="1" xml:space="preserve">
  IF(OR($N604 = 2, $N604 = 3, $N604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604" s="6">
        <f t="shared" ca="1" si="114"/>
        <v>6</v>
      </c>
      <c r="O604" s="6" t="e">
        <f t="shared" ca="1" si="115"/>
        <v>#N/A</v>
      </c>
      <c r="P604" s="8">
        <f t="shared" ca="1" si="116"/>
        <v>37124</v>
      </c>
      <c r="Q604" s="6">
        <f ca="1">RANDBETWEEN(2,COUNTA('Recruitment source'!$A:$A))</f>
        <v>10</v>
      </c>
      <c r="R604" s="8" t="e">
        <f t="shared" ca="1" si="117"/>
        <v>#N/A</v>
      </c>
      <c r="S604" s="6" t="e">
        <f t="shared" ca="1" si="118"/>
        <v>#N/A</v>
      </c>
      <c r="T604" s="6">
        <f t="shared" ca="1" si="108"/>
        <v>5</v>
      </c>
      <c r="U604" s="1">
        <f t="shared" ca="1" si="119"/>
        <v>885</v>
      </c>
    </row>
    <row r="605" spans="1:21" x14ac:dyDescent="0.2">
      <c r="A605" s="7" cm="1">
        <f t="array" aca="1" ref="A605" ca="1">INDEX(Companies!$A:$A,RANDBETWEEN(2,COUNTA(Companies!$A:$A)),1)</f>
        <v>2</v>
      </c>
      <c r="B605" s="5">
        <f t="shared" si="109"/>
        <v>604</v>
      </c>
      <c r="C605" s="6">
        <f t="shared" ca="1" si="110"/>
        <v>1</v>
      </c>
      <c r="D605" s="7">
        <f ca="1">IF($B605 = 1 + N("Presidente"),
    127,
    IF($B605 = 2 + N("Vice-Presidente"),
        72,
        IF($B605 = 3 + N("Secretária bilíngue"),
            13,
            RANDBETWEEN(5,COUNT(Name!$A:$A) + 1)
        )
    )
)</f>
        <v>131</v>
      </c>
      <c r="E605" s="7" t="str">
        <f ca="1" xml:space="preserve">
VLOOKUP(
  $D605,
  Name!$A:$B,
  2,
  FALSE
)
&amp; " " &amp;
IF($B605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Erick Abranches de Oliveira</v>
      </c>
      <c r="F605" s="7">
        <v>2</v>
      </c>
      <c r="G605" s="7" cm="1">
        <f t="array" aca="1" ref="G605" ca="1">INDEX(States!$B:$B,RANDBETWEEN(2,COUNTA(States!$A:$A)),1)</f>
        <v>7</v>
      </c>
      <c r="H605" s="7" t="str">
        <f ca="1">VLOOKUP($D605,Name!$A:$C,3,FALSE)</f>
        <v>M</v>
      </c>
      <c r="I605" s="7" cm="1">
        <f t="array" aca="1" ref="I605" ca="1">INDEX('Marital status'!$A:$A,RANDBETWEEN(2,COUNTA('Marital status'!$A:$A)),1)</f>
        <v>4</v>
      </c>
      <c r="J605" s="7">
        <f t="shared" ca="1" si="111"/>
        <v>4</v>
      </c>
      <c r="K605" s="8">
        <f t="shared" ca="1" si="112"/>
        <v>33495</v>
      </c>
      <c r="L605" s="6">
        <f t="shared" ca="1" si="113"/>
        <v>4</v>
      </c>
      <c r="M605" s="7">
        <f ca="1" xml:space="preserve">
  IF(OR($N605 = 2, $N605 = 3, $N605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605" s="6">
        <f t="shared" ca="1" si="114"/>
        <v>8</v>
      </c>
      <c r="O605" s="6">
        <f t="shared" ca="1" si="115"/>
        <v>2</v>
      </c>
      <c r="P605" s="8">
        <f t="shared" ca="1" si="116"/>
        <v>38729</v>
      </c>
      <c r="Q605" s="6">
        <f ca="1">RANDBETWEEN(2,COUNTA('Recruitment source'!$A:$A))</f>
        <v>10</v>
      </c>
      <c r="R605" s="8" t="e">
        <f t="shared" ca="1" si="117"/>
        <v>#N/A</v>
      </c>
      <c r="S605" s="6" t="e">
        <f t="shared" ca="1" si="118"/>
        <v>#N/A</v>
      </c>
      <c r="T605" s="6">
        <f t="shared" ca="1" si="108"/>
        <v>3</v>
      </c>
      <c r="U605" s="1">
        <f t="shared" ca="1" si="119"/>
        <v>2000</v>
      </c>
    </row>
    <row r="606" spans="1:21" x14ac:dyDescent="0.2">
      <c r="A606" s="7" cm="1">
        <f t="array" aca="1" ref="A606" ca="1">INDEX(Companies!$A:$A,RANDBETWEEN(2,COUNTA(Companies!$A:$A)),1)</f>
        <v>2</v>
      </c>
      <c r="B606" s="5">
        <f t="shared" si="109"/>
        <v>605</v>
      </c>
      <c r="C606" s="6">
        <f t="shared" ca="1" si="110"/>
        <v>1</v>
      </c>
      <c r="D606" s="7">
        <f ca="1">IF($B606 = 1 + N("Presidente"),
    127,
    IF($B606 = 2 + N("Vice-Presidente"),
        72,
        IF($B606 = 3 + N("Secretária bilíngue"),
            13,
            RANDBETWEEN(5,COUNT(Name!$A:$A) + 1)
        )
    )
)</f>
        <v>68</v>
      </c>
      <c r="E606" s="7" t="str">
        <f ca="1" xml:space="preserve">
VLOOKUP(
  $D606,
  Name!$A:$B,
  2,
  FALSE
)
&amp; " " &amp;
IF($B606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Benício Sousa Galli</v>
      </c>
      <c r="F606" s="7">
        <v>2</v>
      </c>
      <c r="G606" s="7" cm="1">
        <f t="array" aca="1" ref="G606" ca="1">INDEX(States!$B:$B,RANDBETWEEN(2,COUNTA(States!$A:$A)),1)</f>
        <v>21</v>
      </c>
      <c r="H606" s="7" t="str">
        <f ca="1">VLOOKUP($D606,Name!$A:$C,3,FALSE)</f>
        <v>M</v>
      </c>
      <c r="I606" s="7" cm="1">
        <f t="array" aca="1" ref="I606" ca="1">INDEX('Marital status'!$A:$A,RANDBETWEEN(2,COUNTA('Marital status'!$A:$A)),1)</f>
        <v>4</v>
      </c>
      <c r="J606" s="7">
        <f t="shared" ca="1" si="111"/>
        <v>2</v>
      </c>
      <c r="K606" s="8">
        <f t="shared" ca="1" si="112"/>
        <v>30546</v>
      </c>
      <c r="L606" s="6">
        <f t="shared" ca="1" si="113"/>
        <v>4</v>
      </c>
      <c r="M606" s="7">
        <f ca="1" xml:space="preserve">
  IF(OR($N606 = 2, $N606 = 3, $N606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606" s="6">
        <f t="shared" ca="1" si="114"/>
        <v>7</v>
      </c>
      <c r="O606" s="6" t="e">
        <f t="shared" ca="1" si="115"/>
        <v>#N/A</v>
      </c>
      <c r="P606" s="8">
        <f t="shared" ca="1" si="116"/>
        <v>38215</v>
      </c>
      <c r="Q606" s="6">
        <f ca="1">RANDBETWEEN(2,COUNTA('Recruitment source'!$A:$A))</f>
        <v>4</v>
      </c>
      <c r="R606" s="8" t="e">
        <f t="shared" ca="1" si="117"/>
        <v>#N/A</v>
      </c>
      <c r="S606" s="6" t="e">
        <f t="shared" ca="1" si="118"/>
        <v>#N/A</v>
      </c>
      <c r="T606" s="6">
        <f t="shared" ca="1" si="108"/>
        <v>4</v>
      </c>
      <c r="U606" s="1">
        <f t="shared" ca="1" si="119"/>
        <v>1005</v>
      </c>
    </row>
    <row r="607" spans="1:21" x14ac:dyDescent="0.2">
      <c r="A607" s="7" cm="1">
        <f t="array" aca="1" ref="A607" ca="1">INDEX(Companies!$A:$A,RANDBETWEEN(2,COUNTA(Companies!$A:$A)),1)</f>
        <v>2</v>
      </c>
      <c r="B607" s="5">
        <f t="shared" si="109"/>
        <v>606</v>
      </c>
      <c r="C607" s="6">
        <f t="shared" ca="1" si="110"/>
        <v>1</v>
      </c>
      <c r="D607" s="7">
        <f ca="1">IF($B607 = 1 + N("Presidente"),
    127,
    IF($B607 = 2 + N("Vice-Presidente"),
        72,
        IF($B607 = 3 + N("Secretária bilíngue"),
            13,
            RANDBETWEEN(5,COUNT(Name!$A:$A) + 1)
        )
    )
)</f>
        <v>22</v>
      </c>
      <c r="E607" s="7" t="str">
        <f ca="1" xml:space="preserve">
VLOOKUP(
  $D607,
  Name!$A:$B,
  2,
  FALSE
)
&amp; " " &amp;
IF($B607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Álvaro Faria Leite</v>
      </c>
      <c r="F607" s="7">
        <v>2</v>
      </c>
      <c r="G607" s="7" cm="1">
        <f t="array" aca="1" ref="G607" ca="1">INDEX(States!$B:$B,RANDBETWEEN(2,COUNTA(States!$A:$A)),1)</f>
        <v>12</v>
      </c>
      <c r="H607" s="7" t="str">
        <f ca="1">VLOOKUP($D607,Name!$A:$C,3,FALSE)</f>
        <v>M</v>
      </c>
      <c r="I607" s="7" cm="1">
        <f t="array" aca="1" ref="I607" ca="1">INDEX('Marital status'!$A:$A,RANDBETWEEN(2,COUNTA('Marital status'!$A:$A)),1)</f>
        <v>6</v>
      </c>
      <c r="J607" s="7">
        <f t="shared" ca="1" si="111"/>
        <v>2</v>
      </c>
      <c r="K607" s="8">
        <f t="shared" ca="1" si="112"/>
        <v>37746</v>
      </c>
      <c r="L607" s="6">
        <f t="shared" ca="1" si="113"/>
        <v>5</v>
      </c>
      <c r="M607" s="7">
        <f ca="1" xml:space="preserve">
  IF(OR($N607 = 2, $N607 = 3, $N607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607" s="6">
        <f t="shared" ca="1" si="114"/>
        <v>8</v>
      </c>
      <c r="O607" s="6">
        <f t="shared" ca="1" si="115"/>
        <v>3</v>
      </c>
      <c r="P607" s="8">
        <f t="shared" ca="1" si="116"/>
        <v>39535</v>
      </c>
      <c r="Q607" s="6">
        <f ca="1">RANDBETWEEN(2,COUNTA('Recruitment source'!$A:$A))</f>
        <v>12</v>
      </c>
      <c r="R607" s="8" t="e">
        <f t="shared" ca="1" si="117"/>
        <v>#N/A</v>
      </c>
      <c r="S607" s="6" t="e">
        <f t="shared" ca="1" si="118"/>
        <v>#N/A</v>
      </c>
      <c r="T607" s="6">
        <f t="shared" ca="1" si="108"/>
        <v>5</v>
      </c>
      <c r="U607" s="1">
        <f t="shared" ca="1" si="119"/>
        <v>2080</v>
      </c>
    </row>
    <row r="608" spans="1:21" x14ac:dyDescent="0.2">
      <c r="A608" s="7" cm="1">
        <f t="array" aca="1" ref="A608" ca="1">INDEX(Companies!$A:$A,RANDBETWEEN(2,COUNTA(Companies!$A:$A)),1)</f>
        <v>2</v>
      </c>
      <c r="B608" s="5">
        <f t="shared" si="109"/>
        <v>607</v>
      </c>
      <c r="C608" s="6">
        <f t="shared" ca="1" si="110"/>
        <v>1</v>
      </c>
      <c r="D608" s="7">
        <f ca="1">IF($B608 = 1 + N("Presidente"),
    127,
    IF($B608 = 2 + N("Vice-Presidente"),
        72,
        IF($B608 = 3 + N("Secretária bilíngue"),
            13,
            RANDBETWEEN(5,COUNT(Name!$A:$A) + 1)
        )
    )
)</f>
        <v>171</v>
      </c>
      <c r="E608" s="7" t="str">
        <f ca="1" xml:space="preserve">
VLOOKUP(
  $D608,
  Name!$A:$B,
  2,
  FALSE
)
&amp; " " &amp;
IF($B608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Íris Saragoça dos Santos</v>
      </c>
      <c r="F608" s="7">
        <v>2</v>
      </c>
      <c r="G608" s="7" cm="1">
        <f t="array" aca="1" ref="G608" ca="1">INDEX(States!$B:$B,RANDBETWEEN(2,COUNTA(States!$A:$A)),1)</f>
        <v>16</v>
      </c>
      <c r="H608" s="7" t="str">
        <f ca="1">VLOOKUP($D608,Name!$A:$C,3,FALSE)</f>
        <v>F</v>
      </c>
      <c r="I608" s="7" cm="1">
        <f t="array" aca="1" ref="I608" ca="1">INDEX('Marital status'!$A:$A,RANDBETWEEN(2,COUNTA('Marital status'!$A:$A)),1)</f>
        <v>6</v>
      </c>
      <c r="J608" s="7">
        <f t="shared" ca="1" si="111"/>
        <v>5</v>
      </c>
      <c r="K608" s="8">
        <f t="shared" ca="1" si="112"/>
        <v>19784</v>
      </c>
      <c r="L608" s="6">
        <f t="shared" ca="1" si="113"/>
        <v>4</v>
      </c>
      <c r="M608" s="7">
        <f ca="1" xml:space="preserve">
  IF(OR($N608 = 2, $N608 = 3, $N608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608" s="6">
        <f t="shared" ca="1" si="114"/>
        <v>6</v>
      </c>
      <c r="O608" s="6" t="e">
        <f t="shared" ca="1" si="115"/>
        <v>#N/A</v>
      </c>
      <c r="P608" s="8">
        <f t="shared" ca="1" si="116"/>
        <v>40555</v>
      </c>
      <c r="Q608" s="6">
        <f ca="1">RANDBETWEEN(2,COUNTA('Recruitment source'!$A:$A))</f>
        <v>3</v>
      </c>
      <c r="R608" s="8" t="e">
        <f t="shared" ca="1" si="117"/>
        <v>#N/A</v>
      </c>
      <c r="S608" s="6" t="e">
        <f t="shared" ca="1" si="118"/>
        <v>#N/A</v>
      </c>
      <c r="T608" s="6">
        <f t="shared" ca="1" si="108"/>
        <v>5</v>
      </c>
      <c r="U608" s="1">
        <f t="shared" ca="1" si="119"/>
        <v>805</v>
      </c>
    </row>
    <row r="609" spans="1:21" x14ac:dyDescent="0.2">
      <c r="A609" s="7" cm="1">
        <f t="array" aca="1" ref="A609" ca="1">INDEX(Companies!$A:$A,RANDBETWEEN(2,COUNTA(Companies!$A:$A)),1)</f>
        <v>2</v>
      </c>
      <c r="B609" s="5">
        <f t="shared" si="109"/>
        <v>608</v>
      </c>
      <c r="C609" s="6">
        <f t="shared" ca="1" si="110"/>
        <v>1</v>
      </c>
      <c r="D609" s="7">
        <f ca="1">IF($B609 = 1 + N("Presidente"),
    127,
    IF($B609 = 2 + N("Vice-Presidente"),
        72,
        IF($B609 = 3 + N("Secretária bilíngue"),
            13,
            RANDBETWEEN(5,COUNT(Name!$A:$A) + 1)
        )
    )
)</f>
        <v>167</v>
      </c>
      <c r="E609" s="7" t="str">
        <f ca="1" xml:space="preserve">
VLOOKUP(
  $D609,
  Name!$A:$B,
  2,
  FALSE
)
&amp; " " &amp;
IF($B609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Henrique Vieira Trindade</v>
      </c>
      <c r="F609" s="7">
        <v>2</v>
      </c>
      <c r="G609" s="7" cm="1">
        <f t="array" aca="1" ref="G609" ca="1">INDEX(States!$B:$B,RANDBETWEEN(2,COUNTA(States!$A:$A)),1)</f>
        <v>5</v>
      </c>
      <c r="H609" s="7" t="str">
        <f ca="1">VLOOKUP($D609,Name!$A:$C,3,FALSE)</f>
        <v>M</v>
      </c>
      <c r="I609" s="7" cm="1">
        <f t="array" aca="1" ref="I609" ca="1">INDEX('Marital status'!$A:$A,RANDBETWEEN(2,COUNTA('Marital status'!$A:$A)),1)</f>
        <v>5</v>
      </c>
      <c r="J609" s="7">
        <f t="shared" ca="1" si="111"/>
        <v>3</v>
      </c>
      <c r="K609" s="8">
        <f t="shared" ca="1" si="112"/>
        <v>34673</v>
      </c>
      <c r="L609" s="6">
        <f t="shared" ca="1" si="113"/>
        <v>5</v>
      </c>
      <c r="M609" s="7">
        <f ca="1" xml:space="preserve">
  IF(OR($N609 = 2, $N609 = 3, $N609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609" s="6">
        <f t="shared" ca="1" si="114"/>
        <v>8</v>
      </c>
      <c r="O609" s="6">
        <f t="shared" ca="1" si="115"/>
        <v>3</v>
      </c>
      <c r="P609" s="8">
        <f t="shared" ca="1" si="116"/>
        <v>38352</v>
      </c>
      <c r="Q609" s="6">
        <f ca="1">RANDBETWEEN(2,COUNTA('Recruitment source'!$A:$A))</f>
        <v>11</v>
      </c>
      <c r="R609" s="8" t="e">
        <f t="shared" ca="1" si="117"/>
        <v>#N/A</v>
      </c>
      <c r="S609" s="6" t="e">
        <f t="shared" ca="1" si="118"/>
        <v>#N/A</v>
      </c>
      <c r="T609" s="6">
        <f t="shared" ca="1" si="108"/>
        <v>5</v>
      </c>
      <c r="U609" s="1">
        <f t="shared" ca="1" si="119"/>
        <v>2000</v>
      </c>
    </row>
    <row r="610" spans="1:21" x14ac:dyDescent="0.2">
      <c r="A610" s="7" cm="1">
        <f t="array" aca="1" ref="A610" ca="1">INDEX(Companies!$A:$A,RANDBETWEEN(2,COUNTA(Companies!$A:$A)),1)</f>
        <v>2</v>
      </c>
      <c r="B610" s="5">
        <f t="shared" si="109"/>
        <v>609</v>
      </c>
      <c r="C610" s="6">
        <f t="shared" ca="1" si="110"/>
        <v>1</v>
      </c>
      <c r="D610" s="7">
        <f ca="1">IF($B610 = 1 + N("Presidente"),
    127,
    IF($B610 = 2 + N("Vice-Presidente"),
        72,
        IF($B610 = 3 + N("Secretária bilíngue"),
            13,
            RANDBETWEEN(5,COUNT(Name!$A:$A) + 1)
        )
    )
)</f>
        <v>45</v>
      </c>
      <c r="E610" s="7" t="str">
        <f ca="1" xml:space="preserve">
VLOOKUP(
  $D610,
  Name!$A:$B,
  2,
  FALSE
)
&amp; " " &amp;
IF($B610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Carolinna Junqueira Araújo</v>
      </c>
      <c r="F610" s="7">
        <v>2</v>
      </c>
      <c r="G610" s="7" cm="1">
        <f t="array" aca="1" ref="G610" ca="1">INDEX(States!$B:$B,RANDBETWEEN(2,COUNTA(States!$A:$A)),1)</f>
        <v>16</v>
      </c>
      <c r="H610" s="7" t="str">
        <f ca="1">VLOOKUP($D610,Name!$A:$C,3,FALSE)</f>
        <v>F</v>
      </c>
      <c r="I610" s="7" cm="1">
        <f t="array" aca="1" ref="I610" ca="1">INDEX('Marital status'!$A:$A,RANDBETWEEN(2,COUNTA('Marital status'!$A:$A)),1)</f>
        <v>3</v>
      </c>
      <c r="J610" s="7">
        <f t="shared" ca="1" si="111"/>
        <v>2</v>
      </c>
      <c r="K610" s="8">
        <f t="shared" ca="1" si="112"/>
        <v>22083</v>
      </c>
      <c r="L610" s="6">
        <f t="shared" ca="1" si="113"/>
        <v>4</v>
      </c>
      <c r="M610" s="7">
        <f ca="1" xml:space="preserve">
  IF(OR($N610 = 2, $N610 = 3, $N610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610" s="6">
        <f t="shared" ca="1" si="114"/>
        <v>6</v>
      </c>
      <c r="O610" s="6" t="e">
        <f t="shared" ca="1" si="115"/>
        <v>#N/A</v>
      </c>
      <c r="P610" s="8">
        <f t="shared" ca="1" si="116"/>
        <v>42283</v>
      </c>
      <c r="Q610" s="6">
        <f ca="1">RANDBETWEEN(2,COUNTA('Recruitment source'!$A:$A))</f>
        <v>5</v>
      </c>
      <c r="R610" s="8" t="e">
        <f t="shared" ca="1" si="117"/>
        <v>#N/A</v>
      </c>
      <c r="S610" s="6" t="e">
        <f t="shared" ca="1" si="118"/>
        <v>#N/A</v>
      </c>
      <c r="T610" s="6">
        <f t="shared" ca="1" si="108"/>
        <v>3</v>
      </c>
      <c r="U610" s="1">
        <f t="shared" ca="1" si="119"/>
        <v>805</v>
      </c>
    </row>
    <row r="611" spans="1:21" x14ac:dyDescent="0.2">
      <c r="A611" s="7" cm="1">
        <f t="array" aca="1" ref="A611" ca="1">INDEX(Companies!$A:$A,RANDBETWEEN(2,COUNTA(Companies!$A:$A)),1)</f>
        <v>2</v>
      </c>
      <c r="B611" s="5">
        <f t="shared" si="109"/>
        <v>610</v>
      </c>
      <c r="C611" s="6">
        <f t="shared" ca="1" si="110"/>
        <v>1</v>
      </c>
      <c r="D611" s="7">
        <f ca="1">IF($B611 = 1 + N("Presidente"),
    127,
    IF($B611 = 2 + N("Vice-Presidente"),
        72,
        IF($B611 = 3 + N("Secretária bilíngue"),
            13,
            RANDBETWEEN(5,COUNT(Name!$A:$A) + 1)
        )
    )
)</f>
        <v>29</v>
      </c>
      <c r="E611" s="7" t="str">
        <f ca="1" xml:space="preserve">
VLOOKUP(
  $D611,
  Name!$A:$B,
  2,
  FALSE
)
&amp; " " &amp;
IF($B611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Cecília Saragoça Gallo</v>
      </c>
      <c r="F611" s="7">
        <v>2</v>
      </c>
      <c r="G611" s="7" cm="1">
        <f t="array" aca="1" ref="G611" ca="1">INDEX(States!$B:$B,RANDBETWEEN(2,COUNTA(States!$A:$A)),1)</f>
        <v>4</v>
      </c>
      <c r="H611" s="7" t="str">
        <f ca="1">VLOOKUP($D611,Name!$A:$C,3,FALSE)</f>
        <v>F</v>
      </c>
      <c r="I611" s="7" cm="1">
        <f t="array" aca="1" ref="I611" ca="1">INDEX('Marital status'!$A:$A,RANDBETWEEN(2,COUNTA('Marital status'!$A:$A)),1)</f>
        <v>3</v>
      </c>
      <c r="J611" s="7">
        <f t="shared" ca="1" si="111"/>
        <v>2</v>
      </c>
      <c r="K611" s="8">
        <f t="shared" ca="1" si="112"/>
        <v>32843</v>
      </c>
      <c r="L611" s="6">
        <f t="shared" ca="1" si="113"/>
        <v>4</v>
      </c>
      <c r="M611" s="7">
        <f ca="1" xml:space="preserve">
  IF(OR($N611 = 2, $N611 = 3, $N611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611" s="6">
        <f t="shared" ca="1" si="114"/>
        <v>8</v>
      </c>
      <c r="O611" s="6">
        <f t="shared" ca="1" si="115"/>
        <v>3</v>
      </c>
      <c r="P611" s="8">
        <f t="shared" ca="1" si="116"/>
        <v>40564</v>
      </c>
      <c r="Q611" s="6">
        <f ca="1">RANDBETWEEN(2,COUNTA('Recruitment source'!$A:$A))</f>
        <v>2</v>
      </c>
      <c r="R611" s="8" t="e">
        <f t="shared" ca="1" si="117"/>
        <v>#N/A</v>
      </c>
      <c r="S611" s="6" t="e">
        <f t="shared" ca="1" si="118"/>
        <v>#N/A</v>
      </c>
      <c r="T611" s="6">
        <f t="shared" ca="1" si="108"/>
        <v>5</v>
      </c>
      <c r="U611" s="1">
        <f t="shared" ca="1" si="119"/>
        <v>2000</v>
      </c>
    </row>
    <row r="612" spans="1:21" x14ac:dyDescent="0.2">
      <c r="A612" s="7" cm="1">
        <f t="array" aca="1" ref="A612" ca="1">INDEX(Companies!$A:$A,RANDBETWEEN(2,COUNTA(Companies!$A:$A)),1)</f>
        <v>2</v>
      </c>
      <c r="B612" s="5">
        <f t="shared" si="109"/>
        <v>611</v>
      </c>
      <c r="C612" s="6">
        <f t="shared" ca="1" si="110"/>
        <v>1</v>
      </c>
      <c r="D612" s="7">
        <f ca="1">IF($B612 = 1 + N("Presidente"),
    127,
    IF($B612 = 2 + N("Vice-Presidente"),
        72,
        IF($B612 = 3 + N("Secretária bilíngue"),
            13,
            RANDBETWEEN(5,COUNT(Name!$A:$A) + 1)
        )
    )
)</f>
        <v>291</v>
      </c>
      <c r="E612" s="7" t="str">
        <f ca="1" xml:space="preserve">
VLOOKUP(
  $D612,
  Name!$A:$B,
  2,
  FALSE
)
&amp; " " &amp;
IF($B612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Melyssa Carvalho Pereira</v>
      </c>
      <c r="F612" s="7">
        <v>2</v>
      </c>
      <c r="G612" s="7" cm="1">
        <f t="array" aca="1" ref="G612" ca="1">INDEX(States!$B:$B,RANDBETWEEN(2,COUNTA(States!$A:$A)),1)</f>
        <v>21</v>
      </c>
      <c r="H612" s="7" t="str">
        <f ca="1">VLOOKUP($D612,Name!$A:$C,3,FALSE)</f>
        <v>F</v>
      </c>
      <c r="I612" s="7" cm="1">
        <f t="array" aca="1" ref="I612" ca="1">INDEX('Marital status'!$A:$A,RANDBETWEEN(2,COUNTA('Marital status'!$A:$A)),1)</f>
        <v>3</v>
      </c>
      <c r="J612" s="7">
        <f t="shared" ca="1" si="111"/>
        <v>2</v>
      </c>
      <c r="K612" s="8">
        <f t="shared" ca="1" si="112"/>
        <v>35511</v>
      </c>
      <c r="L612" s="6">
        <f t="shared" ca="1" si="113"/>
        <v>4</v>
      </c>
      <c r="M612" s="7">
        <f ca="1" xml:space="preserve">
  IF(OR($N612 = 2, $N612 = 3, $N612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612" s="6">
        <f t="shared" ca="1" si="114"/>
        <v>7</v>
      </c>
      <c r="O612" s="6" t="e">
        <f t="shared" ca="1" si="115"/>
        <v>#N/A</v>
      </c>
      <c r="P612" s="8">
        <f t="shared" ca="1" si="116"/>
        <v>44250</v>
      </c>
      <c r="Q612" s="6">
        <f ca="1">RANDBETWEEN(2,COUNTA('Recruitment source'!$A:$A))</f>
        <v>12</v>
      </c>
      <c r="R612" s="8" t="e">
        <f t="shared" ca="1" si="117"/>
        <v>#N/A</v>
      </c>
      <c r="S612" s="6" t="e">
        <f t="shared" ca="1" si="118"/>
        <v>#N/A</v>
      </c>
      <c r="T612" s="6">
        <f t="shared" ca="1" si="108"/>
        <v>5</v>
      </c>
      <c r="U612" s="1">
        <f t="shared" ca="1" si="119"/>
        <v>1005</v>
      </c>
    </row>
    <row r="613" spans="1:21" x14ac:dyDescent="0.2">
      <c r="A613" s="7" cm="1">
        <f t="array" aca="1" ref="A613" ca="1">INDEX(Companies!$A:$A,RANDBETWEEN(2,COUNTA(Companies!$A:$A)),1)</f>
        <v>2</v>
      </c>
      <c r="B613" s="5">
        <f t="shared" si="109"/>
        <v>612</v>
      </c>
      <c r="C613" s="6">
        <f t="shared" ca="1" si="110"/>
        <v>1</v>
      </c>
      <c r="D613" s="7">
        <f ca="1">IF($B613 = 1 + N("Presidente"),
    127,
    IF($B613 = 2 + N("Vice-Presidente"),
        72,
        IF($B613 = 3 + N("Secretária bilíngue"),
            13,
            RANDBETWEEN(5,COUNT(Name!$A:$A) + 1)
        )
    )
)</f>
        <v>212</v>
      </c>
      <c r="E613" s="7" t="str">
        <f ca="1" xml:space="preserve">
VLOOKUP(
  $D613,
  Name!$A:$B,
  2,
  FALSE
)
&amp; " " &amp;
IF($B613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Kelly Pedroso Moraes</v>
      </c>
      <c r="F613" s="7">
        <v>2</v>
      </c>
      <c r="G613" s="7" cm="1">
        <f t="array" aca="1" ref="G613" ca="1">INDEX(States!$B:$B,RANDBETWEEN(2,COUNTA(States!$A:$A)),1)</f>
        <v>6</v>
      </c>
      <c r="H613" s="7" t="str">
        <f ca="1">VLOOKUP($D613,Name!$A:$C,3,FALSE)</f>
        <v>F</v>
      </c>
      <c r="I613" s="7" cm="1">
        <f t="array" aca="1" ref="I613" ca="1">INDEX('Marital status'!$A:$A,RANDBETWEEN(2,COUNTA('Marital status'!$A:$A)),1)</f>
        <v>5</v>
      </c>
      <c r="J613" s="7">
        <f t="shared" ca="1" si="111"/>
        <v>2</v>
      </c>
      <c r="K613" s="8">
        <f t="shared" ca="1" si="112"/>
        <v>34094</v>
      </c>
      <c r="L613" s="6">
        <f t="shared" ca="1" si="113"/>
        <v>5</v>
      </c>
      <c r="M613" s="7">
        <f ca="1" xml:space="preserve">
  IF(OR($N613 = 2, $N613 = 3, $N613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613" s="6">
        <f t="shared" ca="1" si="114"/>
        <v>8</v>
      </c>
      <c r="O613" s="6">
        <f t="shared" ca="1" si="115"/>
        <v>2</v>
      </c>
      <c r="P613" s="8">
        <f t="shared" ca="1" si="116"/>
        <v>38613</v>
      </c>
      <c r="Q613" s="6">
        <f ca="1">RANDBETWEEN(2,COUNTA('Recruitment source'!$A:$A))</f>
        <v>6</v>
      </c>
      <c r="R613" s="8" t="e">
        <f t="shared" ca="1" si="117"/>
        <v>#N/A</v>
      </c>
      <c r="S613" s="6" t="e">
        <f t="shared" ca="1" si="118"/>
        <v>#N/A</v>
      </c>
      <c r="T613" s="6">
        <f t="shared" ca="1" si="108"/>
        <v>3</v>
      </c>
      <c r="U613" s="1">
        <f t="shared" ca="1" si="119"/>
        <v>2050</v>
      </c>
    </row>
    <row r="614" spans="1:21" x14ac:dyDescent="0.2">
      <c r="A614" s="7" cm="1">
        <f t="array" aca="1" ref="A614" ca="1">INDEX(Companies!$A:$A,RANDBETWEEN(2,COUNTA(Companies!$A:$A)),1)</f>
        <v>2</v>
      </c>
      <c r="B614" s="5">
        <f t="shared" si="109"/>
        <v>613</v>
      </c>
      <c r="C614" s="6">
        <f t="shared" ca="1" si="110"/>
        <v>1</v>
      </c>
      <c r="D614" s="7">
        <f ca="1">IF($B614 = 1 + N("Presidente"),
    127,
    IF($B614 = 2 + N("Vice-Presidente"),
        72,
        IF($B614 = 3 + N("Secretária bilíngue"),
            13,
            RANDBETWEEN(5,COUNT(Name!$A:$A) + 1)
        )
    )
)</f>
        <v>166</v>
      </c>
      <c r="E614" s="7" t="str">
        <f ca="1" xml:space="preserve">
VLOOKUP(
  $D614,
  Name!$A:$B,
  2,
  FALSE
)
&amp; " " &amp;
IF($B614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Henrico Cunha Barbieri</v>
      </c>
      <c r="F614" s="7">
        <v>2</v>
      </c>
      <c r="G614" s="7" cm="1">
        <f t="array" aca="1" ref="G614" ca="1">INDEX(States!$B:$B,RANDBETWEEN(2,COUNTA(States!$A:$A)),1)</f>
        <v>12</v>
      </c>
      <c r="H614" s="7" t="str">
        <f ca="1">VLOOKUP($D614,Name!$A:$C,3,FALSE)</f>
        <v>M</v>
      </c>
      <c r="I614" s="7" cm="1">
        <f t="array" aca="1" ref="I614" ca="1">INDEX('Marital status'!$A:$A,RANDBETWEEN(2,COUNTA('Marital status'!$A:$A)),1)</f>
        <v>3</v>
      </c>
      <c r="J614" s="7">
        <f t="shared" ca="1" si="111"/>
        <v>2</v>
      </c>
      <c r="K614" s="8">
        <f t="shared" ca="1" si="112"/>
        <v>32049</v>
      </c>
      <c r="L614" s="6">
        <f t="shared" ca="1" si="113"/>
        <v>4</v>
      </c>
      <c r="M614" s="7">
        <f ca="1" xml:space="preserve">
  IF(OR($N614 = 2, $N614 = 3, $N614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614" s="6">
        <f t="shared" ca="1" si="114"/>
        <v>7</v>
      </c>
      <c r="O614" s="6" t="e">
        <f t="shared" ca="1" si="115"/>
        <v>#N/A</v>
      </c>
      <c r="P614" s="8">
        <f t="shared" ca="1" si="116"/>
        <v>44726</v>
      </c>
      <c r="Q614" s="6">
        <f ca="1">RANDBETWEEN(2,COUNTA('Recruitment source'!$A:$A))</f>
        <v>5</v>
      </c>
      <c r="R614" s="8" t="e">
        <f t="shared" ca="1" si="117"/>
        <v>#N/A</v>
      </c>
      <c r="S614" s="6" t="e">
        <f t="shared" ca="1" si="118"/>
        <v>#N/A</v>
      </c>
      <c r="T614" s="6">
        <f t="shared" ca="1" si="108"/>
        <v>4</v>
      </c>
      <c r="U614" s="1">
        <f t="shared" ca="1" si="119"/>
        <v>1005</v>
      </c>
    </row>
    <row r="615" spans="1:21" x14ac:dyDescent="0.2">
      <c r="A615" s="7" cm="1">
        <f t="array" aca="1" ref="A615" ca="1">INDEX(Companies!$A:$A,RANDBETWEEN(2,COUNTA(Companies!$A:$A)),1)</f>
        <v>2</v>
      </c>
      <c r="B615" s="5">
        <f t="shared" si="109"/>
        <v>614</v>
      </c>
      <c r="C615" s="6">
        <f t="shared" ca="1" si="110"/>
        <v>1</v>
      </c>
      <c r="D615" s="7">
        <f ca="1">IF($B615 = 1 + N("Presidente"),
    127,
    IF($B615 = 2 + N("Vice-Presidente"),
        72,
        IF($B615 = 3 + N("Secretária bilíngue"),
            13,
            RANDBETWEEN(5,COUNT(Name!$A:$A) + 1)
        )
    )
)</f>
        <v>90</v>
      </c>
      <c r="E615" s="7" t="str">
        <f ca="1" xml:space="preserve">
VLOOKUP(
  $D615,
  Name!$A:$B,
  2,
  FALSE
)
&amp; " " &amp;
IF($B615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Caue Frasão Moretti</v>
      </c>
      <c r="F615" s="7">
        <v>2</v>
      </c>
      <c r="G615" s="7" cm="1">
        <f t="array" aca="1" ref="G615" ca="1">INDEX(States!$B:$B,RANDBETWEEN(2,COUNTA(States!$A:$A)),1)</f>
        <v>2</v>
      </c>
      <c r="H615" s="7" t="str">
        <f ca="1">VLOOKUP($D615,Name!$A:$C,3,FALSE)</f>
        <v>M</v>
      </c>
      <c r="I615" s="7" cm="1">
        <f t="array" aca="1" ref="I615" ca="1">INDEX('Marital status'!$A:$A,RANDBETWEEN(2,COUNTA('Marital status'!$A:$A)),1)</f>
        <v>3</v>
      </c>
      <c r="J615" s="7">
        <f t="shared" ca="1" si="111"/>
        <v>2</v>
      </c>
      <c r="K615" s="8">
        <f t="shared" ca="1" si="112"/>
        <v>35664</v>
      </c>
      <c r="L615" s="6">
        <f t="shared" ca="1" si="113"/>
        <v>4</v>
      </c>
      <c r="M615" s="7">
        <f ca="1" xml:space="preserve">
  IF(OR($N615 = 2, $N615 = 3, $N615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615" s="6">
        <f t="shared" ca="1" si="114"/>
        <v>8</v>
      </c>
      <c r="O615" s="6">
        <f t="shared" ca="1" si="115"/>
        <v>3</v>
      </c>
      <c r="P615" s="8">
        <f t="shared" ca="1" si="116"/>
        <v>38994</v>
      </c>
      <c r="Q615" s="6">
        <f ca="1">RANDBETWEEN(2,COUNTA('Recruitment source'!$A:$A))</f>
        <v>3</v>
      </c>
      <c r="R615" s="8" t="e">
        <f t="shared" ca="1" si="117"/>
        <v>#N/A</v>
      </c>
      <c r="S615" s="6" t="e">
        <f t="shared" ca="1" si="118"/>
        <v>#N/A</v>
      </c>
      <c r="T615" s="6">
        <f t="shared" ca="1" si="108"/>
        <v>3</v>
      </c>
      <c r="U615" s="1">
        <f t="shared" ca="1" si="119"/>
        <v>2000</v>
      </c>
    </row>
    <row r="616" spans="1:21" x14ac:dyDescent="0.2">
      <c r="A616" s="7" cm="1">
        <f t="array" aca="1" ref="A616" ca="1">INDEX(Companies!$A:$A,RANDBETWEEN(2,COUNTA(Companies!$A:$A)),1)</f>
        <v>2</v>
      </c>
      <c r="B616" s="5">
        <f t="shared" si="109"/>
        <v>615</v>
      </c>
      <c r="C616" s="6">
        <f t="shared" ca="1" si="110"/>
        <v>1</v>
      </c>
      <c r="D616" s="7">
        <f ca="1">IF($B616 = 1 + N("Presidente"),
    127,
    IF($B616 = 2 + N("Vice-Presidente"),
        72,
        IF($B616 = 3 + N("Secretária bilíngue"),
            13,
            RANDBETWEEN(5,COUNT(Name!$A:$A) + 1)
        )
    )
)</f>
        <v>5</v>
      </c>
      <c r="E616" s="7" t="str">
        <f ca="1" xml:space="preserve">
VLOOKUP(
  $D616,
  Name!$A:$B,
  2,
  FALSE
)
&amp; " " &amp;
IF($B616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Abel Oliveira Miranda</v>
      </c>
      <c r="F616" s="7">
        <v>2</v>
      </c>
      <c r="G616" s="7" cm="1">
        <f t="array" aca="1" ref="G616" ca="1">INDEX(States!$B:$B,RANDBETWEEN(2,COUNTA(States!$A:$A)),1)</f>
        <v>3</v>
      </c>
      <c r="H616" s="7" t="str">
        <f ca="1">VLOOKUP($D616,Name!$A:$C,3,FALSE)</f>
        <v>M</v>
      </c>
      <c r="I616" s="7" cm="1">
        <f t="array" aca="1" ref="I616" ca="1">INDEX('Marital status'!$A:$A,RANDBETWEEN(2,COUNTA('Marital status'!$A:$A)),1)</f>
        <v>4</v>
      </c>
      <c r="J616" s="7">
        <f t="shared" ca="1" si="111"/>
        <v>4</v>
      </c>
      <c r="K616" s="8">
        <f t="shared" ca="1" si="112"/>
        <v>30863</v>
      </c>
      <c r="L616" s="6">
        <f t="shared" ca="1" si="113"/>
        <v>4</v>
      </c>
      <c r="M616" s="7">
        <f ca="1" xml:space="preserve">
  IF(OR($N616 = 2, $N616 = 3, $N616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616" s="6">
        <f t="shared" ca="1" si="114"/>
        <v>7</v>
      </c>
      <c r="O616" s="6" t="e">
        <f t="shared" ca="1" si="115"/>
        <v>#N/A</v>
      </c>
      <c r="P616" s="8">
        <f t="shared" ca="1" si="116"/>
        <v>38741</v>
      </c>
      <c r="Q616" s="6">
        <f ca="1">RANDBETWEEN(2,COUNTA('Recruitment source'!$A:$A))</f>
        <v>12</v>
      </c>
      <c r="R616" s="8" t="e">
        <f t="shared" ca="1" si="117"/>
        <v>#N/A</v>
      </c>
      <c r="S616" s="6" t="e">
        <f t="shared" ca="1" si="118"/>
        <v>#N/A</v>
      </c>
      <c r="T616" s="6">
        <f t="shared" ca="1" si="108"/>
        <v>4</v>
      </c>
      <c r="U616" s="1">
        <f t="shared" ca="1" si="119"/>
        <v>1005</v>
      </c>
    </row>
    <row r="617" spans="1:21" x14ac:dyDescent="0.2">
      <c r="A617" s="7" cm="1">
        <f t="array" aca="1" ref="A617" ca="1">INDEX(Companies!$A:$A,RANDBETWEEN(2,COUNTA(Companies!$A:$A)),1)</f>
        <v>2</v>
      </c>
      <c r="B617" s="5">
        <f t="shared" si="109"/>
        <v>616</v>
      </c>
      <c r="C617" s="6">
        <f t="shared" ca="1" si="110"/>
        <v>1</v>
      </c>
      <c r="D617" s="7">
        <f ca="1">IF($B617 = 1 + N("Presidente"),
    127,
    IF($B617 = 2 + N("Vice-Presidente"),
        72,
        IF($B617 = 3 + N("Secretária bilíngue"),
            13,
            RANDBETWEEN(5,COUNT(Name!$A:$A) + 1)
        )
    )
)</f>
        <v>110</v>
      </c>
      <c r="E617" s="7" t="str">
        <f ca="1" xml:space="preserve">
VLOOKUP(
  $D617,
  Name!$A:$B,
  2,
  FALSE
)
&amp; " " &amp;
IF($B617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Miguel Nascimento De Luca</v>
      </c>
      <c r="F617" s="7">
        <v>2</v>
      </c>
      <c r="G617" s="7" cm="1">
        <f t="array" aca="1" ref="G617" ca="1">INDEX(States!$B:$B,RANDBETWEEN(2,COUNTA(States!$A:$A)),1)</f>
        <v>4</v>
      </c>
      <c r="H617" s="7" t="str">
        <f ca="1">VLOOKUP($D617,Name!$A:$C,3,FALSE)</f>
        <v>M</v>
      </c>
      <c r="I617" s="7" cm="1">
        <f t="array" aca="1" ref="I617" ca="1">INDEX('Marital status'!$A:$A,RANDBETWEEN(2,COUNTA('Marital status'!$A:$A)),1)</f>
        <v>2</v>
      </c>
      <c r="J617" s="7">
        <f t="shared" ca="1" si="111"/>
        <v>2</v>
      </c>
      <c r="K617" s="8">
        <f t="shared" ca="1" si="112"/>
        <v>33777</v>
      </c>
      <c r="L617" s="6">
        <f t="shared" ca="1" si="113"/>
        <v>5</v>
      </c>
      <c r="M617" s="7">
        <f ca="1" xml:space="preserve">
  IF(OR($N617 = 2, $N617 = 3, $N617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617" s="6">
        <f t="shared" ca="1" si="114"/>
        <v>8</v>
      </c>
      <c r="O617" s="6">
        <f t="shared" ca="1" si="115"/>
        <v>3</v>
      </c>
      <c r="P617" s="8">
        <f t="shared" ca="1" si="116"/>
        <v>37973</v>
      </c>
      <c r="Q617" s="6">
        <f ca="1">RANDBETWEEN(2,COUNTA('Recruitment source'!$A:$A))</f>
        <v>11</v>
      </c>
      <c r="R617" s="8" t="e">
        <f t="shared" ca="1" si="117"/>
        <v>#N/A</v>
      </c>
      <c r="S617" s="6" t="e">
        <f t="shared" ca="1" si="118"/>
        <v>#N/A</v>
      </c>
      <c r="T617" s="6">
        <f t="shared" ca="1" si="108"/>
        <v>2</v>
      </c>
      <c r="U617" s="1">
        <f t="shared" ca="1" si="119"/>
        <v>2080</v>
      </c>
    </row>
    <row r="618" spans="1:21" x14ac:dyDescent="0.2">
      <c r="A618" s="7" cm="1">
        <f t="array" aca="1" ref="A618" ca="1">INDEX(Companies!$A:$A,RANDBETWEEN(2,COUNTA(Companies!$A:$A)),1)</f>
        <v>2</v>
      </c>
      <c r="B618" s="5">
        <f t="shared" si="109"/>
        <v>617</v>
      </c>
      <c r="C618" s="6">
        <f t="shared" ca="1" si="110"/>
        <v>1</v>
      </c>
      <c r="D618" s="7">
        <f ca="1">IF($B618 = 1 + N("Presidente"),
    127,
    IF($B618 = 2 + N("Vice-Presidente"),
        72,
        IF($B618 = 3 + N("Secretária bilíngue"),
            13,
            RANDBETWEEN(5,COUNT(Name!$A:$A) + 1)
        )
    )
)</f>
        <v>112</v>
      </c>
      <c r="E618" s="7" t="str">
        <f ca="1" xml:space="preserve">
VLOOKUP(
  $D618,
  Name!$A:$B,
  2,
  FALSE
)
&amp; " " &amp;
IF($B618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Deborah Botelho de Oliveira</v>
      </c>
      <c r="F618" s="7">
        <v>2</v>
      </c>
      <c r="G618" s="7" cm="1">
        <f t="array" aca="1" ref="G618" ca="1">INDEX(States!$B:$B,RANDBETWEEN(2,COUNTA(States!$A:$A)),1)</f>
        <v>15</v>
      </c>
      <c r="H618" s="7" t="str">
        <f ca="1">VLOOKUP($D618,Name!$A:$C,3,FALSE)</f>
        <v>F</v>
      </c>
      <c r="I618" s="7" cm="1">
        <f t="array" aca="1" ref="I618" ca="1">INDEX('Marital status'!$A:$A,RANDBETWEEN(2,COUNTA('Marital status'!$A:$A)),1)</f>
        <v>6</v>
      </c>
      <c r="J618" s="7">
        <f t="shared" ca="1" si="111"/>
        <v>2</v>
      </c>
      <c r="K618" s="8">
        <f t="shared" ca="1" si="112"/>
        <v>31818</v>
      </c>
      <c r="L618" s="6">
        <f t="shared" ca="1" si="113"/>
        <v>4</v>
      </c>
      <c r="M618" s="7">
        <f ca="1" xml:space="preserve">
  IF(OR($N618 = 2, $N618 = 3, $N618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618" s="6">
        <f t="shared" ca="1" si="114"/>
        <v>7</v>
      </c>
      <c r="O618" s="6" t="e">
        <f t="shared" ca="1" si="115"/>
        <v>#N/A</v>
      </c>
      <c r="P618" s="8">
        <f t="shared" ca="1" si="116"/>
        <v>36205</v>
      </c>
      <c r="Q618" s="6">
        <f ca="1">RANDBETWEEN(2,COUNTA('Recruitment source'!$A:$A))</f>
        <v>7</v>
      </c>
      <c r="R618" s="8" t="e">
        <f t="shared" ca="1" si="117"/>
        <v>#N/A</v>
      </c>
      <c r="S618" s="6" t="e">
        <f t="shared" ca="1" si="118"/>
        <v>#N/A</v>
      </c>
      <c r="T618" s="6">
        <f t="shared" ca="1" si="108"/>
        <v>2</v>
      </c>
      <c r="U618" s="1">
        <f t="shared" ca="1" si="119"/>
        <v>1005</v>
      </c>
    </row>
    <row r="619" spans="1:21" x14ac:dyDescent="0.2">
      <c r="A619" s="7" cm="1">
        <f t="array" aca="1" ref="A619" ca="1">INDEX(Companies!$A:$A,RANDBETWEEN(2,COUNTA(Companies!$A:$A)),1)</f>
        <v>2</v>
      </c>
      <c r="B619" s="5">
        <f t="shared" si="109"/>
        <v>618</v>
      </c>
      <c r="C619" s="6">
        <f t="shared" ca="1" si="110"/>
        <v>1</v>
      </c>
      <c r="D619" s="7">
        <f ca="1">IF($B619 = 1 + N("Presidente"),
    127,
    IF($B619 = 2 + N("Vice-Presidente"),
        72,
        IF($B619 = 3 + N("Secretária bilíngue"),
            13,
            RANDBETWEEN(5,COUNT(Name!$A:$A) + 1)
        )
    )
)</f>
        <v>45</v>
      </c>
      <c r="E619" s="7" t="str">
        <f ca="1" xml:space="preserve">
VLOOKUP(
  $D619,
  Name!$A:$B,
  2,
  FALSE
)
&amp; " " &amp;
IF($B619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Carolinna Moreira Borba</v>
      </c>
      <c r="F619" s="7">
        <v>2</v>
      </c>
      <c r="G619" s="7" cm="1">
        <f t="array" aca="1" ref="G619" ca="1">INDEX(States!$B:$B,RANDBETWEEN(2,COUNTA(States!$A:$A)),1)</f>
        <v>3</v>
      </c>
      <c r="H619" s="7" t="str">
        <f ca="1">VLOOKUP($D619,Name!$A:$C,3,FALSE)</f>
        <v>F</v>
      </c>
      <c r="I619" s="7" cm="1">
        <f t="array" aca="1" ref="I619" ca="1">INDEX('Marital status'!$A:$A,RANDBETWEEN(2,COUNTA('Marital status'!$A:$A)),1)</f>
        <v>4</v>
      </c>
      <c r="J619" s="7">
        <f t="shared" ca="1" si="111"/>
        <v>2</v>
      </c>
      <c r="K619" s="8">
        <f t="shared" ca="1" si="112"/>
        <v>37258</v>
      </c>
      <c r="L619" s="6">
        <f t="shared" ca="1" si="113"/>
        <v>4</v>
      </c>
      <c r="M619" s="7">
        <f ca="1" xml:space="preserve">
  IF(OR($N619 = 2, $N619 = 3, $N619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619" s="6">
        <f t="shared" ca="1" si="114"/>
        <v>8</v>
      </c>
      <c r="O619" s="6">
        <f t="shared" ca="1" si="115"/>
        <v>3</v>
      </c>
      <c r="P619" s="8">
        <f t="shared" ca="1" si="116"/>
        <v>39809</v>
      </c>
      <c r="Q619" s="6">
        <f ca="1">RANDBETWEEN(2,COUNTA('Recruitment source'!$A:$A))</f>
        <v>3</v>
      </c>
      <c r="R619" s="8" t="e">
        <f t="shared" ca="1" si="117"/>
        <v>#N/A</v>
      </c>
      <c r="S619" s="6" t="e">
        <f t="shared" ca="1" si="118"/>
        <v>#N/A</v>
      </c>
      <c r="T619" s="6">
        <f t="shared" ca="1" si="108"/>
        <v>3</v>
      </c>
      <c r="U619" s="1">
        <f t="shared" ca="1" si="119"/>
        <v>2000</v>
      </c>
    </row>
    <row r="620" spans="1:21" x14ac:dyDescent="0.2">
      <c r="A620" s="7" cm="1">
        <f t="array" aca="1" ref="A620" ca="1">INDEX(Companies!$A:$A,RANDBETWEEN(2,COUNTA(Companies!$A:$A)),1)</f>
        <v>2</v>
      </c>
      <c r="B620" s="5">
        <f t="shared" si="109"/>
        <v>619</v>
      </c>
      <c r="C620" s="6">
        <f t="shared" ca="1" si="110"/>
        <v>1</v>
      </c>
      <c r="D620" s="7">
        <f ca="1">IF($B620 = 1 + N("Presidente"),
    127,
    IF($B620 = 2 + N("Vice-Presidente"),
        72,
        IF($B620 = 3 + N("Secretária bilíngue"),
            13,
            RANDBETWEEN(5,COUNT(Name!$A:$A) + 1)
        )
    )
)</f>
        <v>6</v>
      </c>
      <c r="E620" s="7" t="str">
        <f ca="1" xml:space="preserve">
VLOOKUP(
  $D620,
  Name!$A:$B,
  2,
  FALSE
)
&amp; " " &amp;
IF($B620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Abigail Castro Zil</v>
      </c>
      <c r="F620" s="7">
        <v>2</v>
      </c>
      <c r="G620" s="7" cm="1">
        <f t="array" aca="1" ref="G620" ca="1">INDEX(States!$B:$B,RANDBETWEEN(2,COUNTA(States!$A:$A)),1)</f>
        <v>4</v>
      </c>
      <c r="H620" s="7" t="str">
        <f ca="1">VLOOKUP($D620,Name!$A:$C,3,FALSE)</f>
        <v>F</v>
      </c>
      <c r="I620" s="7" cm="1">
        <f t="array" aca="1" ref="I620" ca="1">INDEX('Marital status'!$A:$A,RANDBETWEEN(2,COUNTA('Marital status'!$A:$A)),1)</f>
        <v>5</v>
      </c>
      <c r="J620" s="7">
        <f t="shared" ca="1" si="111"/>
        <v>2</v>
      </c>
      <c r="K620" s="8">
        <f t="shared" ca="1" si="112"/>
        <v>32599</v>
      </c>
      <c r="L620" s="6">
        <f t="shared" ca="1" si="113"/>
        <v>4</v>
      </c>
      <c r="M620" s="7">
        <f ca="1" xml:space="preserve">
  IF(OR($N620 = 2, $N620 = 3, $N620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620" s="6">
        <f t="shared" ca="1" si="114"/>
        <v>6</v>
      </c>
      <c r="O620" s="6" t="e">
        <f t="shared" ca="1" si="115"/>
        <v>#N/A</v>
      </c>
      <c r="P620" s="8">
        <f t="shared" ca="1" si="116"/>
        <v>36274</v>
      </c>
      <c r="Q620" s="6">
        <f ca="1">RANDBETWEEN(2,COUNTA('Recruitment source'!$A:$A))</f>
        <v>3</v>
      </c>
      <c r="R620" s="8" t="e">
        <f t="shared" ca="1" si="117"/>
        <v>#N/A</v>
      </c>
      <c r="S620" s="6" t="e">
        <f t="shared" ca="1" si="118"/>
        <v>#N/A</v>
      </c>
      <c r="T620" s="6">
        <f t="shared" ca="1" si="108"/>
        <v>3</v>
      </c>
      <c r="U620" s="1">
        <f t="shared" ca="1" si="119"/>
        <v>805</v>
      </c>
    </row>
    <row r="621" spans="1:21" x14ac:dyDescent="0.2">
      <c r="A621" s="7" cm="1">
        <f t="array" aca="1" ref="A621" ca="1">INDEX(Companies!$A:$A,RANDBETWEEN(2,COUNTA(Companies!$A:$A)),1)</f>
        <v>2</v>
      </c>
      <c r="B621" s="5">
        <f t="shared" si="109"/>
        <v>620</v>
      </c>
      <c r="C621" s="6">
        <f t="shared" ca="1" si="110"/>
        <v>1</v>
      </c>
      <c r="D621" s="7">
        <f ca="1">IF($B621 = 1 + N("Presidente"),
    127,
    IF($B621 = 2 + N("Vice-Presidente"),
        72,
        IF($B621 = 3 + N("Secretária bilíngue"),
            13,
            RANDBETWEEN(5,COUNT(Name!$A:$A) + 1)
        )
    )
)</f>
        <v>236</v>
      </c>
      <c r="E621" s="7" t="str">
        <f ca="1" xml:space="preserve">
VLOOKUP(
  $D621,
  Name!$A:$B,
  2,
  FALSE
)
&amp; " " &amp;
IF($B621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Luana Braga Pereira</v>
      </c>
      <c r="F621" s="7">
        <v>2</v>
      </c>
      <c r="G621" s="7" cm="1">
        <f t="array" aca="1" ref="G621" ca="1">INDEX(States!$B:$B,RANDBETWEEN(2,COUNTA(States!$A:$A)),1)</f>
        <v>14</v>
      </c>
      <c r="H621" s="7" t="str">
        <f ca="1">VLOOKUP($D621,Name!$A:$C,3,FALSE)</f>
        <v>F</v>
      </c>
      <c r="I621" s="7" cm="1">
        <f t="array" aca="1" ref="I621" ca="1">INDEX('Marital status'!$A:$A,RANDBETWEEN(2,COUNTA('Marital status'!$A:$A)),1)</f>
        <v>3</v>
      </c>
      <c r="J621" s="7">
        <f t="shared" ca="1" si="111"/>
        <v>2</v>
      </c>
      <c r="K621" s="8">
        <f t="shared" ca="1" si="112"/>
        <v>36577</v>
      </c>
      <c r="L621" s="6">
        <f t="shared" ca="1" si="113"/>
        <v>4</v>
      </c>
      <c r="M621" s="7">
        <f ca="1" xml:space="preserve">
  IF(OR($N621 = 2, $N621 = 3, $N621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621" s="6">
        <f t="shared" ca="1" si="114"/>
        <v>8</v>
      </c>
      <c r="O621" s="6">
        <f t="shared" ca="1" si="115"/>
        <v>3</v>
      </c>
      <c r="P621" s="8">
        <f t="shared" ca="1" si="116"/>
        <v>40479</v>
      </c>
      <c r="Q621" s="6">
        <f ca="1">RANDBETWEEN(2,COUNTA('Recruitment source'!$A:$A))</f>
        <v>6</v>
      </c>
      <c r="R621" s="8" t="e">
        <f t="shared" ca="1" si="117"/>
        <v>#N/A</v>
      </c>
      <c r="S621" s="6" t="e">
        <f t="shared" ca="1" si="118"/>
        <v>#N/A</v>
      </c>
      <c r="T621" s="6">
        <f t="shared" ca="1" si="108"/>
        <v>4</v>
      </c>
      <c r="U621" s="1">
        <f t="shared" ca="1" si="119"/>
        <v>2080</v>
      </c>
    </row>
    <row r="622" spans="1:21" x14ac:dyDescent="0.2">
      <c r="A622" s="7" cm="1">
        <f t="array" aca="1" ref="A622" ca="1">INDEX(Companies!$A:$A,RANDBETWEEN(2,COUNTA(Companies!$A:$A)),1)</f>
        <v>2</v>
      </c>
      <c r="B622" s="5">
        <f t="shared" si="109"/>
        <v>621</v>
      </c>
      <c r="C622" s="6">
        <f t="shared" ca="1" si="110"/>
        <v>1</v>
      </c>
      <c r="D622" s="7">
        <f ca="1">IF($B622 = 1 + N("Presidente"),
    127,
    IF($B622 = 2 + N("Vice-Presidente"),
        72,
        IF($B622 = 3 + N("Secretária bilíngue"),
            13,
            RANDBETWEEN(5,COUNT(Name!$A:$A) + 1)
        )
    )
)</f>
        <v>129</v>
      </c>
      <c r="E622" s="7" t="str">
        <f ca="1" xml:space="preserve">
VLOOKUP(
  $D622,
  Name!$A:$B,
  2,
  FALSE
)
&amp; " " &amp;
IF($B622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Enzo Miguel Saragoça Frasão</v>
      </c>
      <c r="F622" s="7">
        <v>2</v>
      </c>
      <c r="G622" s="7" cm="1">
        <f t="array" aca="1" ref="G622" ca="1">INDEX(States!$B:$B,RANDBETWEEN(2,COUNTA(States!$A:$A)),1)</f>
        <v>21</v>
      </c>
      <c r="H622" s="7" t="str">
        <f ca="1">VLOOKUP($D622,Name!$A:$C,3,FALSE)</f>
        <v>M</v>
      </c>
      <c r="I622" s="7" cm="1">
        <f t="array" aca="1" ref="I622" ca="1">INDEX('Marital status'!$A:$A,RANDBETWEEN(2,COUNTA('Marital status'!$A:$A)),1)</f>
        <v>4</v>
      </c>
      <c r="J622" s="7">
        <f t="shared" ca="1" si="111"/>
        <v>2</v>
      </c>
      <c r="K622" s="8">
        <f t="shared" ca="1" si="112"/>
        <v>21526</v>
      </c>
      <c r="L622" s="6">
        <f t="shared" ca="1" si="113"/>
        <v>4</v>
      </c>
      <c r="M622" s="7">
        <f ca="1" xml:space="preserve">
  IF(OR($N622 = 2, $N622 = 3, $N622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622" s="6">
        <f t="shared" ca="1" si="114"/>
        <v>6</v>
      </c>
      <c r="O622" s="6" t="e">
        <f t="shared" ca="1" si="115"/>
        <v>#N/A</v>
      </c>
      <c r="P622" s="8">
        <f t="shared" ca="1" si="116"/>
        <v>43958</v>
      </c>
      <c r="Q622" s="6">
        <f ca="1">RANDBETWEEN(2,COUNTA('Recruitment source'!$A:$A))</f>
        <v>8</v>
      </c>
      <c r="R622" s="8" t="e">
        <f t="shared" ca="1" si="117"/>
        <v>#N/A</v>
      </c>
      <c r="S622" s="6" t="e">
        <f t="shared" ca="1" si="118"/>
        <v>#N/A</v>
      </c>
      <c r="T622" s="6">
        <f t="shared" ca="1" si="108"/>
        <v>3</v>
      </c>
      <c r="U622" s="1">
        <f t="shared" ca="1" si="119"/>
        <v>805</v>
      </c>
    </row>
    <row r="623" spans="1:21" x14ac:dyDescent="0.2">
      <c r="A623" s="7" cm="1">
        <f t="array" aca="1" ref="A623" ca="1">INDEX(Companies!$A:$A,RANDBETWEEN(2,COUNTA(Companies!$A:$A)),1)</f>
        <v>2</v>
      </c>
      <c r="B623" s="5">
        <f t="shared" si="109"/>
        <v>622</v>
      </c>
      <c r="C623" s="6">
        <f t="shared" ca="1" si="110"/>
        <v>1</v>
      </c>
      <c r="D623" s="7">
        <f ca="1">IF($B623 = 1 + N("Presidente"),
    127,
    IF($B623 = 2 + N("Vice-Presidente"),
        72,
        IF($B623 = 3 + N("Secretária bilíngue"),
            13,
            RANDBETWEEN(5,COUNT(Name!$A:$A) + 1)
        )
    )
)</f>
        <v>6</v>
      </c>
      <c r="E623" s="7" t="str">
        <f ca="1" xml:space="preserve">
VLOOKUP(
  $D623,
  Name!$A:$B,
  2,
  FALSE
)
&amp; " " &amp;
IF($B623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Abigail Simões Campos</v>
      </c>
      <c r="F623" s="7">
        <v>2</v>
      </c>
      <c r="G623" s="7" cm="1">
        <f t="array" aca="1" ref="G623" ca="1">INDEX(States!$B:$B,RANDBETWEEN(2,COUNTA(States!$A:$A)),1)</f>
        <v>16</v>
      </c>
      <c r="H623" s="7" t="str">
        <f ca="1">VLOOKUP($D623,Name!$A:$C,3,FALSE)</f>
        <v>F</v>
      </c>
      <c r="I623" s="7" cm="1">
        <f t="array" aca="1" ref="I623" ca="1">INDEX('Marital status'!$A:$A,RANDBETWEEN(2,COUNTA('Marital status'!$A:$A)),1)</f>
        <v>2</v>
      </c>
      <c r="J623" s="7">
        <f t="shared" ca="1" si="111"/>
        <v>3</v>
      </c>
      <c r="K623" s="8">
        <f t="shared" ca="1" si="112"/>
        <v>38234</v>
      </c>
      <c r="L623" s="6">
        <f t="shared" ca="1" si="113"/>
        <v>5</v>
      </c>
      <c r="M623" s="7">
        <f ca="1" xml:space="preserve">
  IF(OR($N623 = 2, $N623 = 3, $N623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623" s="6">
        <f t="shared" ca="1" si="114"/>
        <v>8</v>
      </c>
      <c r="O623" s="6">
        <f t="shared" ca="1" si="115"/>
        <v>2</v>
      </c>
      <c r="P623" s="8">
        <f t="shared" ca="1" si="116"/>
        <v>44838</v>
      </c>
      <c r="Q623" s="6">
        <f ca="1">RANDBETWEEN(2,COUNTA('Recruitment source'!$A:$A))</f>
        <v>6</v>
      </c>
      <c r="R623" s="8" t="e">
        <f t="shared" ca="1" si="117"/>
        <v>#N/A</v>
      </c>
      <c r="S623" s="6" t="e">
        <f t="shared" ca="1" si="118"/>
        <v>#N/A</v>
      </c>
      <c r="T623" s="6">
        <f t="shared" ca="1" si="108"/>
        <v>2</v>
      </c>
      <c r="U623" s="1">
        <f t="shared" ca="1" si="119"/>
        <v>2000</v>
      </c>
    </row>
    <row r="624" spans="1:21" x14ac:dyDescent="0.2">
      <c r="A624" s="7" cm="1">
        <f t="array" aca="1" ref="A624" ca="1">INDEX(Companies!$A:$A,RANDBETWEEN(2,COUNTA(Companies!$A:$A)),1)</f>
        <v>2</v>
      </c>
      <c r="B624" s="5">
        <f t="shared" si="109"/>
        <v>623</v>
      </c>
      <c r="C624" s="6">
        <f t="shared" ca="1" si="110"/>
        <v>1</v>
      </c>
      <c r="D624" s="7">
        <f ca="1">IF($B624 = 1 + N("Presidente"),
    127,
    IF($B624 = 2 + N("Vice-Presidente"),
        72,
        IF($B624 = 3 + N("Secretária bilíngue"),
            13,
            RANDBETWEEN(5,COUNT(Name!$A:$A) + 1)
        )
    )
)</f>
        <v>46</v>
      </c>
      <c r="E624" s="7" t="str">
        <f ca="1" xml:space="preserve">
VLOOKUP(
  $D624,
  Name!$A:$B,
  2,
  FALSE
)
&amp; " " &amp;
IF($B624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Julia Bermudes Costa</v>
      </c>
      <c r="F624" s="7">
        <v>2</v>
      </c>
      <c r="G624" s="7" cm="1">
        <f t="array" aca="1" ref="G624" ca="1">INDEX(States!$B:$B,RANDBETWEEN(2,COUNTA(States!$A:$A)),1)</f>
        <v>21</v>
      </c>
      <c r="H624" s="7" t="str">
        <f ca="1">VLOOKUP($D624,Name!$A:$C,3,FALSE)</f>
        <v>F</v>
      </c>
      <c r="I624" s="7" cm="1">
        <f t="array" aca="1" ref="I624" ca="1">INDEX('Marital status'!$A:$A,RANDBETWEEN(2,COUNTA('Marital status'!$A:$A)),1)</f>
        <v>4</v>
      </c>
      <c r="J624" s="7">
        <f t="shared" ca="1" si="111"/>
        <v>2</v>
      </c>
      <c r="K624" s="8">
        <f t="shared" ca="1" si="112"/>
        <v>34795</v>
      </c>
      <c r="L624" s="6">
        <f t="shared" ca="1" si="113"/>
        <v>4</v>
      </c>
      <c r="M624" s="7">
        <f ca="1" xml:space="preserve">
  IF(OR($N624 = 2, $N624 = 3, $N624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624" s="6">
        <f t="shared" ca="1" si="114"/>
        <v>7</v>
      </c>
      <c r="O624" s="6" t="e">
        <f t="shared" ca="1" si="115"/>
        <v>#N/A</v>
      </c>
      <c r="P624" s="8">
        <f t="shared" ca="1" si="116"/>
        <v>43098</v>
      </c>
      <c r="Q624" s="6">
        <f ca="1">RANDBETWEEN(2,COUNTA('Recruitment source'!$A:$A))</f>
        <v>10</v>
      </c>
      <c r="R624" s="8" t="e">
        <f t="shared" ca="1" si="117"/>
        <v>#N/A</v>
      </c>
      <c r="S624" s="6" t="e">
        <f t="shared" ca="1" si="118"/>
        <v>#N/A</v>
      </c>
      <c r="T624" s="6">
        <f t="shared" ca="1" si="108"/>
        <v>3</v>
      </c>
      <c r="U624" s="1">
        <f t="shared" ca="1" si="119"/>
        <v>1005</v>
      </c>
    </row>
    <row r="625" spans="1:21" x14ac:dyDescent="0.2">
      <c r="A625" s="7" cm="1">
        <f t="array" aca="1" ref="A625" ca="1">INDEX(Companies!$A:$A,RANDBETWEEN(2,COUNTA(Companies!$A:$A)),1)</f>
        <v>2</v>
      </c>
      <c r="B625" s="5">
        <f t="shared" si="109"/>
        <v>624</v>
      </c>
      <c r="C625" s="6">
        <f t="shared" ca="1" si="110"/>
        <v>1</v>
      </c>
      <c r="D625" s="7">
        <f ca="1">IF($B625 = 1 + N("Presidente"),
    127,
    IF($B625 = 2 + N("Vice-Presidente"),
        72,
        IF($B625 = 3 + N("Secretária bilíngue"),
            13,
            RANDBETWEEN(5,COUNT(Name!$A:$A) + 1)
        )
    )
)</f>
        <v>359</v>
      </c>
      <c r="E625" s="7" t="str">
        <f ca="1" xml:space="preserve">
VLOOKUP(
  $D625,
  Name!$A:$B,
  2,
  FALSE
)
&amp; " " &amp;
IF($B625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Vitor Alvarenga Silva</v>
      </c>
      <c r="F625" s="7">
        <v>2</v>
      </c>
      <c r="G625" s="7" cm="1">
        <f t="array" aca="1" ref="G625" ca="1">INDEX(States!$B:$B,RANDBETWEEN(2,COUNTA(States!$A:$A)),1)</f>
        <v>18</v>
      </c>
      <c r="H625" s="7" t="str">
        <f ca="1">VLOOKUP($D625,Name!$A:$C,3,FALSE)</f>
        <v>M</v>
      </c>
      <c r="I625" s="7" cm="1">
        <f t="array" aca="1" ref="I625" ca="1">INDEX('Marital status'!$A:$A,RANDBETWEEN(2,COUNTA('Marital status'!$A:$A)),1)</f>
        <v>2</v>
      </c>
      <c r="J625" s="7">
        <f t="shared" ca="1" si="111"/>
        <v>2</v>
      </c>
      <c r="K625" s="8">
        <f t="shared" ca="1" si="112"/>
        <v>38022</v>
      </c>
      <c r="L625" s="6">
        <f t="shared" ca="1" si="113"/>
        <v>4</v>
      </c>
      <c r="M625" s="7">
        <f ca="1" xml:space="preserve">
  IF(OR($N625 = 2, $N625 = 3, $N625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625" s="6">
        <f t="shared" ca="1" si="114"/>
        <v>8</v>
      </c>
      <c r="O625" s="6">
        <f t="shared" ca="1" si="115"/>
        <v>3</v>
      </c>
      <c r="P625" s="8">
        <f t="shared" ca="1" si="116"/>
        <v>44838</v>
      </c>
      <c r="Q625" s="6">
        <f ca="1">RANDBETWEEN(2,COUNTA('Recruitment source'!$A:$A))</f>
        <v>10</v>
      </c>
      <c r="R625" s="8" t="e">
        <f t="shared" ca="1" si="117"/>
        <v>#N/A</v>
      </c>
      <c r="S625" s="6" t="e">
        <f t="shared" ca="1" si="118"/>
        <v>#N/A</v>
      </c>
      <c r="T625" s="6">
        <f t="shared" ca="1" si="108"/>
        <v>2</v>
      </c>
      <c r="U625" s="1">
        <f t="shared" ca="1" si="119"/>
        <v>2000</v>
      </c>
    </row>
    <row r="626" spans="1:21" x14ac:dyDescent="0.2">
      <c r="A626" s="7" cm="1">
        <f t="array" aca="1" ref="A626" ca="1">INDEX(Companies!$A:$A,RANDBETWEEN(2,COUNTA(Companies!$A:$A)),1)</f>
        <v>2</v>
      </c>
      <c r="B626" s="5">
        <f t="shared" si="109"/>
        <v>625</v>
      </c>
      <c r="C626" s="6">
        <f t="shared" ca="1" si="110"/>
        <v>1</v>
      </c>
      <c r="D626" s="7">
        <f ca="1">IF($B626 = 1 + N("Presidente"),
    127,
    IF($B626 = 2 + N("Vice-Presidente"),
        72,
        IF($B626 = 3 + N("Secretária bilíngue"),
            13,
            RANDBETWEEN(5,COUNT(Name!$A:$A) + 1)
        )
    )
)</f>
        <v>318</v>
      </c>
      <c r="E626" s="7" t="str">
        <f ca="1" xml:space="preserve">
VLOOKUP(
  $D626,
  Name!$A:$B,
  2,
  FALSE
)
&amp; " " &amp;
IF($B626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Lucas Asvilla Esposito</v>
      </c>
      <c r="F626" s="7">
        <v>2</v>
      </c>
      <c r="G626" s="7" cm="1">
        <f t="array" aca="1" ref="G626" ca="1">INDEX(States!$B:$B,RANDBETWEEN(2,COUNTA(States!$A:$A)),1)</f>
        <v>16</v>
      </c>
      <c r="H626" s="7" t="str">
        <f ca="1">VLOOKUP($D626,Name!$A:$C,3,FALSE)</f>
        <v>M</v>
      </c>
      <c r="I626" s="7" cm="1">
        <f t="array" aca="1" ref="I626" ca="1">INDEX('Marital status'!$A:$A,RANDBETWEEN(2,COUNTA('Marital status'!$A:$A)),1)</f>
        <v>6</v>
      </c>
      <c r="J626" s="7">
        <f t="shared" ca="1" si="111"/>
        <v>2</v>
      </c>
      <c r="K626" s="8">
        <f t="shared" ca="1" si="112"/>
        <v>32397</v>
      </c>
      <c r="L626" s="6">
        <f t="shared" ca="1" si="113"/>
        <v>4</v>
      </c>
      <c r="M626" s="7">
        <f ca="1" xml:space="preserve">
  IF(OR($N626 = 2, $N626 = 3, $N626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626" s="6">
        <f t="shared" ca="1" si="114"/>
        <v>7</v>
      </c>
      <c r="O626" s="6" t="e">
        <f t="shared" ca="1" si="115"/>
        <v>#N/A</v>
      </c>
      <c r="P626" s="8">
        <f t="shared" ca="1" si="116"/>
        <v>39418</v>
      </c>
      <c r="Q626" s="6">
        <f ca="1">RANDBETWEEN(2,COUNTA('Recruitment source'!$A:$A))</f>
        <v>8</v>
      </c>
      <c r="R626" s="8" t="e">
        <f t="shared" ca="1" si="117"/>
        <v>#N/A</v>
      </c>
      <c r="S626" s="6" t="e">
        <f t="shared" ca="1" si="118"/>
        <v>#N/A</v>
      </c>
      <c r="T626" s="6">
        <f t="shared" ca="1" si="108"/>
        <v>3</v>
      </c>
      <c r="U626" s="1">
        <f t="shared" ca="1" si="119"/>
        <v>1005</v>
      </c>
    </row>
    <row r="627" spans="1:21" x14ac:dyDescent="0.2">
      <c r="A627" s="7" cm="1">
        <f t="array" aca="1" ref="A627" ca="1">INDEX(Companies!$A:$A,RANDBETWEEN(2,COUNTA(Companies!$A:$A)),1)</f>
        <v>2</v>
      </c>
      <c r="B627" s="5">
        <f t="shared" si="109"/>
        <v>626</v>
      </c>
      <c r="C627" s="6">
        <f t="shared" ca="1" si="110"/>
        <v>1</v>
      </c>
      <c r="D627" s="7">
        <f ca="1">IF($B627 = 1 + N("Presidente"),
    127,
    IF($B627 = 2 + N("Vice-Presidente"),
        72,
        IF($B627 = 3 + N("Secretária bilíngue"),
            13,
            RANDBETWEEN(5,COUNT(Name!$A:$A) + 1)
        )
    )
)</f>
        <v>257</v>
      </c>
      <c r="E627" s="7" t="str">
        <f ca="1" xml:space="preserve">
VLOOKUP(
  $D627,
  Name!$A:$B,
  2,
  FALSE
)
&amp; " " &amp;
IF($B627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Pimentel Araújo</v>
      </c>
      <c r="F627" s="7">
        <v>2</v>
      </c>
      <c r="G627" s="7" cm="1">
        <f t="array" aca="1" ref="G627" ca="1">INDEX(States!$B:$B,RANDBETWEEN(2,COUNTA(States!$A:$A)),1)</f>
        <v>19</v>
      </c>
      <c r="H627" s="7" t="str">
        <f ca="1">VLOOKUP($D627,Name!$A:$C,3,FALSE)</f>
        <v>F</v>
      </c>
      <c r="I627" s="7" cm="1">
        <f t="array" aca="1" ref="I627" ca="1">INDEX('Marital status'!$A:$A,RANDBETWEEN(2,COUNTA('Marital status'!$A:$A)),1)</f>
        <v>3</v>
      </c>
      <c r="J627" s="7">
        <f t="shared" ca="1" si="111"/>
        <v>5</v>
      </c>
      <c r="K627" s="8">
        <f t="shared" ca="1" si="112"/>
        <v>35993</v>
      </c>
      <c r="L627" s="6">
        <f t="shared" ca="1" si="113"/>
        <v>5</v>
      </c>
      <c r="M627" s="7">
        <f ca="1" xml:space="preserve">
  IF(OR($N627 = 2, $N627 = 3, $N627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627" s="6">
        <f t="shared" ca="1" si="114"/>
        <v>8</v>
      </c>
      <c r="O627" s="6">
        <f t="shared" ca="1" si="115"/>
        <v>2</v>
      </c>
      <c r="P627" s="8">
        <f t="shared" ca="1" si="116"/>
        <v>37926</v>
      </c>
      <c r="Q627" s="6">
        <f ca="1">RANDBETWEEN(2,COUNTA('Recruitment source'!$A:$A))</f>
        <v>9</v>
      </c>
      <c r="R627" s="8" t="e">
        <f t="shared" ca="1" si="117"/>
        <v>#N/A</v>
      </c>
      <c r="S627" s="6" t="e">
        <f t="shared" ca="1" si="118"/>
        <v>#N/A</v>
      </c>
      <c r="T627" s="6">
        <f t="shared" ca="1" si="108"/>
        <v>3</v>
      </c>
      <c r="U627" s="1">
        <f t="shared" ca="1" si="119"/>
        <v>2000</v>
      </c>
    </row>
    <row r="628" spans="1:21" x14ac:dyDescent="0.2">
      <c r="A628" s="7" cm="1">
        <f t="array" aca="1" ref="A628" ca="1">INDEX(Companies!$A:$A,RANDBETWEEN(2,COUNTA(Companies!$A:$A)),1)</f>
        <v>2</v>
      </c>
      <c r="B628" s="5">
        <f t="shared" si="109"/>
        <v>627</v>
      </c>
      <c r="C628" s="6">
        <f t="shared" ca="1" si="110"/>
        <v>1</v>
      </c>
      <c r="D628" s="7">
        <f ca="1">IF($B628 = 1 + N("Presidente"),
    127,
    IF($B628 = 2 + N("Vice-Presidente"),
        72,
        IF($B628 = 3 + N("Secretária bilíngue"),
            13,
            RANDBETWEEN(5,COUNT(Name!$A:$A) + 1)
        )
    )
)</f>
        <v>219</v>
      </c>
      <c r="E628" s="7" t="str">
        <f ca="1" xml:space="preserve">
VLOOKUP(
  $D628,
  Name!$A:$B,
  2,
  FALSE
)
&amp; " " &amp;
IF($B628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Larissa Ferreira Teixeira</v>
      </c>
      <c r="F628" s="7">
        <v>2</v>
      </c>
      <c r="G628" s="7" cm="1">
        <f t="array" aca="1" ref="G628" ca="1">INDEX(States!$B:$B,RANDBETWEEN(2,COUNTA(States!$A:$A)),1)</f>
        <v>17</v>
      </c>
      <c r="H628" s="7" t="str">
        <f ca="1">VLOOKUP($D628,Name!$A:$C,3,FALSE)</f>
        <v>F</v>
      </c>
      <c r="I628" s="7" cm="1">
        <f t="array" aca="1" ref="I628" ca="1">INDEX('Marital status'!$A:$A,RANDBETWEEN(2,COUNTA('Marital status'!$A:$A)),1)</f>
        <v>2</v>
      </c>
      <c r="J628" s="7">
        <f t="shared" ca="1" si="111"/>
        <v>2</v>
      </c>
      <c r="K628" s="8">
        <f t="shared" ca="1" si="112"/>
        <v>24572</v>
      </c>
      <c r="L628" s="6">
        <f t="shared" ca="1" si="113"/>
        <v>4</v>
      </c>
      <c r="M628" s="7">
        <f ca="1" xml:space="preserve">
  IF(OR($N628 = 2, $N628 = 3, $N628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628" s="6">
        <f t="shared" ca="1" si="114"/>
        <v>6</v>
      </c>
      <c r="O628" s="6" t="e">
        <f t="shared" ca="1" si="115"/>
        <v>#N/A</v>
      </c>
      <c r="P628" s="8">
        <f t="shared" ca="1" si="116"/>
        <v>39469</v>
      </c>
      <c r="Q628" s="6">
        <f ca="1">RANDBETWEEN(2,COUNTA('Recruitment source'!$A:$A))</f>
        <v>6</v>
      </c>
      <c r="R628" s="8" t="e">
        <f t="shared" ca="1" si="117"/>
        <v>#N/A</v>
      </c>
      <c r="S628" s="6" t="e">
        <f t="shared" ca="1" si="118"/>
        <v>#N/A</v>
      </c>
      <c r="T628" s="6">
        <f t="shared" ca="1" si="108"/>
        <v>4</v>
      </c>
      <c r="U628" s="1">
        <f t="shared" ca="1" si="119"/>
        <v>805</v>
      </c>
    </row>
    <row r="629" spans="1:21" x14ac:dyDescent="0.2">
      <c r="A629" s="7" cm="1">
        <f t="array" aca="1" ref="A629" ca="1">INDEX(Companies!$A:$A,RANDBETWEEN(2,COUNTA(Companies!$A:$A)),1)</f>
        <v>2</v>
      </c>
      <c r="B629" s="5">
        <f t="shared" si="109"/>
        <v>628</v>
      </c>
      <c r="C629" s="6">
        <f t="shared" ca="1" si="110"/>
        <v>1</v>
      </c>
      <c r="D629" s="7">
        <f ca="1">IF($B629 = 1 + N("Presidente"),
    127,
    IF($B629 = 2 + N("Vice-Presidente"),
        72,
        IF($B629 = 3 + N("Secretária bilíngue"),
            13,
            RANDBETWEEN(5,COUNT(Name!$A:$A) + 1)
        )
    )
)</f>
        <v>229</v>
      </c>
      <c r="E629" s="7" t="str">
        <f ca="1" xml:space="preserve">
VLOOKUP(
  $D629,
  Name!$A:$B,
  2,
  FALSE
)
&amp; " " &amp;
IF($B629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Liz Azeredo Oliveira</v>
      </c>
      <c r="F629" s="7">
        <v>2</v>
      </c>
      <c r="G629" s="7" cm="1">
        <f t="array" aca="1" ref="G629" ca="1">INDEX(States!$B:$B,RANDBETWEEN(2,COUNTA(States!$A:$A)),1)</f>
        <v>16</v>
      </c>
      <c r="H629" s="7" t="str">
        <f ca="1">VLOOKUP($D629,Name!$A:$C,3,FALSE)</f>
        <v>F</v>
      </c>
      <c r="I629" s="7" cm="1">
        <f t="array" aca="1" ref="I629" ca="1">INDEX('Marital status'!$A:$A,RANDBETWEEN(2,COUNTA('Marital status'!$A:$A)),1)</f>
        <v>6</v>
      </c>
      <c r="J629" s="7">
        <f t="shared" ca="1" si="111"/>
        <v>2</v>
      </c>
      <c r="K629" s="8">
        <f t="shared" ca="1" si="112"/>
        <v>38240</v>
      </c>
      <c r="L629" s="6">
        <f t="shared" ca="1" si="113"/>
        <v>4</v>
      </c>
      <c r="M629" s="7">
        <f ca="1" xml:space="preserve">
  IF(OR($N629 = 2, $N629 = 3, $N629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629" s="6">
        <f t="shared" ca="1" si="114"/>
        <v>8</v>
      </c>
      <c r="O629" s="6">
        <f t="shared" ca="1" si="115"/>
        <v>2</v>
      </c>
      <c r="P629" s="8">
        <f t="shared" ca="1" si="116"/>
        <v>44838</v>
      </c>
      <c r="Q629" s="6">
        <f ca="1">RANDBETWEEN(2,COUNTA('Recruitment source'!$A:$A))</f>
        <v>9</v>
      </c>
      <c r="R629" s="8" t="e">
        <f t="shared" ca="1" si="117"/>
        <v>#N/A</v>
      </c>
      <c r="S629" s="6" t="e">
        <f t="shared" ca="1" si="118"/>
        <v>#N/A</v>
      </c>
      <c r="T629" s="6">
        <f t="shared" ca="1" si="108"/>
        <v>5</v>
      </c>
      <c r="U629" s="1">
        <f t="shared" ca="1" si="119"/>
        <v>2000</v>
      </c>
    </row>
    <row r="630" spans="1:21" x14ac:dyDescent="0.2">
      <c r="A630" s="7" cm="1">
        <f t="array" aca="1" ref="A630" ca="1">INDEX(Companies!$A:$A,RANDBETWEEN(2,COUNTA(Companies!$A:$A)),1)</f>
        <v>2</v>
      </c>
      <c r="B630" s="5">
        <f t="shared" si="109"/>
        <v>629</v>
      </c>
      <c r="C630" s="6">
        <f t="shared" ca="1" si="110"/>
        <v>1</v>
      </c>
      <c r="D630" s="7">
        <f ca="1">IF($B630 = 1 + N("Presidente"),
    127,
    IF($B630 = 2 + N("Vice-Presidente"),
        72,
        IF($B630 = 3 + N("Secretária bilíngue"),
            13,
            RANDBETWEEN(5,COUNT(Name!$A:$A) + 1)
        )
    )
)</f>
        <v>252</v>
      </c>
      <c r="E630" s="7" t="str">
        <f ca="1" xml:space="preserve">
VLOOKUP(
  $D630,
  Name!$A:$B,
  2,
  FALSE
)
&amp; " " &amp;
IF($B630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Malco Machado Salvador</v>
      </c>
      <c r="F630" s="7">
        <v>2</v>
      </c>
      <c r="G630" s="7" cm="1">
        <f t="array" aca="1" ref="G630" ca="1">INDEX(States!$B:$B,RANDBETWEEN(2,COUNTA(States!$A:$A)),1)</f>
        <v>19</v>
      </c>
      <c r="H630" s="7" t="str">
        <f ca="1">VLOOKUP($D630,Name!$A:$C,3,FALSE)</f>
        <v>M</v>
      </c>
      <c r="I630" s="7" cm="1">
        <f t="array" aca="1" ref="I630" ca="1">INDEX('Marital status'!$A:$A,RANDBETWEEN(2,COUNTA('Marital status'!$A:$A)),1)</f>
        <v>5</v>
      </c>
      <c r="J630" s="7">
        <f t="shared" ca="1" si="111"/>
        <v>3</v>
      </c>
      <c r="K630" s="8">
        <f t="shared" ca="1" si="112"/>
        <v>30530</v>
      </c>
      <c r="L630" s="6">
        <f t="shared" ca="1" si="113"/>
        <v>4</v>
      </c>
      <c r="M630" s="7">
        <f ca="1" xml:space="preserve">
  IF(OR($N630 = 2, $N630 = 3, $N630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630" s="6">
        <f t="shared" ca="1" si="114"/>
        <v>7</v>
      </c>
      <c r="O630" s="6" t="e">
        <f t="shared" ca="1" si="115"/>
        <v>#N/A</v>
      </c>
      <c r="P630" s="8">
        <f t="shared" ca="1" si="116"/>
        <v>36171</v>
      </c>
      <c r="Q630" s="6">
        <f ca="1">RANDBETWEEN(2,COUNTA('Recruitment source'!$A:$A))</f>
        <v>4</v>
      </c>
      <c r="R630" s="8" t="e">
        <f t="shared" ca="1" si="117"/>
        <v>#N/A</v>
      </c>
      <c r="S630" s="6" t="e">
        <f t="shared" ca="1" si="118"/>
        <v>#N/A</v>
      </c>
      <c r="T630" s="6">
        <f t="shared" ca="1" si="108"/>
        <v>2</v>
      </c>
      <c r="U630" s="1">
        <f t="shared" ca="1" si="119"/>
        <v>1005</v>
      </c>
    </row>
    <row r="631" spans="1:21" x14ac:dyDescent="0.2">
      <c r="A631" s="7" cm="1">
        <f t="array" aca="1" ref="A631" ca="1">INDEX(Companies!$A:$A,RANDBETWEEN(2,COUNTA(Companies!$A:$A)),1)</f>
        <v>2</v>
      </c>
      <c r="B631" s="5">
        <f t="shared" si="109"/>
        <v>630</v>
      </c>
      <c r="C631" s="6">
        <f t="shared" ca="1" si="110"/>
        <v>1</v>
      </c>
      <c r="D631" s="7">
        <f ca="1">IF($B631 = 1 + N("Presidente"),
    127,
    IF($B631 = 2 + N("Vice-Presidente"),
        72,
        IF($B631 = 3 + N("Secretária bilíngue"),
            13,
            RANDBETWEEN(5,COUNT(Name!$A:$A) + 1)
        )
    )
)</f>
        <v>248</v>
      </c>
      <c r="E631" s="7" t="str">
        <f ca="1" xml:space="preserve">
VLOOKUP(
  $D631,
  Name!$A:$B,
  2,
  FALSE
)
&amp; " " &amp;
IF($B631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Luiza Ferrara Furtado</v>
      </c>
      <c r="F631" s="7">
        <v>2</v>
      </c>
      <c r="G631" s="7" cm="1">
        <f t="array" aca="1" ref="G631" ca="1">INDEX(States!$B:$B,RANDBETWEEN(2,COUNTA(States!$A:$A)),1)</f>
        <v>17</v>
      </c>
      <c r="H631" s="7" t="str">
        <f ca="1">VLOOKUP($D631,Name!$A:$C,3,FALSE)</f>
        <v>F</v>
      </c>
      <c r="I631" s="7" cm="1">
        <f t="array" aca="1" ref="I631" ca="1">INDEX('Marital status'!$A:$A,RANDBETWEEN(2,COUNTA('Marital status'!$A:$A)),1)</f>
        <v>4</v>
      </c>
      <c r="J631" s="7">
        <f t="shared" ca="1" si="111"/>
        <v>2</v>
      </c>
      <c r="K631" s="8">
        <f t="shared" ca="1" si="112"/>
        <v>33431</v>
      </c>
      <c r="L631" s="6">
        <f t="shared" ca="1" si="113"/>
        <v>5</v>
      </c>
      <c r="M631" s="7">
        <f ca="1" xml:space="preserve">
  IF(OR($N631 = 2, $N631 = 3, $N631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631" s="6">
        <f t="shared" ca="1" si="114"/>
        <v>8</v>
      </c>
      <c r="O631" s="6">
        <f t="shared" ca="1" si="115"/>
        <v>4</v>
      </c>
      <c r="P631" s="8">
        <f t="shared" ca="1" si="116"/>
        <v>39316</v>
      </c>
      <c r="Q631" s="6">
        <f ca="1">RANDBETWEEN(2,COUNTA('Recruitment source'!$A:$A))</f>
        <v>11</v>
      </c>
      <c r="R631" s="8" t="e">
        <f t="shared" ca="1" si="117"/>
        <v>#N/A</v>
      </c>
      <c r="S631" s="6" t="e">
        <f t="shared" ca="1" si="118"/>
        <v>#N/A</v>
      </c>
      <c r="T631" s="6">
        <f t="shared" ca="1" si="108"/>
        <v>3</v>
      </c>
      <c r="U631" s="1">
        <f t="shared" ca="1" si="119"/>
        <v>2080</v>
      </c>
    </row>
    <row r="632" spans="1:21" x14ac:dyDescent="0.2">
      <c r="A632" s="7" cm="1">
        <f t="array" aca="1" ref="A632" ca="1">INDEX(Companies!$A:$A,RANDBETWEEN(2,COUNTA(Companies!$A:$A)),1)</f>
        <v>2</v>
      </c>
      <c r="B632" s="5">
        <f t="shared" si="109"/>
        <v>631</v>
      </c>
      <c r="C632" s="6">
        <f t="shared" ca="1" si="110"/>
        <v>1</v>
      </c>
      <c r="D632" s="7">
        <f ca="1">IF($B632 = 1 + N("Presidente"),
    127,
    IF($B632 = 2 + N("Vice-Presidente"),
        72,
        IF($B632 = 3 + N("Secretária bilíngue"),
            13,
            RANDBETWEEN(5,COUNT(Name!$A:$A) + 1)
        )
    )
)</f>
        <v>232</v>
      </c>
      <c r="E632" s="7" t="str">
        <f ca="1" xml:space="preserve">
VLOOKUP(
  $D632,
  Name!$A:$B,
  2,
  FALSE
)
&amp; " " &amp;
IF($B632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Lorenzo Siqueira Bianchi</v>
      </c>
      <c r="F632" s="7">
        <v>2</v>
      </c>
      <c r="G632" s="7" cm="1">
        <f t="array" aca="1" ref="G632" ca="1">INDEX(States!$B:$B,RANDBETWEEN(2,COUNTA(States!$A:$A)),1)</f>
        <v>9</v>
      </c>
      <c r="H632" s="7" t="str">
        <f ca="1">VLOOKUP($D632,Name!$A:$C,3,FALSE)</f>
        <v>M</v>
      </c>
      <c r="I632" s="7" cm="1">
        <f t="array" aca="1" ref="I632" ca="1">INDEX('Marital status'!$A:$A,RANDBETWEEN(2,COUNTA('Marital status'!$A:$A)),1)</f>
        <v>6</v>
      </c>
      <c r="J632" s="7">
        <f t="shared" ca="1" si="111"/>
        <v>2</v>
      </c>
      <c r="K632" s="8">
        <f t="shared" ca="1" si="112"/>
        <v>18683</v>
      </c>
      <c r="L632" s="6">
        <f t="shared" ca="1" si="113"/>
        <v>4</v>
      </c>
      <c r="M632" s="7">
        <f ca="1" xml:space="preserve">
  IF(OR($N632 = 2, $N632 = 3, $N632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632" s="6">
        <f t="shared" ca="1" si="114"/>
        <v>6</v>
      </c>
      <c r="O632" s="6" t="e">
        <f t="shared" ca="1" si="115"/>
        <v>#N/A</v>
      </c>
      <c r="P632" s="8">
        <f t="shared" ca="1" si="116"/>
        <v>43399</v>
      </c>
      <c r="Q632" s="6">
        <f ca="1">RANDBETWEEN(2,COUNTA('Recruitment source'!$A:$A))</f>
        <v>2</v>
      </c>
      <c r="R632" s="8" t="e">
        <f t="shared" ca="1" si="117"/>
        <v>#N/A</v>
      </c>
      <c r="S632" s="6" t="e">
        <f t="shared" ca="1" si="118"/>
        <v>#N/A</v>
      </c>
      <c r="T632" s="6">
        <f t="shared" ca="1" si="108"/>
        <v>4</v>
      </c>
      <c r="U632" s="1">
        <f t="shared" ca="1" si="119"/>
        <v>805</v>
      </c>
    </row>
    <row r="633" spans="1:21" x14ac:dyDescent="0.2">
      <c r="A633" s="7" cm="1">
        <f t="array" aca="1" ref="A633" ca="1">INDEX(Companies!$A:$A,RANDBETWEEN(2,COUNTA(Companies!$A:$A)),1)</f>
        <v>2</v>
      </c>
      <c r="B633" s="5">
        <f t="shared" si="109"/>
        <v>632</v>
      </c>
      <c r="C633" s="6">
        <f t="shared" ca="1" si="110"/>
        <v>1</v>
      </c>
      <c r="D633" s="7">
        <f ca="1">IF($B633 = 1 + N("Presidente"),
    127,
    IF($B633 = 2 + N("Vice-Presidente"),
        72,
        IF($B633 = 3 + N("Secretária bilíngue"),
            13,
            RANDBETWEEN(5,COUNT(Name!$A:$A) + 1)
        )
    )
)</f>
        <v>265</v>
      </c>
      <c r="E633" s="7" t="str">
        <f ca="1" xml:space="preserve">
VLOOKUP(
  $D633,
  Name!$A:$B,
  2,
  FALSE
)
&amp; " " &amp;
IF($B633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Glória Abranches Pinto</v>
      </c>
      <c r="F633" s="7">
        <v>2</v>
      </c>
      <c r="G633" s="7" cm="1">
        <f t="array" aca="1" ref="G633" ca="1">INDEX(States!$B:$B,RANDBETWEEN(2,COUNTA(States!$A:$A)),1)</f>
        <v>19</v>
      </c>
      <c r="H633" s="7" t="str">
        <f ca="1">VLOOKUP($D633,Name!$A:$C,3,FALSE)</f>
        <v>F</v>
      </c>
      <c r="I633" s="7" cm="1">
        <f t="array" aca="1" ref="I633" ca="1">INDEX('Marital status'!$A:$A,RANDBETWEEN(2,COUNTA('Marital status'!$A:$A)),1)</f>
        <v>5</v>
      </c>
      <c r="J633" s="7">
        <f t="shared" ca="1" si="111"/>
        <v>2</v>
      </c>
      <c r="K633" s="8">
        <f t="shared" ca="1" si="112"/>
        <v>34176</v>
      </c>
      <c r="L633" s="6">
        <f t="shared" ca="1" si="113"/>
        <v>5</v>
      </c>
      <c r="M633" s="7">
        <f ca="1" xml:space="preserve">
  IF(OR($N633 = 2, $N633 = 3, $N633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633" s="6">
        <f t="shared" ca="1" si="114"/>
        <v>8</v>
      </c>
      <c r="O633" s="6">
        <f t="shared" ca="1" si="115"/>
        <v>3</v>
      </c>
      <c r="P633" s="8">
        <f t="shared" ca="1" si="116"/>
        <v>40988</v>
      </c>
      <c r="Q633" s="6">
        <f ca="1">RANDBETWEEN(2,COUNTA('Recruitment source'!$A:$A))</f>
        <v>5</v>
      </c>
      <c r="R633" s="8" t="e">
        <f t="shared" ca="1" si="117"/>
        <v>#N/A</v>
      </c>
      <c r="S633" s="6" t="e">
        <f t="shared" ca="1" si="118"/>
        <v>#N/A</v>
      </c>
      <c r="T633" s="6">
        <f t="shared" ca="1" si="108"/>
        <v>3</v>
      </c>
      <c r="U633" s="1">
        <f t="shared" ca="1" si="119"/>
        <v>2080</v>
      </c>
    </row>
    <row r="634" spans="1:21" x14ac:dyDescent="0.2">
      <c r="A634" s="7" cm="1">
        <f t="array" aca="1" ref="A634" ca="1">INDEX(Companies!$A:$A,RANDBETWEEN(2,COUNTA(Companies!$A:$A)),1)</f>
        <v>2</v>
      </c>
      <c r="B634" s="5">
        <f t="shared" si="109"/>
        <v>633</v>
      </c>
      <c r="C634" s="6">
        <f t="shared" ca="1" si="110"/>
        <v>1</v>
      </c>
      <c r="D634" s="7">
        <f ca="1">IF($B634 = 1 + N("Presidente"),
    127,
    IF($B634 = 2 + N("Vice-Presidente"),
        72,
        IF($B634 = 3 + N("Secretária bilíngue"),
            13,
            RANDBETWEEN(5,COUNT(Name!$A:$A) + 1)
        )
    )
)</f>
        <v>118</v>
      </c>
      <c r="E634" s="7" t="str">
        <f ca="1" xml:space="preserve">
VLOOKUP(
  $D634,
  Name!$A:$B,
  2,
  FALSE
)
&amp; " " &amp;
IF($B634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Eliezer Santoro Morais</v>
      </c>
      <c r="F634" s="7">
        <v>2</v>
      </c>
      <c r="G634" s="7" cm="1">
        <f t="array" aca="1" ref="G634" ca="1">INDEX(States!$B:$B,RANDBETWEEN(2,COUNTA(States!$A:$A)),1)</f>
        <v>17</v>
      </c>
      <c r="H634" s="7" t="str">
        <f ca="1">VLOOKUP($D634,Name!$A:$C,3,FALSE)</f>
        <v>M</v>
      </c>
      <c r="I634" s="7" cm="1">
        <f t="array" aca="1" ref="I634" ca="1">INDEX('Marital status'!$A:$A,RANDBETWEEN(2,COUNTA('Marital status'!$A:$A)),1)</f>
        <v>5</v>
      </c>
      <c r="J634" s="7">
        <f t="shared" ca="1" si="111"/>
        <v>2</v>
      </c>
      <c r="K634" s="8">
        <f t="shared" ca="1" si="112"/>
        <v>19001</v>
      </c>
      <c r="L634" s="6">
        <f t="shared" ca="1" si="113"/>
        <v>4</v>
      </c>
      <c r="M634" s="7">
        <f ca="1" xml:space="preserve">
  IF(OR($N634 = 2, $N634 = 3, $N634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634" s="6">
        <f t="shared" ca="1" si="114"/>
        <v>6</v>
      </c>
      <c r="O634" s="6" t="e">
        <f t="shared" ca="1" si="115"/>
        <v>#N/A</v>
      </c>
      <c r="P634" s="8">
        <f t="shared" ca="1" si="116"/>
        <v>37931</v>
      </c>
      <c r="Q634" s="6">
        <f ca="1">RANDBETWEEN(2,COUNTA('Recruitment source'!$A:$A))</f>
        <v>3</v>
      </c>
      <c r="R634" s="8" t="e">
        <f t="shared" ca="1" si="117"/>
        <v>#N/A</v>
      </c>
      <c r="S634" s="6" t="e">
        <f t="shared" ca="1" si="118"/>
        <v>#N/A</v>
      </c>
      <c r="T634" s="6">
        <f t="shared" ca="1" si="108"/>
        <v>4</v>
      </c>
      <c r="U634" s="1">
        <f t="shared" ca="1" si="119"/>
        <v>805</v>
      </c>
    </row>
    <row r="635" spans="1:21" x14ac:dyDescent="0.2">
      <c r="A635" s="7" cm="1">
        <f t="array" aca="1" ref="A635" ca="1">INDEX(Companies!$A:$A,RANDBETWEEN(2,COUNTA(Companies!$A:$A)),1)</f>
        <v>2</v>
      </c>
      <c r="B635" s="5">
        <f t="shared" si="109"/>
        <v>634</v>
      </c>
      <c r="C635" s="6">
        <f t="shared" ca="1" si="110"/>
        <v>1</v>
      </c>
      <c r="D635" s="7">
        <f ca="1">IF($B635 = 1 + N("Presidente"),
    127,
    IF($B635 = 2 + N("Vice-Presidente"),
        72,
        IF($B635 = 3 + N("Secretária bilíngue"),
            13,
            RANDBETWEEN(5,COUNT(Name!$A:$A) + 1)
        )
    )
)</f>
        <v>92</v>
      </c>
      <c r="E635" s="7" t="str">
        <f ca="1" xml:space="preserve">
VLOOKUP(
  $D635,
  Name!$A:$B,
  2,
  FALSE
)
&amp; " " &amp;
IF($B635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Cecília Furtado Martins</v>
      </c>
      <c r="F635" s="7">
        <v>2</v>
      </c>
      <c r="G635" s="7" cm="1">
        <f t="array" aca="1" ref="G635" ca="1">INDEX(States!$B:$B,RANDBETWEEN(2,COUNTA(States!$A:$A)),1)</f>
        <v>14</v>
      </c>
      <c r="H635" s="7" t="str">
        <f ca="1">VLOOKUP($D635,Name!$A:$C,3,FALSE)</f>
        <v>F</v>
      </c>
      <c r="I635" s="7" cm="1">
        <f t="array" aca="1" ref="I635" ca="1">INDEX('Marital status'!$A:$A,RANDBETWEEN(2,COUNTA('Marital status'!$A:$A)),1)</f>
        <v>3</v>
      </c>
      <c r="J635" s="7">
        <f t="shared" ca="1" si="111"/>
        <v>2</v>
      </c>
      <c r="K635" s="8">
        <f t="shared" ca="1" si="112"/>
        <v>33599</v>
      </c>
      <c r="L635" s="6">
        <f t="shared" ca="1" si="113"/>
        <v>5</v>
      </c>
      <c r="M635" s="7">
        <f ca="1" xml:space="preserve">
  IF(OR($N635 = 2, $N635 = 3, $N635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635" s="6">
        <f t="shared" ca="1" si="114"/>
        <v>8</v>
      </c>
      <c r="O635" s="6">
        <f t="shared" ca="1" si="115"/>
        <v>3</v>
      </c>
      <c r="P635" s="8">
        <f t="shared" ca="1" si="116"/>
        <v>39560</v>
      </c>
      <c r="Q635" s="6">
        <f ca="1">RANDBETWEEN(2,COUNTA('Recruitment source'!$A:$A))</f>
        <v>11</v>
      </c>
      <c r="R635" s="8" t="e">
        <f t="shared" ca="1" si="117"/>
        <v>#N/A</v>
      </c>
      <c r="S635" s="6" t="e">
        <f t="shared" ca="1" si="118"/>
        <v>#N/A</v>
      </c>
      <c r="T635" s="6">
        <f t="shared" ca="1" si="108"/>
        <v>3</v>
      </c>
      <c r="U635" s="1">
        <f t="shared" ca="1" si="119"/>
        <v>2000</v>
      </c>
    </row>
    <row r="636" spans="1:21" x14ac:dyDescent="0.2">
      <c r="A636" s="7" cm="1">
        <f t="array" aca="1" ref="A636" ca="1">INDEX(Companies!$A:$A,RANDBETWEEN(2,COUNTA(Companies!$A:$A)),1)</f>
        <v>2</v>
      </c>
      <c r="B636" s="5">
        <f t="shared" si="109"/>
        <v>635</v>
      </c>
      <c r="C636" s="6">
        <f t="shared" ca="1" si="110"/>
        <v>1</v>
      </c>
      <c r="D636" s="7">
        <f ca="1">IF($B636 = 1 + N("Presidente"),
    127,
    IF($B636 = 2 + N("Vice-Presidente"),
        72,
        IF($B636 = 3 + N("Secretária bilíngue"),
            13,
            RANDBETWEEN(5,COUNT(Name!$A:$A) + 1)
        )
    )
)</f>
        <v>119</v>
      </c>
      <c r="E636" s="7" t="str">
        <f ca="1" xml:space="preserve">
VLOOKUP(
  $D636,
  Name!$A:$B,
  2,
  FALSE
)
&amp; " " &amp;
IF($B636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Elisa Bianchi Cunha</v>
      </c>
      <c r="F636" s="7">
        <v>2</v>
      </c>
      <c r="G636" s="7" cm="1">
        <f t="array" aca="1" ref="G636" ca="1">INDEX(States!$B:$B,RANDBETWEEN(2,COUNTA(States!$A:$A)),1)</f>
        <v>4</v>
      </c>
      <c r="H636" s="7" t="str">
        <f ca="1">VLOOKUP($D636,Name!$A:$C,3,FALSE)</f>
        <v>F</v>
      </c>
      <c r="I636" s="7" cm="1">
        <f t="array" aca="1" ref="I636" ca="1">INDEX('Marital status'!$A:$A,RANDBETWEEN(2,COUNTA('Marital status'!$A:$A)),1)</f>
        <v>4</v>
      </c>
      <c r="J636" s="7">
        <f t="shared" ca="1" si="111"/>
        <v>2</v>
      </c>
      <c r="K636" s="8">
        <f t="shared" ca="1" si="112"/>
        <v>33050</v>
      </c>
      <c r="L636" s="6">
        <f t="shared" ca="1" si="113"/>
        <v>4</v>
      </c>
      <c r="M636" s="7">
        <f ca="1" xml:space="preserve">
  IF(OR($N636 = 2, $N636 = 3, $N636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636" s="6">
        <f t="shared" ca="1" si="114"/>
        <v>7</v>
      </c>
      <c r="O636" s="6" t="e">
        <f t="shared" ca="1" si="115"/>
        <v>#N/A</v>
      </c>
      <c r="P636" s="8">
        <f t="shared" ca="1" si="116"/>
        <v>38839</v>
      </c>
      <c r="Q636" s="6">
        <f ca="1">RANDBETWEEN(2,COUNTA('Recruitment source'!$A:$A))</f>
        <v>3</v>
      </c>
      <c r="R636" s="8" t="e">
        <f t="shared" ca="1" si="117"/>
        <v>#N/A</v>
      </c>
      <c r="S636" s="6" t="e">
        <f t="shared" ca="1" si="118"/>
        <v>#N/A</v>
      </c>
      <c r="T636" s="6">
        <f t="shared" ca="1" si="108"/>
        <v>2</v>
      </c>
      <c r="U636" s="1">
        <f t="shared" ca="1" si="119"/>
        <v>1085</v>
      </c>
    </row>
    <row r="637" spans="1:21" x14ac:dyDescent="0.2">
      <c r="A637" s="7" cm="1">
        <f t="array" aca="1" ref="A637" ca="1">INDEX(Companies!$A:$A,RANDBETWEEN(2,COUNTA(Companies!$A:$A)),1)</f>
        <v>2</v>
      </c>
      <c r="B637" s="5">
        <f t="shared" si="109"/>
        <v>636</v>
      </c>
      <c r="C637" s="6">
        <f t="shared" ca="1" si="110"/>
        <v>1</v>
      </c>
      <c r="D637" s="7">
        <f ca="1">IF($B637 = 1 + N("Presidente"),
    127,
    IF($B637 = 2 + N("Vice-Presidente"),
        72,
        IF($B637 = 3 + N("Secretária bilíngue"),
            13,
            RANDBETWEEN(5,COUNT(Name!$A:$A) + 1)
        )
    )
)</f>
        <v>340</v>
      </c>
      <c r="E637" s="7" t="str">
        <f ca="1" xml:space="preserve">
VLOOKUP(
  $D637,
  Name!$A:$B,
  2,
  FALSE
)
&amp; " " &amp;
IF($B637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Stella Camargo Freitas</v>
      </c>
      <c r="F637" s="7">
        <v>2</v>
      </c>
      <c r="G637" s="7" cm="1">
        <f t="array" aca="1" ref="G637" ca="1">INDEX(States!$B:$B,RANDBETWEEN(2,COUNTA(States!$A:$A)),1)</f>
        <v>4</v>
      </c>
      <c r="H637" s="7" t="str">
        <f ca="1">VLOOKUP($D637,Name!$A:$C,3,FALSE)</f>
        <v>F</v>
      </c>
      <c r="I637" s="7" cm="1">
        <f t="array" aca="1" ref="I637" ca="1">INDEX('Marital status'!$A:$A,RANDBETWEEN(2,COUNTA('Marital status'!$A:$A)),1)</f>
        <v>6</v>
      </c>
      <c r="J637" s="7">
        <f t="shared" ca="1" si="111"/>
        <v>3</v>
      </c>
      <c r="K637" s="8">
        <f t="shared" ca="1" si="112"/>
        <v>36957</v>
      </c>
      <c r="L637" s="6">
        <f t="shared" ca="1" si="113"/>
        <v>5</v>
      </c>
      <c r="M637" s="7">
        <f ca="1" xml:space="preserve">
  IF(OR($N637 = 2, $N637 = 3, $N637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637" s="6">
        <f t="shared" ca="1" si="114"/>
        <v>8</v>
      </c>
      <c r="O637" s="6">
        <f t="shared" ca="1" si="115"/>
        <v>3</v>
      </c>
      <c r="P637" s="8">
        <f t="shared" ca="1" si="116"/>
        <v>43497</v>
      </c>
      <c r="Q637" s="6">
        <f ca="1">RANDBETWEEN(2,COUNTA('Recruitment source'!$A:$A))</f>
        <v>12</v>
      </c>
      <c r="R637" s="8" t="e">
        <f t="shared" ca="1" si="117"/>
        <v>#N/A</v>
      </c>
      <c r="S637" s="6" t="e">
        <f t="shared" ca="1" si="118"/>
        <v>#N/A</v>
      </c>
      <c r="T637" s="6">
        <f t="shared" ca="1" si="108"/>
        <v>5</v>
      </c>
      <c r="U637" s="1">
        <f t="shared" ca="1" si="119"/>
        <v>2000</v>
      </c>
    </row>
    <row r="638" spans="1:21" x14ac:dyDescent="0.2">
      <c r="A638" s="7" cm="1">
        <f t="array" aca="1" ref="A638" ca="1">INDEX(Companies!$A:$A,RANDBETWEEN(2,COUNTA(Companies!$A:$A)),1)</f>
        <v>2</v>
      </c>
      <c r="B638" s="5">
        <f t="shared" si="109"/>
        <v>637</v>
      </c>
      <c r="C638" s="6">
        <f t="shared" ca="1" si="110"/>
        <v>1</v>
      </c>
      <c r="D638" s="7">
        <f ca="1">IF($B638 = 1 + N("Presidente"),
    127,
    IF($B638 = 2 + N("Vice-Presidente"),
        72,
        IF($B638 = 3 + N("Secretária bilíngue"),
            13,
            RANDBETWEEN(5,COUNT(Name!$A:$A) + 1)
        )
    )
)</f>
        <v>359</v>
      </c>
      <c r="E638" s="7" t="str">
        <f ca="1" xml:space="preserve">
VLOOKUP(
  $D638,
  Name!$A:$B,
  2,
  FALSE
)
&amp; " " &amp;
IF($B638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Vitor Negrão Esposito</v>
      </c>
      <c r="F638" s="7">
        <v>2</v>
      </c>
      <c r="G638" s="7" cm="1">
        <f t="array" aca="1" ref="G638" ca="1">INDEX(States!$B:$B,RANDBETWEEN(2,COUNTA(States!$A:$A)),1)</f>
        <v>2</v>
      </c>
      <c r="H638" s="7" t="str">
        <f ca="1">VLOOKUP($D638,Name!$A:$C,3,FALSE)</f>
        <v>M</v>
      </c>
      <c r="I638" s="7" cm="1">
        <f t="array" aca="1" ref="I638" ca="1">INDEX('Marital status'!$A:$A,RANDBETWEEN(2,COUNTA('Marital status'!$A:$A)),1)</f>
        <v>6</v>
      </c>
      <c r="J638" s="7">
        <f t="shared" ca="1" si="111"/>
        <v>4</v>
      </c>
      <c r="K638" s="8">
        <f t="shared" ca="1" si="112"/>
        <v>32955</v>
      </c>
      <c r="L638" s="6">
        <f t="shared" ca="1" si="113"/>
        <v>4</v>
      </c>
      <c r="M638" s="7">
        <f ca="1" xml:space="preserve">
  IF(OR($N638 = 2, $N638 = 3, $N638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638" s="6">
        <f t="shared" ca="1" si="114"/>
        <v>7</v>
      </c>
      <c r="O638" s="6" t="e">
        <f t="shared" ca="1" si="115"/>
        <v>#N/A</v>
      </c>
      <c r="P638" s="8">
        <f t="shared" ca="1" si="116"/>
        <v>39958</v>
      </c>
      <c r="Q638" s="6">
        <f ca="1">RANDBETWEEN(2,COUNTA('Recruitment source'!$A:$A))</f>
        <v>6</v>
      </c>
      <c r="R638" s="8" t="e">
        <f t="shared" ca="1" si="117"/>
        <v>#N/A</v>
      </c>
      <c r="S638" s="6" t="e">
        <f t="shared" ca="1" si="118"/>
        <v>#N/A</v>
      </c>
      <c r="T638" s="6">
        <f t="shared" ca="1" si="108"/>
        <v>2</v>
      </c>
      <c r="U638" s="1">
        <f t="shared" ca="1" si="119"/>
        <v>1005</v>
      </c>
    </row>
    <row r="639" spans="1:21" x14ac:dyDescent="0.2">
      <c r="A639" s="7" cm="1">
        <f t="array" aca="1" ref="A639" ca="1">INDEX(Companies!$A:$A,RANDBETWEEN(2,COUNTA(Companies!$A:$A)),1)</f>
        <v>2</v>
      </c>
      <c r="B639" s="5">
        <f t="shared" si="109"/>
        <v>638</v>
      </c>
      <c r="C639" s="6">
        <f t="shared" ca="1" si="110"/>
        <v>1</v>
      </c>
      <c r="D639" s="7">
        <f ca="1">IF($B639 = 1 + N("Presidente"),
    127,
    IF($B639 = 2 + N("Vice-Presidente"),
        72,
        IF($B639 = 3 + N("Secretária bilíngue"),
            13,
            RANDBETWEEN(5,COUNT(Name!$A:$A) + 1)
        )
    )
)</f>
        <v>231</v>
      </c>
      <c r="E639" s="7" t="str">
        <f ca="1" xml:space="preserve">
VLOOKUP(
  $D639,
  Name!$A:$B,
  2,
  FALSE
)
&amp; " " &amp;
IF($B639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Lorenna Batista Martinelli</v>
      </c>
      <c r="F639" s="7">
        <v>2</v>
      </c>
      <c r="G639" s="7" cm="1">
        <f t="array" aca="1" ref="G639" ca="1">INDEX(States!$B:$B,RANDBETWEEN(2,COUNTA(States!$A:$A)),1)</f>
        <v>3</v>
      </c>
      <c r="H639" s="7" t="str">
        <f ca="1">VLOOKUP($D639,Name!$A:$C,3,FALSE)</f>
        <v>F</v>
      </c>
      <c r="I639" s="7" cm="1">
        <f t="array" aca="1" ref="I639" ca="1">INDEX('Marital status'!$A:$A,RANDBETWEEN(2,COUNTA('Marital status'!$A:$A)),1)</f>
        <v>2</v>
      </c>
      <c r="J639" s="7">
        <f t="shared" ca="1" si="111"/>
        <v>2</v>
      </c>
      <c r="K639" s="8">
        <f t="shared" ca="1" si="112"/>
        <v>35213</v>
      </c>
      <c r="L639" s="6">
        <f t="shared" ca="1" si="113"/>
        <v>5</v>
      </c>
      <c r="M639" s="7">
        <f ca="1" xml:space="preserve">
  IF(OR($N639 = 2, $N639 = 3, $N639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639" s="6">
        <f t="shared" ca="1" si="114"/>
        <v>8</v>
      </c>
      <c r="O639" s="6">
        <f t="shared" ca="1" si="115"/>
        <v>3</v>
      </c>
      <c r="P639" s="8">
        <f t="shared" ca="1" si="116"/>
        <v>41007</v>
      </c>
      <c r="Q639" s="6">
        <f ca="1">RANDBETWEEN(2,COUNTA('Recruitment source'!$A:$A))</f>
        <v>4</v>
      </c>
      <c r="R639" s="8" t="e">
        <f t="shared" ca="1" si="117"/>
        <v>#N/A</v>
      </c>
      <c r="S639" s="6" t="e">
        <f t="shared" ca="1" si="118"/>
        <v>#N/A</v>
      </c>
      <c r="T639" s="6">
        <f t="shared" ca="1" si="108"/>
        <v>5</v>
      </c>
      <c r="U639" s="1">
        <f t="shared" ca="1" si="119"/>
        <v>2080</v>
      </c>
    </row>
    <row r="640" spans="1:21" x14ac:dyDescent="0.2">
      <c r="A640" s="7" cm="1">
        <f t="array" aca="1" ref="A640" ca="1">INDEX(Companies!$A:$A,RANDBETWEEN(2,COUNTA(Companies!$A:$A)),1)</f>
        <v>2</v>
      </c>
      <c r="B640" s="5">
        <f t="shared" si="109"/>
        <v>639</v>
      </c>
      <c r="C640" s="6">
        <f t="shared" ca="1" si="110"/>
        <v>1</v>
      </c>
      <c r="D640" s="7">
        <f ca="1">IF($B640 = 1 + N("Presidente"),
    127,
    IF($B640 = 2 + N("Vice-Presidente"),
        72,
        IF($B640 = 3 + N("Secretária bilíngue"),
            13,
            RANDBETWEEN(5,COUNT(Name!$A:$A) + 1)
        )
    )
)</f>
        <v>191</v>
      </c>
      <c r="E640" s="7" t="str">
        <f ca="1" xml:space="preserve">
VLOOKUP(
  $D640,
  Name!$A:$B,
  2,
  FALSE
)
&amp; " " &amp;
IF($B640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Paulo Morato Monti</v>
      </c>
      <c r="F640" s="7">
        <v>2</v>
      </c>
      <c r="G640" s="7" cm="1">
        <f t="array" aca="1" ref="G640" ca="1">INDEX(States!$B:$B,RANDBETWEEN(2,COUNTA(States!$A:$A)),1)</f>
        <v>17</v>
      </c>
      <c r="H640" s="7" t="str">
        <f ca="1">VLOOKUP($D640,Name!$A:$C,3,FALSE)</f>
        <v>M</v>
      </c>
      <c r="I640" s="7" cm="1">
        <f t="array" aca="1" ref="I640" ca="1">INDEX('Marital status'!$A:$A,RANDBETWEEN(2,COUNTA('Marital status'!$A:$A)),1)</f>
        <v>3</v>
      </c>
      <c r="J640" s="7">
        <f t="shared" ca="1" si="111"/>
        <v>2</v>
      </c>
      <c r="K640" s="8">
        <f t="shared" ca="1" si="112"/>
        <v>28141</v>
      </c>
      <c r="L640" s="6">
        <f t="shared" ca="1" si="113"/>
        <v>4</v>
      </c>
      <c r="M640" s="7">
        <f ca="1" xml:space="preserve">
  IF(OR($N640 = 2, $N640 = 3, $N640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640" s="6">
        <f t="shared" ca="1" si="114"/>
        <v>6</v>
      </c>
      <c r="O640" s="6" t="e">
        <f t="shared" ca="1" si="115"/>
        <v>#N/A</v>
      </c>
      <c r="P640" s="8">
        <f t="shared" ca="1" si="116"/>
        <v>36352</v>
      </c>
      <c r="Q640" s="6">
        <f ca="1">RANDBETWEEN(2,COUNTA('Recruitment source'!$A:$A))</f>
        <v>7</v>
      </c>
      <c r="R640" s="8" t="e">
        <f t="shared" ca="1" si="117"/>
        <v>#N/A</v>
      </c>
      <c r="S640" s="6" t="e">
        <f t="shared" ca="1" si="118"/>
        <v>#N/A</v>
      </c>
      <c r="T640" s="6">
        <f t="shared" ca="1" si="108"/>
        <v>3</v>
      </c>
      <c r="U640" s="1">
        <f t="shared" ca="1" si="119"/>
        <v>805</v>
      </c>
    </row>
    <row r="641" spans="1:21" x14ac:dyDescent="0.2">
      <c r="A641" s="7" cm="1">
        <f t="array" aca="1" ref="A641" ca="1">INDEX(Companies!$A:$A,RANDBETWEEN(2,COUNTA(Companies!$A:$A)),1)</f>
        <v>2</v>
      </c>
      <c r="B641" s="5">
        <f t="shared" si="109"/>
        <v>640</v>
      </c>
      <c r="C641" s="6">
        <f t="shared" ca="1" si="110"/>
        <v>1</v>
      </c>
      <c r="D641" s="7">
        <f ca="1">IF($B641 = 1 + N("Presidente"),
    127,
    IF($B641 = 2 + N("Vice-Presidente"),
        72,
        IF($B641 = 3 + N("Secretária bilíngue"),
            13,
            RANDBETWEEN(5,COUNT(Name!$A:$A) + 1)
        )
    )
)</f>
        <v>182</v>
      </c>
      <c r="E641" s="7" t="str">
        <f ca="1" xml:space="preserve">
VLOOKUP(
  $D641,
  Name!$A:$B,
  2,
  FALSE
)
&amp; " " &amp;
IF($B641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Joana Anunciação Rinaldi</v>
      </c>
      <c r="F641" s="7">
        <v>2</v>
      </c>
      <c r="G641" s="7" cm="1">
        <f t="array" aca="1" ref="G641" ca="1">INDEX(States!$B:$B,RANDBETWEEN(2,COUNTA(States!$A:$A)),1)</f>
        <v>7</v>
      </c>
      <c r="H641" s="7" t="str">
        <f ca="1">VLOOKUP($D641,Name!$A:$C,3,FALSE)</f>
        <v>F</v>
      </c>
      <c r="I641" s="7" cm="1">
        <f t="array" aca="1" ref="I641" ca="1">INDEX('Marital status'!$A:$A,RANDBETWEEN(2,COUNTA('Marital status'!$A:$A)),1)</f>
        <v>3</v>
      </c>
      <c r="J641" s="7">
        <f t="shared" ca="1" si="111"/>
        <v>2</v>
      </c>
      <c r="K641" s="8">
        <f t="shared" ca="1" si="112"/>
        <v>35885</v>
      </c>
      <c r="L641" s="6">
        <f t="shared" ca="1" si="113"/>
        <v>4</v>
      </c>
      <c r="M641" s="7">
        <f ca="1" xml:space="preserve">
  IF(OR($N641 = 2, $N641 = 3, $N641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641" s="6">
        <f t="shared" ca="1" si="114"/>
        <v>8</v>
      </c>
      <c r="O641" s="6">
        <f t="shared" ca="1" si="115"/>
        <v>4</v>
      </c>
      <c r="P641" s="8">
        <f t="shared" ca="1" si="116"/>
        <v>41611</v>
      </c>
      <c r="Q641" s="6">
        <f ca="1">RANDBETWEEN(2,COUNTA('Recruitment source'!$A:$A))</f>
        <v>4</v>
      </c>
      <c r="R641" s="8" t="e">
        <f t="shared" ca="1" si="117"/>
        <v>#N/A</v>
      </c>
      <c r="S641" s="6" t="e">
        <f t="shared" ca="1" si="118"/>
        <v>#N/A</v>
      </c>
      <c r="T641" s="6">
        <f t="shared" ca="1" si="108"/>
        <v>5</v>
      </c>
      <c r="U641" s="1">
        <f t="shared" ca="1" si="119"/>
        <v>2000</v>
      </c>
    </row>
    <row r="642" spans="1:21" x14ac:dyDescent="0.2">
      <c r="A642" s="7" cm="1">
        <f t="array" aca="1" ref="A642" ca="1">INDEX(Companies!$A:$A,RANDBETWEEN(2,COUNTA(Companies!$A:$A)),1)</f>
        <v>2</v>
      </c>
      <c r="B642" s="5">
        <f t="shared" si="109"/>
        <v>641</v>
      </c>
      <c r="C642" s="6">
        <f t="shared" ca="1" si="110"/>
        <v>1</v>
      </c>
      <c r="D642" s="7">
        <f ca="1">IF($B642 = 1 + N("Presidente"),
    127,
    IF($B642 = 2 + N("Vice-Presidente"),
        72,
        IF($B642 = 3 + N("Secretária bilíngue"),
            13,
            RANDBETWEEN(5,COUNT(Name!$A:$A) + 1)
        )
    )
)</f>
        <v>300</v>
      </c>
      <c r="E642" s="7" t="str">
        <f ca="1" xml:space="preserve">
VLOOKUP(
  $D642,
  Name!$A:$B,
  2,
  FALSE
)
&amp; " " &amp;
IF($B642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Muricy Moura Vieira</v>
      </c>
      <c r="F642" s="7">
        <v>2</v>
      </c>
      <c r="G642" s="7" cm="1">
        <f t="array" aca="1" ref="G642" ca="1">INDEX(States!$B:$B,RANDBETWEEN(2,COUNTA(States!$A:$A)),1)</f>
        <v>21</v>
      </c>
      <c r="H642" s="7" t="str">
        <f ca="1">VLOOKUP($D642,Name!$A:$C,3,FALSE)</f>
        <v>M</v>
      </c>
      <c r="I642" s="7" cm="1">
        <f t="array" aca="1" ref="I642" ca="1">INDEX('Marital status'!$A:$A,RANDBETWEEN(2,COUNTA('Marital status'!$A:$A)),1)</f>
        <v>2</v>
      </c>
      <c r="J642" s="7">
        <f t="shared" ca="1" si="111"/>
        <v>2</v>
      </c>
      <c r="K642" s="8">
        <f t="shared" ca="1" si="112"/>
        <v>28845</v>
      </c>
      <c r="L642" s="6">
        <f t="shared" ca="1" si="113"/>
        <v>4</v>
      </c>
      <c r="M642" s="7">
        <f ca="1" xml:space="preserve">
  IF(OR($N642 = 2, $N642 = 3, $N642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642" s="6">
        <f t="shared" ca="1" si="114"/>
        <v>6</v>
      </c>
      <c r="O642" s="6" t="e">
        <f t="shared" ca="1" si="115"/>
        <v>#N/A</v>
      </c>
      <c r="P642" s="8">
        <f t="shared" ca="1" si="116"/>
        <v>44167</v>
      </c>
      <c r="Q642" s="6">
        <f ca="1">RANDBETWEEN(2,COUNTA('Recruitment source'!$A:$A))</f>
        <v>12</v>
      </c>
      <c r="R642" s="8" t="e">
        <f t="shared" ca="1" si="117"/>
        <v>#N/A</v>
      </c>
      <c r="S642" s="6" t="e">
        <f t="shared" ca="1" si="118"/>
        <v>#N/A</v>
      </c>
      <c r="T642" s="6">
        <f t="shared" ref="T642:T705" ca="1" si="120" xml:space="preserve">
IF(
 ISNA($R642),
 IF(
   $N642 = 2,
   5,
   IF(
     OR($N642=3,$N642=4,$N642=5),
     RANDBETWEEN(4,5),
     IF(
       OR($N642=11,$N642=12),
       RANDBETWEEN(3,5),
       RANDBETWEEN(2,5)
     )
   )
 ),
 RANDBETWEEN(1,3)
)</f>
        <v>3</v>
      </c>
      <c r="U642" s="1">
        <f t="shared" ca="1" si="119"/>
        <v>805</v>
      </c>
    </row>
    <row r="643" spans="1:21" x14ac:dyDescent="0.2">
      <c r="A643" s="7" cm="1">
        <f t="array" aca="1" ref="A643" ca="1">INDEX(Companies!$A:$A,RANDBETWEEN(2,COUNTA(Companies!$A:$A)),1)</f>
        <v>2</v>
      </c>
      <c r="B643" s="5">
        <f t="shared" ref="B643:B706" si="121">ROW() - 1</f>
        <v>642</v>
      </c>
      <c r="C643" s="6">
        <f t="shared" ref="C643:C706" ca="1" si="122">IF(ISNA($R643),1,0)</f>
        <v>1</v>
      </c>
      <c r="D643" s="7">
        <f ca="1">IF($B643 = 1 + N("Presidente"),
    127,
    IF($B643 = 2 + N("Vice-Presidente"),
        72,
        IF($B643 = 3 + N("Secretária bilíngue"),
            13,
            RANDBETWEEN(5,COUNT(Name!$A:$A) + 1)
        )
    )
)</f>
        <v>194</v>
      </c>
      <c r="E643" s="7" t="str">
        <f ca="1" xml:space="preserve">
VLOOKUP(
  $D643,
  Name!$A:$B,
  2,
  FALSE
)
&amp; " " &amp;
IF($B643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Vitor Cabral Camacho</v>
      </c>
      <c r="F643" s="7">
        <v>2</v>
      </c>
      <c r="G643" s="7" cm="1">
        <f t="array" aca="1" ref="G643" ca="1">INDEX(States!$B:$B,RANDBETWEEN(2,COUNTA(States!$A:$A)),1)</f>
        <v>7</v>
      </c>
      <c r="H643" s="7" t="str">
        <f ca="1">VLOOKUP($D643,Name!$A:$C,3,FALSE)</f>
        <v>M</v>
      </c>
      <c r="I643" s="7" cm="1">
        <f t="array" aca="1" ref="I643" ca="1">INDEX('Marital status'!$A:$A,RANDBETWEEN(2,COUNTA('Marital status'!$A:$A)),1)</f>
        <v>6</v>
      </c>
      <c r="J643" s="7">
        <f t="shared" ref="J643:J706" ca="1" si="123" xml:space="preserve">
IF(AND($N643 &gt;= 2, $N643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643" s="8">
        <f t="shared" ref="K643:K706" ca="1" si="124" xml:space="preserve">
IF($N643 = 5 + N("CEO"),
    TODAY() - 16340,
    IF($N643 = 8 + N("Secretary"),
        RANDBETWEEN(TODAY() - 12418.5, TODAY()-6574.5),
        IF(OR($N643 = 7, $N643 = 14),
            RANDBETWEEN(TODAY() - 16071, TODAY() - 8766),
            IF(OR($N643 = 13, $N643 = 12, $N643 = 11),
                RANDBETWEEN(TODAY() - 27393.75, TODAY() - 12783.75),
                RANDBETWEEN(TODAY() - 27393.75, TODAY()-10957.5)
            )
        )
    )
)</f>
        <v>35162</v>
      </c>
      <c r="L643" s="6">
        <f t="shared" ref="L643:L706" ca="1" si="125" xml:space="preserve">
IF(OR($N643 = 2, $N643 = 3) + N("Se for presidente ou vice-presidente"),
    7 + N("Doutor"),
    IF($N643 = 4 + N("Se for diretor"),
        RANDBETWEEN(5,7) + N("Graduate school or Master’s degree or Doctorate"),
        IF($N643 = 11 + N("Se for gerente"),
            RANDBETWEEN(4,6) + N("Undergraduate degree or Graduate school or Master’s degree"),
            IF(AND($N643 &gt;= 8, $N643 &lt;= 10) + N("If coordinator or specialist or analyst"),
                RANDBETWEEN(4,5),
                4
            )
        )
    )
)</f>
        <v>4</v>
      </c>
      <c r="M643" s="7">
        <f ca="1" xml:space="preserve">
  IF(OR($N643 = 2, $N643 = 3, $N643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643" s="6">
        <f t="shared" ref="N643:N706" ca="1" si="126" xml:space="preserve">
IF($B643 = 1 + N("Se matrícula for 1"),
  2 + N("Presidente"),
  IF($B643 = 2 + N("Se matrícula for 2"),
    3 + N("Vice-presidente"),
    IF($B643 = 3 + N("Se matrícula for 3"),
      5 + N("Secretária bilíngue"),
      IF(AND($B643 &gt;= 4, $B643 &lt;=14),
        4 + N("Diretor"),
        IF(AND($B643 &gt;= 15, $B643 &lt;= 25),
          11 + N("Manager"),
          IF(AND($B643 &gt;= 26, $B643 &lt;= 36),
            10 + N("Coordinador"),
            IF(AND($B643 &gt;= 37, $B643 &lt;= 47),
              9 + N("Especialista"),
                IF(MOD($B643,2) = 0,
                  8 + N("Analista"),
                  RANDBETWEEN(6,7) + N("Estagiário ou Trainee")
                )
            )
          )
        )
      )
    )
  )
)</f>
        <v>8</v>
      </c>
      <c r="O643" s="6">
        <f t="shared" ref="O643:O706" ca="1" si="127" xml:space="preserve">
IF($N643 =8 + N("Analyst"),
    RANDBETWEEN(2, 4) + N("Jr, Pleno, Sr"),
    NA()
)</f>
        <v>2</v>
      </c>
      <c r="P643" s="8">
        <f t="shared" ref="P643:P706" ca="1" si="128" xml:space="preserve">
IF(
   $N643=2 + N("Presidente"),
   36161,
   IF(
       OR(
         $N643=3 + N("Vice-Presidente"),
         $N643=4 + N("Diretor"),
         $N643=5 + N("Secretária bilíngue")
       ),
       RANDBETWEEN(36161,36411),
       IF(
         ((TODAY() - $K643) / 365) &lt; 19,
         TODAY(),
         RANDBETWEEN(36161,TODAY())
       )
   )
)</f>
        <v>44100</v>
      </c>
      <c r="Q643" s="6">
        <f ca="1">RANDBETWEEN(2,COUNTA('Recruitment source'!$A:$A))</f>
        <v>4</v>
      </c>
      <c r="R643" s="8" t="e">
        <f t="shared" ref="R643:R706" ca="1" si="129" xml:space="preserve">
IF(MOD(
     ROW(),111
   )=0,
   RANDBETWEEN($P643 + 1,TODAY() - 1),NA()
)</f>
        <v>#N/A</v>
      </c>
      <c r="S643" s="6" t="e">
        <f t="shared" ref="S643:S706" ca="1" si="130" xml:space="preserve">
IF(
  ISNA(R643),
  NA(),
  RANDBETWEEN(2,IF($H643="F",10,9))
)</f>
        <v>#N/A</v>
      </c>
      <c r="T643" s="6">
        <f t="shared" ca="1" si="120"/>
        <v>5</v>
      </c>
      <c r="U643" s="1">
        <f t="shared" ref="U643:U706" ca="1" si="131" xml:space="preserve">
IF($N643 = 2 + N("Presidente"),
    25000,
    IF($N643 = 3 + N("Vice-presidente"),
        23000,
        IF(OR($N643 = 5, $N643= 10, $N643 = 9) + N("Secretária bilíngue ou coordenador ou especialista"),
            8000,
            IF($N643 = 4 + N("Diretor"),
                15000,
                IF($N643 = 11 + N("Gerente"),
                    12000,
                    IF($N643 = 6 + N("Estagiário"),
                        805,
                        IF($N643 = 7 + N("Trainee"),
                            1005,
                            IF($N643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IF($L643 = 7,
  100,
  IF($L643 = 8,
    200,
    IF($L643 = 9,
      300,
      IF($L643 = 10,
        400,
        0
      )
    )
  )
)
+
N("Adicional no salário por área")
+
IF($M643 = 14 + N("Tecnologia da Informação"),
  120,
  IF($M643 = 16 + N("Vendas"),
    110,
    IF($M643 = 15 + N("Jurídico"),
      100,
      IF(OR($M643 = 8, $M643 = 9, $M643 = 11) + N("Recursos humanos ou comercial ou comunicação e marketing"),
        80,
        0
      )
    )
  )
)
+
N("Adicionando pegadinha")
+
IF(AND($M643 = 13, $N643 = 8) + N("Se for de vendas e analista"),
  IF($J643 = 2,
    50,
    0
  )
  +
  IF($H643 = "M",
    50,
    0
  ),
  0
)</f>
        <v>2000</v>
      </c>
    </row>
    <row r="644" spans="1:21" x14ac:dyDescent="0.2">
      <c r="A644" s="7" cm="1">
        <f t="array" aca="1" ref="A644" ca="1">INDEX(Companies!$A:$A,RANDBETWEEN(2,COUNTA(Companies!$A:$A)),1)</f>
        <v>2</v>
      </c>
      <c r="B644" s="5">
        <f t="shared" si="121"/>
        <v>643</v>
      </c>
      <c r="C644" s="6">
        <f t="shared" ca="1" si="122"/>
        <v>1</v>
      </c>
      <c r="D644" s="7">
        <f ca="1">IF($B644 = 1 + N("Presidente"),
    127,
    IF($B644 = 2 + N("Vice-Presidente"),
        72,
        IF($B644 = 3 + N("Secretária bilíngue"),
            13,
            RANDBETWEEN(5,COUNT(Name!$A:$A) + 1)
        )
    )
)</f>
        <v>293</v>
      </c>
      <c r="E644" s="7" t="str">
        <f ca="1" xml:space="preserve">
VLOOKUP(
  $D644,
  Name!$A:$B,
  2,
  FALSE
)
&amp; " " &amp;
IF($B644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Michael Gonçalves Rodrigues</v>
      </c>
      <c r="F644" s="7">
        <v>2</v>
      </c>
      <c r="G644" s="7" cm="1">
        <f t="array" aca="1" ref="G644" ca="1">INDEX(States!$B:$B,RANDBETWEEN(2,COUNTA(States!$A:$A)),1)</f>
        <v>20</v>
      </c>
      <c r="H644" s="7" t="str">
        <f ca="1">VLOOKUP($D644,Name!$A:$C,3,FALSE)</f>
        <v>M</v>
      </c>
      <c r="I644" s="7" cm="1">
        <f t="array" aca="1" ref="I644" ca="1">INDEX('Marital status'!$A:$A,RANDBETWEEN(2,COUNTA('Marital status'!$A:$A)),1)</f>
        <v>6</v>
      </c>
      <c r="J644" s="7">
        <f t="shared" ca="1" si="123"/>
        <v>3</v>
      </c>
      <c r="K644" s="8">
        <f t="shared" ca="1" si="124"/>
        <v>31307</v>
      </c>
      <c r="L644" s="6">
        <f t="shared" ca="1" si="125"/>
        <v>4</v>
      </c>
      <c r="M644" s="7">
        <f ca="1" xml:space="preserve">
  IF(OR($N644 = 2, $N644 = 3, $N644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644" s="6">
        <f t="shared" ca="1" si="126"/>
        <v>7</v>
      </c>
      <c r="O644" s="6" t="e">
        <f t="shared" ca="1" si="127"/>
        <v>#N/A</v>
      </c>
      <c r="P644" s="8">
        <f t="shared" ca="1" si="128"/>
        <v>36516</v>
      </c>
      <c r="Q644" s="6">
        <f ca="1">RANDBETWEEN(2,COUNTA('Recruitment source'!$A:$A))</f>
        <v>11</v>
      </c>
      <c r="R644" s="8" t="e">
        <f t="shared" ca="1" si="129"/>
        <v>#N/A</v>
      </c>
      <c r="S644" s="6" t="e">
        <f t="shared" ca="1" si="130"/>
        <v>#N/A</v>
      </c>
      <c r="T644" s="6">
        <f t="shared" ca="1" si="120"/>
        <v>4</v>
      </c>
      <c r="U644" s="1">
        <f t="shared" ca="1" si="131"/>
        <v>1005</v>
      </c>
    </row>
    <row r="645" spans="1:21" x14ac:dyDescent="0.2">
      <c r="A645" s="7" cm="1">
        <f t="array" aca="1" ref="A645" ca="1">INDEX(Companies!$A:$A,RANDBETWEEN(2,COUNTA(Companies!$A:$A)),1)</f>
        <v>2</v>
      </c>
      <c r="B645" s="5">
        <f t="shared" si="121"/>
        <v>644</v>
      </c>
      <c r="C645" s="6">
        <f t="shared" ca="1" si="122"/>
        <v>1</v>
      </c>
      <c r="D645" s="7">
        <f ca="1">IF($B645 = 1 + N("Presidente"),
    127,
    IF($B645 = 2 + N("Vice-Presidente"),
        72,
        IF($B645 = 3 + N("Secretária bilíngue"),
            13,
            RANDBETWEEN(5,COUNT(Name!$A:$A) + 1)
        )
    )
)</f>
        <v>96</v>
      </c>
      <c r="E645" s="7" t="str">
        <f ca="1" xml:space="preserve">
VLOOKUP(
  $D645,
  Name!$A:$B,
  2,
  FALSE
)
&amp; " " &amp;
IF($B645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Clarisse Faro Testa</v>
      </c>
      <c r="F645" s="7">
        <v>2</v>
      </c>
      <c r="G645" s="7" cm="1">
        <f t="array" aca="1" ref="G645" ca="1">INDEX(States!$B:$B,RANDBETWEEN(2,COUNTA(States!$A:$A)),1)</f>
        <v>5</v>
      </c>
      <c r="H645" s="7" t="str">
        <f ca="1">VLOOKUP($D645,Name!$A:$C,3,FALSE)</f>
        <v>F</v>
      </c>
      <c r="I645" s="7" cm="1">
        <f t="array" aca="1" ref="I645" ca="1">INDEX('Marital status'!$A:$A,RANDBETWEEN(2,COUNTA('Marital status'!$A:$A)),1)</f>
        <v>6</v>
      </c>
      <c r="J645" s="7">
        <f t="shared" ca="1" si="123"/>
        <v>2</v>
      </c>
      <c r="K645" s="8">
        <f t="shared" ca="1" si="124"/>
        <v>38125</v>
      </c>
      <c r="L645" s="6">
        <f t="shared" ca="1" si="125"/>
        <v>4</v>
      </c>
      <c r="M645" s="7">
        <f ca="1" xml:space="preserve">
  IF(OR($N645 = 2, $N645 = 3, $N645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645" s="6">
        <f t="shared" ca="1" si="126"/>
        <v>8</v>
      </c>
      <c r="O645" s="6">
        <f t="shared" ca="1" si="127"/>
        <v>2</v>
      </c>
      <c r="P645" s="8">
        <f t="shared" ca="1" si="128"/>
        <v>44838</v>
      </c>
      <c r="Q645" s="6">
        <f ca="1">RANDBETWEEN(2,COUNTA('Recruitment source'!$A:$A))</f>
        <v>8</v>
      </c>
      <c r="R645" s="8" t="e">
        <f t="shared" ca="1" si="129"/>
        <v>#N/A</v>
      </c>
      <c r="S645" s="6" t="e">
        <f t="shared" ca="1" si="130"/>
        <v>#N/A</v>
      </c>
      <c r="T645" s="6">
        <f t="shared" ca="1" si="120"/>
        <v>5</v>
      </c>
      <c r="U645" s="1">
        <f t="shared" ca="1" si="131"/>
        <v>2080</v>
      </c>
    </row>
    <row r="646" spans="1:21" x14ac:dyDescent="0.2">
      <c r="A646" s="7" cm="1">
        <f t="array" aca="1" ref="A646" ca="1">INDEX(Companies!$A:$A,RANDBETWEEN(2,COUNTA(Companies!$A:$A)),1)</f>
        <v>2</v>
      </c>
      <c r="B646" s="5">
        <f t="shared" si="121"/>
        <v>645</v>
      </c>
      <c r="C646" s="6">
        <f t="shared" ca="1" si="122"/>
        <v>1</v>
      </c>
      <c r="D646" s="7">
        <f ca="1">IF($B646 = 1 + N("Presidente"),
    127,
    IF($B646 = 2 + N("Vice-Presidente"),
        72,
        IF($B646 = 3 + N("Secretária bilíngue"),
            13,
            RANDBETWEEN(5,COUNT(Name!$A:$A) + 1)
        )
    )
)</f>
        <v>101</v>
      </c>
      <c r="E646" s="7" t="str">
        <f ca="1" xml:space="preserve">
VLOOKUP(
  $D646,
  Name!$A:$B,
  2,
  FALSE
)
&amp; " " &amp;
IF($B646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Daniel Sousa Miranda</v>
      </c>
      <c r="F646" s="7">
        <v>2</v>
      </c>
      <c r="G646" s="7" cm="1">
        <f t="array" aca="1" ref="G646" ca="1">INDEX(States!$B:$B,RANDBETWEEN(2,COUNTA(States!$A:$A)),1)</f>
        <v>15</v>
      </c>
      <c r="H646" s="7" t="str">
        <f ca="1">VLOOKUP($D646,Name!$A:$C,3,FALSE)</f>
        <v>M</v>
      </c>
      <c r="I646" s="7" cm="1">
        <f t="array" aca="1" ref="I646" ca="1">INDEX('Marital status'!$A:$A,RANDBETWEEN(2,COUNTA('Marital status'!$A:$A)),1)</f>
        <v>4</v>
      </c>
      <c r="J646" s="7">
        <f t="shared" ca="1" si="123"/>
        <v>5</v>
      </c>
      <c r="K646" s="8">
        <f t="shared" ca="1" si="124"/>
        <v>29422</v>
      </c>
      <c r="L646" s="6">
        <f t="shared" ca="1" si="125"/>
        <v>4</v>
      </c>
      <c r="M646" s="7">
        <f ca="1" xml:space="preserve">
  IF(OR($N646 = 2, $N646 = 3, $N646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646" s="6">
        <f t="shared" ca="1" si="126"/>
        <v>6</v>
      </c>
      <c r="O646" s="6" t="e">
        <f t="shared" ca="1" si="127"/>
        <v>#N/A</v>
      </c>
      <c r="P646" s="8">
        <f t="shared" ca="1" si="128"/>
        <v>44410</v>
      </c>
      <c r="Q646" s="6">
        <f ca="1">RANDBETWEEN(2,COUNTA('Recruitment source'!$A:$A))</f>
        <v>5</v>
      </c>
      <c r="R646" s="8" t="e">
        <f t="shared" ca="1" si="129"/>
        <v>#N/A</v>
      </c>
      <c r="S646" s="6" t="e">
        <f t="shared" ca="1" si="130"/>
        <v>#N/A</v>
      </c>
      <c r="T646" s="6">
        <f t="shared" ca="1" si="120"/>
        <v>4</v>
      </c>
      <c r="U646" s="1">
        <f t="shared" ca="1" si="131"/>
        <v>885</v>
      </c>
    </row>
    <row r="647" spans="1:21" x14ac:dyDescent="0.2">
      <c r="A647" s="7" cm="1">
        <f t="array" aca="1" ref="A647" ca="1">INDEX(Companies!$A:$A,RANDBETWEEN(2,COUNTA(Companies!$A:$A)),1)</f>
        <v>2</v>
      </c>
      <c r="B647" s="5">
        <f t="shared" si="121"/>
        <v>646</v>
      </c>
      <c r="C647" s="6">
        <f t="shared" ca="1" si="122"/>
        <v>1</v>
      </c>
      <c r="D647" s="7">
        <f ca="1">IF($B647 = 1 + N("Presidente"),
    127,
    IF($B647 = 2 + N("Vice-Presidente"),
        72,
        IF($B647 = 3 + N("Secretária bilíngue"),
            13,
            RANDBETWEEN(5,COUNT(Name!$A:$A) + 1)
        )
    )
)</f>
        <v>23</v>
      </c>
      <c r="E647" s="7" t="str">
        <f ca="1" xml:space="preserve">
VLOOKUP(
  $D647,
  Name!$A:$B,
  2,
  FALSE
)
&amp; " " &amp;
IF($B647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Amanda Campos Salvador</v>
      </c>
      <c r="F647" s="7">
        <v>2</v>
      </c>
      <c r="G647" s="7" cm="1">
        <f t="array" aca="1" ref="G647" ca="1">INDEX(States!$B:$B,RANDBETWEEN(2,COUNTA(States!$A:$A)),1)</f>
        <v>12</v>
      </c>
      <c r="H647" s="7" t="str">
        <f ca="1">VLOOKUP($D647,Name!$A:$C,3,FALSE)</f>
        <v>F</v>
      </c>
      <c r="I647" s="7" cm="1">
        <f t="array" aca="1" ref="I647" ca="1">INDEX('Marital status'!$A:$A,RANDBETWEEN(2,COUNTA('Marital status'!$A:$A)),1)</f>
        <v>4</v>
      </c>
      <c r="J647" s="7">
        <f t="shared" ca="1" si="123"/>
        <v>2</v>
      </c>
      <c r="K647" s="8">
        <f t="shared" ca="1" si="124"/>
        <v>36988</v>
      </c>
      <c r="L647" s="6">
        <f t="shared" ca="1" si="125"/>
        <v>4</v>
      </c>
      <c r="M647" s="7">
        <f ca="1" xml:space="preserve">
  IF(OR($N647 = 2, $N647 = 3, $N647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647" s="6">
        <f t="shared" ca="1" si="126"/>
        <v>8</v>
      </c>
      <c r="O647" s="6">
        <f t="shared" ca="1" si="127"/>
        <v>4</v>
      </c>
      <c r="P647" s="8">
        <f t="shared" ca="1" si="128"/>
        <v>44771</v>
      </c>
      <c r="Q647" s="6">
        <f ca="1">RANDBETWEEN(2,COUNTA('Recruitment source'!$A:$A))</f>
        <v>6</v>
      </c>
      <c r="R647" s="8" t="e">
        <f t="shared" ca="1" si="129"/>
        <v>#N/A</v>
      </c>
      <c r="S647" s="6" t="e">
        <f t="shared" ca="1" si="130"/>
        <v>#N/A</v>
      </c>
      <c r="T647" s="6">
        <f t="shared" ca="1" si="120"/>
        <v>5</v>
      </c>
      <c r="U647" s="1">
        <f t="shared" ca="1" si="131"/>
        <v>2000</v>
      </c>
    </row>
    <row r="648" spans="1:21" x14ac:dyDescent="0.2">
      <c r="A648" s="7" cm="1">
        <f t="array" aca="1" ref="A648" ca="1">INDEX(Companies!$A:$A,RANDBETWEEN(2,COUNTA(Companies!$A:$A)),1)</f>
        <v>2</v>
      </c>
      <c r="B648" s="5">
        <f t="shared" si="121"/>
        <v>647</v>
      </c>
      <c r="C648" s="6">
        <f t="shared" ca="1" si="122"/>
        <v>1</v>
      </c>
      <c r="D648" s="7">
        <f ca="1">IF($B648 = 1 + N("Presidente"),
    127,
    IF($B648 = 2 + N("Vice-Presidente"),
        72,
        IF($B648 = 3 + N("Secretária bilíngue"),
            13,
            RANDBETWEEN(5,COUNT(Name!$A:$A) + 1)
        )
    )
)</f>
        <v>270</v>
      </c>
      <c r="E648" s="7" t="str">
        <f ca="1" xml:space="preserve">
VLOOKUP(
  $D648,
  Name!$A:$B,
  2,
  FALSE
)
&amp; " " &amp;
IF($B648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Laura Ferreira Greco</v>
      </c>
      <c r="F648" s="7">
        <v>2</v>
      </c>
      <c r="G648" s="7" cm="1">
        <f t="array" aca="1" ref="G648" ca="1">INDEX(States!$B:$B,RANDBETWEEN(2,COUNTA(States!$A:$A)),1)</f>
        <v>21</v>
      </c>
      <c r="H648" s="7" t="str">
        <f ca="1">VLOOKUP($D648,Name!$A:$C,3,FALSE)</f>
        <v>F</v>
      </c>
      <c r="I648" s="7" cm="1">
        <f t="array" aca="1" ref="I648" ca="1">INDEX('Marital status'!$A:$A,RANDBETWEEN(2,COUNTA('Marital status'!$A:$A)),1)</f>
        <v>3</v>
      </c>
      <c r="J648" s="7">
        <f t="shared" ca="1" si="123"/>
        <v>2</v>
      </c>
      <c r="K648" s="8">
        <f t="shared" ca="1" si="124"/>
        <v>35434</v>
      </c>
      <c r="L648" s="6">
        <f t="shared" ca="1" si="125"/>
        <v>4</v>
      </c>
      <c r="M648" s="7">
        <f ca="1" xml:space="preserve">
  IF(OR($N648 = 2, $N648 = 3, $N648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648" s="6">
        <f t="shared" ca="1" si="126"/>
        <v>7</v>
      </c>
      <c r="O648" s="6" t="e">
        <f t="shared" ca="1" si="127"/>
        <v>#N/A</v>
      </c>
      <c r="P648" s="8">
        <f t="shared" ca="1" si="128"/>
        <v>43040</v>
      </c>
      <c r="Q648" s="6">
        <f ca="1">RANDBETWEEN(2,COUNTA('Recruitment source'!$A:$A))</f>
        <v>10</v>
      </c>
      <c r="R648" s="8" t="e">
        <f t="shared" ca="1" si="129"/>
        <v>#N/A</v>
      </c>
      <c r="S648" s="6" t="e">
        <f t="shared" ca="1" si="130"/>
        <v>#N/A</v>
      </c>
      <c r="T648" s="6">
        <f t="shared" ca="1" si="120"/>
        <v>5</v>
      </c>
      <c r="U648" s="1">
        <f t="shared" ca="1" si="131"/>
        <v>1005</v>
      </c>
    </row>
    <row r="649" spans="1:21" x14ac:dyDescent="0.2">
      <c r="A649" s="7" cm="1">
        <f t="array" aca="1" ref="A649" ca="1">INDEX(Companies!$A:$A,RANDBETWEEN(2,COUNTA(Companies!$A:$A)),1)</f>
        <v>2</v>
      </c>
      <c r="B649" s="5">
        <f t="shared" si="121"/>
        <v>648</v>
      </c>
      <c r="C649" s="6">
        <f t="shared" ca="1" si="122"/>
        <v>1</v>
      </c>
      <c r="D649" s="7">
        <f ca="1">IF($B649 = 1 + N("Presidente"),
    127,
    IF($B649 = 2 + N("Vice-Presidente"),
        72,
        IF($B649 = 3 + N("Secretária bilíngue"),
            13,
            RANDBETWEEN(5,COUNT(Name!$A:$A) + 1)
        )
    )
)</f>
        <v>272</v>
      </c>
      <c r="E649" s="7" t="str">
        <f ca="1" xml:space="preserve">
VLOOKUP(
  $D649,
  Name!$A:$B,
  2,
  FALSE
)
&amp; " " &amp;
IF($B649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Madalena Faro Anunciação</v>
      </c>
      <c r="F649" s="7">
        <v>2</v>
      </c>
      <c r="G649" s="7" cm="1">
        <f t="array" aca="1" ref="G649" ca="1">INDEX(States!$B:$B,RANDBETWEEN(2,COUNTA(States!$A:$A)),1)</f>
        <v>16</v>
      </c>
      <c r="H649" s="7" t="str">
        <f ca="1">VLOOKUP($D649,Name!$A:$C,3,FALSE)</f>
        <v>F</v>
      </c>
      <c r="I649" s="7" cm="1">
        <f t="array" aca="1" ref="I649" ca="1">INDEX('Marital status'!$A:$A,RANDBETWEEN(2,COUNTA('Marital status'!$A:$A)),1)</f>
        <v>3</v>
      </c>
      <c r="J649" s="7">
        <f t="shared" ca="1" si="123"/>
        <v>4</v>
      </c>
      <c r="K649" s="8">
        <f t="shared" ca="1" si="124"/>
        <v>36048</v>
      </c>
      <c r="L649" s="6">
        <f t="shared" ca="1" si="125"/>
        <v>5</v>
      </c>
      <c r="M649" s="7">
        <f ca="1" xml:space="preserve">
  IF(OR($N649 = 2, $N649 = 3, $N649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649" s="6">
        <f t="shared" ca="1" si="126"/>
        <v>8</v>
      </c>
      <c r="O649" s="6">
        <f t="shared" ca="1" si="127"/>
        <v>3</v>
      </c>
      <c r="P649" s="8">
        <f t="shared" ca="1" si="128"/>
        <v>43963</v>
      </c>
      <c r="Q649" s="6">
        <f ca="1">RANDBETWEEN(2,COUNTA('Recruitment source'!$A:$A))</f>
        <v>9</v>
      </c>
      <c r="R649" s="8" t="e">
        <f t="shared" ca="1" si="129"/>
        <v>#N/A</v>
      </c>
      <c r="S649" s="6" t="e">
        <f t="shared" ca="1" si="130"/>
        <v>#N/A</v>
      </c>
      <c r="T649" s="6">
        <f t="shared" ca="1" si="120"/>
        <v>5</v>
      </c>
      <c r="U649" s="1">
        <f t="shared" ca="1" si="131"/>
        <v>2000</v>
      </c>
    </row>
    <row r="650" spans="1:21" x14ac:dyDescent="0.2">
      <c r="A650" s="7" cm="1">
        <f t="array" aca="1" ref="A650" ca="1">INDEX(Companies!$A:$A,RANDBETWEEN(2,COUNTA(Companies!$A:$A)),1)</f>
        <v>2</v>
      </c>
      <c r="B650" s="5">
        <f t="shared" si="121"/>
        <v>649</v>
      </c>
      <c r="C650" s="6">
        <f t="shared" ca="1" si="122"/>
        <v>1</v>
      </c>
      <c r="D650" s="7">
        <f ca="1">IF($B650 = 1 + N("Presidente"),
    127,
    IF($B650 = 2 + N("Vice-Presidente"),
        72,
        IF($B650 = 3 + N("Secretária bilíngue"),
            13,
            RANDBETWEEN(5,COUNT(Name!$A:$A) + 1)
        )
    )
)</f>
        <v>26</v>
      </c>
      <c r="E650" s="7" t="str">
        <f ca="1" xml:space="preserve">
VLOOKUP(
  $D650,
  Name!$A:$B,
  2,
  FALSE
)
&amp; " " &amp;
IF($B650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Beatriz Salvador Aguiar</v>
      </c>
      <c r="F650" s="7">
        <v>2</v>
      </c>
      <c r="G650" s="7" cm="1">
        <f t="array" aca="1" ref="G650" ca="1">INDEX(States!$B:$B,RANDBETWEEN(2,COUNTA(States!$A:$A)),1)</f>
        <v>6</v>
      </c>
      <c r="H650" s="7" t="str">
        <f ca="1">VLOOKUP($D650,Name!$A:$C,3,FALSE)</f>
        <v>F</v>
      </c>
      <c r="I650" s="7" cm="1">
        <f t="array" aca="1" ref="I650" ca="1">INDEX('Marital status'!$A:$A,RANDBETWEEN(2,COUNTA('Marital status'!$A:$A)),1)</f>
        <v>6</v>
      </c>
      <c r="J650" s="7">
        <f t="shared" ca="1" si="123"/>
        <v>2</v>
      </c>
      <c r="K650" s="8">
        <f t="shared" ca="1" si="124"/>
        <v>19262</v>
      </c>
      <c r="L650" s="6">
        <f t="shared" ca="1" si="125"/>
        <v>4</v>
      </c>
      <c r="M650" s="7">
        <f ca="1" xml:space="preserve">
  IF(OR($N650 = 2, $N650 = 3, $N650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650" s="6">
        <f t="shared" ca="1" si="126"/>
        <v>6</v>
      </c>
      <c r="O650" s="6" t="e">
        <f t="shared" ca="1" si="127"/>
        <v>#N/A</v>
      </c>
      <c r="P650" s="8">
        <f t="shared" ca="1" si="128"/>
        <v>39153</v>
      </c>
      <c r="Q650" s="6">
        <f ca="1">RANDBETWEEN(2,COUNTA('Recruitment source'!$A:$A))</f>
        <v>9</v>
      </c>
      <c r="R650" s="8" t="e">
        <f t="shared" ca="1" si="129"/>
        <v>#N/A</v>
      </c>
      <c r="S650" s="6" t="e">
        <f t="shared" ca="1" si="130"/>
        <v>#N/A</v>
      </c>
      <c r="T650" s="6">
        <f t="shared" ca="1" si="120"/>
        <v>4</v>
      </c>
      <c r="U650" s="1">
        <f t="shared" ca="1" si="131"/>
        <v>885</v>
      </c>
    </row>
    <row r="651" spans="1:21" x14ac:dyDescent="0.2">
      <c r="A651" s="7" cm="1">
        <f t="array" aca="1" ref="A651" ca="1">INDEX(Companies!$A:$A,RANDBETWEEN(2,COUNTA(Companies!$A:$A)),1)</f>
        <v>2</v>
      </c>
      <c r="B651" s="5">
        <f t="shared" si="121"/>
        <v>650</v>
      </c>
      <c r="C651" s="6">
        <f t="shared" ca="1" si="122"/>
        <v>1</v>
      </c>
      <c r="D651" s="7">
        <f ca="1">IF($B651 = 1 + N("Presidente"),
    127,
    IF($B651 = 2 + N("Vice-Presidente"),
        72,
        IF($B651 = 3 + N("Secretária bilíngue"),
            13,
            RANDBETWEEN(5,COUNT(Name!$A:$A) + 1)
        )
    )
)</f>
        <v>201</v>
      </c>
      <c r="E651" s="7" t="str">
        <f ca="1" xml:space="preserve">
VLOOKUP(
  $D651,
  Name!$A:$B,
  2,
  FALSE
)
&amp; " " &amp;
IF($B651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Júlia Arruda Gouveia</v>
      </c>
      <c r="F651" s="7">
        <v>2</v>
      </c>
      <c r="G651" s="7" cm="1">
        <f t="array" aca="1" ref="G651" ca="1">INDEX(States!$B:$B,RANDBETWEEN(2,COUNTA(States!$A:$A)),1)</f>
        <v>5</v>
      </c>
      <c r="H651" s="7" t="str">
        <f ca="1">VLOOKUP($D651,Name!$A:$C,3,FALSE)</f>
        <v>F</v>
      </c>
      <c r="I651" s="7" cm="1">
        <f t="array" aca="1" ref="I651" ca="1">INDEX('Marital status'!$A:$A,RANDBETWEEN(2,COUNTA('Marital status'!$A:$A)),1)</f>
        <v>2</v>
      </c>
      <c r="J651" s="7">
        <f t="shared" ca="1" si="123"/>
        <v>3</v>
      </c>
      <c r="K651" s="8">
        <f t="shared" ca="1" si="124"/>
        <v>37172</v>
      </c>
      <c r="L651" s="6">
        <f t="shared" ca="1" si="125"/>
        <v>5</v>
      </c>
      <c r="M651" s="7">
        <f ca="1" xml:space="preserve">
  IF(OR($N651 = 2, $N651 = 3, $N651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651" s="6">
        <f t="shared" ca="1" si="126"/>
        <v>8</v>
      </c>
      <c r="O651" s="6">
        <f t="shared" ca="1" si="127"/>
        <v>4</v>
      </c>
      <c r="P651" s="8">
        <f t="shared" ca="1" si="128"/>
        <v>38875</v>
      </c>
      <c r="Q651" s="6">
        <f ca="1">RANDBETWEEN(2,COUNTA('Recruitment source'!$A:$A))</f>
        <v>12</v>
      </c>
      <c r="R651" s="8" t="e">
        <f t="shared" ca="1" si="129"/>
        <v>#N/A</v>
      </c>
      <c r="S651" s="6" t="e">
        <f t="shared" ca="1" si="130"/>
        <v>#N/A</v>
      </c>
      <c r="T651" s="6">
        <f t="shared" ca="1" si="120"/>
        <v>5</v>
      </c>
      <c r="U651" s="1">
        <f t="shared" ca="1" si="131"/>
        <v>2000</v>
      </c>
    </row>
    <row r="652" spans="1:21" x14ac:dyDescent="0.2">
      <c r="A652" s="7" cm="1">
        <f t="array" aca="1" ref="A652" ca="1">INDEX(Companies!$A:$A,RANDBETWEEN(2,COUNTA(Companies!$A:$A)),1)</f>
        <v>2</v>
      </c>
      <c r="B652" s="5">
        <f t="shared" si="121"/>
        <v>651</v>
      </c>
      <c r="C652" s="6">
        <f t="shared" ca="1" si="122"/>
        <v>1</v>
      </c>
      <c r="D652" s="7">
        <f ca="1">IF($B652 = 1 + N("Presidente"),
    127,
    IF($B652 = 2 + N("Vice-Presidente"),
        72,
        IF($B652 = 3 + N("Secretária bilíngue"),
            13,
            RANDBETWEEN(5,COUNT(Name!$A:$A) + 1)
        )
    )
)</f>
        <v>240</v>
      </c>
      <c r="E652" s="7" t="str">
        <f ca="1" xml:space="preserve">
VLOOKUP(
  $D652,
  Name!$A:$B,
  2,
  FALSE
)
&amp; " " &amp;
IF($B652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Lucca Trindade Ferrari</v>
      </c>
      <c r="F652" s="7">
        <v>2</v>
      </c>
      <c r="G652" s="7" cm="1">
        <f t="array" aca="1" ref="G652" ca="1">INDEX(States!$B:$B,RANDBETWEEN(2,COUNTA(States!$A:$A)),1)</f>
        <v>9</v>
      </c>
      <c r="H652" s="7" t="str">
        <f ca="1">VLOOKUP($D652,Name!$A:$C,3,FALSE)</f>
        <v>M</v>
      </c>
      <c r="I652" s="7" cm="1">
        <f t="array" aca="1" ref="I652" ca="1">INDEX('Marital status'!$A:$A,RANDBETWEEN(2,COUNTA('Marital status'!$A:$A)),1)</f>
        <v>4</v>
      </c>
      <c r="J652" s="7">
        <f t="shared" ca="1" si="123"/>
        <v>2</v>
      </c>
      <c r="K652" s="8">
        <f t="shared" ca="1" si="124"/>
        <v>34480</v>
      </c>
      <c r="L652" s="6">
        <f t="shared" ca="1" si="125"/>
        <v>4</v>
      </c>
      <c r="M652" s="7">
        <f ca="1" xml:space="preserve">
  IF(OR($N652 = 2, $N652 = 3, $N652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652" s="6">
        <f t="shared" ca="1" si="126"/>
        <v>7</v>
      </c>
      <c r="O652" s="6" t="e">
        <f t="shared" ca="1" si="127"/>
        <v>#N/A</v>
      </c>
      <c r="P652" s="8">
        <f t="shared" ca="1" si="128"/>
        <v>43229</v>
      </c>
      <c r="Q652" s="6">
        <f ca="1">RANDBETWEEN(2,COUNTA('Recruitment source'!$A:$A))</f>
        <v>2</v>
      </c>
      <c r="R652" s="8" t="e">
        <f t="shared" ca="1" si="129"/>
        <v>#N/A</v>
      </c>
      <c r="S652" s="6" t="e">
        <f t="shared" ca="1" si="130"/>
        <v>#N/A</v>
      </c>
      <c r="T652" s="6">
        <f t="shared" ca="1" si="120"/>
        <v>3</v>
      </c>
      <c r="U652" s="1">
        <f t="shared" ca="1" si="131"/>
        <v>1085</v>
      </c>
    </row>
    <row r="653" spans="1:21" x14ac:dyDescent="0.2">
      <c r="A653" s="7" cm="1">
        <f t="array" aca="1" ref="A653" ca="1">INDEX(Companies!$A:$A,RANDBETWEEN(2,COUNTA(Companies!$A:$A)),1)</f>
        <v>2</v>
      </c>
      <c r="B653" s="5">
        <f t="shared" si="121"/>
        <v>652</v>
      </c>
      <c r="C653" s="6">
        <f t="shared" ca="1" si="122"/>
        <v>1</v>
      </c>
      <c r="D653" s="7">
        <f ca="1">IF($B653 = 1 + N("Presidente"),
    127,
    IF($B653 = 2 + N("Vice-Presidente"),
        72,
        IF($B653 = 3 + N("Secretária bilíngue"),
            13,
            RANDBETWEEN(5,COUNT(Name!$A:$A) + 1)
        )
    )
)</f>
        <v>43</v>
      </c>
      <c r="E653" s="7" t="str">
        <f ca="1" xml:space="preserve">
VLOOKUP(
  $D653,
  Name!$A:$B,
  2,
  FALSE
)
&amp; " " &amp;
IF($B653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Anita Miranda Holanda</v>
      </c>
      <c r="F653" s="7">
        <v>2</v>
      </c>
      <c r="G653" s="7" cm="1">
        <f t="array" aca="1" ref="G653" ca="1">INDEX(States!$B:$B,RANDBETWEEN(2,COUNTA(States!$A:$A)),1)</f>
        <v>5</v>
      </c>
      <c r="H653" s="7" t="str">
        <f ca="1">VLOOKUP($D653,Name!$A:$C,3,FALSE)</f>
        <v>F</v>
      </c>
      <c r="I653" s="7" cm="1">
        <f t="array" aca="1" ref="I653" ca="1">INDEX('Marital status'!$A:$A,RANDBETWEEN(2,COUNTA('Marital status'!$A:$A)),1)</f>
        <v>5</v>
      </c>
      <c r="J653" s="7">
        <f t="shared" ca="1" si="123"/>
        <v>2</v>
      </c>
      <c r="K653" s="8">
        <f t="shared" ca="1" si="124"/>
        <v>32741</v>
      </c>
      <c r="L653" s="6">
        <f t="shared" ca="1" si="125"/>
        <v>5</v>
      </c>
      <c r="M653" s="7">
        <f ca="1" xml:space="preserve">
  IF(OR($N653 = 2, $N653 = 3, $N653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653" s="6">
        <f t="shared" ca="1" si="126"/>
        <v>8</v>
      </c>
      <c r="O653" s="6">
        <f t="shared" ca="1" si="127"/>
        <v>3</v>
      </c>
      <c r="P653" s="8">
        <f t="shared" ca="1" si="128"/>
        <v>38456</v>
      </c>
      <c r="Q653" s="6">
        <f ca="1">RANDBETWEEN(2,COUNTA('Recruitment source'!$A:$A))</f>
        <v>7</v>
      </c>
      <c r="R653" s="8" t="e">
        <f t="shared" ca="1" si="129"/>
        <v>#N/A</v>
      </c>
      <c r="S653" s="6" t="e">
        <f t="shared" ca="1" si="130"/>
        <v>#N/A</v>
      </c>
      <c r="T653" s="6">
        <f t="shared" ca="1" si="120"/>
        <v>5</v>
      </c>
      <c r="U653" s="1">
        <f t="shared" ca="1" si="131"/>
        <v>2000</v>
      </c>
    </row>
    <row r="654" spans="1:21" x14ac:dyDescent="0.2">
      <c r="A654" s="7" cm="1">
        <f t="array" aca="1" ref="A654" ca="1">INDEX(Companies!$A:$A,RANDBETWEEN(2,COUNTA(Companies!$A:$A)),1)</f>
        <v>2</v>
      </c>
      <c r="B654" s="5">
        <f t="shared" si="121"/>
        <v>653</v>
      </c>
      <c r="C654" s="6">
        <f t="shared" ca="1" si="122"/>
        <v>1</v>
      </c>
      <c r="D654" s="7">
        <f ca="1">IF($B654 = 1 + N("Presidente"),
    127,
    IF($B654 = 2 + N("Vice-Presidente"),
        72,
        IF($B654 = 3 + N("Secretária bilíngue"),
            13,
            RANDBETWEEN(5,COUNT(Name!$A:$A) + 1)
        )
    )
)</f>
        <v>14</v>
      </c>
      <c r="E654" s="7" t="str">
        <f ca="1" xml:space="preserve">
VLOOKUP(
  $D654,
  Name!$A:$B,
  2,
  FALSE
)
&amp; " " &amp;
IF($B654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Alexander Ildelfonso Ramos</v>
      </c>
      <c r="F654" s="7">
        <v>2</v>
      </c>
      <c r="G654" s="7" cm="1">
        <f t="array" aca="1" ref="G654" ca="1">INDEX(States!$B:$B,RANDBETWEEN(2,COUNTA(States!$A:$A)),1)</f>
        <v>21</v>
      </c>
      <c r="H654" s="7" t="str">
        <f ca="1">VLOOKUP($D654,Name!$A:$C,3,FALSE)</f>
        <v>M</v>
      </c>
      <c r="I654" s="7" cm="1">
        <f t="array" aca="1" ref="I654" ca="1">INDEX('Marital status'!$A:$A,RANDBETWEEN(2,COUNTA('Marital status'!$A:$A)),1)</f>
        <v>3</v>
      </c>
      <c r="J654" s="7">
        <f t="shared" ca="1" si="123"/>
        <v>2</v>
      </c>
      <c r="K654" s="8">
        <f t="shared" ca="1" si="124"/>
        <v>28900</v>
      </c>
      <c r="L654" s="6">
        <f t="shared" ca="1" si="125"/>
        <v>4</v>
      </c>
      <c r="M654" s="7">
        <f ca="1" xml:space="preserve">
  IF(OR($N654 = 2, $N654 = 3, $N654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654" s="6">
        <f t="shared" ca="1" si="126"/>
        <v>7</v>
      </c>
      <c r="O654" s="6" t="e">
        <f t="shared" ca="1" si="127"/>
        <v>#N/A</v>
      </c>
      <c r="P654" s="8">
        <f t="shared" ca="1" si="128"/>
        <v>37547</v>
      </c>
      <c r="Q654" s="6">
        <f ca="1">RANDBETWEEN(2,COUNTA('Recruitment source'!$A:$A))</f>
        <v>12</v>
      </c>
      <c r="R654" s="8" t="e">
        <f t="shared" ca="1" si="129"/>
        <v>#N/A</v>
      </c>
      <c r="S654" s="6" t="e">
        <f t="shared" ca="1" si="130"/>
        <v>#N/A</v>
      </c>
      <c r="T654" s="6">
        <f t="shared" ca="1" si="120"/>
        <v>3</v>
      </c>
      <c r="U654" s="1">
        <f t="shared" ca="1" si="131"/>
        <v>1085</v>
      </c>
    </row>
    <row r="655" spans="1:21" x14ac:dyDescent="0.2">
      <c r="A655" s="7" cm="1">
        <f t="array" aca="1" ref="A655" ca="1">INDEX(Companies!$A:$A,RANDBETWEEN(2,COUNTA(Companies!$A:$A)),1)</f>
        <v>2</v>
      </c>
      <c r="B655" s="5">
        <f t="shared" si="121"/>
        <v>654</v>
      </c>
      <c r="C655" s="6">
        <f t="shared" ca="1" si="122"/>
        <v>1</v>
      </c>
      <c r="D655" s="7">
        <f ca="1">IF($B655 = 1 + N("Presidente"),
    127,
    IF($B655 = 2 + N("Vice-Presidente"),
        72,
        IF($B655 = 3 + N("Secretária bilíngue"),
            13,
            RANDBETWEEN(5,COUNT(Name!$A:$A) + 1)
        )
    )
)</f>
        <v>188</v>
      </c>
      <c r="E655" s="7" t="str">
        <f ca="1" xml:space="preserve">
VLOOKUP(
  $D655,
  Name!$A:$B,
  2,
  FALSE
)
&amp; " " &amp;
IF($B655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Lucas Monteiro Monti</v>
      </c>
      <c r="F655" s="7">
        <v>2</v>
      </c>
      <c r="G655" s="7" cm="1">
        <f t="array" aca="1" ref="G655" ca="1">INDEX(States!$B:$B,RANDBETWEEN(2,COUNTA(States!$A:$A)),1)</f>
        <v>21</v>
      </c>
      <c r="H655" s="7" t="str">
        <f ca="1">VLOOKUP($D655,Name!$A:$C,3,FALSE)</f>
        <v>M</v>
      </c>
      <c r="I655" s="7" cm="1">
        <f t="array" aca="1" ref="I655" ca="1">INDEX('Marital status'!$A:$A,RANDBETWEEN(2,COUNTA('Marital status'!$A:$A)),1)</f>
        <v>5</v>
      </c>
      <c r="J655" s="7">
        <f t="shared" ca="1" si="123"/>
        <v>2</v>
      </c>
      <c r="K655" s="8">
        <f t="shared" ca="1" si="124"/>
        <v>35041</v>
      </c>
      <c r="L655" s="6">
        <f t="shared" ca="1" si="125"/>
        <v>5</v>
      </c>
      <c r="M655" s="7">
        <f ca="1" xml:space="preserve">
  IF(OR($N655 = 2, $N655 = 3, $N655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655" s="6">
        <f t="shared" ca="1" si="126"/>
        <v>8</v>
      </c>
      <c r="O655" s="6">
        <f t="shared" ca="1" si="127"/>
        <v>4</v>
      </c>
      <c r="P655" s="8">
        <f t="shared" ca="1" si="128"/>
        <v>39335</v>
      </c>
      <c r="Q655" s="6">
        <f ca="1">RANDBETWEEN(2,COUNTA('Recruitment source'!$A:$A))</f>
        <v>12</v>
      </c>
      <c r="R655" s="8" t="e">
        <f t="shared" ca="1" si="129"/>
        <v>#N/A</v>
      </c>
      <c r="S655" s="6" t="e">
        <f t="shared" ca="1" si="130"/>
        <v>#N/A</v>
      </c>
      <c r="T655" s="6">
        <f t="shared" ca="1" si="120"/>
        <v>4</v>
      </c>
      <c r="U655" s="1">
        <f t="shared" ca="1" si="131"/>
        <v>2080</v>
      </c>
    </row>
    <row r="656" spans="1:21" x14ac:dyDescent="0.2">
      <c r="A656" s="7" cm="1">
        <f t="array" aca="1" ref="A656" ca="1">INDEX(Companies!$A:$A,RANDBETWEEN(2,COUNTA(Companies!$A:$A)),1)</f>
        <v>2</v>
      </c>
      <c r="B656" s="5">
        <f t="shared" si="121"/>
        <v>655</v>
      </c>
      <c r="C656" s="6">
        <f t="shared" ca="1" si="122"/>
        <v>1</v>
      </c>
      <c r="D656" s="7">
        <f ca="1">IF($B656 = 1 + N("Presidente"),
    127,
    IF($B656 = 2 + N("Vice-Presidente"),
        72,
        IF($B656 = 3 + N("Secretária bilíngue"),
            13,
            RANDBETWEEN(5,COUNT(Name!$A:$A) + 1)
        )
    )
)</f>
        <v>351</v>
      </c>
      <c r="E656" s="7" t="str">
        <f ca="1" xml:space="preserve">
VLOOKUP(
  $D656,
  Name!$A:$B,
  2,
  FALSE
)
&amp; " " &amp;
IF($B656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Vera Lucia Galli Gonçalves</v>
      </c>
      <c r="F656" s="7">
        <v>2</v>
      </c>
      <c r="G656" s="7" cm="1">
        <f t="array" aca="1" ref="G656" ca="1">INDEX(States!$B:$B,RANDBETWEEN(2,COUNTA(States!$A:$A)),1)</f>
        <v>18</v>
      </c>
      <c r="H656" s="7" t="str">
        <f ca="1">VLOOKUP($D656,Name!$A:$C,3,FALSE)</f>
        <v>F</v>
      </c>
      <c r="I656" s="7" cm="1">
        <f t="array" aca="1" ref="I656" ca="1">INDEX('Marital status'!$A:$A,RANDBETWEEN(2,COUNTA('Marital status'!$A:$A)),1)</f>
        <v>3</v>
      </c>
      <c r="J656" s="7">
        <f t="shared" ca="1" si="123"/>
        <v>2</v>
      </c>
      <c r="K656" s="8">
        <f t="shared" ca="1" si="124"/>
        <v>23292</v>
      </c>
      <c r="L656" s="6">
        <f t="shared" ca="1" si="125"/>
        <v>4</v>
      </c>
      <c r="M656" s="7">
        <f ca="1" xml:space="preserve">
  IF(OR($N656 = 2, $N656 = 3, $N656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656" s="6">
        <f t="shared" ca="1" si="126"/>
        <v>6</v>
      </c>
      <c r="O656" s="6" t="e">
        <f t="shared" ca="1" si="127"/>
        <v>#N/A</v>
      </c>
      <c r="P656" s="8">
        <f t="shared" ca="1" si="128"/>
        <v>43670</v>
      </c>
      <c r="Q656" s="6">
        <f ca="1">RANDBETWEEN(2,COUNTA('Recruitment source'!$A:$A))</f>
        <v>3</v>
      </c>
      <c r="R656" s="8" t="e">
        <f t="shared" ca="1" si="129"/>
        <v>#N/A</v>
      </c>
      <c r="S656" s="6" t="e">
        <f t="shared" ca="1" si="130"/>
        <v>#N/A</v>
      </c>
      <c r="T656" s="6">
        <f t="shared" ca="1" si="120"/>
        <v>2</v>
      </c>
      <c r="U656" s="1">
        <f t="shared" ca="1" si="131"/>
        <v>885</v>
      </c>
    </row>
    <row r="657" spans="1:21" x14ac:dyDescent="0.2">
      <c r="A657" s="7" cm="1">
        <f t="array" aca="1" ref="A657" ca="1">INDEX(Companies!$A:$A,RANDBETWEEN(2,COUNTA(Companies!$A:$A)),1)</f>
        <v>2</v>
      </c>
      <c r="B657" s="5">
        <f t="shared" si="121"/>
        <v>656</v>
      </c>
      <c r="C657" s="6">
        <f t="shared" ca="1" si="122"/>
        <v>1</v>
      </c>
      <c r="D657" s="7">
        <f ca="1">IF($B657 = 1 + N("Presidente"),
    127,
    IF($B657 = 2 + N("Vice-Presidente"),
        72,
        IF($B657 = 3 + N("Secretária bilíngue"),
            13,
            RANDBETWEEN(5,COUNT(Name!$A:$A) + 1)
        )
    )
)</f>
        <v>307</v>
      </c>
      <c r="E657" s="7" t="str">
        <f ca="1" xml:space="preserve">
VLOOKUP(
  $D657,
  Name!$A:$B,
  2,
  FALSE
)
&amp; " " &amp;
IF($B657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Nicole Moura Simões</v>
      </c>
      <c r="F657" s="7">
        <v>2</v>
      </c>
      <c r="G657" s="7" cm="1">
        <f t="array" aca="1" ref="G657" ca="1">INDEX(States!$B:$B,RANDBETWEEN(2,COUNTA(States!$A:$A)),1)</f>
        <v>15</v>
      </c>
      <c r="H657" s="7" t="str">
        <f ca="1">VLOOKUP($D657,Name!$A:$C,3,FALSE)</f>
        <v>F</v>
      </c>
      <c r="I657" s="7" cm="1">
        <f t="array" aca="1" ref="I657" ca="1">INDEX('Marital status'!$A:$A,RANDBETWEEN(2,COUNTA('Marital status'!$A:$A)),1)</f>
        <v>4</v>
      </c>
      <c r="J657" s="7">
        <f t="shared" ca="1" si="123"/>
        <v>2</v>
      </c>
      <c r="K657" s="8">
        <f t="shared" ca="1" si="124"/>
        <v>34743</v>
      </c>
      <c r="L657" s="6">
        <f t="shared" ca="1" si="125"/>
        <v>5</v>
      </c>
      <c r="M657" s="7">
        <f ca="1" xml:space="preserve">
  IF(OR($N657 = 2, $N657 = 3, $N657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657" s="6">
        <f t="shared" ca="1" si="126"/>
        <v>8</v>
      </c>
      <c r="O657" s="6">
        <f t="shared" ca="1" si="127"/>
        <v>2</v>
      </c>
      <c r="P657" s="8">
        <f t="shared" ca="1" si="128"/>
        <v>43566</v>
      </c>
      <c r="Q657" s="6">
        <f ca="1">RANDBETWEEN(2,COUNTA('Recruitment source'!$A:$A))</f>
        <v>10</v>
      </c>
      <c r="R657" s="8" t="e">
        <f t="shared" ca="1" si="129"/>
        <v>#N/A</v>
      </c>
      <c r="S657" s="6" t="e">
        <f t="shared" ca="1" si="130"/>
        <v>#N/A</v>
      </c>
      <c r="T657" s="6">
        <f t="shared" ca="1" si="120"/>
        <v>5</v>
      </c>
      <c r="U657" s="1">
        <f t="shared" ca="1" si="131"/>
        <v>2080</v>
      </c>
    </row>
    <row r="658" spans="1:21" x14ac:dyDescent="0.2">
      <c r="A658" s="7" cm="1">
        <f t="array" aca="1" ref="A658" ca="1">INDEX(Companies!$A:$A,RANDBETWEEN(2,COUNTA(Companies!$A:$A)),1)</f>
        <v>2</v>
      </c>
      <c r="B658" s="5">
        <f t="shared" si="121"/>
        <v>657</v>
      </c>
      <c r="C658" s="6">
        <f t="shared" ca="1" si="122"/>
        <v>1</v>
      </c>
      <c r="D658" s="7">
        <f ca="1">IF($B658 = 1 + N("Presidente"),
    127,
    IF($B658 = 2 + N("Vice-Presidente"),
        72,
        IF($B658 = 3 + N("Secretária bilíngue"),
            13,
            RANDBETWEEN(5,COUNT(Name!$A:$A) + 1)
        )
    )
)</f>
        <v>211</v>
      </c>
      <c r="E658" s="7" t="str">
        <f ca="1" xml:space="preserve">
VLOOKUP(
  $D658,
  Name!$A:$B,
  2,
  FALSE
)
&amp; " " &amp;
IF($B658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Kauê Farina Mello</v>
      </c>
      <c r="F658" s="7">
        <v>2</v>
      </c>
      <c r="G658" s="7" cm="1">
        <f t="array" aca="1" ref="G658" ca="1">INDEX(States!$B:$B,RANDBETWEEN(2,COUNTA(States!$A:$A)),1)</f>
        <v>17</v>
      </c>
      <c r="H658" s="7" t="str">
        <f ca="1">VLOOKUP($D658,Name!$A:$C,3,FALSE)</f>
        <v>M</v>
      </c>
      <c r="I658" s="7" cm="1">
        <f t="array" aca="1" ref="I658" ca="1">INDEX('Marital status'!$A:$A,RANDBETWEEN(2,COUNTA('Marital status'!$A:$A)),1)</f>
        <v>4</v>
      </c>
      <c r="J658" s="7">
        <f t="shared" ca="1" si="123"/>
        <v>3</v>
      </c>
      <c r="K658" s="8">
        <f t="shared" ca="1" si="124"/>
        <v>35543</v>
      </c>
      <c r="L658" s="6">
        <f t="shared" ca="1" si="125"/>
        <v>4</v>
      </c>
      <c r="M658" s="7">
        <f ca="1" xml:space="preserve">
  IF(OR($N658 = 2, $N658 = 3, $N658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658" s="6">
        <f t="shared" ca="1" si="126"/>
        <v>7</v>
      </c>
      <c r="O658" s="6" t="e">
        <f t="shared" ca="1" si="127"/>
        <v>#N/A</v>
      </c>
      <c r="P658" s="8">
        <f t="shared" ca="1" si="128"/>
        <v>41349</v>
      </c>
      <c r="Q658" s="6">
        <f ca="1">RANDBETWEEN(2,COUNTA('Recruitment source'!$A:$A))</f>
        <v>10</v>
      </c>
      <c r="R658" s="8" t="e">
        <f t="shared" ca="1" si="129"/>
        <v>#N/A</v>
      </c>
      <c r="S658" s="6" t="e">
        <f t="shared" ca="1" si="130"/>
        <v>#N/A</v>
      </c>
      <c r="T658" s="6">
        <f t="shared" ca="1" si="120"/>
        <v>5</v>
      </c>
      <c r="U658" s="1">
        <f t="shared" ca="1" si="131"/>
        <v>1005</v>
      </c>
    </row>
    <row r="659" spans="1:21" x14ac:dyDescent="0.2">
      <c r="A659" s="7" cm="1">
        <f t="array" aca="1" ref="A659" ca="1">INDEX(Companies!$A:$A,RANDBETWEEN(2,COUNTA(Companies!$A:$A)),1)</f>
        <v>2</v>
      </c>
      <c r="B659" s="5">
        <f t="shared" si="121"/>
        <v>658</v>
      </c>
      <c r="C659" s="6">
        <f t="shared" ca="1" si="122"/>
        <v>1</v>
      </c>
      <c r="D659" s="7">
        <f ca="1">IF($B659 = 1 + N("Presidente"),
    127,
    IF($B659 = 2 + N("Vice-Presidente"),
        72,
        IF($B659 = 3 + N("Secretária bilíngue"),
            13,
            RANDBETWEEN(5,COUNT(Name!$A:$A) + 1)
        )
    )
)</f>
        <v>338</v>
      </c>
      <c r="E659" s="7" t="str">
        <f ca="1" xml:space="preserve">
VLOOKUP(
  $D659,
  Name!$A:$B,
  2,
  FALSE
)
&amp; " " &amp;
IF($B659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Sophia Alvim Pinto</v>
      </c>
      <c r="F659" s="7">
        <v>2</v>
      </c>
      <c r="G659" s="7" cm="1">
        <f t="array" aca="1" ref="G659" ca="1">INDEX(States!$B:$B,RANDBETWEEN(2,COUNTA(States!$A:$A)),1)</f>
        <v>7</v>
      </c>
      <c r="H659" s="7" t="str">
        <f ca="1">VLOOKUP($D659,Name!$A:$C,3,FALSE)</f>
        <v>F</v>
      </c>
      <c r="I659" s="7" cm="1">
        <f t="array" aca="1" ref="I659" ca="1">INDEX('Marital status'!$A:$A,RANDBETWEEN(2,COUNTA('Marital status'!$A:$A)),1)</f>
        <v>6</v>
      </c>
      <c r="J659" s="7">
        <f t="shared" ca="1" si="123"/>
        <v>2</v>
      </c>
      <c r="K659" s="8">
        <f t="shared" ca="1" si="124"/>
        <v>32737</v>
      </c>
      <c r="L659" s="6">
        <f t="shared" ca="1" si="125"/>
        <v>4</v>
      </c>
      <c r="M659" s="7">
        <f ca="1" xml:space="preserve">
  IF(OR($N659 = 2, $N659 = 3, $N659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659" s="6">
        <f t="shared" ca="1" si="126"/>
        <v>8</v>
      </c>
      <c r="O659" s="6">
        <f t="shared" ca="1" si="127"/>
        <v>2</v>
      </c>
      <c r="P659" s="8">
        <f t="shared" ca="1" si="128"/>
        <v>36947</v>
      </c>
      <c r="Q659" s="6">
        <f ca="1">RANDBETWEEN(2,COUNTA('Recruitment source'!$A:$A))</f>
        <v>2</v>
      </c>
      <c r="R659" s="8" t="e">
        <f t="shared" ca="1" si="129"/>
        <v>#N/A</v>
      </c>
      <c r="S659" s="6" t="e">
        <f t="shared" ca="1" si="130"/>
        <v>#N/A</v>
      </c>
      <c r="T659" s="6">
        <f t="shared" ca="1" si="120"/>
        <v>3</v>
      </c>
      <c r="U659" s="1">
        <f t="shared" ca="1" si="131"/>
        <v>2000</v>
      </c>
    </row>
    <row r="660" spans="1:21" x14ac:dyDescent="0.2">
      <c r="A660" s="7" cm="1">
        <f t="array" aca="1" ref="A660" ca="1">INDEX(Companies!$A:$A,RANDBETWEEN(2,COUNTA(Companies!$A:$A)),1)</f>
        <v>2</v>
      </c>
      <c r="B660" s="5">
        <f t="shared" si="121"/>
        <v>659</v>
      </c>
      <c r="C660" s="6">
        <f t="shared" ca="1" si="122"/>
        <v>1</v>
      </c>
      <c r="D660" s="7">
        <f ca="1">IF($B660 = 1 + N("Presidente"),
    127,
    IF($B660 = 2 + N("Vice-Presidente"),
        72,
        IF($B660 = 3 + N("Secretária bilíngue"),
            13,
            RANDBETWEEN(5,COUNT(Name!$A:$A) + 1)
        )
    )
)</f>
        <v>336</v>
      </c>
      <c r="E660" s="7" t="str">
        <f ca="1" xml:space="preserve">
VLOOKUP(
  $D660,
  Name!$A:$B,
  2,
  FALSE
)
&amp; " " &amp;
IF($B660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Samuel Marques Bandeira</v>
      </c>
      <c r="F660" s="7">
        <v>2</v>
      </c>
      <c r="G660" s="7" cm="1">
        <f t="array" aca="1" ref="G660" ca="1">INDEX(States!$B:$B,RANDBETWEEN(2,COUNTA(States!$A:$A)),1)</f>
        <v>5</v>
      </c>
      <c r="H660" s="7" t="str">
        <f ca="1">VLOOKUP($D660,Name!$A:$C,3,FALSE)</f>
        <v>M</v>
      </c>
      <c r="I660" s="7" cm="1">
        <f t="array" aca="1" ref="I660" ca="1">INDEX('Marital status'!$A:$A,RANDBETWEEN(2,COUNTA('Marital status'!$A:$A)),1)</f>
        <v>5</v>
      </c>
      <c r="J660" s="7">
        <f t="shared" ca="1" si="123"/>
        <v>4</v>
      </c>
      <c r="K660" s="8">
        <f t="shared" ca="1" si="124"/>
        <v>24318</v>
      </c>
      <c r="L660" s="6">
        <f t="shared" ca="1" si="125"/>
        <v>4</v>
      </c>
      <c r="M660" s="7">
        <f ca="1" xml:space="preserve">
  IF(OR($N660 = 2, $N660 = 3, $N660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660" s="6">
        <f t="shared" ca="1" si="126"/>
        <v>6</v>
      </c>
      <c r="O660" s="6" t="e">
        <f t="shared" ca="1" si="127"/>
        <v>#N/A</v>
      </c>
      <c r="P660" s="8">
        <f t="shared" ca="1" si="128"/>
        <v>43988</v>
      </c>
      <c r="Q660" s="6">
        <f ca="1">RANDBETWEEN(2,COUNTA('Recruitment source'!$A:$A))</f>
        <v>5</v>
      </c>
      <c r="R660" s="8" t="e">
        <f t="shared" ca="1" si="129"/>
        <v>#N/A</v>
      </c>
      <c r="S660" s="6" t="e">
        <f t="shared" ca="1" si="130"/>
        <v>#N/A</v>
      </c>
      <c r="T660" s="6">
        <f t="shared" ca="1" si="120"/>
        <v>4</v>
      </c>
      <c r="U660" s="1">
        <f t="shared" ca="1" si="131"/>
        <v>805</v>
      </c>
    </row>
    <row r="661" spans="1:21" x14ac:dyDescent="0.2">
      <c r="A661" s="7" cm="1">
        <f t="array" aca="1" ref="A661" ca="1">INDEX(Companies!$A:$A,RANDBETWEEN(2,COUNTA(Companies!$A:$A)),1)</f>
        <v>2</v>
      </c>
      <c r="B661" s="5">
        <f t="shared" si="121"/>
        <v>660</v>
      </c>
      <c r="C661" s="6">
        <f t="shared" ca="1" si="122"/>
        <v>1</v>
      </c>
      <c r="D661" s="7">
        <f ca="1">IF($B661 = 1 + N("Presidente"),
    127,
    IF($B661 = 2 + N("Vice-Presidente"),
        72,
        IF($B661 = 3 + N("Secretária bilíngue"),
            13,
            RANDBETWEEN(5,COUNT(Name!$A:$A) + 1)
        )
    )
)</f>
        <v>350</v>
      </c>
      <c r="E661" s="7" t="str">
        <f ca="1" xml:space="preserve">
VLOOKUP(
  $D661,
  Name!$A:$B,
  2,
  FALSE
)
&amp; " " &amp;
IF($B661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Vanessa Duarte Testa</v>
      </c>
      <c r="F661" s="7">
        <v>2</v>
      </c>
      <c r="G661" s="7" cm="1">
        <f t="array" aca="1" ref="G661" ca="1">INDEX(States!$B:$B,RANDBETWEEN(2,COUNTA(States!$A:$A)),1)</f>
        <v>13</v>
      </c>
      <c r="H661" s="7" t="str">
        <f ca="1">VLOOKUP($D661,Name!$A:$C,3,FALSE)</f>
        <v>F</v>
      </c>
      <c r="I661" s="7" cm="1">
        <f t="array" aca="1" ref="I661" ca="1">INDEX('Marital status'!$A:$A,RANDBETWEEN(2,COUNTA('Marital status'!$A:$A)),1)</f>
        <v>3</v>
      </c>
      <c r="J661" s="7">
        <f t="shared" ca="1" si="123"/>
        <v>2</v>
      </c>
      <c r="K661" s="8">
        <f t="shared" ca="1" si="124"/>
        <v>34270</v>
      </c>
      <c r="L661" s="6">
        <f t="shared" ca="1" si="125"/>
        <v>4</v>
      </c>
      <c r="M661" s="7">
        <f ca="1" xml:space="preserve">
  IF(OR($N661 = 2, $N661 = 3, $N661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661" s="6">
        <f t="shared" ca="1" si="126"/>
        <v>8</v>
      </c>
      <c r="O661" s="6">
        <f t="shared" ca="1" si="127"/>
        <v>2</v>
      </c>
      <c r="P661" s="8">
        <f t="shared" ca="1" si="128"/>
        <v>42835</v>
      </c>
      <c r="Q661" s="6">
        <f ca="1">RANDBETWEEN(2,COUNTA('Recruitment source'!$A:$A))</f>
        <v>2</v>
      </c>
      <c r="R661" s="8" t="e">
        <f t="shared" ca="1" si="129"/>
        <v>#N/A</v>
      </c>
      <c r="S661" s="6" t="e">
        <f t="shared" ca="1" si="130"/>
        <v>#N/A</v>
      </c>
      <c r="T661" s="6">
        <f t="shared" ca="1" si="120"/>
        <v>2</v>
      </c>
      <c r="U661" s="1">
        <f t="shared" ca="1" si="131"/>
        <v>2000</v>
      </c>
    </row>
    <row r="662" spans="1:21" x14ac:dyDescent="0.2">
      <c r="A662" s="7" cm="1">
        <f t="array" aca="1" ref="A662" ca="1">INDEX(Companies!$A:$A,RANDBETWEEN(2,COUNTA(Companies!$A:$A)),1)</f>
        <v>2</v>
      </c>
      <c r="B662" s="5">
        <f t="shared" si="121"/>
        <v>661</v>
      </c>
      <c r="C662" s="6">
        <f t="shared" ca="1" si="122"/>
        <v>1</v>
      </c>
      <c r="D662" s="7">
        <f ca="1">IF($B662 = 1 + N("Presidente"),
    127,
    IF($B662 = 2 + N("Vice-Presidente"),
        72,
        IF($B662 = 3 + N("Secretária bilíngue"),
            13,
            RANDBETWEEN(5,COUNT(Name!$A:$A) + 1)
        )
    )
)</f>
        <v>139</v>
      </c>
      <c r="E662" s="7" t="str">
        <f ca="1" xml:space="preserve">
VLOOKUP(
  $D662,
  Name!$A:$B,
  2,
  FALSE
)
&amp; " " &amp;
IF($B662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Mariano Galli Salvador</v>
      </c>
      <c r="F662" s="7">
        <v>2</v>
      </c>
      <c r="G662" s="7" cm="1">
        <f t="array" aca="1" ref="G662" ca="1">INDEX(States!$B:$B,RANDBETWEEN(2,COUNTA(States!$A:$A)),1)</f>
        <v>12</v>
      </c>
      <c r="H662" s="7" t="str">
        <f ca="1">VLOOKUP($D662,Name!$A:$C,3,FALSE)</f>
        <v>M</v>
      </c>
      <c r="I662" s="7" cm="1">
        <f t="array" aca="1" ref="I662" ca="1">INDEX('Marital status'!$A:$A,RANDBETWEEN(2,COUNTA('Marital status'!$A:$A)),1)</f>
        <v>5</v>
      </c>
      <c r="J662" s="7">
        <f t="shared" ca="1" si="123"/>
        <v>2</v>
      </c>
      <c r="K662" s="8">
        <f t="shared" ca="1" si="124"/>
        <v>35486</v>
      </c>
      <c r="L662" s="6">
        <f t="shared" ca="1" si="125"/>
        <v>4</v>
      </c>
      <c r="M662" s="7">
        <f ca="1" xml:space="preserve">
  IF(OR($N662 = 2, $N662 = 3, $N662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662" s="6">
        <f t="shared" ca="1" si="126"/>
        <v>7</v>
      </c>
      <c r="O662" s="6" t="e">
        <f t="shared" ca="1" si="127"/>
        <v>#N/A</v>
      </c>
      <c r="P662" s="8">
        <f t="shared" ca="1" si="128"/>
        <v>38958</v>
      </c>
      <c r="Q662" s="6">
        <f ca="1">RANDBETWEEN(2,COUNTA('Recruitment source'!$A:$A))</f>
        <v>2</v>
      </c>
      <c r="R662" s="8" t="e">
        <f t="shared" ca="1" si="129"/>
        <v>#N/A</v>
      </c>
      <c r="S662" s="6" t="e">
        <f t="shared" ca="1" si="130"/>
        <v>#N/A</v>
      </c>
      <c r="T662" s="6">
        <f t="shared" ca="1" si="120"/>
        <v>3</v>
      </c>
      <c r="U662" s="1">
        <f t="shared" ca="1" si="131"/>
        <v>1005</v>
      </c>
    </row>
    <row r="663" spans="1:21" x14ac:dyDescent="0.2">
      <c r="A663" s="7" cm="1">
        <f t="array" aca="1" ref="A663" ca="1">INDEX(Companies!$A:$A,RANDBETWEEN(2,COUNTA(Companies!$A:$A)),1)</f>
        <v>2</v>
      </c>
      <c r="B663" s="5">
        <f t="shared" si="121"/>
        <v>662</v>
      </c>
      <c r="C663" s="6">
        <f t="shared" ca="1" si="122"/>
        <v>1</v>
      </c>
      <c r="D663" s="7">
        <f ca="1">IF($B663 = 1 + N("Presidente"),
    127,
    IF($B663 = 2 + N("Vice-Presidente"),
        72,
        IF($B663 = 3 + N("Secretária bilíngue"),
            13,
            RANDBETWEEN(5,COUNT(Name!$A:$A) + 1)
        )
    )
)</f>
        <v>302</v>
      </c>
      <c r="E663" s="7" t="str">
        <f ca="1" xml:space="preserve">
VLOOKUP(
  $D663,
  Name!$A:$B,
  2,
  FALSE
)
&amp; " " &amp;
IF($B663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Natália Barboza Barreto</v>
      </c>
      <c r="F663" s="7">
        <v>2</v>
      </c>
      <c r="G663" s="7" cm="1">
        <f t="array" aca="1" ref="G663" ca="1">INDEX(States!$B:$B,RANDBETWEEN(2,COUNTA(States!$A:$A)),1)</f>
        <v>6</v>
      </c>
      <c r="H663" s="7" t="str">
        <f ca="1">VLOOKUP($D663,Name!$A:$C,3,FALSE)</f>
        <v>F</v>
      </c>
      <c r="I663" s="7" cm="1">
        <f t="array" aca="1" ref="I663" ca="1">INDEX('Marital status'!$A:$A,RANDBETWEEN(2,COUNTA('Marital status'!$A:$A)),1)</f>
        <v>6</v>
      </c>
      <c r="J663" s="7">
        <f t="shared" ca="1" si="123"/>
        <v>2</v>
      </c>
      <c r="K663" s="8">
        <f t="shared" ca="1" si="124"/>
        <v>32824</v>
      </c>
      <c r="L663" s="6">
        <f t="shared" ca="1" si="125"/>
        <v>5</v>
      </c>
      <c r="M663" s="7">
        <f ca="1" xml:space="preserve">
  IF(OR($N663 = 2, $N663 = 3, $N663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663" s="6">
        <f t="shared" ca="1" si="126"/>
        <v>8</v>
      </c>
      <c r="O663" s="6">
        <f t="shared" ca="1" si="127"/>
        <v>3</v>
      </c>
      <c r="P663" s="8">
        <f t="shared" ca="1" si="128"/>
        <v>43666</v>
      </c>
      <c r="Q663" s="6">
        <f ca="1">RANDBETWEEN(2,COUNTA('Recruitment source'!$A:$A))</f>
        <v>2</v>
      </c>
      <c r="R663" s="8" t="e">
        <f t="shared" ca="1" si="129"/>
        <v>#N/A</v>
      </c>
      <c r="S663" s="6" t="e">
        <f t="shared" ca="1" si="130"/>
        <v>#N/A</v>
      </c>
      <c r="T663" s="6">
        <f t="shared" ca="1" si="120"/>
        <v>3</v>
      </c>
      <c r="U663" s="1">
        <f t="shared" ca="1" si="131"/>
        <v>2000</v>
      </c>
    </row>
    <row r="664" spans="1:21" x14ac:dyDescent="0.2">
      <c r="A664" s="7" cm="1">
        <f t="array" aca="1" ref="A664" ca="1">INDEX(Companies!$A:$A,RANDBETWEEN(2,COUNTA(Companies!$A:$A)),1)</f>
        <v>2</v>
      </c>
      <c r="B664" s="5">
        <f t="shared" si="121"/>
        <v>663</v>
      </c>
      <c r="C664" s="6">
        <f t="shared" ca="1" si="122"/>
        <v>1</v>
      </c>
      <c r="D664" s="7">
        <f ca="1">IF($B664 = 1 + N("Presidente"),
    127,
    IF($B664 = 2 + N("Vice-Presidente"),
        72,
        IF($B664 = 3 + N("Secretária bilíngue"),
            13,
            RANDBETWEEN(5,COUNT(Name!$A:$A) + 1)
        )
    )
)</f>
        <v>44</v>
      </c>
      <c r="E664" s="7" t="str">
        <f ca="1" xml:space="preserve">
VLOOKUP(
  $D664,
  Name!$A:$B,
  2,
  FALSE
)
&amp; " " &amp;
IF($B664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Carolina Padrão Faria</v>
      </c>
      <c r="F664" s="7">
        <v>2</v>
      </c>
      <c r="G664" s="7" cm="1">
        <f t="array" aca="1" ref="G664" ca="1">INDEX(States!$B:$B,RANDBETWEEN(2,COUNTA(States!$A:$A)),1)</f>
        <v>3</v>
      </c>
      <c r="H664" s="7" t="str">
        <f ca="1">VLOOKUP($D664,Name!$A:$C,3,FALSE)</f>
        <v>F</v>
      </c>
      <c r="I664" s="7" cm="1">
        <f t="array" aca="1" ref="I664" ca="1">INDEX('Marital status'!$A:$A,RANDBETWEEN(2,COUNTA('Marital status'!$A:$A)),1)</f>
        <v>6</v>
      </c>
      <c r="J664" s="7">
        <f t="shared" ca="1" si="123"/>
        <v>2</v>
      </c>
      <c r="K664" s="8">
        <f t="shared" ca="1" si="124"/>
        <v>27801</v>
      </c>
      <c r="L664" s="6">
        <f t="shared" ca="1" si="125"/>
        <v>4</v>
      </c>
      <c r="M664" s="7">
        <f ca="1" xml:space="preserve">
  IF(OR($N664 = 2, $N664 = 3, $N664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664" s="6">
        <f t="shared" ca="1" si="126"/>
        <v>6</v>
      </c>
      <c r="O664" s="6" t="e">
        <f t="shared" ca="1" si="127"/>
        <v>#N/A</v>
      </c>
      <c r="P664" s="8">
        <f t="shared" ca="1" si="128"/>
        <v>36975</v>
      </c>
      <c r="Q664" s="6">
        <f ca="1">RANDBETWEEN(2,COUNTA('Recruitment source'!$A:$A))</f>
        <v>11</v>
      </c>
      <c r="R664" s="8" t="e">
        <f t="shared" ca="1" si="129"/>
        <v>#N/A</v>
      </c>
      <c r="S664" s="6" t="e">
        <f t="shared" ca="1" si="130"/>
        <v>#N/A</v>
      </c>
      <c r="T664" s="6">
        <f t="shared" ca="1" si="120"/>
        <v>3</v>
      </c>
      <c r="U664" s="1">
        <f t="shared" ca="1" si="131"/>
        <v>805</v>
      </c>
    </row>
    <row r="665" spans="1:21" x14ac:dyDescent="0.2">
      <c r="A665" s="7" cm="1">
        <f t="array" aca="1" ref="A665" ca="1">INDEX(Companies!$A:$A,RANDBETWEEN(2,COUNTA(Companies!$A:$A)),1)</f>
        <v>2</v>
      </c>
      <c r="B665" s="5">
        <f t="shared" si="121"/>
        <v>664</v>
      </c>
      <c r="C665" s="6">
        <f t="shared" ca="1" si="122"/>
        <v>1</v>
      </c>
      <c r="D665" s="7">
        <f ca="1">IF($B665 = 1 + N("Presidente"),
    127,
    IF($B665 = 2 + N("Vice-Presidente"),
        72,
        IF($B665 = 3 + N("Secretária bilíngue"),
            13,
            RANDBETWEEN(5,COUNT(Name!$A:$A) + 1)
        )
    )
)</f>
        <v>285</v>
      </c>
      <c r="E665" s="7" t="str">
        <f ca="1" xml:space="preserve">
VLOOKUP(
  $D665,
  Name!$A:$B,
  2,
  FALSE
)
&amp; " " &amp;
IF($B665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Martin Negrão Dias</v>
      </c>
      <c r="F665" s="7">
        <v>2</v>
      </c>
      <c r="G665" s="7" cm="1">
        <f t="array" aca="1" ref="G665" ca="1">INDEX(States!$B:$B,RANDBETWEEN(2,COUNTA(States!$A:$A)),1)</f>
        <v>7</v>
      </c>
      <c r="H665" s="7" t="str">
        <f ca="1">VLOOKUP($D665,Name!$A:$C,3,FALSE)</f>
        <v>M</v>
      </c>
      <c r="I665" s="7" cm="1">
        <f t="array" aca="1" ref="I665" ca="1">INDEX('Marital status'!$A:$A,RANDBETWEEN(2,COUNTA('Marital status'!$A:$A)),1)</f>
        <v>2</v>
      </c>
      <c r="J665" s="7">
        <f t="shared" ca="1" si="123"/>
        <v>5</v>
      </c>
      <c r="K665" s="8">
        <f t="shared" ca="1" si="124"/>
        <v>36436</v>
      </c>
      <c r="L665" s="6">
        <f t="shared" ca="1" si="125"/>
        <v>4</v>
      </c>
      <c r="M665" s="7">
        <f ca="1" xml:space="preserve">
  IF(OR($N665 = 2, $N665 = 3, $N665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665" s="6">
        <f t="shared" ca="1" si="126"/>
        <v>8</v>
      </c>
      <c r="O665" s="6">
        <f t="shared" ca="1" si="127"/>
        <v>4</v>
      </c>
      <c r="P665" s="8">
        <f t="shared" ca="1" si="128"/>
        <v>42626</v>
      </c>
      <c r="Q665" s="6">
        <f ca="1">RANDBETWEEN(2,COUNTA('Recruitment source'!$A:$A))</f>
        <v>12</v>
      </c>
      <c r="R665" s="8" t="e">
        <f t="shared" ca="1" si="129"/>
        <v>#N/A</v>
      </c>
      <c r="S665" s="6" t="e">
        <f t="shared" ca="1" si="130"/>
        <v>#N/A</v>
      </c>
      <c r="T665" s="6">
        <f t="shared" ca="1" si="120"/>
        <v>2</v>
      </c>
      <c r="U665" s="1">
        <f t="shared" ca="1" si="131"/>
        <v>2080</v>
      </c>
    </row>
    <row r="666" spans="1:21" x14ac:dyDescent="0.2">
      <c r="A666" s="7" cm="1">
        <f t="array" aca="1" ref="A666" ca="1">INDEX(Companies!$A:$A,RANDBETWEEN(2,COUNTA(Companies!$A:$A)),1)</f>
        <v>2</v>
      </c>
      <c r="B666" s="5">
        <f t="shared" si="121"/>
        <v>665</v>
      </c>
      <c r="C666" s="6">
        <f t="shared" ca="1" si="122"/>
        <v>0</v>
      </c>
      <c r="D666" s="7">
        <f ca="1">IF($B666 = 1 + N("Presidente"),
    127,
    IF($B666 = 2 + N("Vice-Presidente"),
        72,
        IF($B666 = 3 + N("Secretária bilíngue"),
            13,
            RANDBETWEEN(5,COUNT(Name!$A:$A) + 1)
        )
    )
)</f>
        <v>196</v>
      </c>
      <c r="E666" s="7" t="str">
        <f ca="1" xml:space="preserve">
VLOOKUP(
  $D666,
  Name!$A:$B,
  2,
  FALSE
)
&amp; " " &amp;
IF($B666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Jonathan Bispo Mendes</v>
      </c>
      <c r="F666" s="7">
        <v>2</v>
      </c>
      <c r="G666" s="7" cm="1">
        <f t="array" aca="1" ref="G666" ca="1">INDEX(States!$B:$B,RANDBETWEEN(2,COUNTA(States!$A:$A)),1)</f>
        <v>9</v>
      </c>
      <c r="H666" s="7" t="str">
        <f ca="1">VLOOKUP($D666,Name!$A:$C,3,FALSE)</f>
        <v>M</v>
      </c>
      <c r="I666" s="7" cm="1">
        <f t="array" aca="1" ref="I666" ca="1">INDEX('Marital status'!$A:$A,RANDBETWEEN(2,COUNTA('Marital status'!$A:$A)),1)</f>
        <v>5</v>
      </c>
      <c r="J666" s="7">
        <f t="shared" ca="1" si="123"/>
        <v>2</v>
      </c>
      <c r="K666" s="8">
        <f t="shared" ca="1" si="124"/>
        <v>24772</v>
      </c>
      <c r="L666" s="6">
        <f t="shared" ca="1" si="125"/>
        <v>4</v>
      </c>
      <c r="M666" s="7">
        <f ca="1" xml:space="preserve">
  IF(OR($N666 = 2, $N666 = 3, $N666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666" s="6">
        <f t="shared" ca="1" si="126"/>
        <v>6</v>
      </c>
      <c r="O666" s="6" t="e">
        <f t="shared" ca="1" si="127"/>
        <v>#N/A</v>
      </c>
      <c r="P666" s="8">
        <f t="shared" ca="1" si="128"/>
        <v>38785</v>
      </c>
      <c r="Q666" s="6">
        <f ca="1">RANDBETWEEN(2,COUNTA('Recruitment source'!$A:$A))</f>
        <v>6</v>
      </c>
      <c r="R666" s="8">
        <f t="shared" ca="1" si="129"/>
        <v>44196</v>
      </c>
      <c r="S666" s="6">
        <f t="shared" ca="1" si="130"/>
        <v>5</v>
      </c>
      <c r="T666" s="6">
        <f t="shared" ca="1" si="120"/>
        <v>1</v>
      </c>
      <c r="U666" s="1">
        <f t="shared" ca="1" si="131"/>
        <v>805</v>
      </c>
    </row>
    <row r="667" spans="1:21" x14ac:dyDescent="0.2">
      <c r="A667" s="7" cm="1">
        <f t="array" aca="1" ref="A667" ca="1">INDEX(Companies!$A:$A,RANDBETWEEN(2,COUNTA(Companies!$A:$A)),1)</f>
        <v>2</v>
      </c>
      <c r="B667" s="5">
        <f t="shared" si="121"/>
        <v>666</v>
      </c>
      <c r="C667" s="6">
        <f t="shared" ca="1" si="122"/>
        <v>1</v>
      </c>
      <c r="D667" s="7">
        <f ca="1">IF($B667 = 1 + N("Presidente"),
    127,
    IF($B667 = 2 + N("Vice-Presidente"),
        72,
        IF($B667 = 3 + N("Secretária bilíngue"),
            13,
            RANDBETWEEN(5,COUNT(Name!$A:$A) + 1)
        )
    )
)</f>
        <v>112</v>
      </c>
      <c r="E667" s="7" t="str">
        <f ca="1" xml:space="preserve">
VLOOKUP(
  $D667,
  Name!$A:$B,
  2,
  FALSE
)
&amp; " " &amp;
IF($B667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Deborah De Luca Santos</v>
      </c>
      <c r="F667" s="7">
        <v>2</v>
      </c>
      <c r="G667" s="7" cm="1">
        <f t="array" aca="1" ref="G667" ca="1">INDEX(States!$B:$B,RANDBETWEEN(2,COUNTA(States!$A:$A)),1)</f>
        <v>8</v>
      </c>
      <c r="H667" s="7" t="str">
        <f ca="1">VLOOKUP($D667,Name!$A:$C,3,FALSE)</f>
        <v>F</v>
      </c>
      <c r="I667" s="7" cm="1">
        <f t="array" aca="1" ref="I667" ca="1">INDEX('Marital status'!$A:$A,RANDBETWEEN(2,COUNTA('Marital status'!$A:$A)),1)</f>
        <v>4</v>
      </c>
      <c r="J667" s="7">
        <f t="shared" ca="1" si="123"/>
        <v>2</v>
      </c>
      <c r="K667" s="8">
        <f t="shared" ca="1" si="124"/>
        <v>33243</v>
      </c>
      <c r="L667" s="6">
        <f t="shared" ca="1" si="125"/>
        <v>4</v>
      </c>
      <c r="M667" s="7">
        <f ca="1" xml:space="preserve">
  IF(OR($N667 = 2, $N667 = 3, $N667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667" s="6">
        <f t="shared" ca="1" si="126"/>
        <v>8</v>
      </c>
      <c r="O667" s="6">
        <f t="shared" ca="1" si="127"/>
        <v>3</v>
      </c>
      <c r="P667" s="8">
        <f t="shared" ca="1" si="128"/>
        <v>40716</v>
      </c>
      <c r="Q667" s="6">
        <f ca="1">RANDBETWEEN(2,COUNTA('Recruitment source'!$A:$A))</f>
        <v>10</v>
      </c>
      <c r="R667" s="8" t="e">
        <f t="shared" ca="1" si="129"/>
        <v>#N/A</v>
      </c>
      <c r="S667" s="6" t="e">
        <f t="shared" ca="1" si="130"/>
        <v>#N/A</v>
      </c>
      <c r="T667" s="6">
        <f t="shared" ca="1" si="120"/>
        <v>2</v>
      </c>
      <c r="U667" s="1">
        <f t="shared" ca="1" si="131"/>
        <v>2080</v>
      </c>
    </row>
    <row r="668" spans="1:21" x14ac:dyDescent="0.2">
      <c r="A668" s="7" cm="1">
        <f t="array" aca="1" ref="A668" ca="1">INDEX(Companies!$A:$A,RANDBETWEEN(2,COUNTA(Companies!$A:$A)),1)</f>
        <v>2</v>
      </c>
      <c r="B668" s="5">
        <f t="shared" si="121"/>
        <v>667</v>
      </c>
      <c r="C668" s="6">
        <f t="shared" ca="1" si="122"/>
        <v>1</v>
      </c>
      <c r="D668" s="7">
        <f ca="1">IF($B668 = 1 + N("Presidente"),
    127,
    IF($B668 = 2 + N("Vice-Presidente"),
        72,
        IF($B668 = 3 + N("Secretária bilíngue"),
            13,
            RANDBETWEEN(5,COUNT(Name!$A:$A) + 1)
        )
    )
)</f>
        <v>130</v>
      </c>
      <c r="E668" s="7" t="str">
        <f ca="1" xml:space="preserve">
VLOOKUP(
  $D668,
  Name!$A:$B,
  2,
  FALSE
)
&amp; " " &amp;
IF($B668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Enzzo Pinheiro Brasil</v>
      </c>
      <c r="F668" s="7">
        <v>2</v>
      </c>
      <c r="G668" s="7" cm="1">
        <f t="array" aca="1" ref="G668" ca="1">INDEX(States!$B:$B,RANDBETWEEN(2,COUNTA(States!$A:$A)),1)</f>
        <v>21</v>
      </c>
      <c r="H668" s="7" t="str">
        <f ca="1">VLOOKUP($D668,Name!$A:$C,3,FALSE)</f>
        <v>M</v>
      </c>
      <c r="I668" s="7" cm="1">
        <f t="array" aca="1" ref="I668" ca="1">INDEX('Marital status'!$A:$A,RANDBETWEEN(2,COUNTA('Marital status'!$A:$A)),1)</f>
        <v>2</v>
      </c>
      <c r="J668" s="7">
        <f t="shared" ca="1" si="123"/>
        <v>2</v>
      </c>
      <c r="K668" s="8">
        <f t="shared" ca="1" si="124"/>
        <v>31581</v>
      </c>
      <c r="L668" s="6">
        <f t="shared" ca="1" si="125"/>
        <v>4</v>
      </c>
      <c r="M668" s="7">
        <f ca="1" xml:space="preserve">
  IF(OR($N668 = 2, $N668 = 3, $N668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668" s="6">
        <f t="shared" ca="1" si="126"/>
        <v>7</v>
      </c>
      <c r="O668" s="6" t="e">
        <f t="shared" ca="1" si="127"/>
        <v>#N/A</v>
      </c>
      <c r="P668" s="8">
        <f t="shared" ca="1" si="128"/>
        <v>40221</v>
      </c>
      <c r="Q668" s="6">
        <f ca="1">RANDBETWEEN(2,COUNTA('Recruitment source'!$A:$A))</f>
        <v>7</v>
      </c>
      <c r="R668" s="8" t="e">
        <f t="shared" ca="1" si="129"/>
        <v>#N/A</v>
      </c>
      <c r="S668" s="6" t="e">
        <f t="shared" ca="1" si="130"/>
        <v>#N/A</v>
      </c>
      <c r="T668" s="6">
        <f t="shared" ca="1" si="120"/>
        <v>2</v>
      </c>
      <c r="U668" s="1">
        <f t="shared" ca="1" si="131"/>
        <v>1005</v>
      </c>
    </row>
    <row r="669" spans="1:21" x14ac:dyDescent="0.2">
      <c r="A669" s="7" cm="1">
        <f t="array" aca="1" ref="A669" ca="1">INDEX(Companies!$A:$A,RANDBETWEEN(2,COUNTA(Companies!$A:$A)),1)</f>
        <v>2</v>
      </c>
      <c r="B669" s="5">
        <f t="shared" si="121"/>
        <v>668</v>
      </c>
      <c r="C669" s="6">
        <f t="shared" ca="1" si="122"/>
        <v>1</v>
      </c>
      <c r="D669" s="7">
        <f ca="1">IF($B669 = 1 + N("Presidente"),
    127,
    IF($B669 = 2 + N("Vice-Presidente"),
        72,
        IF($B669 = 3 + N("Secretária bilíngue"),
            13,
            RANDBETWEEN(5,COUNT(Name!$A:$A) + 1)
        )
    )
)</f>
        <v>119</v>
      </c>
      <c r="E669" s="7" t="str">
        <f ca="1" xml:space="preserve">
VLOOKUP(
  $D669,
  Name!$A:$B,
  2,
  FALSE
)
&amp; " " &amp;
IF($B669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Elisa Gomes Zil</v>
      </c>
      <c r="F669" s="7">
        <v>2</v>
      </c>
      <c r="G669" s="7" cm="1">
        <f t="array" aca="1" ref="G669" ca="1">INDEX(States!$B:$B,RANDBETWEEN(2,COUNTA(States!$A:$A)),1)</f>
        <v>12</v>
      </c>
      <c r="H669" s="7" t="str">
        <f ca="1">VLOOKUP($D669,Name!$A:$C,3,FALSE)</f>
        <v>F</v>
      </c>
      <c r="I669" s="7" cm="1">
        <f t="array" aca="1" ref="I669" ca="1">INDEX('Marital status'!$A:$A,RANDBETWEEN(2,COUNTA('Marital status'!$A:$A)),1)</f>
        <v>4</v>
      </c>
      <c r="J669" s="7">
        <f t="shared" ca="1" si="123"/>
        <v>2</v>
      </c>
      <c r="K669" s="8">
        <f t="shared" ca="1" si="124"/>
        <v>33066</v>
      </c>
      <c r="L669" s="6">
        <f t="shared" ca="1" si="125"/>
        <v>5</v>
      </c>
      <c r="M669" s="7">
        <f ca="1" xml:space="preserve">
  IF(OR($N669 = 2, $N669 = 3, $N669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669" s="6">
        <f t="shared" ca="1" si="126"/>
        <v>8</v>
      </c>
      <c r="O669" s="6">
        <f t="shared" ca="1" si="127"/>
        <v>2</v>
      </c>
      <c r="P669" s="8">
        <f t="shared" ca="1" si="128"/>
        <v>40634</v>
      </c>
      <c r="Q669" s="6">
        <f ca="1">RANDBETWEEN(2,COUNTA('Recruitment source'!$A:$A))</f>
        <v>8</v>
      </c>
      <c r="R669" s="8" t="e">
        <f t="shared" ca="1" si="129"/>
        <v>#N/A</v>
      </c>
      <c r="S669" s="6" t="e">
        <f t="shared" ca="1" si="130"/>
        <v>#N/A</v>
      </c>
      <c r="T669" s="6">
        <f t="shared" ca="1" si="120"/>
        <v>3</v>
      </c>
      <c r="U669" s="1">
        <f t="shared" ca="1" si="131"/>
        <v>2080</v>
      </c>
    </row>
    <row r="670" spans="1:21" x14ac:dyDescent="0.2">
      <c r="A670" s="7" cm="1">
        <f t="array" aca="1" ref="A670" ca="1">INDEX(Companies!$A:$A,RANDBETWEEN(2,COUNTA(Companies!$A:$A)),1)</f>
        <v>2</v>
      </c>
      <c r="B670" s="5">
        <f t="shared" si="121"/>
        <v>669</v>
      </c>
      <c r="C670" s="6">
        <f t="shared" ca="1" si="122"/>
        <v>1</v>
      </c>
      <c r="D670" s="7">
        <f ca="1">IF($B670 = 1 + N("Presidente"),
    127,
    IF($B670 = 2 + N("Vice-Presidente"),
        72,
        IF($B670 = 3 + N("Secretária bilíngue"),
            13,
            RANDBETWEEN(5,COUNT(Name!$A:$A) + 1)
        )
    )
)</f>
        <v>265</v>
      </c>
      <c r="E670" s="7" t="str">
        <f ca="1" xml:space="preserve">
VLOOKUP(
  $D670,
  Name!$A:$B,
  2,
  FALSE
)
&amp; " " &amp;
IF($B670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Glória De Luca Ferrão</v>
      </c>
      <c r="F670" s="7">
        <v>2</v>
      </c>
      <c r="G670" s="7" cm="1">
        <f t="array" aca="1" ref="G670" ca="1">INDEX(States!$B:$B,RANDBETWEEN(2,COUNTA(States!$A:$A)),1)</f>
        <v>2</v>
      </c>
      <c r="H670" s="7" t="str">
        <f ca="1">VLOOKUP($D670,Name!$A:$C,3,FALSE)</f>
        <v>F</v>
      </c>
      <c r="I670" s="7" cm="1">
        <f t="array" aca="1" ref="I670" ca="1">INDEX('Marital status'!$A:$A,RANDBETWEEN(2,COUNTA('Marital status'!$A:$A)),1)</f>
        <v>2</v>
      </c>
      <c r="J670" s="7">
        <f t="shared" ca="1" si="123"/>
        <v>2</v>
      </c>
      <c r="K670" s="8">
        <f t="shared" ca="1" si="124"/>
        <v>30092</v>
      </c>
      <c r="L670" s="6">
        <f t="shared" ca="1" si="125"/>
        <v>4</v>
      </c>
      <c r="M670" s="7">
        <f ca="1" xml:space="preserve">
  IF(OR($N670 = 2, $N670 = 3, $N670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670" s="6">
        <f t="shared" ca="1" si="126"/>
        <v>7</v>
      </c>
      <c r="O670" s="6" t="e">
        <f t="shared" ca="1" si="127"/>
        <v>#N/A</v>
      </c>
      <c r="P670" s="8">
        <f t="shared" ca="1" si="128"/>
        <v>39460</v>
      </c>
      <c r="Q670" s="6">
        <f ca="1">RANDBETWEEN(2,COUNTA('Recruitment source'!$A:$A))</f>
        <v>10</v>
      </c>
      <c r="R670" s="8" t="e">
        <f t="shared" ca="1" si="129"/>
        <v>#N/A</v>
      </c>
      <c r="S670" s="6" t="e">
        <f t="shared" ca="1" si="130"/>
        <v>#N/A</v>
      </c>
      <c r="T670" s="6">
        <f t="shared" ca="1" si="120"/>
        <v>3</v>
      </c>
      <c r="U670" s="1">
        <f t="shared" ca="1" si="131"/>
        <v>1085</v>
      </c>
    </row>
    <row r="671" spans="1:21" x14ac:dyDescent="0.2">
      <c r="A671" s="7" cm="1">
        <f t="array" aca="1" ref="A671" ca="1">INDEX(Companies!$A:$A,RANDBETWEEN(2,COUNTA(Companies!$A:$A)),1)</f>
        <v>2</v>
      </c>
      <c r="B671" s="5">
        <f t="shared" si="121"/>
        <v>670</v>
      </c>
      <c r="C671" s="6">
        <f t="shared" ca="1" si="122"/>
        <v>1</v>
      </c>
      <c r="D671" s="7">
        <f ca="1">IF($B671 = 1 + N("Presidente"),
    127,
    IF($B671 = 2 + N("Vice-Presidente"),
        72,
        IF($B671 = 3 + N("Secretária bilíngue"),
            13,
            RANDBETWEEN(5,COUNT(Name!$A:$A) + 1)
        )
    )
)</f>
        <v>223</v>
      </c>
      <c r="E671" s="7" t="str">
        <f ca="1" xml:space="preserve">
VLOOKUP(
  $D671,
  Name!$A:$B,
  2,
  FALSE
)
&amp; " " &amp;
IF($B671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Leonardo Melo Romano</v>
      </c>
      <c r="F671" s="7">
        <v>2</v>
      </c>
      <c r="G671" s="7" cm="1">
        <f t="array" aca="1" ref="G671" ca="1">INDEX(States!$B:$B,RANDBETWEEN(2,COUNTA(States!$A:$A)),1)</f>
        <v>16</v>
      </c>
      <c r="H671" s="7" t="str">
        <f ca="1">VLOOKUP($D671,Name!$A:$C,3,FALSE)</f>
        <v>M</v>
      </c>
      <c r="I671" s="7" cm="1">
        <f t="array" aca="1" ref="I671" ca="1">INDEX('Marital status'!$A:$A,RANDBETWEEN(2,COUNTA('Marital status'!$A:$A)),1)</f>
        <v>5</v>
      </c>
      <c r="J671" s="7">
        <f t="shared" ca="1" si="123"/>
        <v>4</v>
      </c>
      <c r="K671" s="8">
        <f t="shared" ca="1" si="124"/>
        <v>37862</v>
      </c>
      <c r="L671" s="6">
        <f t="shared" ca="1" si="125"/>
        <v>5</v>
      </c>
      <c r="M671" s="7">
        <f ca="1" xml:space="preserve">
  IF(OR($N671 = 2, $N671 = 3, $N671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671" s="6">
        <f t="shared" ca="1" si="126"/>
        <v>8</v>
      </c>
      <c r="O671" s="6">
        <f t="shared" ca="1" si="127"/>
        <v>4</v>
      </c>
      <c r="P671" s="8">
        <f t="shared" ca="1" si="128"/>
        <v>40134</v>
      </c>
      <c r="Q671" s="6">
        <f ca="1">RANDBETWEEN(2,COUNTA('Recruitment source'!$A:$A))</f>
        <v>3</v>
      </c>
      <c r="R671" s="8" t="e">
        <f t="shared" ca="1" si="129"/>
        <v>#N/A</v>
      </c>
      <c r="S671" s="6" t="e">
        <f t="shared" ca="1" si="130"/>
        <v>#N/A</v>
      </c>
      <c r="T671" s="6">
        <f t="shared" ca="1" si="120"/>
        <v>3</v>
      </c>
      <c r="U671" s="1">
        <f t="shared" ca="1" si="131"/>
        <v>2080</v>
      </c>
    </row>
    <row r="672" spans="1:21" x14ac:dyDescent="0.2">
      <c r="A672" s="7" cm="1">
        <f t="array" aca="1" ref="A672" ca="1">INDEX(Companies!$A:$A,RANDBETWEEN(2,COUNTA(Companies!$A:$A)),1)</f>
        <v>2</v>
      </c>
      <c r="B672" s="5">
        <f t="shared" si="121"/>
        <v>671</v>
      </c>
      <c r="C672" s="6">
        <f t="shared" ca="1" si="122"/>
        <v>1</v>
      </c>
      <c r="D672" s="7">
        <f ca="1">IF($B672 = 1 + N("Presidente"),
    127,
    IF($B672 = 2 + N("Vice-Presidente"),
        72,
        IF($B672 = 3 + N("Secretária bilíngue"),
            13,
            RANDBETWEEN(5,COUNT(Name!$A:$A) + 1)
        )
    )
)</f>
        <v>358</v>
      </c>
      <c r="E672" s="7" t="str">
        <f ca="1" xml:space="preserve">
VLOOKUP(
  $D672,
  Name!$A:$B,
  2,
  FALSE
)
&amp; " " &amp;
IF($B672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Vinícius Badu Pinto</v>
      </c>
      <c r="F672" s="7">
        <v>2</v>
      </c>
      <c r="G672" s="7" cm="1">
        <f t="array" aca="1" ref="G672" ca="1">INDEX(States!$B:$B,RANDBETWEEN(2,COUNTA(States!$A:$A)),1)</f>
        <v>15</v>
      </c>
      <c r="H672" s="7" t="str">
        <f ca="1">VLOOKUP($D672,Name!$A:$C,3,FALSE)</f>
        <v>M</v>
      </c>
      <c r="I672" s="7" cm="1">
        <f t="array" aca="1" ref="I672" ca="1">INDEX('Marital status'!$A:$A,RANDBETWEEN(2,COUNTA('Marital status'!$A:$A)),1)</f>
        <v>6</v>
      </c>
      <c r="J672" s="7">
        <f t="shared" ca="1" si="123"/>
        <v>3</v>
      </c>
      <c r="K672" s="8">
        <f t="shared" ca="1" si="124"/>
        <v>23820</v>
      </c>
      <c r="L672" s="6">
        <f t="shared" ca="1" si="125"/>
        <v>4</v>
      </c>
      <c r="M672" s="7">
        <f ca="1" xml:space="preserve">
  IF(OR($N672 = 2, $N672 = 3, $N672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672" s="6">
        <f t="shared" ca="1" si="126"/>
        <v>6</v>
      </c>
      <c r="O672" s="6" t="e">
        <f t="shared" ca="1" si="127"/>
        <v>#N/A</v>
      </c>
      <c r="P672" s="8">
        <f t="shared" ca="1" si="128"/>
        <v>39469</v>
      </c>
      <c r="Q672" s="6">
        <f ca="1">RANDBETWEEN(2,COUNTA('Recruitment source'!$A:$A))</f>
        <v>11</v>
      </c>
      <c r="R672" s="8" t="e">
        <f t="shared" ca="1" si="129"/>
        <v>#N/A</v>
      </c>
      <c r="S672" s="6" t="e">
        <f t="shared" ca="1" si="130"/>
        <v>#N/A</v>
      </c>
      <c r="T672" s="6">
        <f t="shared" ca="1" si="120"/>
        <v>5</v>
      </c>
      <c r="U672" s="1">
        <f t="shared" ca="1" si="131"/>
        <v>805</v>
      </c>
    </row>
    <row r="673" spans="1:21" x14ac:dyDescent="0.2">
      <c r="A673" s="7" cm="1">
        <f t="array" aca="1" ref="A673" ca="1">INDEX(Companies!$A:$A,RANDBETWEEN(2,COUNTA(Companies!$A:$A)),1)</f>
        <v>2</v>
      </c>
      <c r="B673" s="5">
        <f t="shared" si="121"/>
        <v>672</v>
      </c>
      <c r="C673" s="6">
        <f t="shared" ca="1" si="122"/>
        <v>1</v>
      </c>
      <c r="D673" s="7">
        <f ca="1">IF($B673 = 1 + N("Presidente"),
    127,
    IF($B673 = 2 + N("Vice-Presidente"),
        72,
        IF($B673 = 3 + N("Secretária bilíngue"),
            13,
            RANDBETWEEN(5,COUNT(Name!$A:$A) + 1)
        )
    )
)</f>
        <v>126</v>
      </c>
      <c r="E673" s="7" t="str">
        <f ca="1" xml:space="preserve">
VLOOKUP(
  $D673,
  Name!$A:$B,
  2,
  FALSE
)
&amp; " " &amp;
IF($B673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Enrico Ramos Botelho</v>
      </c>
      <c r="F673" s="7">
        <v>2</v>
      </c>
      <c r="G673" s="7" cm="1">
        <f t="array" aca="1" ref="G673" ca="1">INDEX(States!$B:$B,RANDBETWEEN(2,COUNTA(States!$A:$A)),1)</f>
        <v>20</v>
      </c>
      <c r="H673" s="7" t="str">
        <f ca="1">VLOOKUP($D673,Name!$A:$C,3,FALSE)</f>
        <v>M</v>
      </c>
      <c r="I673" s="7" cm="1">
        <f t="array" aca="1" ref="I673" ca="1">INDEX('Marital status'!$A:$A,RANDBETWEEN(2,COUNTA('Marital status'!$A:$A)),1)</f>
        <v>3</v>
      </c>
      <c r="J673" s="7">
        <f t="shared" ca="1" si="123"/>
        <v>2</v>
      </c>
      <c r="K673" s="8">
        <f t="shared" ca="1" si="124"/>
        <v>35681</v>
      </c>
      <c r="L673" s="6">
        <f t="shared" ca="1" si="125"/>
        <v>4</v>
      </c>
      <c r="M673" s="7">
        <f ca="1" xml:space="preserve">
  IF(OR($N673 = 2, $N673 = 3, $N673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673" s="6">
        <f t="shared" ca="1" si="126"/>
        <v>8</v>
      </c>
      <c r="O673" s="6">
        <f t="shared" ca="1" si="127"/>
        <v>4</v>
      </c>
      <c r="P673" s="8">
        <f t="shared" ca="1" si="128"/>
        <v>38042</v>
      </c>
      <c r="Q673" s="6">
        <f ca="1">RANDBETWEEN(2,COUNTA('Recruitment source'!$A:$A))</f>
        <v>5</v>
      </c>
      <c r="R673" s="8" t="e">
        <f t="shared" ca="1" si="129"/>
        <v>#N/A</v>
      </c>
      <c r="S673" s="6" t="e">
        <f t="shared" ca="1" si="130"/>
        <v>#N/A</v>
      </c>
      <c r="T673" s="6">
        <f t="shared" ca="1" si="120"/>
        <v>4</v>
      </c>
      <c r="U673" s="1">
        <f t="shared" ca="1" si="131"/>
        <v>2100</v>
      </c>
    </row>
    <row r="674" spans="1:21" x14ac:dyDescent="0.2">
      <c r="A674" s="7" cm="1">
        <f t="array" aca="1" ref="A674" ca="1">INDEX(Companies!$A:$A,RANDBETWEEN(2,COUNTA(Companies!$A:$A)),1)</f>
        <v>2</v>
      </c>
      <c r="B674" s="5">
        <f t="shared" si="121"/>
        <v>673</v>
      </c>
      <c r="C674" s="6">
        <f t="shared" ca="1" si="122"/>
        <v>1</v>
      </c>
      <c r="D674" s="7">
        <f ca="1">IF($B674 = 1 + N("Presidente"),
    127,
    IF($B674 = 2 + N("Vice-Presidente"),
        72,
        IF($B674 = 3 + N("Secretária bilíngue"),
            13,
            RANDBETWEEN(5,COUNT(Name!$A:$A) + 1)
        )
    )
)</f>
        <v>113</v>
      </c>
      <c r="E674" s="7" t="str">
        <f ca="1" xml:space="preserve">
VLOOKUP(
  $D674,
  Name!$A:$B,
  2,
  FALSE
)
&amp; " " &amp;
IF($B674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Desiré Pedrosa Salvador</v>
      </c>
      <c r="F674" s="7">
        <v>2</v>
      </c>
      <c r="G674" s="7" cm="1">
        <f t="array" aca="1" ref="G674" ca="1">INDEX(States!$B:$B,RANDBETWEEN(2,COUNTA(States!$A:$A)),1)</f>
        <v>19</v>
      </c>
      <c r="H674" s="7" t="str">
        <f ca="1">VLOOKUP($D674,Name!$A:$C,3,FALSE)</f>
        <v>F</v>
      </c>
      <c r="I674" s="7" cm="1">
        <f t="array" aca="1" ref="I674" ca="1">INDEX('Marital status'!$A:$A,RANDBETWEEN(2,COUNTA('Marital status'!$A:$A)),1)</f>
        <v>4</v>
      </c>
      <c r="J674" s="7">
        <f t="shared" ca="1" si="123"/>
        <v>2</v>
      </c>
      <c r="K674" s="8">
        <f t="shared" ca="1" si="124"/>
        <v>28903</v>
      </c>
      <c r="L674" s="6">
        <f t="shared" ca="1" si="125"/>
        <v>4</v>
      </c>
      <c r="M674" s="7">
        <f ca="1" xml:space="preserve">
  IF(OR($N674 = 2, $N674 = 3, $N674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674" s="6">
        <f t="shared" ca="1" si="126"/>
        <v>6</v>
      </c>
      <c r="O674" s="6" t="e">
        <f t="shared" ca="1" si="127"/>
        <v>#N/A</v>
      </c>
      <c r="P674" s="8">
        <f t="shared" ca="1" si="128"/>
        <v>38674</v>
      </c>
      <c r="Q674" s="6">
        <f ca="1">RANDBETWEEN(2,COUNTA('Recruitment source'!$A:$A))</f>
        <v>11</v>
      </c>
      <c r="R674" s="8" t="e">
        <f t="shared" ca="1" si="129"/>
        <v>#N/A</v>
      </c>
      <c r="S674" s="6" t="e">
        <f t="shared" ca="1" si="130"/>
        <v>#N/A</v>
      </c>
      <c r="T674" s="6">
        <f t="shared" ca="1" si="120"/>
        <v>4</v>
      </c>
      <c r="U674" s="1">
        <f t="shared" ca="1" si="131"/>
        <v>805</v>
      </c>
    </row>
    <row r="675" spans="1:21" x14ac:dyDescent="0.2">
      <c r="A675" s="7" cm="1">
        <f t="array" aca="1" ref="A675" ca="1">INDEX(Companies!$A:$A,RANDBETWEEN(2,COUNTA(Companies!$A:$A)),1)</f>
        <v>2</v>
      </c>
      <c r="B675" s="5">
        <f t="shared" si="121"/>
        <v>674</v>
      </c>
      <c r="C675" s="6">
        <f t="shared" ca="1" si="122"/>
        <v>1</v>
      </c>
      <c r="D675" s="7">
        <f ca="1">IF($B675 = 1 + N("Presidente"),
    127,
    IF($B675 = 2 + N("Vice-Presidente"),
        72,
        IF($B675 = 3 + N("Secretária bilíngue"),
            13,
            RANDBETWEEN(5,COUNT(Name!$A:$A) + 1)
        )
    )
)</f>
        <v>201</v>
      </c>
      <c r="E675" s="7" t="str">
        <f ca="1" xml:space="preserve">
VLOOKUP(
  $D675,
  Name!$A:$B,
  2,
  FALSE
)
&amp; " " &amp;
IF($B675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Júlia Alcantara Andrioli</v>
      </c>
      <c r="F675" s="7">
        <v>2</v>
      </c>
      <c r="G675" s="7" cm="1">
        <f t="array" aca="1" ref="G675" ca="1">INDEX(States!$B:$B,RANDBETWEEN(2,COUNTA(States!$A:$A)),1)</f>
        <v>17</v>
      </c>
      <c r="H675" s="7" t="str">
        <f ca="1">VLOOKUP($D675,Name!$A:$C,3,FALSE)</f>
        <v>F</v>
      </c>
      <c r="I675" s="7" cm="1">
        <f t="array" aca="1" ref="I675" ca="1">INDEX('Marital status'!$A:$A,RANDBETWEEN(2,COUNTA('Marital status'!$A:$A)),1)</f>
        <v>4</v>
      </c>
      <c r="J675" s="7">
        <f t="shared" ca="1" si="123"/>
        <v>2</v>
      </c>
      <c r="K675" s="8">
        <f t="shared" ca="1" si="124"/>
        <v>32575</v>
      </c>
      <c r="L675" s="6">
        <f t="shared" ca="1" si="125"/>
        <v>4</v>
      </c>
      <c r="M675" s="7">
        <f ca="1" xml:space="preserve">
  IF(OR($N675 = 2, $N675 = 3, $N675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675" s="6">
        <f t="shared" ca="1" si="126"/>
        <v>8</v>
      </c>
      <c r="O675" s="6">
        <f t="shared" ca="1" si="127"/>
        <v>4</v>
      </c>
      <c r="P675" s="8">
        <f t="shared" ca="1" si="128"/>
        <v>43811</v>
      </c>
      <c r="Q675" s="6">
        <f ca="1">RANDBETWEEN(2,COUNTA('Recruitment source'!$A:$A))</f>
        <v>2</v>
      </c>
      <c r="R675" s="8" t="e">
        <f t="shared" ca="1" si="129"/>
        <v>#N/A</v>
      </c>
      <c r="S675" s="6" t="e">
        <f t="shared" ca="1" si="130"/>
        <v>#N/A</v>
      </c>
      <c r="T675" s="6">
        <f t="shared" ca="1" si="120"/>
        <v>4</v>
      </c>
      <c r="U675" s="1">
        <f t="shared" ca="1" si="131"/>
        <v>2080</v>
      </c>
    </row>
    <row r="676" spans="1:21" x14ac:dyDescent="0.2">
      <c r="A676" s="7" cm="1">
        <f t="array" aca="1" ref="A676" ca="1">INDEX(Companies!$A:$A,RANDBETWEEN(2,COUNTA(Companies!$A:$A)),1)</f>
        <v>2</v>
      </c>
      <c r="B676" s="5">
        <f t="shared" si="121"/>
        <v>675</v>
      </c>
      <c r="C676" s="6">
        <f t="shared" ca="1" si="122"/>
        <v>1</v>
      </c>
      <c r="D676" s="7">
        <f ca="1">IF($B676 = 1 + N("Presidente"),
    127,
    IF($B676 = 2 + N("Vice-Presidente"),
        72,
        IF($B676 = 3 + N("Secretária bilíngue"),
            13,
            RANDBETWEEN(5,COUNT(Name!$A:$A) + 1)
        )
    )
)</f>
        <v>77</v>
      </c>
      <c r="E676" s="7" t="str">
        <f ca="1" xml:space="preserve">
VLOOKUP(
  $D676,
  Name!$A:$B,
  2,
  FALSE
)
&amp; " " &amp;
IF($B676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Bruno Soares Costatini</v>
      </c>
      <c r="F676" s="7">
        <v>2</v>
      </c>
      <c r="G676" s="7" cm="1">
        <f t="array" aca="1" ref="G676" ca="1">INDEX(States!$B:$B,RANDBETWEEN(2,COUNTA(States!$A:$A)),1)</f>
        <v>17</v>
      </c>
      <c r="H676" s="7" t="str">
        <f ca="1">VLOOKUP($D676,Name!$A:$C,3,FALSE)</f>
        <v>M</v>
      </c>
      <c r="I676" s="7" cm="1">
        <f t="array" aca="1" ref="I676" ca="1">INDEX('Marital status'!$A:$A,RANDBETWEEN(2,COUNTA('Marital status'!$A:$A)),1)</f>
        <v>2</v>
      </c>
      <c r="J676" s="7">
        <f t="shared" ca="1" si="123"/>
        <v>2</v>
      </c>
      <c r="K676" s="8">
        <f t="shared" ca="1" si="124"/>
        <v>29847</v>
      </c>
      <c r="L676" s="6">
        <f t="shared" ca="1" si="125"/>
        <v>4</v>
      </c>
      <c r="M676" s="7">
        <f ca="1" xml:space="preserve">
  IF(OR($N676 = 2, $N676 = 3, $N676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676" s="6">
        <f t="shared" ca="1" si="126"/>
        <v>6</v>
      </c>
      <c r="O676" s="6" t="e">
        <f t="shared" ca="1" si="127"/>
        <v>#N/A</v>
      </c>
      <c r="P676" s="8">
        <f t="shared" ca="1" si="128"/>
        <v>38575</v>
      </c>
      <c r="Q676" s="6">
        <f ca="1">RANDBETWEEN(2,COUNTA('Recruitment source'!$A:$A))</f>
        <v>12</v>
      </c>
      <c r="R676" s="8" t="e">
        <f t="shared" ca="1" si="129"/>
        <v>#N/A</v>
      </c>
      <c r="S676" s="6" t="e">
        <f t="shared" ca="1" si="130"/>
        <v>#N/A</v>
      </c>
      <c r="T676" s="6">
        <f t="shared" ca="1" si="120"/>
        <v>5</v>
      </c>
      <c r="U676" s="1">
        <f t="shared" ca="1" si="131"/>
        <v>885</v>
      </c>
    </row>
    <row r="677" spans="1:21" x14ac:dyDescent="0.2">
      <c r="A677" s="7" cm="1">
        <f t="array" aca="1" ref="A677" ca="1">INDEX(Companies!$A:$A,RANDBETWEEN(2,COUNTA(Companies!$A:$A)),1)</f>
        <v>2</v>
      </c>
      <c r="B677" s="5">
        <f t="shared" si="121"/>
        <v>676</v>
      </c>
      <c r="C677" s="6">
        <f t="shared" ca="1" si="122"/>
        <v>1</v>
      </c>
      <c r="D677" s="7">
        <f ca="1">IF($B677 = 1 + N("Presidente"),
    127,
    IF($B677 = 2 + N("Vice-Presidente"),
        72,
        IF($B677 = 3 + N("Secretária bilíngue"),
            13,
            RANDBETWEEN(5,COUNT(Name!$A:$A) + 1)
        )
    )
)</f>
        <v>28</v>
      </c>
      <c r="E677" s="7" t="str">
        <f ca="1" xml:space="preserve">
VLOOKUP(
  $D677,
  Name!$A:$B,
  2,
  FALSE
)
&amp; " " &amp;
IF($B677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Caroline Braga Cardoso</v>
      </c>
      <c r="F677" s="7">
        <v>2</v>
      </c>
      <c r="G677" s="7" cm="1">
        <f t="array" aca="1" ref="G677" ca="1">INDEX(States!$B:$B,RANDBETWEEN(2,COUNTA(States!$A:$A)),1)</f>
        <v>9</v>
      </c>
      <c r="H677" s="7" t="str">
        <f ca="1">VLOOKUP($D677,Name!$A:$C,3,FALSE)</f>
        <v>F</v>
      </c>
      <c r="I677" s="7" cm="1">
        <f t="array" aca="1" ref="I677" ca="1">INDEX('Marital status'!$A:$A,RANDBETWEEN(2,COUNTA('Marital status'!$A:$A)),1)</f>
        <v>3</v>
      </c>
      <c r="J677" s="7">
        <f t="shared" ca="1" si="123"/>
        <v>2</v>
      </c>
      <c r="K677" s="8">
        <f t="shared" ca="1" si="124"/>
        <v>33427</v>
      </c>
      <c r="L677" s="6">
        <f t="shared" ca="1" si="125"/>
        <v>5</v>
      </c>
      <c r="M677" s="7">
        <f ca="1" xml:space="preserve">
  IF(OR($N677 = 2, $N677 = 3, $N677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677" s="6">
        <f t="shared" ca="1" si="126"/>
        <v>8</v>
      </c>
      <c r="O677" s="6">
        <f t="shared" ca="1" si="127"/>
        <v>4</v>
      </c>
      <c r="P677" s="8">
        <f t="shared" ca="1" si="128"/>
        <v>37921</v>
      </c>
      <c r="Q677" s="6">
        <f ca="1">RANDBETWEEN(2,COUNTA('Recruitment source'!$A:$A))</f>
        <v>11</v>
      </c>
      <c r="R677" s="8" t="e">
        <f t="shared" ca="1" si="129"/>
        <v>#N/A</v>
      </c>
      <c r="S677" s="6" t="e">
        <f t="shared" ca="1" si="130"/>
        <v>#N/A</v>
      </c>
      <c r="T677" s="6">
        <f t="shared" ca="1" si="120"/>
        <v>3</v>
      </c>
      <c r="U677" s="1">
        <f t="shared" ca="1" si="131"/>
        <v>2000</v>
      </c>
    </row>
    <row r="678" spans="1:21" x14ac:dyDescent="0.2">
      <c r="A678" s="7" cm="1">
        <f t="array" aca="1" ref="A678" ca="1">INDEX(Companies!$A:$A,RANDBETWEEN(2,COUNTA(Companies!$A:$A)),1)</f>
        <v>2</v>
      </c>
      <c r="B678" s="5">
        <f t="shared" si="121"/>
        <v>677</v>
      </c>
      <c r="C678" s="6">
        <f t="shared" ca="1" si="122"/>
        <v>1</v>
      </c>
      <c r="D678" s="7">
        <f ca="1">IF($B678 = 1 + N("Presidente"),
    127,
    IF($B678 = 2 + N("Vice-Presidente"),
        72,
        IF($B678 = 3 + N("Secretária bilíngue"),
            13,
            RANDBETWEEN(5,COUNT(Name!$A:$A) + 1)
        )
    )
)</f>
        <v>8</v>
      </c>
      <c r="E678" s="7" t="str">
        <f ca="1" xml:space="preserve">
VLOOKUP(
  $D678,
  Name!$A:$B,
  2,
  FALSE
)
&amp; " " &amp;
IF($B678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Adélia Paulista Testa</v>
      </c>
      <c r="F678" s="7">
        <v>2</v>
      </c>
      <c r="G678" s="7" cm="1">
        <f t="array" aca="1" ref="G678" ca="1">INDEX(States!$B:$B,RANDBETWEEN(2,COUNTA(States!$A:$A)),1)</f>
        <v>19</v>
      </c>
      <c r="H678" s="7" t="str">
        <f ca="1">VLOOKUP($D678,Name!$A:$C,3,FALSE)</f>
        <v>F</v>
      </c>
      <c r="I678" s="7" cm="1">
        <f t="array" aca="1" ref="I678" ca="1">INDEX('Marital status'!$A:$A,RANDBETWEEN(2,COUNTA('Marital status'!$A:$A)),1)</f>
        <v>5</v>
      </c>
      <c r="J678" s="7">
        <f t="shared" ca="1" si="123"/>
        <v>2</v>
      </c>
      <c r="K678" s="8">
        <f t="shared" ca="1" si="124"/>
        <v>32173</v>
      </c>
      <c r="L678" s="6">
        <f t="shared" ca="1" si="125"/>
        <v>4</v>
      </c>
      <c r="M678" s="7">
        <f ca="1" xml:space="preserve">
  IF(OR($N678 = 2, $N678 = 3, $N678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678" s="6">
        <f t="shared" ca="1" si="126"/>
        <v>6</v>
      </c>
      <c r="O678" s="6" t="e">
        <f t="shared" ca="1" si="127"/>
        <v>#N/A</v>
      </c>
      <c r="P678" s="8">
        <f t="shared" ca="1" si="128"/>
        <v>37302</v>
      </c>
      <c r="Q678" s="6">
        <f ca="1">RANDBETWEEN(2,COUNTA('Recruitment source'!$A:$A))</f>
        <v>12</v>
      </c>
      <c r="R678" s="8" t="e">
        <f t="shared" ca="1" si="129"/>
        <v>#N/A</v>
      </c>
      <c r="S678" s="6" t="e">
        <f t="shared" ca="1" si="130"/>
        <v>#N/A</v>
      </c>
      <c r="T678" s="6">
        <f t="shared" ca="1" si="120"/>
        <v>4</v>
      </c>
      <c r="U678" s="1">
        <f t="shared" ca="1" si="131"/>
        <v>885</v>
      </c>
    </row>
    <row r="679" spans="1:21" x14ac:dyDescent="0.2">
      <c r="A679" s="7" cm="1">
        <f t="array" aca="1" ref="A679" ca="1">INDEX(Companies!$A:$A,RANDBETWEEN(2,COUNTA(Companies!$A:$A)),1)</f>
        <v>2</v>
      </c>
      <c r="B679" s="5">
        <f t="shared" si="121"/>
        <v>678</v>
      </c>
      <c r="C679" s="6">
        <f t="shared" ca="1" si="122"/>
        <v>1</v>
      </c>
      <c r="D679" s="7">
        <f ca="1">IF($B679 = 1 + N("Presidente"),
    127,
    IF($B679 = 2 + N("Vice-Presidente"),
        72,
        IF($B679 = 3 + N("Secretária bilíngue"),
            13,
            RANDBETWEEN(5,COUNT(Name!$A:$A) + 1)
        )
    )
)</f>
        <v>364</v>
      </c>
      <c r="E679" s="7" t="str">
        <f ca="1" xml:space="preserve">
VLOOKUP(
  $D679,
  Name!$A:$B,
  2,
  FALSE
)
&amp; " " &amp;
IF($B679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Yasmin Siqueira Zil</v>
      </c>
      <c r="F679" s="7">
        <v>2</v>
      </c>
      <c r="G679" s="7" cm="1">
        <f t="array" aca="1" ref="G679" ca="1">INDEX(States!$B:$B,RANDBETWEEN(2,COUNTA(States!$A:$A)),1)</f>
        <v>17</v>
      </c>
      <c r="H679" s="7" t="str">
        <f ca="1">VLOOKUP($D679,Name!$A:$C,3,FALSE)</f>
        <v>F</v>
      </c>
      <c r="I679" s="7" cm="1">
        <f t="array" aca="1" ref="I679" ca="1">INDEX('Marital status'!$A:$A,RANDBETWEEN(2,COUNTA('Marital status'!$A:$A)),1)</f>
        <v>4</v>
      </c>
      <c r="J679" s="7">
        <f t="shared" ca="1" si="123"/>
        <v>3</v>
      </c>
      <c r="K679" s="8">
        <f t="shared" ca="1" si="124"/>
        <v>33834</v>
      </c>
      <c r="L679" s="6">
        <f t="shared" ca="1" si="125"/>
        <v>4</v>
      </c>
      <c r="M679" s="7">
        <f ca="1" xml:space="preserve">
  IF(OR($N679 = 2, $N679 = 3, $N679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679" s="6">
        <f t="shared" ca="1" si="126"/>
        <v>8</v>
      </c>
      <c r="O679" s="6">
        <f t="shared" ca="1" si="127"/>
        <v>3</v>
      </c>
      <c r="P679" s="8">
        <f t="shared" ca="1" si="128"/>
        <v>37147</v>
      </c>
      <c r="Q679" s="6">
        <f ca="1">RANDBETWEEN(2,COUNTA('Recruitment source'!$A:$A))</f>
        <v>12</v>
      </c>
      <c r="R679" s="8" t="e">
        <f t="shared" ca="1" si="129"/>
        <v>#N/A</v>
      </c>
      <c r="S679" s="6" t="e">
        <f t="shared" ca="1" si="130"/>
        <v>#N/A</v>
      </c>
      <c r="T679" s="6">
        <f t="shared" ca="1" si="120"/>
        <v>3</v>
      </c>
      <c r="U679" s="1">
        <f t="shared" ca="1" si="131"/>
        <v>2080</v>
      </c>
    </row>
    <row r="680" spans="1:21" x14ac:dyDescent="0.2">
      <c r="A680" s="7" cm="1">
        <f t="array" aca="1" ref="A680" ca="1">INDEX(Companies!$A:$A,RANDBETWEEN(2,COUNTA(Companies!$A:$A)),1)</f>
        <v>2</v>
      </c>
      <c r="B680" s="5">
        <f t="shared" si="121"/>
        <v>679</v>
      </c>
      <c r="C680" s="6">
        <f t="shared" ca="1" si="122"/>
        <v>1</v>
      </c>
      <c r="D680" s="7">
        <f ca="1">IF($B680 = 1 + N("Presidente"),
    127,
    IF($B680 = 2 + N("Vice-Presidente"),
        72,
        IF($B680 = 3 + N("Secretária bilíngue"),
            13,
            RANDBETWEEN(5,COUNT(Name!$A:$A) + 1)
        )
    )
)</f>
        <v>235</v>
      </c>
      <c r="E680" s="7" t="str">
        <f ca="1" xml:space="preserve">
VLOOKUP(
  $D680,
  Name!$A:$B,
  2,
  FALSE
)
&amp; " " &amp;
IF($B680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 Rangel Colombo</v>
      </c>
      <c r="F680" s="7">
        <v>2</v>
      </c>
      <c r="G680" s="7" cm="1">
        <f t="array" aca="1" ref="G680" ca="1">INDEX(States!$B:$B,RANDBETWEEN(2,COUNTA(States!$A:$A)),1)</f>
        <v>21</v>
      </c>
      <c r="H680" s="7" t="str">
        <f ca="1">VLOOKUP($D680,Name!$A:$C,3,FALSE)</f>
        <v>M</v>
      </c>
      <c r="I680" s="7" cm="1">
        <f t="array" aca="1" ref="I680" ca="1">INDEX('Marital status'!$A:$A,RANDBETWEEN(2,COUNTA('Marital status'!$A:$A)),1)</f>
        <v>6</v>
      </c>
      <c r="J680" s="7">
        <f t="shared" ca="1" si="123"/>
        <v>2</v>
      </c>
      <c r="K680" s="8">
        <f t="shared" ca="1" si="124"/>
        <v>26960</v>
      </c>
      <c r="L680" s="6">
        <f t="shared" ca="1" si="125"/>
        <v>4</v>
      </c>
      <c r="M680" s="7">
        <f ca="1" xml:space="preserve">
  IF(OR($N680 = 2, $N680 = 3, $N680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680" s="6">
        <f t="shared" ca="1" si="126"/>
        <v>6</v>
      </c>
      <c r="O680" s="6" t="e">
        <f t="shared" ca="1" si="127"/>
        <v>#N/A</v>
      </c>
      <c r="P680" s="8">
        <f t="shared" ca="1" si="128"/>
        <v>39685</v>
      </c>
      <c r="Q680" s="6">
        <f ca="1">RANDBETWEEN(2,COUNTA('Recruitment source'!$A:$A))</f>
        <v>8</v>
      </c>
      <c r="R680" s="8" t="e">
        <f t="shared" ca="1" si="129"/>
        <v>#N/A</v>
      </c>
      <c r="S680" s="6" t="e">
        <f t="shared" ca="1" si="130"/>
        <v>#N/A</v>
      </c>
      <c r="T680" s="6">
        <f t="shared" ca="1" si="120"/>
        <v>4</v>
      </c>
      <c r="U680" s="1">
        <f t="shared" ca="1" si="131"/>
        <v>805</v>
      </c>
    </row>
    <row r="681" spans="1:21" x14ac:dyDescent="0.2">
      <c r="A681" s="7" cm="1">
        <f t="array" aca="1" ref="A681" ca="1">INDEX(Companies!$A:$A,RANDBETWEEN(2,COUNTA(Companies!$A:$A)),1)</f>
        <v>2</v>
      </c>
      <c r="B681" s="5">
        <f t="shared" si="121"/>
        <v>680</v>
      </c>
      <c r="C681" s="6">
        <f t="shared" ca="1" si="122"/>
        <v>1</v>
      </c>
      <c r="D681" s="7">
        <f ca="1">IF($B681 = 1 + N("Presidente"),
    127,
    IF($B681 = 2 + N("Vice-Presidente"),
        72,
        IF($B681 = 3 + N("Secretária bilíngue"),
            13,
            RANDBETWEEN(5,COUNT(Name!$A:$A) + 1)
        )
    )
)</f>
        <v>73</v>
      </c>
      <c r="E681" s="7" t="str">
        <f ca="1" xml:space="preserve">
VLOOKUP(
  $D681,
  Name!$A:$B,
  2,
  FALSE
)
&amp; " " &amp;
IF($B681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Bianca Luz Esposito</v>
      </c>
      <c r="F681" s="7">
        <v>2</v>
      </c>
      <c r="G681" s="7" cm="1">
        <f t="array" aca="1" ref="G681" ca="1">INDEX(States!$B:$B,RANDBETWEEN(2,COUNTA(States!$A:$A)),1)</f>
        <v>21</v>
      </c>
      <c r="H681" s="7" t="str">
        <f ca="1">VLOOKUP($D681,Name!$A:$C,3,FALSE)</f>
        <v>F</v>
      </c>
      <c r="I681" s="7" cm="1">
        <f t="array" aca="1" ref="I681" ca="1">INDEX('Marital status'!$A:$A,RANDBETWEEN(2,COUNTA('Marital status'!$A:$A)),1)</f>
        <v>5</v>
      </c>
      <c r="J681" s="7">
        <f t="shared" ca="1" si="123"/>
        <v>2</v>
      </c>
      <c r="K681" s="8">
        <f t="shared" ca="1" si="124"/>
        <v>33871</v>
      </c>
      <c r="L681" s="6">
        <f t="shared" ca="1" si="125"/>
        <v>5</v>
      </c>
      <c r="M681" s="7">
        <f ca="1" xml:space="preserve">
  IF(OR($N681 = 2, $N681 = 3, $N681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681" s="6">
        <f t="shared" ca="1" si="126"/>
        <v>8</v>
      </c>
      <c r="O681" s="6">
        <f t="shared" ca="1" si="127"/>
        <v>2</v>
      </c>
      <c r="P681" s="8">
        <f t="shared" ca="1" si="128"/>
        <v>37917</v>
      </c>
      <c r="Q681" s="6">
        <f ca="1">RANDBETWEEN(2,COUNTA('Recruitment source'!$A:$A))</f>
        <v>8</v>
      </c>
      <c r="R681" s="8" t="e">
        <f t="shared" ca="1" si="129"/>
        <v>#N/A</v>
      </c>
      <c r="S681" s="6" t="e">
        <f t="shared" ca="1" si="130"/>
        <v>#N/A</v>
      </c>
      <c r="T681" s="6">
        <f t="shared" ca="1" si="120"/>
        <v>5</v>
      </c>
      <c r="U681" s="1">
        <f t="shared" ca="1" si="131"/>
        <v>2000</v>
      </c>
    </row>
    <row r="682" spans="1:21" x14ac:dyDescent="0.2">
      <c r="A682" s="7" cm="1">
        <f t="array" aca="1" ref="A682" ca="1">INDEX(Companies!$A:$A,RANDBETWEEN(2,COUNTA(Companies!$A:$A)),1)</f>
        <v>2</v>
      </c>
      <c r="B682" s="5">
        <f t="shared" si="121"/>
        <v>681</v>
      </c>
      <c r="C682" s="6">
        <f t="shared" ca="1" si="122"/>
        <v>1</v>
      </c>
      <c r="D682" s="7">
        <f ca="1">IF($B682 = 1 + N("Presidente"),
    127,
    IF($B682 = 2 + N("Vice-Presidente"),
        72,
        IF($B682 = 3 + N("Secretária bilíngue"),
            13,
            RANDBETWEEN(5,COUNT(Name!$A:$A) + 1)
        )
    )
)</f>
        <v>40</v>
      </c>
      <c r="E682" s="7" t="str">
        <f ca="1" xml:space="preserve">
VLOOKUP(
  $D682,
  Name!$A:$B,
  2,
  FALSE
)
&amp; " " &amp;
IF($B682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André Sousa Sacramento</v>
      </c>
      <c r="F682" s="7">
        <v>2</v>
      </c>
      <c r="G682" s="7" cm="1">
        <f t="array" aca="1" ref="G682" ca="1">INDEX(States!$B:$B,RANDBETWEEN(2,COUNTA(States!$A:$A)),1)</f>
        <v>5</v>
      </c>
      <c r="H682" s="7" t="str">
        <f ca="1">VLOOKUP($D682,Name!$A:$C,3,FALSE)</f>
        <v>M</v>
      </c>
      <c r="I682" s="7" cm="1">
        <f t="array" aca="1" ref="I682" ca="1">INDEX('Marital status'!$A:$A,RANDBETWEEN(2,COUNTA('Marital status'!$A:$A)),1)</f>
        <v>4</v>
      </c>
      <c r="J682" s="7">
        <f t="shared" ca="1" si="123"/>
        <v>4</v>
      </c>
      <c r="K682" s="8">
        <f t="shared" ca="1" si="124"/>
        <v>33176</v>
      </c>
      <c r="L682" s="6">
        <f t="shared" ca="1" si="125"/>
        <v>4</v>
      </c>
      <c r="M682" s="7">
        <f ca="1" xml:space="preserve">
  IF(OR($N682 = 2, $N682 = 3, $N682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682" s="6">
        <f t="shared" ca="1" si="126"/>
        <v>6</v>
      </c>
      <c r="O682" s="6" t="e">
        <f t="shared" ca="1" si="127"/>
        <v>#N/A</v>
      </c>
      <c r="P682" s="8">
        <f t="shared" ca="1" si="128"/>
        <v>43439</v>
      </c>
      <c r="Q682" s="6">
        <f ca="1">RANDBETWEEN(2,COUNTA('Recruitment source'!$A:$A))</f>
        <v>2</v>
      </c>
      <c r="R682" s="8" t="e">
        <f t="shared" ca="1" si="129"/>
        <v>#N/A</v>
      </c>
      <c r="S682" s="6" t="e">
        <f t="shared" ca="1" si="130"/>
        <v>#N/A</v>
      </c>
      <c r="T682" s="6">
        <f t="shared" ca="1" si="120"/>
        <v>3</v>
      </c>
      <c r="U682" s="1">
        <f t="shared" ca="1" si="131"/>
        <v>885</v>
      </c>
    </row>
    <row r="683" spans="1:21" x14ac:dyDescent="0.2">
      <c r="A683" s="7" cm="1">
        <f t="array" aca="1" ref="A683" ca="1">INDEX(Companies!$A:$A,RANDBETWEEN(2,COUNTA(Companies!$A:$A)),1)</f>
        <v>2</v>
      </c>
      <c r="B683" s="5">
        <f t="shared" si="121"/>
        <v>682</v>
      </c>
      <c r="C683" s="6">
        <f t="shared" ca="1" si="122"/>
        <v>1</v>
      </c>
      <c r="D683" s="7">
        <f ca="1">IF($B683 = 1 + N("Presidente"),
    127,
    IF($B683 = 2 + N("Vice-Presidente"),
        72,
        IF($B683 = 3 + N("Secretária bilíngue"),
            13,
            RANDBETWEEN(5,COUNT(Name!$A:$A) + 1)
        )
    )
)</f>
        <v>55</v>
      </c>
      <c r="E683" s="7" t="str">
        <f ca="1" xml:space="preserve">
VLOOKUP(
  $D683,
  Name!$A:$B,
  2,
  FALSE
)
&amp; " " &amp;
IF($B683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Pereira Araújo</v>
      </c>
      <c r="F683" s="7">
        <v>2</v>
      </c>
      <c r="G683" s="7" cm="1">
        <f t="array" aca="1" ref="G683" ca="1">INDEX(States!$B:$B,RANDBETWEEN(2,COUNTA(States!$A:$A)),1)</f>
        <v>3</v>
      </c>
      <c r="H683" s="7" t="str">
        <f ca="1">VLOOKUP($D683,Name!$A:$C,3,FALSE)</f>
        <v>M</v>
      </c>
      <c r="I683" s="7" cm="1">
        <f t="array" aca="1" ref="I683" ca="1">INDEX('Marital status'!$A:$A,RANDBETWEEN(2,COUNTA('Marital status'!$A:$A)),1)</f>
        <v>3</v>
      </c>
      <c r="J683" s="7">
        <f t="shared" ca="1" si="123"/>
        <v>2</v>
      </c>
      <c r="K683" s="8">
        <f t="shared" ca="1" si="124"/>
        <v>34944</v>
      </c>
      <c r="L683" s="6">
        <f t="shared" ca="1" si="125"/>
        <v>5</v>
      </c>
      <c r="M683" s="7">
        <f ca="1" xml:space="preserve">
  IF(OR($N683 = 2, $N683 = 3, $N683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683" s="6">
        <f t="shared" ca="1" si="126"/>
        <v>8</v>
      </c>
      <c r="O683" s="6">
        <f t="shared" ca="1" si="127"/>
        <v>3</v>
      </c>
      <c r="P683" s="8">
        <f t="shared" ca="1" si="128"/>
        <v>39406</v>
      </c>
      <c r="Q683" s="6">
        <f ca="1">RANDBETWEEN(2,COUNTA('Recruitment source'!$A:$A))</f>
        <v>8</v>
      </c>
      <c r="R683" s="8" t="e">
        <f t="shared" ca="1" si="129"/>
        <v>#N/A</v>
      </c>
      <c r="S683" s="6" t="e">
        <f t="shared" ca="1" si="130"/>
        <v>#N/A</v>
      </c>
      <c r="T683" s="6">
        <f t="shared" ca="1" si="120"/>
        <v>5</v>
      </c>
      <c r="U683" s="1">
        <f t="shared" ca="1" si="131"/>
        <v>2080</v>
      </c>
    </row>
    <row r="684" spans="1:21" x14ac:dyDescent="0.2">
      <c r="A684" s="7" cm="1">
        <f t="array" aca="1" ref="A684" ca="1">INDEX(Companies!$A:$A,RANDBETWEEN(2,COUNTA(Companies!$A:$A)),1)</f>
        <v>2</v>
      </c>
      <c r="B684" s="5">
        <f t="shared" si="121"/>
        <v>683</v>
      </c>
      <c r="C684" s="6">
        <f t="shared" ca="1" si="122"/>
        <v>1</v>
      </c>
      <c r="D684" s="7">
        <f ca="1">IF($B684 = 1 + N("Presidente"),
    127,
    IF($B684 = 2 + N("Vice-Presidente"),
        72,
        IF($B684 = 3 + N("Secretária bilíngue"),
            13,
            RANDBETWEEN(5,COUNT(Name!$A:$A) + 1)
        )
    )
)</f>
        <v>206</v>
      </c>
      <c r="E684" s="7" t="str">
        <f ca="1" xml:space="preserve">
VLOOKUP(
  $D684,
  Name!$A:$B,
  2,
  FALSE
)
&amp; " " &amp;
IF($B684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Kamilla Rinaldi Barroso</v>
      </c>
      <c r="F684" s="7">
        <v>2</v>
      </c>
      <c r="G684" s="7" cm="1">
        <f t="array" aca="1" ref="G684" ca="1">INDEX(States!$B:$B,RANDBETWEEN(2,COUNTA(States!$A:$A)),1)</f>
        <v>10</v>
      </c>
      <c r="H684" s="7" t="str">
        <f ca="1">VLOOKUP($D684,Name!$A:$C,3,FALSE)</f>
        <v>F</v>
      </c>
      <c r="I684" s="7" cm="1">
        <f t="array" aca="1" ref="I684" ca="1">INDEX('Marital status'!$A:$A,RANDBETWEEN(2,COUNTA('Marital status'!$A:$A)),1)</f>
        <v>2</v>
      </c>
      <c r="J684" s="7">
        <f t="shared" ca="1" si="123"/>
        <v>5</v>
      </c>
      <c r="K684" s="8">
        <f t="shared" ca="1" si="124"/>
        <v>32716</v>
      </c>
      <c r="L684" s="6">
        <f t="shared" ca="1" si="125"/>
        <v>4</v>
      </c>
      <c r="M684" s="7">
        <f ca="1" xml:space="preserve">
  IF(OR($N684 = 2, $N684 = 3, $N684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684" s="6">
        <f t="shared" ca="1" si="126"/>
        <v>7</v>
      </c>
      <c r="O684" s="6" t="e">
        <f t="shared" ca="1" si="127"/>
        <v>#N/A</v>
      </c>
      <c r="P684" s="8">
        <f t="shared" ca="1" si="128"/>
        <v>38399</v>
      </c>
      <c r="Q684" s="6">
        <f ca="1">RANDBETWEEN(2,COUNTA('Recruitment source'!$A:$A))</f>
        <v>6</v>
      </c>
      <c r="R684" s="8" t="e">
        <f t="shared" ca="1" si="129"/>
        <v>#N/A</v>
      </c>
      <c r="S684" s="6" t="e">
        <f t="shared" ca="1" si="130"/>
        <v>#N/A</v>
      </c>
      <c r="T684" s="6">
        <f t="shared" ca="1" si="120"/>
        <v>4</v>
      </c>
      <c r="U684" s="1">
        <f t="shared" ca="1" si="131"/>
        <v>1005</v>
      </c>
    </row>
    <row r="685" spans="1:21" x14ac:dyDescent="0.2">
      <c r="A685" s="7" cm="1">
        <f t="array" aca="1" ref="A685" ca="1">INDEX(Companies!$A:$A,RANDBETWEEN(2,COUNTA(Companies!$A:$A)),1)</f>
        <v>2</v>
      </c>
      <c r="B685" s="5">
        <f t="shared" si="121"/>
        <v>684</v>
      </c>
      <c r="C685" s="6">
        <f t="shared" ca="1" si="122"/>
        <v>1</v>
      </c>
      <c r="D685" s="7">
        <f ca="1">IF($B685 = 1 + N("Presidente"),
    127,
    IF($B685 = 2 + N("Vice-Presidente"),
        72,
        IF($B685 = 3 + N("Secretária bilíngue"),
            13,
            RANDBETWEEN(5,COUNT(Name!$A:$A) + 1)
        )
    )
)</f>
        <v>13</v>
      </c>
      <c r="E685" s="7" t="str">
        <f ca="1" xml:space="preserve">
VLOOKUP(
  $D685,
  Name!$A:$B,
  2,
  FALSE
)
&amp; " " &amp;
IF($B685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Alessandra Brito Santana</v>
      </c>
      <c r="F685" s="7">
        <v>2</v>
      </c>
      <c r="G685" s="7" cm="1">
        <f t="array" aca="1" ref="G685" ca="1">INDEX(States!$B:$B,RANDBETWEEN(2,COUNTA(States!$A:$A)),1)</f>
        <v>5</v>
      </c>
      <c r="H685" s="7" t="str">
        <f ca="1">VLOOKUP($D685,Name!$A:$C,3,FALSE)</f>
        <v>F</v>
      </c>
      <c r="I685" s="7" cm="1">
        <f t="array" aca="1" ref="I685" ca="1">INDEX('Marital status'!$A:$A,RANDBETWEEN(2,COUNTA('Marital status'!$A:$A)),1)</f>
        <v>2</v>
      </c>
      <c r="J685" s="7">
        <f t="shared" ca="1" si="123"/>
        <v>2</v>
      </c>
      <c r="K685" s="8">
        <f t="shared" ca="1" si="124"/>
        <v>32543</v>
      </c>
      <c r="L685" s="6">
        <f t="shared" ca="1" si="125"/>
        <v>4</v>
      </c>
      <c r="M685" s="7">
        <f ca="1" xml:space="preserve">
  IF(OR($N685 = 2, $N685 = 3, $N685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685" s="6">
        <f t="shared" ca="1" si="126"/>
        <v>8</v>
      </c>
      <c r="O685" s="6">
        <f t="shared" ca="1" si="127"/>
        <v>2</v>
      </c>
      <c r="P685" s="8">
        <f t="shared" ca="1" si="128"/>
        <v>44273</v>
      </c>
      <c r="Q685" s="6">
        <f ca="1">RANDBETWEEN(2,COUNTA('Recruitment source'!$A:$A))</f>
        <v>4</v>
      </c>
      <c r="R685" s="8" t="e">
        <f t="shared" ca="1" si="129"/>
        <v>#N/A</v>
      </c>
      <c r="S685" s="6" t="e">
        <f t="shared" ca="1" si="130"/>
        <v>#N/A</v>
      </c>
      <c r="T685" s="6">
        <f t="shared" ca="1" si="120"/>
        <v>5</v>
      </c>
      <c r="U685" s="1">
        <f t="shared" ca="1" si="131"/>
        <v>2000</v>
      </c>
    </row>
    <row r="686" spans="1:21" x14ac:dyDescent="0.2">
      <c r="A686" s="7" cm="1">
        <f t="array" aca="1" ref="A686" ca="1">INDEX(Companies!$A:$A,RANDBETWEEN(2,COUNTA(Companies!$A:$A)),1)</f>
        <v>2</v>
      </c>
      <c r="B686" s="5">
        <f t="shared" si="121"/>
        <v>685</v>
      </c>
      <c r="C686" s="6">
        <f t="shared" ca="1" si="122"/>
        <v>1</v>
      </c>
      <c r="D686" s="7">
        <f ca="1">IF($B686 = 1 + N("Presidente"),
    127,
    IF($B686 = 2 + N("Vice-Presidente"),
        72,
        IF($B686 = 3 + N("Secretária bilíngue"),
            13,
            RANDBETWEEN(5,COUNT(Name!$A:$A) + 1)
        )
    )
)</f>
        <v>212</v>
      </c>
      <c r="E686" s="7" t="str">
        <f ca="1" xml:space="preserve">
VLOOKUP(
  $D686,
  Name!$A:$B,
  2,
  FALSE
)
&amp; " " &amp;
IF($B686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Kelly Holanda Brasão</v>
      </c>
      <c r="F686" s="7">
        <v>2</v>
      </c>
      <c r="G686" s="7" cm="1">
        <f t="array" aca="1" ref="G686" ca="1">INDEX(States!$B:$B,RANDBETWEEN(2,COUNTA(States!$A:$A)),1)</f>
        <v>12</v>
      </c>
      <c r="H686" s="7" t="str">
        <f ca="1">VLOOKUP($D686,Name!$A:$C,3,FALSE)</f>
        <v>F</v>
      </c>
      <c r="I686" s="7" cm="1">
        <f t="array" aca="1" ref="I686" ca="1">INDEX('Marital status'!$A:$A,RANDBETWEEN(2,COUNTA('Marital status'!$A:$A)),1)</f>
        <v>4</v>
      </c>
      <c r="J686" s="7">
        <f t="shared" ca="1" si="123"/>
        <v>3</v>
      </c>
      <c r="K686" s="8">
        <f t="shared" ca="1" si="124"/>
        <v>22534</v>
      </c>
      <c r="L686" s="6">
        <f t="shared" ca="1" si="125"/>
        <v>4</v>
      </c>
      <c r="M686" s="7">
        <f ca="1" xml:space="preserve">
  IF(OR($N686 = 2, $N686 = 3, $N686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686" s="6">
        <f t="shared" ca="1" si="126"/>
        <v>6</v>
      </c>
      <c r="O686" s="6" t="e">
        <f t="shared" ca="1" si="127"/>
        <v>#N/A</v>
      </c>
      <c r="P686" s="8">
        <f t="shared" ca="1" si="128"/>
        <v>37155</v>
      </c>
      <c r="Q686" s="6">
        <f ca="1">RANDBETWEEN(2,COUNTA('Recruitment source'!$A:$A))</f>
        <v>10</v>
      </c>
      <c r="R686" s="8" t="e">
        <f t="shared" ca="1" si="129"/>
        <v>#N/A</v>
      </c>
      <c r="S686" s="6" t="e">
        <f t="shared" ca="1" si="130"/>
        <v>#N/A</v>
      </c>
      <c r="T686" s="6">
        <f t="shared" ca="1" si="120"/>
        <v>2</v>
      </c>
      <c r="U686" s="1">
        <f t="shared" ca="1" si="131"/>
        <v>805</v>
      </c>
    </row>
    <row r="687" spans="1:21" x14ac:dyDescent="0.2">
      <c r="A687" s="7" cm="1">
        <f t="array" aca="1" ref="A687" ca="1">INDEX(Companies!$A:$A,RANDBETWEEN(2,COUNTA(Companies!$A:$A)),1)</f>
        <v>2</v>
      </c>
      <c r="B687" s="5">
        <f t="shared" si="121"/>
        <v>686</v>
      </c>
      <c r="C687" s="6">
        <f t="shared" ca="1" si="122"/>
        <v>1</v>
      </c>
      <c r="D687" s="7">
        <f ca="1">IF($B687 = 1 + N("Presidente"),
    127,
    IF($B687 = 2 + N("Vice-Presidente"),
        72,
        IF($B687 = 3 + N("Secretária bilíngue"),
            13,
            RANDBETWEEN(5,COUNT(Name!$A:$A) + 1)
        )
    )
)</f>
        <v>270</v>
      </c>
      <c r="E687" s="7" t="str">
        <f ca="1" xml:space="preserve">
VLOOKUP(
  $D687,
  Name!$A:$B,
  2,
  FALSE
)
&amp; " " &amp;
IF($B687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Laura Bianchi Souza</v>
      </c>
      <c r="F687" s="7">
        <v>2</v>
      </c>
      <c r="G687" s="7" cm="1">
        <f t="array" aca="1" ref="G687" ca="1">INDEX(States!$B:$B,RANDBETWEEN(2,COUNTA(States!$A:$A)),1)</f>
        <v>17</v>
      </c>
      <c r="H687" s="7" t="str">
        <f ca="1">VLOOKUP($D687,Name!$A:$C,3,FALSE)</f>
        <v>F</v>
      </c>
      <c r="I687" s="7" cm="1">
        <f t="array" aca="1" ref="I687" ca="1">INDEX('Marital status'!$A:$A,RANDBETWEEN(2,COUNTA('Marital status'!$A:$A)),1)</f>
        <v>5</v>
      </c>
      <c r="J687" s="7">
        <f t="shared" ca="1" si="123"/>
        <v>2</v>
      </c>
      <c r="K687" s="8">
        <f t="shared" ca="1" si="124"/>
        <v>37781</v>
      </c>
      <c r="L687" s="6">
        <f t="shared" ca="1" si="125"/>
        <v>4</v>
      </c>
      <c r="M687" s="7">
        <f ca="1" xml:space="preserve">
  IF(OR($N687 = 2, $N687 = 3, $N687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687" s="6">
        <f t="shared" ca="1" si="126"/>
        <v>8</v>
      </c>
      <c r="O687" s="6">
        <f t="shared" ca="1" si="127"/>
        <v>3</v>
      </c>
      <c r="P687" s="8">
        <f t="shared" ca="1" si="128"/>
        <v>38481</v>
      </c>
      <c r="Q687" s="6">
        <f ca="1">RANDBETWEEN(2,COUNTA('Recruitment source'!$A:$A))</f>
        <v>9</v>
      </c>
      <c r="R687" s="8" t="e">
        <f t="shared" ca="1" si="129"/>
        <v>#N/A</v>
      </c>
      <c r="S687" s="6" t="e">
        <f t="shared" ca="1" si="130"/>
        <v>#N/A</v>
      </c>
      <c r="T687" s="6">
        <f t="shared" ca="1" si="120"/>
        <v>3</v>
      </c>
      <c r="U687" s="1">
        <f t="shared" ca="1" si="131"/>
        <v>2000</v>
      </c>
    </row>
    <row r="688" spans="1:21" x14ac:dyDescent="0.2">
      <c r="A688" s="7" cm="1">
        <f t="array" aca="1" ref="A688" ca="1">INDEX(Companies!$A:$A,RANDBETWEEN(2,COUNTA(Companies!$A:$A)),1)</f>
        <v>2</v>
      </c>
      <c r="B688" s="5">
        <f t="shared" si="121"/>
        <v>687</v>
      </c>
      <c r="C688" s="6">
        <f t="shared" ca="1" si="122"/>
        <v>1</v>
      </c>
      <c r="D688" s="7">
        <f ca="1">IF($B688 = 1 + N("Presidente"),
    127,
    IF($B688 = 2 + N("Vice-Presidente"),
        72,
        IF($B688 = 3 + N("Secretária bilíngue"),
            13,
            RANDBETWEEN(5,COUNT(Name!$A:$A) + 1)
        )
    )
)</f>
        <v>198</v>
      </c>
      <c r="E688" s="7" t="str">
        <f ca="1" xml:space="preserve">
VLOOKUP(
  $D688,
  Name!$A:$B,
  2,
  FALSE
)
&amp; " " &amp;
IF($B688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Emanuel Barroso Poeta</v>
      </c>
      <c r="F688" s="7">
        <v>2</v>
      </c>
      <c r="G688" s="7" cm="1">
        <f t="array" aca="1" ref="G688" ca="1">INDEX(States!$B:$B,RANDBETWEEN(2,COUNTA(States!$A:$A)),1)</f>
        <v>7</v>
      </c>
      <c r="H688" s="7" t="str">
        <f ca="1">VLOOKUP($D688,Name!$A:$C,3,FALSE)</f>
        <v>M</v>
      </c>
      <c r="I688" s="7" cm="1">
        <f t="array" aca="1" ref="I688" ca="1">INDEX('Marital status'!$A:$A,RANDBETWEEN(2,COUNTA('Marital status'!$A:$A)),1)</f>
        <v>5</v>
      </c>
      <c r="J688" s="7">
        <f t="shared" ca="1" si="123"/>
        <v>2</v>
      </c>
      <c r="K688" s="8">
        <f t="shared" ca="1" si="124"/>
        <v>28367</v>
      </c>
      <c r="L688" s="6">
        <f t="shared" ca="1" si="125"/>
        <v>4</v>
      </c>
      <c r="M688" s="7">
        <f ca="1" xml:space="preserve">
  IF(OR($N688 = 2, $N688 = 3, $N688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688" s="6">
        <f t="shared" ca="1" si="126"/>
        <v>6</v>
      </c>
      <c r="O688" s="6" t="e">
        <f t="shared" ca="1" si="127"/>
        <v>#N/A</v>
      </c>
      <c r="P688" s="8">
        <f t="shared" ca="1" si="128"/>
        <v>36305</v>
      </c>
      <c r="Q688" s="6">
        <f ca="1">RANDBETWEEN(2,COUNTA('Recruitment source'!$A:$A))</f>
        <v>8</v>
      </c>
      <c r="R688" s="8" t="e">
        <f t="shared" ca="1" si="129"/>
        <v>#N/A</v>
      </c>
      <c r="S688" s="6" t="e">
        <f t="shared" ca="1" si="130"/>
        <v>#N/A</v>
      </c>
      <c r="T688" s="6">
        <f t="shared" ca="1" si="120"/>
        <v>3</v>
      </c>
      <c r="U688" s="1">
        <f t="shared" ca="1" si="131"/>
        <v>885</v>
      </c>
    </row>
    <row r="689" spans="1:21" x14ac:dyDescent="0.2">
      <c r="A689" s="7" cm="1">
        <f t="array" aca="1" ref="A689" ca="1">INDEX(Companies!$A:$A,RANDBETWEEN(2,COUNTA(Companies!$A:$A)),1)</f>
        <v>2</v>
      </c>
      <c r="B689" s="5">
        <f t="shared" si="121"/>
        <v>688</v>
      </c>
      <c r="C689" s="6">
        <f t="shared" ca="1" si="122"/>
        <v>1</v>
      </c>
      <c r="D689" s="7">
        <f ca="1">IF($B689 = 1 + N("Presidente"),
    127,
    IF($B689 = 2 + N("Vice-Presidente"),
        72,
        IF($B689 = 3 + N("Secretária bilíngue"),
            13,
            RANDBETWEEN(5,COUNT(Name!$A:$A) + 1)
        )
    )
)</f>
        <v>213</v>
      </c>
      <c r="E689" s="7" t="str">
        <f ca="1" xml:space="preserve">
VLOOKUP(
  $D689,
  Name!$A:$B,
  2,
  FALSE
)
&amp; " " &amp;
IF($B689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Kelvin Giordano Ferreira</v>
      </c>
      <c r="F689" s="7">
        <v>2</v>
      </c>
      <c r="G689" s="7" cm="1">
        <f t="array" aca="1" ref="G689" ca="1">INDEX(States!$B:$B,RANDBETWEEN(2,COUNTA(States!$A:$A)),1)</f>
        <v>12</v>
      </c>
      <c r="H689" s="7" t="str">
        <f ca="1">VLOOKUP($D689,Name!$A:$C,3,FALSE)</f>
        <v>M</v>
      </c>
      <c r="I689" s="7" cm="1">
        <f t="array" aca="1" ref="I689" ca="1">INDEX('Marital status'!$A:$A,RANDBETWEEN(2,COUNTA('Marital status'!$A:$A)),1)</f>
        <v>3</v>
      </c>
      <c r="J689" s="7">
        <f t="shared" ca="1" si="123"/>
        <v>2</v>
      </c>
      <c r="K689" s="8">
        <f t="shared" ca="1" si="124"/>
        <v>36019</v>
      </c>
      <c r="L689" s="6">
        <f t="shared" ca="1" si="125"/>
        <v>5</v>
      </c>
      <c r="M689" s="7">
        <f ca="1" xml:space="preserve">
  IF(OR($N689 = 2, $N689 = 3, $N689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689" s="6">
        <f t="shared" ca="1" si="126"/>
        <v>8</v>
      </c>
      <c r="O689" s="6">
        <f t="shared" ca="1" si="127"/>
        <v>3</v>
      </c>
      <c r="P689" s="8">
        <f t="shared" ca="1" si="128"/>
        <v>41317</v>
      </c>
      <c r="Q689" s="6">
        <f ca="1">RANDBETWEEN(2,COUNTA('Recruitment source'!$A:$A))</f>
        <v>5</v>
      </c>
      <c r="R689" s="8" t="e">
        <f t="shared" ca="1" si="129"/>
        <v>#N/A</v>
      </c>
      <c r="S689" s="6" t="e">
        <f t="shared" ca="1" si="130"/>
        <v>#N/A</v>
      </c>
      <c r="T689" s="6">
        <f t="shared" ca="1" si="120"/>
        <v>5</v>
      </c>
      <c r="U689" s="1">
        <f t="shared" ca="1" si="131"/>
        <v>2000</v>
      </c>
    </row>
    <row r="690" spans="1:21" x14ac:dyDescent="0.2">
      <c r="A690" s="7" cm="1">
        <f t="array" aca="1" ref="A690" ca="1">INDEX(Companies!$A:$A,RANDBETWEEN(2,COUNTA(Companies!$A:$A)),1)</f>
        <v>2</v>
      </c>
      <c r="B690" s="5">
        <f t="shared" si="121"/>
        <v>689</v>
      </c>
      <c r="C690" s="6">
        <f t="shared" ca="1" si="122"/>
        <v>1</v>
      </c>
      <c r="D690" s="7">
        <f ca="1">IF($B690 = 1 + N("Presidente"),
    127,
    IF($B690 = 2 + N("Vice-Presidente"),
        72,
        IF($B690 = 3 + N("Secretária bilíngue"),
            13,
            RANDBETWEEN(5,COUNT(Name!$A:$A) + 1)
        )
    )
)</f>
        <v>9</v>
      </c>
      <c r="E690" s="7" t="str">
        <f ca="1" xml:space="preserve">
VLOOKUP(
  $D690,
  Name!$A:$B,
  2,
  FALSE
)
&amp; " " &amp;
IF($B690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Adélio Marino Carvalho</v>
      </c>
      <c r="F690" s="7">
        <v>2</v>
      </c>
      <c r="G690" s="7" cm="1">
        <f t="array" aca="1" ref="G690" ca="1">INDEX(States!$B:$B,RANDBETWEEN(2,COUNTA(States!$A:$A)),1)</f>
        <v>20</v>
      </c>
      <c r="H690" s="7" t="str">
        <f ca="1">VLOOKUP($D690,Name!$A:$C,3,FALSE)</f>
        <v>M</v>
      </c>
      <c r="I690" s="7" cm="1">
        <f t="array" aca="1" ref="I690" ca="1">INDEX('Marital status'!$A:$A,RANDBETWEEN(2,COUNTA('Marital status'!$A:$A)),1)</f>
        <v>4</v>
      </c>
      <c r="J690" s="7">
        <f t="shared" ca="1" si="123"/>
        <v>2</v>
      </c>
      <c r="K690" s="8">
        <f t="shared" ca="1" si="124"/>
        <v>22432</v>
      </c>
      <c r="L690" s="6">
        <f t="shared" ca="1" si="125"/>
        <v>4</v>
      </c>
      <c r="M690" s="7">
        <f ca="1" xml:space="preserve">
  IF(OR($N690 = 2, $N690 = 3, $N690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690" s="6">
        <f t="shared" ca="1" si="126"/>
        <v>6</v>
      </c>
      <c r="O690" s="6" t="e">
        <f t="shared" ca="1" si="127"/>
        <v>#N/A</v>
      </c>
      <c r="P690" s="8">
        <f t="shared" ca="1" si="128"/>
        <v>37745</v>
      </c>
      <c r="Q690" s="6">
        <f ca="1">RANDBETWEEN(2,COUNTA('Recruitment source'!$A:$A))</f>
        <v>8</v>
      </c>
      <c r="R690" s="8" t="e">
        <f t="shared" ca="1" si="129"/>
        <v>#N/A</v>
      </c>
      <c r="S690" s="6" t="e">
        <f t="shared" ca="1" si="130"/>
        <v>#N/A</v>
      </c>
      <c r="T690" s="6">
        <f t="shared" ca="1" si="120"/>
        <v>5</v>
      </c>
      <c r="U690" s="1">
        <f t="shared" ca="1" si="131"/>
        <v>805</v>
      </c>
    </row>
    <row r="691" spans="1:21" x14ac:dyDescent="0.2">
      <c r="A691" s="7" cm="1">
        <f t="array" aca="1" ref="A691" ca="1">INDEX(Companies!$A:$A,RANDBETWEEN(2,COUNTA(Companies!$A:$A)),1)</f>
        <v>2</v>
      </c>
      <c r="B691" s="5">
        <f t="shared" si="121"/>
        <v>690</v>
      </c>
      <c r="C691" s="6">
        <f t="shared" ca="1" si="122"/>
        <v>1</v>
      </c>
      <c r="D691" s="7">
        <f ca="1">IF($B691 = 1 + N("Presidente"),
    127,
    IF($B691 = 2 + N("Vice-Presidente"),
        72,
        IF($B691 = 3 + N("Secretária bilíngue"),
            13,
            RANDBETWEEN(5,COUNT(Name!$A:$A) + 1)
        )
    )
)</f>
        <v>117</v>
      </c>
      <c r="E691" s="7" t="str">
        <f ca="1" xml:space="preserve">
VLOOKUP(
  $D691,
  Name!$A:$B,
  2,
  FALSE
)
&amp; " " &amp;
IF($B691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Eduardo Santana Pellegrini</v>
      </c>
      <c r="F691" s="7">
        <v>2</v>
      </c>
      <c r="G691" s="7" cm="1">
        <f t="array" aca="1" ref="G691" ca="1">INDEX(States!$B:$B,RANDBETWEEN(2,COUNTA(States!$A:$A)),1)</f>
        <v>16</v>
      </c>
      <c r="H691" s="7" t="str">
        <f ca="1">VLOOKUP($D691,Name!$A:$C,3,FALSE)</f>
        <v>M</v>
      </c>
      <c r="I691" s="7" cm="1">
        <f t="array" aca="1" ref="I691" ca="1">INDEX('Marital status'!$A:$A,RANDBETWEEN(2,COUNTA('Marital status'!$A:$A)),1)</f>
        <v>4</v>
      </c>
      <c r="J691" s="7">
        <f t="shared" ca="1" si="123"/>
        <v>2</v>
      </c>
      <c r="K691" s="8">
        <f t="shared" ca="1" si="124"/>
        <v>36842</v>
      </c>
      <c r="L691" s="6">
        <f t="shared" ca="1" si="125"/>
        <v>5</v>
      </c>
      <c r="M691" s="7">
        <f ca="1" xml:space="preserve">
  IF(OR($N691 = 2, $N691 = 3, $N691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691" s="6">
        <f t="shared" ca="1" si="126"/>
        <v>8</v>
      </c>
      <c r="O691" s="6">
        <f t="shared" ca="1" si="127"/>
        <v>4</v>
      </c>
      <c r="P691" s="8">
        <f t="shared" ca="1" si="128"/>
        <v>41791</v>
      </c>
      <c r="Q691" s="6">
        <f ca="1">RANDBETWEEN(2,COUNTA('Recruitment source'!$A:$A))</f>
        <v>6</v>
      </c>
      <c r="R691" s="8" t="e">
        <f t="shared" ca="1" si="129"/>
        <v>#N/A</v>
      </c>
      <c r="S691" s="6" t="e">
        <f t="shared" ca="1" si="130"/>
        <v>#N/A</v>
      </c>
      <c r="T691" s="6">
        <f t="shared" ca="1" si="120"/>
        <v>2</v>
      </c>
      <c r="U691" s="1">
        <f t="shared" ca="1" si="131"/>
        <v>2080</v>
      </c>
    </row>
    <row r="692" spans="1:21" x14ac:dyDescent="0.2">
      <c r="A692" s="7" cm="1">
        <f t="array" aca="1" ref="A692" ca="1">INDEX(Companies!$A:$A,RANDBETWEEN(2,COUNTA(Companies!$A:$A)),1)</f>
        <v>2</v>
      </c>
      <c r="B692" s="5">
        <f t="shared" si="121"/>
        <v>691</v>
      </c>
      <c r="C692" s="6">
        <f t="shared" ca="1" si="122"/>
        <v>1</v>
      </c>
      <c r="D692" s="7">
        <f ca="1">IF($B692 = 1 + N("Presidente"),
    127,
    IF($B692 = 2 + N("Vice-Presidente"),
        72,
        IF($B692 = 3 + N("Secretária bilíngue"),
            13,
            RANDBETWEEN(5,COUNT(Name!$A:$A) + 1)
        )
    )
)</f>
        <v>178</v>
      </c>
      <c r="E692" s="7" t="str">
        <f ca="1" xml:space="preserve">
VLOOKUP(
  $D692,
  Name!$A:$B,
  2,
  FALSE
)
&amp; " " &amp;
IF($B692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Isabely Negreiros Marques</v>
      </c>
      <c r="F692" s="7">
        <v>2</v>
      </c>
      <c r="G692" s="7" cm="1">
        <f t="array" aca="1" ref="G692" ca="1">INDEX(States!$B:$B,RANDBETWEEN(2,COUNTA(States!$A:$A)),1)</f>
        <v>7</v>
      </c>
      <c r="H692" s="7" t="str">
        <f ca="1">VLOOKUP($D692,Name!$A:$C,3,FALSE)</f>
        <v>F</v>
      </c>
      <c r="I692" s="7" cm="1">
        <f t="array" aca="1" ref="I692" ca="1">INDEX('Marital status'!$A:$A,RANDBETWEEN(2,COUNTA('Marital status'!$A:$A)),1)</f>
        <v>6</v>
      </c>
      <c r="J692" s="7">
        <f t="shared" ca="1" si="123"/>
        <v>2</v>
      </c>
      <c r="K692" s="8">
        <f t="shared" ca="1" si="124"/>
        <v>32153</v>
      </c>
      <c r="L692" s="6">
        <f t="shared" ca="1" si="125"/>
        <v>4</v>
      </c>
      <c r="M692" s="7">
        <f ca="1" xml:space="preserve">
  IF(OR($N692 = 2, $N692 = 3, $N692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692" s="6">
        <f t="shared" ca="1" si="126"/>
        <v>6</v>
      </c>
      <c r="O692" s="6" t="e">
        <f t="shared" ca="1" si="127"/>
        <v>#N/A</v>
      </c>
      <c r="P692" s="8">
        <f t="shared" ca="1" si="128"/>
        <v>44192</v>
      </c>
      <c r="Q692" s="6">
        <f ca="1">RANDBETWEEN(2,COUNTA('Recruitment source'!$A:$A))</f>
        <v>3</v>
      </c>
      <c r="R692" s="8" t="e">
        <f t="shared" ca="1" si="129"/>
        <v>#N/A</v>
      </c>
      <c r="S692" s="6" t="e">
        <f t="shared" ca="1" si="130"/>
        <v>#N/A</v>
      </c>
      <c r="T692" s="6">
        <f t="shared" ca="1" si="120"/>
        <v>4</v>
      </c>
      <c r="U692" s="1">
        <f t="shared" ca="1" si="131"/>
        <v>805</v>
      </c>
    </row>
    <row r="693" spans="1:21" x14ac:dyDescent="0.2">
      <c r="A693" s="7" cm="1">
        <f t="array" aca="1" ref="A693" ca="1">INDEX(Companies!$A:$A,RANDBETWEEN(2,COUNTA(Companies!$A:$A)),1)</f>
        <v>2</v>
      </c>
      <c r="B693" s="5">
        <f t="shared" si="121"/>
        <v>692</v>
      </c>
      <c r="C693" s="6">
        <f t="shared" ca="1" si="122"/>
        <v>1</v>
      </c>
      <c r="D693" s="7">
        <f ca="1">IF($B693 = 1 + N("Presidente"),
    127,
    IF($B693 = 2 + N("Vice-Presidente"),
        72,
        IF($B693 = 3 + N("Secretária bilíngue"),
            13,
            RANDBETWEEN(5,COUNT(Name!$A:$A) + 1)
        )
    )
)</f>
        <v>194</v>
      </c>
      <c r="E693" s="7" t="str">
        <f ca="1" xml:space="preserve">
VLOOKUP(
  $D693,
  Name!$A:$B,
  2,
  FALSE
)
&amp; " " &amp;
IF($B693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Vitor Morato Tavares</v>
      </c>
      <c r="F693" s="7">
        <v>2</v>
      </c>
      <c r="G693" s="7" cm="1">
        <f t="array" aca="1" ref="G693" ca="1">INDEX(States!$B:$B,RANDBETWEEN(2,COUNTA(States!$A:$A)),1)</f>
        <v>15</v>
      </c>
      <c r="H693" s="7" t="str">
        <f ca="1">VLOOKUP($D693,Name!$A:$C,3,FALSE)</f>
        <v>M</v>
      </c>
      <c r="I693" s="7" cm="1">
        <f t="array" aca="1" ref="I693" ca="1">INDEX('Marital status'!$A:$A,RANDBETWEEN(2,COUNTA('Marital status'!$A:$A)),1)</f>
        <v>6</v>
      </c>
      <c r="J693" s="7">
        <f t="shared" ca="1" si="123"/>
        <v>4</v>
      </c>
      <c r="K693" s="8">
        <f t="shared" ca="1" si="124"/>
        <v>32424</v>
      </c>
      <c r="L693" s="6">
        <f t="shared" ca="1" si="125"/>
        <v>5</v>
      </c>
      <c r="M693" s="7">
        <f ca="1" xml:space="preserve">
  IF(OR($N693 = 2, $N693 = 3, $N693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693" s="6">
        <f t="shared" ca="1" si="126"/>
        <v>8</v>
      </c>
      <c r="O693" s="6">
        <f t="shared" ca="1" si="127"/>
        <v>4</v>
      </c>
      <c r="P693" s="8">
        <f t="shared" ca="1" si="128"/>
        <v>37749</v>
      </c>
      <c r="Q693" s="6">
        <f ca="1">RANDBETWEEN(2,COUNTA('Recruitment source'!$A:$A))</f>
        <v>7</v>
      </c>
      <c r="R693" s="8" t="e">
        <f t="shared" ca="1" si="129"/>
        <v>#N/A</v>
      </c>
      <c r="S693" s="6" t="e">
        <f t="shared" ca="1" si="130"/>
        <v>#N/A</v>
      </c>
      <c r="T693" s="6">
        <f t="shared" ca="1" si="120"/>
        <v>3</v>
      </c>
      <c r="U693" s="1">
        <f t="shared" ca="1" si="131"/>
        <v>2000</v>
      </c>
    </row>
    <row r="694" spans="1:21" x14ac:dyDescent="0.2">
      <c r="A694" s="7" cm="1">
        <f t="array" aca="1" ref="A694" ca="1">INDEX(Companies!$A:$A,RANDBETWEEN(2,COUNTA(Companies!$A:$A)),1)</f>
        <v>2</v>
      </c>
      <c r="B694" s="5">
        <f t="shared" si="121"/>
        <v>693</v>
      </c>
      <c r="C694" s="6">
        <f t="shared" ca="1" si="122"/>
        <v>1</v>
      </c>
      <c r="D694" s="7">
        <f ca="1">IF($B694 = 1 + N("Presidente"),
    127,
    IF($B694 = 2 + N("Vice-Presidente"),
        72,
        IF($B694 = 3 + N("Secretária bilíngue"),
            13,
            RANDBETWEEN(5,COUNT(Name!$A:$A) + 1)
        )
    )
)</f>
        <v>281</v>
      </c>
      <c r="E694" s="7" t="str">
        <f ca="1" xml:space="preserve">
VLOOKUP(
  $D694,
  Name!$A:$B,
  2,
  FALSE
)
&amp; " " &amp;
IF($B694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Marina Mancini Bandeira</v>
      </c>
      <c r="F694" s="7">
        <v>2</v>
      </c>
      <c r="G694" s="7" cm="1">
        <f t="array" aca="1" ref="G694" ca="1">INDEX(States!$B:$B,RANDBETWEEN(2,COUNTA(States!$A:$A)),1)</f>
        <v>13</v>
      </c>
      <c r="H694" s="7" t="str">
        <f ca="1">VLOOKUP($D694,Name!$A:$C,3,FALSE)</f>
        <v>F</v>
      </c>
      <c r="I694" s="7" cm="1">
        <f t="array" aca="1" ref="I694" ca="1">INDEX('Marital status'!$A:$A,RANDBETWEEN(2,COUNTA('Marital status'!$A:$A)),1)</f>
        <v>4</v>
      </c>
      <c r="J694" s="7">
        <f t="shared" ca="1" si="123"/>
        <v>2</v>
      </c>
      <c r="K694" s="8">
        <f t="shared" ca="1" si="124"/>
        <v>33668</v>
      </c>
      <c r="L694" s="6">
        <f t="shared" ca="1" si="125"/>
        <v>4</v>
      </c>
      <c r="M694" s="7">
        <f ca="1" xml:space="preserve">
  IF(OR($N694 = 2, $N694 = 3, $N694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694" s="6">
        <f t="shared" ca="1" si="126"/>
        <v>7</v>
      </c>
      <c r="O694" s="6" t="e">
        <f t="shared" ca="1" si="127"/>
        <v>#N/A</v>
      </c>
      <c r="P694" s="8">
        <f t="shared" ca="1" si="128"/>
        <v>39461</v>
      </c>
      <c r="Q694" s="6">
        <f ca="1">RANDBETWEEN(2,COUNTA('Recruitment source'!$A:$A))</f>
        <v>9</v>
      </c>
      <c r="R694" s="8" t="e">
        <f t="shared" ca="1" si="129"/>
        <v>#N/A</v>
      </c>
      <c r="S694" s="6" t="e">
        <f t="shared" ca="1" si="130"/>
        <v>#N/A</v>
      </c>
      <c r="T694" s="6">
        <f t="shared" ca="1" si="120"/>
        <v>5</v>
      </c>
      <c r="U694" s="1">
        <f t="shared" ca="1" si="131"/>
        <v>1005</v>
      </c>
    </row>
    <row r="695" spans="1:21" x14ac:dyDescent="0.2">
      <c r="A695" s="7" cm="1">
        <f t="array" aca="1" ref="A695" ca="1">INDEX(Companies!$A:$A,RANDBETWEEN(2,COUNTA(Companies!$A:$A)),1)</f>
        <v>2</v>
      </c>
      <c r="B695" s="5">
        <f t="shared" si="121"/>
        <v>694</v>
      </c>
      <c r="C695" s="6">
        <f t="shared" ca="1" si="122"/>
        <v>1</v>
      </c>
      <c r="D695" s="7">
        <f ca="1">IF($B695 = 1 + N("Presidente"),
    127,
    IF($B695 = 2 + N("Vice-Presidente"),
        72,
        IF($B695 = 3 + N("Secretária bilíngue"),
            13,
            RANDBETWEEN(5,COUNT(Name!$A:$A) + 1)
        )
    )
)</f>
        <v>116</v>
      </c>
      <c r="E695" s="7" t="str">
        <f ca="1" xml:space="preserve">
VLOOKUP(
  $D695,
  Name!$A:$B,
  2,
  FALSE
)
&amp; " " &amp;
IF($B695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Eduarda Barbosa Martins</v>
      </c>
      <c r="F695" s="7">
        <v>2</v>
      </c>
      <c r="G695" s="7" cm="1">
        <f t="array" aca="1" ref="G695" ca="1">INDEX(States!$B:$B,RANDBETWEEN(2,COUNTA(States!$A:$A)),1)</f>
        <v>6</v>
      </c>
      <c r="H695" s="7" t="str">
        <f ca="1">VLOOKUP($D695,Name!$A:$C,3,FALSE)</f>
        <v>F</v>
      </c>
      <c r="I695" s="7" cm="1">
        <f t="array" aca="1" ref="I695" ca="1">INDEX('Marital status'!$A:$A,RANDBETWEEN(2,COUNTA('Marital status'!$A:$A)),1)</f>
        <v>5</v>
      </c>
      <c r="J695" s="7">
        <f t="shared" ca="1" si="123"/>
        <v>2</v>
      </c>
      <c r="K695" s="8">
        <f t="shared" ca="1" si="124"/>
        <v>32500</v>
      </c>
      <c r="L695" s="6">
        <f t="shared" ca="1" si="125"/>
        <v>4</v>
      </c>
      <c r="M695" s="7">
        <f ca="1" xml:space="preserve">
  IF(OR($N695 = 2, $N695 = 3, $N695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695" s="6">
        <f t="shared" ca="1" si="126"/>
        <v>8</v>
      </c>
      <c r="O695" s="6">
        <f t="shared" ca="1" si="127"/>
        <v>4</v>
      </c>
      <c r="P695" s="8">
        <f t="shared" ca="1" si="128"/>
        <v>38391</v>
      </c>
      <c r="Q695" s="6">
        <f ca="1">RANDBETWEEN(2,COUNTA('Recruitment source'!$A:$A))</f>
        <v>10</v>
      </c>
      <c r="R695" s="8" t="e">
        <f t="shared" ca="1" si="129"/>
        <v>#N/A</v>
      </c>
      <c r="S695" s="6" t="e">
        <f t="shared" ca="1" si="130"/>
        <v>#N/A</v>
      </c>
      <c r="T695" s="6">
        <f t="shared" ca="1" si="120"/>
        <v>4</v>
      </c>
      <c r="U695" s="1">
        <f t="shared" ca="1" si="131"/>
        <v>2000</v>
      </c>
    </row>
    <row r="696" spans="1:21" x14ac:dyDescent="0.2">
      <c r="A696" s="7" cm="1">
        <f t="array" aca="1" ref="A696" ca="1">INDEX(Companies!$A:$A,RANDBETWEEN(2,COUNTA(Companies!$A:$A)),1)</f>
        <v>2</v>
      </c>
      <c r="B696" s="5">
        <f t="shared" si="121"/>
        <v>695</v>
      </c>
      <c r="C696" s="6">
        <f t="shared" ca="1" si="122"/>
        <v>1</v>
      </c>
      <c r="D696" s="7">
        <f ca="1">IF($B696 = 1 + N("Presidente"),
    127,
    IF($B696 = 2 + N("Vice-Presidente"),
        72,
        IF($B696 = 3 + N("Secretária bilíngue"),
            13,
            RANDBETWEEN(5,COUNT(Name!$A:$A) + 1)
        )
    )
)</f>
        <v>137</v>
      </c>
      <c r="E696" s="7" t="str">
        <f ca="1" xml:space="preserve">
VLOOKUP(
  $D696,
  Name!$A:$B,
  2,
  FALSE
)
&amp; " " &amp;
IF($B696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Fernanda Mariani Caruso</v>
      </c>
      <c r="F696" s="7">
        <v>2</v>
      </c>
      <c r="G696" s="7" cm="1">
        <f t="array" aca="1" ref="G696" ca="1">INDEX(States!$B:$B,RANDBETWEEN(2,COUNTA(States!$A:$A)),1)</f>
        <v>10</v>
      </c>
      <c r="H696" s="7" t="str">
        <f ca="1">VLOOKUP($D696,Name!$A:$C,3,FALSE)</f>
        <v>F</v>
      </c>
      <c r="I696" s="7" cm="1">
        <f t="array" aca="1" ref="I696" ca="1">INDEX('Marital status'!$A:$A,RANDBETWEEN(2,COUNTA('Marital status'!$A:$A)),1)</f>
        <v>4</v>
      </c>
      <c r="J696" s="7">
        <f t="shared" ca="1" si="123"/>
        <v>2</v>
      </c>
      <c r="K696" s="8">
        <f t="shared" ca="1" si="124"/>
        <v>33843</v>
      </c>
      <c r="L696" s="6">
        <f t="shared" ca="1" si="125"/>
        <v>4</v>
      </c>
      <c r="M696" s="7">
        <f ca="1" xml:space="preserve">
  IF(OR($N696 = 2, $N696 = 3, $N696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696" s="6">
        <f t="shared" ca="1" si="126"/>
        <v>7</v>
      </c>
      <c r="O696" s="6" t="e">
        <f t="shared" ca="1" si="127"/>
        <v>#N/A</v>
      </c>
      <c r="P696" s="8">
        <f t="shared" ca="1" si="128"/>
        <v>44127</v>
      </c>
      <c r="Q696" s="6">
        <f ca="1">RANDBETWEEN(2,COUNTA('Recruitment source'!$A:$A))</f>
        <v>12</v>
      </c>
      <c r="R696" s="8" t="e">
        <f t="shared" ca="1" si="129"/>
        <v>#N/A</v>
      </c>
      <c r="S696" s="6" t="e">
        <f t="shared" ca="1" si="130"/>
        <v>#N/A</v>
      </c>
      <c r="T696" s="6">
        <f t="shared" ca="1" si="120"/>
        <v>5</v>
      </c>
      <c r="U696" s="1">
        <f t="shared" ca="1" si="131"/>
        <v>1005</v>
      </c>
    </row>
    <row r="697" spans="1:21" x14ac:dyDescent="0.2">
      <c r="A697" s="7" cm="1">
        <f t="array" aca="1" ref="A697" ca="1">INDEX(Companies!$A:$A,RANDBETWEEN(2,COUNTA(Companies!$A:$A)),1)</f>
        <v>2</v>
      </c>
      <c r="B697" s="5">
        <f t="shared" si="121"/>
        <v>696</v>
      </c>
      <c r="C697" s="6">
        <f t="shared" ca="1" si="122"/>
        <v>1</v>
      </c>
      <c r="D697" s="7">
        <f ca="1">IF($B697 = 1 + N("Presidente"),
    127,
    IF($B697 = 2 + N("Vice-Presidente"),
        72,
        IF($B697 = 3 + N("Secretária bilíngue"),
            13,
            RANDBETWEEN(5,COUNT(Name!$A:$A) + 1)
        )
    )
)</f>
        <v>112</v>
      </c>
      <c r="E697" s="7" t="str">
        <f ca="1" xml:space="preserve">
VLOOKUP(
  $D697,
  Name!$A:$B,
  2,
  FALSE
)
&amp; " " &amp;
IF($B697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Deborah Cunha Amor</v>
      </c>
      <c r="F697" s="7">
        <v>2</v>
      </c>
      <c r="G697" s="7" cm="1">
        <f t="array" aca="1" ref="G697" ca="1">INDEX(States!$B:$B,RANDBETWEEN(2,COUNTA(States!$A:$A)),1)</f>
        <v>11</v>
      </c>
      <c r="H697" s="7" t="str">
        <f ca="1">VLOOKUP($D697,Name!$A:$C,3,FALSE)</f>
        <v>F</v>
      </c>
      <c r="I697" s="7" cm="1">
        <f t="array" aca="1" ref="I697" ca="1">INDEX('Marital status'!$A:$A,RANDBETWEEN(2,COUNTA('Marital status'!$A:$A)),1)</f>
        <v>6</v>
      </c>
      <c r="J697" s="7">
        <f t="shared" ca="1" si="123"/>
        <v>2</v>
      </c>
      <c r="K697" s="8">
        <f t="shared" ca="1" si="124"/>
        <v>32727</v>
      </c>
      <c r="L697" s="6">
        <f t="shared" ca="1" si="125"/>
        <v>5</v>
      </c>
      <c r="M697" s="7">
        <f ca="1" xml:space="preserve">
  IF(OR($N697 = 2, $N697 = 3, $N697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697" s="6">
        <f t="shared" ca="1" si="126"/>
        <v>8</v>
      </c>
      <c r="O697" s="6">
        <f t="shared" ca="1" si="127"/>
        <v>2</v>
      </c>
      <c r="P697" s="8">
        <f t="shared" ca="1" si="128"/>
        <v>38442</v>
      </c>
      <c r="Q697" s="6">
        <f ca="1">RANDBETWEEN(2,COUNTA('Recruitment source'!$A:$A))</f>
        <v>12</v>
      </c>
      <c r="R697" s="8" t="e">
        <f t="shared" ca="1" si="129"/>
        <v>#N/A</v>
      </c>
      <c r="S697" s="6" t="e">
        <f t="shared" ca="1" si="130"/>
        <v>#N/A</v>
      </c>
      <c r="T697" s="6">
        <f t="shared" ca="1" si="120"/>
        <v>4</v>
      </c>
      <c r="U697" s="1">
        <f t="shared" ca="1" si="131"/>
        <v>2000</v>
      </c>
    </row>
    <row r="698" spans="1:21" x14ac:dyDescent="0.2">
      <c r="A698" s="7" cm="1">
        <f t="array" aca="1" ref="A698" ca="1">INDEX(Companies!$A:$A,RANDBETWEEN(2,COUNTA(Companies!$A:$A)),1)</f>
        <v>2</v>
      </c>
      <c r="B698" s="5">
        <f t="shared" si="121"/>
        <v>697</v>
      </c>
      <c r="C698" s="6">
        <f t="shared" ca="1" si="122"/>
        <v>1</v>
      </c>
      <c r="D698" s="7">
        <f ca="1">IF($B698 = 1 + N("Presidente"),
    127,
    IF($B698 = 2 + N("Vice-Presidente"),
        72,
        IF($B698 = 3 + N("Secretária bilíngue"),
            13,
            RANDBETWEEN(5,COUNT(Name!$A:$A) + 1)
        )
    )
)</f>
        <v>279</v>
      </c>
      <c r="E698" s="7" t="str">
        <f ca="1" xml:space="preserve">
VLOOKUP(
  $D698,
  Name!$A:$B,
  2,
  FALSE
)
&amp; " " &amp;
IF($B698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Mariane Rinaldi Bragança</v>
      </c>
      <c r="F698" s="7">
        <v>2</v>
      </c>
      <c r="G698" s="7" cm="1">
        <f t="array" aca="1" ref="G698" ca="1">INDEX(States!$B:$B,RANDBETWEEN(2,COUNTA(States!$A:$A)),1)</f>
        <v>11</v>
      </c>
      <c r="H698" s="7" t="str">
        <f ca="1">VLOOKUP($D698,Name!$A:$C,3,FALSE)</f>
        <v>F</v>
      </c>
      <c r="I698" s="7" cm="1">
        <f t="array" aca="1" ref="I698" ca="1">INDEX('Marital status'!$A:$A,RANDBETWEEN(2,COUNTA('Marital status'!$A:$A)),1)</f>
        <v>6</v>
      </c>
      <c r="J698" s="7">
        <f t="shared" ca="1" si="123"/>
        <v>2</v>
      </c>
      <c r="K698" s="8">
        <f t="shared" ca="1" si="124"/>
        <v>33945</v>
      </c>
      <c r="L698" s="6">
        <f t="shared" ca="1" si="125"/>
        <v>4</v>
      </c>
      <c r="M698" s="7">
        <f ca="1" xml:space="preserve">
  IF(OR($N698 = 2, $N698 = 3, $N698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698" s="6">
        <f t="shared" ca="1" si="126"/>
        <v>7</v>
      </c>
      <c r="O698" s="6" t="e">
        <f t="shared" ca="1" si="127"/>
        <v>#N/A</v>
      </c>
      <c r="P698" s="8">
        <f t="shared" ca="1" si="128"/>
        <v>44265</v>
      </c>
      <c r="Q698" s="6">
        <f ca="1">RANDBETWEEN(2,COUNTA('Recruitment source'!$A:$A))</f>
        <v>8</v>
      </c>
      <c r="R698" s="8" t="e">
        <f t="shared" ca="1" si="129"/>
        <v>#N/A</v>
      </c>
      <c r="S698" s="6" t="e">
        <f t="shared" ca="1" si="130"/>
        <v>#N/A</v>
      </c>
      <c r="T698" s="6">
        <f t="shared" ca="1" si="120"/>
        <v>2</v>
      </c>
      <c r="U698" s="1">
        <f t="shared" ca="1" si="131"/>
        <v>1085</v>
      </c>
    </row>
    <row r="699" spans="1:21" x14ac:dyDescent="0.2">
      <c r="A699" s="7" cm="1">
        <f t="array" aca="1" ref="A699" ca="1">INDEX(Companies!$A:$A,RANDBETWEEN(2,COUNTA(Companies!$A:$A)),1)</f>
        <v>2</v>
      </c>
      <c r="B699" s="5">
        <f t="shared" si="121"/>
        <v>698</v>
      </c>
      <c r="C699" s="6">
        <f t="shared" ca="1" si="122"/>
        <v>1</v>
      </c>
      <c r="D699" s="7">
        <f ca="1">IF($B699 = 1 + N("Presidente"),
    127,
    IF($B699 = 2 + N("Vice-Presidente"),
        72,
        IF($B699 = 3 + N("Secretária bilíngue"),
            13,
            RANDBETWEEN(5,COUNT(Name!$A:$A) + 1)
        )
    )
)</f>
        <v>206</v>
      </c>
      <c r="E699" s="7" t="str">
        <f ca="1" xml:space="preserve">
VLOOKUP(
  $D699,
  Name!$A:$B,
  2,
  FALSE
)
&amp; " " &amp;
IF($B699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Kamilla Frois Santoro</v>
      </c>
      <c r="F699" s="7">
        <v>2</v>
      </c>
      <c r="G699" s="7" cm="1">
        <f t="array" aca="1" ref="G699" ca="1">INDEX(States!$B:$B,RANDBETWEEN(2,COUNTA(States!$A:$A)),1)</f>
        <v>13</v>
      </c>
      <c r="H699" s="7" t="str">
        <f ca="1">VLOOKUP($D699,Name!$A:$C,3,FALSE)</f>
        <v>F</v>
      </c>
      <c r="I699" s="7" cm="1">
        <f t="array" aca="1" ref="I699" ca="1">INDEX('Marital status'!$A:$A,RANDBETWEEN(2,COUNTA('Marital status'!$A:$A)),1)</f>
        <v>4</v>
      </c>
      <c r="J699" s="7">
        <f t="shared" ca="1" si="123"/>
        <v>2</v>
      </c>
      <c r="K699" s="8">
        <f t="shared" ca="1" si="124"/>
        <v>34821</v>
      </c>
      <c r="L699" s="6">
        <f t="shared" ca="1" si="125"/>
        <v>5</v>
      </c>
      <c r="M699" s="7">
        <f ca="1" xml:space="preserve">
  IF(OR($N699 = 2, $N699 = 3, $N699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699" s="6">
        <f t="shared" ca="1" si="126"/>
        <v>8</v>
      </c>
      <c r="O699" s="6">
        <f t="shared" ca="1" si="127"/>
        <v>2</v>
      </c>
      <c r="P699" s="8">
        <f t="shared" ca="1" si="128"/>
        <v>41307</v>
      </c>
      <c r="Q699" s="6">
        <f ca="1">RANDBETWEEN(2,COUNTA('Recruitment source'!$A:$A))</f>
        <v>2</v>
      </c>
      <c r="R699" s="8" t="e">
        <f t="shared" ca="1" si="129"/>
        <v>#N/A</v>
      </c>
      <c r="S699" s="6" t="e">
        <f t="shared" ca="1" si="130"/>
        <v>#N/A</v>
      </c>
      <c r="T699" s="6">
        <f t="shared" ca="1" si="120"/>
        <v>3</v>
      </c>
      <c r="U699" s="1">
        <f t="shared" ca="1" si="131"/>
        <v>2080</v>
      </c>
    </row>
    <row r="700" spans="1:21" x14ac:dyDescent="0.2">
      <c r="A700" s="7" cm="1">
        <f t="array" aca="1" ref="A700" ca="1">INDEX(Companies!$A:$A,RANDBETWEEN(2,COUNTA(Companies!$A:$A)),1)</f>
        <v>2</v>
      </c>
      <c r="B700" s="5">
        <f t="shared" si="121"/>
        <v>699</v>
      </c>
      <c r="C700" s="6">
        <f t="shared" ca="1" si="122"/>
        <v>1</v>
      </c>
      <c r="D700" s="7">
        <f ca="1">IF($B700 = 1 + N("Presidente"),
    127,
    IF($B700 = 2 + N("Vice-Presidente"),
        72,
        IF($B700 = 3 + N("Secretária bilíngue"),
            13,
            RANDBETWEEN(5,COUNT(Name!$A:$A) + 1)
        )
    )
)</f>
        <v>14</v>
      </c>
      <c r="E700" s="7" t="str">
        <f ca="1" xml:space="preserve">
VLOOKUP(
  $D700,
  Name!$A:$B,
  2,
  FALSE
)
&amp; " " &amp;
IF($B700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Alexander Marques Frasão</v>
      </c>
      <c r="F700" s="7">
        <v>2</v>
      </c>
      <c r="G700" s="7" cm="1">
        <f t="array" aca="1" ref="G700" ca="1">INDEX(States!$B:$B,RANDBETWEEN(2,COUNTA(States!$A:$A)),1)</f>
        <v>16</v>
      </c>
      <c r="H700" s="7" t="str">
        <f ca="1">VLOOKUP($D700,Name!$A:$C,3,FALSE)</f>
        <v>M</v>
      </c>
      <c r="I700" s="7" cm="1">
        <f t="array" aca="1" ref="I700" ca="1">INDEX('Marital status'!$A:$A,RANDBETWEEN(2,COUNTA('Marital status'!$A:$A)),1)</f>
        <v>5</v>
      </c>
      <c r="J700" s="7">
        <f t="shared" ca="1" si="123"/>
        <v>3</v>
      </c>
      <c r="K700" s="8">
        <f t="shared" ca="1" si="124"/>
        <v>33674</v>
      </c>
      <c r="L700" s="6">
        <f t="shared" ca="1" si="125"/>
        <v>4</v>
      </c>
      <c r="M700" s="7">
        <f ca="1" xml:space="preserve">
  IF(OR($N700 = 2, $N700 = 3, $N700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700" s="6">
        <f t="shared" ca="1" si="126"/>
        <v>7</v>
      </c>
      <c r="O700" s="6" t="e">
        <f t="shared" ca="1" si="127"/>
        <v>#N/A</v>
      </c>
      <c r="P700" s="8">
        <f t="shared" ca="1" si="128"/>
        <v>42998</v>
      </c>
      <c r="Q700" s="6">
        <f ca="1">RANDBETWEEN(2,COUNTA('Recruitment source'!$A:$A))</f>
        <v>10</v>
      </c>
      <c r="R700" s="8" t="e">
        <f t="shared" ca="1" si="129"/>
        <v>#N/A</v>
      </c>
      <c r="S700" s="6" t="e">
        <f t="shared" ca="1" si="130"/>
        <v>#N/A</v>
      </c>
      <c r="T700" s="6">
        <f t="shared" ca="1" si="120"/>
        <v>2</v>
      </c>
      <c r="U700" s="1">
        <f t="shared" ca="1" si="131"/>
        <v>1005</v>
      </c>
    </row>
    <row r="701" spans="1:21" x14ac:dyDescent="0.2">
      <c r="A701" s="7" cm="1">
        <f t="array" aca="1" ref="A701" ca="1">INDEX(Companies!$A:$A,RANDBETWEEN(2,COUNTA(Companies!$A:$A)),1)</f>
        <v>2</v>
      </c>
      <c r="B701" s="5">
        <f t="shared" si="121"/>
        <v>700</v>
      </c>
      <c r="C701" s="6">
        <f t="shared" ca="1" si="122"/>
        <v>1</v>
      </c>
      <c r="D701" s="7">
        <f ca="1">IF($B701 = 1 + N("Presidente"),
    127,
    IF($B701 = 2 + N("Vice-Presidente"),
        72,
        IF($B701 = 3 + N("Secretária bilíngue"),
            13,
            RANDBETWEEN(5,COUNT(Name!$A:$A) + 1)
        )
    )
)</f>
        <v>316</v>
      </c>
      <c r="E701" s="7" t="str">
        <f ca="1" xml:space="preserve">
VLOOKUP(
  $D701,
  Name!$A:$B,
  2,
  FALSE
)
&amp; " " &amp;
IF($B701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Machado Souza</v>
      </c>
      <c r="F701" s="7">
        <v>2</v>
      </c>
      <c r="G701" s="7" cm="1">
        <f t="array" aca="1" ref="G701" ca="1">INDEX(States!$B:$B,RANDBETWEEN(2,COUNTA(States!$A:$A)),1)</f>
        <v>14</v>
      </c>
      <c r="H701" s="7" t="str">
        <f ca="1">VLOOKUP($D701,Name!$A:$C,3,FALSE)</f>
        <v>M</v>
      </c>
      <c r="I701" s="7" cm="1">
        <f t="array" aca="1" ref="I701" ca="1">INDEX('Marital status'!$A:$A,RANDBETWEEN(2,COUNTA('Marital status'!$A:$A)),1)</f>
        <v>4</v>
      </c>
      <c r="J701" s="7">
        <f t="shared" ca="1" si="123"/>
        <v>2</v>
      </c>
      <c r="K701" s="8">
        <f t="shared" ca="1" si="124"/>
        <v>33709</v>
      </c>
      <c r="L701" s="6">
        <f t="shared" ca="1" si="125"/>
        <v>4</v>
      </c>
      <c r="M701" s="7">
        <f ca="1" xml:space="preserve">
  IF(OR($N701 = 2, $N701 = 3, $N701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701" s="6">
        <f t="shared" ca="1" si="126"/>
        <v>8</v>
      </c>
      <c r="O701" s="6">
        <f t="shared" ca="1" si="127"/>
        <v>3</v>
      </c>
      <c r="P701" s="8">
        <f t="shared" ca="1" si="128"/>
        <v>43223</v>
      </c>
      <c r="Q701" s="6">
        <f ca="1">RANDBETWEEN(2,COUNTA('Recruitment source'!$A:$A))</f>
        <v>8</v>
      </c>
      <c r="R701" s="8" t="e">
        <f t="shared" ca="1" si="129"/>
        <v>#N/A</v>
      </c>
      <c r="S701" s="6" t="e">
        <f t="shared" ca="1" si="130"/>
        <v>#N/A</v>
      </c>
      <c r="T701" s="6">
        <f t="shared" ca="1" si="120"/>
        <v>2</v>
      </c>
      <c r="U701" s="1">
        <f t="shared" ca="1" si="131"/>
        <v>2000</v>
      </c>
    </row>
    <row r="702" spans="1:21" x14ac:dyDescent="0.2">
      <c r="A702" s="7" cm="1">
        <f t="array" aca="1" ref="A702" ca="1">INDEX(Companies!$A:$A,RANDBETWEEN(2,COUNTA(Companies!$A:$A)),1)</f>
        <v>2</v>
      </c>
      <c r="B702" s="5">
        <f t="shared" si="121"/>
        <v>701</v>
      </c>
      <c r="C702" s="6">
        <f t="shared" ca="1" si="122"/>
        <v>1</v>
      </c>
      <c r="D702" s="7">
        <f ca="1">IF($B702 = 1 + N("Presidente"),
    127,
    IF($B702 = 2 + N("Vice-Presidente"),
        72,
        IF($B702 = 3 + N("Secretária bilíngue"),
            13,
            RANDBETWEEN(5,COUNT(Name!$A:$A) + 1)
        )
    )
)</f>
        <v>242</v>
      </c>
      <c r="E702" s="7" t="str">
        <f ca="1" xml:space="preserve">
VLOOKUP(
  $D702,
  Name!$A:$B,
  2,
  FALSE
)
&amp; " " &amp;
IF($B702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Luisa Camacho Freitas</v>
      </c>
      <c r="F702" s="7">
        <v>2</v>
      </c>
      <c r="G702" s="7" cm="1">
        <f t="array" aca="1" ref="G702" ca="1">INDEX(States!$B:$B,RANDBETWEEN(2,COUNTA(States!$A:$A)),1)</f>
        <v>18</v>
      </c>
      <c r="H702" s="7" t="str">
        <f ca="1">VLOOKUP($D702,Name!$A:$C,3,FALSE)</f>
        <v>F</v>
      </c>
      <c r="I702" s="7" cm="1">
        <f t="array" aca="1" ref="I702" ca="1">INDEX('Marital status'!$A:$A,RANDBETWEEN(2,COUNTA('Marital status'!$A:$A)),1)</f>
        <v>4</v>
      </c>
      <c r="J702" s="7">
        <f t="shared" ca="1" si="123"/>
        <v>2</v>
      </c>
      <c r="K702" s="8">
        <f t="shared" ca="1" si="124"/>
        <v>35859</v>
      </c>
      <c r="L702" s="6">
        <f t="shared" ca="1" si="125"/>
        <v>4</v>
      </c>
      <c r="M702" s="7">
        <f ca="1" xml:space="preserve">
  IF(OR($N702 = 2, $N702 = 3, $N702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702" s="6">
        <f t="shared" ca="1" si="126"/>
        <v>7</v>
      </c>
      <c r="O702" s="6" t="e">
        <f t="shared" ca="1" si="127"/>
        <v>#N/A</v>
      </c>
      <c r="P702" s="8">
        <f t="shared" ca="1" si="128"/>
        <v>42917</v>
      </c>
      <c r="Q702" s="6">
        <f ca="1">RANDBETWEEN(2,COUNTA('Recruitment source'!$A:$A))</f>
        <v>11</v>
      </c>
      <c r="R702" s="8" t="e">
        <f t="shared" ca="1" si="129"/>
        <v>#N/A</v>
      </c>
      <c r="S702" s="6" t="e">
        <f t="shared" ca="1" si="130"/>
        <v>#N/A</v>
      </c>
      <c r="T702" s="6">
        <f t="shared" ca="1" si="120"/>
        <v>2</v>
      </c>
      <c r="U702" s="1">
        <f t="shared" ca="1" si="131"/>
        <v>1085</v>
      </c>
    </row>
    <row r="703" spans="1:21" x14ac:dyDescent="0.2">
      <c r="A703" s="7" cm="1">
        <f t="array" aca="1" ref="A703" ca="1">INDEX(Companies!$A:$A,RANDBETWEEN(2,COUNTA(Companies!$A:$A)),1)</f>
        <v>2</v>
      </c>
      <c r="B703" s="5">
        <f t="shared" si="121"/>
        <v>702</v>
      </c>
      <c r="C703" s="6">
        <f t="shared" ca="1" si="122"/>
        <v>1</v>
      </c>
      <c r="D703" s="7">
        <f ca="1">IF($B703 = 1 + N("Presidente"),
    127,
    IF($B703 = 2 + N("Vice-Presidente"),
        72,
        IF($B703 = 3 + N("Secretária bilíngue"),
            13,
            RANDBETWEEN(5,COUNT(Name!$A:$A) + 1)
        )
    )
)</f>
        <v>20</v>
      </c>
      <c r="E703" s="7" t="str">
        <f ca="1" xml:space="preserve">
VLOOKUP(
  $D703,
  Name!$A:$B,
  2,
  FALSE
)
&amp; " " &amp;
IF($B703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Alini Tavarez Ferreira</v>
      </c>
      <c r="F703" s="7">
        <v>2</v>
      </c>
      <c r="G703" s="7" cm="1">
        <f t="array" aca="1" ref="G703" ca="1">INDEX(States!$B:$B,RANDBETWEEN(2,COUNTA(States!$A:$A)),1)</f>
        <v>21</v>
      </c>
      <c r="H703" s="7" t="str">
        <f ca="1">VLOOKUP($D703,Name!$A:$C,3,FALSE)</f>
        <v>F</v>
      </c>
      <c r="I703" s="7" cm="1">
        <f t="array" aca="1" ref="I703" ca="1">INDEX('Marital status'!$A:$A,RANDBETWEEN(2,COUNTA('Marital status'!$A:$A)),1)</f>
        <v>2</v>
      </c>
      <c r="J703" s="7">
        <f t="shared" ca="1" si="123"/>
        <v>5</v>
      </c>
      <c r="K703" s="8">
        <f t="shared" ca="1" si="124"/>
        <v>34956</v>
      </c>
      <c r="L703" s="6">
        <f t="shared" ca="1" si="125"/>
        <v>4</v>
      </c>
      <c r="M703" s="7">
        <f ca="1" xml:space="preserve">
  IF(OR($N703 = 2, $N703 = 3, $N703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703" s="6">
        <f t="shared" ca="1" si="126"/>
        <v>8</v>
      </c>
      <c r="O703" s="6">
        <f t="shared" ca="1" si="127"/>
        <v>4</v>
      </c>
      <c r="P703" s="8">
        <f t="shared" ca="1" si="128"/>
        <v>41279</v>
      </c>
      <c r="Q703" s="6">
        <f ca="1">RANDBETWEEN(2,COUNTA('Recruitment source'!$A:$A))</f>
        <v>9</v>
      </c>
      <c r="R703" s="8" t="e">
        <f t="shared" ca="1" si="129"/>
        <v>#N/A</v>
      </c>
      <c r="S703" s="6" t="e">
        <f t="shared" ca="1" si="130"/>
        <v>#N/A</v>
      </c>
      <c r="T703" s="6">
        <f t="shared" ca="1" si="120"/>
        <v>2</v>
      </c>
      <c r="U703" s="1">
        <f t="shared" ca="1" si="131"/>
        <v>2000</v>
      </c>
    </row>
    <row r="704" spans="1:21" x14ac:dyDescent="0.2">
      <c r="A704" s="7" cm="1">
        <f t="array" aca="1" ref="A704" ca="1">INDEX(Companies!$A:$A,RANDBETWEEN(2,COUNTA(Companies!$A:$A)),1)</f>
        <v>2</v>
      </c>
      <c r="B704" s="5">
        <f t="shared" si="121"/>
        <v>703</v>
      </c>
      <c r="C704" s="6">
        <f t="shared" ca="1" si="122"/>
        <v>1</v>
      </c>
      <c r="D704" s="7">
        <f ca="1">IF($B704 = 1 + N("Presidente"),
    127,
    IF($B704 = 2 + N("Vice-Presidente"),
        72,
        IF($B704 = 3 + N("Secretária bilíngue"),
            13,
            RANDBETWEEN(5,COUNT(Name!$A:$A) + 1)
        )
    )
)</f>
        <v>315</v>
      </c>
      <c r="E704" s="7" t="str">
        <f ca="1" xml:space="preserve">
VLOOKUP(
  $D704,
  Name!$A:$B,
  2,
  FALSE
)
&amp; " " &amp;
IF($B704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Peter Peçanha Simões</v>
      </c>
      <c r="F704" s="7">
        <v>2</v>
      </c>
      <c r="G704" s="7" cm="1">
        <f t="array" aca="1" ref="G704" ca="1">INDEX(States!$B:$B,RANDBETWEEN(2,COUNTA(States!$A:$A)),1)</f>
        <v>4</v>
      </c>
      <c r="H704" s="7" t="str">
        <f ca="1">VLOOKUP($D704,Name!$A:$C,3,FALSE)</f>
        <v>M</v>
      </c>
      <c r="I704" s="7" cm="1">
        <f t="array" aca="1" ref="I704" ca="1">INDEX('Marital status'!$A:$A,RANDBETWEEN(2,COUNTA('Marital status'!$A:$A)),1)</f>
        <v>4</v>
      </c>
      <c r="J704" s="7">
        <f t="shared" ca="1" si="123"/>
        <v>4</v>
      </c>
      <c r="K704" s="8">
        <f t="shared" ca="1" si="124"/>
        <v>34947</v>
      </c>
      <c r="L704" s="6">
        <f t="shared" ca="1" si="125"/>
        <v>4</v>
      </c>
      <c r="M704" s="7">
        <f ca="1" xml:space="preserve">
  IF(OR($N704 = 2, $N704 = 3, $N704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704" s="6">
        <f t="shared" ca="1" si="126"/>
        <v>7</v>
      </c>
      <c r="O704" s="6" t="e">
        <f t="shared" ca="1" si="127"/>
        <v>#N/A</v>
      </c>
      <c r="P704" s="8">
        <f t="shared" ca="1" si="128"/>
        <v>41805</v>
      </c>
      <c r="Q704" s="6">
        <f ca="1">RANDBETWEEN(2,COUNTA('Recruitment source'!$A:$A))</f>
        <v>4</v>
      </c>
      <c r="R704" s="8" t="e">
        <f t="shared" ca="1" si="129"/>
        <v>#N/A</v>
      </c>
      <c r="S704" s="6" t="e">
        <f t="shared" ca="1" si="130"/>
        <v>#N/A</v>
      </c>
      <c r="T704" s="6">
        <f t="shared" ca="1" si="120"/>
        <v>3</v>
      </c>
      <c r="U704" s="1">
        <f t="shared" ca="1" si="131"/>
        <v>1005</v>
      </c>
    </row>
    <row r="705" spans="1:21" x14ac:dyDescent="0.2">
      <c r="A705" s="7" cm="1">
        <f t="array" aca="1" ref="A705" ca="1">INDEX(Companies!$A:$A,RANDBETWEEN(2,COUNTA(Companies!$A:$A)),1)</f>
        <v>2</v>
      </c>
      <c r="B705" s="5">
        <f t="shared" si="121"/>
        <v>704</v>
      </c>
      <c r="C705" s="6">
        <f t="shared" ca="1" si="122"/>
        <v>1</v>
      </c>
      <c r="D705" s="7">
        <f ca="1">IF($B705 = 1 + N("Presidente"),
    127,
    IF($B705 = 2 + N("Vice-Presidente"),
        72,
        IF($B705 = 3 + N("Secretária bilíngue"),
            13,
            RANDBETWEEN(5,COUNT(Name!$A:$A) + 1)
        )
    )
)</f>
        <v>120</v>
      </c>
      <c r="E705" s="7" t="str">
        <f ca="1" xml:space="preserve">
VLOOKUP(
  $D705,
  Name!$A:$B,
  2,
  FALSE
)
&amp; " " &amp;
IF($B705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Eliza sobrenome Leone</v>
      </c>
      <c r="F705" s="7">
        <v>2</v>
      </c>
      <c r="G705" s="7" cm="1">
        <f t="array" aca="1" ref="G705" ca="1">INDEX(States!$B:$B,RANDBETWEEN(2,COUNTA(States!$A:$A)),1)</f>
        <v>21</v>
      </c>
      <c r="H705" s="7" t="str">
        <f ca="1">VLOOKUP($D705,Name!$A:$C,3,FALSE)</f>
        <v>F</v>
      </c>
      <c r="I705" s="7" cm="1">
        <f t="array" aca="1" ref="I705" ca="1">INDEX('Marital status'!$A:$A,RANDBETWEEN(2,COUNTA('Marital status'!$A:$A)),1)</f>
        <v>2</v>
      </c>
      <c r="J705" s="7">
        <f t="shared" ca="1" si="123"/>
        <v>2</v>
      </c>
      <c r="K705" s="8">
        <f t="shared" ca="1" si="124"/>
        <v>37162</v>
      </c>
      <c r="L705" s="6">
        <f t="shared" ca="1" si="125"/>
        <v>4</v>
      </c>
      <c r="M705" s="7">
        <f ca="1" xml:space="preserve">
  IF(OR($N705 = 2, $N705 = 3, $N705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705" s="6">
        <f t="shared" ca="1" si="126"/>
        <v>8</v>
      </c>
      <c r="O705" s="6">
        <f t="shared" ca="1" si="127"/>
        <v>4</v>
      </c>
      <c r="P705" s="8">
        <f t="shared" ca="1" si="128"/>
        <v>38602</v>
      </c>
      <c r="Q705" s="6">
        <f ca="1">RANDBETWEEN(2,COUNTA('Recruitment source'!$A:$A))</f>
        <v>10</v>
      </c>
      <c r="R705" s="8" t="e">
        <f t="shared" ca="1" si="129"/>
        <v>#N/A</v>
      </c>
      <c r="S705" s="6" t="e">
        <f t="shared" ca="1" si="130"/>
        <v>#N/A</v>
      </c>
      <c r="T705" s="6">
        <f t="shared" ca="1" si="120"/>
        <v>3</v>
      </c>
      <c r="U705" s="1">
        <f t="shared" ca="1" si="131"/>
        <v>2000</v>
      </c>
    </row>
    <row r="706" spans="1:21" x14ac:dyDescent="0.2">
      <c r="A706" s="7" cm="1">
        <f t="array" aca="1" ref="A706" ca="1">INDEX(Companies!$A:$A,RANDBETWEEN(2,COUNTA(Companies!$A:$A)),1)</f>
        <v>2</v>
      </c>
      <c r="B706" s="5">
        <f t="shared" si="121"/>
        <v>705</v>
      </c>
      <c r="C706" s="6">
        <f t="shared" ca="1" si="122"/>
        <v>1</v>
      </c>
      <c r="D706" s="7">
        <f ca="1">IF($B706 = 1 + N("Presidente"),
    127,
    IF($B706 = 2 + N("Vice-Presidente"),
        72,
        IF($B706 = 3 + N("Secretária bilíngue"),
            13,
            RANDBETWEEN(5,COUNT(Name!$A:$A) + 1)
        )
    )
)</f>
        <v>216</v>
      </c>
      <c r="E706" s="7" t="str">
        <f ca="1" xml:space="preserve">
VLOOKUP(
  $D706,
  Name!$A:$B,
  2,
  FALSE
)
&amp; " " &amp;
IF($B706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Laís Pedroso Caminha</v>
      </c>
      <c r="F706" s="7">
        <v>2</v>
      </c>
      <c r="G706" s="7" cm="1">
        <f t="array" aca="1" ref="G706" ca="1">INDEX(States!$B:$B,RANDBETWEEN(2,COUNTA(States!$A:$A)),1)</f>
        <v>10</v>
      </c>
      <c r="H706" s="7" t="str">
        <f ca="1">VLOOKUP($D706,Name!$A:$C,3,FALSE)</f>
        <v>F</v>
      </c>
      <c r="I706" s="7" cm="1">
        <f t="array" aca="1" ref="I706" ca="1">INDEX('Marital status'!$A:$A,RANDBETWEEN(2,COUNTA('Marital status'!$A:$A)),1)</f>
        <v>4</v>
      </c>
      <c r="J706" s="7">
        <f t="shared" ca="1" si="123"/>
        <v>2</v>
      </c>
      <c r="K706" s="8">
        <f t="shared" ca="1" si="124"/>
        <v>30843</v>
      </c>
      <c r="L706" s="6">
        <f t="shared" ca="1" si="125"/>
        <v>4</v>
      </c>
      <c r="M706" s="7">
        <f ca="1" xml:space="preserve">
  IF(OR($N706 = 2, $N706 = 3, $N706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706" s="6">
        <f t="shared" ca="1" si="126"/>
        <v>7</v>
      </c>
      <c r="O706" s="6" t="e">
        <f t="shared" ca="1" si="127"/>
        <v>#N/A</v>
      </c>
      <c r="P706" s="8">
        <f t="shared" ca="1" si="128"/>
        <v>40037</v>
      </c>
      <c r="Q706" s="6">
        <f ca="1">RANDBETWEEN(2,COUNTA('Recruitment source'!$A:$A))</f>
        <v>7</v>
      </c>
      <c r="R706" s="8" t="e">
        <f t="shared" ca="1" si="129"/>
        <v>#N/A</v>
      </c>
      <c r="S706" s="6" t="e">
        <f t="shared" ca="1" si="130"/>
        <v>#N/A</v>
      </c>
      <c r="T706" s="6">
        <f t="shared" ref="T706:T769" ca="1" si="132" xml:space="preserve">
IF(
 ISNA($R706),
 IF(
   $N706 = 2,
   5,
   IF(
     OR($N706=3,$N706=4,$N706=5),
     RANDBETWEEN(4,5),
     IF(
       OR($N706=11,$N706=12),
       RANDBETWEEN(3,5),
       RANDBETWEEN(2,5)
     )
   )
 ),
 RANDBETWEEN(1,3)
)</f>
        <v>4</v>
      </c>
      <c r="U706" s="1">
        <f t="shared" ca="1" si="131"/>
        <v>1005</v>
      </c>
    </row>
    <row r="707" spans="1:21" x14ac:dyDescent="0.2">
      <c r="A707" s="7" cm="1">
        <f t="array" aca="1" ref="A707" ca="1">INDEX(Companies!$A:$A,RANDBETWEEN(2,COUNTA(Companies!$A:$A)),1)</f>
        <v>2</v>
      </c>
      <c r="B707" s="5">
        <f t="shared" ref="B707:B770" si="133">ROW() - 1</f>
        <v>706</v>
      </c>
      <c r="C707" s="6">
        <f t="shared" ref="C707:C770" ca="1" si="134">IF(ISNA($R707),1,0)</f>
        <v>1</v>
      </c>
      <c r="D707" s="7">
        <f ca="1">IF($B707 = 1 + N("Presidente"),
    127,
    IF($B707 = 2 + N("Vice-Presidente"),
        72,
        IF($B707 = 3 + N("Secretária bilíngue"),
            13,
            RANDBETWEEN(5,COUNT(Name!$A:$A) + 1)
        )
    )
)</f>
        <v>104</v>
      </c>
      <c r="E707" s="7" t="str">
        <f ca="1" xml:space="preserve">
VLOOKUP(
  $D707,
  Name!$A:$B,
  2,
  FALSE
)
&amp; " " &amp;
IF($B707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Danylo Alcantara Tavarez</v>
      </c>
      <c r="F707" s="7">
        <v>2</v>
      </c>
      <c r="G707" s="7" cm="1">
        <f t="array" aca="1" ref="G707" ca="1">INDEX(States!$B:$B,RANDBETWEEN(2,COUNTA(States!$A:$A)),1)</f>
        <v>18</v>
      </c>
      <c r="H707" s="7" t="str">
        <f ca="1">VLOOKUP($D707,Name!$A:$C,3,FALSE)</f>
        <v>M</v>
      </c>
      <c r="I707" s="7" cm="1">
        <f t="array" aca="1" ref="I707" ca="1">INDEX('Marital status'!$A:$A,RANDBETWEEN(2,COUNTA('Marital status'!$A:$A)),1)</f>
        <v>5</v>
      </c>
      <c r="J707" s="7">
        <f t="shared" ref="J707:J770" ca="1" si="135" xml:space="preserve">
IF(AND($N707 &gt;= 2, $N707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3</v>
      </c>
      <c r="K707" s="8">
        <f t="shared" ref="K707:K770" ca="1" si="136" xml:space="preserve">
IF($N707 = 5 + N("CEO"),
    TODAY() - 16340,
    IF($N707 = 8 + N("Secretary"),
        RANDBETWEEN(TODAY() - 12418.5, TODAY()-6574.5),
        IF(OR($N707 = 7, $N707 = 14),
            RANDBETWEEN(TODAY() - 16071, TODAY() - 8766),
            IF(OR($N707 = 13, $N707 = 12, $N707 = 11),
                RANDBETWEEN(TODAY() - 27393.75, TODAY() - 12783.75),
                RANDBETWEEN(TODAY() - 27393.75, TODAY()-10957.5)
            )
        )
    )
)</f>
        <v>36850</v>
      </c>
      <c r="L707" s="6">
        <f t="shared" ref="L707:L770" ca="1" si="137" xml:space="preserve">
IF(OR($N707 = 2, $N707 = 3) + N("Se for presidente ou vice-presidente"),
    7 + N("Doutor"),
    IF($N707 = 4 + N("Se for diretor"),
        RANDBETWEEN(5,7) + N("Graduate school or Master’s degree or Doctorate"),
        IF($N707 = 11 + N("Se for gerente"),
            RANDBETWEEN(4,6) + N("Undergraduate degree or Graduate school or Master’s degree"),
            IF(AND($N707 &gt;= 8, $N707 &lt;= 10) + N("If coordinator or specialist or analyst"),
                RANDBETWEEN(4,5),
                4
            )
        )
    )
)</f>
        <v>5</v>
      </c>
      <c r="M707" s="7">
        <f ca="1" xml:space="preserve">
  IF(OR($N707 = 2, $N707 = 3, $N707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707" s="6">
        <f t="shared" ref="N707:N770" ca="1" si="138" xml:space="preserve">
IF($B707 = 1 + N("Se matrícula for 1"),
  2 + N("Presidente"),
  IF($B707 = 2 + N("Se matrícula for 2"),
    3 + N("Vice-presidente"),
    IF($B707 = 3 + N("Se matrícula for 3"),
      5 + N("Secretária bilíngue"),
      IF(AND($B707 &gt;= 4, $B707 &lt;=14),
        4 + N("Diretor"),
        IF(AND($B707 &gt;= 15, $B707 &lt;= 25),
          11 + N("Manager"),
          IF(AND($B707 &gt;= 26, $B707 &lt;= 36),
            10 + N("Coordinador"),
            IF(AND($B707 &gt;= 37, $B707 &lt;= 47),
              9 + N("Especialista"),
                IF(MOD($B707,2) = 0,
                  8 + N("Analista"),
                  RANDBETWEEN(6,7) + N("Estagiário ou Trainee")
                )
            )
          )
        )
      )
    )
  )
)</f>
        <v>8</v>
      </c>
      <c r="O707" s="6">
        <f t="shared" ref="O707:O770" ca="1" si="139" xml:space="preserve">
IF($N707 =8 + N("Analyst"),
    RANDBETWEEN(2, 4) + N("Jr, Pleno, Sr"),
    NA()
)</f>
        <v>4</v>
      </c>
      <c r="P707" s="8">
        <f t="shared" ref="P707:P770" ca="1" si="140" xml:space="preserve">
IF(
   $N707=2 + N("Presidente"),
   36161,
   IF(
       OR(
         $N707=3 + N("Vice-Presidente"),
         $N707=4 + N("Diretor"),
         $N707=5 + N("Secretária bilíngue")
       ),
       RANDBETWEEN(36161,36411),
       IF(
         ((TODAY() - $K707) / 365) &lt; 19,
         TODAY(),
         RANDBETWEEN(36161,TODAY())
       )
   )
)</f>
        <v>39663</v>
      </c>
      <c r="Q707" s="6">
        <f ca="1">RANDBETWEEN(2,COUNTA('Recruitment source'!$A:$A))</f>
        <v>10</v>
      </c>
      <c r="R707" s="8" t="e">
        <f t="shared" ref="R707:R770" ca="1" si="141" xml:space="preserve">
IF(MOD(
     ROW(),111
   )=0,
   RANDBETWEEN($P707 + 1,TODAY() - 1),NA()
)</f>
        <v>#N/A</v>
      </c>
      <c r="S707" s="6" t="e">
        <f t="shared" ref="S707:S770" ca="1" si="142" xml:space="preserve">
IF(
  ISNA(R707),
  NA(),
  RANDBETWEEN(2,IF($H707="F",10,9))
)</f>
        <v>#N/A</v>
      </c>
      <c r="T707" s="6">
        <f t="shared" ca="1" si="132"/>
        <v>4</v>
      </c>
      <c r="U707" s="1">
        <f t="shared" ref="U707:U770" ca="1" si="143" xml:space="preserve">
IF($N707 = 2 + N("Presidente"),
    25000,
    IF($N707 = 3 + N("Vice-presidente"),
        23000,
        IF(OR($N707 = 5, $N707= 10, $N707 = 9) + N("Secretária bilíngue ou coordenador ou especialista"),
            8000,
            IF($N707 = 4 + N("Diretor"),
                15000,
                IF($N707 = 11 + N("Gerente"),
                    12000,
                    IF($N707 = 6 + N("Estagiário"),
                        805,
                        IF($N707 = 7 + N("Trainee"),
                            1005,
                            IF($N707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IF($L707 = 7,
  100,
  IF($L707 = 8,
    200,
    IF($L707 = 9,
      300,
      IF($L707 = 10,
        400,
        0
      )
    )
  )
)
+
N("Adicional no salário por área")
+
IF($M707 = 14 + N("Tecnologia da Informação"),
  120,
  IF($M707 = 16 + N("Vendas"),
    110,
    IF($M707 = 15 + N("Jurídico"),
      100,
      IF(OR($M707 = 8, $M707 = 9, $M707 = 11) + N("Recursos humanos ou comercial ou comunicação e marketing"),
        80,
        0
      )
    )
  )
)
+
N("Adicionando pegadinha")
+
IF(AND($M707 = 13, $N707 = 8) + N("Se for de vendas e analista"),
  IF($J707 = 2,
    50,
    0
  )
  +
  IF($H707 = "M",
    50,
    0
  ),
  0
)</f>
        <v>2000</v>
      </c>
    </row>
    <row r="708" spans="1:21" x14ac:dyDescent="0.2">
      <c r="A708" s="7" cm="1">
        <f t="array" aca="1" ref="A708" ca="1">INDEX(Companies!$A:$A,RANDBETWEEN(2,COUNTA(Companies!$A:$A)),1)</f>
        <v>2</v>
      </c>
      <c r="B708" s="5">
        <f t="shared" si="133"/>
        <v>707</v>
      </c>
      <c r="C708" s="6">
        <f t="shared" ca="1" si="134"/>
        <v>1</v>
      </c>
      <c r="D708" s="7">
        <f ca="1">IF($B708 = 1 + N("Presidente"),
    127,
    IF($B708 = 2 + N("Vice-Presidente"),
        72,
        IF($B708 = 3 + N("Secretária bilíngue"),
            13,
            RANDBETWEEN(5,COUNT(Name!$A:$A) + 1)
        )
    )
)</f>
        <v>274</v>
      </c>
      <c r="E708" s="7" t="str">
        <f ca="1" xml:space="preserve">
VLOOKUP(
  $D708,
  Name!$A:$B,
  2,
  FALSE
)
&amp; " " &amp;
IF($B708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Valentina Azeredo Carvalho</v>
      </c>
      <c r="F708" s="7">
        <v>2</v>
      </c>
      <c r="G708" s="7" cm="1">
        <f t="array" aca="1" ref="G708" ca="1">INDEX(States!$B:$B,RANDBETWEEN(2,COUNTA(States!$A:$A)),1)</f>
        <v>19</v>
      </c>
      <c r="H708" s="7" t="str">
        <f ca="1">VLOOKUP($D708,Name!$A:$C,3,FALSE)</f>
        <v>F</v>
      </c>
      <c r="I708" s="7" cm="1">
        <f t="array" aca="1" ref="I708" ca="1">INDEX('Marital status'!$A:$A,RANDBETWEEN(2,COUNTA('Marital status'!$A:$A)),1)</f>
        <v>6</v>
      </c>
      <c r="J708" s="7">
        <f t="shared" ca="1" si="135"/>
        <v>2</v>
      </c>
      <c r="K708" s="8">
        <f t="shared" ca="1" si="136"/>
        <v>32753</v>
      </c>
      <c r="L708" s="6">
        <f t="shared" ca="1" si="137"/>
        <v>4</v>
      </c>
      <c r="M708" s="7">
        <f ca="1" xml:space="preserve">
  IF(OR($N708 = 2, $N708 = 3, $N708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708" s="6">
        <f t="shared" ca="1" si="138"/>
        <v>6</v>
      </c>
      <c r="O708" s="6" t="e">
        <f t="shared" ca="1" si="139"/>
        <v>#N/A</v>
      </c>
      <c r="P708" s="8">
        <f t="shared" ca="1" si="140"/>
        <v>42647</v>
      </c>
      <c r="Q708" s="6">
        <f ca="1">RANDBETWEEN(2,COUNTA('Recruitment source'!$A:$A))</f>
        <v>4</v>
      </c>
      <c r="R708" s="8" t="e">
        <f t="shared" ca="1" si="141"/>
        <v>#N/A</v>
      </c>
      <c r="S708" s="6" t="e">
        <f t="shared" ca="1" si="142"/>
        <v>#N/A</v>
      </c>
      <c r="T708" s="6">
        <f t="shared" ca="1" si="132"/>
        <v>2</v>
      </c>
      <c r="U708" s="1">
        <f t="shared" ca="1" si="143"/>
        <v>805</v>
      </c>
    </row>
    <row r="709" spans="1:21" x14ac:dyDescent="0.2">
      <c r="A709" s="7" cm="1">
        <f t="array" aca="1" ref="A709" ca="1">INDEX(Companies!$A:$A,RANDBETWEEN(2,COUNTA(Companies!$A:$A)),1)</f>
        <v>2</v>
      </c>
      <c r="B709" s="5">
        <f t="shared" si="133"/>
        <v>708</v>
      </c>
      <c r="C709" s="6">
        <f t="shared" ca="1" si="134"/>
        <v>1</v>
      </c>
      <c r="D709" s="7">
        <f ca="1">IF($B709 = 1 + N("Presidente"),
    127,
    IF($B709 = 2 + N("Vice-Presidente"),
        72,
        IF($B709 = 3 + N("Secretária bilíngue"),
            13,
            RANDBETWEEN(5,COUNT(Name!$A:$A) + 1)
        )
    )
)</f>
        <v>138</v>
      </c>
      <c r="E709" s="7" t="str">
        <f ca="1" xml:space="preserve">
VLOOKUP(
  $D709,
  Name!$A:$B,
  2,
  FALSE
)
&amp; " " &amp;
IF($B709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Santana Vieira</v>
      </c>
      <c r="F709" s="7">
        <v>2</v>
      </c>
      <c r="G709" s="7" cm="1">
        <f t="array" aca="1" ref="G709" ca="1">INDEX(States!$B:$B,RANDBETWEEN(2,COUNTA(States!$A:$A)),1)</f>
        <v>10</v>
      </c>
      <c r="H709" s="7" t="str">
        <f ca="1">VLOOKUP($D709,Name!$A:$C,3,FALSE)</f>
        <v>M</v>
      </c>
      <c r="I709" s="7" cm="1">
        <f t="array" aca="1" ref="I709" ca="1">INDEX('Marital status'!$A:$A,RANDBETWEEN(2,COUNTA('Marital status'!$A:$A)),1)</f>
        <v>6</v>
      </c>
      <c r="J709" s="7">
        <f t="shared" ca="1" si="135"/>
        <v>2</v>
      </c>
      <c r="K709" s="8">
        <f t="shared" ca="1" si="136"/>
        <v>36854</v>
      </c>
      <c r="L709" s="6">
        <f t="shared" ca="1" si="137"/>
        <v>5</v>
      </c>
      <c r="M709" s="7">
        <f ca="1" xml:space="preserve">
  IF(OR($N709 = 2, $N709 = 3, $N709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709" s="6">
        <f t="shared" ca="1" si="138"/>
        <v>8</v>
      </c>
      <c r="O709" s="6">
        <f t="shared" ca="1" si="139"/>
        <v>4</v>
      </c>
      <c r="P709" s="8">
        <f t="shared" ca="1" si="140"/>
        <v>38622</v>
      </c>
      <c r="Q709" s="6">
        <f ca="1">RANDBETWEEN(2,COUNTA('Recruitment source'!$A:$A))</f>
        <v>6</v>
      </c>
      <c r="R709" s="8" t="e">
        <f t="shared" ca="1" si="141"/>
        <v>#N/A</v>
      </c>
      <c r="S709" s="6" t="e">
        <f t="shared" ca="1" si="142"/>
        <v>#N/A</v>
      </c>
      <c r="T709" s="6">
        <f t="shared" ca="1" si="132"/>
        <v>3</v>
      </c>
      <c r="U709" s="1">
        <f t="shared" ca="1" si="143"/>
        <v>2080</v>
      </c>
    </row>
    <row r="710" spans="1:21" x14ac:dyDescent="0.2">
      <c r="A710" s="7" cm="1">
        <f t="array" aca="1" ref="A710" ca="1">INDEX(Companies!$A:$A,RANDBETWEEN(2,COUNTA(Companies!$A:$A)),1)</f>
        <v>2</v>
      </c>
      <c r="B710" s="5">
        <f t="shared" si="133"/>
        <v>709</v>
      </c>
      <c r="C710" s="6">
        <f t="shared" ca="1" si="134"/>
        <v>1</v>
      </c>
      <c r="D710" s="7">
        <f ca="1">IF($B710 = 1 + N("Presidente"),
    127,
    IF($B710 = 2 + N("Vice-Presidente"),
        72,
        IF($B710 = 3 + N("Secretária bilíngue"),
            13,
            RANDBETWEEN(5,COUNT(Name!$A:$A) + 1)
        )
    )
)</f>
        <v>362</v>
      </c>
      <c r="E710" s="7" t="str">
        <f ca="1" xml:space="preserve">
VLOOKUP(
  $D710,
  Name!$A:$B,
  2,
  FALSE
)
&amp; " " &amp;
IF($B710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Wilian Alcantara De Luca</v>
      </c>
      <c r="F710" s="7">
        <v>2</v>
      </c>
      <c r="G710" s="7" cm="1">
        <f t="array" aca="1" ref="G710" ca="1">INDEX(States!$B:$B,RANDBETWEEN(2,COUNTA(States!$A:$A)),1)</f>
        <v>11</v>
      </c>
      <c r="H710" s="7" t="str">
        <f ca="1">VLOOKUP($D710,Name!$A:$C,3,FALSE)</f>
        <v>M</v>
      </c>
      <c r="I710" s="7" cm="1">
        <f t="array" aca="1" ref="I710" ca="1">INDEX('Marital status'!$A:$A,RANDBETWEEN(2,COUNTA('Marital status'!$A:$A)),1)</f>
        <v>6</v>
      </c>
      <c r="J710" s="7">
        <f t="shared" ca="1" si="135"/>
        <v>2</v>
      </c>
      <c r="K710" s="8">
        <f t="shared" ca="1" si="136"/>
        <v>20295</v>
      </c>
      <c r="L710" s="6">
        <f t="shared" ca="1" si="137"/>
        <v>4</v>
      </c>
      <c r="M710" s="7">
        <f ca="1" xml:space="preserve">
  IF(OR($N710 = 2, $N710 = 3, $N710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710" s="6">
        <f t="shared" ca="1" si="138"/>
        <v>6</v>
      </c>
      <c r="O710" s="6" t="e">
        <f t="shared" ca="1" si="139"/>
        <v>#N/A</v>
      </c>
      <c r="P710" s="8">
        <f t="shared" ca="1" si="140"/>
        <v>42742</v>
      </c>
      <c r="Q710" s="6">
        <f ca="1">RANDBETWEEN(2,COUNTA('Recruitment source'!$A:$A))</f>
        <v>7</v>
      </c>
      <c r="R710" s="8" t="e">
        <f t="shared" ca="1" si="141"/>
        <v>#N/A</v>
      </c>
      <c r="S710" s="6" t="e">
        <f t="shared" ca="1" si="142"/>
        <v>#N/A</v>
      </c>
      <c r="T710" s="6">
        <f t="shared" ca="1" si="132"/>
        <v>2</v>
      </c>
      <c r="U710" s="1">
        <f t="shared" ca="1" si="143"/>
        <v>805</v>
      </c>
    </row>
    <row r="711" spans="1:21" x14ac:dyDescent="0.2">
      <c r="A711" s="7" cm="1">
        <f t="array" aca="1" ref="A711" ca="1">INDEX(Companies!$A:$A,RANDBETWEEN(2,COUNTA(Companies!$A:$A)),1)</f>
        <v>2</v>
      </c>
      <c r="B711" s="5">
        <f t="shared" si="133"/>
        <v>710</v>
      </c>
      <c r="C711" s="6">
        <f t="shared" ca="1" si="134"/>
        <v>1</v>
      </c>
      <c r="D711" s="7">
        <f ca="1">IF($B711 = 1 + N("Presidente"),
    127,
    IF($B711 = 2 + N("Vice-Presidente"),
        72,
        IF($B711 = 3 + N("Secretária bilíngue"),
            13,
            RANDBETWEEN(5,COUNT(Name!$A:$A) + 1)
        )
    )
)</f>
        <v>300</v>
      </c>
      <c r="E711" s="7" t="str">
        <f ca="1" xml:space="preserve">
VLOOKUP(
  $D711,
  Name!$A:$B,
  2,
  FALSE
)
&amp; " " &amp;
IF($B711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Muricy Gonçalves Barroso</v>
      </c>
      <c r="F711" s="7">
        <v>2</v>
      </c>
      <c r="G711" s="7" cm="1">
        <f t="array" aca="1" ref="G711" ca="1">INDEX(States!$B:$B,RANDBETWEEN(2,COUNTA(States!$A:$A)),1)</f>
        <v>10</v>
      </c>
      <c r="H711" s="7" t="str">
        <f ca="1">VLOOKUP($D711,Name!$A:$C,3,FALSE)</f>
        <v>M</v>
      </c>
      <c r="I711" s="7" cm="1">
        <f t="array" aca="1" ref="I711" ca="1">INDEX('Marital status'!$A:$A,RANDBETWEEN(2,COUNTA('Marital status'!$A:$A)),1)</f>
        <v>4</v>
      </c>
      <c r="J711" s="7">
        <f t="shared" ca="1" si="135"/>
        <v>2</v>
      </c>
      <c r="K711" s="8">
        <f t="shared" ca="1" si="136"/>
        <v>36452</v>
      </c>
      <c r="L711" s="6">
        <f t="shared" ca="1" si="137"/>
        <v>4</v>
      </c>
      <c r="M711" s="7">
        <f ca="1" xml:space="preserve">
  IF(OR($N711 = 2, $N711 = 3, $N711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711" s="6">
        <f t="shared" ca="1" si="138"/>
        <v>8</v>
      </c>
      <c r="O711" s="6">
        <f t="shared" ca="1" si="139"/>
        <v>2</v>
      </c>
      <c r="P711" s="8">
        <f t="shared" ca="1" si="140"/>
        <v>36208</v>
      </c>
      <c r="Q711" s="6">
        <f ca="1">RANDBETWEEN(2,COUNTA('Recruitment source'!$A:$A))</f>
        <v>6</v>
      </c>
      <c r="R711" s="8" t="e">
        <f t="shared" ca="1" si="141"/>
        <v>#N/A</v>
      </c>
      <c r="S711" s="6" t="e">
        <f t="shared" ca="1" si="142"/>
        <v>#N/A</v>
      </c>
      <c r="T711" s="6">
        <f t="shared" ca="1" si="132"/>
        <v>5</v>
      </c>
      <c r="U711" s="1">
        <f t="shared" ca="1" si="143"/>
        <v>2080</v>
      </c>
    </row>
    <row r="712" spans="1:21" x14ac:dyDescent="0.2">
      <c r="A712" s="7" cm="1">
        <f t="array" aca="1" ref="A712" ca="1">INDEX(Companies!$A:$A,RANDBETWEEN(2,COUNTA(Companies!$A:$A)),1)</f>
        <v>2</v>
      </c>
      <c r="B712" s="5">
        <f t="shared" si="133"/>
        <v>711</v>
      </c>
      <c r="C712" s="6">
        <f t="shared" ca="1" si="134"/>
        <v>1</v>
      </c>
      <c r="D712" s="7">
        <f ca="1">IF($B712 = 1 + N("Presidente"),
    127,
    IF($B712 = 2 + N("Vice-Presidente"),
        72,
        IF($B712 = 3 + N("Secretária bilíngue"),
            13,
            RANDBETWEEN(5,COUNT(Name!$A:$A) + 1)
        )
    )
)</f>
        <v>228</v>
      </c>
      <c r="E712" s="7" t="str">
        <f ca="1" xml:space="preserve">
VLOOKUP(
  $D712,
  Name!$A:$B,
  2,
  FALSE
)
&amp; " " &amp;
IF($B712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Lívia Anjos Battaglia</v>
      </c>
      <c r="F712" s="7">
        <v>2</v>
      </c>
      <c r="G712" s="7" cm="1">
        <f t="array" aca="1" ref="G712" ca="1">INDEX(States!$B:$B,RANDBETWEEN(2,COUNTA(States!$A:$A)),1)</f>
        <v>9</v>
      </c>
      <c r="H712" s="7" t="str">
        <f ca="1">VLOOKUP($D712,Name!$A:$C,3,FALSE)</f>
        <v>F</v>
      </c>
      <c r="I712" s="7" cm="1">
        <f t="array" aca="1" ref="I712" ca="1">INDEX('Marital status'!$A:$A,RANDBETWEEN(2,COUNTA('Marital status'!$A:$A)),1)</f>
        <v>5</v>
      </c>
      <c r="J712" s="7">
        <f t="shared" ca="1" si="135"/>
        <v>2</v>
      </c>
      <c r="K712" s="8">
        <f t="shared" ca="1" si="136"/>
        <v>29681</v>
      </c>
      <c r="L712" s="6">
        <f t="shared" ca="1" si="137"/>
        <v>4</v>
      </c>
      <c r="M712" s="7">
        <f ca="1" xml:space="preserve">
  IF(OR($N712 = 2, $N712 = 3, $N712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712" s="6">
        <f t="shared" ca="1" si="138"/>
        <v>7</v>
      </c>
      <c r="O712" s="6" t="e">
        <f t="shared" ca="1" si="139"/>
        <v>#N/A</v>
      </c>
      <c r="P712" s="8">
        <f t="shared" ca="1" si="140"/>
        <v>44351</v>
      </c>
      <c r="Q712" s="6">
        <f ca="1">RANDBETWEEN(2,COUNTA('Recruitment source'!$A:$A))</f>
        <v>4</v>
      </c>
      <c r="R712" s="8" t="e">
        <f t="shared" ca="1" si="141"/>
        <v>#N/A</v>
      </c>
      <c r="S712" s="6" t="e">
        <f t="shared" ca="1" si="142"/>
        <v>#N/A</v>
      </c>
      <c r="T712" s="6">
        <f t="shared" ca="1" si="132"/>
        <v>5</v>
      </c>
      <c r="U712" s="1">
        <f t="shared" ca="1" si="143"/>
        <v>1085</v>
      </c>
    </row>
    <row r="713" spans="1:21" x14ac:dyDescent="0.2">
      <c r="A713" s="7" cm="1">
        <f t="array" aca="1" ref="A713" ca="1">INDEX(Companies!$A:$A,RANDBETWEEN(2,COUNTA(Companies!$A:$A)),1)</f>
        <v>2</v>
      </c>
      <c r="B713" s="5">
        <f t="shared" si="133"/>
        <v>712</v>
      </c>
      <c r="C713" s="6">
        <f t="shared" ca="1" si="134"/>
        <v>1</v>
      </c>
      <c r="D713" s="7">
        <f ca="1">IF($B713 = 1 + N("Presidente"),
    127,
    IF($B713 = 2 + N("Vice-Presidente"),
        72,
        IF($B713 = 3 + N("Secretária bilíngue"),
            13,
            RANDBETWEEN(5,COUNT(Name!$A:$A) + 1)
        )
    )
)</f>
        <v>31</v>
      </c>
      <c r="E713" s="7" t="str">
        <f ca="1" xml:space="preserve">
VLOOKUP(
  $D713,
  Name!$A:$B,
  2,
  FALSE
)
&amp; " " &amp;
IF($B713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Júlia Oliveira Rinaldi</v>
      </c>
      <c r="F713" s="7">
        <v>2</v>
      </c>
      <c r="G713" s="7" cm="1">
        <f t="array" aca="1" ref="G713" ca="1">INDEX(States!$B:$B,RANDBETWEEN(2,COUNTA(States!$A:$A)),1)</f>
        <v>20</v>
      </c>
      <c r="H713" s="7" t="str">
        <f ca="1">VLOOKUP($D713,Name!$A:$C,3,FALSE)</f>
        <v>F</v>
      </c>
      <c r="I713" s="7" cm="1">
        <f t="array" aca="1" ref="I713" ca="1">INDEX('Marital status'!$A:$A,RANDBETWEEN(2,COUNTA('Marital status'!$A:$A)),1)</f>
        <v>3</v>
      </c>
      <c r="J713" s="7">
        <f t="shared" ca="1" si="135"/>
        <v>2</v>
      </c>
      <c r="K713" s="8">
        <f t="shared" ca="1" si="136"/>
        <v>33775</v>
      </c>
      <c r="L713" s="6">
        <f t="shared" ca="1" si="137"/>
        <v>5</v>
      </c>
      <c r="M713" s="7">
        <f ca="1" xml:space="preserve">
  IF(OR($N713 = 2, $N713 = 3, $N713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713" s="6">
        <f t="shared" ca="1" si="138"/>
        <v>8</v>
      </c>
      <c r="O713" s="6">
        <f t="shared" ca="1" si="139"/>
        <v>4</v>
      </c>
      <c r="P713" s="8">
        <f t="shared" ca="1" si="140"/>
        <v>38267</v>
      </c>
      <c r="Q713" s="6">
        <f ca="1">RANDBETWEEN(2,COUNTA('Recruitment source'!$A:$A))</f>
        <v>9</v>
      </c>
      <c r="R713" s="8" t="e">
        <f t="shared" ca="1" si="141"/>
        <v>#N/A</v>
      </c>
      <c r="S713" s="6" t="e">
        <f t="shared" ca="1" si="142"/>
        <v>#N/A</v>
      </c>
      <c r="T713" s="6">
        <f t="shared" ca="1" si="132"/>
        <v>5</v>
      </c>
      <c r="U713" s="1">
        <f t="shared" ca="1" si="143"/>
        <v>2080</v>
      </c>
    </row>
    <row r="714" spans="1:21" x14ac:dyDescent="0.2">
      <c r="A714" s="7" cm="1">
        <f t="array" aca="1" ref="A714" ca="1">INDEX(Companies!$A:$A,RANDBETWEEN(2,COUNTA(Companies!$A:$A)),1)</f>
        <v>2</v>
      </c>
      <c r="B714" s="5">
        <f t="shared" si="133"/>
        <v>713</v>
      </c>
      <c r="C714" s="6">
        <f t="shared" ca="1" si="134"/>
        <v>1</v>
      </c>
      <c r="D714" s="7">
        <f ca="1">IF($B714 = 1 + N("Presidente"),
    127,
    IF($B714 = 2 + N("Vice-Presidente"),
        72,
        IF($B714 = 3 + N("Secretária bilíngue"),
            13,
            RANDBETWEEN(5,COUNT(Name!$A:$A) + 1)
        )
    )
)</f>
        <v>75</v>
      </c>
      <c r="E714" s="7" t="str">
        <f ca="1" xml:space="preserve">
VLOOKUP(
  $D714,
  Name!$A:$B,
  2,
  FALSE
)
&amp; " " &amp;
IF($B714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Breno Barbosa Dias</v>
      </c>
      <c r="F714" s="7">
        <v>2</v>
      </c>
      <c r="G714" s="7" cm="1">
        <f t="array" aca="1" ref="G714" ca="1">INDEX(States!$B:$B,RANDBETWEEN(2,COUNTA(States!$A:$A)),1)</f>
        <v>3</v>
      </c>
      <c r="H714" s="7" t="str">
        <f ca="1">VLOOKUP($D714,Name!$A:$C,3,FALSE)</f>
        <v>M</v>
      </c>
      <c r="I714" s="7" cm="1">
        <f t="array" aca="1" ref="I714" ca="1">INDEX('Marital status'!$A:$A,RANDBETWEEN(2,COUNTA('Marital status'!$A:$A)),1)</f>
        <v>3</v>
      </c>
      <c r="J714" s="7">
        <f t="shared" ca="1" si="135"/>
        <v>3</v>
      </c>
      <c r="K714" s="8">
        <f t="shared" ca="1" si="136"/>
        <v>18848</v>
      </c>
      <c r="L714" s="6">
        <f t="shared" ca="1" si="137"/>
        <v>4</v>
      </c>
      <c r="M714" s="7">
        <f ca="1" xml:space="preserve">
  IF(OR($N714 = 2, $N714 = 3, $N714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714" s="6">
        <f t="shared" ca="1" si="138"/>
        <v>6</v>
      </c>
      <c r="O714" s="6" t="e">
        <f t="shared" ca="1" si="139"/>
        <v>#N/A</v>
      </c>
      <c r="P714" s="8">
        <f t="shared" ca="1" si="140"/>
        <v>36809</v>
      </c>
      <c r="Q714" s="6">
        <f ca="1">RANDBETWEEN(2,COUNTA('Recruitment source'!$A:$A))</f>
        <v>8</v>
      </c>
      <c r="R714" s="8" t="e">
        <f t="shared" ca="1" si="141"/>
        <v>#N/A</v>
      </c>
      <c r="S714" s="6" t="e">
        <f t="shared" ca="1" si="142"/>
        <v>#N/A</v>
      </c>
      <c r="T714" s="6">
        <f t="shared" ca="1" si="132"/>
        <v>3</v>
      </c>
      <c r="U714" s="1">
        <f t="shared" ca="1" si="143"/>
        <v>805</v>
      </c>
    </row>
    <row r="715" spans="1:21" x14ac:dyDescent="0.2">
      <c r="A715" s="7" cm="1">
        <f t="array" aca="1" ref="A715" ca="1">INDEX(Companies!$A:$A,RANDBETWEEN(2,COUNTA(Companies!$A:$A)),1)</f>
        <v>2</v>
      </c>
      <c r="B715" s="5">
        <f t="shared" si="133"/>
        <v>714</v>
      </c>
      <c r="C715" s="6">
        <f t="shared" ca="1" si="134"/>
        <v>1</v>
      </c>
      <c r="D715" s="7">
        <f ca="1">IF($B715 = 1 + N("Presidente"),
    127,
    IF($B715 = 2 + N("Vice-Presidente"),
        72,
        IF($B715 = 3 + N("Secretária bilíngue"),
            13,
            RANDBETWEEN(5,COUNT(Name!$A:$A) + 1)
        )
    )
)</f>
        <v>8</v>
      </c>
      <c r="E715" s="7" t="str">
        <f ca="1" xml:space="preserve">
VLOOKUP(
  $D715,
  Name!$A:$B,
  2,
  FALSE
)
&amp; " " &amp;
IF($B715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Adélia Alcantara Medeiros</v>
      </c>
      <c r="F715" s="7">
        <v>2</v>
      </c>
      <c r="G715" s="7" cm="1">
        <f t="array" aca="1" ref="G715" ca="1">INDEX(States!$B:$B,RANDBETWEEN(2,COUNTA(States!$A:$A)),1)</f>
        <v>12</v>
      </c>
      <c r="H715" s="7" t="str">
        <f ca="1">VLOOKUP($D715,Name!$A:$C,3,FALSE)</f>
        <v>F</v>
      </c>
      <c r="I715" s="7" cm="1">
        <f t="array" aca="1" ref="I715" ca="1">INDEX('Marital status'!$A:$A,RANDBETWEEN(2,COUNTA('Marital status'!$A:$A)),1)</f>
        <v>5</v>
      </c>
      <c r="J715" s="7">
        <f t="shared" ca="1" si="135"/>
        <v>4</v>
      </c>
      <c r="K715" s="8">
        <f t="shared" ca="1" si="136"/>
        <v>34530</v>
      </c>
      <c r="L715" s="6">
        <f t="shared" ca="1" si="137"/>
        <v>4</v>
      </c>
      <c r="M715" s="7">
        <f ca="1" xml:space="preserve">
  IF(OR($N715 = 2, $N715 = 3, $N715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715" s="6">
        <f t="shared" ca="1" si="138"/>
        <v>8</v>
      </c>
      <c r="O715" s="6">
        <f t="shared" ca="1" si="139"/>
        <v>2</v>
      </c>
      <c r="P715" s="8">
        <f t="shared" ca="1" si="140"/>
        <v>43150</v>
      </c>
      <c r="Q715" s="6">
        <f ca="1">RANDBETWEEN(2,COUNTA('Recruitment source'!$A:$A))</f>
        <v>5</v>
      </c>
      <c r="R715" s="8" t="e">
        <f t="shared" ca="1" si="141"/>
        <v>#N/A</v>
      </c>
      <c r="S715" s="6" t="e">
        <f t="shared" ca="1" si="142"/>
        <v>#N/A</v>
      </c>
      <c r="T715" s="6">
        <f t="shared" ca="1" si="132"/>
        <v>3</v>
      </c>
      <c r="U715" s="1">
        <f t="shared" ca="1" si="143"/>
        <v>2080</v>
      </c>
    </row>
    <row r="716" spans="1:21" x14ac:dyDescent="0.2">
      <c r="A716" s="7" cm="1">
        <f t="array" aca="1" ref="A716" ca="1">INDEX(Companies!$A:$A,RANDBETWEEN(2,COUNTA(Companies!$A:$A)),1)</f>
        <v>2</v>
      </c>
      <c r="B716" s="5">
        <f t="shared" si="133"/>
        <v>715</v>
      </c>
      <c r="C716" s="6">
        <f t="shared" ca="1" si="134"/>
        <v>1</v>
      </c>
      <c r="D716" s="7">
        <f ca="1">IF($B716 = 1 + N("Presidente"),
    127,
    IF($B716 = 2 + N("Vice-Presidente"),
        72,
        IF($B716 = 3 + N("Secretária bilíngue"),
            13,
            RANDBETWEEN(5,COUNT(Name!$A:$A) + 1)
        )
    )
)</f>
        <v>276</v>
      </c>
      <c r="E716" s="7" t="str">
        <f ca="1" xml:space="preserve">
VLOOKUP(
  $D716,
  Name!$A:$B,
  2,
  FALSE
)
&amp; " " &amp;
IF($B716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Mariah Costa Brasão</v>
      </c>
      <c r="F716" s="7">
        <v>2</v>
      </c>
      <c r="G716" s="7" cm="1">
        <f t="array" aca="1" ref="G716" ca="1">INDEX(States!$B:$B,RANDBETWEEN(2,COUNTA(States!$A:$A)),1)</f>
        <v>11</v>
      </c>
      <c r="H716" s="7" t="str">
        <f ca="1">VLOOKUP($D716,Name!$A:$C,3,FALSE)</f>
        <v>F</v>
      </c>
      <c r="I716" s="7" cm="1">
        <f t="array" aca="1" ref="I716" ca="1">INDEX('Marital status'!$A:$A,RANDBETWEEN(2,COUNTA('Marital status'!$A:$A)),1)</f>
        <v>2</v>
      </c>
      <c r="J716" s="7">
        <f t="shared" ca="1" si="135"/>
        <v>2</v>
      </c>
      <c r="K716" s="8">
        <f t="shared" ca="1" si="136"/>
        <v>34430</v>
      </c>
      <c r="L716" s="6">
        <f t="shared" ca="1" si="137"/>
        <v>4</v>
      </c>
      <c r="M716" s="7">
        <f ca="1" xml:space="preserve">
  IF(OR($N716 = 2, $N716 = 3, $N716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716" s="6">
        <f t="shared" ca="1" si="138"/>
        <v>7</v>
      </c>
      <c r="O716" s="6" t="e">
        <f t="shared" ca="1" si="139"/>
        <v>#N/A</v>
      </c>
      <c r="P716" s="8">
        <f t="shared" ca="1" si="140"/>
        <v>38448</v>
      </c>
      <c r="Q716" s="6">
        <f ca="1">RANDBETWEEN(2,COUNTA('Recruitment source'!$A:$A))</f>
        <v>3</v>
      </c>
      <c r="R716" s="8" t="e">
        <f t="shared" ca="1" si="141"/>
        <v>#N/A</v>
      </c>
      <c r="S716" s="6" t="e">
        <f t="shared" ca="1" si="142"/>
        <v>#N/A</v>
      </c>
      <c r="T716" s="6">
        <f t="shared" ca="1" si="132"/>
        <v>3</v>
      </c>
      <c r="U716" s="1">
        <f t="shared" ca="1" si="143"/>
        <v>1005</v>
      </c>
    </row>
    <row r="717" spans="1:21" x14ac:dyDescent="0.2">
      <c r="A717" s="7" cm="1">
        <f t="array" aca="1" ref="A717" ca="1">INDEX(Companies!$A:$A,RANDBETWEEN(2,COUNTA(Companies!$A:$A)),1)</f>
        <v>2</v>
      </c>
      <c r="B717" s="5">
        <f t="shared" si="133"/>
        <v>716</v>
      </c>
      <c r="C717" s="6">
        <f t="shared" ca="1" si="134"/>
        <v>1</v>
      </c>
      <c r="D717" s="7">
        <f ca="1">IF($B717 = 1 + N("Presidente"),
    127,
    IF($B717 = 2 + N("Vice-Presidente"),
        72,
        IF($B717 = 3 + N("Secretária bilíngue"),
            13,
            RANDBETWEEN(5,COUNT(Name!$A:$A) + 1)
        )
    )
)</f>
        <v>215</v>
      </c>
      <c r="E717" s="7" t="str">
        <f ca="1" xml:space="preserve">
VLOOKUP(
  $D717,
  Name!$A:$B,
  2,
  FALSE
)
&amp; " " &amp;
IF($B717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Kloe De Luca Alvim</v>
      </c>
      <c r="F717" s="7">
        <v>2</v>
      </c>
      <c r="G717" s="7" cm="1">
        <f t="array" aca="1" ref="G717" ca="1">INDEX(States!$B:$B,RANDBETWEEN(2,COUNTA(States!$A:$A)),1)</f>
        <v>21</v>
      </c>
      <c r="H717" s="7" t="str">
        <f ca="1">VLOOKUP($D717,Name!$A:$C,3,FALSE)</f>
        <v>F</v>
      </c>
      <c r="I717" s="7" cm="1">
        <f t="array" aca="1" ref="I717" ca="1">INDEX('Marital status'!$A:$A,RANDBETWEEN(2,COUNTA('Marital status'!$A:$A)),1)</f>
        <v>4</v>
      </c>
      <c r="J717" s="7">
        <f t="shared" ca="1" si="135"/>
        <v>2</v>
      </c>
      <c r="K717" s="8">
        <f t="shared" ca="1" si="136"/>
        <v>37327</v>
      </c>
      <c r="L717" s="6">
        <f t="shared" ca="1" si="137"/>
        <v>5</v>
      </c>
      <c r="M717" s="7">
        <f ca="1" xml:space="preserve">
  IF(OR($N717 = 2, $N717 = 3, $N717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717" s="6">
        <f t="shared" ca="1" si="138"/>
        <v>8</v>
      </c>
      <c r="O717" s="6">
        <f t="shared" ca="1" si="139"/>
        <v>4</v>
      </c>
      <c r="P717" s="8">
        <f t="shared" ca="1" si="140"/>
        <v>43583</v>
      </c>
      <c r="Q717" s="6">
        <f ca="1">RANDBETWEEN(2,COUNTA('Recruitment source'!$A:$A))</f>
        <v>11</v>
      </c>
      <c r="R717" s="8" t="e">
        <f t="shared" ca="1" si="141"/>
        <v>#N/A</v>
      </c>
      <c r="S717" s="6" t="e">
        <f t="shared" ca="1" si="142"/>
        <v>#N/A</v>
      </c>
      <c r="T717" s="6">
        <f t="shared" ca="1" si="132"/>
        <v>2</v>
      </c>
      <c r="U717" s="1">
        <f t="shared" ca="1" si="143"/>
        <v>2050</v>
      </c>
    </row>
    <row r="718" spans="1:21" x14ac:dyDescent="0.2">
      <c r="A718" s="7" cm="1">
        <f t="array" aca="1" ref="A718" ca="1">INDEX(Companies!$A:$A,RANDBETWEEN(2,COUNTA(Companies!$A:$A)),1)</f>
        <v>2</v>
      </c>
      <c r="B718" s="5">
        <f t="shared" si="133"/>
        <v>717</v>
      </c>
      <c r="C718" s="6">
        <f t="shared" ca="1" si="134"/>
        <v>1</v>
      </c>
      <c r="D718" s="7">
        <f ca="1">IF($B718 = 1 + N("Presidente"),
    127,
    IF($B718 = 2 + N("Vice-Presidente"),
        72,
        IF($B718 = 3 + N("Secretária bilíngue"),
            13,
            RANDBETWEEN(5,COUNT(Name!$A:$A) + 1)
        )
    )
)</f>
        <v>188</v>
      </c>
      <c r="E718" s="7" t="str">
        <f ca="1" xml:space="preserve">
VLOOKUP(
  $D718,
  Name!$A:$B,
  2,
  FALSE
)
&amp; " " &amp;
IF($B718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Lucas Arruda Costa</v>
      </c>
      <c r="F718" s="7">
        <v>2</v>
      </c>
      <c r="G718" s="7" cm="1">
        <f t="array" aca="1" ref="G718" ca="1">INDEX(States!$B:$B,RANDBETWEEN(2,COUNTA(States!$A:$A)),1)</f>
        <v>2</v>
      </c>
      <c r="H718" s="7" t="str">
        <f ca="1">VLOOKUP($D718,Name!$A:$C,3,FALSE)</f>
        <v>M</v>
      </c>
      <c r="I718" s="7" cm="1">
        <f t="array" aca="1" ref="I718" ca="1">INDEX('Marital status'!$A:$A,RANDBETWEEN(2,COUNTA('Marital status'!$A:$A)),1)</f>
        <v>5</v>
      </c>
      <c r="J718" s="7">
        <f t="shared" ca="1" si="135"/>
        <v>2</v>
      </c>
      <c r="K718" s="8">
        <f t="shared" ca="1" si="136"/>
        <v>25860</v>
      </c>
      <c r="L718" s="6">
        <f t="shared" ca="1" si="137"/>
        <v>4</v>
      </c>
      <c r="M718" s="7">
        <f ca="1" xml:space="preserve">
  IF(OR($N718 = 2, $N718 = 3, $N718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718" s="6">
        <f t="shared" ca="1" si="138"/>
        <v>6</v>
      </c>
      <c r="O718" s="6" t="e">
        <f t="shared" ca="1" si="139"/>
        <v>#N/A</v>
      </c>
      <c r="P718" s="8">
        <f t="shared" ca="1" si="140"/>
        <v>44240</v>
      </c>
      <c r="Q718" s="6">
        <f ca="1">RANDBETWEEN(2,COUNTA('Recruitment source'!$A:$A))</f>
        <v>9</v>
      </c>
      <c r="R718" s="8" t="e">
        <f t="shared" ca="1" si="141"/>
        <v>#N/A</v>
      </c>
      <c r="S718" s="6" t="e">
        <f t="shared" ca="1" si="142"/>
        <v>#N/A</v>
      </c>
      <c r="T718" s="6">
        <f t="shared" ca="1" si="132"/>
        <v>5</v>
      </c>
      <c r="U718" s="1">
        <f t="shared" ca="1" si="143"/>
        <v>805</v>
      </c>
    </row>
    <row r="719" spans="1:21" x14ac:dyDescent="0.2">
      <c r="A719" s="7" cm="1">
        <f t="array" aca="1" ref="A719" ca="1">INDEX(Companies!$A:$A,RANDBETWEEN(2,COUNTA(Companies!$A:$A)),1)</f>
        <v>2</v>
      </c>
      <c r="B719" s="5">
        <f t="shared" si="133"/>
        <v>718</v>
      </c>
      <c r="C719" s="6">
        <f t="shared" ca="1" si="134"/>
        <v>1</v>
      </c>
      <c r="D719" s="7">
        <f ca="1">IF($B719 = 1 + N("Presidente"),
    127,
    IF($B719 = 2 + N("Vice-Presidente"),
        72,
        IF($B719 = 3 + N("Secretária bilíngue"),
            13,
            RANDBETWEEN(5,COUNT(Name!$A:$A) + 1)
        )
    )
)</f>
        <v>302</v>
      </c>
      <c r="E719" s="7" t="str">
        <f ca="1" xml:space="preserve">
VLOOKUP(
  $D719,
  Name!$A:$B,
  2,
  FALSE
)
&amp; " " &amp;
IF($B719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Natália Fernandes Aragão</v>
      </c>
      <c r="F719" s="7">
        <v>2</v>
      </c>
      <c r="G719" s="7" cm="1">
        <f t="array" aca="1" ref="G719" ca="1">INDEX(States!$B:$B,RANDBETWEEN(2,COUNTA(States!$A:$A)),1)</f>
        <v>4</v>
      </c>
      <c r="H719" s="7" t="str">
        <f ca="1">VLOOKUP($D719,Name!$A:$C,3,FALSE)</f>
        <v>F</v>
      </c>
      <c r="I719" s="7" cm="1">
        <f t="array" aca="1" ref="I719" ca="1">INDEX('Marital status'!$A:$A,RANDBETWEEN(2,COUNTA('Marital status'!$A:$A)),1)</f>
        <v>3</v>
      </c>
      <c r="J719" s="7">
        <f t="shared" ca="1" si="135"/>
        <v>2</v>
      </c>
      <c r="K719" s="8">
        <f t="shared" ca="1" si="136"/>
        <v>32830</v>
      </c>
      <c r="L719" s="6">
        <f t="shared" ca="1" si="137"/>
        <v>5</v>
      </c>
      <c r="M719" s="7">
        <f ca="1" xml:space="preserve">
  IF(OR($N719 = 2, $N719 = 3, $N719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719" s="6">
        <f t="shared" ca="1" si="138"/>
        <v>8</v>
      </c>
      <c r="O719" s="6">
        <f t="shared" ca="1" si="139"/>
        <v>2</v>
      </c>
      <c r="P719" s="8">
        <f t="shared" ca="1" si="140"/>
        <v>41075</v>
      </c>
      <c r="Q719" s="6">
        <f ca="1">RANDBETWEEN(2,COUNTA('Recruitment source'!$A:$A))</f>
        <v>12</v>
      </c>
      <c r="R719" s="8" t="e">
        <f t="shared" ca="1" si="141"/>
        <v>#N/A</v>
      </c>
      <c r="S719" s="6" t="e">
        <f t="shared" ca="1" si="142"/>
        <v>#N/A</v>
      </c>
      <c r="T719" s="6">
        <f t="shared" ca="1" si="132"/>
        <v>4</v>
      </c>
      <c r="U719" s="1">
        <f t="shared" ca="1" si="143"/>
        <v>2000</v>
      </c>
    </row>
    <row r="720" spans="1:21" x14ac:dyDescent="0.2">
      <c r="A720" s="7" cm="1">
        <f t="array" aca="1" ref="A720" ca="1">INDEX(Companies!$A:$A,RANDBETWEEN(2,COUNTA(Companies!$A:$A)),1)</f>
        <v>2</v>
      </c>
      <c r="B720" s="5">
        <f t="shared" si="133"/>
        <v>719</v>
      </c>
      <c r="C720" s="6">
        <f t="shared" ca="1" si="134"/>
        <v>1</v>
      </c>
      <c r="D720" s="7">
        <f ca="1">IF($B720 = 1 + N("Presidente"),
    127,
    IF($B720 = 2 + N("Vice-Presidente"),
        72,
        IF($B720 = 3 + N("Secretária bilíngue"),
            13,
            RANDBETWEEN(5,COUNT(Name!$A:$A) + 1)
        )
    )
)</f>
        <v>147</v>
      </c>
      <c r="E720" s="7" t="str">
        <f ca="1" xml:space="preserve">
VLOOKUP(
  $D720,
  Name!$A:$B,
  2,
  FALSE
)
&amp; " " &amp;
IF($B720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Francisco Emanuel Peçanha Pimenta</v>
      </c>
      <c r="F720" s="7">
        <v>2</v>
      </c>
      <c r="G720" s="7" cm="1">
        <f t="array" aca="1" ref="G720" ca="1">INDEX(States!$B:$B,RANDBETWEEN(2,COUNTA(States!$A:$A)),1)</f>
        <v>10</v>
      </c>
      <c r="H720" s="7" t="str">
        <f ca="1">VLOOKUP($D720,Name!$A:$C,3,FALSE)</f>
        <v>M</v>
      </c>
      <c r="I720" s="7" cm="1">
        <f t="array" aca="1" ref="I720" ca="1">INDEX('Marital status'!$A:$A,RANDBETWEEN(2,COUNTA('Marital status'!$A:$A)),1)</f>
        <v>4</v>
      </c>
      <c r="J720" s="7">
        <f t="shared" ca="1" si="135"/>
        <v>2</v>
      </c>
      <c r="K720" s="8">
        <f t="shared" ca="1" si="136"/>
        <v>21069</v>
      </c>
      <c r="L720" s="6">
        <f t="shared" ca="1" si="137"/>
        <v>4</v>
      </c>
      <c r="M720" s="7">
        <f ca="1" xml:space="preserve">
  IF(OR($N720 = 2, $N720 = 3, $N720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720" s="6">
        <f t="shared" ca="1" si="138"/>
        <v>6</v>
      </c>
      <c r="O720" s="6" t="e">
        <f t="shared" ca="1" si="139"/>
        <v>#N/A</v>
      </c>
      <c r="P720" s="8">
        <f t="shared" ca="1" si="140"/>
        <v>38596</v>
      </c>
      <c r="Q720" s="6">
        <f ca="1">RANDBETWEEN(2,COUNTA('Recruitment source'!$A:$A))</f>
        <v>9</v>
      </c>
      <c r="R720" s="8" t="e">
        <f t="shared" ca="1" si="141"/>
        <v>#N/A</v>
      </c>
      <c r="S720" s="6" t="e">
        <f t="shared" ca="1" si="142"/>
        <v>#N/A</v>
      </c>
      <c r="T720" s="6">
        <f t="shared" ca="1" si="132"/>
        <v>5</v>
      </c>
      <c r="U720" s="1">
        <f t="shared" ca="1" si="143"/>
        <v>885</v>
      </c>
    </row>
    <row r="721" spans="1:21" x14ac:dyDescent="0.2">
      <c r="A721" s="7" cm="1">
        <f t="array" aca="1" ref="A721" ca="1">INDEX(Companies!$A:$A,RANDBETWEEN(2,COUNTA(Companies!$A:$A)),1)</f>
        <v>2</v>
      </c>
      <c r="B721" s="5">
        <f t="shared" si="133"/>
        <v>720</v>
      </c>
      <c r="C721" s="6">
        <f t="shared" ca="1" si="134"/>
        <v>1</v>
      </c>
      <c r="D721" s="7">
        <f ca="1">IF($B721 = 1 + N("Presidente"),
    127,
    IF($B721 = 2 + N("Vice-Presidente"),
        72,
        IF($B721 = 3 + N("Secretária bilíngue"),
            13,
            RANDBETWEEN(5,COUNT(Name!$A:$A) + 1)
        )
    )
)</f>
        <v>63</v>
      </c>
      <c r="E721" s="7" t="str">
        <f ca="1" xml:space="preserve">
VLOOKUP(
  $D721,
  Name!$A:$B,
  2,
  FALSE
)
&amp; " " &amp;
IF($B721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Aurorah Dantas Mancini</v>
      </c>
      <c r="F721" s="7">
        <v>2</v>
      </c>
      <c r="G721" s="7" cm="1">
        <f t="array" aca="1" ref="G721" ca="1">INDEX(States!$B:$B,RANDBETWEEN(2,COUNTA(States!$A:$A)),1)</f>
        <v>14</v>
      </c>
      <c r="H721" s="7" t="str">
        <f ca="1">VLOOKUP($D721,Name!$A:$C,3,FALSE)</f>
        <v>F</v>
      </c>
      <c r="I721" s="7" cm="1">
        <f t="array" aca="1" ref="I721" ca="1">INDEX('Marital status'!$A:$A,RANDBETWEEN(2,COUNTA('Marital status'!$A:$A)),1)</f>
        <v>5</v>
      </c>
      <c r="J721" s="7">
        <f t="shared" ca="1" si="135"/>
        <v>3</v>
      </c>
      <c r="K721" s="8">
        <f t="shared" ca="1" si="136"/>
        <v>35586</v>
      </c>
      <c r="L721" s="6">
        <f t="shared" ca="1" si="137"/>
        <v>5</v>
      </c>
      <c r="M721" s="7">
        <f ca="1" xml:space="preserve">
  IF(OR($N721 = 2, $N721 = 3, $N721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721" s="6">
        <f t="shared" ca="1" si="138"/>
        <v>8</v>
      </c>
      <c r="O721" s="6">
        <f t="shared" ca="1" si="139"/>
        <v>2</v>
      </c>
      <c r="P721" s="8">
        <f t="shared" ca="1" si="140"/>
        <v>36588</v>
      </c>
      <c r="Q721" s="6">
        <f ca="1">RANDBETWEEN(2,COUNTA('Recruitment source'!$A:$A))</f>
        <v>12</v>
      </c>
      <c r="R721" s="8" t="e">
        <f t="shared" ca="1" si="141"/>
        <v>#N/A</v>
      </c>
      <c r="S721" s="6" t="e">
        <f t="shared" ca="1" si="142"/>
        <v>#N/A</v>
      </c>
      <c r="T721" s="6">
        <f t="shared" ca="1" si="132"/>
        <v>3</v>
      </c>
      <c r="U721" s="1">
        <f t="shared" ca="1" si="143"/>
        <v>2000</v>
      </c>
    </row>
    <row r="722" spans="1:21" x14ac:dyDescent="0.2">
      <c r="A722" s="7" cm="1">
        <f t="array" aca="1" ref="A722" ca="1">INDEX(Companies!$A:$A,RANDBETWEEN(2,COUNTA(Companies!$A:$A)),1)</f>
        <v>2</v>
      </c>
      <c r="B722" s="5">
        <f t="shared" si="133"/>
        <v>721</v>
      </c>
      <c r="C722" s="6">
        <f t="shared" ca="1" si="134"/>
        <v>1</v>
      </c>
      <c r="D722" s="7">
        <f ca="1">IF($B722 = 1 + N("Presidente"),
    127,
    IF($B722 = 2 + N("Vice-Presidente"),
        72,
        IF($B722 = 3 + N("Secretária bilíngue"),
            13,
            RANDBETWEEN(5,COUNT(Name!$A:$A) + 1)
        )
    )
)</f>
        <v>113</v>
      </c>
      <c r="E722" s="7" t="str">
        <f ca="1" xml:space="preserve">
VLOOKUP(
  $D722,
  Name!$A:$B,
  2,
  FALSE
)
&amp; " " &amp;
IF($B722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Desiré Bianchi Lombardi</v>
      </c>
      <c r="F722" s="7">
        <v>2</v>
      </c>
      <c r="G722" s="7" cm="1">
        <f t="array" aca="1" ref="G722" ca="1">INDEX(States!$B:$B,RANDBETWEEN(2,COUNTA(States!$A:$A)),1)</f>
        <v>12</v>
      </c>
      <c r="H722" s="7" t="str">
        <f ca="1">VLOOKUP($D722,Name!$A:$C,3,FALSE)</f>
        <v>F</v>
      </c>
      <c r="I722" s="7" cm="1">
        <f t="array" aca="1" ref="I722" ca="1">INDEX('Marital status'!$A:$A,RANDBETWEEN(2,COUNTA('Marital status'!$A:$A)),1)</f>
        <v>4</v>
      </c>
      <c r="J722" s="7">
        <f t="shared" ca="1" si="135"/>
        <v>5</v>
      </c>
      <c r="K722" s="8">
        <f t="shared" ca="1" si="136"/>
        <v>32174</v>
      </c>
      <c r="L722" s="6">
        <f t="shared" ca="1" si="137"/>
        <v>4</v>
      </c>
      <c r="M722" s="7">
        <f ca="1" xml:space="preserve">
  IF(OR($N722 = 2, $N722 = 3, $N722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722" s="6">
        <f t="shared" ca="1" si="138"/>
        <v>7</v>
      </c>
      <c r="O722" s="6" t="e">
        <f t="shared" ca="1" si="139"/>
        <v>#N/A</v>
      </c>
      <c r="P722" s="8">
        <f t="shared" ca="1" si="140"/>
        <v>38276</v>
      </c>
      <c r="Q722" s="6">
        <f ca="1">RANDBETWEEN(2,COUNTA('Recruitment source'!$A:$A))</f>
        <v>9</v>
      </c>
      <c r="R722" s="8" t="e">
        <f t="shared" ca="1" si="141"/>
        <v>#N/A</v>
      </c>
      <c r="S722" s="6" t="e">
        <f t="shared" ca="1" si="142"/>
        <v>#N/A</v>
      </c>
      <c r="T722" s="6">
        <f t="shared" ca="1" si="132"/>
        <v>4</v>
      </c>
      <c r="U722" s="1">
        <f t="shared" ca="1" si="143"/>
        <v>1005</v>
      </c>
    </row>
    <row r="723" spans="1:21" x14ac:dyDescent="0.2">
      <c r="A723" s="7" cm="1">
        <f t="array" aca="1" ref="A723" ca="1">INDEX(Companies!$A:$A,RANDBETWEEN(2,COUNTA(Companies!$A:$A)),1)</f>
        <v>2</v>
      </c>
      <c r="B723" s="5">
        <f t="shared" si="133"/>
        <v>722</v>
      </c>
      <c r="C723" s="6">
        <f t="shared" ca="1" si="134"/>
        <v>1</v>
      </c>
      <c r="D723" s="7">
        <f ca="1">IF($B723 = 1 + N("Presidente"),
    127,
    IF($B723 = 2 + N("Vice-Presidente"),
        72,
        IF($B723 = 3 + N("Secretária bilíngue"),
            13,
            RANDBETWEEN(5,COUNT(Name!$A:$A) + 1)
        )
    )
)</f>
        <v>177</v>
      </c>
      <c r="E723" s="7" t="str">
        <f ca="1" xml:space="preserve">
VLOOKUP(
  $D723,
  Name!$A:$B,
  2,
  FALSE
)
&amp; " " &amp;
IF($B723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Isabelly Auth Pasquim</v>
      </c>
      <c r="F723" s="7">
        <v>2</v>
      </c>
      <c r="G723" s="7" cm="1">
        <f t="array" aca="1" ref="G723" ca="1">INDEX(States!$B:$B,RANDBETWEEN(2,COUNTA(States!$A:$A)),1)</f>
        <v>16</v>
      </c>
      <c r="H723" s="7" t="str">
        <f ca="1">VLOOKUP($D723,Name!$A:$C,3,FALSE)</f>
        <v>F</v>
      </c>
      <c r="I723" s="7" cm="1">
        <f t="array" aca="1" ref="I723" ca="1">INDEX('Marital status'!$A:$A,RANDBETWEEN(2,COUNTA('Marital status'!$A:$A)),1)</f>
        <v>5</v>
      </c>
      <c r="J723" s="7">
        <f t="shared" ca="1" si="135"/>
        <v>2</v>
      </c>
      <c r="K723" s="8">
        <f t="shared" ca="1" si="136"/>
        <v>34816</v>
      </c>
      <c r="L723" s="6">
        <f t="shared" ca="1" si="137"/>
        <v>4</v>
      </c>
      <c r="M723" s="7">
        <f ca="1" xml:space="preserve">
  IF(OR($N723 = 2, $N723 = 3, $N723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723" s="6">
        <f t="shared" ca="1" si="138"/>
        <v>8</v>
      </c>
      <c r="O723" s="6">
        <f t="shared" ca="1" si="139"/>
        <v>2</v>
      </c>
      <c r="P723" s="8">
        <f t="shared" ca="1" si="140"/>
        <v>43793</v>
      </c>
      <c r="Q723" s="6">
        <f ca="1">RANDBETWEEN(2,COUNTA('Recruitment source'!$A:$A))</f>
        <v>9</v>
      </c>
      <c r="R723" s="8" t="e">
        <f t="shared" ca="1" si="141"/>
        <v>#N/A</v>
      </c>
      <c r="S723" s="6" t="e">
        <f t="shared" ca="1" si="142"/>
        <v>#N/A</v>
      </c>
      <c r="T723" s="6">
        <f t="shared" ca="1" si="132"/>
        <v>2</v>
      </c>
      <c r="U723" s="1">
        <f t="shared" ca="1" si="143"/>
        <v>2000</v>
      </c>
    </row>
    <row r="724" spans="1:21" x14ac:dyDescent="0.2">
      <c r="A724" s="7" cm="1">
        <f t="array" aca="1" ref="A724" ca="1">INDEX(Companies!$A:$A,RANDBETWEEN(2,COUNTA(Companies!$A:$A)),1)</f>
        <v>2</v>
      </c>
      <c r="B724" s="5">
        <f t="shared" si="133"/>
        <v>723</v>
      </c>
      <c r="C724" s="6">
        <f t="shared" ca="1" si="134"/>
        <v>1</v>
      </c>
      <c r="D724" s="7">
        <f ca="1">IF($B724 = 1 + N("Presidente"),
    127,
    IF($B724 = 2 + N("Vice-Presidente"),
        72,
        IF($B724 = 3 + N("Secretária bilíngue"),
            13,
            RANDBETWEEN(5,COUNT(Name!$A:$A) + 1)
        )
    )
)</f>
        <v>186</v>
      </c>
      <c r="E724" s="7" t="str">
        <f ca="1" xml:space="preserve">
VLOOKUP(
  $D724,
  Name!$A:$B,
  2,
  FALSE
)
&amp; " " &amp;
IF($B724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Gabriel Veiga Ildelfonso</v>
      </c>
      <c r="F724" s="7">
        <v>2</v>
      </c>
      <c r="G724" s="7" cm="1">
        <f t="array" aca="1" ref="G724" ca="1">INDEX(States!$B:$B,RANDBETWEEN(2,COUNTA(States!$A:$A)),1)</f>
        <v>4</v>
      </c>
      <c r="H724" s="7" t="str">
        <f ca="1">VLOOKUP($D724,Name!$A:$C,3,FALSE)</f>
        <v>M</v>
      </c>
      <c r="I724" s="7" cm="1">
        <f t="array" aca="1" ref="I724" ca="1">INDEX('Marital status'!$A:$A,RANDBETWEEN(2,COUNTA('Marital status'!$A:$A)),1)</f>
        <v>5</v>
      </c>
      <c r="J724" s="7">
        <f t="shared" ca="1" si="135"/>
        <v>2</v>
      </c>
      <c r="K724" s="8">
        <f t="shared" ca="1" si="136"/>
        <v>30078</v>
      </c>
      <c r="L724" s="6">
        <f t="shared" ca="1" si="137"/>
        <v>4</v>
      </c>
      <c r="M724" s="7">
        <f ca="1" xml:space="preserve">
  IF(OR($N724 = 2, $N724 = 3, $N724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724" s="6">
        <f t="shared" ca="1" si="138"/>
        <v>7</v>
      </c>
      <c r="O724" s="6" t="e">
        <f t="shared" ca="1" si="139"/>
        <v>#N/A</v>
      </c>
      <c r="P724" s="8">
        <f t="shared" ca="1" si="140"/>
        <v>42817</v>
      </c>
      <c r="Q724" s="6">
        <f ca="1">RANDBETWEEN(2,COUNTA('Recruitment source'!$A:$A))</f>
        <v>6</v>
      </c>
      <c r="R724" s="8" t="e">
        <f t="shared" ca="1" si="141"/>
        <v>#N/A</v>
      </c>
      <c r="S724" s="6" t="e">
        <f t="shared" ca="1" si="142"/>
        <v>#N/A</v>
      </c>
      <c r="T724" s="6">
        <f t="shared" ca="1" si="132"/>
        <v>4</v>
      </c>
      <c r="U724" s="1">
        <f t="shared" ca="1" si="143"/>
        <v>1005</v>
      </c>
    </row>
    <row r="725" spans="1:21" x14ac:dyDescent="0.2">
      <c r="A725" s="7" cm="1">
        <f t="array" aca="1" ref="A725" ca="1">INDEX(Companies!$A:$A,RANDBETWEEN(2,COUNTA(Companies!$A:$A)),1)</f>
        <v>2</v>
      </c>
      <c r="B725" s="5">
        <f t="shared" si="133"/>
        <v>724</v>
      </c>
      <c r="C725" s="6">
        <f t="shared" ca="1" si="134"/>
        <v>1</v>
      </c>
      <c r="D725" s="7">
        <f ca="1">IF($B725 = 1 + N("Presidente"),
    127,
    IF($B725 = 2 + N("Vice-Presidente"),
        72,
        IF($B725 = 3 + N("Secretária bilíngue"),
            13,
            RANDBETWEEN(5,COUNT(Name!$A:$A) + 1)
        )
    )
)</f>
        <v>364</v>
      </c>
      <c r="E725" s="7" t="str">
        <f ca="1" xml:space="preserve">
VLOOKUP(
  $D725,
  Name!$A:$B,
  2,
  FALSE
)
&amp; " " &amp;
IF($B725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Yasmin Nunes Silva</v>
      </c>
      <c r="F725" s="7">
        <v>2</v>
      </c>
      <c r="G725" s="7" cm="1">
        <f t="array" aca="1" ref="G725" ca="1">INDEX(States!$B:$B,RANDBETWEEN(2,COUNTA(States!$A:$A)),1)</f>
        <v>8</v>
      </c>
      <c r="H725" s="7" t="str">
        <f ca="1">VLOOKUP($D725,Name!$A:$C,3,FALSE)</f>
        <v>F</v>
      </c>
      <c r="I725" s="7" cm="1">
        <f t="array" aca="1" ref="I725" ca="1">INDEX('Marital status'!$A:$A,RANDBETWEEN(2,COUNTA('Marital status'!$A:$A)),1)</f>
        <v>2</v>
      </c>
      <c r="J725" s="7">
        <f t="shared" ca="1" si="135"/>
        <v>2</v>
      </c>
      <c r="K725" s="8">
        <f t="shared" ca="1" si="136"/>
        <v>34642</v>
      </c>
      <c r="L725" s="6">
        <f t="shared" ca="1" si="137"/>
        <v>5</v>
      </c>
      <c r="M725" s="7">
        <f ca="1" xml:space="preserve">
  IF(OR($N725 = 2, $N725 = 3, $N725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725" s="6">
        <f t="shared" ca="1" si="138"/>
        <v>8</v>
      </c>
      <c r="O725" s="6">
        <f t="shared" ca="1" si="139"/>
        <v>4</v>
      </c>
      <c r="P725" s="8">
        <f t="shared" ca="1" si="140"/>
        <v>38024</v>
      </c>
      <c r="Q725" s="6">
        <f ca="1">RANDBETWEEN(2,COUNTA('Recruitment source'!$A:$A))</f>
        <v>4</v>
      </c>
      <c r="R725" s="8" t="e">
        <f t="shared" ca="1" si="141"/>
        <v>#N/A</v>
      </c>
      <c r="S725" s="6" t="e">
        <f t="shared" ca="1" si="142"/>
        <v>#N/A</v>
      </c>
      <c r="T725" s="6">
        <f t="shared" ca="1" si="132"/>
        <v>2</v>
      </c>
      <c r="U725" s="1">
        <f t="shared" ca="1" si="143"/>
        <v>2000</v>
      </c>
    </row>
    <row r="726" spans="1:21" x14ac:dyDescent="0.2">
      <c r="A726" s="7" cm="1">
        <f t="array" aca="1" ref="A726" ca="1">INDEX(Companies!$A:$A,RANDBETWEEN(2,COUNTA(Companies!$A:$A)),1)</f>
        <v>2</v>
      </c>
      <c r="B726" s="5">
        <f t="shared" si="133"/>
        <v>725</v>
      </c>
      <c r="C726" s="6">
        <f t="shared" ca="1" si="134"/>
        <v>1</v>
      </c>
      <c r="D726" s="7">
        <f ca="1">IF($B726 = 1 + N("Presidente"),
    127,
    IF($B726 = 2 + N("Vice-Presidente"),
        72,
        IF($B726 = 3 + N("Secretária bilíngue"),
            13,
            RANDBETWEEN(5,COUNT(Name!$A:$A) + 1)
        )
    )
)</f>
        <v>188</v>
      </c>
      <c r="E726" s="7" t="str">
        <f ca="1" xml:space="preserve">
VLOOKUP(
  $D726,
  Name!$A:$B,
  2,
  FALSE
)
&amp; " " &amp;
IF($B726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Lucas Fernandes Camacho</v>
      </c>
      <c r="F726" s="7">
        <v>2</v>
      </c>
      <c r="G726" s="7" cm="1">
        <f t="array" aca="1" ref="G726" ca="1">INDEX(States!$B:$B,RANDBETWEEN(2,COUNTA(States!$A:$A)),1)</f>
        <v>18</v>
      </c>
      <c r="H726" s="7" t="str">
        <f ca="1">VLOOKUP($D726,Name!$A:$C,3,FALSE)</f>
        <v>M</v>
      </c>
      <c r="I726" s="7" cm="1">
        <f t="array" aca="1" ref="I726" ca="1">INDEX('Marital status'!$A:$A,RANDBETWEEN(2,COUNTA('Marital status'!$A:$A)),1)</f>
        <v>5</v>
      </c>
      <c r="J726" s="7">
        <f t="shared" ca="1" si="135"/>
        <v>4</v>
      </c>
      <c r="K726" s="8">
        <f t="shared" ca="1" si="136"/>
        <v>34471</v>
      </c>
      <c r="L726" s="6">
        <f t="shared" ca="1" si="137"/>
        <v>4</v>
      </c>
      <c r="M726" s="7">
        <f ca="1" xml:space="preserve">
  IF(OR($N726 = 2, $N726 = 3, $N726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726" s="6">
        <f t="shared" ca="1" si="138"/>
        <v>7</v>
      </c>
      <c r="O726" s="6" t="e">
        <f t="shared" ca="1" si="139"/>
        <v>#N/A</v>
      </c>
      <c r="P726" s="8">
        <f t="shared" ca="1" si="140"/>
        <v>39175</v>
      </c>
      <c r="Q726" s="6">
        <f ca="1">RANDBETWEEN(2,COUNTA('Recruitment source'!$A:$A))</f>
        <v>3</v>
      </c>
      <c r="R726" s="8" t="e">
        <f t="shared" ca="1" si="141"/>
        <v>#N/A</v>
      </c>
      <c r="S726" s="6" t="e">
        <f t="shared" ca="1" si="142"/>
        <v>#N/A</v>
      </c>
      <c r="T726" s="6">
        <f t="shared" ca="1" si="132"/>
        <v>5</v>
      </c>
      <c r="U726" s="1">
        <f t="shared" ca="1" si="143"/>
        <v>1005</v>
      </c>
    </row>
    <row r="727" spans="1:21" x14ac:dyDescent="0.2">
      <c r="A727" s="7" cm="1">
        <f t="array" aca="1" ref="A727" ca="1">INDEX(Companies!$A:$A,RANDBETWEEN(2,COUNTA(Companies!$A:$A)),1)</f>
        <v>2</v>
      </c>
      <c r="B727" s="5">
        <f t="shared" si="133"/>
        <v>726</v>
      </c>
      <c r="C727" s="6">
        <f t="shared" ca="1" si="134"/>
        <v>1</v>
      </c>
      <c r="D727" s="7">
        <f ca="1">IF($B727 = 1 + N("Presidente"),
    127,
    IF($B727 = 2 + N("Vice-Presidente"),
        72,
        IF($B727 = 3 + N("Secretária bilíngue"),
            13,
            RANDBETWEEN(5,COUNT(Name!$A:$A) + 1)
        )
    )
)</f>
        <v>318</v>
      </c>
      <c r="E727" s="7" t="str">
        <f ca="1" xml:space="preserve">
VLOOKUP(
  $D727,
  Name!$A:$B,
  2,
  FALSE
)
&amp; " " &amp;
IF($B727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Lucas Miranda Bactista</v>
      </c>
      <c r="F727" s="7">
        <v>2</v>
      </c>
      <c r="G727" s="7" cm="1">
        <f t="array" aca="1" ref="G727" ca="1">INDEX(States!$B:$B,RANDBETWEEN(2,COUNTA(States!$A:$A)),1)</f>
        <v>21</v>
      </c>
      <c r="H727" s="7" t="str">
        <f ca="1">VLOOKUP($D727,Name!$A:$C,3,FALSE)</f>
        <v>M</v>
      </c>
      <c r="I727" s="7" cm="1">
        <f t="array" aca="1" ref="I727" ca="1">INDEX('Marital status'!$A:$A,RANDBETWEEN(2,COUNTA('Marital status'!$A:$A)),1)</f>
        <v>2</v>
      </c>
      <c r="J727" s="7">
        <f t="shared" ca="1" si="135"/>
        <v>2</v>
      </c>
      <c r="K727" s="8">
        <f t="shared" ca="1" si="136"/>
        <v>34550</v>
      </c>
      <c r="L727" s="6">
        <f t="shared" ca="1" si="137"/>
        <v>4</v>
      </c>
      <c r="M727" s="7">
        <f ca="1" xml:space="preserve">
  IF(OR($N727 = 2, $N727 = 3, $N727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727" s="6">
        <f t="shared" ca="1" si="138"/>
        <v>8</v>
      </c>
      <c r="O727" s="6">
        <f t="shared" ca="1" si="139"/>
        <v>2</v>
      </c>
      <c r="P727" s="8">
        <f t="shared" ca="1" si="140"/>
        <v>37259</v>
      </c>
      <c r="Q727" s="6">
        <f ca="1">RANDBETWEEN(2,COUNTA('Recruitment source'!$A:$A))</f>
        <v>11</v>
      </c>
      <c r="R727" s="8" t="e">
        <f t="shared" ca="1" si="141"/>
        <v>#N/A</v>
      </c>
      <c r="S727" s="6" t="e">
        <f t="shared" ca="1" si="142"/>
        <v>#N/A</v>
      </c>
      <c r="T727" s="6">
        <f t="shared" ca="1" si="132"/>
        <v>3</v>
      </c>
      <c r="U727" s="1">
        <f t="shared" ca="1" si="143"/>
        <v>2080</v>
      </c>
    </row>
    <row r="728" spans="1:21" x14ac:dyDescent="0.2">
      <c r="A728" s="7" cm="1">
        <f t="array" aca="1" ref="A728" ca="1">INDEX(Companies!$A:$A,RANDBETWEEN(2,COUNTA(Companies!$A:$A)),1)</f>
        <v>2</v>
      </c>
      <c r="B728" s="5">
        <f t="shared" si="133"/>
        <v>727</v>
      </c>
      <c r="C728" s="6">
        <f t="shared" ca="1" si="134"/>
        <v>1</v>
      </c>
      <c r="D728" s="7">
        <f ca="1">IF($B728 = 1 + N("Presidente"),
    127,
    IF($B728 = 2 + N("Vice-Presidente"),
        72,
        IF($B728 = 3 + N("Secretária bilíngue"),
            13,
            RANDBETWEEN(5,COUNT(Name!$A:$A) + 1)
        )
    )
)</f>
        <v>192</v>
      </c>
      <c r="E728" s="7" t="str">
        <f ca="1" xml:space="preserve">
VLOOKUP(
  $D728,
  Name!$A:$B,
  2,
  FALSE
)
&amp; " " &amp;
IF($B728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Pedro Silva Martini</v>
      </c>
      <c r="F728" s="7">
        <v>2</v>
      </c>
      <c r="G728" s="7" cm="1">
        <f t="array" aca="1" ref="G728" ca="1">INDEX(States!$B:$B,RANDBETWEEN(2,COUNTA(States!$A:$A)),1)</f>
        <v>16</v>
      </c>
      <c r="H728" s="7" t="str">
        <f ca="1">VLOOKUP($D728,Name!$A:$C,3,FALSE)</f>
        <v>M</v>
      </c>
      <c r="I728" s="7" cm="1">
        <f t="array" aca="1" ref="I728" ca="1">INDEX('Marital status'!$A:$A,RANDBETWEEN(2,COUNTA('Marital status'!$A:$A)),1)</f>
        <v>3</v>
      </c>
      <c r="J728" s="7">
        <f t="shared" ca="1" si="135"/>
        <v>3</v>
      </c>
      <c r="K728" s="8">
        <f t="shared" ca="1" si="136"/>
        <v>34145</v>
      </c>
      <c r="L728" s="6">
        <f t="shared" ca="1" si="137"/>
        <v>4</v>
      </c>
      <c r="M728" s="7">
        <f ca="1" xml:space="preserve">
  IF(OR($N728 = 2, $N728 = 3, $N728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728" s="6">
        <f t="shared" ca="1" si="138"/>
        <v>7</v>
      </c>
      <c r="O728" s="6" t="e">
        <f t="shared" ca="1" si="139"/>
        <v>#N/A</v>
      </c>
      <c r="P728" s="8">
        <f t="shared" ca="1" si="140"/>
        <v>37235</v>
      </c>
      <c r="Q728" s="6">
        <f ca="1">RANDBETWEEN(2,COUNTA('Recruitment source'!$A:$A))</f>
        <v>3</v>
      </c>
      <c r="R728" s="8" t="e">
        <f t="shared" ca="1" si="141"/>
        <v>#N/A</v>
      </c>
      <c r="S728" s="6" t="e">
        <f t="shared" ca="1" si="142"/>
        <v>#N/A</v>
      </c>
      <c r="T728" s="6">
        <f t="shared" ca="1" si="132"/>
        <v>4</v>
      </c>
      <c r="U728" s="1">
        <f t="shared" ca="1" si="143"/>
        <v>1005</v>
      </c>
    </row>
    <row r="729" spans="1:21" x14ac:dyDescent="0.2">
      <c r="A729" s="7" cm="1">
        <f t="array" aca="1" ref="A729" ca="1">INDEX(Companies!$A:$A,RANDBETWEEN(2,COUNTA(Companies!$A:$A)),1)</f>
        <v>2</v>
      </c>
      <c r="B729" s="5">
        <f t="shared" si="133"/>
        <v>728</v>
      </c>
      <c r="C729" s="6">
        <f t="shared" ca="1" si="134"/>
        <v>1</v>
      </c>
      <c r="D729" s="7">
        <f ca="1">IF($B729 = 1 + N("Presidente"),
    127,
    IF($B729 = 2 + N("Vice-Presidente"),
        72,
        IF($B729 = 3 + N("Secretária bilíngue"),
            13,
            RANDBETWEEN(5,COUNT(Name!$A:$A) + 1)
        )
    )
)</f>
        <v>154</v>
      </c>
      <c r="E729" s="7" t="str">
        <f ca="1" xml:space="preserve">
VLOOKUP(
  $D729,
  Name!$A:$B,
  2,
  FALSE
)
&amp; " " &amp;
IF($B729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Giovanna Badu Negreiros</v>
      </c>
      <c r="F729" s="7">
        <v>2</v>
      </c>
      <c r="G729" s="7" cm="1">
        <f t="array" aca="1" ref="G729" ca="1">INDEX(States!$B:$B,RANDBETWEEN(2,COUNTA(States!$A:$A)),1)</f>
        <v>5</v>
      </c>
      <c r="H729" s="7" t="str">
        <f ca="1">VLOOKUP($D729,Name!$A:$C,3,FALSE)</f>
        <v>F</v>
      </c>
      <c r="I729" s="7" cm="1">
        <f t="array" aca="1" ref="I729" ca="1">INDEX('Marital status'!$A:$A,RANDBETWEEN(2,COUNTA('Marital status'!$A:$A)),1)</f>
        <v>4</v>
      </c>
      <c r="J729" s="7">
        <f t="shared" ca="1" si="135"/>
        <v>2</v>
      </c>
      <c r="K729" s="8">
        <f t="shared" ca="1" si="136"/>
        <v>33363</v>
      </c>
      <c r="L729" s="6">
        <f t="shared" ca="1" si="137"/>
        <v>5</v>
      </c>
      <c r="M729" s="7">
        <f ca="1" xml:space="preserve">
  IF(OR($N729 = 2, $N729 = 3, $N729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729" s="6">
        <f t="shared" ca="1" si="138"/>
        <v>8</v>
      </c>
      <c r="O729" s="6">
        <f t="shared" ca="1" si="139"/>
        <v>4</v>
      </c>
      <c r="P729" s="8">
        <f t="shared" ca="1" si="140"/>
        <v>41517</v>
      </c>
      <c r="Q729" s="6">
        <f ca="1">RANDBETWEEN(2,COUNTA('Recruitment source'!$A:$A))</f>
        <v>10</v>
      </c>
      <c r="R729" s="8" t="e">
        <f t="shared" ca="1" si="141"/>
        <v>#N/A</v>
      </c>
      <c r="S729" s="6" t="e">
        <f t="shared" ca="1" si="142"/>
        <v>#N/A</v>
      </c>
      <c r="T729" s="6">
        <f t="shared" ca="1" si="132"/>
        <v>5</v>
      </c>
      <c r="U729" s="1">
        <f t="shared" ca="1" si="143"/>
        <v>2000</v>
      </c>
    </row>
    <row r="730" spans="1:21" x14ac:dyDescent="0.2">
      <c r="A730" s="7" cm="1">
        <f t="array" aca="1" ref="A730" ca="1">INDEX(Companies!$A:$A,RANDBETWEEN(2,COUNTA(Companies!$A:$A)),1)</f>
        <v>2</v>
      </c>
      <c r="B730" s="5">
        <f t="shared" si="133"/>
        <v>729</v>
      </c>
      <c r="C730" s="6">
        <f t="shared" ca="1" si="134"/>
        <v>1</v>
      </c>
      <c r="D730" s="7">
        <f ca="1">IF($B730 = 1 + N("Presidente"),
    127,
    IF($B730 = 2 + N("Vice-Presidente"),
        72,
        IF($B730 = 3 + N("Secretária bilíngue"),
            13,
            RANDBETWEEN(5,COUNT(Name!$A:$A) + 1)
        )
    )
)</f>
        <v>13</v>
      </c>
      <c r="E730" s="7" t="str">
        <f ca="1" xml:space="preserve">
VLOOKUP(
  $D730,
  Name!$A:$B,
  2,
  FALSE
)
&amp; " " &amp;
IF($B730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Alessandra Almeida Alvarenga</v>
      </c>
      <c r="F730" s="7">
        <v>2</v>
      </c>
      <c r="G730" s="7" cm="1">
        <f t="array" aca="1" ref="G730" ca="1">INDEX(States!$B:$B,RANDBETWEEN(2,COUNTA(States!$A:$A)),1)</f>
        <v>13</v>
      </c>
      <c r="H730" s="7" t="str">
        <f ca="1">VLOOKUP($D730,Name!$A:$C,3,FALSE)</f>
        <v>F</v>
      </c>
      <c r="I730" s="7" cm="1">
        <f t="array" aca="1" ref="I730" ca="1">INDEX('Marital status'!$A:$A,RANDBETWEEN(2,COUNTA('Marital status'!$A:$A)),1)</f>
        <v>4</v>
      </c>
      <c r="J730" s="7">
        <f t="shared" ca="1" si="135"/>
        <v>2</v>
      </c>
      <c r="K730" s="8">
        <f t="shared" ca="1" si="136"/>
        <v>31851</v>
      </c>
      <c r="L730" s="6">
        <f t="shared" ca="1" si="137"/>
        <v>4</v>
      </c>
      <c r="M730" s="7">
        <f ca="1" xml:space="preserve">
  IF(OR($N730 = 2, $N730 = 3, $N730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730" s="6">
        <f t="shared" ca="1" si="138"/>
        <v>7</v>
      </c>
      <c r="O730" s="6" t="e">
        <f t="shared" ca="1" si="139"/>
        <v>#N/A</v>
      </c>
      <c r="P730" s="8">
        <f t="shared" ca="1" si="140"/>
        <v>42493</v>
      </c>
      <c r="Q730" s="6">
        <f ca="1">RANDBETWEEN(2,COUNTA('Recruitment source'!$A:$A))</f>
        <v>7</v>
      </c>
      <c r="R730" s="8" t="e">
        <f t="shared" ca="1" si="141"/>
        <v>#N/A</v>
      </c>
      <c r="S730" s="6" t="e">
        <f t="shared" ca="1" si="142"/>
        <v>#N/A</v>
      </c>
      <c r="T730" s="6">
        <f t="shared" ca="1" si="132"/>
        <v>4</v>
      </c>
      <c r="U730" s="1">
        <f t="shared" ca="1" si="143"/>
        <v>1005</v>
      </c>
    </row>
    <row r="731" spans="1:21" x14ac:dyDescent="0.2">
      <c r="A731" s="7" cm="1">
        <f t="array" aca="1" ref="A731" ca="1">INDEX(Companies!$A:$A,RANDBETWEEN(2,COUNTA(Companies!$A:$A)),1)</f>
        <v>2</v>
      </c>
      <c r="B731" s="5">
        <f t="shared" si="133"/>
        <v>730</v>
      </c>
      <c r="C731" s="6">
        <f t="shared" ca="1" si="134"/>
        <v>1</v>
      </c>
      <c r="D731" s="7">
        <f ca="1">IF($B731 = 1 + N("Presidente"),
    127,
    IF($B731 = 2 + N("Vice-Presidente"),
        72,
        IF($B731 = 3 + N("Secretária bilíngue"),
            13,
            RANDBETWEEN(5,COUNT(Name!$A:$A) + 1)
        )
    )
)</f>
        <v>73</v>
      </c>
      <c r="E731" s="7" t="str">
        <f ca="1" xml:space="preserve">
VLOOKUP(
  $D731,
  Name!$A:$B,
  2,
  FALSE
)
&amp; " " &amp;
IF($B731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Bianca Simões Mendes</v>
      </c>
      <c r="F731" s="7">
        <v>2</v>
      </c>
      <c r="G731" s="7" cm="1">
        <f t="array" aca="1" ref="G731" ca="1">INDEX(States!$B:$B,RANDBETWEEN(2,COUNTA(States!$A:$A)),1)</f>
        <v>17</v>
      </c>
      <c r="H731" s="7" t="str">
        <f ca="1">VLOOKUP($D731,Name!$A:$C,3,FALSE)</f>
        <v>F</v>
      </c>
      <c r="I731" s="7" cm="1">
        <f t="array" aca="1" ref="I731" ca="1">INDEX('Marital status'!$A:$A,RANDBETWEEN(2,COUNTA('Marital status'!$A:$A)),1)</f>
        <v>2</v>
      </c>
      <c r="J731" s="7">
        <f t="shared" ca="1" si="135"/>
        <v>2</v>
      </c>
      <c r="K731" s="8">
        <f t="shared" ca="1" si="136"/>
        <v>33958</v>
      </c>
      <c r="L731" s="6">
        <f t="shared" ca="1" si="137"/>
        <v>5</v>
      </c>
      <c r="M731" s="7">
        <f ca="1" xml:space="preserve">
  IF(OR($N731 = 2, $N731 = 3, $N731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731" s="6">
        <f t="shared" ca="1" si="138"/>
        <v>8</v>
      </c>
      <c r="O731" s="6">
        <f t="shared" ca="1" si="139"/>
        <v>3</v>
      </c>
      <c r="P731" s="8">
        <f t="shared" ca="1" si="140"/>
        <v>44098</v>
      </c>
      <c r="Q731" s="6">
        <f ca="1">RANDBETWEEN(2,COUNTA('Recruitment source'!$A:$A))</f>
        <v>6</v>
      </c>
      <c r="R731" s="8" t="e">
        <f t="shared" ca="1" si="141"/>
        <v>#N/A</v>
      </c>
      <c r="S731" s="6" t="e">
        <f t="shared" ca="1" si="142"/>
        <v>#N/A</v>
      </c>
      <c r="T731" s="6">
        <f t="shared" ca="1" si="132"/>
        <v>2</v>
      </c>
      <c r="U731" s="1">
        <f t="shared" ca="1" si="143"/>
        <v>2000</v>
      </c>
    </row>
    <row r="732" spans="1:21" x14ac:dyDescent="0.2">
      <c r="A732" s="7" cm="1">
        <f t="array" aca="1" ref="A732" ca="1">INDEX(Companies!$A:$A,RANDBETWEEN(2,COUNTA(Companies!$A:$A)),1)</f>
        <v>2</v>
      </c>
      <c r="B732" s="5">
        <f t="shared" si="133"/>
        <v>731</v>
      </c>
      <c r="C732" s="6">
        <f t="shared" ca="1" si="134"/>
        <v>1</v>
      </c>
      <c r="D732" s="7">
        <f ca="1">IF($B732 = 1 + N("Presidente"),
    127,
    IF($B732 = 2 + N("Vice-Presidente"),
        72,
        IF($B732 = 3 + N("Secretária bilíngue"),
            13,
            RANDBETWEEN(5,COUNT(Name!$A:$A) + 1)
        )
    )
)</f>
        <v>268</v>
      </c>
      <c r="E732" s="7" t="str">
        <f ca="1" xml:space="preserve">
VLOOKUP(
  $D732,
  Name!$A:$B,
  2,
  FALSE
)
&amp; " " &amp;
IF($B732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Isis Pedroso Leite</v>
      </c>
      <c r="F732" s="7">
        <v>2</v>
      </c>
      <c r="G732" s="7" cm="1">
        <f t="array" aca="1" ref="G732" ca="1">INDEX(States!$B:$B,RANDBETWEEN(2,COUNTA(States!$A:$A)),1)</f>
        <v>10</v>
      </c>
      <c r="H732" s="7" t="str">
        <f ca="1">VLOOKUP($D732,Name!$A:$C,3,FALSE)</f>
        <v>F</v>
      </c>
      <c r="I732" s="7" cm="1">
        <f t="array" aca="1" ref="I732" ca="1">INDEX('Marital status'!$A:$A,RANDBETWEEN(2,COUNTA('Marital status'!$A:$A)),1)</f>
        <v>4</v>
      </c>
      <c r="J732" s="7">
        <f t="shared" ca="1" si="135"/>
        <v>2</v>
      </c>
      <c r="K732" s="8">
        <f t="shared" ca="1" si="136"/>
        <v>32568</v>
      </c>
      <c r="L732" s="6">
        <f t="shared" ca="1" si="137"/>
        <v>4</v>
      </c>
      <c r="M732" s="7">
        <f ca="1" xml:space="preserve">
  IF(OR($N732 = 2, $N732 = 3, $N732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732" s="6">
        <f t="shared" ca="1" si="138"/>
        <v>6</v>
      </c>
      <c r="O732" s="6" t="e">
        <f t="shared" ca="1" si="139"/>
        <v>#N/A</v>
      </c>
      <c r="P732" s="8">
        <f t="shared" ca="1" si="140"/>
        <v>38794</v>
      </c>
      <c r="Q732" s="6">
        <f ca="1">RANDBETWEEN(2,COUNTA('Recruitment source'!$A:$A))</f>
        <v>6</v>
      </c>
      <c r="R732" s="8" t="e">
        <f t="shared" ca="1" si="141"/>
        <v>#N/A</v>
      </c>
      <c r="S732" s="6" t="e">
        <f t="shared" ca="1" si="142"/>
        <v>#N/A</v>
      </c>
      <c r="T732" s="6">
        <f t="shared" ca="1" si="132"/>
        <v>3</v>
      </c>
      <c r="U732" s="1">
        <f t="shared" ca="1" si="143"/>
        <v>885</v>
      </c>
    </row>
    <row r="733" spans="1:21" x14ac:dyDescent="0.2">
      <c r="A733" s="7" cm="1">
        <f t="array" aca="1" ref="A733" ca="1">INDEX(Companies!$A:$A,RANDBETWEEN(2,COUNTA(Companies!$A:$A)),1)</f>
        <v>2</v>
      </c>
      <c r="B733" s="5">
        <f t="shared" si="133"/>
        <v>732</v>
      </c>
      <c r="C733" s="6">
        <f t="shared" ca="1" si="134"/>
        <v>1</v>
      </c>
      <c r="D733" s="7">
        <f ca="1">IF($B733 = 1 + N("Presidente"),
    127,
    IF($B733 = 2 + N("Vice-Presidente"),
        72,
        IF($B733 = 3 + N("Secretária bilíngue"),
            13,
            RANDBETWEEN(5,COUNT(Name!$A:$A) + 1)
        )
    )
)</f>
        <v>88</v>
      </c>
      <c r="E733" s="7" t="str">
        <f ca="1" xml:space="preserve">
VLOOKUP(
  $D733,
  Name!$A:$B,
  2,
  FALSE
)
&amp; " " &amp;
IF($B733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Catarina Russo Nunes</v>
      </c>
      <c r="F733" s="7">
        <v>2</v>
      </c>
      <c r="G733" s="7" cm="1">
        <f t="array" aca="1" ref="G733" ca="1">INDEX(States!$B:$B,RANDBETWEEN(2,COUNTA(States!$A:$A)),1)</f>
        <v>14</v>
      </c>
      <c r="H733" s="7" t="str">
        <f ca="1">VLOOKUP($D733,Name!$A:$C,3,FALSE)</f>
        <v>F</v>
      </c>
      <c r="I733" s="7" cm="1">
        <f t="array" aca="1" ref="I733" ca="1">INDEX('Marital status'!$A:$A,RANDBETWEEN(2,COUNTA('Marital status'!$A:$A)),1)</f>
        <v>5</v>
      </c>
      <c r="J733" s="7">
        <f t="shared" ca="1" si="135"/>
        <v>2</v>
      </c>
      <c r="K733" s="8">
        <f t="shared" ca="1" si="136"/>
        <v>33776</v>
      </c>
      <c r="L733" s="6">
        <f t="shared" ca="1" si="137"/>
        <v>4</v>
      </c>
      <c r="M733" s="7">
        <f ca="1" xml:space="preserve">
  IF(OR($N733 = 2, $N733 = 3, $N733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733" s="6">
        <f t="shared" ca="1" si="138"/>
        <v>8</v>
      </c>
      <c r="O733" s="6">
        <f t="shared" ca="1" si="139"/>
        <v>3</v>
      </c>
      <c r="P733" s="8">
        <f t="shared" ca="1" si="140"/>
        <v>40931</v>
      </c>
      <c r="Q733" s="6">
        <f ca="1">RANDBETWEEN(2,COUNTA('Recruitment source'!$A:$A))</f>
        <v>8</v>
      </c>
      <c r="R733" s="8" t="e">
        <f t="shared" ca="1" si="141"/>
        <v>#N/A</v>
      </c>
      <c r="S733" s="6" t="e">
        <f t="shared" ca="1" si="142"/>
        <v>#N/A</v>
      </c>
      <c r="T733" s="6">
        <f t="shared" ca="1" si="132"/>
        <v>2</v>
      </c>
      <c r="U733" s="1">
        <f t="shared" ca="1" si="143"/>
        <v>2080</v>
      </c>
    </row>
    <row r="734" spans="1:21" x14ac:dyDescent="0.2">
      <c r="A734" s="7" cm="1">
        <f t="array" aca="1" ref="A734" ca="1">INDEX(Companies!$A:$A,RANDBETWEEN(2,COUNTA(Companies!$A:$A)),1)</f>
        <v>2</v>
      </c>
      <c r="B734" s="5">
        <f t="shared" si="133"/>
        <v>733</v>
      </c>
      <c r="C734" s="6">
        <f t="shared" ca="1" si="134"/>
        <v>1</v>
      </c>
      <c r="D734" s="7">
        <f ca="1">IF($B734 = 1 + N("Presidente"),
    127,
    IF($B734 = 2 + N("Vice-Presidente"),
        72,
        IF($B734 = 3 + N("Secretária bilíngue"),
            13,
            RANDBETWEEN(5,COUNT(Name!$A:$A) + 1)
        )
    )
)</f>
        <v>31</v>
      </c>
      <c r="E734" s="7" t="str">
        <f ca="1" xml:space="preserve">
VLOOKUP(
  $D734,
  Name!$A:$B,
  2,
  FALSE
)
&amp; " " &amp;
IF($B734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Júlia Rocha Mazza</v>
      </c>
      <c r="F734" s="7">
        <v>2</v>
      </c>
      <c r="G734" s="7" cm="1">
        <f t="array" aca="1" ref="G734" ca="1">INDEX(States!$B:$B,RANDBETWEEN(2,COUNTA(States!$A:$A)),1)</f>
        <v>6</v>
      </c>
      <c r="H734" s="7" t="str">
        <f ca="1">VLOOKUP($D734,Name!$A:$C,3,FALSE)</f>
        <v>F</v>
      </c>
      <c r="I734" s="7" cm="1">
        <f t="array" aca="1" ref="I734" ca="1">INDEX('Marital status'!$A:$A,RANDBETWEEN(2,COUNTA('Marital status'!$A:$A)),1)</f>
        <v>5</v>
      </c>
      <c r="J734" s="7">
        <f t="shared" ca="1" si="135"/>
        <v>2</v>
      </c>
      <c r="K734" s="8">
        <f t="shared" ca="1" si="136"/>
        <v>20323</v>
      </c>
      <c r="L734" s="6">
        <f t="shared" ca="1" si="137"/>
        <v>4</v>
      </c>
      <c r="M734" s="7">
        <f ca="1" xml:space="preserve">
  IF(OR($N734 = 2, $N734 = 3, $N734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734" s="6">
        <f t="shared" ca="1" si="138"/>
        <v>6</v>
      </c>
      <c r="O734" s="6" t="e">
        <f t="shared" ca="1" si="139"/>
        <v>#N/A</v>
      </c>
      <c r="P734" s="8">
        <f t="shared" ca="1" si="140"/>
        <v>41466</v>
      </c>
      <c r="Q734" s="6">
        <f ca="1">RANDBETWEEN(2,COUNTA('Recruitment source'!$A:$A))</f>
        <v>10</v>
      </c>
      <c r="R734" s="8" t="e">
        <f t="shared" ca="1" si="141"/>
        <v>#N/A</v>
      </c>
      <c r="S734" s="6" t="e">
        <f t="shared" ca="1" si="142"/>
        <v>#N/A</v>
      </c>
      <c r="T734" s="6">
        <f t="shared" ca="1" si="132"/>
        <v>3</v>
      </c>
      <c r="U734" s="1">
        <f t="shared" ca="1" si="143"/>
        <v>805</v>
      </c>
    </row>
    <row r="735" spans="1:21" x14ac:dyDescent="0.2">
      <c r="A735" s="7" cm="1">
        <f t="array" aca="1" ref="A735" ca="1">INDEX(Companies!$A:$A,RANDBETWEEN(2,COUNTA(Companies!$A:$A)),1)</f>
        <v>2</v>
      </c>
      <c r="B735" s="5">
        <f t="shared" si="133"/>
        <v>734</v>
      </c>
      <c r="C735" s="6">
        <f t="shared" ca="1" si="134"/>
        <v>1</v>
      </c>
      <c r="D735" s="7">
        <f ca="1">IF($B735 = 1 + N("Presidente"),
    127,
    IF($B735 = 2 + N("Vice-Presidente"),
        72,
        IF($B735 = 3 + N("Secretária bilíngue"),
            13,
            RANDBETWEEN(5,COUNT(Name!$A:$A) + 1)
        )
    )
)</f>
        <v>292</v>
      </c>
      <c r="E735" s="7" t="str">
        <f ca="1" xml:space="preserve">
VLOOKUP(
  $D735,
  Name!$A:$B,
  2,
  FALSE
)
&amp; " " &amp;
IF($B735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Micaela Lombardi Almeida</v>
      </c>
      <c r="F735" s="7">
        <v>2</v>
      </c>
      <c r="G735" s="7" cm="1">
        <f t="array" aca="1" ref="G735" ca="1">INDEX(States!$B:$B,RANDBETWEEN(2,COUNTA(States!$A:$A)),1)</f>
        <v>4</v>
      </c>
      <c r="H735" s="7" t="str">
        <f ca="1">VLOOKUP($D735,Name!$A:$C,3,FALSE)</f>
        <v>F</v>
      </c>
      <c r="I735" s="7" cm="1">
        <f t="array" aca="1" ref="I735" ca="1">INDEX('Marital status'!$A:$A,RANDBETWEEN(2,COUNTA('Marital status'!$A:$A)),1)</f>
        <v>4</v>
      </c>
      <c r="J735" s="7">
        <f t="shared" ca="1" si="135"/>
        <v>3</v>
      </c>
      <c r="K735" s="8">
        <f t="shared" ca="1" si="136"/>
        <v>35527</v>
      </c>
      <c r="L735" s="6">
        <f t="shared" ca="1" si="137"/>
        <v>5</v>
      </c>
      <c r="M735" s="7">
        <f ca="1" xml:space="preserve">
  IF(OR($N735 = 2, $N735 = 3, $N735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735" s="6">
        <f t="shared" ca="1" si="138"/>
        <v>8</v>
      </c>
      <c r="O735" s="6">
        <f t="shared" ca="1" si="139"/>
        <v>3</v>
      </c>
      <c r="P735" s="8">
        <f t="shared" ca="1" si="140"/>
        <v>37984</v>
      </c>
      <c r="Q735" s="6">
        <f ca="1">RANDBETWEEN(2,COUNTA('Recruitment source'!$A:$A))</f>
        <v>3</v>
      </c>
      <c r="R735" s="8" t="e">
        <f t="shared" ca="1" si="141"/>
        <v>#N/A</v>
      </c>
      <c r="S735" s="6" t="e">
        <f t="shared" ca="1" si="142"/>
        <v>#N/A</v>
      </c>
      <c r="T735" s="6">
        <f t="shared" ca="1" si="132"/>
        <v>4</v>
      </c>
      <c r="U735" s="1">
        <f t="shared" ca="1" si="143"/>
        <v>2000</v>
      </c>
    </row>
    <row r="736" spans="1:21" x14ac:dyDescent="0.2">
      <c r="A736" s="7" cm="1">
        <f t="array" aca="1" ref="A736" ca="1">INDEX(Companies!$A:$A,RANDBETWEEN(2,COUNTA(Companies!$A:$A)),1)</f>
        <v>2</v>
      </c>
      <c r="B736" s="5">
        <f t="shared" si="133"/>
        <v>735</v>
      </c>
      <c r="C736" s="6">
        <f t="shared" ca="1" si="134"/>
        <v>1</v>
      </c>
      <c r="D736" s="7">
        <f ca="1">IF($B736 = 1 + N("Presidente"),
    127,
    IF($B736 = 2 + N("Vice-Presidente"),
        72,
        IF($B736 = 3 + N("Secretária bilíngue"),
            13,
            RANDBETWEEN(5,COUNT(Name!$A:$A) + 1)
        )
    )
)</f>
        <v>327</v>
      </c>
      <c r="E736" s="7" t="str">
        <f ca="1" xml:space="preserve">
VLOOKUP(
  $D736,
  Name!$A:$B,
  2,
  FALSE
)
&amp; " " &amp;
IF($B736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Raquel Alcantara Brito</v>
      </c>
      <c r="F736" s="7">
        <v>2</v>
      </c>
      <c r="G736" s="7" cm="1">
        <f t="array" aca="1" ref="G736" ca="1">INDEX(States!$B:$B,RANDBETWEEN(2,COUNTA(States!$A:$A)),1)</f>
        <v>7</v>
      </c>
      <c r="H736" s="7" t="str">
        <f ca="1">VLOOKUP($D736,Name!$A:$C,3,FALSE)</f>
        <v>F</v>
      </c>
      <c r="I736" s="7" cm="1">
        <f t="array" aca="1" ref="I736" ca="1">INDEX('Marital status'!$A:$A,RANDBETWEEN(2,COUNTA('Marital status'!$A:$A)),1)</f>
        <v>3</v>
      </c>
      <c r="J736" s="7">
        <f t="shared" ca="1" si="135"/>
        <v>2</v>
      </c>
      <c r="K736" s="8">
        <f t="shared" ca="1" si="136"/>
        <v>34151</v>
      </c>
      <c r="L736" s="6">
        <f t="shared" ca="1" si="137"/>
        <v>4</v>
      </c>
      <c r="M736" s="7">
        <f ca="1" xml:space="preserve">
  IF(OR($N736 = 2, $N736 = 3, $N736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736" s="6">
        <f t="shared" ca="1" si="138"/>
        <v>7</v>
      </c>
      <c r="O736" s="6" t="e">
        <f t="shared" ca="1" si="139"/>
        <v>#N/A</v>
      </c>
      <c r="P736" s="8">
        <f t="shared" ca="1" si="140"/>
        <v>39359</v>
      </c>
      <c r="Q736" s="6">
        <f ca="1">RANDBETWEEN(2,COUNTA('Recruitment source'!$A:$A))</f>
        <v>11</v>
      </c>
      <c r="R736" s="8" t="e">
        <f t="shared" ca="1" si="141"/>
        <v>#N/A</v>
      </c>
      <c r="S736" s="6" t="e">
        <f t="shared" ca="1" si="142"/>
        <v>#N/A</v>
      </c>
      <c r="T736" s="6">
        <f t="shared" ca="1" si="132"/>
        <v>2</v>
      </c>
      <c r="U736" s="1">
        <f t="shared" ca="1" si="143"/>
        <v>1005</v>
      </c>
    </row>
    <row r="737" spans="1:21" x14ac:dyDescent="0.2">
      <c r="A737" s="7" cm="1">
        <f t="array" aca="1" ref="A737" ca="1">INDEX(Companies!$A:$A,RANDBETWEEN(2,COUNTA(Companies!$A:$A)),1)</f>
        <v>2</v>
      </c>
      <c r="B737" s="5">
        <f t="shared" si="133"/>
        <v>736</v>
      </c>
      <c r="C737" s="6">
        <f t="shared" ca="1" si="134"/>
        <v>1</v>
      </c>
      <c r="D737" s="7">
        <f ca="1">IF($B737 = 1 + N("Presidente"),
    127,
    IF($B737 = 2 + N("Vice-Presidente"),
        72,
        IF($B737 = 3 + N("Secretária bilíngue"),
            13,
            RANDBETWEEN(5,COUNT(Name!$A:$A) + 1)
        )
    )
)</f>
        <v>225</v>
      </c>
      <c r="E737" s="7" t="str">
        <f ca="1" xml:space="preserve">
VLOOKUP(
  $D737,
  Name!$A:$B,
  2,
  FALSE
)
&amp; " " &amp;
IF($B737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Levi Rocha Fernandes</v>
      </c>
      <c r="F737" s="7">
        <v>2</v>
      </c>
      <c r="G737" s="7" cm="1">
        <f t="array" aca="1" ref="G737" ca="1">INDEX(States!$B:$B,RANDBETWEEN(2,COUNTA(States!$A:$A)),1)</f>
        <v>9</v>
      </c>
      <c r="H737" s="7" t="str">
        <f ca="1">VLOOKUP($D737,Name!$A:$C,3,FALSE)</f>
        <v>M</v>
      </c>
      <c r="I737" s="7" cm="1">
        <f t="array" aca="1" ref="I737" ca="1">INDEX('Marital status'!$A:$A,RANDBETWEEN(2,COUNTA('Marital status'!$A:$A)),1)</f>
        <v>3</v>
      </c>
      <c r="J737" s="7">
        <f t="shared" ca="1" si="135"/>
        <v>4</v>
      </c>
      <c r="K737" s="8">
        <f t="shared" ca="1" si="136"/>
        <v>37527</v>
      </c>
      <c r="L737" s="6">
        <f t="shared" ca="1" si="137"/>
        <v>4</v>
      </c>
      <c r="M737" s="7">
        <f ca="1" xml:space="preserve">
  IF(OR($N737 = 2, $N737 = 3, $N737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737" s="6">
        <f t="shared" ca="1" si="138"/>
        <v>8</v>
      </c>
      <c r="O737" s="6">
        <f t="shared" ca="1" si="139"/>
        <v>4</v>
      </c>
      <c r="P737" s="8">
        <f t="shared" ca="1" si="140"/>
        <v>36412</v>
      </c>
      <c r="Q737" s="6">
        <f ca="1">RANDBETWEEN(2,COUNTA('Recruitment source'!$A:$A))</f>
        <v>12</v>
      </c>
      <c r="R737" s="8" t="e">
        <f t="shared" ca="1" si="141"/>
        <v>#N/A</v>
      </c>
      <c r="S737" s="6" t="e">
        <f t="shared" ca="1" si="142"/>
        <v>#N/A</v>
      </c>
      <c r="T737" s="6">
        <f t="shared" ca="1" si="132"/>
        <v>3</v>
      </c>
      <c r="U737" s="1">
        <f t="shared" ca="1" si="143"/>
        <v>2000</v>
      </c>
    </row>
    <row r="738" spans="1:21" x14ac:dyDescent="0.2">
      <c r="A738" s="7" cm="1">
        <f t="array" aca="1" ref="A738" ca="1">INDEX(Companies!$A:$A,RANDBETWEEN(2,COUNTA(Companies!$A:$A)),1)</f>
        <v>2</v>
      </c>
      <c r="B738" s="5">
        <f t="shared" si="133"/>
        <v>737</v>
      </c>
      <c r="C738" s="6">
        <f t="shared" ca="1" si="134"/>
        <v>1</v>
      </c>
      <c r="D738" s="7">
        <f ca="1">IF($B738 = 1 + N("Presidente"),
    127,
    IF($B738 = 2 + N("Vice-Presidente"),
        72,
        IF($B738 = 3 + N("Secretária bilíngue"),
            13,
            RANDBETWEEN(5,COUNT(Name!$A:$A) + 1)
        )
    )
)</f>
        <v>126</v>
      </c>
      <c r="E738" s="7" t="str">
        <f ca="1" xml:space="preserve">
VLOOKUP(
  $D738,
  Name!$A:$B,
  2,
  FALSE
)
&amp; " " &amp;
IF($B738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Enrico Mello Giordano</v>
      </c>
      <c r="F738" s="7">
        <v>2</v>
      </c>
      <c r="G738" s="7" cm="1">
        <f t="array" aca="1" ref="G738" ca="1">INDEX(States!$B:$B,RANDBETWEEN(2,COUNTA(States!$A:$A)),1)</f>
        <v>8</v>
      </c>
      <c r="H738" s="7" t="str">
        <f ca="1">VLOOKUP($D738,Name!$A:$C,3,FALSE)</f>
        <v>M</v>
      </c>
      <c r="I738" s="7" cm="1">
        <f t="array" aca="1" ref="I738" ca="1">INDEX('Marital status'!$A:$A,RANDBETWEEN(2,COUNTA('Marital status'!$A:$A)),1)</f>
        <v>2</v>
      </c>
      <c r="J738" s="7">
        <f t="shared" ca="1" si="135"/>
        <v>2</v>
      </c>
      <c r="K738" s="8">
        <f t="shared" ca="1" si="136"/>
        <v>20989</v>
      </c>
      <c r="L738" s="6">
        <f t="shared" ca="1" si="137"/>
        <v>4</v>
      </c>
      <c r="M738" s="7">
        <f ca="1" xml:space="preserve">
  IF(OR($N738 = 2, $N738 = 3, $N738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738" s="6">
        <f t="shared" ca="1" si="138"/>
        <v>6</v>
      </c>
      <c r="O738" s="6" t="e">
        <f t="shared" ca="1" si="139"/>
        <v>#N/A</v>
      </c>
      <c r="P738" s="8">
        <f t="shared" ca="1" si="140"/>
        <v>37846</v>
      </c>
      <c r="Q738" s="6">
        <f ca="1">RANDBETWEEN(2,COUNTA('Recruitment source'!$A:$A))</f>
        <v>10</v>
      </c>
      <c r="R738" s="8" t="e">
        <f t="shared" ca="1" si="141"/>
        <v>#N/A</v>
      </c>
      <c r="S738" s="6" t="e">
        <f t="shared" ca="1" si="142"/>
        <v>#N/A</v>
      </c>
      <c r="T738" s="6">
        <f t="shared" ca="1" si="132"/>
        <v>5</v>
      </c>
      <c r="U738" s="1">
        <f t="shared" ca="1" si="143"/>
        <v>805</v>
      </c>
    </row>
    <row r="739" spans="1:21" x14ac:dyDescent="0.2">
      <c r="A739" s="7" cm="1">
        <f t="array" aca="1" ref="A739" ca="1">INDEX(Companies!$A:$A,RANDBETWEEN(2,COUNTA(Companies!$A:$A)),1)</f>
        <v>2</v>
      </c>
      <c r="B739" s="5">
        <f t="shared" si="133"/>
        <v>738</v>
      </c>
      <c r="C739" s="6">
        <f t="shared" ca="1" si="134"/>
        <v>1</v>
      </c>
      <c r="D739" s="7">
        <f ca="1">IF($B739 = 1 + N("Presidente"),
    127,
    IF($B739 = 2 + N("Vice-Presidente"),
        72,
        IF($B739 = 3 + N("Secretária bilíngue"),
            13,
            RANDBETWEEN(5,COUNT(Name!$A:$A) + 1)
        )
    )
)</f>
        <v>64</v>
      </c>
      <c r="E739" s="7" t="str">
        <f ca="1" xml:space="preserve">
VLOOKUP(
  $D739,
  Name!$A:$B,
  2,
  FALSE
)
&amp; " " &amp;
IF($B739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Ayla Alencar Bermudes</v>
      </c>
      <c r="F739" s="7">
        <v>2</v>
      </c>
      <c r="G739" s="7" cm="1">
        <f t="array" aca="1" ref="G739" ca="1">INDEX(States!$B:$B,RANDBETWEEN(2,COUNTA(States!$A:$A)),1)</f>
        <v>7</v>
      </c>
      <c r="H739" s="7" t="str">
        <f ca="1">VLOOKUP($D739,Name!$A:$C,3,FALSE)</f>
        <v>F</v>
      </c>
      <c r="I739" s="7" cm="1">
        <f t="array" aca="1" ref="I739" ca="1">INDEX('Marital status'!$A:$A,RANDBETWEEN(2,COUNTA('Marital status'!$A:$A)),1)</f>
        <v>6</v>
      </c>
      <c r="J739" s="7">
        <f t="shared" ca="1" si="135"/>
        <v>2</v>
      </c>
      <c r="K739" s="8">
        <f t="shared" ca="1" si="136"/>
        <v>37015</v>
      </c>
      <c r="L739" s="6">
        <f t="shared" ca="1" si="137"/>
        <v>5</v>
      </c>
      <c r="M739" s="7">
        <f ca="1" xml:space="preserve">
  IF(OR($N739 = 2, $N739 = 3, $N739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739" s="6">
        <f t="shared" ca="1" si="138"/>
        <v>8</v>
      </c>
      <c r="O739" s="6">
        <f t="shared" ca="1" si="139"/>
        <v>3</v>
      </c>
      <c r="P739" s="8">
        <f t="shared" ca="1" si="140"/>
        <v>44320</v>
      </c>
      <c r="Q739" s="6">
        <f ca="1">RANDBETWEEN(2,COUNTA('Recruitment source'!$A:$A))</f>
        <v>11</v>
      </c>
      <c r="R739" s="8" t="e">
        <f t="shared" ca="1" si="141"/>
        <v>#N/A</v>
      </c>
      <c r="S739" s="6" t="e">
        <f t="shared" ca="1" si="142"/>
        <v>#N/A</v>
      </c>
      <c r="T739" s="6">
        <f t="shared" ca="1" si="132"/>
        <v>4</v>
      </c>
      <c r="U739" s="1">
        <f t="shared" ca="1" si="143"/>
        <v>2080</v>
      </c>
    </row>
    <row r="740" spans="1:21" x14ac:dyDescent="0.2">
      <c r="A740" s="7" cm="1">
        <f t="array" aca="1" ref="A740" ca="1">INDEX(Companies!$A:$A,RANDBETWEEN(2,COUNTA(Companies!$A:$A)),1)</f>
        <v>2</v>
      </c>
      <c r="B740" s="5">
        <f t="shared" si="133"/>
        <v>739</v>
      </c>
      <c r="C740" s="6">
        <f t="shared" ca="1" si="134"/>
        <v>1</v>
      </c>
      <c r="D740" s="7">
        <f ca="1">IF($B740 = 1 + N("Presidente"),
    127,
    IF($B740 = 2 + N("Vice-Presidente"),
        72,
        IF($B740 = 3 + N("Secretária bilíngue"),
            13,
            RANDBETWEEN(5,COUNT(Name!$A:$A) + 1)
        )
    )
)</f>
        <v>161</v>
      </c>
      <c r="E740" s="7" t="str">
        <f ca="1" xml:space="preserve">
VLOOKUP(
  $D740,
  Name!$A:$B,
  2,
  FALSE
)
&amp; " " &amp;
IF($B740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Heitor Pedrosa Bandeira</v>
      </c>
      <c r="F740" s="7">
        <v>2</v>
      </c>
      <c r="G740" s="7" cm="1">
        <f t="array" aca="1" ref="G740" ca="1">INDEX(States!$B:$B,RANDBETWEEN(2,COUNTA(States!$A:$A)),1)</f>
        <v>8</v>
      </c>
      <c r="H740" s="7" t="str">
        <f ca="1">VLOOKUP($D740,Name!$A:$C,3,FALSE)</f>
        <v>M</v>
      </c>
      <c r="I740" s="7" cm="1">
        <f t="array" aca="1" ref="I740" ca="1">INDEX('Marital status'!$A:$A,RANDBETWEEN(2,COUNTA('Marital status'!$A:$A)),1)</f>
        <v>3</v>
      </c>
      <c r="J740" s="7">
        <f t="shared" ca="1" si="135"/>
        <v>2</v>
      </c>
      <c r="K740" s="8">
        <f t="shared" ca="1" si="136"/>
        <v>31409</v>
      </c>
      <c r="L740" s="6">
        <f t="shared" ca="1" si="137"/>
        <v>4</v>
      </c>
      <c r="M740" s="7">
        <f ca="1" xml:space="preserve">
  IF(OR($N740 = 2, $N740 = 3, $N740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740" s="6">
        <f t="shared" ca="1" si="138"/>
        <v>7</v>
      </c>
      <c r="O740" s="6" t="e">
        <f t="shared" ca="1" si="139"/>
        <v>#N/A</v>
      </c>
      <c r="P740" s="8">
        <f t="shared" ca="1" si="140"/>
        <v>36617</v>
      </c>
      <c r="Q740" s="6">
        <f ca="1">RANDBETWEEN(2,COUNTA('Recruitment source'!$A:$A))</f>
        <v>8</v>
      </c>
      <c r="R740" s="8" t="e">
        <f t="shared" ca="1" si="141"/>
        <v>#N/A</v>
      </c>
      <c r="S740" s="6" t="e">
        <f t="shared" ca="1" si="142"/>
        <v>#N/A</v>
      </c>
      <c r="T740" s="6">
        <f t="shared" ca="1" si="132"/>
        <v>5</v>
      </c>
      <c r="U740" s="1">
        <f t="shared" ca="1" si="143"/>
        <v>1005</v>
      </c>
    </row>
    <row r="741" spans="1:21" x14ac:dyDescent="0.2">
      <c r="A741" s="7" cm="1">
        <f t="array" aca="1" ref="A741" ca="1">INDEX(Companies!$A:$A,RANDBETWEEN(2,COUNTA(Companies!$A:$A)),1)</f>
        <v>2</v>
      </c>
      <c r="B741" s="5">
        <f t="shared" si="133"/>
        <v>740</v>
      </c>
      <c r="C741" s="6">
        <f t="shared" ca="1" si="134"/>
        <v>1</v>
      </c>
      <c r="D741" s="7">
        <f ca="1">IF($B741 = 1 + N("Presidente"),
    127,
    IF($B741 = 2 + N("Vice-Presidente"),
        72,
        IF($B741 = 3 + N("Secretária bilíngue"),
            13,
            RANDBETWEEN(5,COUNT(Name!$A:$A) + 1)
        )
    )
)</f>
        <v>203</v>
      </c>
      <c r="E741" s="7" t="str">
        <f ca="1" xml:space="preserve">
VLOOKUP(
  $D741,
  Name!$A:$B,
  2,
  FALSE
)
&amp; " " &amp;
IF($B741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Juliana Coelho Barboza</v>
      </c>
      <c r="F741" s="7">
        <v>2</v>
      </c>
      <c r="G741" s="7" cm="1">
        <f t="array" aca="1" ref="G741" ca="1">INDEX(States!$B:$B,RANDBETWEEN(2,COUNTA(States!$A:$A)),1)</f>
        <v>10</v>
      </c>
      <c r="H741" s="7" t="str">
        <f ca="1">VLOOKUP($D741,Name!$A:$C,3,FALSE)</f>
        <v>F</v>
      </c>
      <c r="I741" s="7" cm="1">
        <f t="array" aca="1" ref="I741" ca="1">INDEX('Marital status'!$A:$A,RANDBETWEEN(2,COUNTA('Marital status'!$A:$A)),1)</f>
        <v>3</v>
      </c>
      <c r="J741" s="7">
        <f t="shared" ca="1" si="135"/>
        <v>5</v>
      </c>
      <c r="K741" s="8">
        <f t="shared" ca="1" si="136"/>
        <v>37862</v>
      </c>
      <c r="L741" s="6">
        <f t="shared" ca="1" si="137"/>
        <v>5</v>
      </c>
      <c r="M741" s="7">
        <f ca="1" xml:space="preserve">
  IF(OR($N741 = 2, $N741 = 3, $N741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741" s="6">
        <f t="shared" ca="1" si="138"/>
        <v>8</v>
      </c>
      <c r="O741" s="6">
        <f t="shared" ca="1" si="139"/>
        <v>4</v>
      </c>
      <c r="P741" s="8">
        <f t="shared" ca="1" si="140"/>
        <v>42968</v>
      </c>
      <c r="Q741" s="6">
        <f ca="1">RANDBETWEEN(2,COUNTA('Recruitment source'!$A:$A))</f>
        <v>2</v>
      </c>
      <c r="R741" s="8" t="e">
        <f t="shared" ca="1" si="141"/>
        <v>#N/A</v>
      </c>
      <c r="S741" s="6" t="e">
        <f t="shared" ca="1" si="142"/>
        <v>#N/A</v>
      </c>
      <c r="T741" s="6">
        <f t="shared" ca="1" si="132"/>
        <v>3</v>
      </c>
      <c r="U741" s="1">
        <f t="shared" ca="1" si="143"/>
        <v>2080</v>
      </c>
    </row>
    <row r="742" spans="1:21" x14ac:dyDescent="0.2">
      <c r="A742" s="7" cm="1">
        <f t="array" aca="1" ref="A742" ca="1">INDEX(Companies!$A:$A,RANDBETWEEN(2,COUNTA(Companies!$A:$A)),1)</f>
        <v>2</v>
      </c>
      <c r="B742" s="5">
        <f t="shared" si="133"/>
        <v>741</v>
      </c>
      <c r="C742" s="6">
        <f t="shared" ca="1" si="134"/>
        <v>1</v>
      </c>
      <c r="D742" s="7">
        <f ca="1">IF($B742 = 1 + N("Presidente"),
    127,
    IF($B742 = 2 + N("Vice-Presidente"),
        72,
        IF($B742 = 3 + N("Secretária bilíngue"),
            13,
            RANDBETWEEN(5,COUNT(Name!$A:$A) + 1)
        )
    )
)</f>
        <v>333</v>
      </c>
      <c r="E742" s="7" t="str">
        <f ca="1" xml:space="preserve">
VLOOKUP(
  $D742,
  Name!$A:$B,
  2,
  FALSE
)
&amp; " " &amp;
IF($B742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Ruan sobrenome Caminha</v>
      </c>
      <c r="F742" s="7">
        <v>2</v>
      </c>
      <c r="G742" s="7" cm="1">
        <f t="array" aca="1" ref="G742" ca="1">INDEX(States!$B:$B,RANDBETWEEN(2,COUNTA(States!$A:$A)),1)</f>
        <v>17</v>
      </c>
      <c r="H742" s="7" t="str">
        <f ca="1">VLOOKUP($D742,Name!$A:$C,3,FALSE)</f>
        <v>M</v>
      </c>
      <c r="I742" s="7" cm="1">
        <f t="array" aca="1" ref="I742" ca="1">INDEX('Marital status'!$A:$A,RANDBETWEEN(2,COUNTA('Marital status'!$A:$A)),1)</f>
        <v>2</v>
      </c>
      <c r="J742" s="7">
        <f t="shared" ca="1" si="135"/>
        <v>3</v>
      </c>
      <c r="K742" s="8">
        <f t="shared" ca="1" si="136"/>
        <v>25866</v>
      </c>
      <c r="L742" s="6">
        <f t="shared" ca="1" si="137"/>
        <v>4</v>
      </c>
      <c r="M742" s="7">
        <f ca="1" xml:space="preserve">
  IF(OR($N742 = 2, $N742 = 3, $N742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742" s="6">
        <f t="shared" ca="1" si="138"/>
        <v>6</v>
      </c>
      <c r="O742" s="6" t="e">
        <f t="shared" ca="1" si="139"/>
        <v>#N/A</v>
      </c>
      <c r="P742" s="8">
        <f t="shared" ca="1" si="140"/>
        <v>41283</v>
      </c>
      <c r="Q742" s="6">
        <f ca="1">RANDBETWEEN(2,COUNTA('Recruitment source'!$A:$A))</f>
        <v>10</v>
      </c>
      <c r="R742" s="8" t="e">
        <f t="shared" ca="1" si="141"/>
        <v>#N/A</v>
      </c>
      <c r="S742" s="6" t="e">
        <f t="shared" ca="1" si="142"/>
        <v>#N/A</v>
      </c>
      <c r="T742" s="6">
        <f t="shared" ca="1" si="132"/>
        <v>5</v>
      </c>
      <c r="U742" s="1">
        <f t="shared" ca="1" si="143"/>
        <v>805</v>
      </c>
    </row>
    <row r="743" spans="1:21" x14ac:dyDescent="0.2">
      <c r="A743" s="7" cm="1">
        <f t="array" aca="1" ref="A743" ca="1">INDEX(Companies!$A:$A,RANDBETWEEN(2,COUNTA(Companies!$A:$A)),1)</f>
        <v>2</v>
      </c>
      <c r="B743" s="5">
        <f t="shared" si="133"/>
        <v>742</v>
      </c>
      <c r="C743" s="6">
        <f t="shared" ca="1" si="134"/>
        <v>1</v>
      </c>
      <c r="D743" s="7">
        <f ca="1">IF($B743 = 1 + N("Presidente"),
    127,
    IF($B743 = 2 + N("Vice-Presidente"),
        72,
        IF($B743 = 3 + N("Secretária bilíngue"),
            13,
            RANDBETWEEN(5,COUNT(Name!$A:$A) + 1)
        )
    )
)</f>
        <v>333</v>
      </c>
      <c r="E743" s="7" t="str">
        <f ca="1" xml:space="preserve">
VLOOKUP(
  $D743,
  Name!$A:$B,
  2,
  FALSE
)
&amp; " " &amp;
IF($B743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Ruan Fernandes Freitas</v>
      </c>
      <c r="F743" s="7">
        <v>2</v>
      </c>
      <c r="G743" s="7" cm="1">
        <f t="array" aca="1" ref="G743" ca="1">INDEX(States!$B:$B,RANDBETWEEN(2,COUNTA(States!$A:$A)),1)</f>
        <v>12</v>
      </c>
      <c r="H743" s="7" t="str">
        <f ca="1">VLOOKUP($D743,Name!$A:$C,3,FALSE)</f>
        <v>M</v>
      </c>
      <c r="I743" s="7" cm="1">
        <f t="array" aca="1" ref="I743" ca="1">INDEX('Marital status'!$A:$A,RANDBETWEEN(2,COUNTA('Marital status'!$A:$A)),1)</f>
        <v>2</v>
      </c>
      <c r="J743" s="7">
        <f t="shared" ca="1" si="135"/>
        <v>2</v>
      </c>
      <c r="K743" s="8">
        <f t="shared" ca="1" si="136"/>
        <v>34400</v>
      </c>
      <c r="L743" s="6">
        <f t="shared" ca="1" si="137"/>
        <v>4</v>
      </c>
      <c r="M743" s="7">
        <f ca="1" xml:space="preserve">
  IF(OR($N743 = 2, $N743 = 3, $N743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743" s="6">
        <f t="shared" ca="1" si="138"/>
        <v>8</v>
      </c>
      <c r="O743" s="6">
        <f t="shared" ca="1" si="139"/>
        <v>4</v>
      </c>
      <c r="P743" s="8">
        <f t="shared" ca="1" si="140"/>
        <v>40646</v>
      </c>
      <c r="Q743" s="6">
        <f ca="1">RANDBETWEEN(2,COUNTA('Recruitment source'!$A:$A))</f>
        <v>2</v>
      </c>
      <c r="R743" s="8" t="e">
        <f t="shared" ca="1" si="141"/>
        <v>#N/A</v>
      </c>
      <c r="S743" s="6" t="e">
        <f t="shared" ca="1" si="142"/>
        <v>#N/A</v>
      </c>
      <c r="T743" s="6">
        <f t="shared" ca="1" si="132"/>
        <v>4</v>
      </c>
      <c r="U743" s="1">
        <f t="shared" ca="1" si="143"/>
        <v>2000</v>
      </c>
    </row>
    <row r="744" spans="1:21" x14ac:dyDescent="0.2">
      <c r="A744" s="7" cm="1">
        <f t="array" aca="1" ref="A744" ca="1">INDEX(Companies!$A:$A,RANDBETWEEN(2,COUNTA(Companies!$A:$A)),1)</f>
        <v>2</v>
      </c>
      <c r="B744" s="5">
        <f t="shared" si="133"/>
        <v>743</v>
      </c>
      <c r="C744" s="6">
        <f t="shared" ca="1" si="134"/>
        <v>1</v>
      </c>
      <c r="D744" s="7">
        <f ca="1">IF($B744 = 1 + N("Presidente"),
    127,
    IF($B744 = 2 + N("Vice-Presidente"),
        72,
        IF($B744 = 3 + N("Secretária bilíngue"),
            13,
            RANDBETWEEN(5,COUNT(Name!$A:$A) + 1)
        )
    )
)</f>
        <v>327</v>
      </c>
      <c r="E744" s="7" t="str">
        <f ca="1" xml:space="preserve">
VLOOKUP(
  $D744,
  Name!$A:$B,
  2,
  FALSE
)
&amp; " " &amp;
IF($B744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Raquel Costatini Freitas</v>
      </c>
      <c r="F744" s="7">
        <v>2</v>
      </c>
      <c r="G744" s="7" cm="1">
        <f t="array" aca="1" ref="G744" ca="1">INDEX(States!$B:$B,RANDBETWEEN(2,COUNTA(States!$A:$A)),1)</f>
        <v>4</v>
      </c>
      <c r="H744" s="7" t="str">
        <f ca="1">VLOOKUP($D744,Name!$A:$C,3,FALSE)</f>
        <v>F</v>
      </c>
      <c r="I744" s="7" cm="1">
        <f t="array" aca="1" ref="I744" ca="1">INDEX('Marital status'!$A:$A,RANDBETWEEN(2,COUNTA('Marital status'!$A:$A)),1)</f>
        <v>4</v>
      </c>
      <c r="J744" s="7">
        <f t="shared" ca="1" si="135"/>
        <v>2</v>
      </c>
      <c r="K744" s="8">
        <f t="shared" ca="1" si="136"/>
        <v>32271</v>
      </c>
      <c r="L744" s="6">
        <f t="shared" ca="1" si="137"/>
        <v>4</v>
      </c>
      <c r="M744" s="7">
        <f ca="1" xml:space="preserve">
  IF(OR($N744 = 2, $N744 = 3, $N744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744" s="6">
        <f t="shared" ca="1" si="138"/>
        <v>7</v>
      </c>
      <c r="O744" s="6" t="e">
        <f t="shared" ca="1" si="139"/>
        <v>#N/A</v>
      </c>
      <c r="P744" s="8">
        <f t="shared" ca="1" si="140"/>
        <v>42899</v>
      </c>
      <c r="Q744" s="6">
        <f ca="1">RANDBETWEEN(2,COUNTA('Recruitment source'!$A:$A))</f>
        <v>12</v>
      </c>
      <c r="R744" s="8" t="e">
        <f t="shared" ca="1" si="141"/>
        <v>#N/A</v>
      </c>
      <c r="S744" s="6" t="e">
        <f t="shared" ca="1" si="142"/>
        <v>#N/A</v>
      </c>
      <c r="T744" s="6">
        <f t="shared" ca="1" si="132"/>
        <v>2</v>
      </c>
      <c r="U744" s="1">
        <f t="shared" ca="1" si="143"/>
        <v>1085</v>
      </c>
    </row>
    <row r="745" spans="1:21" x14ac:dyDescent="0.2">
      <c r="A745" s="7" cm="1">
        <f t="array" aca="1" ref="A745" ca="1">INDEX(Companies!$A:$A,RANDBETWEEN(2,COUNTA(Companies!$A:$A)),1)</f>
        <v>2</v>
      </c>
      <c r="B745" s="5">
        <f t="shared" si="133"/>
        <v>744</v>
      </c>
      <c r="C745" s="6">
        <f t="shared" ca="1" si="134"/>
        <v>1</v>
      </c>
      <c r="D745" s="7">
        <f ca="1">IF($B745 = 1 + N("Presidente"),
    127,
    IF($B745 = 2 + N("Vice-Presidente"),
        72,
        IF($B745 = 3 + N("Secretária bilíngue"),
            13,
            RANDBETWEEN(5,COUNT(Name!$A:$A) + 1)
        )
    )
)</f>
        <v>176</v>
      </c>
      <c r="E745" s="7" t="str">
        <f ca="1" xml:space="preserve">
VLOOKUP(
  $D745,
  Name!$A:$B,
  2,
  FALSE
)
&amp; " " &amp;
IF($B745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Isabelle Pinto Vaz</v>
      </c>
      <c r="F745" s="7">
        <v>2</v>
      </c>
      <c r="G745" s="7" cm="1">
        <f t="array" aca="1" ref="G745" ca="1">INDEX(States!$B:$B,RANDBETWEEN(2,COUNTA(States!$A:$A)),1)</f>
        <v>19</v>
      </c>
      <c r="H745" s="7" t="str">
        <f ca="1">VLOOKUP($D745,Name!$A:$C,3,FALSE)</f>
        <v>F</v>
      </c>
      <c r="I745" s="7" cm="1">
        <f t="array" aca="1" ref="I745" ca="1">INDEX('Marital status'!$A:$A,RANDBETWEEN(2,COUNTA('Marital status'!$A:$A)),1)</f>
        <v>2</v>
      </c>
      <c r="J745" s="7">
        <f t="shared" ca="1" si="135"/>
        <v>2</v>
      </c>
      <c r="K745" s="8">
        <f t="shared" ca="1" si="136"/>
        <v>33330</v>
      </c>
      <c r="L745" s="6">
        <f t="shared" ca="1" si="137"/>
        <v>5</v>
      </c>
      <c r="M745" s="7">
        <f ca="1" xml:space="preserve">
  IF(OR($N745 = 2, $N745 = 3, $N745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745" s="6">
        <f t="shared" ca="1" si="138"/>
        <v>8</v>
      </c>
      <c r="O745" s="6">
        <f t="shared" ca="1" si="139"/>
        <v>4</v>
      </c>
      <c r="P745" s="8">
        <f t="shared" ca="1" si="140"/>
        <v>38795</v>
      </c>
      <c r="Q745" s="6">
        <f ca="1">RANDBETWEEN(2,COUNTA('Recruitment source'!$A:$A))</f>
        <v>8</v>
      </c>
      <c r="R745" s="8" t="e">
        <f t="shared" ca="1" si="141"/>
        <v>#N/A</v>
      </c>
      <c r="S745" s="6" t="e">
        <f t="shared" ca="1" si="142"/>
        <v>#N/A</v>
      </c>
      <c r="T745" s="6">
        <f t="shared" ca="1" si="132"/>
        <v>3</v>
      </c>
      <c r="U745" s="1">
        <f t="shared" ca="1" si="143"/>
        <v>2000</v>
      </c>
    </row>
    <row r="746" spans="1:21" x14ac:dyDescent="0.2">
      <c r="A746" s="7" cm="1">
        <f t="array" aca="1" ref="A746" ca="1">INDEX(Companies!$A:$A,RANDBETWEEN(2,COUNTA(Companies!$A:$A)),1)</f>
        <v>2</v>
      </c>
      <c r="B746" s="5">
        <f t="shared" si="133"/>
        <v>745</v>
      </c>
      <c r="C746" s="6">
        <f t="shared" ca="1" si="134"/>
        <v>1</v>
      </c>
      <c r="D746" s="7">
        <f ca="1">IF($B746 = 1 + N("Presidente"),
    127,
    IF($B746 = 2 + N("Vice-Presidente"),
        72,
        IF($B746 = 3 + N("Secretária bilíngue"),
            13,
            RANDBETWEEN(5,COUNT(Name!$A:$A) + 1)
        )
    )
)</f>
        <v>307</v>
      </c>
      <c r="E746" s="7" t="str">
        <f ca="1" xml:space="preserve">
VLOOKUP(
  $D746,
  Name!$A:$B,
  2,
  FALSE
)
&amp; " " &amp;
IF($B746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Nicole Alvim Ildelfonso</v>
      </c>
      <c r="F746" s="7">
        <v>2</v>
      </c>
      <c r="G746" s="7" cm="1">
        <f t="array" aca="1" ref="G746" ca="1">INDEX(States!$B:$B,RANDBETWEEN(2,COUNTA(States!$A:$A)),1)</f>
        <v>10</v>
      </c>
      <c r="H746" s="7" t="str">
        <f ca="1">VLOOKUP($D746,Name!$A:$C,3,FALSE)</f>
        <v>F</v>
      </c>
      <c r="I746" s="7" cm="1">
        <f t="array" aca="1" ref="I746" ca="1">INDEX('Marital status'!$A:$A,RANDBETWEEN(2,COUNTA('Marital status'!$A:$A)),1)</f>
        <v>6</v>
      </c>
      <c r="J746" s="7">
        <f t="shared" ca="1" si="135"/>
        <v>2</v>
      </c>
      <c r="K746" s="8">
        <f t="shared" ca="1" si="136"/>
        <v>28014</v>
      </c>
      <c r="L746" s="6">
        <f t="shared" ca="1" si="137"/>
        <v>4</v>
      </c>
      <c r="M746" s="7">
        <f ca="1" xml:space="preserve">
  IF(OR($N746 = 2, $N746 = 3, $N746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746" s="6">
        <f t="shared" ca="1" si="138"/>
        <v>6</v>
      </c>
      <c r="O746" s="6" t="e">
        <f t="shared" ca="1" si="139"/>
        <v>#N/A</v>
      </c>
      <c r="P746" s="8">
        <f t="shared" ca="1" si="140"/>
        <v>42209</v>
      </c>
      <c r="Q746" s="6">
        <f ca="1">RANDBETWEEN(2,COUNTA('Recruitment source'!$A:$A))</f>
        <v>2</v>
      </c>
      <c r="R746" s="8" t="e">
        <f t="shared" ca="1" si="141"/>
        <v>#N/A</v>
      </c>
      <c r="S746" s="6" t="e">
        <f t="shared" ca="1" si="142"/>
        <v>#N/A</v>
      </c>
      <c r="T746" s="6">
        <f t="shared" ca="1" si="132"/>
        <v>4</v>
      </c>
      <c r="U746" s="1">
        <f t="shared" ca="1" si="143"/>
        <v>805</v>
      </c>
    </row>
    <row r="747" spans="1:21" x14ac:dyDescent="0.2">
      <c r="A747" s="7" cm="1">
        <f t="array" aca="1" ref="A747" ca="1">INDEX(Companies!$A:$A,RANDBETWEEN(2,COUNTA(Companies!$A:$A)),1)</f>
        <v>2</v>
      </c>
      <c r="B747" s="5">
        <f t="shared" si="133"/>
        <v>746</v>
      </c>
      <c r="C747" s="6">
        <f t="shared" ca="1" si="134"/>
        <v>1</v>
      </c>
      <c r="D747" s="7">
        <f ca="1">IF($B747 = 1 + N("Presidente"),
    127,
    IF($B747 = 2 + N("Vice-Presidente"),
        72,
        IF($B747 = 3 + N("Secretária bilíngue"),
            13,
            RANDBETWEEN(5,COUNT(Name!$A:$A) + 1)
        )
    )
)</f>
        <v>113</v>
      </c>
      <c r="E747" s="7" t="str">
        <f ca="1" xml:space="preserve">
VLOOKUP(
  $D747,
  Name!$A:$B,
  2,
  FALSE
)
&amp; " " &amp;
IF($B747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Desiré Longo Moretti</v>
      </c>
      <c r="F747" s="7">
        <v>2</v>
      </c>
      <c r="G747" s="7" cm="1">
        <f t="array" aca="1" ref="G747" ca="1">INDEX(States!$B:$B,RANDBETWEEN(2,COUNTA(States!$A:$A)),1)</f>
        <v>9</v>
      </c>
      <c r="H747" s="7" t="str">
        <f ca="1">VLOOKUP($D747,Name!$A:$C,3,FALSE)</f>
        <v>F</v>
      </c>
      <c r="I747" s="7" cm="1">
        <f t="array" aca="1" ref="I747" ca="1">INDEX('Marital status'!$A:$A,RANDBETWEEN(2,COUNTA('Marital status'!$A:$A)),1)</f>
        <v>4</v>
      </c>
      <c r="J747" s="7">
        <f t="shared" ca="1" si="135"/>
        <v>2</v>
      </c>
      <c r="K747" s="8">
        <f t="shared" ca="1" si="136"/>
        <v>34145</v>
      </c>
      <c r="L747" s="6">
        <f t="shared" ca="1" si="137"/>
        <v>5</v>
      </c>
      <c r="M747" s="7">
        <f ca="1" xml:space="preserve">
  IF(OR($N747 = 2, $N747 = 3, $N747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747" s="6">
        <f t="shared" ca="1" si="138"/>
        <v>8</v>
      </c>
      <c r="O747" s="6">
        <f t="shared" ca="1" si="139"/>
        <v>3</v>
      </c>
      <c r="P747" s="8">
        <f t="shared" ca="1" si="140"/>
        <v>40452</v>
      </c>
      <c r="Q747" s="6">
        <f ca="1">RANDBETWEEN(2,COUNTA('Recruitment source'!$A:$A))</f>
        <v>10</v>
      </c>
      <c r="R747" s="8" t="e">
        <f t="shared" ca="1" si="141"/>
        <v>#N/A</v>
      </c>
      <c r="S747" s="6" t="e">
        <f t="shared" ca="1" si="142"/>
        <v>#N/A</v>
      </c>
      <c r="T747" s="6">
        <f t="shared" ca="1" si="132"/>
        <v>3</v>
      </c>
      <c r="U747" s="1">
        <f t="shared" ca="1" si="143"/>
        <v>2000</v>
      </c>
    </row>
    <row r="748" spans="1:21" x14ac:dyDescent="0.2">
      <c r="A748" s="7" cm="1">
        <f t="array" aca="1" ref="A748" ca="1">INDEX(Companies!$A:$A,RANDBETWEEN(2,COUNTA(Companies!$A:$A)),1)</f>
        <v>2</v>
      </c>
      <c r="B748" s="5">
        <f t="shared" si="133"/>
        <v>747</v>
      </c>
      <c r="C748" s="6">
        <f t="shared" ca="1" si="134"/>
        <v>1</v>
      </c>
      <c r="D748" s="7">
        <f ca="1">IF($B748 = 1 + N("Presidente"),
    127,
    IF($B748 = 2 + N("Vice-Presidente"),
        72,
        IF($B748 = 3 + N("Secretária bilíngue"),
            13,
            RANDBETWEEN(5,COUNT(Name!$A:$A) + 1)
        )
    )
)</f>
        <v>122</v>
      </c>
      <c r="E748" s="7" t="str">
        <f ca="1" xml:space="preserve">
VLOOKUP(
  $D748,
  Name!$A:$B,
  2,
  FALSE
)
&amp; " " &amp;
IF($B748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Emanuel Serra Duarte</v>
      </c>
      <c r="F748" s="7">
        <v>2</v>
      </c>
      <c r="G748" s="7" cm="1">
        <f t="array" aca="1" ref="G748" ca="1">INDEX(States!$B:$B,RANDBETWEEN(2,COUNTA(States!$A:$A)),1)</f>
        <v>16</v>
      </c>
      <c r="H748" s="7" t="str">
        <f ca="1">VLOOKUP($D748,Name!$A:$C,3,FALSE)</f>
        <v>M</v>
      </c>
      <c r="I748" s="7" cm="1">
        <f t="array" aca="1" ref="I748" ca="1">INDEX('Marital status'!$A:$A,RANDBETWEEN(2,COUNTA('Marital status'!$A:$A)),1)</f>
        <v>3</v>
      </c>
      <c r="J748" s="7">
        <f t="shared" ca="1" si="135"/>
        <v>4</v>
      </c>
      <c r="K748" s="8">
        <f t="shared" ca="1" si="136"/>
        <v>22391</v>
      </c>
      <c r="L748" s="6">
        <f t="shared" ca="1" si="137"/>
        <v>4</v>
      </c>
      <c r="M748" s="7">
        <f ca="1" xml:space="preserve">
  IF(OR($N748 = 2, $N748 = 3, $N748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748" s="6">
        <f t="shared" ca="1" si="138"/>
        <v>6</v>
      </c>
      <c r="O748" s="6" t="e">
        <f t="shared" ca="1" si="139"/>
        <v>#N/A</v>
      </c>
      <c r="P748" s="8">
        <f t="shared" ca="1" si="140"/>
        <v>41553</v>
      </c>
      <c r="Q748" s="6">
        <f ca="1">RANDBETWEEN(2,COUNTA('Recruitment source'!$A:$A))</f>
        <v>3</v>
      </c>
      <c r="R748" s="8" t="e">
        <f t="shared" ca="1" si="141"/>
        <v>#N/A</v>
      </c>
      <c r="S748" s="6" t="e">
        <f t="shared" ca="1" si="142"/>
        <v>#N/A</v>
      </c>
      <c r="T748" s="6">
        <f t="shared" ca="1" si="132"/>
        <v>2</v>
      </c>
      <c r="U748" s="1">
        <f t="shared" ca="1" si="143"/>
        <v>805</v>
      </c>
    </row>
    <row r="749" spans="1:21" x14ac:dyDescent="0.2">
      <c r="A749" s="7" cm="1">
        <f t="array" aca="1" ref="A749" ca="1">INDEX(Companies!$A:$A,RANDBETWEEN(2,COUNTA(Companies!$A:$A)),1)</f>
        <v>2</v>
      </c>
      <c r="B749" s="5">
        <f t="shared" si="133"/>
        <v>748</v>
      </c>
      <c r="C749" s="6">
        <f t="shared" ca="1" si="134"/>
        <v>1</v>
      </c>
      <c r="D749" s="7">
        <f ca="1">IF($B749 = 1 + N("Presidente"),
    127,
    IF($B749 = 2 + N("Vice-Presidente"),
        72,
        IF($B749 = 3 + N("Secretária bilíngue"),
            13,
            RANDBETWEEN(5,COUNT(Name!$A:$A) + 1)
        )
    )
)</f>
        <v>320</v>
      </c>
      <c r="E749" s="7" t="str">
        <f ca="1" xml:space="preserve">
VLOOKUP(
  $D749,
  Name!$A:$B,
  2,
  FALSE
)
&amp; " " &amp;
IF($B749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Péricles Morato sobrenome</v>
      </c>
      <c r="F749" s="7">
        <v>2</v>
      </c>
      <c r="G749" s="7" cm="1">
        <f t="array" aca="1" ref="G749" ca="1">INDEX(States!$B:$B,RANDBETWEEN(2,COUNTA(States!$A:$A)),1)</f>
        <v>14</v>
      </c>
      <c r="H749" s="7" t="str">
        <f ca="1">VLOOKUP($D749,Name!$A:$C,3,FALSE)</f>
        <v>M</v>
      </c>
      <c r="I749" s="7" cm="1">
        <f t="array" aca="1" ref="I749" ca="1">INDEX('Marital status'!$A:$A,RANDBETWEEN(2,COUNTA('Marital status'!$A:$A)),1)</f>
        <v>5</v>
      </c>
      <c r="J749" s="7">
        <f t="shared" ca="1" si="135"/>
        <v>3</v>
      </c>
      <c r="K749" s="8">
        <f t="shared" ca="1" si="136"/>
        <v>32883</v>
      </c>
      <c r="L749" s="6">
        <f t="shared" ca="1" si="137"/>
        <v>4</v>
      </c>
      <c r="M749" s="7">
        <f ca="1" xml:space="preserve">
  IF(OR($N749 = 2, $N749 = 3, $N749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749" s="6">
        <f t="shared" ca="1" si="138"/>
        <v>8</v>
      </c>
      <c r="O749" s="6">
        <f t="shared" ca="1" si="139"/>
        <v>2</v>
      </c>
      <c r="P749" s="8">
        <f t="shared" ca="1" si="140"/>
        <v>37195</v>
      </c>
      <c r="Q749" s="6">
        <f ca="1">RANDBETWEEN(2,COUNTA('Recruitment source'!$A:$A))</f>
        <v>4</v>
      </c>
      <c r="R749" s="8" t="e">
        <f t="shared" ca="1" si="141"/>
        <v>#N/A</v>
      </c>
      <c r="S749" s="6" t="e">
        <f t="shared" ca="1" si="142"/>
        <v>#N/A</v>
      </c>
      <c r="T749" s="6">
        <f t="shared" ca="1" si="132"/>
        <v>2</v>
      </c>
      <c r="U749" s="1">
        <f t="shared" ca="1" si="143"/>
        <v>2000</v>
      </c>
    </row>
    <row r="750" spans="1:21" x14ac:dyDescent="0.2">
      <c r="A750" s="7" cm="1">
        <f t="array" aca="1" ref="A750" ca="1">INDEX(Companies!$A:$A,RANDBETWEEN(2,COUNTA(Companies!$A:$A)),1)</f>
        <v>2</v>
      </c>
      <c r="B750" s="5">
        <f t="shared" si="133"/>
        <v>749</v>
      </c>
      <c r="C750" s="6">
        <f t="shared" ca="1" si="134"/>
        <v>1</v>
      </c>
      <c r="D750" s="7">
        <f ca="1">IF($B750 = 1 + N("Presidente"),
    127,
    IF($B750 = 2 + N("Vice-Presidente"),
        72,
        IF($B750 = 3 + N("Secretária bilíngue"),
            13,
            RANDBETWEEN(5,COUNT(Name!$A:$A) + 1)
        )
    )
)</f>
        <v>357</v>
      </c>
      <c r="E750" s="7" t="str">
        <f ca="1" xml:space="preserve">
VLOOKUP(
  $D750,
  Name!$A:$B,
  2,
  FALSE
)
&amp; " " &amp;
IF($B750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Vinicios Sousa Bermudes</v>
      </c>
      <c r="F750" s="7">
        <v>2</v>
      </c>
      <c r="G750" s="7" cm="1">
        <f t="array" aca="1" ref="G750" ca="1">INDEX(States!$B:$B,RANDBETWEEN(2,COUNTA(States!$A:$A)),1)</f>
        <v>6</v>
      </c>
      <c r="H750" s="7" t="str">
        <f ca="1">VLOOKUP($D750,Name!$A:$C,3,FALSE)</f>
        <v>M</v>
      </c>
      <c r="I750" s="7" cm="1">
        <f t="array" aca="1" ref="I750" ca="1">INDEX('Marital status'!$A:$A,RANDBETWEEN(2,COUNTA('Marital status'!$A:$A)),1)</f>
        <v>4</v>
      </c>
      <c r="J750" s="7">
        <f t="shared" ca="1" si="135"/>
        <v>2</v>
      </c>
      <c r="K750" s="8">
        <f t="shared" ca="1" si="136"/>
        <v>31879</v>
      </c>
      <c r="L750" s="6">
        <f t="shared" ca="1" si="137"/>
        <v>4</v>
      </c>
      <c r="M750" s="7">
        <f ca="1" xml:space="preserve">
  IF(OR($N750 = 2, $N750 = 3, $N750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750" s="6">
        <f t="shared" ca="1" si="138"/>
        <v>6</v>
      </c>
      <c r="O750" s="6" t="e">
        <f t="shared" ca="1" si="139"/>
        <v>#N/A</v>
      </c>
      <c r="P750" s="8">
        <f t="shared" ca="1" si="140"/>
        <v>37309</v>
      </c>
      <c r="Q750" s="6">
        <f ca="1">RANDBETWEEN(2,COUNTA('Recruitment source'!$A:$A))</f>
        <v>7</v>
      </c>
      <c r="R750" s="8" t="e">
        <f t="shared" ca="1" si="141"/>
        <v>#N/A</v>
      </c>
      <c r="S750" s="6" t="e">
        <f t="shared" ca="1" si="142"/>
        <v>#N/A</v>
      </c>
      <c r="T750" s="6">
        <f t="shared" ca="1" si="132"/>
        <v>3</v>
      </c>
      <c r="U750" s="1">
        <f t="shared" ca="1" si="143"/>
        <v>805</v>
      </c>
    </row>
    <row r="751" spans="1:21" x14ac:dyDescent="0.2">
      <c r="A751" s="7" cm="1">
        <f t="array" aca="1" ref="A751" ca="1">INDEX(Companies!$A:$A,RANDBETWEEN(2,COUNTA(Companies!$A:$A)),1)</f>
        <v>2</v>
      </c>
      <c r="B751" s="5">
        <f t="shared" si="133"/>
        <v>750</v>
      </c>
      <c r="C751" s="6">
        <f t="shared" ca="1" si="134"/>
        <v>1</v>
      </c>
      <c r="D751" s="7">
        <f ca="1">IF($B751 = 1 + N("Presidente"),
    127,
    IF($B751 = 2 + N("Vice-Presidente"),
        72,
        IF($B751 = 3 + N("Secretária bilíngue"),
            13,
            RANDBETWEEN(5,COUNT(Name!$A:$A) + 1)
        )
    )
)</f>
        <v>22</v>
      </c>
      <c r="E751" s="7" t="str">
        <f ca="1" xml:space="preserve">
VLOOKUP(
  $D751,
  Name!$A:$B,
  2,
  FALSE
)
&amp; " " &amp;
IF($B751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Álvaro Braga Giordano</v>
      </c>
      <c r="F751" s="7">
        <v>2</v>
      </c>
      <c r="G751" s="7" cm="1">
        <f t="array" aca="1" ref="G751" ca="1">INDEX(States!$B:$B,RANDBETWEEN(2,COUNTA(States!$A:$A)),1)</f>
        <v>14</v>
      </c>
      <c r="H751" s="7" t="str">
        <f ca="1">VLOOKUP($D751,Name!$A:$C,3,FALSE)</f>
        <v>M</v>
      </c>
      <c r="I751" s="7" cm="1">
        <f t="array" aca="1" ref="I751" ca="1">INDEX('Marital status'!$A:$A,RANDBETWEEN(2,COUNTA('Marital status'!$A:$A)),1)</f>
        <v>6</v>
      </c>
      <c r="J751" s="7">
        <f t="shared" ca="1" si="135"/>
        <v>2</v>
      </c>
      <c r="K751" s="8">
        <f t="shared" ca="1" si="136"/>
        <v>37434</v>
      </c>
      <c r="L751" s="6">
        <f t="shared" ca="1" si="137"/>
        <v>4</v>
      </c>
      <c r="M751" s="7">
        <f ca="1" xml:space="preserve">
  IF(OR($N751 = 2, $N751 = 3, $N751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751" s="6">
        <f t="shared" ca="1" si="138"/>
        <v>8</v>
      </c>
      <c r="O751" s="6">
        <f t="shared" ca="1" si="139"/>
        <v>2</v>
      </c>
      <c r="P751" s="8">
        <f t="shared" ca="1" si="140"/>
        <v>43774</v>
      </c>
      <c r="Q751" s="6">
        <f ca="1">RANDBETWEEN(2,COUNTA('Recruitment source'!$A:$A))</f>
        <v>10</v>
      </c>
      <c r="R751" s="8" t="e">
        <f t="shared" ca="1" si="141"/>
        <v>#N/A</v>
      </c>
      <c r="S751" s="6" t="e">
        <f t="shared" ca="1" si="142"/>
        <v>#N/A</v>
      </c>
      <c r="T751" s="6">
        <f t="shared" ca="1" si="132"/>
        <v>3</v>
      </c>
      <c r="U751" s="1">
        <f t="shared" ca="1" si="143"/>
        <v>2000</v>
      </c>
    </row>
    <row r="752" spans="1:21" x14ac:dyDescent="0.2">
      <c r="A752" s="7" cm="1">
        <f t="array" aca="1" ref="A752" ca="1">INDEX(Companies!$A:$A,RANDBETWEEN(2,COUNTA(Companies!$A:$A)),1)</f>
        <v>2</v>
      </c>
      <c r="B752" s="5">
        <f t="shared" si="133"/>
        <v>751</v>
      </c>
      <c r="C752" s="6">
        <f t="shared" ca="1" si="134"/>
        <v>1</v>
      </c>
      <c r="D752" s="7">
        <f ca="1">IF($B752 = 1 + N("Presidente"),
    127,
    IF($B752 = 2 + N("Vice-Presidente"),
        72,
        IF($B752 = 3 + N("Secretária bilíngue"),
            13,
            RANDBETWEEN(5,COUNT(Name!$A:$A) + 1)
        )
    )
)</f>
        <v>112</v>
      </c>
      <c r="E752" s="7" t="str">
        <f ca="1" xml:space="preserve">
VLOOKUP(
  $D752,
  Name!$A:$B,
  2,
  FALSE
)
&amp; " " &amp;
IF($B752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Deborah Duarte Chaves</v>
      </c>
      <c r="F752" s="7">
        <v>2</v>
      </c>
      <c r="G752" s="7" cm="1">
        <f t="array" aca="1" ref="G752" ca="1">INDEX(States!$B:$B,RANDBETWEEN(2,COUNTA(States!$A:$A)),1)</f>
        <v>9</v>
      </c>
      <c r="H752" s="7" t="str">
        <f ca="1">VLOOKUP($D752,Name!$A:$C,3,FALSE)</f>
        <v>F</v>
      </c>
      <c r="I752" s="7" cm="1">
        <f t="array" aca="1" ref="I752" ca="1">INDEX('Marital status'!$A:$A,RANDBETWEEN(2,COUNTA('Marital status'!$A:$A)),1)</f>
        <v>6</v>
      </c>
      <c r="J752" s="7">
        <f t="shared" ca="1" si="135"/>
        <v>2</v>
      </c>
      <c r="K752" s="8">
        <f t="shared" ca="1" si="136"/>
        <v>28812</v>
      </c>
      <c r="L752" s="6">
        <f t="shared" ca="1" si="137"/>
        <v>4</v>
      </c>
      <c r="M752" s="7">
        <f ca="1" xml:space="preserve">
  IF(OR($N752 = 2, $N752 = 3, $N752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752" s="6">
        <f t="shared" ca="1" si="138"/>
        <v>6</v>
      </c>
      <c r="O752" s="6" t="e">
        <f t="shared" ca="1" si="139"/>
        <v>#N/A</v>
      </c>
      <c r="P752" s="8">
        <f t="shared" ca="1" si="140"/>
        <v>39636</v>
      </c>
      <c r="Q752" s="6">
        <f ca="1">RANDBETWEEN(2,COUNTA('Recruitment source'!$A:$A))</f>
        <v>2</v>
      </c>
      <c r="R752" s="8" t="e">
        <f t="shared" ca="1" si="141"/>
        <v>#N/A</v>
      </c>
      <c r="S752" s="6" t="e">
        <f t="shared" ca="1" si="142"/>
        <v>#N/A</v>
      </c>
      <c r="T752" s="6">
        <f t="shared" ca="1" si="132"/>
        <v>4</v>
      </c>
      <c r="U752" s="1">
        <f t="shared" ca="1" si="143"/>
        <v>805</v>
      </c>
    </row>
    <row r="753" spans="1:21" x14ac:dyDescent="0.2">
      <c r="A753" s="7" cm="1">
        <f t="array" aca="1" ref="A753" ca="1">INDEX(Companies!$A:$A,RANDBETWEEN(2,COUNTA(Companies!$A:$A)),1)</f>
        <v>2</v>
      </c>
      <c r="B753" s="5">
        <f t="shared" si="133"/>
        <v>752</v>
      </c>
      <c r="C753" s="6">
        <f t="shared" ca="1" si="134"/>
        <v>1</v>
      </c>
      <c r="D753" s="7">
        <f ca="1">IF($B753 = 1 + N("Presidente"),
    127,
    IF($B753 = 2 + N("Vice-Presidente"),
        72,
        IF($B753 = 3 + N("Secretária bilíngue"),
            13,
            RANDBETWEEN(5,COUNT(Name!$A:$A) + 1)
        )
    )
)</f>
        <v>320</v>
      </c>
      <c r="E753" s="7" t="str">
        <f ca="1" xml:space="preserve">
VLOOKUP(
  $D753,
  Name!$A:$B,
  2,
  FALSE
)
&amp; " " &amp;
IF($B753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Péricles Anunciação Ildelfonso</v>
      </c>
      <c r="F753" s="7">
        <v>2</v>
      </c>
      <c r="G753" s="7" cm="1">
        <f t="array" aca="1" ref="G753" ca="1">INDEX(States!$B:$B,RANDBETWEEN(2,COUNTA(States!$A:$A)),1)</f>
        <v>12</v>
      </c>
      <c r="H753" s="7" t="str">
        <f ca="1">VLOOKUP($D753,Name!$A:$C,3,FALSE)</f>
        <v>M</v>
      </c>
      <c r="I753" s="7" cm="1">
        <f t="array" aca="1" ref="I753" ca="1">INDEX('Marital status'!$A:$A,RANDBETWEEN(2,COUNTA('Marital status'!$A:$A)),1)</f>
        <v>6</v>
      </c>
      <c r="J753" s="7">
        <f t="shared" ca="1" si="135"/>
        <v>2</v>
      </c>
      <c r="K753" s="8">
        <f t="shared" ca="1" si="136"/>
        <v>37843</v>
      </c>
      <c r="L753" s="6">
        <f t="shared" ca="1" si="137"/>
        <v>4</v>
      </c>
      <c r="M753" s="7">
        <f ca="1" xml:space="preserve">
  IF(OR($N753 = 2, $N753 = 3, $N753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753" s="6">
        <f t="shared" ca="1" si="138"/>
        <v>8</v>
      </c>
      <c r="O753" s="6">
        <f t="shared" ca="1" si="139"/>
        <v>2</v>
      </c>
      <c r="P753" s="8">
        <f t="shared" ca="1" si="140"/>
        <v>43036</v>
      </c>
      <c r="Q753" s="6">
        <f ca="1">RANDBETWEEN(2,COUNTA('Recruitment source'!$A:$A))</f>
        <v>7</v>
      </c>
      <c r="R753" s="8" t="e">
        <f t="shared" ca="1" si="141"/>
        <v>#N/A</v>
      </c>
      <c r="S753" s="6" t="e">
        <f t="shared" ca="1" si="142"/>
        <v>#N/A</v>
      </c>
      <c r="T753" s="6">
        <f t="shared" ca="1" si="132"/>
        <v>2</v>
      </c>
      <c r="U753" s="1">
        <f t="shared" ca="1" si="143"/>
        <v>2000</v>
      </c>
    </row>
    <row r="754" spans="1:21" x14ac:dyDescent="0.2">
      <c r="A754" s="7" cm="1">
        <f t="array" aca="1" ref="A754" ca="1">INDEX(Companies!$A:$A,RANDBETWEEN(2,COUNTA(Companies!$A:$A)),1)</f>
        <v>2</v>
      </c>
      <c r="B754" s="5">
        <f t="shared" si="133"/>
        <v>753</v>
      </c>
      <c r="C754" s="6">
        <f t="shared" ca="1" si="134"/>
        <v>1</v>
      </c>
      <c r="D754" s="7">
        <f ca="1">IF($B754 = 1 + N("Presidente"),
    127,
    IF($B754 = 2 + N("Vice-Presidente"),
        72,
        IF($B754 = 3 + N("Secretária bilíngue"),
            13,
            RANDBETWEEN(5,COUNT(Name!$A:$A) + 1)
        )
    )
)</f>
        <v>14</v>
      </c>
      <c r="E754" s="7" t="str">
        <f ca="1" xml:space="preserve">
VLOOKUP(
  $D754,
  Name!$A:$B,
  2,
  FALSE
)
&amp; " " &amp;
IF($B754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Alexander Trindade Moraes</v>
      </c>
      <c r="F754" s="7">
        <v>2</v>
      </c>
      <c r="G754" s="7" cm="1">
        <f t="array" aca="1" ref="G754" ca="1">INDEX(States!$B:$B,RANDBETWEEN(2,COUNTA(States!$A:$A)),1)</f>
        <v>21</v>
      </c>
      <c r="H754" s="7" t="str">
        <f ca="1">VLOOKUP($D754,Name!$A:$C,3,FALSE)</f>
        <v>M</v>
      </c>
      <c r="I754" s="7" cm="1">
        <f t="array" aca="1" ref="I754" ca="1">INDEX('Marital status'!$A:$A,RANDBETWEEN(2,COUNTA('Marital status'!$A:$A)),1)</f>
        <v>6</v>
      </c>
      <c r="J754" s="7">
        <f t="shared" ca="1" si="135"/>
        <v>2</v>
      </c>
      <c r="K754" s="8">
        <f t="shared" ca="1" si="136"/>
        <v>35731</v>
      </c>
      <c r="L754" s="6">
        <f t="shared" ca="1" si="137"/>
        <v>4</v>
      </c>
      <c r="M754" s="7">
        <f ca="1" xml:space="preserve">
  IF(OR($N754 = 2, $N754 = 3, $N754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754" s="6">
        <f t="shared" ca="1" si="138"/>
        <v>7</v>
      </c>
      <c r="O754" s="6" t="e">
        <f t="shared" ca="1" si="139"/>
        <v>#N/A</v>
      </c>
      <c r="P754" s="8">
        <f t="shared" ca="1" si="140"/>
        <v>39291</v>
      </c>
      <c r="Q754" s="6">
        <f ca="1">RANDBETWEEN(2,COUNTA('Recruitment source'!$A:$A))</f>
        <v>7</v>
      </c>
      <c r="R754" s="8" t="e">
        <f t="shared" ca="1" si="141"/>
        <v>#N/A</v>
      </c>
      <c r="S754" s="6" t="e">
        <f t="shared" ca="1" si="142"/>
        <v>#N/A</v>
      </c>
      <c r="T754" s="6">
        <f t="shared" ca="1" si="132"/>
        <v>3</v>
      </c>
      <c r="U754" s="1">
        <f t="shared" ca="1" si="143"/>
        <v>1005</v>
      </c>
    </row>
    <row r="755" spans="1:21" x14ac:dyDescent="0.2">
      <c r="A755" s="7" cm="1">
        <f t="array" aca="1" ref="A755" ca="1">INDEX(Companies!$A:$A,RANDBETWEEN(2,COUNTA(Companies!$A:$A)),1)</f>
        <v>2</v>
      </c>
      <c r="B755" s="5">
        <f t="shared" si="133"/>
        <v>754</v>
      </c>
      <c r="C755" s="6">
        <f t="shared" ca="1" si="134"/>
        <v>1</v>
      </c>
      <c r="D755" s="7">
        <f ca="1">IF($B755 = 1 + N("Presidente"),
    127,
    IF($B755 = 2 + N("Vice-Presidente"),
        72,
        IF($B755 = 3 + N("Secretária bilíngue"),
            13,
            RANDBETWEEN(5,COUNT(Name!$A:$A) + 1)
        )
    )
)</f>
        <v>103</v>
      </c>
      <c r="E755" s="7" t="str">
        <f ca="1" xml:space="preserve">
VLOOKUP(
  $D755,
  Name!$A:$B,
  2,
  FALSE
)
&amp; " " &amp;
IF($B755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Danniel Pereira Cardoso</v>
      </c>
      <c r="F755" s="7">
        <v>2</v>
      </c>
      <c r="G755" s="7" cm="1">
        <f t="array" aca="1" ref="G755" ca="1">INDEX(States!$B:$B,RANDBETWEEN(2,COUNTA(States!$A:$A)),1)</f>
        <v>10</v>
      </c>
      <c r="H755" s="7" t="str">
        <f ca="1">VLOOKUP($D755,Name!$A:$C,3,FALSE)</f>
        <v>M</v>
      </c>
      <c r="I755" s="7" cm="1">
        <f t="array" aca="1" ref="I755" ca="1">INDEX('Marital status'!$A:$A,RANDBETWEEN(2,COUNTA('Marital status'!$A:$A)),1)</f>
        <v>3</v>
      </c>
      <c r="J755" s="7">
        <f t="shared" ca="1" si="135"/>
        <v>2</v>
      </c>
      <c r="K755" s="8">
        <f t="shared" ca="1" si="136"/>
        <v>34143</v>
      </c>
      <c r="L755" s="6">
        <f t="shared" ca="1" si="137"/>
        <v>5</v>
      </c>
      <c r="M755" s="7">
        <f ca="1" xml:space="preserve">
  IF(OR($N755 = 2, $N755 = 3, $N755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755" s="6">
        <f t="shared" ca="1" si="138"/>
        <v>8</v>
      </c>
      <c r="O755" s="6">
        <f t="shared" ca="1" si="139"/>
        <v>3</v>
      </c>
      <c r="P755" s="8">
        <f t="shared" ca="1" si="140"/>
        <v>41159</v>
      </c>
      <c r="Q755" s="6">
        <f ca="1">RANDBETWEEN(2,COUNTA('Recruitment source'!$A:$A))</f>
        <v>10</v>
      </c>
      <c r="R755" s="8" t="e">
        <f t="shared" ca="1" si="141"/>
        <v>#N/A</v>
      </c>
      <c r="S755" s="6" t="e">
        <f t="shared" ca="1" si="142"/>
        <v>#N/A</v>
      </c>
      <c r="T755" s="6">
        <f t="shared" ca="1" si="132"/>
        <v>3</v>
      </c>
      <c r="U755" s="1">
        <f t="shared" ca="1" si="143"/>
        <v>2000</v>
      </c>
    </row>
    <row r="756" spans="1:21" x14ac:dyDescent="0.2">
      <c r="A756" s="7" cm="1">
        <f t="array" aca="1" ref="A756" ca="1">INDEX(Companies!$A:$A,RANDBETWEEN(2,COUNTA(Companies!$A:$A)),1)</f>
        <v>2</v>
      </c>
      <c r="B756" s="5">
        <f t="shared" si="133"/>
        <v>755</v>
      </c>
      <c r="C756" s="6">
        <f t="shared" ca="1" si="134"/>
        <v>1</v>
      </c>
      <c r="D756" s="7">
        <f ca="1">IF($B756 = 1 + N("Presidente"),
    127,
    IF($B756 = 2 + N("Vice-Presidente"),
        72,
        IF($B756 = 3 + N("Secretária bilíngue"),
            13,
            RANDBETWEEN(5,COUNT(Name!$A:$A) + 1)
        )
    )
)</f>
        <v>184</v>
      </c>
      <c r="E756" s="7" t="str">
        <f ca="1" xml:space="preserve">
VLOOKUP(
  $D756,
  Name!$A:$B,
  2,
  FALSE
)
&amp; " " &amp;
IF($B756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Joanna Saragoça Soares</v>
      </c>
      <c r="F756" s="7">
        <v>2</v>
      </c>
      <c r="G756" s="7" cm="1">
        <f t="array" aca="1" ref="G756" ca="1">INDEX(States!$B:$B,RANDBETWEEN(2,COUNTA(States!$A:$A)),1)</f>
        <v>14</v>
      </c>
      <c r="H756" s="7" t="str">
        <f ca="1">VLOOKUP($D756,Name!$A:$C,3,FALSE)</f>
        <v>F</v>
      </c>
      <c r="I756" s="7" cm="1">
        <f t="array" aca="1" ref="I756" ca="1">INDEX('Marital status'!$A:$A,RANDBETWEEN(2,COUNTA('Marital status'!$A:$A)),1)</f>
        <v>6</v>
      </c>
      <c r="J756" s="7">
        <f t="shared" ca="1" si="135"/>
        <v>3</v>
      </c>
      <c r="K756" s="8">
        <f t="shared" ca="1" si="136"/>
        <v>27019</v>
      </c>
      <c r="L756" s="6">
        <f t="shared" ca="1" si="137"/>
        <v>4</v>
      </c>
      <c r="M756" s="7">
        <f ca="1" xml:space="preserve">
  IF(OR($N756 = 2, $N756 = 3, $N756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756" s="6">
        <f t="shared" ca="1" si="138"/>
        <v>6</v>
      </c>
      <c r="O756" s="6" t="e">
        <f t="shared" ca="1" si="139"/>
        <v>#N/A</v>
      </c>
      <c r="P756" s="8">
        <f t="shared" ca="1" si="140"/>
        <v>43685</v>
      </c>
      <c r="Q756" s="6">
        <f ca="1">RANDBETWEEN(2,COUNTA('Recruitment source'!$A:$A))</f>
        <v>3</v>
      </c>
      <c r="R756" s="8" t="e">
        <f t="shared" ca="1" si="141"/>
        <v>#N/A</v>
      </c>
      <c r="S756" s="6" t="e">
        <f t="shared" ca="1" si="142"/>
        <v>#N/A</v>
      </c>
      <c r="T756" s="6">
        <f t="shared" ca="1" si="132"/>
        <v>2</v>
      </c>
      <c r="U756" s="1">
        <f t="shared" ca="1" si="143"/>
        <v>885</v>
      </c>
    </row>
    <row r="757" spans="1:21" x14ac:dyDescent="0.2">
      <c r="A757" s="7" cm="1">
        <f t="array" aca="1" ref="A757" ca="1">INDEX(Companies!$A:$A,RANDBETWEEN(2,COUNTA(Companies!$A:$A)),1)</f>
        <v>2</v>
      </c>
      <c r="B757" s="5">
        <f t="shared" si="133"/>
        <v>756</v>
      </c>
      <c r="C757" s="6">
        <f t="shared" ca="1" si="134"/>
        <v>1</v>
      </c>
      <c r="D757" s="7">
        <f ca="1">IF($B757 = 1 + N("Presidente"),
    127,
    IF($B757 = 2 + N("Vice-Presidente"),
        72,
        IF($B757 = 3 + N("Secretária bilíngue"),
            13,
            RANDBETWEEN(5,COUNT(Name!$A:$A) + 1)
        )
    )
)</f>
        <v>153</v>
      </c>
      <c r="E757" s="7" t="str">
        <f ca="1" xml:space="preserve">
VLOOKUP(
  $D757,
  Name!$A:$B,
  2,
  FALSE
)
&amp; " " &amp;
IF($B757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Giovana Pasquim Lima</v>
      </c>
      <c r="F757" s="7">
        <v>2</v>
      </c>
      <c r="G757" s="7" cm="1">
        <f t="array" aca="1" ref="G757" ca="1">INDEX(States!$B:$B,RANDBETWEEN(2,COUNTA(States!$A:$A)),1)</f>
        <v>9</v>
      </c>
      <c r="H757" s="7" t="str">
        <f ca="1">VLOOKUP($D757,Name!$A:$C,3,FALSE)</f>
        <v>F</v>
      </c>
      <c r="I757" s="7" cm="1">
        <f t="array" aca="1" ref="I757" ca="1">INDEX('Marital status'!$A:$A,RANDBETWEEN(2,COUNTA('Marital status'!$A:$A)),1)</f>
        <v>6</v>
      </c>
      <c r="J757" s="7">
        <f t="shared" ca="1" si="135"/>
        <v>2</v>
      </c>
      <c r="K757" s="8">
        <f t="shared" ca="1" si="136"/>
        <v>32689</v>
      </c>
      <c r="L757" s="6">
        <f t="shared" ca="1" si="137"/>
        <v>4</v>
      </c>
      <c r="M757" s="7">
        <f ca="1" xml:space="preserve">
  IF(OR($N757 = 2, $N757 = 3, $N757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757" s="6">
        <f t="shared" ca="1" si="138"/>
        <v>8</v>
      </c>
      <c r="O757" s="6">
        <f t="shared" ca="1" si="139"/>
        <v>3</v>
      </c>
      <c r="P757" s="8">
        <f t="shared" ca="1" si="140"/>
        <v>42644</v>
      </c>
      <c r="Q757" s="6">
        <f ca="1">RANDBETWEEN(2,COUNTA('Recruitment source'!$A:$A))</f>
        <v>8</v>
      </c>
      <c r="R757" s="8" t="e">
        <f t="shared" ca="1" si="141"/>
        <v>#N/A</v>
      </c>
      <c r="S757" s="6" t="e">
        <f t="shared" ca="1" si="142"/>
        <v>#N/A</v>
      </c>
      <c r="T757" s="6">
        <f t="shared" ca="1" si="132"/>
        <v>3</v>
      </c>
      <c r="U757" s="1">
        <f t="shared" ca="1" si="143"/>
        <v>2000</v>
      </c>
    </row>
    <row r="758" spans="1:21" x14ac:dyDescent="0.2">
      <c r="A758" s="7" cm="1">
        <f t="array" aca="1" ref="A758" ca="1">INDEX(Companies!$A:$A,RANDBETWEEN(2,COUNTA(Companies!$A:$A)),1)</f>
        <v>2</v>
      </c>
      <c r="B758" s="5">
        <f t="shared" si="133"/>
        <v>757</v>
      </c>
      <c r="C758" s="6">
        <f t="shared" ca="1" si="134"/>
        <v>1</v>
      </c>
      <c r="D758" s="7">
        <f ca="1">IF($B758 = 1 + N("Presidente"),
    127,
    IF($B758 = 2 + N("Vice-Presidente"),
        72,
        IF($B758 = 3 + N("Secretária bilíngue"),
            13,
            RANDBETWEEN(5,COUNT(Name!$A:$A) + 1)
        )
    )
)</f>
        <v>209</v>
      </c>
      <c r="E758" s="7" t="str">
        <f ca="1" xml:space="preserve">
VLOOKUP(
  $D758,
  Name!$A:$B,
  2,
  FALSE
)
&amp; " " &amp;
IF($B758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Katerine Frasão Camargo</v>
      </c>
      <c r="F758" s="7">
        <v>2</v>
      </c>
      <c r="G758" s="7" cm="1">
        <f t="array" aca="1" ref="G758" ca="1">INDEX(States!$B:$B,RANDBETWEEN(2,COUNTA(States!$A:$A)),1)</f>
        <v>15</v>
      </c>
      <c r="H758" s="7" t="str">
        <f ca="1">VLOOKUP($D758,Name!$A:$C,3,FALSE)</f>
        <v>F</v>
      </c>
      <c r="I758" s="7" cm="1">
        <f t="array" aca="1" ref="I758" ca="1">INDEX('Marital status'!$A:$A,RANDBETWEEN(2,COUNTA('Marital status'!$A:$A)),1)</f>
        <v>3</v>
      </c>
      <c r="J758" s="7">
        <f t="shared" ca="1" si="135"/>
        <v>2</v>
      </c>
      <c r="K758" s="8">
        <f t="shared" ca="1" si="136"/>
        <v>20929</v>
      </c>
      <c r="L758" s="6">
        <f t="shared" ca="1" si="137"/>
        <v>4</v>
      </c>
      <c r="M758" s="7">
        <f ca="1" xml:space="preserve">
  IF(OR($N758 = 2, $N758 = 3, $N758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758" s="6">
        <f t="shared" ca="1" si="138"/>
        <v>6</v>
      </c>
      <c r="O758" s="6" t="e">
        <f t="shared" ca="1" si="139"/>
        <v>#N/A</v>
      </c>
      <c r="P758" s="8">
        <f t="shared" ca="1" si="140"/>
        <v>41434</v>
      </c>
      <c r="Q758" s="6">
        <f ca="1">RANDBETWEEN(2,COUNTA('Recruitment source'!$A:$A))</f>
        <v>4</v>
      </c>
      <c r="R758" s="8" t="e">
        <f t="shared" ca="1" si="141"/>
        <v>#N/A</v>
      </c>
      <c r="S758" s="6" t="e">
        <f t="shared" ca="1" si="142"/>
        <v>#N/A</v>
      </c>
      <c r="T758" s="6">
        <f t="shared" ca="1" si="132"/>
        <v>3</v>
      </c>
      <c r="U758" s="1">
        <f t="shared" ca="1" si="143"/>
        <v>805</v>
      </c>
    </row>
    <row r="759" spans="1:21" x14ac:dyDescent="0.2">
      <c r="A759" s="7" cm="1">
        <f t="array" aca="1" ref="A759" ca="1">INDEX(Companies!$A:$A,RANDBETWEEN(2,COUNTA(Companies!$A:$A)),1)</f>
        <v>2</v>
      </c>
      <c r="B759" s="5">
        <f t="shared" si="133"/>
        <v>758</v>
      </c>
      <c r="C759" s="6">
        <f t="shared" ca="1" si="134"/>
        <v>1</v>
      </c>
      <c r="D759" s="7">
        <f ca="1">IF($B759 = 1 + N("Presidente"),
    127,
    IF($B759 = 2 + N("Vice-Presidente"),
        72,
        IF($B759 = 3 + N("Secretária bilíngue"),
            13,
            RANDBETWEEN(5,COUNT(Name!$A:$A) + 1)
        )
    )
)</f>
        <v>298</v>
      </c>
      <c r="E759" s="7" t="str">
        <f ca="1" xml:space="preserve">
VLOOKUP(
  $D759,
  Name!$A:$B,
  2,
  FALSE
)
&amp; " " &amp;
IF($B759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Milena Furtado Ramos</v>
      </c>
      <c r="F759" s="7">
        <v>2</v>
      </c>
      <c r="G759" s="7" cm="1">
        <f t="array" aca="1" ref="G759" ca="1">INDEX(States!$B:$B,RANDBETWEEN(2,COUNTA(States!$A:$A)),1)</f>
        <v>8</v>
      </c>
      <c r="H759" s="7" t="str">
        <f ca="1">VLOOKUP($D759,Name!$A:$C,3,FALSE)</f>
        <v>F</v>
      </c>
      <c r="I759" s="7" cm="1">
        <f t="array" aca="1" ref="I759" ca="1">INDEX('Marital status'!$A:$A,RANDBETWEEN(2,COUNTA('Marital status'!$A:$A)),1)</f>
        <v>4</v>
      </c>
      <c r="J759" s="7">
        <f t="shared" ca="1" si="135"/>
        <v>4</v>
      </c>
      <c r="K759" s="8">
        <f t="shared" ca="1" si="136"/>
        <v>35500</v>
      </c>
      <c r="L759" s="6">
        <f t="shared" ca="1" si="137"/>
        <v>5</v>
      </c>
      <c r="M759" s="7">
        <f ca="1" xml:space="preserve">
  IF(OR($N759 = 2, $N759 = 3, $N759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759" s="6">
        <f t="shared" ca="1" si="138"/>
        <v>8</v>
      </c>
      <c r="O759" s="6">
        <f t="shared" ca="1" si="139"/>
        <v>3</v>
      </c>
      <c r="P759" s="8">
        <f t="shared" ca="1" si="140"/>
        <v>38945</v>
      </c>
      <c r="Q759" s="6">
        <f ca="1">RANDBETWEEN(2,COUNTA('Recruitment source'!$A:$A))</f>
        <v>11</v>
      </c>
      <c r="R759" s="8" t="e">
        <f t="shared" ca="1" si="141"/>
        <v>#N/A</v>
      </c>
      <c r="S759" s="6" t="e">
        <f t="shared" ca="1" si="142"/>
        <v>#N/A</v>
      </c>
      <c r="T759" s="6">
        <f t="shared" ca="1" si="132"/>
        <v>5</v>
      </c>
      <c r="U759" s="1">
        <f t="shared" ca="1" si="143"/>
        <v>2000</v>
      </c>
    </row>
    <row r="760" spans="1:21" x14ac:dyDescent="0.2">
      <c r="A760" s="7" cm="1">
        <f t="array" aca="1" ref="A760" ca="1">INDEX(Companies!$A:$A,RANDBETWEEN(2,COUNTA(Companies!$A:$A)),1)</f>
        <v>2</v>
      </c>
      <c r="B760" s="5">
        <f t="shared" si="133"/>
        <v>759</v>
      </c>
      <c r="C760" s="6">
        <f t="shared" ca="1" si="134"/>
        <v>1</v>
      </c>
      <c r="D760" s="7">
        <f ca="1">IF($B760 = 1 + N("Presidente"),
    127,
    IF($B760 = 2 + N("Vice-Presidente"),
        72,
        IF($B760 = 3 + N("Secretária bilíngue"),
            13,
            RANDBETWEEN(5,COUNT(Name!$A:$A) + 1)
        )
    )
)</f>
        <v>61</v>
      </c>
      <c r="E760" s="7" t="str">
        <f ca="1" xml:space="preserve">
VLOOKUP(
  $D760,
  Name!$A:$B,
  2,
  FALSE
)
&amp; " " &amp;
IF($B760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Augusto Rinaldi Simões</v>
      </c>
      <c r="F760" s="7">
        <v>2</v>
      </c>
      <c r="G760" s="7" cm="1">
        <f t="array" aca="1" ref="G760" ca="1">INDEX(States!$B:$B,RANDBETWEEN(2,COUNTA(States!$A:$A)),1)</f>
        <v>15</v>
      </c>
      <c r="H760" s="7" t="str">
        <f ca="1">VLOOKUP($D760,Name!$A:$C,3,FALSE)</f>
        <v>M</v>
      </c>
      <c r="I760" s="7" cm="1">
        <f t="array" aca="1" ref="I760" ca="1">INDEX('Marital status'!$A:$A,RANDBETWEEN(2,COUNTA('Marital status'!$A:$A)),1)</f>
        <v>4</v>
      </c>
      <c r="J760" s="7">
        <f t="shared" ca="1" si="135"/>
        <v>5</v>
      </c>
      <c r="K760" s="8">
        <f t="shared" ca="1" si="136"/>
        <v>32197</v>
      </c>
      <c r="L760" s="6">
        <f t="shared" ca="1" si="137"/>
        <v>4</v>
      </c>
      <c r="M760" s="7">
        <f ca="1" xml:space="preserve">
  IF(OR($N760 = 2, $N760 = 3, $N760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760" s="6">
        <f t="shared" ca="1" si="138"/>
        <v>7</v>
      </c>
      <c r="O760" s="6" t="e">
        <f t="shared" ca="1" si="139"/>
        <v>#N/A</v>
      </c>
      <c r="P760" s="8">
        <f t="shared" ca="1" si="140"/>
        <v>39422</v>
      </c>
      <c r="Q760" s="6">
        <f ca="1">RANDBETWEEN(2,COUNTA('Recruitment source'!$A:$A))</f>
        <v>4</v>
      </c>
      <c r="R760" s="8" t="e">
        <f t="shared" ca="1" si="141"/>
        <v>#N/A</v>
      </c>
      <c r="S760" s="6" t="e">
        <f t="shared" ca="1" si="142"/>
        <v>#N/A</v>
      </c>
      <c r="T760" s="6">
        <f t="shared" ca="1" si="132"/>
        <v>3</v>
      </c>
      <c r="U760" s="1">
        <f t="shared" ca="1" si="143"/>
        <v>1005</v>
      </c>
    </row>
    <row r="761" spans="1:21" x14ac:dyDescent="0.2">
      <c r="A761" s="7" cm="1">
        <f t="array" aca="1" ref="A761" ca="1">INDEX(Companies!$A:$A,RANDBETWEEN(2,COUNTA(Companies!$A:$A)),1)</f>
        <v>2</v>
      </c>
      <c r="B761" s="5">
        <f t="shared" si="133"/>
        <v>760</v>
      </c>
      <c r="C761" s="6">
        <f t="shared" ca="1" si="134"/>
        <v>1</v>
      </c>
      <c r="D761" s="7">
        <f ca="1">IF($B761 = 1 + N("Presidente"),
    127,
    IF($B761 = 2 + N("Vice-Presidente"),
        72,
        IF($B761 = 3 + N("Secretária bilíngue"),
            13,
            RANDBETWEEN(5,COUNT(Name!$A:$A) + 1)
        )
    )
)</f>
        <v>57</v>
      </c>
      <c r="E761" s="7" t="str">
        <f ca="1" xml:space="preserve">
VLOOKUP(
  $D761,
  Name!$A:$B,
  2,
  FALSE
)
&amp; " " &amp;
IF($B761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Henrique Figo Braga</v>
      </c>
      <c r="F761" s="7">
        <v>2</v>
      </c>
      <c r="G761" s="7" cm="1">
        <f t="array" aca="1" ref="G761" ca="1">INDEX(States!$B:$B,RANDBETWEEN(2,COUNTA(States!$A:$A)),1)</f>
        <v>17</v>
      </c>
      <c r="H761" s="7" t="str">
        <f ca="1">VLOOKUP($D761,Name!$A:$C,3,FALSE)</f>
        <v>M</v>
      </c>
      <c r="I761" s="7" cm="1">
        <f t="array" aca="1" ref="I761" ca="1">INDEX('Marital status'!$A:$A,RANDBETWEEN(2,COUNTA('Marital status'!$A:$A)),1)</f>
        <v>4</v>
      </c>
      <c r="J761" s="7">
        <f t="shared" ca="1" si="135"/>
        <v>2</v>
      </c>
      <c r="K761" s="8">
        <f t="shared" ca="1" si="136"/>
        <v>32923</v>
      </c>
      <c r="L761" s="6">
        <f t="shared" ca="1" si="137"/>
        <v>5</v>
      </c>
      <c r="M761" s="7">
        <f ca="1" xml:space="preserve">
  IF(OR($N761 = 2, $N761 = 3, $N761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761" s="6">
        <f t="shared" ca="1" si="138"/>
        <v>8</v>
      </c>
      <c r="O761" s="6">
        <f t="shared" ca="1" si="139"/>
        <v>3</v>
      </c>
      <c r="P761" s="8">
        <f t="shared" ca="1" si="140"/>
        <v>39518</v>
      </c>
      <c r="Q761" s="6">
        <f ca="1">RANDBETWEEN(2,COUNTA('Recruitment source'!$A:$A))</f>
        <v>9</v>
      </c>
      <c r="R761" s="8" t="e">
        <f t="shared" ca="1" si="141"/>
        <v>#N/A</v>
      </c>
      <c r="S761" s="6" t="e">
        <f t="shared" ca="1" si="142"/>
        <v>#N/A</v>
      </c>
      <c r="T761" s="6">
        <f t="shared" ca="1" si="132"/>
        <v>3</v>
      </c>
      <c r="U761" s="1">
        <f t="shared" ca="1" si="143"/>
        <v>2080</v>
      </c>
    </row>
    <row r="762" spans="1:21" x14ac:dyDescent="0.2">
      <c r="A762" s="7" cm="1">
        <f t="array" aca="1" ref="A762" ca="1">INDEX(Companies!$A:$A,RANDBETWEEN(2,COUNTA(Companies!$A:$A)),1)</f>
        <v>2</v>
      </c>
      <c r="B762" s="5">
        <f t="shared" si="133"/>
        <v>761</v>
      </c>
      <c r="C762" s="6">
        <f t="shared" ca="1" si="134"/>
        <v>1</v>
      </c>
      <c r="D762" s="7">
        <f ca="1">IF($B762 = 1 + N("Presidente"),
    127,
    IF($B762 = 2 + N("Vice-Presidente"),
        72,
        IF($B762 = 3 + N("Secretária bilíngue"),
            13,
            RANDBETWEEN(5,COUNT(Name!$A:$A) + 1)
        )
    )
)</f>
        <v>157</v>
      </c>
      <c r="E762" s="7" t="str">
        <f ca="1" xml:space="preserve">
VLOOKUP(
  $D762,
  Name!$A:$B,
  2,
  FALSE
)
&amp; " " &amp;
IF($B762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Guilherme Cardoso Ribeiro</v>
      </c>
      <c r="F762" s="7">
        <v>2</v>
      </c>
      <c r="G762" s="7" cm="1">
        <f t="array" aca="1" ref="G762" ca="1">INDEX(States!$B:$B,RANDBETWEEN(2,COUNTA(States!$A:$A)),1)</f>
        <v>6</v>
      </c>
      <c r="H762" s="7" t="str">
        <f ca="1">VLOOKUP($D762,Name!$A:$C,3,FALSE)</f>
        <v>M</v>
      </c>
      <c r="I762" s="7" cm="1">
        <f t="array" aca="1" ref="I762" ca="1">INDEX('Marital status'!$A:$A,RANDBETWEEN(2,COUNTA('Marital status'!$A:$A)),1)</f>
        <v>3</v>
      </c>
      <c r="J762" s="7">
        <f t="shared" ca="1" si="135"/>
        <v>2</v>
      </c>
      <c r="K762" s="8">
        <f t="shared" ca="1" si="136"/>
        <v>29579</v>
      </c>
      <c r="L762" s="6">
        <f t="shared" ca="1" si="137"/>
        <v>4</v>
      </c>
      <c r="M762" s="7">
        <f ca="1" xml:space="preserve">
  IF(OR($N762 = 2, $N762 = 3, $N762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762" s="6">
        <f t="shared" ca="1" si="138"/>
        <v>7</v>
      </c>
      <c r="O762" s="6" t="e">
        <f t="shared" ca="1" si="139"/>
        <v>#N/A</v>
      </c>
      <c r="P762" s="8">
        <f t="shared" ca="1" si="140"/>
        <v>37354</v>
      </c>
      <c r="Q762" s="6">
        <f ca="1">RANDBETWEEN(2,COUNTA('Recruitment source'!$A:$A))</f>
        <v>5</v>
      </c>
      <c r="R762" s="8" t="e">
        <f t="shared" ca="1" si="141"/>
        <v>#N/A</v>
      </c>
      <c r="S762" s="6" t="e">
        <f t="shared" ca="1" si="142"/>
        <v>#N/A</v>
      </c>
      <c r="T762" s="6">
        <f t="shared" ca="1" si="132"/>
        <v>2</v>
      </c>
      <c r="U762" s="1">
        <f t="shared" ca="1" si="143"/>
        <v>1005</v>
      </c>
    </row>
    <row r="763" spans="1:21" x14ac:dyDescent="0.2">
      <c r="A763" s="7" cm="1">
        <f t="array" aca="1" ref="A763" ca="1">INDEX(Companies!$A:$A,RANDBETWEEN(2,COUNTA(Companies!$A:$A)),1)</f>
        <v>2</v>
      </c>
      <c r="B763" s="5">
        <f t="shared" si="133"/>
        <v>762</v>
      </c>
      <c r="C763" s="6">
        <f t="shared" ca="1" si="134"/>
        <v>1</v>
      </c>
      <c r="D763" s="7">
        <f ca="1">IF($B763 = 1 + N("Presidente"),
    127,
    IF($B763 = 2 + N("Vice-Presidente"),
        72,
        IF($B763 = 3 + N("Secretária bilíngue"),
            13,
            RANDBETWEEN(5,COUNT(Name!$A:$A) + 1)
        )
    )
)</f>
        <v>97</v>
      </c>
      <c r="E763" s="7" t="str">
        <f ca="1" xml:space="preserve">
VLOOKUP(
  $D763,
  Name!$A:$B,
  2,
  FALSE
)
&amp; " " &amp;
IF($B763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Claudia Conti Arruda</v>
      </c>
      <c r="F763" s="7">
        <v>2</v>
      </c>
      <c r="G763" s="7" cm="1">
        <f t="array" aca="1" ref="G763" ca="1">INDEX(States!$B:$B,RANDBETWEEN(2,COUNTA(States!$A:$A)),1)</f>
        <v>21</v>
      </c>
      <c r="H763" s="7" t="str">
        <f ca="1">VLOOKUP($D763,Name!$A:$C,3,FALSE)</f>
        <v>F</v>
      </c>
      <c r="I763" s="7" cm="1">
        <f t="array" aca="1" ref="I763" ca="1">INDEX('Marital status'!$A:$A,RANDBETWEEN(2,COUNTA('Marital status'!$A:$A)),1)</f>
        <v>4</v>
      </c>
      <c r="J763" s="7">
        <f t="shared" ca="1" si="135"/>
        <v>3</v>
      </c>
      <c r="K763" s="8">
        <f t="shared" ca="1" si="136"/>
        <v>34822</v>
      </c>
      <c r="L763" s="6">
        <f t="shared" ca="1" si="137"/>
        <v>5</v>
      </c>
      <c r="M763" s="7">
        <f ca="1" xml:space="preserve">
  IF(OR($N763 = 2, $N763 = 3, $N763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763" s="6">
        <f t="shared" ca="1" si="138"/>
        <v>8</v>
      </c>
      <c r="O763" s="6">
        <f t="shared" ca="1" si="139"/>
        <v>4</v>
      </c>
      <c r="P763" s="8">
        <f t="shared" ca="1" si="140"/>
        <v>42346</v>
      </c>
      <c r="Q763" s="6">
        <f ca="1">RANDBETWEEN(2,COUNTA('Recruitment source'!$A:$A))</f>
        <v>5</v>
      </c>
      <c r="R763" s="8" t="e">
        <f t="shared" ca="1" si="141"/>
        <v>#N/A</v>
      </c>
      <c r="S763" s="6" t="e">
        <f t="shared" ca="1" si="142"/>
        <v>#N/A</v>
      </c>
      <c r="T763" s="6">
        <f t="shared" ca="1" si="132"/>
        <v>4</v>
      </c>
      <c r="U763" s="1">
        <f t="shared" ca="1" si="143"/>
        <v>2000</v>
      </c>
    </row>
    <row r="764" spans="1:21" x14ac:dyDescent="0.2">
      <c r="A764" s="7" cm="1">
        <f t="array" aca="1" ref="A764" ca="1">INDEX(Companies!$A:$A,RANDBETWEEN(2,COUNTA(Companies!$A:$A)),1)</f>
        <v>2</v>
      </c>
      <c r="B764" s="5">
        <f t="shared" si="133"/>
        <v>763</v>
      </c>
      <c r="C764" s="6">
        <f t="shared" ca="1" si="134"/>
        <v>1</v>
      </c>
      <c r="D764" s="7">
        <f ca="1">IF($B764 = 1 + N("Presidente"),
    127,
    IF($B764 = 2 + N("Vice-Presidente"),
        72,
        IF($B764 = 3 + N("Secretária bilíngue"),
            13,
            RANDBETWEEN(5,COUNT(Name!$A:$A) + 1)
        )
    )
)</f>
        <v>247</v>
      </c>
      <c r="E764" s="7" t="str">
        <f ca="1" xml:space="preserve">
VLOOKUP(
  $D764,
  Name!$A:$B,
  2,
  FALSE
)
&amp; " " &amp;
IF($B764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Otávio Farina Arruda</v>
      </c>
      <c r="F764" s="7">
        <v>2</v>
      </c>
      <c r="G764" s="7" cm="1">
        <f t="array" aca="1" ref="G764" ca="1">INDEX(States!$B:$B,RANDBETWEEN(2,COUNTA(States!$A:$A)),1)</f>
        <v>11</v>
      </c>
      <c r="H764" s="7" t="str">
        <f ca="1">VLOOKUP($D764,Name!$A:$C,3,FALSE)</f>
        <v>M</v>
      </c>
      <c r="I764" s="7" cm="1">
        <f t="array" aca="1" ref="I764" ca="1">INDEX('Marital status'!$A:$A,RANDBETWEEN(2,COUNTA('Marital status'!$A:$A)),1)</f>
        <v>3</v>
      </c>
      <c r="J764" s="7">
        <f t="shared" ca="1" si="135"/>
        <v>2</v>
      </c>
      <c r="K764" s="8">
        <f t="shared" ca="1" si="136"/>
        <v>28122</v>
      </c>
      <c r="L764" s="6">
        <f t="shared" ca="1" si="137"/>
        <v>4</v>
      </c>
      <c r="M764" s="7">
        <f ca="1" xml:space="preserve">
  IF(OR($N764 = 2, $N764 = 3, $N764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764" s="6">
        <f t="shared" ca="1" si="138"/>
        <v>6</v>
      </c>
      <c r="O764" s="6" t="e">
        <f t="shared" ca="1" si="139"/>
        <v>#N/A</v>
      </c>
      <c r="P764" s="8">
        <f t="shared" ca="1" si="140"/>
        <v>39723</v>
      </c>
      <c r="Q764" s="6">
        <f ca="1">RANDBETWEEN(2,COUNTA('Recruitment source'!$A:$A))</f>
        <v>6</v>
      </c>
      <c r="R764" s="8" t="e">
        <f t="shared" ca="1" si="141"/>
        <v>#N/A</v>
      </c>
      <c r="S764" s="6" t="e">
        <f t="shared" ca="1" si="142"/>
        <v>#N/A</v>
      </c>
      <c r="T764" s="6">
        <f t="shared" ca="1" si="132"/>
        <v>5</v>
      </c>
      <c r="U764" s="1">
        <f t="shared" ca="1" si="143"/>
        <v>805</v>
      </c>
    </row>
    <row r="765" spans="1:21" x14ac:dyDescent="0.2">
      <c r="A765" s="7" cm="1">
        <f t="array" aca="1" ref="A765" ca="1">INDEX(Companies!$A:$A,RANDBETWEEN(2,COUNTA(Companies!$A:$A)),1)</f>
        <v>2</v>
      </c>
      <c r="B765" s="5">
        <f t="shared" si="133"/>
        <v>764</v>
      </c>
      <c r="C765" s="6">
        <f t="shared" ca="1" si="134"/>
        <v>1</v>
      </c>
      <c r="D765" s="7">
        <f ca="1">IF($B765 = 1 + N("Presidente"),
    127,
    IF($B765 = 2 + N("Vice-Presidente"),
        72,
        IF($B765 = 3 + N("Secretária bilíngue"),
            13,
            RANDBETWEEN(5,COUNT(Name!$A:$A) + 1)
        )
    )
)</f>
        <v>269</v>
      </c>
      <c r="E765" s="7" t="str">
        <f ca="1" xml:space="preserve">
VLOOKUP(
  $D765,
  Name!$A:$B,
  2,
  FALSE
)
&amp; " " &amp;
IF($B765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Júlia Cardoso Siqueira</v>
      </c>
      <c r="F765" s="7">
        <v>2</v>
      </c>
      <c r="G765" s="7" cm="1">
        <f t="array" aca="1" ref="G765" ca="1">INDEX(States!$B:$B,RANDBETWEEN(2,COUNTA(States!$A:$A)),1)</f>
        <v>13</v>
      </c>
      <c r="H765" s="7" t="str">
        <f ca="1">VLOOKUP($D765,Name!$A:$C,3,FALSE)</f>
        <v>F</v>
      </c>
      <c r="I765" s="7" cm="1">
        <f t="array" aca="1" ref="I765" ca="1">INDEX('Marital status'!$A:$A,RANDBETWEEN(2,COUNTA('Marital status'!$A:$A)),1)</f>
        <v>4</v>
      </c>
      <c r="J765" s="7">
        <f t="shared" ca="1" si="135"/>
        <v>2</v>
      </c>
      <c r="K765" s="8">
        <f t="shared" ca="1" si="136"/>
        <v>36303</v>
      </c>
      <c r="L765" s="6">
        <f t="shared" ca="1" si="137"/>
        <v>5</v>
      </c>
      <c r="M765" s="7">
        <f ca="1" xml:space="preserve">
  IF(OR($N765 = 2, $N765 = 3, $N765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765" s="6">
        <f t="shared" ca="1" si="138"/>
        <v>8</v>
      </c>
      <c r="O765" s="6">
        <f t="shared" ca="1" si="139"/>
        <v>2</v>
      </c>
      <c r="P765" s="8">
        <f t="shared" ca="1" si="140"/>
        <v>37350</v>
      </c>
      <c r="Q765" s="6">
        <f ca="1">RANDBETWEEN(2,COUNTA('Recruitment source'!$A:$A))</f>
        <v>4</v>
      </c>
      <c r="R765" s="8" t="e">
        <f t="shared" ca="1" si="141"/>
        <v>#N/A</v>
      </c>
      <c r="S765" s="6" t="e">
        <f t="shared" ca="1" si="142"/>
        <v>#N/A</v>
      </c>
      <c r="T765" s="6">
        <f t="shared" ca="1" si="132"/>
        <v>4</v>
      </c>
      <c r="U765" s="1">
        <f t="shared" ca="1" si="143"/>
        <v>2000</v>
      </c>
    </row>
    <row r="766" spans="1:21" x14ac:dyDescent="0.2">
      <c r="A766" s="7" cm="1">
        <f t="array" aca="1" ref="A766" ca="1">INDEX(Companies!$A:$A,RANDBETWEEN(2,COUNTA(Companies!$A:$A)),1)</f>
        <v>2</v>
      </c>
      <c r="B766" s="5">
        <f t="shared" si="133"/>
        <v>765</v>
      </c>
      <c r="C766" s="6">
        <f t="shared" ca="1" si="134"/>
        <v>1</v>
      </c>
      <c r="D766" s="7">
        <f ca="1">IF($B766 = 1 + N("Presidente"),
    127,
    IF($B766 = 2 + N("Vice-Presidente"),
        72,
        IF($B766 = 3 + N("Secretária bilíngue"),
            13,
            RANDBETWEEN(5,COUNT(Name!$A:$A) + 1)
        )
    )
)</f>
        <v>68</v>
      </c>
      <c r="E766" s="7" t="str">
        <f ca="1" xml:space="preserve">
VLOOKUP(
  $D766,
  Name!$A:$B,
  2,
  FALSE
)
&amp; " " &amp;
IF($B766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Benício Rinaldi Frasão</v>
      </c>
      <c r="F766" s="7">
        <v>2</v>
      </c>
      <c r="G766" s="7" cm="1">
        <f t="array" aca="1" ref="G766" ca="1">INDEX(States!$B:$B,RANDBETWEEN(2,COUNTA(States!$A:$A)),1)</f>
        <v>14</v>
      </c>
      <c r="H766" s="7" t="str">
        <f ca="1">VLOOKUP($D766,Name!$A:$C,3,FALSE)</f>
        <v>M</v>
      </c>
      <c r="I766" s="7" cm="1">
        <f t="array" aca="1" ref="I766" ca="1">INDEX('Marital status'!$A:$A,RANDBETWEEN(2,COUNTA('Marital status'!$A:$A)),1)</f>
        <v>4</v>
      </c>
      <c r="J766" s="7">
        <f t="shared" ca="1" si="135"/>
        <v>7</v>
      </c>
      <c r="K766" s="8">
        <f t="shared" ca="1" si="136"/>
        <v>19782</v>
      </c>
      <c r="L766" s="6">
        <f t="shared" ca="1" si="137"/>
        <v>4</v>
      </c>
      <c r="M766" s="7">
        <f ca="1" xml:space="preserve">
  IF(OR($N766 = 2, $N766 = 3, $N766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766" s="6">
        <f t="shared" ca="1" si="138"/>
        <v>6</v>
      </c>
      <c r="O766" s="6" t="e">
        <f t="shared" ca="1" si="139"/>
        <v>#N/A</v>
      </c>
      <c r="P766" s="8">
        <f t="shared" ca="1" si="140"/>
        <v>40022</v>
      </c>
      <c r="Q766" s="6">
        <f ca="1">RANDBETWEEN(2,COUNTA('Recruitment source'!$A:$A))</f>
        <v>10</v>
      </c>
      <c r="R766" s="8" t="e">
        <f t="shared" ca="1" si="141"/>
        <v>#N/A</v>
      </c>
      <c r="S766" s="6" t="e">
        <f t="shared" ca="1" si="142"/>
        <v>#N/A</v>
      </c>
      <c r="T766" s="6">
        <f t="shared" ca="1" si="132"/>
        <v>2</v>
      </c>
      <c r="U766" s="1">
        <f t="shared" ca="1" si="143"/>
        <v>805</v>
      </c>
    </row>
    <row r="767" spans="1:21" x14ac:dyDescent="0.2">
      <c r="A767" s="7" cm="1">
        <f t="array" aca="1" ref="A767" ca="1">INDEX(Companies!$A:$A,RANDBETWEEN(2,COUNTA(Companies!$A:$A)),1)</f>
        <v>2</v>
      </c>
      <c r="B767" s="5">
        <f t="shared" si="133"/>
        <v>766</v>
      </c>
      <c r="C767" s="6">
        <f t="shared" ca="1" si="134"/>
        <v>1</v>
      </c>
      <c r="D767" s="7">
        <f ca="1">IF($B767 = 1 + N("Presidente"),
    127,
    IF($B767 = 2 + N("Vice-Presidente"),
        72,
        IF($B767 = 3 + N("Secretária bilíngue"),
            13,
            RANDBETWEEN(5,COUNT(Name!$A:$A) + 1)
        )
    )
)</f>
        <v>321</v>
      </c>
      <c r="E767" s="7" t="str">
        <f ca="1" xml:space="preserve">
VLOOKUP(
  $D767,
  Name!$A:$B,
  2,
  FALSE
)
&amp; " " &amp;
IF($B767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Pietra Sousa Rossi</v>
      </c>
      <c r="F767" s="7">
        <v>2</v>
      </c>
      <c r="G767" s="7" cm="1">
        <f t="array" aca="1" ref="G767" ca="1">INDEX(States!$B:$B,RANDBETWEEN(2,COUNTA(States!$A:$A)),1)</f>
        <v>20</v>
      </c>
      <c r="H767" s="7" t="str">
        <f ca="1">VLOOKUP($D767,Name!$A:$C,3,FALSE)</f>
        <v>F</v>
      </c>
      <c r="I767" s="7" cm="1">
        <f t="array" aca="1" ref="I767" ca="1">INDEX('Marital status'!$A:$A,RANDBETWEEN(2,COUNTA('Marital status'!$A:$A)),1)</f>
        <v>3</v>
      </c>
      <c r="J767" s="7">
        <f t="shared" ca="1" si="135"/>
        <v>2</v>
      </c>
      <c r="K767" s="8">
        <f t="shared" ca="1" si="136"/>
        <v>35018</v>
      </c>
      <c r="L767" s="6">
        <f t="shared" ca="1" si="137"/>
        <v>4</v>
      </c>
      <c r="M767" s="7">
        <f ca="1" xml:space="preserve">
  IF(OR($N767 = 2, $N767 = 3, $N767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767" s="6">
        <f t="shared" ca="1" si="138"/>
        <v>8</v>
      </c>
      <c r="O767" s="6">
        <f t="shared" ca="1" si="139"/>
        <v>2</v>
      </c>
      <c r="P767" s="8">
        <f t="shared" ca="1" si="140"/>
        <v>40946</v>
      </c>
      <c r="Q767" s="6">
        <f ca="1">RANDBETWEEN(2,COUNTA('Recruitment source'!$A:$A))</f>
        <v>9</v>
      </c>
      <c r="R767" s="8" t="e">
        <f t="shared" ca="1" si="141"/>
        <v>#N/A</v>
      </c>
      <c r="S767" s="6" t="e">
        <f t="shared" ca="1" si="142"/>
        <v>#N/A</v>
      </c>
      <c r="T767" s="6">
        <f t="shared" ca="1" si="132"/>
        <v>2</v>
      </c>
      <c r="U767" s="1">
        <f t="shared" ca="1" si="143"/>
        <v>2000</v>
      </c>
    </row>
    <row r="768" spans="1:21" x14ac:dyDescent="0.2">
      <c r="A768" s="7" cm="1">
        <f t="array" aca="1" ref="A768" ca="1">INDEX(Companies!$A:$A,RANDBETWEEN(2,COUNTA(Companies!$A:$A)),1)</f>
        <v>2</v>
      </c>
      <c r="B768" s="5">
        <f t="shared" si="133"/>
        <v>767</v>
      </c>
      <c r="C768" s="6">
        <f t="shared" ca="1" si="134"/>
        <v>1</v>
      </c>
      <c r="D768" s="7">
        <f ca="1">IF($B768 = 1 + N("Presidente"),
    127,
    IF($B768 = 2 + N("Vice-Presidente"),
        72,
        IF($B768 = 3 + N("Secretária bilíngue"),
            13,
            RANDBETWEEN(5,COUNT(Name!$A:$A) + 1)
        )
    )
)</f>
        <v>263</v>
      </c>
      <c r="E768" s="7" t="str">
        <f ca="1" xml:space="preserve">
VLOOKUP(
  $D768,
  Name!$A:$B,
  2,
  FALSE
)
&amp; " " &amp;
IF($B768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Fernanda Sacramento Bianchi</v>
      </c>
      <c r="F768" s="7">
        <v>2</v>
      </c>
      <c r="G768" s="7" cm="1">
        <f t="array" aca="1" ref="G768" ca="1">INDEX(States!$B:$B,RANDBETWEEN(2,COUNTA(States!$A:$A)),1)</f>
        <v>14</v>
      </c>
      <c r="H768" s="7" t="str">
        <f ca="1">VLOOKUP($D768,Name!$A:$C,3,FALSE)</f>
        <v>F</v>
      </c>
      <c r="I768" s="7" cm="1">
        <f t="array" aca="1" ref="I768" ca="1">INDEX('Marital status'!$A:$A,RANDBETWEEN(2,COUNTA('Marital status'!$A:$A)),1)</f>
        <v>5</v>
      </c>
      <c r="J768" s="7">
        <f t="shared" ca="1" si="135"/>
        <v>2</v>
      </c>
      <c r="K768" s="8">
        <f t="shared" ca="1" si="136"/>
        <v>34627</v>
      </c>
      <c r="L768" s="6">
        <f t="shared" ca="1" si="137"/>
        <v>4</v>
      </c>
      <c r="M768" s="7">
        <f ca="1" xml:space="preserve">
  IF(OR($N768 = 2, $N768 = 3, $N768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768" s="6">
        <f t="shared" ca="1" si="138"/>
        <v>7</v>
      </c>
      <c r="O768" s="6" t="e">
        <f t="shared" ca="1" si="139"/>
        <v>#N/A</v>
      </c>
      <c r="P768" s="8">
        <f t="shared" ca="1" si="140"/>
        <v>43298</v>
      </c>
      <c r="Q768" s="6">
        <f ca="1">RANDBETWEEN(2,COUNTA('Recruitment source'!$A:$A))</f>
        <v>9</v>
      </c>
      <c r="R768" s="8" t="e">
        <f t="shared" ca="1" si="141"/>
        <v>#N/A</v>
      </c>
      <c r="S768" s="6" t="e">
        <f t="shared" ca="1" si="142"/>
        <v>#N/A</v>
      </c>
      <c r="T768" s="6">
        <f t="shared" ca="1" si="132"/>
        <v>5</v>
      </c>
      <c r="U768" s="1">
        <f t="shared" ca="1" si="143"/>
        <v>1005</v>
      </c>
    </row>
    <row r="769" spans="1:21" x14ac:dyDescent="0.2">
      <c r="A769" s="7" cm="1">
        <f t="array" aca="1" ref="A769" ca="1">INDEX(Companies!$A:$A,RANDBETWEEN(2,COUNTA(Companies!$A:$A)),1)</f>
        <v>2</v>
      </c>
      <c r="B769" s="5">
        <f t="shared" si="133"/>
        <v>768</v>
      </c>
      <c r="C769" s="6">
        <f t="shared" ca="1" si="134"/>
        <v>1</v>
      </c>
      <c r="D769" s="7">
        <f ca="1">IF($B769 = 1 + N("Presidente"),
    127,
    IF($B769 = 2 + N("Vice-Presidente"),
        72,
        IF($B769 = 3 + N("Secretária bilíngue"),
            13,
            RANDBETWEEN(5,COUNT(Name!$A:$A) + 1)
        )
    )
)</f>
        <v>359</v>
      </c>
      <c r="E769" s="7" t="str">
        <f ca="1" xml:space="preserve">
VLOOKUP(
  $D769,
  Name!$A:$B,
  2,
  FALSE
)
&amp; " " &amp;
IF($B769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Vitor Lima Testa</v>
      </c>
      <c r="F769" s="7">
        <v>2</v>
      </c>
      <c r="G769" s="7" cm="1">
        <f t="array" aca="1" ref="G769" ca="1">INDEX(States!$B:$B,RANDBETWEEN(2,COUNTA(States!$A:$A)),1)</f>
        <v>20</v>
      </c>
      <c r="H769" s="7" t="str">
        <f ca="1">VLOOKUP($D769,Name!$A:$C,3,FALSE)</f>
        <v>M</v>
      </c>
      <c r="I769" s="7" cm="1">
        <f t="array" aca="1" ref="I769" ca="1">INDEX('Marital status'!$A:$A,RANDBETWEEN(2,COUNTA('Marital status'!$A:$A)),1)</f>
        <v>6</v>
      </c>
      <c r="J769" s="7">
        <f t="shared" ca="1" si="135"/>
        <v>2</v>
      </c>
      <c r="K769" s="8">
        <f t="shared" ca="1" si="136"/>
        <v>35022</v>
      </c>
      <c r="L769" s="6">
        <f t="shared" ca="1" si="137"/>
        <v>4</v>
      </c>
      <c r="M769" s="7">
        <f ca="1" xml:space="preserve">
  IF(OR($N769 = 2, $N769 = 3, $N769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769" s="6">
        <f t="shared" ca="1" si="138"/>
        <v>8</v>
      </c>
      <c r="O769" s="6">
        <f t="shared" ca="1" si="139"/>
        <v>2</v>
      </c>
      <c r="P769" s="8">
        <f t="shared" ca="1" si="140"/>
        <v>43729</v>
      </c>
      <c r="Q769" s="6">
        <f ca="1">RANDBETWEEN(2,COUNTA('Recruitment source'!$A:$A))</f>
        <v>10</v>
      </c>
      <c r="R769" s="8" t="e">
        <f t="shared" ca="1" si="141"/>
        <v>#N/A</v>
      </c>
      <c r="S769" s="6" t="e">
        <f t="shared" ca="1" si="142"/>
        <v>#N/A</v>
      </c>
      <c r="T769" s="6">
        <f t="shared" ca="1" si="132"/>
        <v>5</v>
      </c>
      <c r="U769" s="1">
        <f t="shared" ca="1" si="143"/>
        <v>2100</v>
      </c>
    </row>
    <row r="770" spans="1:21" x14ac:dyDescent="0.2">
      <c r="A770" s="7" cm="1">
        <f t="array" aca="1" ref="A770" ca="1">INDEX(Companies!$A:$A,RANDBETWEEN(2,COUNTA(Companies!$A:$A)),1)</f>
        <v>2</v>
      </c>
      <c r="B770" s="5">
        <f t="shared" si="133"/>
        <v>769</v>
      </c>
      <c r="C770" s="6">
        <f t="shared" ca="1" si="134"/>
        <v>1</v>
      </c>
      <c r="D770" s="7">
        <f ca="1">IF($B770 = 1 + N("Presidente"),
    127,
    IF($B770 = 2 + N("Vice-Presidente"),
        72,
        IF($B770 = 3 + N("Secretária bilíngue"),
            13,
            RANDBETWEEN(5,COUNT(Name!$A:$A) + 1)
        )
    )
)</f>
        <v>331</v>
      </c>
      <c r="E770" s="7" t="str">
        <f ca="1" xml:space="preserve">
VLOOKUP(
  $D770,
  Name!$A:$B,
  2,
  FALSE
)
&amp; " " &amp;
IF($B770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Renato Carneiro Castro</v>
      </c>
      <c r="F770" s="7">
        <v>2</v>
      </c>
      <c r="G770" s="7" cm="1">
        <f t="array" aca="1" ref="G770" ca="1">INDEX(States!$B:$B,RANDBETWEEN(2,COUNTA(States!$A:$A)),1)</f>
        <v>10</v>
      </c>
      <c r="H770" s="7" t="str">
        <f ca="1">VLOOKUP($D770,Name!$A:$C,3,FALSE)</f>
        <v>M</v>
      </c>
      <c r="I770" s="7" cm="1">
        <f t="array" aca="1" ref="I770" ca="1">INDEX('Marital status'!$A:$A,RANDBETWEEN(2,COUNTA('Marital status'!$A:$A)),1)</f>
        <v>6</v>
      </c>
      <c r="J770" s="7">
        <f t="shared" ca="1" si="135"/>
        <v>4</v>
      </c>
      <c r="K770" s="8">
        <f t="shared" ca="1" si="136"/>
        <v>21057</v>
      </c>
      <c r="L770" s="6">
        <f t="shared" ca="1" si="137"/>
        <v>4</v>
      </c>
      <c r="M770" s="7">
        <f ca="1" xml:space="preserve">
  IF(OR($N770 = 2, $N770 = 3, $N770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770" s="6">
        <f t="shared" ca="1" si="138"/>
        <v>6</v>
      </c>
      <c r="O770" s="6" t="e">
        <f t="shared" ca="1" si="139"/>
        <v>#N/A</v>
      </c>
      <c r="P770" s="8">
        <f t="shared" ca="1" si="140"/>
        <v>42159</v>
      </c>
      <c r="Q770" s="6">
        <f ca="1">RANDBETWEEN(2,COUNTA('Recruitment source'!$A:$A))</f>
        <v>11</v>
      </c>
      <c r="R770" s="8" t="e">
        <f t="shared" ca="1" si="141"/>
        <v>#N/A</v>
      </c>
      <c r="S770" s="6" t="e">
        <f t="shared" ca="1" si="142"/>
        <v>#N/A</v>
      </c>
      <c r="T770" s="6">
        <f t="shared" ref="T770:T833" ca="1" si="144" xml:space="preserve">
IF(
 ISNA($R770),
 IF(
   $N770 = 2,
   5,
   IF(
     OR($N770=3,$N770=4,$N770=5),
     RANDBETWEEN(4,5),
     IF(
       OR($N770=11,$N770=12),
       RANDBETWEEN(3,5),
       RANDBETWEEN(2,5)
     )
   )
 ),
 RANDBETWEEN(1,3)
)</f>
        <v>3</v>
      </c>
      <c r="U770" s="1">
        <f t="shared" ca="1" si="143"/>
        <v>805</v>
      </c>
    </row>
    <row r="771" spans="1:21" x14ac:dyDescent="0.2">
      <c r="A771" s="7" cm="1">
        <f t="array" aca="1" ref="A771" ca="1">INDEX(Companies!$A:$A,RANDBETWEEN(2,COUNTA(Companies!$A:$A)),1)</f>
        <v>2</v>
      </c>
      <c r="B771" s="5">
        <f t="shared" ref="B771:B834" si="145">ROW() - 1</f>
        <v>770</v>
      </c>
      <c r="C771" s="6">
        <f t="shared" ref="C771:C834" ca="1" si="146">IF(ISNA($R771),1,0)</f>
        <v>1</v>
      </c>
      <c r="D771" s="7">
        <f ca="1">IF($B771 = 1 + N("Presidente"),
    127,
    IF($B771 = 2 + N("Vice-Presidente"),
        72,
        IF($B771 = 3 + N("Secretária bilíngue"),
            13,
            RANDBETWEEN(5,COUNT(Name!$A:$A) + 1)
        )
    )
)</f>
        <v>263</v>
      </c>
      <c r="E771" s="7" t="str">
        <f ca="1" xml:space="preserve">
VLOOKUP(
  $D771,
  Name!$A:$B,
  2,
  FALSE
)
&amp; " " &amp;
IF($B771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Fernanda Conti Leone</v>
      </c>
      <c r="F771" s="7">
        <v>2</v>
      </c>
      <c r="G771" s="7" cm="1">
        <f t="array" aca="1" ref="G771" ca="1">INDEX(States!$B:$B,RANDBETWEEN(2,COUNTA(States!$A:$A)),1)</f>
        <v>3</v>
      </c>
      <c r="H771" s="7" t="str">
        <f ca="1">VLOOKUP($D771,Name!$A:$C,3,FALSE)</f>
        <v>F</v>
      </c>
      <c r="I771" s="7" cm="1">
        <f t="array" aca="1" ref="I771" ca="1">INDEX('Marital status'!$A:$A,RANDBETWEEN(2,COUNTA('Marital status'!$A:$A)),1)</f>
        <v>3</v>
      </c>
      <c r="J771" s="7">
        <f t="shared" ref="J771:J834" ca="1" si="147" xml:space="preserve">
IF(AND($N771 &gt;= 2, $N771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771" s="8">
        <f t="shared" ref="K771:K834" ca="1" si="148" xml:space="preserve">
IF($N771 = 5 + N("CEO"),
    TODAY() - 16340,
    IF($N771 = 8 + N("Secretary"),
        RANDBETWEEN(TODAY() - 12418.5, TODAY()-6574.5),
        IF(OR($N771 = 7, $N771 = 14),
            RANDBETWEEN(TODAY() - 16071, TODAY() - 8766),
            IF(OR($N771 = 13, $N771 = 12, $N771 = 11),
                RANDBETWEEN(TODAY() - 27393.75, TODAY() - 12783.75),
                RANDBETWEEN(TODAY() - 27393.75, TODAY()-10957.5)
            )
        )
    )
)</f>
        <v>36175</v>
      </c>
      <c r="L771" s="6">
        <f t="shared" ref="L771:L834" ca="1" si="149" xml:space="preserve">
IF(OR($N771 = 2, $N771 = 3) + N("Se for presidente ou vice-presidente"),
    7 + N("Doutor"),
    IF($N771 = 4 + N("Se for diretor"),
        RANDBETWEEN(5,7) + N("Graduate school or Master’s degree or Doctorate"),
        IF($N771 = 11 + N("Se for gerente"),
            RANDBETWEEN(4,6) + N("Undergraduate degree or Graduate school or Master’s degree"),
            IF(AND($N771 &gt;= 8, $N771 &lt;= 10) + N("If coordinator or specialist or analyst"),
                RANDBETWEEN(4,5),
                4
            )
        )
    )
)</f>
        <v>5</v>
      </c>
      <c r="M771" s="7">
        <f ca="1" xml:space="preserve">
  IF(OR($N771 = 2, $N771 = 3, $N771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771" s="6">
        <f t="shared" ref="N771:N834" ca="1" si="150" xml:space="preserve">
IF($B771 = 1 + N("Se matrícula for 1"),
  2 + N("Presidente"),
  IF($B771 = 2 + N("Se matrícula for 2"),
    3 + N("Vice-presidente"),
    IF($B771 = 3 + N("Se matrícula for 3"),
      5 + N("Secretária bilíngue"),
      IF(AND($B771 &gt;= 4, $B771 &lt;=14),
        4 + N("Diretor"),
        IF(AND($B771 &gt;= 15, $B771 &lt;= 25),
          11 + N("Manager"),
          IF(AND($B771 &gt;= 26, $B771 &lt;= 36),
            10 + N("Coordinador"),
            IF(AND($B771 &gt;= 37, $B771 &lt;= 47),
              9 + N("Especialista"),
                IF(MOD($B771,2) = 0,
                  8 + N("Analista"),
                  RANDBETWEEN(6,7) + N("Estagiário ou Trainee")
                )
            )
          )
        )
      )
    )
  )
)</f>
        <v>8</v>
      </c>
      <c r="O771" s="6">
        <f t="shared" ref="O771:O834" ca="1" si="151" xml:space="preserve">
IF($N771 =8 + N("Analyst"),
    RANDBETWEEN(2, 4) + N("Jr, Pleno, Sr"),
    NA()
)</f>
        <v>3</v>
      </c>
      <c r="P771" s="8">
        <f t="shared" ref="P771:P834" ca="1" si="152" xml:space="preserve">
IF(
   $N771=2 + N("Presidente"),
   36161,
   IF(
       OR(
         $N771=3 + N("Vice-Presidente"),
         $N771=4 + N("Diretor"),
         $N771=5 + N("Secretária bilíngue")
       ),
       RANDBETWEEN(36161,36411),
       IF(
         ((TODAY() - $K771) / 365) &lt; 19,
         TODAY(),
         RANDBETWEEN(36161,TODAY())
       )
   )
)</f>
        <v>36271</v>
      </c>
      <c r="Q771" s="6">
        <f ca="1">RANDBETWEEN(2,COUNTA('Recruitment source'!$A:$A))</f>
        <v>11</v>
      </c>
      <c r="R771" s="8" t="e">
        <f t="shared" ref="R771:R834" ca="1" si="153" xml:space="preserve">
IF(MOD(
     ROW(),111
   )=0,
   RANDBETWEEN($P771 + 1,TODAY() - 1),NA()
)</f>
        <v>#N/A</v>
      </c>
      <c r="S771" s="6" t="e">
        <f t="shared" ref="S771:S834" ca="1" si="154" xml:space="preserve">
IF(
  ISNA(R771),
  NA(),
  RANDBETWEEN(2,IF($H771="F",10,9))
)</f>
        <v>#N/A</v>
      </c>
      <c r="T771" s="6">
        <f t="shared" ca="1" si="144"/>
        <v>5</v>
      </c>
      <c r="U771" s="1">
        <f t="shared" ref="U771:U834" ca="1" si="155" xml:space="preserve">
IF($N771 = 2 + N("Presidente"),
    25000,
    IF($N771 = 3 + N("Vice-presidente"),
        23000,
        IF(OR($N771 = 5, $N771= 10, $N771 = 9) + N("Secretária bilíngue ou coordenador ou especialista"),
            8000,
            IF($N771 = 4 + N("Diretor"),
                15000,
                IF($N771 = 11 + N("Gerente"),
                    12000,
                    IF($N771 = 6 + N("Estagiário"),
                        805,
                        IF($N771 = 7 + N("Trainee"),
                            1005,
                            IF($N771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IF($L771 = 7,
  100,
  IF($L771 = 8,
    200,
    IF($L771 = 9,
      300,
      IF($L771 = 10,
        400,
        0
      )
    )
  )
)
+
N("Adicional no salário por área")
+
IF($M771 = 14 + N("Tecnologia da Informação"),
  120,
  IF($M771 = 16 + N("Vendas"),
    110,
    IF($M771 = 15 + N("Jurídico"),
      100,
      IF(OR($M771 = 8, $M771 = 9, $M771 = 11) + N("Recursos humanos ou comercial ou comunicação e marketing"),
        80,
        0
      )
    )
  )
)
+
N("Adicionando pegadinha")
+
IF(AND($M771 = 13, $N771 = 8) + N("Se for de vendas e analista"),
  IF($J771 = 2,
    50,
    0
  )
  +
  IF($H771 = "M",
    50,
    0
  ),
  0
)</f>
        <v>2000</v>
      </c>
    </row>
    <row r="772" spans="1:21" x14ac:dyDescent="0.2">
      <c r="A772" s="7" cm="1">
        <f t="array" aca="1" ref="A772" ca="1">INDEX(Companies!$A:$A,RANDBETWEEN(2,COUNTA(Companies!$A:$A)),1)</f>
        <v>2</v>
      </c>
      <c r="B772" s="5">
        <f t="shared" si="145"/>
        <v>771</v>
      </c>
      <c r="C772" s="6">
        <f t="shared" ca="1" si="146"/>
        <v>1</v>
      </c>
      <c r="D772" s="7">
        <f ca="1">IF($B772 = 1 + N("Presidente"),
    127,
    IF($B772 = 2 + N("Vice-Presidente"),
        72,
        IF($B772 = 3 + N("Secretária bilíngue"),
            13,
            RANDBETWEEN(5,COUNT(Name!$A:$A) + 1)
        )
    )
)</f>
        <v>178</v>
      </c>
      <c r="E772" s="7" t="str">
        <f ca="1" xml:space="preserve">
VLOOKUP(
  $D772,
  Name!$A:$B,
  2,
  FALSE
)
&amp; " " &amp;
IF($B772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Isabely Pedrosa Gallo</v>
      </c>
      <c r="F772" s="7">
        <v>2</v>
      </c>
      <c r="G772" s="7" cm="1">
        <f t="array" aca="1" ref="G772" ca="1">INDEX(States!$B:$B,RANDBETWEEN(2,COUNTA(States!$A:$A)),1)</f>
        <v>10</v>
      </c>
      <c r="H772" s="7" t="str">
        <f ca="1">VLOOKUP($D772,Name!$A:$C,3,FALSE)</f>
        <v>F</v>
      </c>
      <c r="I772" s="7" cm="1">
        <f t="array" aca="1" ref="I772" ca="1">INDEX('Marital status'!$A:$A,RANDBETWEEN(2,COUNTA('Marital status'!$A:$A)),1)</f>
        <v>5</v>
      </c>
      <c r="J772" s="7">
        <f t="shared" ca="1" si="147"/>
        <v>2</v>
      </c>
      <c r="K772" s="8">
        <f t="shared" ca="1" si="148"/>
        <v>31242</v>
      </c>
      <c r="L772" s="6">
        <f t="shared" ca="1" si="149"/>
        <v>4</v>
      </c>
      <c r="M772" s="7">
        <f ca="1" xml:space="preserve">
  IF(OR($N772 = 2, $N772 = 3, $N772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772" s="6">
        <f t="shared" ca="1" si="150"/>
        <v>7</v>
      </c>
      <c r="O772" s="6" t="e">
        <f t="shared" ca="1" si="151"/>
        <v>#N/A</v>
      </c>
      <c r="P772" s="8">
        <f t="shared" ca="1" si="152"/>
        <v>40225</v>
      </c>
      <c r="Q772" s="6">
        <f ca="1">RANDBETWEEN(2,COUNTA('Recruitment source'!$A:$A))</f>
        <v>9</v>
      </c>
      <c r="R772" s="8" t="e">
        <f t="shared" ca="1" si="153"/>
        <v>#N/A</v>
      </c>
      <c r="S772" s="6" t="e">
        <f t="shared" ca="1" si="154"/>
        <v>#N/A</v>
      </c>
      <c r="T772" s="6">
        <f t="shared" ca="1" si="144"/>
        <v>3</v>
      </c>
      <c r="U772" s="1">
        <f t="shared" ca="1" si="155"/>
        <v>1005</v>
      </c>
    </row>
    <row r="773" spans="1:21" x14ac:dyDescent="0.2">
      <c r="A773" s="7" cm="1">
        <f t="array" aca="1" ref="A773" ca="1">INDEX(Companies!$A:$A,RANDBETWEEN(2,COUNTA(Companies!$A:$A)),1)</f>
        <v>2</v>
      </c>
      <c r="B773" s="5">
        <f t="shared" si="145"/>
        <v>772</v>
      </c>
      <c r="C773" s="6">
        <f t="shared" ca="1" si="146"/>
        <v>1</v>
      </c>
      <c r="D773" s="7">
        <f ca="1">IF($B773 = 1 + N("Presidente"),
    127,
    IF($B773 = 2 + N("Vice-Presidente"),
        72,
        IF($B773 = 3 + N("Secretária bilíngue"),
            13,
            RANDBETWEEN(5,COUNT(Name!$A:$A) + 1)
        )
    )
)</f>
        <v>42</v>
      </c>
      <c r="E773" s="7" t="str">
        <f ca="1" xml:space="preserve">
VLOOKUP(
  $D773,
  Name!$A:$B,
  2,
  FALSE
)
&amp; " " &amp;
IF($B773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Ângelo Silva Bispo</v>
      </c>
      <c r="F773" s="7">
        <v>2</v>
      </c>
      <c r="G773" s="7" cm="1">
        <f t="array" aca="1" ref="G773" ca="1">INDEX(States!$B:$B,RANDBETWEEN(2,COUNTA(States!$A:$A)),1)</f>
        <v>19</v>
      </c>
      <c r="H773" s="7" t="str">
        <f ca="1">VLOOKUP($D773,Name!$A:$C,3,FALSE)</f>
        <v>M</v>
      </c>
      <c r="I773" s="7" cm="1">
        <f t="array" aca="1" ref="I773" ca="1">INDEX('Marital status'!$A:$A,RANDBETWEEN(2,COUNTA('Marital status'!$A:$A)),1)</f>
        <v>5</v>
      </c>
      <c r="J773" s="7">
        <f t="shared" ca="1" si="147"/>
        <v>2</v>
      </c>
      <c r="K773" s="8">
        <f t="shared" ca="1" si="148"/>
        <v>37375</v>
      </c>
      <c r="L773" s="6">
        <f t="shared" ca="1" si="149"/>
        <v>4</v>
      </c>
      <c r="M773" s="7">
        <f ca="1" xml:space="preserve">
  IF(OR($N773 = 2, $N773 = 3, $N773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773" s="6">
        <f t="shared" ca="1" si="150"/>
        <v>8</v>
      </c>
      <c r="O773" s="6">
        <f t="shared" ca="1" si="151"/>
        <v>4</v>
      </c>
      <c r="P773" s="8">
        <f t="shared" ca="1" si="152"/>
        <v>43603</v>
      </c>
      <c r="Q773" s="6">
        <f ca="1">RANDBETWEEN(2,COUNTA('Recruitment source'!$A:$A))</f>
        <v>12</v>
      </c>
      <c r="R773" s="8" t="e">
        <f t="shared" ca="1" si="153"/>
        <v>#N/A</v>
      </c>
      <c r="S773" s="6" t="e">
        <f t="shared" ca="1" si="154"/>
        <v>#N/A</v>
      </c>
      <c r="T773" s="6">
        <f t="shared" ca="1" si="144"/>
        <v>5</v>
      </c>
      <c r="U773" s="1">
        <f t="shared" ca="1" si="155"/>
        <v>2080</v>
      </c>
    </row>
    <row r="774" spans="1:21" x14ac:dyDescent="0.2">
      <c r="A774" s="7" cm="1">
        <f t="array" aca="1" ref="A774" ca="1">INDEX(Companies!$A:$A,RANDBETWEEN(2,COUNTA(Companies!$A:$A)),1)</f>
        <v>2</v>
      </c>
      <c r="B774" s="5">
        <f t="shared" si="145"/>
        <v>773</v>
      </c>
      <c r="C774" s="6">
        <f t="shared" ca="1" si="146"/>
        <v>1</v>
      </c>
      <c r="D774" s="7">
        <f ca="1">IF($B774 = 1 + N("Presidente"),
    127,
    IF($B774 = 2 + N("Vice-Presidente"),
        72,
        IF($B774 = 3 + N("Secretária bilíngue"),
            13,
            RANDBETWEEN(5,COUNT(Name!$A:$A) + 1)
        )
    )
)</f>
        <v>215</v>
      </c>
      <c r="E774" s="7" t="str">
        <f ca="1" xml:space="preserve">
VLOOKUP(
  $D774,
  Name!$A:$B,
  2,
  FALSE
)
&amp; " " &amp;
IF($B774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Kloe Santoro Colombo</v>
      </c>
      <c r="F774" s="7">
        <v>2</v>
      </c>
      <c r="G774" s="7" cm="1">
        <f t="array" aca="1" ref="G774" ca="1">INDEX(States!$B:$B,RANDBETWEEN(2,COUNTA(States!$A:$A)),1)</f>
        <v>16</v>
      </c>
      <c r="H774" s="7" t="str">
        <f ca="1">VLOOKUP($D774,Name!$A:$C,3,FALSE)</f>
        <v>F</v>
      </c>
      <c r="I774" s="7" cm="1">
        <f t="array" aca="1" ref="I774" ca="1">INDEX('Marital status'!$A:$A,RANDBETWEEN(2,COUNTA('Marital status'!$A:$A)),1)</f>
        <v>2</v>
      </c>
      <c r="J774" s="7">
        <f t="shared" ca="1" si="147"/>
        <v>2</v>
      </c>
      <c r="K774" s="8">
        <f t="shared" ca="1" si="148"/>
        <v>31576</v>
      </c>
      <c r="L774" s="6">
        <f t="shared" ca="1" si="149"/>
        <v>4</v>
      </c>
      <c r="M774" s="7">
        <f ca="1" xml:space="preserve">
  IF(OR($N774 = 2, $N774 = 3, $N774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774" s="6">
        <f t="shared" ca="1" si="150"/>
        <v>7</v>
      </c>
      <c r="O774" s="6" t="e">
        <f t="shared" ca="1" si="151"/>
        <v>#N/A</v>
      </c>
      <c r="P774" s="8">
        <f t="shared" ca="1" si="152"/>
        <v>40499</v>
      </c>
      <c r="Q774" s="6">
        <f ca="1">RANDBETWEEN(2,COUNTA('Recruitment source'!$A:$A))</f>
        <v>10</v>
      </c>
      <c r="R774" s="8" t="e">
        <f t="shared" ca="1" si="153"/>
        <v>#N/A</v>
      </c>
      <c r="S774" s="6" t="e">
        <f t="shared" ca="1" si="154"/>
        <v>#N/A</v>
      </c>
      <c r="T774" s="6">
        <f t="shared" ca="1" si="144"/>
        <v>3</v>
      </c>
      <c r="U774" s="1">
        <f t="shared" ca="1" si="155"/>
        <v>1005</v>
      </c>
    </row>
    <row r="775" spans="1:21" x14ac:dyDescent="0.2">
      <c r="A775" s="7" cm="1">
        <f t="array" aca="1" ref="A775" ca="1">INDEX(Companies!$A:$A,RANDBETWEEN(2,COUNTA(Companies!$A:$A)),1)</f>
        <v>2</v>
      </c>
      <c r="B775" s="5">
        <f t="shared" si="145"/>
        <v>774</v>
      </c>
      <c r="C775" s="6">
        <f t="shared" ca="1" si="146"/>
        <v>1</v>
      </c>
      <c r="D775" s="7">
        <f ca="1">IF($B775 = 1 + N("Presidente"),
    127,
    IF($B775 = 2 + N("Vice-Presidente"),
        72,
        IF($B775 = 3 + N("Secretária bilíngue"),
            13,
            RANDBETWEEN(5,COUNT(Name!$A:$A) + 1)
        )
    )
)</f>
        <v>264</v>
      </c>
      <c r="E775" s="7" t="str">
        <f ca="1" xml:space="preserve">
VLOOKUP(
  $D775,
  Name!$A:$B,
  2,
  FALSE
)
&amp; " " &amp;
IF($B775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Flor Freitas Giordano</v>
      </c>
      <c r="F775" s="7">
        <v>2</v>
      </c>
      <c r="G775" s="7" cm="1">
        <f t="array" aca="1" ref="G775" ca="1">INDEX(States!$B:$B,RANDBETWEEN(2,COUNTA(States!$A:$A)),1)</f>
        <v>8</v>
      </c>
      <c r="H775" s="7" t="str">
        <f ca="1">VLOOKUP($D775,Name!$A:$C,3,FALSE)</f>
        <v>F</v>
      </c>
      <c r="I775" s="7" cm="1">
        <f t="array" aca="1" ref="I775" ca="1">INDEX('Marital status'!$A:$A,RANDBETWEEN(2,COUNTA('Marital status'!$A:$A)),1)</f>
        <v>2</v>
      </c>
      <c r="J775" s="7">
        <f t="shared" ca="1" si="147"/>
        <v>2</v>
      </c>
      <c r="K775" s="8">
        <f t="shared" ca="1" si="148"/>
        <v>37723</v>
      </c>
      <c r="L775" s="6">
        <f t="shared" ca="1" si="149"/>
        <v>4</v>
      </c>
      <c r="M775" s="7">
        <f ca="1" xml:space="preserve">
  IF(OR($N775 = 2, $N775 = 3, $N775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775" s="6">
        <f t="shared" ca="1" si="150"/>
        <v>8</v>
      </c>
      <c r="O775" s="6">
        <f t="shared" ca="1" si="151"/>
        <v>4</v>
      </c>
      <c r="P775" s="8">
        <f t="shared" ca="1" si="152"/>
        <v>38520</v>
      </c>
      <c r="Q775" s="6">
        <f ca="1">RANDBETWEEN(2,COUNTA('Recruitment source'!$A:$A))</f>
        <v>12</v>
      </c>
      <c r="R775" s="8" t="e">
        <f t="shared" ca="1" si="153"/>
        <v>#N/A</v>
      </c>
      <c r="S775" s="6" t="e">
        <f t="shared" ca="1" si="154"/>
        <v>#N/A</v>
      </c>
      <c r="T775" s="6">
        <f t="shared" ca="1" si="144"/>
        <v>2</v>
      </c>
      <c r="U775" s="1">
        <f t="shared" ca="1" si="155"/>
        <v>2080</v>
      </c>
    </row>
    <row r="776" spans="1:21" x14ac:dyDescent="0.2">
      <c r="A776" s="7" cm="1">
        <f t="array" aca="1" ref="A776" ca="1">INDEX(Companies!$A:$A,RANDBETWEEN(2,COUNTA(Companies!$A:$A)),1)</f>
        <v>2</v>
      </c>
      <c r="B776" s="5">
        <f t="shared" si="145"/>
        <v>775</v>
      </c>
      <c r="C776" s="6">
        <f t="shared" ca="1" si="146"/>
        <v>1</v>
      </c>
      <c r="D776" s="7">
        <f ca="1">IF($B776 = 1 + N("Presidente"),
    127,
    IF($B776 = 2 + N("Vice-Presidente"),
        72,
        IF($B776 = 3 + N("Secretária bilíngue"),
            13,
            RANDBETWEEN(5,COUNT(Name!$A:$A) + 1)
        )
    )
)</f>
        <v>114</v>
      </c>
      <c r="E776" s="7" t="str">
        <f ca="1" xml:space="preserve">
VLOOKUP(
  $D776,
  Name!$A:$B,
  2,
  FALSE
)
&amp; " " &amp;
IF($B776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Domingos Romano Bragança</v>
      </c>
      <c r="F776" s="7">
        <v>2</v>
      </c>
      <c r="G776" s="7" cm="1">
        <f t="array" aca="1" ref="G776" ca="1">INDEX(States!$B:$B,RANDBETWEEN(2,COUNTA(States!$A:$A)),1)</f>
        <v>13</v>
      </c>
      <c r="H776" s="7" t="str">
        <f ca="1">VLOOKUP($D776,Name!$A:$C,3,FALSE)</f>
        <v>M</v>
      </c>
      <c r="I776" s="7" cm="1">
        <f t="array" aca="1" ref="I776" ca="1">INDEX('Marital status'!$A:$A,RANDBETWEEN(2,COUNTA('Marital status'!$A:$A)),1)</f>
        <v>3</v>
      </c>
      <c r="J776" s="7">
        <f t="shared" ca="1" si="147"/>
        <v>2</v>
      </c>
      <c r="K776" s="8">
        <f t="shared" ca="1" si="148"/>
        <v>20340</v>
      </c>
      <c r="L776" s="6">
        <f t="shared" ca="1" si="149"/>
        <v>4</v>
      </c>
      <c r="M776" s="7">
        <f ca="1" xml:space="preserve">
  IF(OR($N776 = 2, $N776 = 3, $N776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776" s="6">
        <f t="shared" ca="1" si="150"/>
        <v>6</v>
      </c>
      <c r="O776" s="6" t="e">
        <f t="shared" ca="1" si="151"/>
        <v>#N/A</v>
      </c>
      <c r="P776" s="8">
        <f t="shared" ca="1" si="152"/>
        <v>40824</v>
      </c>
      <c r="Q776" s="6">
        <f ca="1">RANDBETWEEN(2,COUNTA('Recruitment source'!$A:$A))</f>
        <v>12</v>
      </c>
      <c r="R776" s="8" t="e">
        <f t="shared" ca="1" si="153"/>
        <v>#N/A</v>
      </c>
      <c r="S776" s="6" t="e">
        <f t="shared" ca="1" si="154"/>
        <v>#N/A</v>
      </c>
      <c r="T776" s="6">
        <f t="shared" ca="1" si="144"/>
        <v>5</v>
      </c>
      <c r="U776" s="1">
        <f t="shared" ca="1" si="155"/>
        <v>805</v>
      </c>
    </row>
    <row r="777" spans="1:21" x14ac:dyDescent="0.2">
      <c r="A777" s="7" cm="1">
        <f t="array" aca="1" ref="A777" ca="1">INDEX(Companies!$A:$A,RANDBETWEEN(2,COUNTA(Companies!$A:$A)),1)</f>
        <v>2</v>
      </c>
      <c r="B777" s="5">
        <f t="shared" si="145"/>
        <v>776</v>
      </c>
      <c r="C777" s="6">
        <f t="shared" ca="1" si="146"/>
        <v>0</v>
      </c>
      <c r="D777" s="7">
        <f ca="1">IF($B777 = 1 + N("Presidente"),
    127,
    IF($B777 = 2 + N("Vice-Presidente"),
        72,
        IF($B777 = 3 + N("Secretária bilíngue"),
            13,
            RANDBETWEEN(5,COUNT(Name!$A:$A) + 1)
        )
    )
)</f>
        <v>359</v>
      </c>
      <c r="E777" s="7" t="str">
        <f ca="1" xml:space="preserve">
VLOOKUP(
  $D777,
  Name!$A:$B,
  2,
  FALSE
)
&amp; " " &amp;
IF($B777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Vitor Moura Resende</v>
      </c>
      <c r="F777" s="7">
        <v>2</v>
      </c>
      <c r="G777" s="7" cm="1">
        <f t="array" aca="1" ref="G777" ca="1">INDEX(States!$B:$B,RANDBETWEEN(2,COUNTA(States!$A:$A)),1)</f>
        <v>14</v>
      </c>
      <c r="H777" s="7" t="str">
        <f ca="1">VLOOKUP($D777,Name!$A:$C,3,FALSE)</f>
        <v>M</v>
      </c>
      <c r="I777" s="7" cm="1">
        <f t="array" aca="1" ref="I777" ca="1">INDEX('Marital status'!$A:$A,RANDBETWEEN(2,COUNTA('Marital status'!$A:$A)),1)</f>
        <v>4</v>
      </c>
      <c r="J777" s="7">
        <f t="shared" ca="1" si="147"/>
        <v>3</v>
      </c>
      <c r="K777" s="8">
        <f t="shared" ca="1" si="148"/>
        <v>34097</v>
      </c>
      <c r="L777" s="6">
        <f t="shared" ca="1" si="149"/>
        <v>4</v>
      </c>
      <c r="M777" s="7">
        <f ca="1" xml:space="preserve">
  IF(OR($N777 = 2, $N777 = 3, $N777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777" s="6">
        <f t="shared" ca="1" si="150"/>
        <v>8</v>
      </c>
      <c r="O777" s="6">
        <f t="shared" ca="1" si="151"/>
        <v>2</v>
      </c>
      <c r="P777" s="8">
        <f t="shared" ca="1" si="152"/>
        <v>43638</v>
      </c>
      <c r="Q777" s="6">
        <f ca="1">RANDBETWEEN(2,COUNTA('Recruitment source'!$A:$A))</f>
        <v>8</v>
      </c>
      <c r="R777" s="8">
        <f t="shared" ca="1" si="153"/>
        <v>44127</v>
      </c>
      <c r="S777" s="6">
        <f t="shared" ca="1" si="154"/>
        <v>2</v>
      </c>
      <c r="T777" s="6">
        <f t="shared" ca="1" si="144"/>
        <v>3</v>
      </c>
      <c r="U777" s="1">
        <f t="shared" ca="1" si="155"/>
        <v>2000</v>
      </c>
    </row>
    <row r="778" spans="1:21" x14ac:dyDescent="0.2">
      <c r="A778" s="7" cm="1">
        <f t="array" aca="1" ref="A778" ca="1">INDEX(Companies!$A:$A,RANDBETWEEN(2,COUNTA(Companies!$A:$A)),1)</f>
        <v>2</v>
      </c>
      <c r="B778" s="5">
        <f t="shared" si="145"/>
        <v>777</v>
      </c>
      <c r="C778" s="6">
        <f t="shared" ca="1" si="146"/>
        <v>1</v>
      </c>
      <c r="D778" s="7">
        <f ca="1">IF($B778 = 1 + N("Presidente"),
    127,
    IF($B778 = 2 + N("Vice-Presidente"),
        72,
        IF($B778 = 3 + N("Secretária bilíngue"),
            13,
            RANDBETWEEN(5,COUNT(Name!$A:$A) + 1)
        )
    )
)</f>
        <v>136</v>
      </c>
      <c r="E778" s="7" t="str">
        <f ca="1" xml:space="preserve">
VLOOKUP(
  $D778,
  Name!$A:$B,
  2,
  FALSE
)
&amp; " " &amp;
IF($B778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Fellipe Mendes Mancini</v>
      </c>
      <c r="F778" s="7">
        <v>2</v>
      </c>
      <c r="G778" s="7" cm="1">
        <f t="array" aca="1" ref="G778" ca="1">INDEX(States!$B:$B,RANDBETWEEN(2,COUNTA(States!$A:$A)),1)</f>
        <v>20</v>
      </c>
      <c r="H778" s="7" t="str">
        <f ca="1">VLOOKUP($D778,Name!$A:$C,3,FALSE)</f>
        <v>M</v>
      </c>
      <c r="I778" s="7" cm="1">
        <f t="array" aca="1" ref="I778" ca="1">INDEX('Marital status'!$A:$A,RANDBETWEEN(2,COUNTA('Marital status'!$A:$A)),1)</f>
        <v>2</v>
      </c>
      <c r="J778" s="7">
        <f t="shared" ca="1" si="147"/>
        <v>2</v>
      </c>
      <c r="K778" s="8">
        <f t="shared" ca="1" si="148"/>
        <v>19578</v>
      </c>
      <c r="L778" s="6">
        <f t="shared" ca="1" si="149"/>
        <v>4</v>
      </c>
      <c r="M778" s="7">
        <f ca="1" xml:space="preserve">
  IF(OR($N778 = 2, $N778 = 3, $N778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778" s="6">
        <f t="shared" ca="1" si="150"/>
        <v>6</v>
      </c>
      <c r="O778" s="6" t="e">
        <f t="shared" ca="1" si="151"/>
        <v>#N/A</v>
      </c>
      <c r="P778" s="8">
        <f t="shared" ca="1" si="152"/>
        <v>41051</v>
      </c>
      <c r="Q778" s="6">
        <f ca="1">RANDBETWEEN(2,COUNTA('Recruitment source'!$A:$A))</f>
        <v>6</v>
      </c>
      <c r="R778" s="8" t="e">
        <f t="shared" ca="1" si="153"/>
        <v>#N/A</v>
      </c>
      <c r="S778" s="6" t="e">
        <f t="shared" ca="1" si="154"/>
        <v>#N/A</v>
      </c>
      <c r="T778" s="6">
        <f t="shared" ca="1" si="144"/>
        <v>3</v>
      </c>
      <c r="U778" s="1">
        <f t="shared" ca="1" si="155"/>
        <v>805</v>
      </c>
    </row>
    <row r="779" spans="1:21" x14ac:dyDescent="0.2">
      <c r="A779" s="7" cm="1">
        <f t="array" aca="1" ref="A779" ca="1">INDEX(Companies!$A:$A,RANDBETWEEN(2,COUNTA(Companies!$A:$A)),1)</f>
        <v>2</v>
      </c>
      <c r="B779" s="5">
        <f t="shared" si="145"/>
        <v>778</v>
      </c>
      <c r="C779" s="6">
        <f t="shared" ca="1" si="146"/>
        <v>1</v>
      </c>
      <c r="D779" s="7">
        <f ca="1">IF($B779 = 1 + N("Presidente"),
    127,
    IF($B779 = 2 + N("Vice-Presidente"),
        72,
        IF($B779 = 3 + N("Secretária bilíngue"),
            13,
            RANDBETWEEN(5,COUNT(Name!$A:$A) + 1)
        )
    )
)</f>
        <v>255</v>
      </c>
      <c r="E779" s="7" t="str">
        <f ca="1" xml:space="preserve">
VLOOKUP(
  $D779,
  Name!$A:$B,
  2,
  FALSE
)
&amp; " " &amp;
IF($B779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Manuela Melo Ricci</v>
      </c>
      <c r="F779" s="7">
        <v>2</v>
      </c>
      <c r="G779" s="7" cm="1">
        <f t="array" aca="1" ref="G779" ca="1">INDEX(States!$B:$B,RANDBETWEEN(2,COUNTA(States!$A:$A)),1)</f>
        <v>4</v>
      </c>
      <c r="H779" s="7" t="str">
        <f ca="1">VLOOKUP($D779,Name!$A:$C,3,FALSE)</f>
        <v>F</v>
      </c>
      <c r="I779" s="7" cm="1">
        <f t="array" aca="1" ref="I779" ca="1">INDEX('Marital status'!$A:$A,RANDBETWEEN(2,COUNTA('Marital status'!$A:$A)),1)</f>
        <v>3</v>
      </c>
      <c r="J779" s="7">
        <f t="shared" ca="1" si="147"/>
        <v>5</v>
      </c>
      <c r="K779" s="8">
        <f t="shared" ca="1" si="148"/>
        <v>34502</v>
      </c>
      <c r="L779" s="6">
        <f t="shared" ca="1" si="149"/>
        <v>4</v>
      </c>
      <c r="M779" s="7">
        <f ca="1" xml:space="preserve">
  IF(OR($N779 = 2, $N779 = 3, $N779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779" s="6">
        <f t="shared" ca="1" si="150"/>
        <v>8</v>
      </c>
      <c r="O779" s="6">
        <f t="shared" ca="1" si="151"/>
        <v>4</v>
      </c>
      <c r="P779" s="8">
        <f t="shared" ca="1" si="152"/>
        <v>39418</v>
      </c>
      <c r="Q779" s="6">
        <f ca="1">RANDBETWEEN(2,COUNTA('Recruitment source'!$A:$A))</f>
        <v>2</v>
      </c>
      <c r="R779" s="8" t="e">
        <f t="shared" ca="1" si="153"/>
        <v>#N/A</v>
      </c>
      <c r="S779" s="6" t="e">
        <f t="shared" ca="1" si="154"/>
        <v>#N/A</v>
      </c>
      <c r="T779" s="6">
        <f t="shared" ca="1" si="144"/>
        <v>2</v>
      </c>
      <c r="U779" s="1">
        <f t="shared" ca="1" si="155"/>
        <v>2000</v>
      </c>
    </row>
    <row r="780" spans="1:21" x14ac:dyDescent="0.2">
      <c r="A780" s="7" cm="1">
        <f t="array" aca="1" ref="A780" ca="1">INDEX(Companies!$A:$A,RANDBETWEEN(2,COUNTA(Companies!$A:$A)),1)</f>
        <v>2</v>
      </c>
      <c r="B780" s="5">
        <f t="shared" si="145"/>
        <v>779</v>
      </c>
      <c r="C780" s="6">
        <f t="shared" ca="1" si="146"/>
        <v>1</v>
      </c>
      <c r="D780" s="7">
        <f ca="1">IF($B780 = 1 + N("Presidente"),
    127,
    IF($B780 = 2 + N("Vice-Presidente"),
        72,
        IF($B780 = 3 + N("Secretária bilíngue"),
            13,
            RANDBETWEEN(5,COUNT(Name!$A:$A) + 1)
        )
    )
)</f>
        <v>324</v>
      </c>
      <c r="E780" s="7" t="str">
        <f ca="1" xml:space="preserve">
VLOOKUP(
  $D780,
  Name!$A:$B,
  2,
  FALSE
)
&amp; " " &amp;
IF($B780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Rafael Esposito Sousa</v>
      </c>
      <c r="F780" s="7">
        <v>2</v>
      </c>
      <c r="G780" s="7" cm="1">
        <f t="array" aca="1" ref="G780" ca="1">INDEX(States!$B:$B,RANDBETWEEN(2,COUNTA(States!$A:$A)),1)</f>
        <v>3</v>
      </c>
      <c r="H780" s="7" t="str">
        <f ca="1">VLOOKUP($D780,Name!$A:$C,3,FALSE)</f>
        <v>M</v>
      </c>
      <c r="I780" s="7" cm="1">
        <f t="array" aca="1" ref="I780" ca="1">INDEX('Marital status'!$A:$A,RANDBETWEEN(2,COUNTA('Marital status'!$A:$A)),1)</f>
        <v>5</v>
      </c>
      <c r="J780" s="7">
        <f t="shared" ca="1" si="147"/>
        <v>2</v>
      </c>
      <c r="K780" s="8">
        <f t="shared" ca="1" si="148"/>
        <v>32199</v>
      </c>
      <c r="L780" s="6">
        <f t="shared" ca="1" si="149"/>
        <v>4</v>
      </c>
      <c r="M780" s="7">
        <f ca="1" xml:space="preserve">
  IF(OR($N780 = 2, $N780 = 3, $N780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780" s="6">
        <f t="shared" ca="1" si="150"/>
        <v>6</v>
      </c>
      <c r="O780" s="6" t="e">
        <f t="shared" ca="1" si="151"/>
        <v>#N/A</v>
      </c>
      <c r="P780" s="8">
        <f t="shared" ca="1" si="152"/>
        <v>42949</v>
      </c>
      <c r="Q780" s="6">
        <f ca="1">RANDBETWEEN(2,COUNTA('Recruitment source'!$A:$A))</f>
        <v>4</v>
      </c>
      <c r="R780" s="8" t="e">
        <f t="shared" ca="1" si="153"/>
        <v>#N/A</v>
      </c>
      <c r="S780" s="6" t="e">
        <f t="shared" ca="1" si="154"/>
        <v>#N/A</v>
      </c>
      <c r="T780" s="6">
        <f t="shared" ca="1" si="144"/>
        <v>2</v>
      </c>
      <c r="U780" s="1">
        <f t="shared" ca="1" si="155"/>
        <v>805</v>
      </c>
    </row>
    <row r="781" spans="1:21" x14ac:dyDescent="0.2">
      <c r="A781" s="7" cm="1">
        <f t="array" aca="1" ref="A781" ca="1">INDEX(Companies!$A:$A,RANDBETWEEN(2,COUNTA(Companies!$A:$A)),1)</f>
        <v>2</v>
      </c>
      <c r="B781" s="5">
        <f t="shared" si="145"/>
        <v>780</v>
      </c>
      <c r="C781" s="6">
        <f t="shared" ca="1" si="146"/>
        <v>1</v>
      </c>
      <c r="D781" s="7">
        <f ca="1">IF($B781 = 1 + N("Presidente"),
    127,
    IF($B781 = 2 + N("Vice-Presidente"),
        72,
        IF($B781 = 3 + N("Secretária bilíngue"),
            13,
            RANDBETWEEN(5,COUNT(Name!$A:$A) + 1)
        )
    )
)</f>
        <v>323</v>
      </c>
      <c r="E781" s="7" t="str">
        <f ca="1" xml:space="preserve">
VLOOKUP(
  $D781,
  Name!$A:$B,
  2,
  FALSE
)
&amp; " " &amp;
IF($B781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Rachel Junqueira Borges</v>
      </c>
      <c r="F781" s="7">
        <v>2</v>
      </c>
      <c r="G781" s="7" cm="1">
        <f t="array" aca="1" ref="G781" ca="1">INDEX(States!$B:$B,RANDBETWEEN(2,COUNTA(States!$A:$A)),1)</f>
        <v>6</v>
      </c>
      <c r="H781" s="7" t="str">
        <f ca="1">VLOOKUP($D781,Name!$A:$C,3,FALSE)</f>
        <v>F</v>
      </c>
      <c r="I781" s="7" cm="1">
        <f t="array" aca="1" ref="I781" ca="1">INDEX('Marital status'!$A:$A,RANDBETWEEN(2,COUNTA('Marital status'!$A:$A)),1)</f>
        <v>6</v>
      </c>
      <c r="J781" s="7">
        <f t="shared" ca="1" si="147"/>
        <v>4</v>
      </c>
      <c r="K781" s="8">
        <f t="shared" ca="1" si="148"/>
        <v>34524</v>
      </c>
      <c r="L781" s="6">
        <f t="shared" ca="1" si="149"/>
        <v>5</v>
      </c>
      <c r="M781" s="7">
        <f ca="1" xml:space="preserve">
  IF(OR($N781 = 2, $N781 = 3, $N781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781" s="6">
        <f t="shared" ca="1" si="150"/>
        <v>8</v>
      </c>
      <c r="O781" s="6">
        <f t="shared" ca="1" si="151"/>
        <v>4</v>
      </c>
      <c r="P781" s="8">
        <f t="shared" ca="1" si="152"/>
        <v>44227</v>
      </c>
      <c r="Q781" s="6">
        <f ca="1">RANDBETWEEN(2,COUNTA('Recruitment source'!$A:$A))</f>
        <v>2</v>
      </c>
      <c r="R781" s="8" t="e">
        <f t="shared" ca="1" si="153"/>
        <v>#N/A</v>
      </c>
      <c r="S781" s="6" t="e">
        <f t="shared" ca="1" si="154"/>
        <v>#N/A</v>
      </c>
      <c r="T781" s="6">
        <f t="shared" ca="1" si="144"/>
        <v>5</v>
      </c>
      <c r="U781" s="1">
        <f t="shared" ca="1" si="155"/>
        <v>2000</v>
      </c>
    </row>
    <row r="782" spans="1:21" x14ac:dyDescent="0.2">
      <c r="A782" s="7" cm="1">
        <f t="array" aca="1" ref="A782" ca="1">INDEX(Companies!$A:$A,RANDBETWEEN(2,COUNTA(Companies!$A:$A)),1)</f>
        <v>2</v>
      </c>
      <c r="B782" s="5">
        <f t="shared" si="145"/>
        <v>781</v>
      </c>
      <c r="C782" s="6">
        <f t="shared" ca="1" si="146"/>
        <v>1</v>
      </c>
      <c r="D782" s="7">
        <f ca="1">IF($B782 = 1 + N("Presidente"),
    127,
    IF($B782 = 2 + N("Vice-Presidente"),
        72,
        IF($B782 = 3 + N("Secretária bilíngue"),
            13,
            RANDBETWEEN(5,COUNT(Name!$A:$A) + 1)
        )
    )
)</f>
        <v>307</v>
      </c>
      <c r="E782" s="7" t="str">
        <f ca="1" xml:space="preserve">
VLOOKUP(
  $D782,
  Name!$A:$B,
  2,
  FALSE
)
&amp; " " &amp;
IF($B782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Nicole Negreiros Brasão</v>
      </c>
      <c r="F782" s="7">
        <v>2</v>
      </c>
      <c r="G782" s="7" cm="1">
        <f t="array" aca="1" ref="G782" ca="1">INDEX(States!$B:$B,RANDBETWEEN(2,COUNTA(States!$A:$A)),1)</f>
        <v>10</v>
      </c>
      <c r="H782" s="7" t="str">
        <f ca="1">VLOOKUP($D782,Name!$A:$C,3,FALSE)</f>
        <v>F</v>
      </c>
      <c r="I782" s="7" cm="1">
        <f t="array" aca="1" ref="I782" ca="1">INDEX('Marital status'!$A:$A,RANDBETWEEN(2,COUNTA('Marital status'!$A:$A)),1)</f>
        <v>6</v>
      </c>
      <c r="J782" s="7">
        <f t="shared" ca="1" si="147"/>
        <v>2</v>
      </c>
      <c r="K782" s="8">
        <f t="shared" ca="1" si="148"/>
        <v>26304</v>
      </c>
      <c r="L782" s="6">
        <f t="shared" ca="1" si="149"/>
        <v>4</v>
      </c>
      <c r="M782" s="7">
        <f ca="1" xml:space="preserve">
  IF(OR($N782 = 2, $N782 = 3, $N782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782" s="6">
        <f t="shared" ca="1" si="150"/>
        <v>6</v>
      </c>
      <c r="O782" s="6" t="e">
        <f t="shared" ca="1" si="151"/>
        <v>#N/A</v>
      </c>
      <c r="P782" s="8">
        <f t="shared" ca="1" si="152"/>
        <v>42143</v>
      </c>
      <c r="Q782" s="6">
        <f ca="1">RANDBETWEEN(2,COUNTA('Recruitment source'!$A:$A))</f>
        <v>12</v>
      </c>
      <c r="R782" s="8" t="e">
        <f t="shared" ca="1" si="153"/>
        <v>#N/A</v>
      </c>
      <c r="S782" s="6" t="e">
        <f t="shared" ca="1" si="154"/>
        <v>#N/A</v>
      </c>
      <c r="T782" s="6">
        <f t="shared" ca="1" si="144"/>
        <v>4</v>
      </c>
      <c r="U782" s="1">
        <f t="shared" ca="1" si="155"/>
        <v>805</v>
      </c>
    </row>
    <row r="783" spans="1:21" x14ac:dyDescent="0.2">
      <c r="A783" s="7" cm="1">
        <f t="array" aca="1" ref="A783" ca="1">INDEX(Companies!$A:$A,RANDBETWEEN(2,COUNTA(Companies!$A:$A)),1)</f>
        <v>2</v>
      </c>
      <c r="B783" s="5">
        <f t="shared" si="145"/>
        <v>782</v>
      </c>
      <c r="C783" s="6">
        <f t="shared" ca="1" si="146"/>
        <v>1</v>
      </c>
      <c r="D783" s="7">
        <f ca="1">IF($B783 = 1 + N("Presidente"),
    127,
    IF($B783 = 2 + N("Vice-Presidente"),
        72,
        IF($B783 = 3 + N("Secretária bilíngue"),
            13,
            RANDBETWEEN(5,COUNT(Name!$A:$A) + 1)
        )
    )
)</f>
        <v>235</v>
      </c>
      <c r="E783" s="7" t="str">
        <f ca="1" xml:space="preserve">
VLOOKUP(
  $D783,
  Name!$A:$B,
  2,
  FALSE
)
&amp; " " &amp;
IF($B783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 Martins Santoro</v>
      </c>
      <c r="F783" s="7">
        <v>2</v>
      </c>
      <c r="G783" s="7" cm="1">
        <f t="array" aca="1" ref="G783" ca="1">INDEX(States!$B:$B,RANDBETWEEN(2,COUNTA(States!$A:$A)),1)</f>
        <v>20</v>
      </c>
      <c r="H783" s="7" t="str">
        <f ca="1">VLOOKUP($D783,Name!$A:$C,3,FALSE)</f>
        <v>M</v>
      </c>
      <c r="I783" s="7" cm="1">
        <f t="array" aca="1" ref="I783" ca="1">INDEX('Marital status'!$A:$A,RANDBETWEEN(2,COUNTA('Marital status'!$A:$A)),1)</f>
        <v>6</v>
      </c>
      <c r="J783" s="7">
        <f t="shared" ca="1" si="147"/>
        <v>2</v>
      </c>
      <c r="K783" s="8">
        <f t="shared" ca="1" si="148"/>
        <v>34648</v>
      </c>
      <c r="L783" s="6">
        <f t="shared" ca="1" si="149"/>
        <v>4</v>
      </c>
      <c r="M783" s="7">
        <f ca="1" xml:space="preserve">
  IF(OR($N783 = 2, $N783 = 3, $N783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783" s="6">
        <f t="shared" ca="1" si="150"/>
        <v>8</v>
      </c>
      <c r="O783" s="6">
        <f t="shared" ca="1" si="151"/>
        <v>4</v>
      </c>
      <c r="P783" s="8">
        <f t="shared" ca="1" si="152"/>
        <v>43869</v>
      </c>
      <c r="Q783" s="6">
        <f ca="1">RANDBETWEEN(2,COUNTA('Recruitment source'!$A:$A))</f>
        <v>5</v>
      </c>
      <c r="R783" s="8" t="e">
        <f t="shared" ca="1" si="153"/>
        <v>#N/A</v>
      </c>
      <c r="S783" s="6" t="e">
        <f t="shared" ca="1" si="154"/>
        <v>#N/A</v>
      </c>
      <c r="T783" s="6">
        <f t="shared" ca="1" si="144"/>
        <v>5</v>
      </c>
      <c r="U783" s="1">
        <f t="shared" ca="1" si="155"/>
        <v>2080</v>
      </c>
    </row>
    <row r="784" spans="1:21" x14ac:dyDescent="0.2">
      <c r="A784" s="7" cm="1">
        <f t="array" aca="1" ref="A784" ca="1">INDEX(Companies!$A:$A,RANDBETWEEN(2,COUNTA(Companies!$A:$A)),1)</f>
        <v>2</v>
      </c>
      <c r="B784" s="5">
        <f t="shared" si="145"/>
        <v>783</v>
      </c>
      <c r="C784" s="6">
        <f t="shared" ca="1" si="146"/>
        <v>1</v>
      </c>
      <c r="D784" s="7">
        <f ca="1">IF($B784 = 1 + N("Presidente"),
    127,
    IF($B784 = 2 + N("Vice-Presidente"),
        72,
        IF($B784 = 3 + N("Secretária bilíngue"),
            13,
            RANDBETWEEN(5,COUNT(Name!$A:$A) + 1)
        )
    )
)</f>
        <v>68</v>
      </c>
      <c r="E784" s="7" t="str">
        <f ca="1" xml:space="preserve">
VLOOKUP(
  $D784,
  Name!$A:$B,
  2,
  FALSE
)
&amp; " " &amp;
IF($B784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Benício Noronha Souza</v>
      </c>
      <c r="F784" s="7">
        <v>2</v>
      </c>
      <c r="G784" s="7" cm="1">
        <f t="array" aca="1" ref="G784" ca="1">INDEX(States!$B:$B,RANDBETWEEN(2,COUNTA(States!$A:$A)),1)</f>
        <v>9</v>
      </c>
      <c r="H784" s="7" t="str">
        <f ca="1">VLOOKUP($D784,Name!$A:$C,3,FALSE)</f>
        <v>M</v>
      </c>
      <c r="I784" s="7" cm="1">
        <f t="array" aca="1" ref="I784" ca="1">INDEX('Marital status'!$A:$A,RANDBETWEEN(2,COUNTA('Marital status'!$A:$A)),1)</f>
        <v>5</v>
      </c>
      <c r="J784" s="7">
        <f t="shared" ca="1" si="147"/>
        <v>3</v>
      </c>
      <c r="K784" s="8">
        <f t="shared" ca="1" si="148"/>
        <v>23212</v>
      </c>
      <c r="L784" s="6">
        <f t="shared" ca="1" si="149"/>
        <v>4</v>
      </c>
      <c r="M784" s="7">
        <f ca="1" xml:space="preserve">
  IF(OR($N784 = 2, $N784 = 3, $N784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784" s="6">
        <f t="shared" ca="1" si="150"/>
        <v>6</v>
      </c>
      <c r="O784" s="6" t="e">
        <f t="shared" ca="1" si="151"/>
        <v>#N/A</v>
      </c>
      <c r="P784" s="8">
        <f t="shared" ca="1" si="152"/>
        <v>36786</v>
      </c>
      <c r="Q784" s="6">
        <f ca="1">RANDBETWEEN(2,COUNTA('Recruitment source'!$A:$A))</f>
        <v>3</v>
      </c>
      <c r="R784" s="8" t="e">
        <f t="shared" ca="1" si="153"/>
        <v>#N/A</v>
      </c>
      <c r="S784" s="6" t="e">
        <f t="shared" ca="1" si="154"/>
        <v>#N/A</v>
      </c>
      <c r="T784" s="6">
        <f t="shared" ca="1" si="144"/>
        <v>2</v>
      </c>
      <c r="U784" s="1">
        <f t="shared" ca="1" si="155"/>
        <v>885</v>
      </c>
    </row>
    <row r="785" spans="1:21" x14ac:dyDescent="0.2">
      <c r="A785" s="7" cm="1">
        <f t="array" aca="1" ref="A785" ca="1">INDEX(Companies!$A:$A,RANDBETWEEN(2,COUNTA(Companies!$A:$A)),1)</f>
        <v>2</v>
      </c>
      <c r="B785" s="5">
        <f t="shared" si="145"/>
        <v>784</v>
      </c>
      <c r="C785" s="6">
        <f t="shared" ca="1" si="146"/>
        <v>1</v>
      </c>
      <c r="D785" s="7">
        <f ca="1">IF($B785 = 1 + N("Presidente"),
    127,
    IF($B785 = 2 + N("Vice-Presidente"),
        72,
        IF($B785 = 3 + N("Secretária bilíngue"),
            13,
            RANDBETWEEN(5,COUNT(Name!$A:$A) + 1)
        )
    )
)</f>
        <v>305</v>
      </c>
      <c r="E785" s="7" t="str">
        <f ca="1" xml:space="preserve">
VLOOKUP(
  $D785,
  Name!$A:$B,
  2,
  FALSE
)
&amp; " " &amp;
IF($B785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Nathan Marques Barbieri</v>
      </c>
      <c r="F785" s="7">
        <v>2</v>
      </c>
      <c r="G785" s="7" cm="1">
        <f t="array" aca="1" ref="G785" ca="1">INDEX(States!$B:$B,RANDBETWEEN(2,COUNTA(States!$A:$A)),1)</f>
        <v>7</v>
      </c>
      <c r="H785" s="7" t="str">
        <f ca="1">VLOOKUP($D785,Name!$A:$C,3,FALSE)</f>
        <v>M</v>
      </c>
      <c r="I785" s="7" cm="1">
        <f t="array" aca="1" ref="I785" ca="1">INDEX('Marital status'!$A:$A,RANDBETWEEN(2,COUNTA('Marital status'!$A:$A)),1)</f>
        <v>2</v>
      </c>
      <c r="J785" s="7">
        <f t="shared" ca="1" si="147"/>
        <v>2</v>
      </c>
      <c r="K785" s="8">
        <f t="shared" ca="1" si="148"/>
        <v>32532</v>
      </c>
      <c r="L785" s="6">
        <f t="shared" ca="1" si="149"/>
        <v>4</v>
      </c>
      <c r="M785" s="7">
        <f ca="1" xml:space="preserve">
  IF(OR($N785 = 2, $N785 = 3, $N785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785" s="6">
        <f t="shared" ca="1" si="150"/>
        <v>8</v>
      </c>
      <c r="O785" s="6">
        <f t="shared" ca="1" si="151"/>
        <v>2</v>
      </c>
      <c r="P785" s="8">
        <f t="shared" ca="1" si="152"/>
        <v>43077</v>
      </c>
      <c r="Q785" s="6">
        <f ca="1">RANDBETWEEN(2,COUNTA('Recruitment source'!$A:$A))</f>
        <v>12</v>
      </c>
      <c r="R785" s="8" t="e">
        <f t="shared" ca="1" si="153"/>
        <v>#N/A</v>
      </c>
      <c r="S785" s="6" t="e">
        <f t="shared" ca="1" si="154"/>
        <v>#N/A</v>
      </c>
      <c r="T785" s="6">
        <f t="shared" ca="1" si="144"/>
        <v>4</v>
      </c>
      <c r="U785" s="1">
        <f t="shared" ca="1" si="155"/>
        <v>2000</v>
      </c>
    </row>
    <row r="786" spans="1:21" x14ac:dyDescent="0.2">
      <c r="A786" s="7" cm="1">
        <f t="array" aca="1" ref="A786" ca="1">INDEX(Companies!$A:$A,RANDBETWEEN(2,COUNTA(Companies!$A:$A)),1)</f>
        <v>2</v>
      </c>
      <c r="B786" s="5">
        <f t="shared" si="145"/>
        <v>785</v>
      </c>
      <c r="C786" s="6">
        <f t="shared" ca="1" si="146"/>
        <v>1</v>
      </c>
      <c r="D786" s="7">
        <f ca="1">IF($B786 = 1 + N("Presidente"),
    127,
    IF($B786 = 2 + N("Vice-Presidente"),
        72,
        IF($B786 = 3 + N("Secretária bilíngue"),
            13,
            RANDBETWEEN(5,COUNT(Name!$A:$A) + 1)
        )
    )
)</f>
        <v>270</v>
      </c>
      <c r="E786" s="7" t="str">
        <f ca="1" xml:space="preserve">
VLOOKUP(
  $D786,
  Name!$A:$B,
  2,
  FALSE
)
&amp; " " &amp;
IF($B786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Laura Cunha sobrenome</v>
      </c>
      <c r="F786" s="7">
        <v>2</v>
      </c>
      <c r="G786" s="7" cm="1">
        <f t="array" aca="1" ref="G786" ca="1">INDEX(States!$B:$B,RANDBETWEEN(2,COUNTA(States!$A:$A)),1)</f>
        <v>21</v>
      </c>
      <c r="H786" s="7" t="str">
        <f ca="1">VLOOKUP($D786,Name!$A:$C,3,FALSE)</f>
        <v>F</v>
      </c>
      <c r="I786" s="7" cm="1">
        <f t="array" aca="1" ref="I786" ca="1">INDEX('Marital status'!$A:$A,RANDBETWEEN(2,COUNTA('Marital status'!$A:$A)),1)</f>
        <v>5</v>
      </c>
      <c r="J786" s="7">
        <f t="shared" ca="1" si="147"/>
        <v>2</v>
      </c>
      <c r="K786" s="8">
        <f t="shared" ca="1" si="148"/>
        <v>32237</v>
      </c>
      <c r="L786" s="6">
        <f t="shared" ca="1" si="149"/>
        <v>4</v>
      </c>
      <c r="M786" s="7">
        <f ca="1" xml:space="preserve">
  IF(OR($N786 = 2, $N786 = 3, $N786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786" s="6">
        <f t="shared" ca="1" si="150"/>
        <v>6</v>
      </c>
      <c r="O786" s="6" t="e">
        <f t="shared" ca="1" si="151"/>
        <v>#N/A</v>
      </c>
      <c r="P786" s="8">
        <f t="shared" ca="1" si="152"/>
        <v>42850</v>
      </c>
      <c r="Q786" s="6">
        <f ca="1">RANDBETWEEN(2,COUNTA('Recruitment source'!$A:$A))</f>
        <v>8</v>
      </c>
      <c r="R786" s="8" t="e">
        <f t="shared" ca="1" si="153"/>
        <v>#N/A</v>
      </c>
      <c r="S786" s="6" t="e">
        <f t="shared" ca="1" si="154"/>
        <v>#N/A</v>
      </c>
      <c r="T786" s="6">
        <f t="shared" ca="1" si="144"/>
        <v>4</v>
      </c>
      <c r="U786" s="1">
        <f t="shared" ca="1" si="155"/>
        <v>805</v>
      </c>
    </row>
    <row r="787" spans="1:21" x14ac:dyDescent="0.2">
      <c r="A787" s="7" cm="1">
        <f t="array" aca="1" ref="A787" ca="1">INDEX(Companies!$A:$A,RANDBETWEEN(2,COUNTA(Companies!$A:$A)),1)</f>
        <v>2</v>
      </c>
      <c r="B787" s="5">
        <f t="shared" si="145"/>
        <v>786</v>
      </c>
      <c r="C787" s="6">
        <f t="shared" ca="1" si="146"/>
        <v>1</v>
      </c>
      <c r="D787" s="7">
        <f ca="1">IF($B787 = 1 + N("Presidente"),
    127,
    IF($B787 = 2 + N("Vice-Presidente"),
        72,
        IF($B787 = 3 + N("Secretária bilíngue"),
            13,
            RANDBETWEEN(5,COUNT(Name!$A:$A) + 1)
        )
    )
)</f>
        <v>354</v>
      </c>
      <c r="E787" s="7" t="str">
        <f ca="1" xml:space="preserve">
VLOOKUP(
  $D787,
  Name!$A:$B,
  2,
  FALSE
)
&amp; " " &amp;
IF($B787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Victor Botelho Colombo</v>
      </c>
      <c r="F787" s="7">
        <v>2</v>
      </c>
      <c r="G787" s="7" cm="1">
        <f t="array" aca="1" ref="G787" ca="1">INDEX(States!$B:$B,RANDBETWEEN(2,COUNTA(States!$A:$A)),1)</f>
        <v>11</v>
      </c>
      <c r="H787" s="7" t="str">
        <f ca="1">VLOOKUP($D787,Name!$A:$C,3,FALSE)</f>
        <v>M</v>
      </c>
      <c r="I787" s="7" cm="1">
        <f t="array" aca="1" ref="I787" ca="1">INDEX('Marital status'!$A:$A,RANDBETWEEN(2,COUNTA('Marital status'!$A:$A)),1)</f>
        <v>4</v>
      </c>
      <c r="J787" s="7">
        <f t="shared" ca="1" si="147"/>
        <v>2</v>
      </c>
      <c r="K787" s="8">
        <f t="shared" ca="1" si="148"/>
        <v>36828</v>
      </c>
      <c r="L787" s="6">
        <f t="shared" ca="1" si="149"/>
        <v>5</v>
      </c>
      <c r="M787" s="7">
        <f ca="1" xml:space="preserve">
  IF(OR($N787 = 2, $N787 = 3, $N787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787" s="6">
        <f t="shared" ca="1" si="150"/>
        <v>8</v>
      </c>
      <c r="O787" s="6">
        <f t="shared" ca="1" si="151"/>
        <v>3</v>
      </c>
      <c r="P787" s="8">
        <f t="shared" ca="1" si="152"/>
        <v>37370</v>
      </c>
      <c r="Q787" s="6">
        <f ca="1">RANDBETWEEN(2,COUNTA('Recruitment source'!$A:$A))</f>
        <v>12</v>
      </c>
      <c r="R787" s="8" t="e">
        <f t="shared" ca="1" si="153"/>
        <v>#N/A</v>
      </c>
      <c r="S787" s="6" t="e">
        <f t="shared" ca="1" si="154"/>
        <v>#N/A</v>
      </c>
      <c r="T787" s="6">
        <f t="shared" ca="1" si="144"/>
        <v>2</v>
      </c>
      <c r="U787" s="1">
        <f t="shared" ca="1" si="155"/>
        <v>2080</v>
      </c>
    </row>
    <row r="788" spans="1:21" x14ac:dyDescent="0.2">
      <c r="A788" s="7" cm="1">
        <f t="array" aca="1" ref="A788" ca="1">INDEX(Companies!$A:$A,RANDBETWEEN(2,COUNTA(Companies!$A:$A)),1)</f>
        <v>2</v>
      </c>
      <c r="B788" s="5">
        <f t="shared" si="145"/>
        <v>787</v>
      </c>
      <c r="C788" s="6">
        <f t="shared" ca="1" si="146"/>
        <v>1</v>
      </c>
      <c r="D788" s="7">
        <f ca="1">IF($B788 = 1 + N("Presidente"),
    127,
    IF($B788 = 2 + N("Vice-Presidente"),
        72,
        IF($B788 = 3 + N("Secretária bilíngue"),
            13,
            RANDBETWEEN(5,COUNT(Name!$A:$A) + 1)
        )
    )
)</f>
        <v>66</v>
      </c>
      <c r="E788" s="7" t="str">
        <f ca="1" xml:space="preserve">
VLOOKUP(
  $D788,
  Name!$A:$B,
  2,
  FALSE
)
&amp; " " &amp;
IF($B788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Bartolomeo Carneiro Moreira</v>
      </c>
      <c r="F788" s="7">
        <v>2</v>
      </c>
      <c r="G788" s="7" cm="1">
        <f t="array" aca="1" ref="G788" ca="1">INDEX(States!$B:$B,RANDBETWEEN(2,COUNTA(States!$A:$A)),1)</f>
        <v>10</v>
      </c>
      <c r="H788" s="7" t="str">
        <f ca="1">VLOOKUP($D788,Name!$A:$C,3,FALSE)</f>
        <v>M</v>
      </c>
      <c r="I788" s="7" cm="1">
        <f t="array" aca="1" ref="I788" ca="1">INDEX('Marital status'!$A:$A,RANDBETWEEN(2,COUNTA('Marital status'!$A:$A)),1)</f>
        <v>2</v>
      </c>
      <c r="J788" s="7">
        <f t="shared" ca="1" si="147"/>
        <v>2</v>
      </c>
      <c r="K788" s="8">
        <f t="shared" ca="1" si="148"/>
        <v>24278</v>
      </c>
      <c r="L788" s="6">
        <f t="shared" ca="1" si="149"/>
        <v>4</v>
      </c>
      <c r="M788" s="7">
        <f ca="1" xml:space="preserve">
  IF(OR($N788 = 2, $N788 = 3, $N788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788" s="6">
        <f t="shared" ca="1" si="150"/>
        <v>6</v>
      </c>
      <c r="O788" s="6" t="e">
        <f t="shared" ca="1" si="151"/>
        <v>#N/A</v>
      </c>
      <c r="P788" s="8">
        <f t="shared" ca="1" si="152"/>
        <v>44800</v>
      </c>
      <c r="Q788" s="6">
        <f ca="1">RANDBETWEEN(2,COUNTA('Recruitment source'!$A:$A))</f>
        <v>4</v>
      </c>
      <c r="R788" s="8" t="e">
        <f t="shared" ca="1" si="153"/>
        <v>#N/A</v>
      </c>
      <c r="S788" s="6" t="e">
        <f t="shared" ca="1" si="154"/>
        <v>#N/A</v>
      </c>
      <c r="T788" s="6">
        <f t="shared" ca="1" si="144"/>
        <v>2</v>
      </c>
      <c r="U788" s="1">
        <f t="shared" ca="1" si="155"/>
        <v>885</v>
      </c>
    </row>
    <row r="789" spans="1:21" x14ac:dyDescent="0.2">
      <c r="A789" s="7" cm="1">
        <f t="array" aca="1" ref="A789" ca="1">INDEX(Companies!$A:$A,RANDBETWEEN(2,COUNTA(Companies!$A:$A)),1)</f>
        <v>2</v>
      </c>
      <c r="B789" s="5">
        <f t="shared" si="145"/>
        <v>788</v>
      </c>
      <c r="C789" s="6">
        <f t="shared" ca="1" si="146"/>
        <v>1</v>
      </c>
      <c r="D789" s="7">
        <f ca="1">IF($B789 = 1 + N("Presidente"),
    127,
    IF($B789 = 2 + N("Vice-Presidente"),
        72,
        IF($B789 = 3 + N("Secretária bilíngue"),
            13,
            RANDBETWEEN(5,COUNT(Name!$A:$A) + 1)
        )
    )
)</f>
        <v>68</v>
      </c>
      <c r="E789" s="7" t="str">
        <f ca="1" xml:space="preserve">
VLOOKUP(
  $D789,
  Name!$A:$B,
  2,
  FALSE
)
&amp; " " &amp;
IF($B789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Benício Monti Sacramento</v>
      </c>
      <c r="F789" s="7">
        <v>2</v>
      </c>
      <c r="G789" s="7" cm="1">
        <f t="array" aca="1" ref="G789" ca="1">INDEX(States!$B:$B,RANDBETWEEN(2,COUNTA(States!$A:$A)),1)</f>
        <v>7</v>
      </c>
      <c r="H789" s="7" t="str">
        <f ca="1">VLOOKUP($D789,Name!$A:$C,3,FALSE)</f>
        <v>M</v>
      </c>
      <c r="I789" s="7" cm="1">
        <f t="array" aca="1" ref="I789" ca="1">INDEX('Marital status'!$A:$A,RANDBETWEEN(2,COUNTA('Marital status'!$A:$A)),1)</f>
        <v>3</v>
      </c>
      <c r="J789" s="7">
        <f t="shared" ca="1" si="147"/>
        <v>2</v>
      </c>
      <c r="K789" s="8">
        <f t="shared" ca="1" si="148"/>
        <v>36322</v>
      </c>
      <c r="L789" s="6">
        <f t="shared" ca="1" si="149"/>
        <v>4</v>
      </c>
      <c r="M789" s="7">
        <f ca="1" xml:space="preserve">
  IF(OR($N789 = 2, $N789 = 3, $N789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789" s="6">
        <f t="shared" ca="1" si="150"/>
        <v>8</v>
      </c>
      <c r="O789" s="6">
        <f t="shared" ca="1" si="151"/>
        <v>3</v>
      </c>
      <c r="P789" s="8">
        <f t="shared" ca="1" si="152"/>
        <v>37655</v>
      </c>
      <c r="Q789" s="6">
        <f ca="1">RANDBETWEEN(2,COUNTA('Recruitment source'!$A:$A))</f>
        <v>4</v>
      </c>
      <c r="R789" s="8" t="e">
        <f t="shared" ca="1" si="153"/>
        <v>#N/A</v>
      </c>
      <c r="S789" s="6" t="e">
        <f t="shared" ca="1" si="154"/>
        <v>#N/A</v>
      </c>
      <c r="T789" s="6">
        <f t="shared" ca="1" si="144"/>
        <v>4</v>
      </c>
      <c r="U789" s="1">
        <f t="shared" ca="1" si="155"/>
        <v>2000</v>
      </c>
    </row>
    <row r="790" spans="1:21" x14ac:dyDescent="0.2">
      <c r="A790" s="7" cm="1">
        <f t="array" aca="1" ref="A790" ca="1">INDEX(Companies!$A:$A,RANDBETWEEN(2,COUNTA(Companies!$A:$A)),1)</f>
        <v>2</v>
      </c>
      <c r="B790" s="5">
        <f t="shared" si="145"/>
        <v>789</v>
      </c>
      <c r="C790" s="6">
        <f t="shared" ca="1" si="146"/>
        <v>1</v>
      </c>
      <c r="D790" s="7">
        <f ca="1">IF($B790 = 1 + N("Presidente"),
    127,
    IF($B790 = 2 + N("Vice-Presidente"),
        72,
        IF($B790 = 3 + N("Secretária bilíngue"),
            13,
            RANDBETWEEN(5,COUNT(Name!$A:$A) + 1)
        )
    )
)</f>
        <v>35</v>
      </c>
      <c r="E790" s="7" t="str">
        <f ca="1" xml:space="preserve">
VLOOKUP(
  $D790,
  Name!$A:$B,
  2,
  FALSE
)
&amp; " " &amp;
IF($B790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Luiza Alvim Russo</v>
      </c>
      <c r="F790" s="7">
        <v>2</v>
      </c>
      <c r="G790" s="7" cm="1">
        <f t="array" aca="1" ref="G790" ca="1">INDEX(States!$B:$B,RANDBETWEEN(2,COUNTA(States!$A:$A)),1)</f>
        <v>9</v>
      </c>
      <c r="H790" s="7" t="str">
        <f ca="1">VLOOKUP($D790,Name!$A:$C,3,FALSE)</f>
        <v>F</v>
      </c>
      <c r="I790" s="7" cm="1">
        <f t="array" aca="1" ref="I790" ca="1">INDEX('Marital status'!$A:$A,RANDBETWEEN(2,COUNTA('Marital status'!$A:$A)),1)</f>
        <v>3</v>
      </c>
      <c r="J790" s="7">
        <f t="shared" ca="1" si="147"/>
        <v>2</v>
      </c>
      <c r="K790" s="8">
        <f t="shared" ca="1" si="148"/>
        <v>29942</v>
      </c>
      <c r="L790" s="6">
        <f t="shared" ca="1" si="149"/>
        <v>4</v>
      </c>
      <c r="M790" s="7">
        <f ca="1" xml:space="preserve">
  IF(OR($N790 = 2, $N790 = 3, $N790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790" s="6">
        <f t="shared" ca="1" si="150"/>
        <v>6</v>
      </c>
      <c r="O790" s="6" t="e">
        <f t="shared" ca="1" si="151"/>
        <v>#N/A</v>
      </c>
      <c r="P790" s="8">
        <f t="shared" ca="1" si="152"/>
        <v>41674</v>
      </c>
      <c r="Q790" s="6">
        <f ca="1">RANDBETWEEN(2,COUNTA('Recruitment source'!$A:$A))</f>
        <v>6</v>
      </c>
      <c r="R790" s="8" t="e">
        <f t="shared" ca="1" si="153"/>
        <v>#N/A</v>
      </c>
      <c r="S790" s="6" t="e">
        <f t="shared" ca="1" si="154"/>
        <v>#N/A</v>
      </c>
      <c r="T790" s="6">
        <f t="shared" ca="1" si="144"/>
        <v>2</v>
      </c>
      <c r="U790" s="1">
        <f t="shared" ca="1" si="155"/>
        <v>805</v>
      </c>
    </row>
    <row r="791" spans="1:21" x14ac:dyDescent="0.2">
      <c r="A791" s="7" cm="1">
        <f t="array" aca="1" ref="A791" ca="1">INDEX(Companies!$A:$A,RANDBETWEEN(2,COUNTA(Companies!$A:$A)),1)</f>
        <v>2</v>
      </c>
      <c r="B791" s="5">
        <f t="shared" si="145"/>
        <v>790</v>
      </c>
      <c r="C791" s="6">
        <f t="shared" ca="1" si="146"/>
        <v>1</v>
      </c>
      <c r="D791" s="7">
        <f ca="1">IF($B791 = 1 + N("Presidente"),
    127,
    IF($B791 = 2 + N("Vice-Presidente"),
        72,
        IF($B791 = 3 + N("Secretária bilíngue"),
            13,
            RANDBETWEEN(5,COUNT(Name!$A:$A) + 1)
        )
    )
)</f>
        <v>143</v>
      </c>
      <c r="E791" s="7" t="str">
        <f ca="1" xml:space="preserve">
VLOOKUP(
  $D791,
  Name!$A:$B,
  2,
  FALSE
)
&amp; " " &amp;
IF($B791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Flavio Ildelfonso Marques</v>
      </c>
      <c r="F791" s="7">
        <v>2</v>
      </c>
      <c r="G791" s="7" cm="1">
        <f t="array" aca="1" ref="G791" ca="1">INDEX(States!$B:$B,RANDBETWEEN(2,COUNTA(States!$A:$A)),1)</f>
        <v>16</v>
      </c>
      <c r="H791" s="7" t="str">
        <f ca="1">VLOOKUP($D791,Name!$A:$C,3,FALSE)</f>
        <v>M</v>
      </c>
      <c r="I791" s="7" cm="1">
        <f t="array" aca="1" ref="I791" ca="1">INDEX('Marital status'!$A:$A,RANDBETWEEN(2,COUNTA('Marital status'!$A:$A)),1)</f>
        <v>2</v>
      </c>
      <c r="J791" s="7">
        <f t="shared" ca="1" si="147"/>
        <v>3</v>
      </c>
      <c r="K791" s="8">
        <f t="shared" ca="1" si="148"/>
        <v>33206</v>
      </c>
      <c r="L791" s="6">
        <f t="shared" ca="1" si="149"/>
        <v>5</v>
      </c>
      <c r="M791" s="7">
        <f ca="1" xml:space="preserve">
  IF(OR($N791 = 2, $N791 = 3, $N791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791" s="6">
        <f t="shared" ca="1" si="150"/>
        <v>8</v>
      </c>
      <c r="O791" s="6">
        <f t="shared" ca="1" si="151"/>
        <v>3</v>
      </c>
      <c r="P791" s="8">
        <f t="shared" ca="1" si="152"/>
        <v>36296</v>
      </c>
      <c r="Q791" s="6">
        <f ca="1">RANDBETWEEN(2,COUNTA('Recruitment source'!$A:$A))</f>
        <v>8</v>
      </c>
      <c r="R791" s="8" t="e">
        <f t="shared" ca="1" si="153"/>
        <v>#N/A</v>
      </c>
      <c r="S791" s="6" t="e">
        <f t="shared" ca="1" si="154"/>
        <v>#N/A</v>
      </c>
      <c r="T791" s="6">
        <f t="shared" ca="1" si="144"/>
        <v>2</v>
      </c>
      <c r="U791" s="1">
        <f t="shared" ca="1" si="155"/>
        <v>2000</v>
      </c>
    </row>
    <row r="792" spans="1:21" x14ac:dyDescent="0.2">
      <c r="A792" s="7" cm="1">
        <f t="array" aca="1" ref="A792" ca="1">INDEX(Companies!$A:$A,RANDBETWEEN(2,COUNTA(Companies!$A:$A)),1)</f>
        <v>2</v>
      </c>
      <c r="B792" s="5">
        <f t="shared" si="145"/>
        <v>791</v>
      </c>
      <c r="C792" s="6">
        <f t="shared" ca="1" si="146"/>
        <v>1</v>
      </c>
      <c r="D792" s="7">
        <f ca="1">IF($B792 = 1 + N("Presidente"),
    127,
    IF($B792 = 2 + N("Vice-Presidente"),
        72,
        IF($B792 = 3 + N("Secretária bilíngue"),
            13,
            RANDBETWEEN(5,COUNT(Name!$A:$A) + 1)
        )
    )
)</f>
        <v>346</v>
      </c>
      <c r="E792" s="7" t="str">
        <f ca="1" xml:space="preserve">
VLOOKUP(
  $D792,
  Name!$A:$B,
  2,
  FALSE
)
&amp; " " &amp;
IF($B792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Tomas Pinto Duarte</v>
      </c>
      <c r="F792" s="7">
        <v>2</v>
      </c>
      <c r="G792" s="7" cm="1">
        <f t="array" aca="1" ref="G792" ca="1">INDEX(States!$B:$B,RANDBETWEEN(2,COUNTA(States!$A:$A)),1)</f>
        <v>16</v>
      </c>
      <c r="H792" s="7" t="str">
        <f ca="1">VLOOKUP($D792,Name!$A:$C,3,FALSE)</f>
        <v>M</v>
      </c>
      <c r="I792" s="7" cm="1">
        <f t="array" aca="1" ref="I792" ca="1">INDEX('Marital status'!$A:$A,RANDBETWEEN(2,COUNTA('Marital status'!$A:$A)),1)</f>
        <v>4</v>
      </c>
      <c r="J792" s="7">
        <f t="shared" ca="1" si="147"/>
        <v>4</v>
      </c>
      <c r="K792" s="8">
        <f t="shared" ca="1" si="148"/>
        <v>25495</v>
      </c>
      <c r="L792" s="6">
        <f t="shared" ca="1" si="149"/>
        <v>4</v>
      </c>
      <c r="M792" s="7">
        <f ca="1" xml:space="preserve">
  IF(OR($N792 = 2, $N792 = 3, $N792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792" s="6">
        <f t="shared" ca="1" si="150"/>
        <v>6</v>
      </c>
      <c r="O792" s="6" t="e">
        <f t="shared" ca="1" si="151"/>
        <v>#N/A</v>
      </c>
      <c r="P792" s="8">
        <f t="shared" ca="1" si="152"/>
        <v>37987</v>
      </c>
      <c r="Q792" s="6">
        <f ca="1">RANDBETWEEN(2,COUNTA('Recruitment source'!$A:$A))</f>
        <v>4</v>
      </c>
      <c r="R792" s="8" t="e">
        <f t="shared" ca="1" si="153"/>
        <v>#N/A</v>
      </c>
      <c r="S792" s="6" t="e">
        <f t="shared" ca="1" si="154"/>
        <v>#N/A</v>
      </c>
      <c r="T792" s="6">
        <f t="shared" ca="1" si="144"/>
        <v>2</v>
      </c>
      <c r="U792" s="1">
        <f t="shared" ca="1" si="155"/>
        <v>805</v>
      </c>
    </row>
    <row r="793" spans="1:21" x14ac:dyDescent="0.2">
      <c r="A793" s="7" cm="1">
        <f t="array" aca="1" ref="A793" ca="1">INDEX(Companies!$A:$A,RANDBETWEEN(2,COUNTA(Companies!$A:$A)),1)</f>
        <v>2</v>
      </c>
      <c r="B793" s="5">
        <f t="shared" si="145"/>
        <v>792</v>
      </c>
      <c r="C793" s="6">
        <f t="shared" ca="1" si="146"/>
        <v>1</v>
      </c>
      <c r="D793" s="7">
        <f ca="1">IF($B793 = 1 + N("Presidente"),
    127,
    IF($B793 = 2 + N("Vice-Presidente"),
        72,
        IF($B793 = 3 + N("Secretária bilíngue"),
            13,
            RANDBETWEEN(5,COUNT(Name!$A:$A) + 1)
        )
    )
)</f>
        <v>247</v>
      </c>
      <c r="E793" s="7" t="str">
        <f ca="1" xml:space="preserve">
VLOOKUP(
  $D793,
  Name!$A:$B,
  2,
  FALSE
)
&amp; " " &amp;
IF($B793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Otávio Rocha Salvador</v>
      </c>
      <c r="F793" s="7">
        <v>2</v>
      </c>
      <c r="G793" s="7" cm="1">
        <f t="array" aca="1" ref="G793" ca="1">INDEX(States!$B:$B,RANDBETWEEN(2,COUNTA(States!$A:$A)),1)</f>
        <v>9</v>
      </c>
      <c r="H793" s="7" t="str">
        <f ca="1">VLOOKUP($D793,Name!$A:$C,3,FALSE)</f>
        <v>M</v>
      </c>
      <c r="I793" s="7" cm="1">
        <f t="array" aca="1" ref="I793" ca="1">INDEX('Marital status'!$A:$A,RANDBETWEEN(2,COUNTA('Marital status'!$A:$A)),1)</f>
        <v>5</v>
      </c>
      <c r="J793" s="7">
        <f t="shared" ca="1" si="147"/>
        <v>2</v>
      </c>
      <c r="K793" s="8">
        <f t="shared" ca="1" si="148"/>
        <v>37329</v>
      </c>
      <c r="L793" s="6">
        <f t="shared" ca="1" si="149"/>
        <v>5</v>
      </c>
      <c r="M793" s="7">
        <f ca="1" xml:space="preserve">
  IF(OR($N793 = 2, $N793 = 3, $N793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793" s="6">
        <f t="shared" ca="1" si="150"/>
        <v>8</v>
      </c>
      <c r="O793" s="6">
        <f t="shared" ca="1" si="151"/>
        <v>4</v>
      </c>
      <c r="P793" s="8">
        <f t="shared" ca="1" si="152"/>
        <v>39396</v>
      </c>
      <c r="Q793" s="6">
        <f ca="1">RANDBETWEEN(2,COUNTA('Recruitment source'!$A:$A))</f>
        <v>2</v>
      </c>
      <c r="R793" s="8" t="e">
        <f t="shared" ca="1" si="153"/>
        <v>#N/A</v>
      </c>
      <c r="S793" s="6" t="e">
        <f t="shared" ca="1" si="154"/>
        <v>#N/A</v>
      </c>
      <c r="T793" s="6">
        <f t="shared" ca="1" si="144"/>
        <v>3</v>
      </c>
      <c r="U793" s="1">
        <f t="shared" ca="1" si="155"/>
        <v>2100</v>
      </c>
    </row>
    <row r="794" spans="1:21" x14ac:dyDescent="0.2">
      <c r="A794" s="7" cm="1">
        <f t="array" aca="1" ref="A794" ca="1">INDEX(Companies!$A:$A,RANDBETWEEN(2,COUNTA(Companies!$A:$A)),1)</f>
        <v>2</v>
      </c>
      <c r="B794" s="5">
        <f t="shared" si="145"/>
        <v>793</v>
      </c>
      <c r="C794" s="6">
        <f t="shared" ca="1" si="146"/>
        <v>1</v>
      </c>
      <c r="D794" s="7">
        <f ca="1">IF($B794 = 1 + N("Presidente"),
    127,
    IF($B794 = 2 + N("Vice-Presidente"),
        72,
        IF($B794 = 3 + N("Secretária bilíngue"),
            13,
            RANDBETWEEN(5,COUNT(Name!$A:$A) + 1)
        )
    )
)</f>
        <v>29</v>
      </c>
      <c r="E794" s="7" t="str">
        <f ca="1" xml:space="preserve">
VLOOKUP(
  $D794,
  Name!$A:$B,
  2,
  FALSE
)
&amp; " " &amp;
IF($B794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Cecília Dias Fontana</v>
      </c>
      <c r="F794" s="7">
        <v>2</v>
      </c>
      <c r="G794" s="7" cm="1">
        <f t="array" aca="1" ref="G794" ca="1">INDEX(States!$B:$B,RANDBETWEEN(2,COUNTA(States!$A:$A)),1)</f>
        <v>9</v>
      </c>
      <c r="H794" s="7" t="str">
        <f ca="1">VLOOKUP($D794,Name!$A:$C,3,FALSE)</f>
        <v>F</v>
      </c>
      <c r="I794" s="7" cm="1">
        <f t="array" aca="1" ref="I794" ca="1">INDEX('Marital status'!$A:$A,RANDBETWEEN(2,COUNTA('Marital status'!$A:$A)),1)</f>
        <v>3</v>
      </c>
      <c r="J794" s="7">
        <f t="shared" ca="1" si="147"/>
        <v>2</v>
      </c>
      <c r="K794" s="8">
        <f t="shared" ca="1" si="148"/>
        <v>31356</v>
      </c>
      <c r="L794" s="6">
        <f t="shared" ca="1" si="149"/>
        <v>4</v>
      </c>
      <c r="M794" s="7">
        <f ca="1" xml:space="preserve">
  IF(OR($N794 = 2, $N794 = 3, $N794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794" s="6">
        <f t="shared" ca="1" si="150"/>
        <v>6</v>
      </c>
      <c r="O794" s="6" t="e">
        <f t="shared" ca="1" si="151"/>
        <v>#N/A</v>
      </c>
      <c r="P794" s="8">
        <f t="shared" ca="1" si="152"/>
        <v>39950</v>
      </c>
      <c r="Q794" s="6">
        <f ca="1">RANDBETWEEN(2,COUNTA('Recruitment source'!$A:$A))</f>
        <v>10</v>
      </c>
      <c r="R794" s="8" t="e">
        <f t="shared" ca="1" si="153"/>
        <v>#N/A</v>
      </c>
      <c r="S794" s="6" t="e">
        <f t="shared" ca="1" si="154"/>
        <v>#N/A</v>
      </c>
      <c r="T794" s="6">
        <f t="shared" ca="1" si="144"/>
        <v>4</v>
      </c>
      <c r="U794" s="1">
        <f t="shared" ca="1" si="155"/>
        <v>885</v>
      </c>
    </row>
    <row r="795" spans="1:21" x14ac:dyDescent="0.2">
      <c r="A795" s="7" cm="1">
        <f t="array" aca="1" ref="A795" ca="1">INDEX(Companies!$A:$A,RANDBETWEEN(2,COUNTA(Companies!$A:$A)),1)</f>
        <v>2</v>
      </c>
      <c r="B795" s="5">
        <f t="shared" si="145"/>
        <v>794</v>
      </c>
      <c r="C795" s="6">
        <f t="shared" ca="1" si="146"/>
        <v>1</v>
      </c>
      <c r="D795" s="7">
        <f ca="1">IF($B795 = 1 + N("Presidente"),
    127,
    IF($B795 = 2 + N("Vice-Presidente"),
        72,
        IF($B795 = 3 + N("Secretária bilíngue"),
            13,
            RANDBETWEEN(5,COUNT(Name!$A:$A) + 1)
        )
    )
)</f>
        <v>293</v>
      </c>
      <c r="E795" s="7" t="str">
        <f ca="1" xml:space="preserve">
VLOOKUP(
  $D795,
  Name!$A:$B,
  2,
  FALSE
)
&amp; " " &amp;
IF($B795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Michael Costatini Tavares</v>
      </c>
      <c r="F795" s="7">
        <v>2</v>
      </c>
      <c r="G795" s="7" cm="1">
        <f t="array" aca="1" ref="G795" ca="1">INDEX(States!$B:$B,RANDBETWEEN(2,COUNTA(States!$A:$A)),1)</f>
        <v>19</v>
      </c>
      <c r="H795" s="7" t="str">
        <f ca="1">VLOOKUP($D795,Name!$A:$C,3,FALSE)</f>
        <v>M</v>
      </c>
      <c r="I795" s="7" cm="1">
        <f t="array" aca="1" ref="I795" ca="1">INDEX('Marital status'!$A:$A,RANDBETWEEN(2,COUNTA('Marital status'!$A:$A)),1)</f>
        <v>3</v>
      </c>
      <c r="J795" s="7">
        <f t="shared" ca="1" si="147"/>
        <v>2</v>
      </c>
      <c r="K795" s="8">
        <f t="shared" ca="1" si="148"/>
        <v>35994</v>
      </c>
      <c r="L795" s="6">
        <f t="shared" ca="1" si="149"/>
        <v>5</v>
      </c>
      <c r="M795" s="7">
        <f ca="1" xml:space="preserve">
  IF(OR($N795 = 2, $N795 = 3, $N795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795" s="6">
        <f t="shared" ca="1" si="150"/>
        <v>8</v>
      </c>
      <c r="O795" s="6">
        <f t="shared" ca="1" si="151"/>
        <v>4</v>
      </c>
      <c r="P795" s="8">
        <f t="shared" ca="1" si="152"/>
        <v>39970</v>
      </c>
      <c r="Q795" s="6">
        <f ca="1">RANDBETWEEN(2,COUNTA('Recruitment source'!$A:$A))</f>
        <v>12</v>
      </c>
      <c r="R795" s="8" t="e">
        <f t="shared" ca="1" si="153"/>
        <v>#N/A</v>
      </c>
      <c r="S795" s="6" t="e">
        <f t="shared" ca="1" si="154"/>
        <v>#N/A</v>
      </c>
      <c r="T795" s="6">
        <f t="shared" ca="1" si="144"/>
        <v>5</v>
      </c>
      <c r="U795" s="1">
        <f t="shared" ca="1" si="155"/>
        <v>2000</v>
      </c>
    </row>
    <row r="796" spans="1:21" x14ac:dyDescent="0.2">
      <c r="A796" s="7" cm="1">
        <f t="array" aca="1" ref="A796" ca="1">INDEX(Companies!$A:$A,RANDBETWEEN(2,COUNTA(Companies!$A:$A)),1)</f>
        <v>2</v>
      </c>
      <c r="B796" s="5">
        <f t="shared" si="145"/>
        <v>795</v>
      </c>
      <c r="C796" s="6">
        <f t="shared" ca="1" si="146"/>
        <v>1</v>
      </c>
      <c r="D796" s="7">
        <f ca="1">IF($B796 = 1 + N("Presidente"),
    127,
    IF($B796 = 2 + N("Vice-Presidente"),
        72,
        IF($B796 = 3 + N("Secretária bilíngue"),
            13,
            RANDBETWEEN(5,COUNT(Name!$A:$A) + 1)
        )
    )
)</f>
        <v>178</v>
      </c>
      <c r="E796" s="7" t="str">
        <f ca="1" xml:space="preserve">
VLOOKUP(
  $D796,
  Name!$A:$B,
  2,
  FALSE
)
&amp; " " &amp;
IF($B796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Isabely Batista Santacruz</v>
      </c>
      <c r="F796" s="7">
        <v>2</v>
      </c>
      <c r="G796" s="7" cm="1">
        <f t="array" aca="1" ref="G796" ca="1">INDEX(States!$B:$B,RANDBETWEEN(2,COUNTA(States!$A:$A)),1)</f>
        <v>2</v>
      </c>
      <c r="H796" s="7" t="str">
        <f ca="1">VLOOKUP($D796,Name!$A:$C,3,FALSE)</f>
        <v>F</v>
      </c>
      <c r="I796" s="7" cm="1">
        <f t="array" aca="1" ref="I796" ca="1">INDEX('Marital status'!$A:$A,RANDBETWEEN(2,COUNTA('Marital status'!$A:$A)),1)</f>
        <v>3</v>
      </c>
      <c r="J796" s="7">
        <f t="shared" ca="1" si="147"/>
        <v>2</v>
      </c>
      <c r="K796" s="8">
        <f t="shared" ca="1" si="148"/>
        <v>31959</v>
      </c>
      <c r="L796" s="6">
        <f t="shared" ca="1" si="149"/>
        <v>4</v>
      </c>
      <c r="M796" s="7">
        <f ca="1" xml:space="preserve">
  IF(OR($N796 = 2, $N796 = 3, $N796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796" s="6">
        <f t="shared" ca="1" si="150"/>
        <v>7</v>
      </c>
      <c r="O796" s="6" t="e">
        <f t="shared" ca="1" si="151"/>
        <v>#N/A</v>
      </c>
      <c r="P796" s="8">
        <f t="shared" ca="1" si="152"/>
        <v>42970</v>
      </c>
      <c r="Q796" s="6">
        <f ca="1">RANDBETWEEN(2,COUNTA('Recruitment source'!$A:$A))</f>
        <v>8</v>
      </c>
      <c r="R796" s="8" t="e">
        <f t="shared" ca="1" si="153"/>
        <v>#N/A</v>
      </c>
      <c r="S796" s="6" t="e">
        <f t="shared" ca="1" si="154"/>
        <v>#N/A</v>
      </c>
      <c r="T796" s="6">
        <f t="shared" ca="1" si="144"/>
        <v>2</v>
      </c>
      <c r="U796" s="1">
        <f t="shared" ca="1" si="155"/>
        <v>1085</v>
      </c>
    </row>
    <row r="797" spans="1:21" x14ac:dyDescent="0.2">
      <c r="A797" s="7" cm="1">
        <f t="array" aca="1" ref="A797" ca="1">INDEX(Companies!$A:$A,RANDBETWEEN(2,COUNTA(Companies!$A:$A)),1)</f>
        <v>2</v>
      </c>
      <c r="B797" s="5">
        <f t="shared" si="145"/>
        <v>796</v>
      </c>
      <c r="C797" s="6">
        <f t="shared" ca="1" si="146"/>
        <v>1</v>
      </c>
      <c r="D797" s="7">
        <f ca="1">IF($B797 = 1 + N("Presidente"),
    127,
    IF($B797 = 2 + N("Vice-Presidente"),
        72,
        IF($B797 = 3 + N("Secretária bilíngue"),
            13,
            RANDBETWEEN(5,COUNT(Name!$A:$A) + 1)
        )
    )
)</f>
        <v>219</v>
      </c>
      <c r="E797" s="7" t="str">
        <f ca="1" xml:space="preserve">
VLOOKUP(
  $D797,
  Name!$A:$B,
  2,
  FALSE
)
&amp; " " &amp;
IF($B797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Larissa Alves Asvilla</v>
      </c>
      <c r="F797" s="7">
        <v>2</v>
      </c>
      <c r="G797" s="7" cm="1">
        <f t="array" aca="1" ref="G797" ca="1">INDEX(States!$B:$B,RANDBETWEEN(2,COUNTA(States!$A:$A)),1)</f>
        <v>17</v>
      </c>
      <c r="H797" s="7" t="str">
        <f ca="1">VLOOKUP($D797,Name!$A:$C,3,FALSE)</f>
        <v>F</v>
      </c>
      <c r="I797" s="7" cm="1">
        <f t="array" aca="1" ref="I797" ca="1">INDEX('Marital status'!$A:$A,RANDBETWEEN(2,COUNTA('Marital status'!$A:$A)),1)</f>
        <v>6</v>
      </c>
      <c r="J797" s="7">
        <f t="shared" ca="1" si="147"/>
        <v>2</v>
      </c>
      <c r="K797" s="8">
        <f t="shared" ca="1" si="148"/>
        <v>36089</v>
      </c>
      <c r="L797" s="6">
        <f t="shared" ca="1" si="149"/>
        <v>4</v>
      </c>
      <c r="M797" s="7">
        <f ca="1" xml:space="preserve">
  IF(OR($N797 = 2, $N797 = 3, $N797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797" s="6">
        <f t="shared" ca="1" si="150"/>
        <v>8</v>
      </c>
      <c r="O797" s="6">
        <f t="shared" ca="1" si="151"/>
        <v>4</v>
      </c>
      <c r="P797" s="8">
        <f t="shared" ca="1" si="152"/>
        <v>41183</v>
      </c>
      <c r="Q797" s="6">
        <f ca="1">RANDBETWEEN(2,COUNTA('Recruitment source'!$A:$A))</f>
        <v>9</v>
      </c>
      <c r="R797" s="8" t="e">
        <f t="shared" ca="1" si="153"/>
        <v>#N/A</v>
      </c>
      <c r="S797" s="6" t="e">
        <f t="shared" ca="1" si="154"/>
        <v>#N/A</v>
      </c>
      <c r="T797" s="6">
        <f t="shared" ca="1" si="144"/>
        <v>5</v>
      </c>
      <c r="U797" s="1">
        <f t="shared" ca="1" si="155"/>
        <v>2050</v>
      </c>
    </row>
    <row r="798" spans="1:21" x14ac:dyDescent="0.2">
      <c r="A798" s="7" cm="1">
        <f t="array" aca="1" ref="A798" ca="1">INDEX(Companies!$A:$A,RANDBETWEEN(2,COUNTA(Companies!$A:$A)),1)</f>
        <v>2</v>
      </c>
      <c r="B798" s="5">
        <f t="shared" si="145"/>
        <v>797</v>
      </c>
      <c r="C798" s="6">
        <f t="shared" ca="1" si="146"/>
        <v>1</v>
      </c>
      <c r="D798" s="7">
        <f ca="1">IF($B798 = 1 + N("Presidente"),
    127,
    IF($B798 = 2 + N("Vice-Presidente"),
        72,
        IF($B798 = 3 + N("Secretária bilíngue"),
            13,
            RANDBETWEEN(5,COUNT(Name!$A:$A) + 1)
        )
    )
)</f>
        <v>355</v>
      </c>
      <c r="E798" s="7" t="str">
        <f ca="1" xml:space="preserve">
VLOOKUP(
  $D798,
  Name!$A:$B,
  2,
  FALSE
)
&amp; " " &amp;
IF($B798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Victor Hugo de Oliveira Bispo</v>
      </c>
      <c r="F798" s="7">
        <v>2</v>
      </c>
      <c r="G798" s="7" cm="1">
        <f t="array" aca="1" ref="G798" ca="1">INDEX(States!$B:$B,RANDBETWEEN(2,COUNTA(States!$A:$A)),1)</f>
        <v>5</v>
      </c>
      <c r="H798" s="7" t="str">
        <f ca="1">VLOOKUP($D798,Name!$A:$C,3,FALSE)</f>
        <v>M</v>
      </c>
      <c r="I798" s="7" cm="1">
        <f t="array" aca="1" ref="I798" ca="1">INDEX('Marital status'!$A:$A,RANDBETWEEN(2,COUNTA('Marital status'!$A:$A)),1)</f>
        <v>4</v>
      </c>
      <c r="J798" s="7">
        <f t="shared" ca="1" si="147"/>
        <v>5</v>
      </c>
      <c r="K798" s="8">
        <f t="shared" ca="1" si="148"/>
        <v>35390</v>
      </c>
      <c r="L798" s="6">
        <f t="shared" ca="1" si="149"/>
        <v>4</v>
      </c>
      <c r="M798" s="7">
        <f ca="1" xml:space="preserve">
  IF(OR($N798 = 2, $N798 = 3, $N798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798" s="6">
        <f t="shared" ca="1" si="150"/>
        <v>7</v>
      </c>
      <c r="O798" s="6" t="e">
        <f t="shared" ca="1" si="151"/>
        <v>#N/A</v>
      </c>
      <c r="P798" s="8">
        <f t="shared" ca="1" si="152"/>
        <v>41789</v>
      </c>
      <c r="Q798" s="6">
        <f ca="1">RANDBETWEEN(2,COUNTA('Recruitment source'!$A:$A))</f>
        <v>10</v>
      </c>
      <c r="R798" s="8" t="e">
        <f t="shared" ca="1" si="153"/>
        <v>#N/A</v>
      </c>
      <c r="S798" s="6" t="e">
        <f t="shared" ca="1" si="154"/>
        <v>#N/A</v>
      </c>
      <c r="T798" s="6">
        <f t="shared" ca="1" si="144"/>
        <v>5</v>
      </c>
      <c r="U798" s="1">
        <f t="shared" ca="1" si="155"/>
        <v>1005</v>
      </c>
    </row>
    <row r="799" spans="1:21" x14ac:dyDescent="0.2">
      <c r="A799" s="7" cm="1">
        <f t="array" aca="1" ref="A799" ca="1">INDEX(Companies!$A:$A,RANDBETWEEN(2,COUNTA(Companies!$A:$A)),1)</f>
        <v>2</v>
      </c>
      <c r="B799" s="5">
        <f t="shared" si="145"/>
        <v>798</v>
      </c>
      <c r="C799" s="6">
        <f t="shared" ca="1" si="146"/>
        <v>1</v>
      </c>
      <c r="D799" s="7">
        <f ca="1">IF($B799 = 1 + N("Presidente"),
    127,
    IF($B799 = 2 + N("Vice-Presidente"),
        72,
        IF($B799 = 3 + N("Secretária bilíngue"),
            13,
            RANDBETWEEN(5,COUNT(Name!$A:$A) + 1)
        )
    )
)</f>
        <v>292</v>
      </c>
      <c r="E799" s="7" t="str">
        <f ca="1" xml:space="preserve">
VLOOKUP(
  $D799,
  Name!$A:$B,
  2,
  FALSE
)
&amp; " " &amp;
IF($B799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Micaela Morato Faria</v>
      </c>
      <c r="F799" s="7">
        <v>2</v>
      </c>
      <c r="G799" s="7" cm="1">
        <f t="array" aca="1" ref="G799" ca="1">INDEX(States!$B:$B,RANDBETWEEN(2,COUNTA(States!$A:$A)),1)</f>
        <v>7</v>
      </c>
      <c r="H799" s="7" t="str">
        <f ca="1">VLOOKUP($D799,Name!$A:$C,3,FALSE)</f>
        <v>F</v>
      </c>
      <c r="I799" s="7" cm="1">
        <f t="array" aca="1" ref="I799" ca="1">INDEX('Marital status'!$A:$A,RANDBETWEEN(2,COUNTA('Marital status'!$A:$A)),1)</f>
        <v>6</v>
      </c>
      <c r="J799" s="7">
        <f t="shared" ca="1" si="147"/>
        <v>2</v>
      </c>
      <c r="K799" s="8">
        <f t="shared" ca="1" si="148"/>
        <v>37753</v>
      </c>
      <c r="L799" s="6">
        <f t="shared" ca="1" si="149"/>
        <v>4</v>
      </c>
      <c r="M799" s="7">
        <f ca="1" xml:space="preserve">
  IF(OR($N799 = 2, $N799 = 3, $N799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799" s="6">
        <f t="shared" ca="1" si="150"/>
        <v>8</v>
      </c>
      <c r="O799" s="6">
        <f t="shared" ca="1" si="151"/>
        <v>3</v>
      </c>
      <c r="P799" s="8">
        <f t="shared" ca="1" si="152"/>
        <v>43093</v>
      </c>
      <c r="Q799" s="6">
        <f ca="1">RANDBETWEEN(2,COUNTA('Recruitment source'!$A:$A))</f>
        <v>12</v>
      </c>
      <c r="R799" s="8" t="e">
        <f t="shared" ca="1" si="153"/>
        <v>#N/A</v>
      </c>
      <c r="S799" s="6" t="e">
        <f t="shared" ca="1" si="154"/>
        <v>#N/A</v>
      </c>
      <c r="T799" s="6">
        <f t="shared" ca="1" si="144"/>
        <v>4</v>
      </c>
      <c r="U799" s="1">
        <f t="shared" ca="1" si="155"/>
        <v>2000</v>
      </c>
    </row>
    <row r="800" spans="1:21" x14ac:dyDescent="0.2">
      <c r="A800" s="7" cm="1">
        <f t="array" aca="1" ref="A800" ca="1">INDEX(Companies!$A:$A,RANDBETWEEN(2,COUNTA(Companies!$A:$A)),1)</f>
        <v>2</v>
      </c>
      <c r="B800" s="5">
        <f t="shared" si="145"/>
        <v>799</v>
      </c>
      <c r="C800" s="6">
        <f t="shared" ca="1" si="146"/>
        <v>1</v>
      </c>
      <c r="D800" s="7">
        <f ca="1">IF($B800 = 1 + N("Presidente"),
    127,
    IF($B800 = 2 + N("Vice-Presidente"),
        72,
        IF($B800 = 3 + N("Secretária bilíngue"),
            13,
            RANDBETWEEN(5,COUNT(Name!$A:$A) + 1)
        )
    )
)</f>
        <v>120</v>
      </c>
      <c r="E800" s="7" t="str">
        <f ca="1" xml:space="preserve">
VLOOKUP(
  $D800,
  Name!$A:$B,
  2,
  FALSE
)
&amp; " " &amp;
IF($B800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Eliza Moraes Anunciação</v>
      </c>
      <c r="F800" s="7">
        <v>2</v>
      </c>
      <c r="G800" s="7" cm="1">
        <f t="array" aca="1" ref="G800" ca="1">INDEX(States!$B:$B,RANDBETWEEN(2,COUNTA(States!$A:$A)),1)</f>
        <v>15</v>
      </c>
      <c r="H800" s="7" t="str">
        <f ca="1">VLOOKUP($D800,Name!$A:$C,3,FALSE)</f>
        <v>F</v>
      </c>
      <c r="I800" s="7" cm="1">
        <f t="array" aca="1" ref="I800" ca="1">INDEX('Marital status'!$A:$A,RANDBETWEEN(2,COUNTA('Marital status'!$A:$A)),1)</f>
        <v>3</v>
      </c>
      <c r="J800" s="7">
        <f t="shared" ca="1" si="147"/>
        <v>2</v>
      </c>
      <c r="K800" s="8">
        <f t="shared" ca="1" si="148"/>
        <v>29544</v>
      </c>
      <c r="L800" s="6">
        <f t="shared" ca="1" si="149"/>
        <v>4</v>
      </c>
      <c r="M800" s="7">
        <f ca="1" xml:space="preserve">
  IF(OR($N800 = 2, $N800 = 3, $N800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800" s="6">
        <f t="shared" ca="1" si="150"/>
        <v>7</v>
      </c>
      <c r="O800" s="6" t="e">
        <f t="shared" ca="1" si="151"/>
        <v>#N/A</v>
      </c>
      <c r="P800" s="8">
        <f t="shared" ca="1" si="152"/>
        <v>41086</v>
      </c>
      <c r="Q800" s="6">
        <f ca="1">RANDBETWEEN(2,COUNTA('Recruitment source'!$A:$A))</f>
        <v>8</v>
      </c>
      <c r="R800" s="8" t="e">
        <f t="shared" ca="1" si="153"/>
        <v>#N/A</v>
      </c>
      <c r="S800" s="6" t="e">
        <f t="shared" ca="1" si="154"/>
        <v>#N/A</v>
      </c>
      <c r="T800" s="6">
        <f t="shared" ca="1" si="144"/>
        <v>3</v>
      </c>
      <c r="U800" s="1">
        <f t="shared" ca="1" si="155"/>
        <v>1005</v>
      </c>
    </row>
    <row r="801" spans="1:21" x14ac:dyDescent="0.2">
      <c r="A801" s="7" cm="1">
        <f t="array" aca="1" ref="A801" ca="1">INDEX(Companies!$A:$A,RANDBETWEEN(2,COUNTA(Companies!$A:$A)),1)</f>
        <v>2</v>
      </c>
      <c r="B801" s="5">
        <f t="shared" si="145"/>
        <v>800</v>
      </c>
      <c r="C801" s="6">
        <f t="shared" ca="1" si="146"/>
        <v>1</v>
      </c>
      <c r="D801" s="7">
        <f ca="1">IF($B801 = 1 + N("Presidente"),
    127,
    IF($B801 = 2 + N("Vice-Presidente"),
        72,
        IF($B801 = 3 + N("Secretária bilíngue"),
            13,
            RANDBETWEEN(5,COUNT(Name!$A:$A) + 1)
        )
    )
)</f>
        <v>338</v>
      </c>
      <c r="E801" s="7" t="str">
        <f ca="1" xml:space="preserve">
VLOOKUP(
  $D801,
  Name!$A:$B,
  2,
  FALSE
)
&amp; " " &amp;
IF($B801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Sophia Carvalho Trindade</v>
      </c>
      <c r="F801" s="7">
        <v>2</v>
      </c>
      <c r="G801" s="7" cm="1">
        <f t="array" aca="1" ref="G801" ca="1">INDEX(States!$B:$B,RANDBETWEEN(2,COUNTA(States!$A:$A)),1)</f>
        <v>10</v>
      </c>
      <c r="H801" s="7" t="str">
        <f ca="1">VLOOKUP($D801,Name!$A:$C,3,FALSE)</f>
        <v>F</v>
      </c>
      <c r="I801" s="7" cm="1">
        <f t="array" aca="1" ref="I801" ca="1">INDEX('Marital status'!$A:$A,RANDBETWEEN(2,COUNTA('Marital status'!$A:$A)),1)</f>
        <v>2</v>
      </c>
      <c r="J801" s="7">
        <f t="shared" ca="1" si="147"/>
        <v>2</v>
      </c>
      <c r="K801" s="8">
        <f t="shared" ca="1" si="148"/>
        <v>37650</v>
      </c>
      <c r="L801" s="6">
        <f t="shared" ca="1" si="149"/>
        <v>4</v>
      </c>
      <c r="M801" s="7">
        <f ca="1" xml:space="preserve">
  IF(OR($N801 = 2, $N801 = 3, $N801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801" s="6">
        <f t="shared" ca="1" si="150"/>
        <v>8</v>
      </c>
      <c r="O801" s="6">
        <f t="shared" ca="1" si="151"/>
        <v>3</v>
      </c>
      <c r="P801" s="8">
        <f t="shared" ca="1" si="152"/>
        <v>36418</v>
      </c>
      <c r="Q801" s="6">
        <f ca="1">RANDBETWEEN(2,COUNTA('Recruitment source'!$A:$A))</f>
        <v>9</v>
      </c>
      <c r="R801" s="8" t="e">
        <f t="shared" ca="1" si="153"/>
        <v>#N/A</v>
      </c>
      <c r="S801" s="6" t="e">
        <f t="shared" ca="1" si="154"/>
        <v>#N/A</v>
      </c>
      <c r="T801" s="6">
        <f t="shared" ca="1" si="144"/>
        <v>3</v>
      </c>
      <c r="U801" s="1">
        <f t="shared" ca="1" si="155"/>
        <v>2050</v>
      </c>
    </row>
    <row r="802" spans="1:21" x14ac:dyDescent="0.2">
      <c r="A802" s="7" cm="1">
        <f t="array" aca="1" ref="A802" ca="1">INDEX(Companies!$A:$A,RANDBETWEEN(2,COUNTA(Companies!$A:$A)),1)</f>
        <v>2</v>
      </c>
      <c r="B802" s="5">
        <f t="shared" si="145"/>
        <v>801</v>
      </c>
      <c r="C802" s="6">
        <f t="shared" ca="1" si="146"/>
        <v>1</v>
      </c>
      <c r="D802" s="7">
        <f ca="1">IF($B802 = 1 + N("Presidente"),
    127,
    IF($B802 = 2 + N("Vice-Presidente"),
        72,
        IF($B802 = 3 + N("Secretária bilíngue"),
            13,
            RANDBETWEEN(5,COUNT(Name!$A:$A) + 1)
        )
    )
)</f>
        <v>323</v>
      </c>
      <c r="E802" s="7" t="str">
        <f ca="1" xml:space="preserve">
VLOOKUP(
  $D802,
  Name!$A:$B,
  2,
  FALSE
)
&amp; " " &amp;
IF($B802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Rachel Barbosa Souza</v>
      </c>
      <c r="F802" s="7">
        <v>2</v>
      </c>
      <c r="G802" s="7" cm="1">
        <f t="array" aca="1" ref="G802" ca="1">INDEX(States!$B:$B,RANDBETWEEN(2,COUNTA(States!$A:$A)),1)</f>
        <v>3</v>
      </c>
      <c r="H802" s="7" t="str">
        <f ca="1">VLOOKUP($D802,Name!$A:$C,3,FALSE)</f>
        <v>F</v>
      </c>
      <c r="I802" s="7" cm="1">
        <f t="array" aca="1" ref="I802" ca="1">INDEX('Marital status'!$A:$A,RANDBETWEEN(2,COUNTA('Marital status'!$A:$A)),1)</f>
        <v>2</v>
      </c>
      <c r="J802" s="7">
        <f t="shared" ca="1" si="147"/>
        <v>2</v>
      </c>
      <c r="K802" s="8">
        <f t="shared" ca="1" si="148"/>
        <v>30051</v>
      </c>
      <c r="L802" s="6">
        <f t="shared" ca="1" si="149"/>
        <v>4</v>
      </c>
      <c r="M802" s="7">
        <f ca="1" xml:space="preserve">
  IF(OR($N802 = 2, $N802 = 3, $N802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802" s="6">
        <f t="shared" ca="1" si="150"/>
        <v>7</v>
      </c>
      <c r="O802" s="6" t="e">
        <f t="shared" ca="1" si="151"/>
        <v>#N/A</v>
      </c>
      <c r="P802" s="8">
        <f t="shared" ca="1" si="152"/>
        <v>40458</v>
      </c>
      <c r="Q802" s="6">
        <f ca="1">RANDBETWEEN(2,COUNTA('Recruitment source'!$A:$A))</f>
        <v>8</v>
      </c>
      <c r="R802" s="8" t="e">
        <f t="shared" ca="1" si="153"/>
        <v>#N/A</v>
      </c>
      <c r="S802" s="6" t="e">
        <f t="shared" ca="1" si="154"/>
        <v>#N/A</v>
      </c>
      <c r="T802" s="6">
        <f t="shared" ca="1" si="144"/>
        <v>4</v>
      </c>
      <c r="U802" s="1">
        <f t="shared" ca="1" si="155"/>
        <v>1005</v>
      </c>
    </row>
    <row r="803" spans="1:21" x14ac:dyDescent="0.2">
      <c r="A803" s="7" cm="1">
        <f t="array" aca="1" ref="A803" ca="1">INDEX(Companies!$A:$A,RANDBETWEEN(2,COUNTA(Companies!$A:$A)),1)</f>
        <v>2</v>
      </c>
      <c r="B803" s="5">
        <f t="shared" si="145"/>
        <v>802</v>
      </c>
      <c r="C803" s="6">
        <f t="shared" ca="1" si="146"/>
        <v>1</v>
      </c>
      <c r="D803" s="7">
        <f ca="1">IF($B803 = 1 + N("Presidente"),
    127,
    IF($B803 = 2 + N("Vice-Presidente"),
        72,
        IF($B803 = 3 + N("Secretária bilíngue"),
            13,
            RANDBETWEEN(5,COUNT(Name!$A:$A) + 1)
        )
    )
)</f>
        <v>233</v>
      </c>
      <c r="E803" s="7" t="str">
        <f ca="1" xml:space="preserve">
VLOOKUP(
  $D803,
  Name!$A:$B,
  2,
  FALSE
)
&amp; " " &amp;
IF($B803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Lorenzo Augusto Mendes Farina</v>
      </c>
      <c r="F803" s="7">
        <v>2</v>
      </c>
      <c r="G803" s="7" cm="1">
        <f t="array" aca="1" ref="G803" ca="1">INDEX(States!$B:$B,RANDBETWEEN(2,COUNTA(States!$A:$A)),1)</f>
        <v>7</v>
      </c>
      <c r="H803" s="7" t="str">
        <f ca="1">VLOOKUP($D803,Name!$A:$C,3,FALSE)</f>
        <v>M</v>
      </c>
      <c r="I803" s="7" cm="1">
        <f t="array" aca="1" ref="I803" ca="1">INDEX('Marital status'!$A:$A,RANDBETWEEN(2,COUNTA('Marital status'!$A:$A)),1)</f>
        <v>6</v>
      </c>
      <c r="J803" s="7">
        <f t="shared" ca="1" si="147"/>
        <v>4</v>
      </c>
      <c r="K803" s="8">
        <f t="shared" ca="1" si="148"/>
        <v>37347</v>
      </c>
      <c r="L803" s="6">
        <f t="shared" ca="1" si="149"/>
        <v>5</v>
      </c>
      <c r="M803" s="7">
        <f ca="1" xml:space="preserve">
  IF(OR($N803 = 2, $N803 = 3, $N803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803" s="6">
        <f t="shared" ca="1" si="150"/>
        <v>8</v>
      </c>
      <c r="O803" s="6">
        <f t="shared" ca="1" si="151"/>
        <v>2</v>
      </c>
      <c r="P803" s="8">
        <f t="shared" ca="1" si="152"/>
        <v>39514</v>
      </c>
      <c r="Q803" s="6">
        <f ca="1">RANDBETWEEN(2,COUNTA('Recruitment source'!$A:$A))</f>
        <v>12</v>
      </c>
      <c r="R803" s="8" t="e">
        <f t="shared" ca="1" si="153"/>
        <v>#N/A</v>
      </c>
      <c r="S803" s="6" t="e">
        <f t="shared" ca="1" si="154"/>
        <v>#N/A</v>
      </c>
      <c r="T803" s="6">
        <f t="shared" ca="1" si="144"/>
        <v>3</v>
      </c>
      <c r="U803" s="1">
        <f t="shared" ca="1" si="155"/>
        <v>2000</v>
      </c>
    </row>
    <row r="804" spans="1:21" x14ac:dyDescent="0.2">
      <c r="A804" s="7" cm="1">
        <f t="array" aca="1" ref="A804" ca="1">INDEX(Companies!$A:$A,RANDBETWEEN(2,COUNTA(Companies!$A:$A)),1)</f>
        <v>2</v>
      </c>
      <c r="B804" s="5">
        <f t="shared" si="145"/>
        <v>803</v>
      </c>
      <c r="C804" s="6">
        <f t="shared" ca="1" si="146"/>
        <v>1</v>
      </c>
      <c r="D804" s="7">
        <f ca="1">IF($B804 = 1 + N("Presidente"),
    127,
    IF($B804 = 2 + N("Vice-Presidente"),
        72,
        IF($B804 = 3 + N("Secretária bilíngue"),
            13,
            RANDBETWEEN(5,COUNT(Name!$A:$A) + 1)
        )
    )
)</f>
        <v>27</v>
      </c>
      <c r="E804" s="7" t="str">
        <f ca="1" xml:space="preserve">
VLOOKUP(
  $D804,
  Name!$A:$B,
  2,
  FALSE
)
&amp; " " &amp;
IF($B804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Carolina Sá Monti</v>
      </c>
      <c r="F804" s="7">
        <v>2</v>
      </c>
      <c r="G804" s="7" cm="1">
        <f t="array" aca="1" ref="G804" ca="1">INDEX(States!$B:$B,RANDBETWEEN(2,COUNTA(States!$A:$A)),1)</f>
        <v>15</v>
      </c>
      <c r="H804" s="7" t="str">
        <f ca="1">VLOOKUP($D804,Name!$A:$C,3,FALSE)</f>
        <v>F</v>
      </c>
      <c r="I804" s="7" cm="1">
        <f t="array" aca="1" ref="I804" ca="1">INDEX('Marital status'!$A:$A,RANDBETWEEN(2,COUNTA('Marital status'!$A:$A)),1)</f>
        <v>2</v>
      </c>
      <c r="J804" s="7">
        <f t="shared" ca="1" si="147"/>
        <v>2</v>
      </c>
      <c r="K804" s="8">
        <f t="shared" ca="1" si="148"/>
        <v>33388</v>
      </c>
      <c r="L804" s="6">
        <f t="shared" ca="1" si="149"/>
        <v>4</v>
      </c>
      <c r="M804" s="7">
        <f ca="1" xml:space="preserve">
  IF(OR($N804 = 2, $N804 = 3, $N804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804" s="6">
        <f t="shared" ca="1" si="150"/>
        <v>7</v>
      </c>
      <c r="O804" s="6" t="e">
        <f t="shared" ca="1" si="151"/>
        <v>#N/A</v>
      </c>
      <c r="P804" s="8">
        <f t="shared" ca="1" si="152"/>
        <v>40503</v>
      </c>
      <c r="Q804" s="6">
        <f ca="1">RANDBETWEEN(2,COUNTA('Recruitment source'!$A:$A))</f>
        <v>2</v>
      </c>
      <c r="R804" s="8" t="e">
        <f t="shared" ca="1" si="153"/>
        <v>#N/A</v>
      </c>
      <c r="S804" s="6" t="e">
        <f t="shared" ca="1" si="154"/>
        <v>#N/A</v>
      </c>
      <c r="T804" s="6">
        <f t="shared" ca="1" si="144"/>
        <v>4</v>
      </c>
      <c r="U804" s="1">
        <f t="shared" ca="1" si="155"/>
        <v>1005</v>
      </c>
    </row>
    <row r="805" spans="1:21" x14ac:dyDescent="0.2">
      <c r="A805" s="7" cm="1">
        <f t="array" aca="1" ref="A805" ca="1">INDEX(Companies!$A:$A,RANDBETWEEN(2,COUNTA(Companies!$A:$A)),1)</f>
        <v>2</v>
      </c>
      <c r="B805" s="5">
        <f t="shared" si="145"/>
        <v>804</v>
      </c>
      <c r="C805" s="6">
        <f t="shared" ca="1" si="146"/>
        <v>1</v>
      </c>
      <c r="D805" s="7">
        <f ca="1">IF($B805 = 1 + N("Presidente"),
    127,
    IF($B805 = 2 + N("Vice-Presidente"),
        72,
        IF($B805 = 3 + N("Secretária bilíngue"),
            13,
            RANDBETWEEN(5,COUNT(Name!$A:$A) + 1)
        )
    )
)</f>
        <v>144</v>
      </c>
      <c r="E805" s="7" t="str">
        <f ca="1" xml:space="preserve">
VLOOKUP(
  $D805,
  Name!$A:$B,
  2,
  FALSE
)
&amp; " " &amp;
IF($B805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Flávio Conti Gonçalves</v>
      </c>
      <c r="F805" s="7">
        <v>2</v>
      </c>
      <c r="G805" s="7" cm="1">
        <f t="array" aca="1" ref="G805" ca="1">INDEX(States!$B:$B,RANDBETWEEN(2,COUNTA(States!$A:$A)),1)</f>
        <v>10</v>
      </c>
      <c r="H805" s="7" t="str">
        <f ca="1">VLOOKUP($D805,Name!$A:$C,3,FALSE)</f>
        <v>M</v>
      </c>
      <c r="I805" s="7" cm="1">
        <f t="array" aca="1" ref="I805" ca="1">INDEX('Marital status'!$A:$A,RANDBETWEEN(2,COUNTA('Marital status'!$A:$A)),1)</f>
        <v>2</v>
      </c>
      <c r="J805" s="7">
        <f t="shared" ca="1" si="147"/>
        <v>3</v>
      </c>
      <c r="K805" s="8">
        <f t="shared" ca="1" si="148"/>
        <v>35024</v>
      </c>
      <c r="L805" s="6">
        <f t="shared" ca="1" si="149"/>
        <v>4</v>
      </c>
      <c r="M805" s="7">
        <f ca="1" xml:space="preserve">
  IF(OR($N805 = 2, $N805 = 3, $N805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805" s="6">
        <f t="shared" ca="1" si="150"/>
        <v>8</v>
      </c>
      <c r="O805" s="6">
        <f t="shared" ca="1" si="151"/>
        <v>4</v>
      </c>
      <c r="P805" s="8">
        <f t="shared" ca="1" si="152"/>
        <v>43278</v>
      </c>
      <c r="Q805" s="6">
        <f ca="1">RANDBETWEEN(2,COUNTA('Recruitment source'!$A:$A))</f>
        <v>10</v>
      </c>
      <c r="R805" s="8" t="e">
        <f t="shared" ca="1" si="153"/>
        <v>#N/A</v>
      </c>
      <c r="S805" s="6" t="e">
        <f t="shared" ca="1" si="154"/>
        <v>#N/A</v>
      </c>
      <c r="T805" s="6">
        <f t="shared" ca="1" si="144"/>
        <v>2</v>
      </c>
      <c r="U805" s="1">
        <f t="shared" ca="1" si="155"/>
        <v>2000</v>
      </c>
    </row>
    <row r="806" spans="1:21" x14ac:dyDescent="0.2">
      <c r="A806" s="7" cm="1">
        <f t="array" aca="1" ref="A806" ca="1">INDEX(Companies!$A:$A,RANDBETWEEN(2,COUNTA(Companies!$A:$A)),1)</f>
        <v>2</v>
      </c>
      <c r="B806" s="5">
        <f t="shared" si="145"/>
        <v>805</v>
      </c>
      <c r="C806" s="6">
        <f t="shared" ca="1" si="146"/>
        <v>1</v>
      </c>
      <c r="D806" s="7">
        <f ca="1">IF($B806 = 1 + N("Presidente"),
    127,
    IF($B806 = 2 + N("Vice-Presidente"),
        72,
        IF($B806 = 3 + N("Secretária bilíngue"),
            13,
            RANDBETWEEN(5,COUNT(Name!$A:$A) + 1)
        )
    )
)</f>
        <v>203</v>
      </c>
      <c r="E806" s="7" t="str">
        <f ca="1" xml:space="preserve">
VLOOKUP(
  $D806,
  Name!$A:$B,
  2,
  FALSE
)
&amp; " " &amp;
IF($B806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Juliana Zil Auth</v>
      </c>
      <c r="F806" s="7">
        <v>2</v>
      </c>
      <c r="G806" s="7" cm="1">
        <f t="array" aca="1" ref="G806" ca="1">INDEX(States!$B:$B,RANDBETWEEN(2,COUNTA(States!$A:$A)),1)</f>
        <v>21</v>
      </c>
      <c r="H806" s="7" t="str">
        <f ca="1">VLOOKUP($D806,Name!$A:$C,3,FALSE)</f>
        <v>F</v>
      </c>
      <c r="I806" s="7" cm="1">
        <f t="array" aca="1" ref="I806" ca="1">INDEX('Marital status'!$A:$A,RANDBETWEEN(2,COUNTA('Marital status'!$A:$A)),1)</f>
        <v>6</v>
      </c>
      <c r="J806" s="7">
        <f t="shared" ca="1" si="147"/>
        <v>2</v>
      </c>
      <c r="K806" s="8">
        <f t="shared" ca="1" si="148"/>
        <v>18181</v>
      </c>
      <c r="L806" s="6">
        <f t="shared" ca="1" si="149"/>
        <v>4</v>
      </c>
      <c r="M806" s="7">
        <f ca="1" xml:space="preserve">
  IF(OR($N806 = 2, $N806 = 3, $N806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806" s="6">
        <f t="shared" ca="1" si="150"/>
        <v>6</v>
      </c>
      <c r="O806" s="6" t="e">
        <f t="shared" ca="1" si="151"/>
        <v>#N/A</v>
      </c>
      <c r="P806" s="8">
        <f t="shared" ca="1" si="152"/>
        <v>40761</v>
      </c>
      <c r="Q806" s="6">
        <f ca="1">RANDBETWEEN(2,COUNTA('Recruitment source'!$A:$A))</f>
        <v>11</v>
      </c>
      <c r="R806" s="8" t="e">
        <f t="shared" ca="1" si="153"/>
        <v>#N/A</v>
      </c>
      <c r="S806" s="6" t="e">
        <f t="shared" ca="1" si="154"/>
        <v>#N/A</v>
      </c>
      <c r="T806" s="6">
        <f t="shared" ca="1" si="144"/>
        <v>5</v>
      </c>
      <c r="U806" s="1">
        <f t="shared" ca="1" si="155"/>
        <v>805</v>
      </c>
    </row>
    <row r="807" spans="1:21" x14ac:dyDescent="0.2">
      <c r="A807" s="7" cm="1">
        <f t="array" aca="1" ref="A807" ca="1">INDEX(Companies!$A:$A,RANDBETWEEN(2,COUNTA(Companies!$A:$A)),1)</f>
        <v>2</v>
      </c>
      <c r="B807" s="5">
        <f t="shared" si="145"/>
        <v>806</v>
      </c>
      <c r="C807" s="6">
        <f t="shared" ca="1" si="146"/>
        <v>1</v>
      </c>
      <c r="D807" s="7">
        <f ca="1">IF($B807 = 1 + N("Presidente"),
    127,
    IF($B807 = 2 + N("Vice-Presidente"),
        72,
        IF($B807 = 3 + N("Secretária bilíngue"),
            13,
            RANDBETWEEN(5,COUNT(Name!$A:$A) + 1)
        )
    )
)</f>
        <v>192</v>
      </c>
      <c r="E807" s="7" t="str">
        <f ca="1" xml:space="preserve">
VLOOKUP(
  $D807,
  Name!$A:$B,
  2,
  FALSE
)
&amp; " " &amp;
IF($B807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Pedro Lombardi Silva</v>
      </c>
      <c r="F807" s="7">
        <v>2</v>
      </c>
      <c r="G807" s="7" cm="1">
        <f t="array" aca="1" ref="G807" ca="1">INDEX(States!$B:$B,RANDBETWEEN(2,COUNTA(States!$A:$A)),1)</f>
        <v>17</v>
      </c>
      <c r="H807" s="7" t="str">
        <f ca="1">VLOOKUP($D807,Name!$A:$C,3,FALSE)</f>
        <v>M</v>
      </c>
      <c r="I807" s="7" cm="1">
        <f t="array" aca="1" ref="I807" ca="1">INDEX('Marital status'!$A:$A,RANDBETWEEN(2,COUNTA('Marital status'!$A:$A)),1)</f>
        <v>4</v>
      </c>
      <c r="J807" s="7">
        <f t="shared" ca="1" si="147"/>
        <v>2</v>
      </c>
      <c r="K807" s="8">
        <f t="shared" ca="1" si="148"/>
        <v>37802</v>
      </c>
      <c r="L807" s="6">
        <f t="shared" ca="1" si="149"/>
        <v>5</v>
      </c>
      <c r="M807" s="7">
        <f ca="1" xml:space="preserve">
  IF(OR($N807 = 2, $N807 = 3, $N807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807" s="6">
        <f t="shared" ca="1" si="150"/>
        <v>8</v>
      </c>
      <c r="O807" s="6">
        <f t="shared" ca="1" si="151"/>
        <v>2</v>
      </c>
      <c r="P807" s="8">
        <f t="shared" ca="1" si="152"/>
        <v>44786</v>
      </c>
      <c r="Q807" s="6">
        <f ca="1">RANDBETWEEN(2,COUNTA('Recruitment source'!$A:$A))</f>
        <v>3</v>
      </c>
      <c r="R807" s="8" t="e">
        <f t="shared" ca="1" si="153"/>
        <v>#N/A</v>
      </c>
      <c r="S807" s="6" t="e">
        <f t="shared" ca="1" si="154"/>
        <v>#N/A</v>
      </c>
      <c r="T807" s="6">
        <f t="shared" ca="1" si="144"/>
        <v>4</v>
      </c>
      <c r="U807" s="1">
        <f t="shared" ca="1" si="155"/>
        <v>2100</v>
      </c>
    </row>
    <row r="808" spans="1:21" x14ac:dyDescent="0.2">
      <c r="A808" s="7" cm="1">
        <f t="array" aca="1" ref="A808" ca="1">INDEX(Companies!$A:$A,RANDBETWEEN(2,COUNTA(Companies!$A:$A)),1)</f>
        <v>2</v>
      </c>
      <c r="B808" s="5">
        <f t="shared" si="145"/>
        <v>807</v>
      </c>
      <c r="C808" s="6">
        <f t="shared" ca="1" si="146"/>
        <v>1</v>
      </c>
      <c r="D808" s="7">
        <f ca="1">IF($B808 = 1 + N("Presidente"),
    127,
    IF($B808 = 2 + N("Vice-Presidente"),
        72,
        IF($B808 = 3 + N("Secretária bilíngue"),
            13,
            RANDBETWEEN(5,COUNT(Name!$A:$A) + 1)
        )
    )
)</f>
        <v>284</v>
      </c>
      <c r="E808" s="7" t="str">
        <f ca="1" xml:space="preserve">
VLOOKUP(
  $D808,
  Name!$A:$B,
  2,
  FALSE
)
&amp; " " &amp;
IF($B808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Martim Asvilla Padrão</v>
      </c>
      <c r="F808" s="7">
        <v>2</v>
      </c>
      <c r="G808" s="7" cm="1">
        <f t="array" aca="1" ref="G808" ca="1">INDEX(States!$B:$B,RANDBETWEEN(2,COUNTA(States!$A:$A)),1)</f>
        <v>12</v>
      </c>
      <c r="H808" s="7" t="str">
        <f ca="1">VLOOKUP($D808,Name!$A:$C,3,FALSE)</f>
        <v>M</v>
      </c>
      <c r="I808" s="7" cm="1">
        <f t="array" aca="1" ref="I808" ca="1">INDEX('Marital status'!$A:$A,RANDBETWEEN(2,COUNTA('Marital status'!$A:$A)),1)</f>
        <v>5</v>
      </c>
      <c r="J808" s="7">
        <f t="shared" ca="1" si="147"/>
        <v>2</v>
      </c>
      <c r="K808" s="8">
        <f t="shared" ca="1" si="148"/>
        <v>17836</v>
      </c>
      <c r="L808" s="6">
        <f t="shared" ca="1" si="149"/>
        <v>4</v>
      </c>
      <c r="M808" s="7">
        <f ca="1" xml:space="preserve">
  IF(OR($N808 = 2, $N808 = 3, $N808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808" s="6">
        <f t="shared" ca="1" si="150"/>
        <v>6</v>
      </c>
      <c r="O808" s="6" t="e">
        <f t="shared" ca="1" si="151"/>
        <v>#N/A</v>
      </c>
      <c r="P808" s="8">
        <f t="shared" ca="1" si="152"/>
        <v>39703</v>
      </c>
      <c r="Q808" s="6">
        <f ca="1">RANDBETWEEN(2,COUNTA('Recruitment source'!$A:$A))</f>
        <v>8</v>
      </c>
      <c r="R808" s="8" t="e">
        <f t="shared" ca="1" si="153"/>
        <v>#N/A</v>
      </c>
      <c r="S808" s="6" t="e">
        <f t="shared" ca="1" si="154"/>
        <v>#N/A</v>
      </c>
      <c r="T808" s="6">
        <f t="shared" ca="1" si="144"/>
        <v>3</v>
      </c>
      <c r="U808" s="1">
        <f t="shared" ca="1" si="155"/>
        <v>805</v>
      </c>
    </row>
    <row r="809" spans="1:21" x14ac:dyDescent="0.2">
      <c r="A809" s="7" cm="1">
        <f t="array" aca="1" ref="A809" ca="1">INDEX(Companies!$A:$A,RANDBETWEEN(2,COUNTA(Companies!$A:$A)),1)</f>
        <v>2</v>
      </c>
      <c r="B809" s="5">
        <f t="shared" si="145"/>
        <v>808</v>
      </c>
      <c r="C809" s="6">
        <f t="shared" ca="1" si="146"/>
        <v>1</v>
      </c>
      <c r="D809" s="7">
        <f ca="1">IF($B809 = 1 + N("Presidente"),
    127,
    IF($B809 = 2 + N("Vice-Presidente"),
        72,
        IF($B809 = 3 + N("Secretária bilíngue"),
            13,
            RANDBETWEEN(5,COUNT(Name!$A:$A) + 1)
        )
    )
)</f>
        <v>319</v>
      </c>
      <c r="E809" s="7" t="str">
        <f ca="1" xml:space="preserve">
VLOOKUP(
  $D809,
  Name!$A:$B,
  2,
  FALSE
)
&amp; " " &amp;
IF($B809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Miguel Noronha Brasão</v>
      </c>
      <c r="F809" s="7">
        <v>2</v>
      </c>
      <c r="G809" s="7" cm="1">
        <f t="array" aca="1" ref="G809" ca="1">INDEX(States!$B:$B,RANDBETWEEN(2,COUNTA(States!$A:$A)),1)</f>
        <v>18</v>
      </c>
      <c r="H809" s="7" t="str">
        <f ca="1">VLOOKUP($D809,Name!$A:$C,3,FALSE)</f>
        <v>M</v>
      </c>
      <c r="I809" s="7" cm="1">
        <f t="array" aca="1" ref="I809" ca="1">INDEX('Marital status'!$A:$A,RANDBETWEEN(2,COUNTA('Marital status'!$A:$A)),1)</f>
        <v>3</v>
      </c>
      <c r="J809" s="7">
        <f t="shared" ca="1" si="147"/>
        <v>2</v>
      </c>
      <c r="K809" s="8">
        <f t="shared" ca="1" si="148"/>
        <v>34313</v>
      </c>
      <c r="L809" s="6">
        <f t="shared" ca="1" si="149"/>
        <v>4</v>
      </c>
      <c r="M809" s="7">
        <f ca="1" xml:space="preserve">
  IF(OR($N809 = 2, $N809 = 3, $N809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809" s="6">
        <f t="shared" ca="1" si="150"/>
        <v>8</v>
      </c>
      <c r="O809" s="6">
        <f t="shared" ca="1" si="151"/>
        <v>4</v>
      </c>
      <c r="P809" s="8">
        <f t="shared" ca="1" si="152"/>
        <v>41294</v>
      </c>
      <c r="Q809" s="6">
        <f ca="1">RANDBETWEEN(2,COUNTA('Recruitment source'!$A:$A))</f>
        <v>12</v>
      </c>
      <c r="R809" s="8" t="e">
        <f t="shared" ca="1" si="153"/>
        <v>#N/A</v>
      </c>
      <c r="S809" s="6" t="e">
        <f t="shared" ca="1" si="154"/>
        <v>#N/A</v>
      </c>
      <c r="T809" s="6">
        <f t="shared" ca="1" si="144"/>
        <v>3</v>
      </c>
      <c r="U809" s="1">
        <f t="shared" ca="1" si="155"/>
        <v>2000</v>
      </c>
    </row>
    <row r="810" spans="1:21" x14ac:dyDescent="0.2">
      <c r="A810" s="7" cm="1">
        <f t="array" aca="1" ref="A810" ca="1">INDEX(Companies!$A:$A,RANDBETWEEN(2,COUNTA(Companies!$A:$A)),1)</f>
        <v>2</v>
      </c>
      <c r="B810" s="5">
        <f t="shared" si="145"/>
        <v>809</v>
      </c>
      <c r="C810" s="6">
        <f t="shared" ca="1" si="146"/>
        <v>1</v>
      </c>
      <c r="D810" s="7">
        <f ca="1">IF($B810 = 1 + N("Presidente"),
    127,
    IF($B810 = 2 + N("Vice-Presidente"),
        72,
        IF($B810 = 3 + N("Secretária bilíngue"),
            13,
            RANDBETWEEN(5,COUNT(Name!$A:$A) + 1)
        )
    )
)</f>
        <v>75</v>
      </c>
      <c r="E810" s="7" t="str">
        <f ca="1" xml:space="preserve">
VLOOKUP(
  $D810,
  Name!$A:$B,
  2,
  FALSE
)
&amp; " " &amp;
IF($B810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Breno Rinaldi Barboza</v>
      </c>
      <c r="F810" s="7">
        <v>2</v>
      </c>
      <c r="G810" s="7" cm="1">
        <f t="array" aca="1" ref="G810" ca="1">INDEX(States!$B:$B,RANDBETWEEN(2,COUNTA(States!$A:$A)),1)</f>
        <v>7</v>
      </c>
      <c r="H810" s="7" t="str">
        <f ca="1">VLOOKUP($D810,Name!$A:$C,3,FALSE)</f>
        <v>M</v>
      </c>
      <c r="I810" s="7" cm="1">
        <f t="array" aca="1" ref="I810" ca="1">INDEX('Marital status'!$A:$A,RANDBETWEEN(2,COUNTA('Marital status'!$A:$A)),1)</f>
        <v>4</v>
      </c>
      <c r="J810" s="7">
        <f t="shared" ca="1" si="147"/>
        <v>2</v>
      </c>
      <c r="K810" s="8">
        <f t="shared" ca="1" si="148"/>
        <v>31555</v>
      </c>
      <c r="L810" s="6">
        <f t="shared" ca="1" si="149"/>
        <v>4</v>
      </c>
      <c r="M810" s="7">
        <f ca="1" xml:space="preserve">
  IF(OR($N810 = 2, $N810 = 3, $N810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810" s="6">
        <f t="shared" ca="1" si="150"/>
        <v>7</v>
      </c>
      <c r="O810" s="6" t="e">
        <f t="shared" ca="1" si="151"/>
        <v>#N/A</v>
      </c>
      <c r="P810" s="8">
        <f t="shared" ca="1" si="152"/>
        <v>43764</v>
      </c>
      <c r="Q810" s="6">
        <f ca="1">RANDBETWEEN(2,COUNTA('Recruitment source'!$A:$A))</f>
        <v>9</v>
      </c>
      <c r="R810" s="8" t="e">
        <f t="shared" ca="1" si="153"/>
        <v>#N/A</v>
      </c>
      <c r="S810" s="6" t="e">
        <f t="shared" ca="1" si="154"/>
        <v>#N/A</v>
      </c>
      <c r="T810" s="6">
        <f t="shared" ca="1" si="144"/>
        <v>5</v>
      </c>
      <c r="U810" s="1">
        <f t="shared" ca="1" si="155"/>
        <v>1005</v>
      </c>
    </row>
    <row r="811" spans="1:21" x14ac:dyDescent="0.2">
      <c r="A811" s="7" cm="1">
        <f t="array" aca="1" ref="A811" ca="1">INDEX(Companies!$A:$A,RANDBETWEEN(2,COUNTA(Companies!$A:$A)),1)</f>
        <v>2</v>
      </c>
      <c r="B811" s="5">
        <f t="shared" si="145"/>
        <v>810</v>
      </c>
      <c r="C811" s="6">
        <f t="shared" ca="1" si="146"/>
        <v>1</v>
      </c>
      <c r="D811" s="7">
        <f ca="1">IF($B811 = 1 + N("Presidente"),
    127,
    IF($B811 = 2 + N("Vice-Presidente"),
        72,
        IF($B811 = 3 + N("Secretária bilíngue"),
            13,
            RANDBETWEEN(5,COUNT(Name!$A:$A) + 1)
        )
    )
)</f>
        <v>258</v>
      </c>
      <c r="E811" s="7" t="str">
        <f ca="1" xml:space="preserve">
VLOOKUP(
  $D811,
  Name!$A:$B,
  2,
  FALSE
)
&amp; " " &amp;
IF($B811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Alice Azeredo Oliveira</v>
      </c>
      <c r="F811" s="7">
        <v>2</v>
      </c>
      <c r="G811" s="7" cm="1">
        <f t="array" aca="1" ref="G811" ca="1">INDEX(States!$B:$B,RANDBETWEEN(2,COUNTA(States!$A:$A)),1)</f>
        <v>8</v>
      </c>
      <c r="H811" s="7" t="str">
        <f ca="1">VLOOKUP($D811,Name!$A:$C,3,FALSE)</f>
        <v>F</v>
      </c>
      <c r="I811" s="7" cm="1">
        <f t="array" aca="1" ref="I811" ca="1">INDEX('Marital status'!$A:$A,RANDBETWEEN(2,COUNTA('Marital status'!$A:$A)),1)</f>
        <v>5</v>
      </c>
      <c r="J811" s="7">
        <f t="shared" ca="1" si="147"/>
        <v>2</v>
      </c>
      <c r="K811" s="8">
        <f t="shared" ca="1" si="148"/>
        <v>35448</v>
      </c>
      <c r="L811" s="6">
        <f t="shared" ca="1" si="149"/>
        <v>5</v>
      </c>
      <c r="M811" s="7">
        <f ca="1" xml:space="preserve">
  IF(OR($N811 = 2, $N811 = 3, $N811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811" s="6">
        <f t="shared" ca="1" si="150"/>
        <v>8</v>
      </c>
      <c r="O811" s="6">
        <f t="shared" ca="1" si="151"/>
        <v>4</v>
      </c>
      <c r="P811" s="8">
        <f t="shared" ca="1" si="152"/>
        <v>38070</v>
      </c>
      <c r="Q811" s="6">
        <f ca="1">RANDBETWEEN(2,COUNTA('Recruitment source'!$A:$A))</f>
        <v>5</v>
      </c>
      <c r="R811" s="8" t="e">
        <f t="shared" ca="1" si="153"/>
        <v>#N/A</v>
      </c>
      <c r="S811" s="6" t="e">
        <f t="shared" ca="1" si="154"/>
        <v>#N/A</v>
      </c>
      <c r="T811" s="6">
        <f t="shared" ca="1" si="144"/>
        <v>2</v>
      </c>
      <c r="U811" s="1">
        <f t="shared" ca="1" si="155"/>
        <v>2000</v>
      </c>
    </row>
    <row r="812" spans="1:21" x14ac:dyDescent="0.2">
      <c r="A812" s="7" cm="1">
        <f t="array" aca="1" ref="A812" ca="1">INDEX(Companies!$A:$A,RANDBETWEEN(2,COUNTA(Companies!$A:$A)),1)</f>
        <v>2</v>
      </c>
      <c r="B812" s="5">
        <f t="shared" si="145"/>
        <v>811</v>
      </c>
      <c r="C812" s="6">
        <f t="shared" ca="1" si="146"/>
        <v>1</v>
      </c>
      <c r="D812" s="7">
        <f ca="1">IF($B812 = 1 + N("Presidente"),
    127,
    IF($B812 = 2 + N("Vice-Presidente"),
        72,
        IF($B812 = 3 + N("Secretária bilíngue"),
            13,
            RANDBETWEEN(5,COUNT(Name!$A:$A) + 1)
        )
    )
)</f>
        <v>5</v>
      </c>
      <c r="E812" s="7" t="str">
        <f ca="1" xml:space="preserve">
VLOOKUP(
  $D812,
  Name!$A:$B,
  2,
  FALSE
)
&amp; " " &amp;
IF($B812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Abel Gomes Faro</v>
      </c>
      <c r="F812" s="7">
        <v>2</v>
      </c>
      <c r="G812" s="7" cm="1">
        <f t="array" aca="1" ref="G812" ca="1">INDEX(States!$B:$B,RANDBETWEEN(2,COUNTA(States!$A:$A)),1)</f>
        <v>20</v>
      </c>
      <c r="H812" s="7" t="str">
        <f ca="1">VLOOKUP($D812,Name!$A:$C,3,FALSE)</f>
        <v>M</v>
      </c>
      <c r="I812" s="7" cm="1">
        <f t="array" aca="1" ref="I812" ca="1">INDEX('Marital status'!$A:$A,RANDBETWEEN(2,COUNTA('Marital status'!$A:$A)),1)</f>
        <v>6</v>
      </c>
      <c r="J812" s="7">
        <f t="shared" ca="1" si="147"/>
        <v>3</v>
      </c>
      <c r="K812" s="8">
        <f t="shared" ca="1" si="148"/>
        <v>33675</v>
      </c>
      <c r="L812" s="6">
        <f t="shared" ca="1" si="149"/>
        <v>4</v>
      </c>
      <c r="M812" s="7">
        <f ca="1" xml:space="preserve">
  IF(OR($N812 = 2, $N812 = 3, $N812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812" s="6">
        <f t="shared" ca="1" si="150"/>
        <v>7</v>
      </c>
      <c r="O812" s="6" t="e">
        <f t="shared" ca="1" si="151"/>
        <v>#N/A</v>
      </c>
      <c r="P812" s="8">
        <f t="shared" ca="1" si="152"/>
        <v>44315</v>
      </c>
      <c r="Q812" s="6">
        <f ca="1">RANDBETWEEN(2,COUNTA('Recruitment source'!$A:$A))</f>
        <v>8</v>
      </c>
      <c r="R812" s="8" t="e">
        <f t="shared" ca="1" si="153"/>
        <v>#N/A</v>
      </c>
      <c r="S812" s="6" t="e">
        <f t="shared" ca="1" si="154"/>
        <v>#N/A</v>
      </c>
      <c r="T812" s="6">
        <f t="shared" ca="1" si="144"/>
        <v>2</v>
      </c>
      <c r="U812" s="1">
        <f t="shared" ca="1" si="155"/>
        <v>1005</v>
      </c>
    </row>
    <row r="813" spans="1:21" x14ac:dyDescent="0.2">
      <c r="A813" s="7" cm="1">
        <f t="array" aca="1" ref="A813" ca="1">INDEX(Companies!$A:$A,RANDBETWEEN(2,COUNTA(Companies!$A:$A)),1)</f>
        <v>2</v>
      </c>
      <c r="B813" s="5">
        <f t="shared" si="145"/>
        <v>812</v>
      </c>
      <c r="C813" s="6">
        <f t="shared" ca="1" si="146"/>
        <v>1</v>
      </c>
      <c r="D813" s="7">
        <f ca="1">IF($B813 = 1 + N("Presidente"),
    127,
    IF($B813 = 2 + N("Vice-Presidente"),
        72,
        IF($B813 = 3 + N("Secretária bilíngue"),
            13,
            RANDBETWEEN(5,COUNT(Name!$A:$A) + 1)
        )
    )
)</f>
        <v>362</v>
      </c>
      <c r="E813" s="7" t="str">
        <f ca="1" xml:space="preserve">
VLOOKUP(
  $D813,
  Name!$A:$B,
  2,
  FALSE
)
&amp; " " &amp;
IF($B813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Wilian Martinelli Alcantara</v>
      </c>
      <c r="F813" s="7">
        <v>2</v>
      </c>
      <c r="G813" s="7" cm="1">
        <f t="array" aca="1" ref="G813" ca="1">INDEX(States!$B:$B,RANDBETWEEN(2,COUNTA(States!$A:$A)),1)</f>
        <v>17</v>
      </c>
      <c r="H813" s="7" t="str">
        <f ca="1">VLOOKUP($D813,Name!$A:$C,3,FALSE)</f>
        <v>M</v>
      </c>
      <c r="I813" s="7" cm="1">
        <f t="array" aca="1" ref="I813" ca="1">INDEX('Marital status'!$A:$A,RANDBETWEEN(2,COUNTA('Marital status'!$A:$A)),1)</f>
        <v>3</v>
      </c>
      <c r="J813" s="7">
        <f t="shared" ca="1" si="147"/>
        <v>2</v>
      </c>
      <c r="K813" s="8">
        <f t="shared" ca="1" si="148"/>
        <v>32671</v>
      </c>
      <c r="L813" s="6">
        <f t="shared" ca="1" si="149"/>
        <v>4</v>
      </c>
      <c r="M813" s="7">
        <f ca="1" xml:space="preserve">
  IF(OR($N813 = 2, $N813 = 3, $N813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813" s="6">
        <f t="shared" ca="1" si="150"/>
        <v>8</v>
      </c>
      <c r="O813" s="6">
        <f t="shared" ca="1" si="151"/>
        <v>2</v>
      </c>
      <c r="P813" s="8">
        <f t="shared" ca="1" si="152"/>
        <v>41781</v>
      </c>
      <c r="Q813" s="6">
        <f ca="1">RANDBETWEEN(2,COUNTA('Recruitment source'!$A:$A))</f>
        <v>8</v>
      </c>
      <c r="R813" s="8" t="e">
        <f t="shared" ca="1" si="153"/>
        <v>#N/A</v>
      </c>
      <c r="S813" s="6" t="e">
        <f t="shared" ca="1" si="154"/>
        <v>#N/A</v>
      </c>
      <c r="T813" s="6">
        <f t="shared" ca="1" si="144"/>
        <v>4</v>
      </c>
      <c r="U813" s="1">
        <f t="shared" ca="1" si="155"/>
        <v>2000</v>
      </c>
    </row>
    <row r="814" spans="1:21" x14ac:dyDescent="0.2">
      <c r="A814" s="7" cm="1">
        <f t="array" aca="1" ref="A814" ca="1">INDEX(Companies!$A:$A,RANDBETWEEN(2,COUNTA(Companies!$A:$A)),1)</f>
        <v>2</v>
      </c>
      <c r="B814" s="5">
        <f t="shared" si="145"/>
        <v>813</v>
      </c>
      <c r="C814" s="6">
        <f t="shared" ca="1" si="146"/>
        <v>1</v>
      </c>
      <c r="D814" s="7">
        <f ca="1">IF($B814 = 1 + N("Presidente"),
    127,
    IF($B814 = 2 + N("Vice-Presidente"),
        72,
        IF($B814 = 3 + N("Secretária bilíngue"),
            13,
            RANDBETWEEN(5,COUNT(Name!$A:$A) + 1)
        )
    )
)</f>
        <v>230</v>
      </c>
      <c r="E814" s="7" t="str">
        <f ca="1" xml:space="preserve">
VLOOKUP(
  $D814,
  Name!$A:$B,
  2,
  FALSE
)
&amp; " " &amp;
IF($B814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Lorena Barboza Barreto</v>
      </c>
      <c r="F814" s="7">
        <v>2</v>
      </c>
      <c r="G814" s="7" cm="1">
        <f t="array" aca="1" ref="G814" ca="1">INDEX(States!$B:$B,RANDBETWEEN(2,COUNTA(States!$A:$A)),1)</f>
        <v>2</v>
      </c>
      <c r="H814" s="7" t="str">
        <f ca="1">VLOOKUP($D814,Name!$A:$C,3,FALSE)</f>
        <v>F</v>
      </c>
      <c r="I814" s="7" cm="1">
        <f t="array" aca="1" ref="I814" ca="1">INDEX('Marital status'!$A:$A,RANDBETWEEN(2,COUNTA('Marital status'!$A:$A)),1)</f>
        <v>3</v>
      </c>
      <c r="J814" s="7">
        <f t="shared" ca="1" si="147"/>
        <v>4</v>
      </c>
      <c r="K814" s="8">
        <f t="shared" ca="1" si="148"/>
        <v>32689</v>
      </c>
      <c r="L814" s="6">
        <f t="shared" ca="1" si="149"/>
        <v>4</v>
      </c>
      <c r="M814" s="7">
        <f ca="1" xml:space="preserve">
  IF(OR($N814 = 2, $N814 = 3, $N814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814" s="6">
        <f t="shared" ca="1" si="150"/>
        <v>7</v>
      </c>
      <c r="O814" s="6" t="e">
        <f t="shared" ca="1" si="151"/>
        <v>#N/A</v>
      </c>
      <c r="P814" s="8">
        <f t="shared" ca="1" si="152"/>
        <v>43071</v>
      </c>
      <c r="Q814" s="6">
        <f ca="1">RANDBETWEEN(2,COUNTA('Recruitment source'!$A:$A))</f>
        <v>7</v>
      </c>
      <c r="R814" s="8" t="e">
        <f t="shared" ca="1" si="153"/>
        <v>#N/A</v>
      </c>
      <c r="S814" s="6" t="e">
        <f t="shared" ca="1" si="154"/>
        <v>#N/A</v>
      </c>
      <c r="T814" s="6">
        <f t="shared" ca="1" si="144"/>
        <v>3</v>
      </c>
      <c r="U814" s="1">
        <f t="shared" ca="1" si="155"/>
        <v>1085</v>
      </c>
    </row>
    <row r="815" spans="1:21" x14ac:dyDescent="0.2">
      <c r="A815" s="7" cm="1">
        <f t="array" aca="1" ref="A815" ca="1">INDEX(Companies!$A:$A,RANDBETWEEN(2,COUNTA(Companies!$A:$A)),1)</f>
        <v>2</v>
      </c>
      <c r="B815" s="5">
        <f t="shared" si="145"/>
        <v>814</v>
      </c>
      <c r="C815" s="6">
        <f t="shared" ca="1" si="146"/>
        <v>1</v>
      </c>
      <c r="D815" s="7">
        <f ca="1">IF($B815 = 1 + N("Presidente"),
    127,
    IF($B815 = 2 + N("Vice-Presidente"),
        72,
        IF($B815 = 3 + N("Secretária bilíngue"),
            13,
            RANDBETWEEN(5,COUNT(Name!$A:$A) + 1)
        )
    )
)</f>
        <v>51</v>
      </c>
      <c r="E815" s="7" t="str">
        <f ca="1" xml:space="preserve">
VLOOKUP(
  $D815,
  Name!$A:$B,
  2,
  FALSE
)
&amp; " " &amp;
IF($B815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Antônia Zil Trindade</v>
      </c>
      <c r="F815" s="7">
        <v>2</v>
      </c>
      <c r="G815" s="7" cm="1">
        <f t="array" aca="1" ref="G815" ca="1">INDEX(States!$B:$B,RANDBETWEEN(2,COUNTA(States!$A:$A)),1)</f>
        <v>11</v>
      </c>
      <c r="H815" s="7" t="str">
        <f ca="1">VLOOKUP($D815,Name!$A:$C,3,FALSE)</f>
        <v>F</v>
      </c>
      <c r="I815" s="7" cm="1">
        <f t="array" aca="1" ref="I815" ca="1">INDEX('Marital status'!$A:$A,RANDBETWEEN(2,COUNTA('Marital status'!$A:$A)),1)</f>
        <v>3</v>
      </c>
      <c r="J815" s="7">
        <f t="shared" ca="1" si="147"/>
        <v>2</v>
      </c>
      <c r="K815" s="8">
        <f t="shared" ca="1" si="148"/>
        <v>33829</v>
      </c>
      <c r="L815" s="6">
        <f t="shared" ca="1" si="149"/>
        <v>5</v>
      </c>
      <c r="M815" s="7">
        <f ca="1" xml:space="preserve">
  IF(OR($N815 = 2, $N815 = 3, $N815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815" s="6">
        <f t="shared" ca="1" si="150"/>
        <v>8</v>
      </c>
      <c r="O815" s="6">
        <f t="shared" ca="1" si="151"/>
        <v>4</v>
      </c>
      <c r="P815" s="8">
        <f t="shared" ca="1" si="152"/>
        <v>37240</v>
      </c>
      <c r="Q815" s="6">
        <f ca="1">RANDBETWEEN(2,COUNTA('Recruitment source'!$A:$A))</f>
        <v>10</v>
      </c>
      <c r="R815" s="8" t="e">
        <f t="shared" ca="1" si="153"/>
        <v>#N/A</v>
      </c>
      <c r="S815" s="6" t="e">
        <f t="shared" ca="1" si="154"/>
        <v>#N/A</v>
      </c>
      <c r="T815" s="6">
        <f t="shared" ca="1" si="144"/>
        <v>5</v>
      </c>
      <c r="U815" s="1">
        <f t="shared" ca="1" si="155"/>
        <v>2000</v>
      </c>
    </row>
    <row r="816" spans="1:21" x14ac:dyDescent="0.2">
      <c r="A816" s="7" cm="1">
        <f t="array" aca="1" ref="A816" ca="1">INDEX(Companies!$A:$A,RANDBETWEEN(2,COUNTA(Companies!$A:$A)),1)</f>
        <v>2</v>
      </c>
      <c r="B816" s="5">
        <f t="shared" si="145"/>
        <v>815</v>
      </c>
      <c r="C816" s="6">
        <f t="shared" ca="1" si="146"/>
        <v>1</v>
      </c>
      <c r="D816" s="7">
        <f ca="1">IF($B816 = 1 + N("Presidente"),
    127,
    IF($B816 = 2 + N("Vice-Presidente"),
        72,
        IF($B816 = 3 + N("Secretária bilíngue"),
            13,
            RANDBETWEEN(5,COUNT(Name!$A:$A) + 1)
        )
    )
)</f>
        <v>276</v>
      </c>
      <c r="E816" s="7" t="str">
        <f ca="1" xml:space="preserve">
VLOOKUP(
  $D816,
  Name!$A:$B,
  2,
  FALSE
)
&amp; " " &amp;
IF($B816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Mariah Badu Rizzo</v>
      </c>
      <c r="F816" s="7">
        <v>2</v>
      </c>
      <c r="G816" s="7" cm="1">
        <f t="array" aca="1" ref="G816" ca="1">INDEX(States!$B:$B,RANDBETWEEN(2,COUNTA(States!$A:$A)),1)</f>
        <v>6</v>
      </c>
      <c r="H816" s="7" t="str">
        <f ca="1">VLOOKUP($D816,Name!$A:$C,3,FALSE)</f>
        <v>F</v>
      </c>
      <c r="I816" s="7" cm="1">
        <f t="array" aca="1" ref="I816" ca="1">INDEX('Marital status'!$A:$A,RANDBETWEEN(2,COUNTA('Marital status'!$A:$A)),1)</f>
        <v>4</v>
      </c>
      <c r="J816" s="7">
        <f t="shared" ca="1" si="147"/>
        <v>2</v>
      </c>
      <c r="K816" s="8">
        <f t="shared" ca="1" si="148"/>
        <v>33455</v>
      </c>
      <c r="L816" s="6">
        <f t="shared" ca="1" si="149"/>
        <v>4</v>
      </c>
      <c r="M816" s="7">
        <f ca="1" xml:space="preserve">
  IF(OR($N816 = 2, $N816 = 3, $N816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816" s="6">
        <f t="shared" ca="1" si="150"/>
        <v>6</v>
      </c>
      <c r="O816" s="6" t="e">
        <f t="shared" ca="1" si="151"/>
        <v>#N/A</v>
      </c>
      <c r="P816" s="8">
        <f t="shared" ca="1" si="152"/>
        <v>44500</v>
      </c>
      <c r="Q816" s="6">
        <f ca="1">RANDBETWEEN(2,COUNTA('Recruitment source'!$A:$A))</f>
        <v>2</v>
      </c>
      <c r="R816" s="8" t="e">
        <f t="shared" ca="1" si="153"/>
        <v>#N/A</v>
      </c>
      <c r="S816" s="6" t="e">
        <f t="shared" ca="1" si="154"/>
        <v>#N/A</v>
      </c>
      <c r="T816" s="6">
        <f t="shared" ca="1" si="144"/>
        <v>4</v>
      </c>
      <c r="U816" s="1">
        <f t="shared" ca="1" si="155"/>
        <v>805</v>
      </c>
    </row>
    <row r="817" spans="1:21" x14ac:dyDescent="0.2">
      <c r="A817" s="7" cm="1">
        <f t="array" aca="1" ref="A817" ca="1">INDEX(Companies!$A:$A,RANDBETWEEN(2,COUNTA(Companies!$A:$A)),1)</f>
        <v>2</v>
      </c>
      <c r="B817" s="5">
        <f t="shared" si="145"/>
        <v>816</v>
      </c>
      <c r="C817" s="6">
        <f t="shared" ca="1" si="146"/>
        <v>1</v>
      </c>
      <c r="D817" s="7">
        <f ca="1">IF($B817 = 1 + N("Presidente"),
    127,
    IF($B817 = 2 + N("Vice-Presidente"),
        72,
        IF($B817 = 3 + N("Secretária bilíngue"),
            13,
            RANDBETWEEN(5,COUNT(Name!$A:$A) + 1)
        )
    )
)</f>
        <v>112</v>
      </c>
      <c r="E817" s="7" t="str">
        <f ca="1" xml:space="preserve">
VLOOKUP(
  $D817,
  Name!$A:$B,
  2,
  FALSE
)
&amp; " " &amp;
IF($B817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Deborah Gonçalves Silva</v>
      </c>
      <c r="F817" s="7">
        <v>2</v>
      </c>
      <c r="G817" s="7" cm="1">
        <f t="array" aca="1" ref="G817" ca="1">INDEX(States!$B:$B,RANDBETWEEN(2,COUNTA(States!$A:$A)),1)</f>
        <v>3</v>
      </c>
      <c r="H817" s="7" t="str">
        <f ca="1">VLOOKUP($D817,Name!$A:$C,3,FALSE)</f>
        <v>F</v>
      </c>
      <c r="I817" s="7" cm="1">
        <f t="array" aca="1" ref="I817" ca="1">INDEX('Marital status'!$A:$A,RANDBETWEEN(2,COUNTA('Marital status'!$A:$A)),1)</f>
        <v>3</v>
      </c>
      <c r="J817" s="7">
        <f t="shared" ca="1" si="147"/>
        <v>5</v>
      </c>
      <c r="K817" s="8">
        <f t="shared" ca="1" si="148"/>
        <v>38047</v>
      </c>
      <c r="L817" s="6">
        <f t="shared" ca="1" si="149"/>
        <v>4</v>
      </c>
      <c r="M817" s="7">
        <f ca="1" xml:space="preserve">
  IF(OR($N817 = 2, $N817 = 3, $N817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817" s="6">
        <f t="shared" ca="1" si="150"/>
        <v>8</v>
      </c>
      <c r="O817" s="6">
        <f t="shared" ca="1" si="151"/>
        <v>4</v>
      </c>
      <c r="P817" s="8">
        <f t="shared" ca="1" si="152"/>
        <v>44838</v>
      </c>
      <c r="Q817" s="6">
        <f ca="1">RANDBETWEEN(2,COUNTA('Recruitment source'!$A:$A))</f>
        <v>5</v>
      </c>
      <c r="R817" s="8" t="e">
        <f t="shared" ca="1" si="153"/>
        <v>#N/A</v>
      </c>
      <c r="S817" s="6" t="e">
        <f t="shared" ca="1" si="154"/>
        <v>#N/A</v>
      </c>
      <c r="T817" s="6">
        <f t="shared" ca="1" si="144"/>
        <v>3</v>
      </c>
      <c r="U817" s="1">
        <f t="shared" ca="1" si="155"/>
        <v>2000</v>
      </c>
    </row>
    <row r="818" spans="1:21" x14ac:dyDescent="0.2">
      <c r="A818" s="7" cm="1">
        <f t="array" aca="1" ref="A818" ca="1">INDEX(Companies!$A:$A,RANDBETWEEN(2,COUNTA(Companies!$A:$A)),1)</f>
        <v>2</v>
      </c>
      <c r="B818" s="5">
        <f t="shared" si="145"/>
        <v>817</v>
      </c>
      <c r="C818" s="6">
        <f t="shared" ca="1" si="146"/>
        <v>1</v>
      </c>
      <c r="D818" s="7">
        <f ca="1">IF($B818 = 1 + N("Presidente"),
    127,
    IF($B818 = 2 + N("Vice-Presidente"),
        72,
        IF($B818 = 3 + N("Secretária bilíngue"),
            13,
            RANDBETWEEN(5,COUNT(Name!$A:$A) + 1)
        )
    )
)</f>
        <v>265</v>
      </c>
      <c r="E818" s="7" t="str">
        <f ca="1" xml:space="preserve">
VLOOKUP(
  $D818,
  Name!$A:$B,
  2,
  FALSE
)
&amp; " " &amp;
IF($B818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Glória Russo Barreto</v>
      </c>
      <c r="F818" s="7">
        <v>2</v>
      </c>
      <c r="G818" s="7" cm="1">
        <f t="array" aca="1" ref="G818" ca="1">INDEX(States!$B:$B,RANDBETWEEN(2,COUNTA(States!$A:$A)),1)</f>
        <v>19</v>
      </c>
      <c r="H818" s="7" t="str">
        <f ca="1">VLOOKUP($D818,Name!$A:$C,3,FALSE)</f>
        <v>F</v>
      </c>
      <c r="I818" s="7" cm="1">
        <f t="array" aca="1" ref="I818" ca="1">INDEX('Marital status'!$A:$A,RANDBETWEEN(2,COUNTA('Marital status'!$A:$A)),1)</f>
        <v>6</v>
      </c>
      <c r="J818" s="7">
        <f t="shared" ca="1" si="147"/>
        <v>2</v>
      </c>
      <c r="K818" s="8">
        <f t="shared" ca="1" si="148"/>
        <v>32344</v>
      </c>
      <c r="L818" s="6">
        <f t="shared" ca="1" si="149"/>
        <v>4</v>
      </c>
      <c r="M818" s="7">
        <f ca="1" xml:space="preserve">
  IF(OR($N818 = 2, $N818 = 3, $N818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818" s="6">
        <f t="shared" ca="1" si="150"/>
        <v>6</v>
      </c>
      <c r="O818" s="6" t="e">
        <f t="shared" ca="1" si="151"/>
        <v>#N/A</v>
      </c>
      <c r="P818" s="8">
        <f t="shared" ca="1" si="152"/>
        <v>39872</v>
      </c>
      <c r="Q818" s="6">
        <f ca="1">RANDBETWEEN(2,COUNTA('Recruitment source'!$A:$A))</f>
        <v>8</v>
      </c>
      <c r="R818" s="8" t="e">
        <f t="shared" ca="1" si="153"/>
        <v>#N/A</v>
      </c>
      <c r="S818" s="6" t="e">
        <f t="shared" ca="1" si="154"/>
        <v>#N/A</v>
      </c>
      <c r="T818" s="6">
        <f t="shared" ca="1" si="144"/>
        <v>2</v>
      </c>
      <c r="U818" s="1">
        <f t="shared" ca="1" si="155"/>
        <v>885</v>
      </c>
    </row>
    <row r="819" spans="1:21" x14ac:dyDescent="0.2">
      <c r="A819" s="7" cm="1">
        <f t="array" aca="1" ref="A819" ca="1">INDEX(Companies!$A:$A,RANDBETWEEN(2,COUNTA(Companies!$A:$A)),1)</f>
        <v>2</v>
      </c>
      <c r="B819" s="5">
        <f t="shared" si="145"/>
        <v>818</v>
      </c>
      <c r="C819" s="6">
        <f t="shared" ca="1" si="146"/>
        <v>1</v>
      </c>
      <c r="D819" s="7">
        <f ca="1">IF($B819 = 1 + N("Presidente"),
    127,
    IF($B819 = 2 + N("Vice-Presidente"),
        72,
        IF($B819 = 3 + N("Secretária bilíngue"),
            13,
            RANDBETWEEN(5,COUNT(Name!$A:$A) + 1)
        )
    )
)</f>
        <v>137</v>
      </c>
      <c r="E819" s="7" t="str">
        <f ca="1" xml:space="preserve">
VLOOKUP(
  $D819,
  Name!$A:$B,
  2,
  FALSE
)
&amp; " " &amp;
IF($B819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Fernanda Brasil Madureira</v>
      </c>
      <c r="F819" s="7">
        <v>2</v>
      </c>
      <c r="G819" s="7" cm="1">
        <f t="array" aca="1" ref="G819" ca="1">INDEX(States!$B:$B,RANDBETWEEN(2,COUNTA(States!$A:$A)),1)</f>
        <v>7</v>
      </c>
      <c r="H819" s="7" t="str">
        <f ca="1">VLOOKUP($D819,Name!$A:$C,3,FALSE)</f>
        <v>F</v>
      </c>
      <c r="I819" s="7" cm="1">
        <f t="array" aca="1" ref="I819" ca="1">INDEX('Marital status'!$A:$A,RANDBETWEEN(2,COUNTA('Marital status'!$A:$A)),1)</f>
        <v>2</v>
      </c>
      <c r="J819" s="7">
        <f t="shared" ca="1" si="147"/>
        <v>3</v>
      </c>
      <c r="K819" s="8">
        <f t="shared" ca="1" si="148"/>
        <v>37710</v>
      </c>
      <c r="L819" s="6">
        <f t="shared" ca="1" si="149"/>
        <v>4</v>
      </c>
      <c r="M819" s="7">
        <f ca="1" xml:space="preserve">
  IF(OR($N819 = 2, $N819 = 3, $N819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819" s="6">
        <f t="shared" ca="1" si="150"/>
        <v>8</v>
      </c>
      <c r="O819" s="6">
        <f t="shared" ca="1" si="151"/>
        <v>2</v>
      </c>
      <c r="P819" s="8">
        <f t="shared" ca="1" si="152"/>
        <v>39876</v>
      </c>
      <c r="Q819" s="6">
        <f ca="1">RANDBETWEEN(2,COUNTA('Recruitment source'!$A:$A))</f>
        <v>11</v>
      </c>
      <c r="R819" s="8" t="e">
        <f t="shared" ca="1" si="153"/>
        <v>#N/A</v>
      </c>
      <c r="S819" s="6" t="e">
        <f t="shared" ca="1" si="154"/>
        <v>#N/A</v>
      </c>
      <c r="T819" s="6">
        <f t="shared" ca="1" si="144"/>
        <v>5</v>
      </c>
      <c r="U819" s="1">
        <f t="shared" ca="1" si="155"/>
        <v>2080</v>
      </c>
    </row>
    <row r="820" spans="1:21" x14ac:dyDescent="0.2">
      <c r="A820" s="7" cm="1">
        <f t="array" aca="1" ref="A820" ca="1">INDEX(Companies!$A:$A,RANDBETWEEN(2,COUNTA(Companies!$A:$A)),1)</f>
        <v>2</v>
      </c>
      <c r="B820" s="5">
        <f t="shared" si="145"/>
        <v>819</v>
      </c>
      <c r="C820" s="6">
        <f t="shared" ca="1" si="146"/>
        <v>1</v>
      </c>
      <c r="D820" s="7">
        <f ca="1">IF($B820 = 1 + N("Presidente"),
    127,
    IF($B820 = 2 + N("Vice-Presidente"),
        72,
        IF($B820 = 3 + N("Secretária bilíngue"),
            13,
            RANDBETWEEN(5,COUNT(Name!$A:$A) + 1)
        )
    )
)</f>
        <v>27</v>
      </c>
      <c r="E820" s="7" t="str">
        <f ca="1" xml:space="preserve">
VLOOKUP(
  $D820,
  Name!$A:$B,
  2,
  FALSE
)
&amp; " " &amp;
IF($B820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Carolina Badu Colombo</v>
      </c>
      <c r="F820" s="7">
        <v>2</v>
      </c>
      <c r="G820" s="7" cm="1">
        <f t="array" aca="1" ref="G820" ca="1">INDEX(States!$B:$B,RANDBETWEEN(2,COUNTA(States!$A:$A)),1)</f>
        <v>11</v>
      </c>
      <c r="H820" s="7" t="str">
        <f ca="1">VLOOKUP($D820,Name!$A:$C,3,FALSE)</f>
        <v>F</v>
      </c>
      <c r="I820" s="7" cm="1">
        <f t="array" aca="1" ref="I820" ca="1">INDEX('Marital status'!$A:$A,RANDBETWEEN(2,COUNTA('Marital status'!$A:$A)),1)</f>
        <v>5</v>
      </c>
      <c r="J820" s="7">
        <f t="shared" ca="1" si="147"/>
        <v>2</v>
      </c>
      <c r="K820" s="8">
        <f t="shared" ca="1" si="148"/>
        <v>29442</v>
      </c>
      <c r="L820" s="6">
        <f t="shared" ca="1" si="149"/>
        <v>4</v>
      </c>
      <c r="M820" s="7">
        <f ca="1" xml:space="preserve">
  IF(OR($N820 = 2, $N820 = 3, $N820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820" s="6">
        <f t="shared" ca="1" si="150"/>
        <v>7</v>
      </c>
      <c r="O820" s="6" t="e">
        <f t="shared" ca="1" si="151"/>
        <v>#N/A</v>
      </c>
      <c r="P820" s="8">
        <f t="shared" ca="1" si="152"/>
        <v>39881</v>
      </c>
      <c r="Q820" s="6">
        <f ca="1">RANDBETWEEN(2,COUNTA('Recruitment source'!$A:$A))</f>
        <v>11</v>
      </c>
      <c r="R820" s="8" t="e">
        <f t="shared" ca="1" si="153"/>
        <v>#N/A</v>
      </c>
      <c r="S820" s="6" t="e">
        <f t="shared" ca="1" si="154"/>
        <v>#N/A</v>
      </c>
      <c r="T820" s="6">
        <f t="shared" ca="1" si="144"/>
        <v>4</v>
      </c>
      <c r="U820" s="1">
        <f t="shared" ca="1" si="155"/>
        <v>1005</v>
      </c>
    </row>
    <row r="821" spans="1:21" x14ac:dyDescent="0.2">
      <c r="A821" s="7" cm="1">
        <f t="array" aca="1" ref="A821" ca="1">INDEX(Companies!$A:$A,RANDBETWEEN(2,COUNTA(Companies!$A:$A)),1)</f>
        <v>2</v>
      </c>
      <c r="B821" s="5">
        <f t="shared" si="145"/>
        <v>820</v>
      </c>
      <c r="C821" s="6">
        <f t="shared" ca="1" si="146"/>
        <v>1</v>
      </c>
      <c r="D821" s="7">
        <f ca="1">IF($B821 = 1 + N("Presidente"),
    127,
    IF($B821 = 2 + N("Vice-Presidente"),
        72,
        IF($B821 = 3 + N("Secretária bilíngue"),
            13,
            RANDBETWEEN(5,COUNT(Name!$A:$A) + 1)
        )
    )
)</f>
        <v>96</v>
      </c>
      <c r="E821" s="7" t="str">
        <f ca="1" xml:space="preserve">
VLOOKUP(
  $D821,
  Name!$A:$B,
  2,
  FALSE
)
&amp; " " &amp;
IF($B821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Clarisse Azeredo Barreto</v>
      </c>
      <c r="F821" s="7">
        <v>2</v>
      </c>
      <c r="G821" s="7" cm="1">
        <f t="array" aca="1" ref="G821" ca="1">INDEX(States!$B:$B,RANDBETWEEN(2,COUNTA(States!$A:$A)),1)</f>
        <v>13</v>
      </c>
      <c r="H821" s="7" t="str">
        <f ca="1">VLOOKUP($D821,Name!$A:$C,3,FALSE)</f>
        <v>F</v>
      </c>
      <c r="I821" s="7" cm="1">
        <f t="array" aca="1" ref="I821" ca="1">INDEX('Marital status'!$A:$A,RANDBETWEEN(2,COUNTA('Marital status'!$A:$A)),1)</f>
        <v>5</v>
      </c>
      <c r="J821" s="7">
        <f t="shared" ca="1" si="147"/>
        <v>2</v>
      </c>
      <c r="K821" s="8">
        <f t="shared" ca="1" si="148"/>
        <v>33960</v>
      </c>
      <c r="L821" s="6">
        <f t="shared" ca="1" si="149"/>
        <v>4</v>
      </c>
      <c r="M821" s="7">
        <f ca="1" xml:space="preserve">
  IF(OR($N821 = 2, $N821 = 3, $N821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821" s="6">
        <f t="shared" ca="1" si="150"/>
        <v>8</v>
      </c>
      <c r="O821" s="6">
        <f t="shared" ca="1" si="151"/>
        <v>2</v>
      </c>
      <c r="P821" s="8">
        <f t="shared" ca="1" si="152"/>
        <v>37655</v>
      </c>
      <c r="Q821" s="6">
        <f ca="1">RANDBETWEEN(2,COUNTA('Recruitment source'!$A:$A))</f>
        <v>2</v>
      </c>
      <c r="R821" s="8" t="e">
        <f t="shared" ca="1" si="153"/>
        <v>#N/A</v>
      </c>
      <c r="S821" s="6" t="e">
        <f t="shared" ca="1" si="154"/>
        <v>#N/A</v>
      </c>
      <c r="T821" s="6">
        <f t="shared" ca="1" si="144"/>
        <v>2</v>
      </c>
      <c r="U821" s="1">
        <f t="shared" ca="1" si="155"/>
        <v>2000</v>
      </c>
    </row>
    <row r="822" spans="1:21" x14ac:dyDescent="0.2">
      <c r="A822" s="7" cm="1">
        <f t="array" aca="1" ref="A822" ca="1">INDEX(Companies!$A:$A,RANDBETWEEN(2,COUNTA(Companies!$A:$A)),1)</f>
        <v>2</v>
      </c>
      <c r="B822" s="5">
        <f t="shared" si="145"/>
        <v>821</v>
      </c>
      <c r="C822" s="6">
        <f t="shared" ca="1" si="146"/>
        <v>1</v>
      </c>
      <c r="D822" s="7">
        <f ca="1">IF($B822 = 1 + N("Presidente"),
    127,
    IF($B822 = 2 + N("Vice-Presidente"),
        72,
        IF($B822 = 3 + N("Secretária bilíngue"),
            13,
            RANDBETWEEN(5,COUNT(Name!$A:$A) + 1)
        )
    )
)</f>
        <v>101</v>
      </c>
      <c r="E822" s="7" t="str">
        <f ca="1" xml:space="preserve">
VLOOKUP(
  $D822,
  Name!$A:$B,
  2,
  FALSE
)
&amp; " " &amp;
IF($B822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Daniel Galli Freitas</v>
      </c>
      <c r="F822" s="7">
        <v>2</v>
      </c>
      <c r="G822" s="7" cm="1">
        <f t="array" aca="1" ref="G822" ca="1">INDEX(States!$B:$B,RANDBETWEEN(2,COUNTA(States!$A:$A)),1)</f>
        <v>12</v>
      </c>
      <c r="H822" s="7" t="str">
        <f ca="1">VLOOKUP($D822,Name!$A:$C,3,FALSE)</f>
        <v>M</v>
      </c>
      <c r="I822" s="7" cm="1">
        <f t="array" aca="1" ref="I822" ca="1">INDEX('Marital status'!$A:$A,RANDBETWEEN(2,COUNTA('Marital status'!$A:$A)),1)</f>
        <v>4</v>
      </c>
      <c r="J822" s="7">
        <f t="shared" ca="1" si="147"/>
        <v>2</v>
      </c>
      <c r="K822" s="8">
        <f t="shared" ca="1" si="148"/>
        <v>25794</v>
      </c>
      <c r="L822" s="6">
        <f t="shared" ca="1" si="149"/>
        <v>4</v>
      </c>
      <c r="M822" s="7">
        <f ca="1" xml:space="preserve">
  IF(OR($N822 = 2, $N822 = 3, $N822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822" s="6">
        <f t="shared" ca="1" si="150"/>
        <v>6</v>
      </c>
      <c r="O822" s="6" t="e">
        <f t="shared" ca="1" si="151"/>
        <v>#N/A</v>
      </c>
      <c r="P822" s="8">
        <f t="shared" ca="1" si="152"/>
        <v>37370</v>
      </c>
      <c r="Q822" s="6">
        <f ca="1">RANDBETWEEN(2,COUNTA('Recruitment source'!$A:$A))</f>
        <v>10</v>
      </c>
      <c r="R822" s="8" t="e">
        <f t="shared" ca="1" si="153"/>
        <v>#N/A</v>
      </c>
      <c r="S822" s="6" t="e">
        <f t="shared" ca="1" si="154"/>
        <v>#N/A</v>
      </c>
      <c r="T822" s="6">
        <f t="shared" ca="1" si="144"/>
        <v>5</v>
      </c>
      <c r="U822" s="1">
        <f t="shared" ca="1" si="155"/>
        <v>885</v>
      </c>
    </row>
    <row r="823" spans="1:21" x14ac:dyDescent="0.2">
      <c r="A823" s="7" cm="1">
        <f t="array" aca="1" ref="A823" ca="1">INDEX(Companies!$A:$A,RANDBETWEEN(2,COUNTA(Companies!$A:$A)),1)</f>
        <v>2</v>
      </c>
      <c r="B823" s="5">
        <f t="shared" si="145"/>
        <v>822</v>
      </c>
      <c r="C823" s="6">
        <f t="shared" ca="1" si="146"/>
        <v>1</v>
      </c>
      <c r="D823" s="7">
        <f ca="1">IF($B823 = 1 + N("Presidente"),
    127,
    IF($B823 = 2 + N("Vice-Presidente"),
        72,
        IF($B823 = 3 + N("Secretária bilíngue"),
            13,
            RANDBETWEEN(5,COUNT(Name!$A:$A) + 1)
        )
    )
)</f>
        <v>351</v>
      </c>
      <c r="E823" s="7" t="str">
        <f ca="1" xml:space="preserve">
VLOOKUP(
  $D823,
  Name!$A:$B,
  2,
  FALSE
)
&amp; " " &amp;
IF($B823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Vera Lucia Cândido Caruso</v>
      </c>
      <c r="F823" s="7">
        <v>2</v>
      </c>
      <c r="G823" s="7" cm="1">
        <f t="array" aca="1" ref="G823" ca="1">INDEX(States!$B:$B,RANDBETWEEN(2,COUNTA(States!$A:$A)),1)</f>
        <v>5</v>
      </c>
      <c r="H823" s="7" t="str">
        <f ca="1">VLOOKUP($D823,Name!$A:$C,3,FALSE)</f>
        <v>F</v>
      </c>
      <c r="I823" s="7" cm="1">
        <f t="array" aca="1" ref="I823" ca="1">INDEX('Marital status'!$A:$A,RANDBETWEEN(2,COUNTA('Marital status'!$A:$A)),1)</f>
        <v>4</v>
      </c>
      <c r="J823" s="7">
        <f t="shared" ca="1" si="147"/>
        <v>2</v>
      </c>
      <c r="K823" s="8">
        <f t="shared" ca="1" si="148"/>
        <v>33727</v>
      </c>
      <c r="L823" s="6">
        <f t="shared" ca="1" si="149"/>
        <v>4</v>
      </c>
      <c r="M823" s="7">
        <f ca="1" xml:space="preserve">
  IF(OR($N823 = 2, $N823 = 3, $N823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823" s="6">
        <f t="shared" ca="1" si="150"/>
        <v>8</v>
      </c>
      <c r="O823" s="6">
        <f t="shared" ca="1" si="151"/>
        <v>3</v>
      </c>
      <c r="P823" s="8">
        <f t="shared" ca="1" si="152"/>
        <v>42965</v>
      </c>
      <c r="Q823" s="6">
        <f ca="1">RANDBETWEEN(2,COUNTA('Recruitment source'!$A:$A))</f>
        <v>4</v>
      </c>
      <c r="R823" s="8" t="e">
        <f t="shared" ca="1" si="153"/>
        <v>#N/A</v>
      </c>
      <c r="S823" s="6" t="e">
        <f t="shared" ca="1" si="154"/>
        <v>#N/A</v>
      </c>
      <c r="T823" s="6">
        <f t="shared" ca="1" si="144"/>
        <v>3</v>
      </c>
      <c r="U823" s="1">
        <f t="shared" ca="1" si="155"/>
        <v>2080</v>
      </c>
    </row>
    <row r="824" spans="1:21" x14ac:dyDescent="0.2">
      <c r="A824" s="7" cm="1">
        <f t="array" aca="1" ref="A824" ca="1">INDEX(Companies!$A:$A,RANDBETWEEN(2,COUNTA(Companies!$A:$A)),1)</f>
        <v>2</v>
      </c>
      <c r="B824" s="5">
        <f t="shared" si="145"/>
        <v>823</v>
      </c>
      <c r="C824" s="6">
        <f t="shared" ca="1" si="146"/>
        <v>1</v>
      </c>
      <c r="D824" s="7">
        <f ca="1">IF($B824 = 1 + N("Presidente"),
    127,
    IF($B824 = 2 + N("Vice-Presidente"),
        72,
        IF($B824 = 3 + N("Secretária bilíngue"),
            13,
            RANDBETWEEN(5,COUNT(Name!$A:$A) + 1)
        )
    )
)</f>
        <v>136</v>
      </c>
      <c r="E824" s="7" t="str">
        <f ca="1" xml:space="preserve">
VLOOKUP(
  $D824,
  Name!$A:$B,
  2,
  FALSE
)
&amp; " " &amp;
IF($B824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Fellipe Brasil Cardoso</v>
      </c>
      <c r="F824" s="7">
        <v>2</v>
      </c>
      <c r="G824" s="7" cm="1">
        <f t="array" aca="1" ref="G824" ca="1">INDEX(States!$B:$B,RANDBETWEEN(2,COUNTA(States!$A:$A)),1)</f>
        <v>17</v>
      </c>
      <c r="H824" s="7" t="str">
        <f ca="1">VLOOKUP($D824,Name!$A:$C,3,FALSE)</f>
        <v>M</v>
      </c>
      <c r="I824" s="7" cm="1">
        <f t="array" aca="1" ref="I824" ca="1">INDEX('Marital status'!$A:$A,RANDBETWEEN(2,COUNTA('Marital status'!$A:$A)),1)</f>
        <v>6</v>
      </c>
      <c r="J824" s="7">
        <f t="shared" ca="1" si="147"/>
        <v>2</v>
      </c>
      <c r="K824" s="8">
        <f t="shared" ca="1" si="148"/>
        <v>19803</v>
      </c>
      <c r="L824" s="6">
        <f t="shared" ca="1" si="149"/>
        <v>4</v>
      </c>
      <c r="M824" s="7">
        <f ca="1" xml:space="preserve">
  IF(OR($N824 = 2, $N824 = 3, $N824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824" s="6">
        <f t="shared" ca="1" si="150"/>
        <v>6</v>
      </c>
      <c r="O824" s="6" t="e">
        <f t="shared" ca="1" si="151"/>
        <v>#N/A</v>
      </c>
      <c r="P824" s="8">
        <f t="shared" ca="1" si="152"/>
        <v>36429</v>
      </c>
      <c r="Q824" s="6">
        <f ca="1">RANDBETWEEN(2,COUNTA('Recruitment source'!$A:$A))</f>
        <v>2</v>
      </c>
      <c r="R824" s="8" t="e">
        <f t="shared" ca="1" si="153"/>
        <v>#N/A</v>
      </c>
      <c r="S824" s="6" t="e">
        <f t="shared" ca="1" si="154"/>
        <v>#N/A</v>
      </c>
      <c r="T824" s="6">
        <f t="shared" ca="1" si="144"/>
        <v>4</v>
      </c>
      <c r="U824" s="1">
        <f t="shared" ca="1" si="155"/>
        <v>805</v>
      </c>
    </row>
    <row r="825" spans="1:21" x14ac:dyDescent="0.2">
      <c r="A825" s="7" cm="1">
        <f t="array" aca="1" ref="A825" ca="1">INDEX(Companies!$A:$A,RANDBETWEEN(2,COUNTA(Companies!$A:$A)),1)</f>
        <v>2</v>
      </c>
      <c r="B825" s="5">
        <f t="shared" si="145"/>
        <v>824</v>
      </c>
      <c r="C825" s="6">
        <f t="shared" ca="1" si="146"/>
        <v>1</v>
      </c>
      <c r="D825" s="7">
        <f ca="1">IF($B825 = 1 + N("Presidente"),
    127,
    IF($B825 = 2 + N("Vice-Presidente"),
        72,
        IF($B825 = 3 + N("Secretária bilíngue"),
            13,
            RANDBETWEEN(5,COUNT(Name!$A:$A) + 1)
        )
    )
)</f>
        <v>234</v>
      </c>
      <c r="E825" s="7" t="str">
        <f ca="1" xml:space="preserve">
VLOOKUP(
  $D825,
  Name!$A:$B,
  2,
  FALSE
)
&amp; " " &amp;
IF($B825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Louise Abranches Badu</v>
      </c>
      <c r="F825" s="7">
        <v>2</v>
      </c>
      <c r="G825" s="7" cm="1">
        <f t="array" aca="1" ref="G825" ca="1">INDEX(States!$B:$B,RANDBETWEEN(2,COUNTA(States!$A:$A)),1)</f>
        <v>13</v>
      </c>
      <c r="H825" s="7" t="str">
        <f ca="1">VLOOKUP($D825,Name!$A:$C,3,FALSE)</f>
        <v>F</v>
      </c>
      <c r="I825" s="7" cm="1">
        <f t="array" aca="1" ref="I825" ca="1">INDEX('Marital status'!$A:$A,RANDBETWEEN(2,COUNTA('Marital status'!$A:$A)),1)</f>
        <v>5</v>
      </c>
      <c r="J825" s="7">
        <f t="shared" ca="1" si="147"/>
        <v>4</v>
      </c>
      <c r="K825" s="8">
        <f t="shared" ca="1" si="148"/>
        <v>35147</v>
      </c>
      <c r="L825" s="6">
        <f t="shared" ca="1" si="149"/>
        <v>5</v>
      </c>
      <c r="M825" s="7">
        <f ca="1" xml:space="preserve">
  IF(OR($N825 = 2, $N825 = 3, $N825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825" s="6">
        <f t="shared" ca="1" si="150"/>
        <v>8</v>
      </c>
      <c r="O825" s="6">
        <f t="shared" ca="1" si="151"/>
        <v>2</v>
      </c>
      <c r="P825" s="8">
        <f t="shared" ca="1" si="152"/>
        <v>39287</v>
      </c>
      <c r="Q825" s="6">
        <f ca="1">RANDBETWEEN(2,COUNTA('Recruitment source'!$A:$A))</f>
        <v>12</v>
      </c>
      <c r="R825" s="8" t="e">
        <f t="shared" ca="1" si="153"/>
        <v>#N/A</v>
      </c>
      <c r="S825" s="6" t="e">
        <f t="shared" ca="1" si="154"/>
        <v>#N/A</v>
      </c>
      <c r="T825" s="6">
        <f t="shared" ca="1" si="144"/>
        <v>4</v>
      </c>
      <c r="U825" s="1">
        <f t="shared" ca="1" si="155"/>
        <v>2000</v>
      </c>
    </row>
    <row r="826" spans="1:21" x14ac:dyDescent="0.2">
      <c r="A826" s="7" cm="1">
        <f t="array" aca="1" ref="A826" ca="1">INDEX(Companies!$A:$A,RANDBETWEEN(2,COUNTA(Companies!$A:$A)),1)</f>
        <v>2</v>
      </c>
      <c r="B826" s="5">
        <f t="shared" si="145"/>
        <v>825</v>
      </c>
      <c r="C826" s="6">
        <f t="shared" ca="1" si="146"/>
        <v>1</v>
      </c>
      <c r="D826" s="7">
        <f ca="1">IF($B826 = 1 + N("Presidente"),
    127,
    IF($B826 = 2 + N("Vice-Presidente"),
        72,
        IF($B826 = 3 + N("Secretária bilíngue"),
            13,
            RANDBETWEEN(5,COUNT(Name!$A:$A) + 1)
        )
    )
)</f>
        <v>262</v>
      </c>
      <c r="E826" s="7" t="str">
        <f ca="1" xml:space="preserve">
VLOOKUP(
  $D826,
  Name!$A:$B,
  2,
  FALSE
)
&amp; " " &amp;
IF($B826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Eduarda Caruso Simões</v>
      </c>
      <c r="F826" s="7">
        <v>2</v>
      </c>
      <c r="G826" s="7" cm="1">
        <f t="array" aca="1" ref="G826" ca="1">INDEX(States!$B:$B,RANDBETWEEN(2,COUNTA(States!$A:$A)),1)</f>
        <v>4</v>
      </c>
      <c r="H826" s="7" t="str">
        <f ca="1">VLOOKUP($D826,Name!$A:$C,3,FALSE)</f>
        <v>F</v>
      </c>
      <c r="I826" s="7" cm="1">
        <f t="array" aca="1" ref="I826" ca="1">INDEX('Marital status'!$A:$A,RANDBETWEEN(2,COUNTA('Marital status'!$A:$A)),1)</f>
        <v>3</v>
      </c>
      <c r="J826" s="7">
        <f t="shared" ca="1" si="147"/>
        <v>3</v>
      </c>
      <c r="K826" s="8">
        <f t="shared" ca="1" si="148"/>
        <v>18980</v>
      </c>
      <c r="L826" s="6">
        <f t="shared" ca="1" si="149"/>
        <v>4</v>
      </c>
      <c r="M826" s="7">
        <f ca="1" xml:space="preserve">
  IF(OR($N826 = 2, $N826 = 3, $N826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826" s="6">
        <f t="shared" ca="1" si="150"/>
        <v>6</v>
      </c>
      <c r="O826" s="6" t="e">
        <f t="shared" ca="1" si="151"/>
        <v>#N/A</v>
      </c>
      <c r="P826" s="8">
        <f t="shared" ca="1" si="152"/>
        <v>42500</v>
      </c>
      <c r="Q826" s="6">
        <f ca="1">RANDBETWEEN(2,COUNTA('Recruitment source'!$A:$A))</f>
        <v>6</v>
      </c>
      <c r="R826" s="8" t="e">
        <f t="shared" ca="1" si="153"/>
        <v>#N/A</v>
      </c>
      <c r="S826" s="6" t="e">
        <f t="shared" ca="1" si="154"/>
        <v>#N/A</v>
      </c>
      <c r="T826" s="6">
        <f t="shared" ca="1" si="144"/>
        <v>4</v>
      </c>
      <c r="U826" s="1">
        <f t="shared" ca="1" si="155"/>
        <v>805</v>
      </c>
    </row>
    <row r="827" spans="1:21" x14ac:dyDescent="0.2">
      <c r="A827" s="7" cm="1">
        <f t="array" aca="1" ref="A827" ca="1">INDEX(Companies!$A:$A,RANDBETWEEN(2,COUNTA(Companies!$A:$A)),1)</f>
        <v>2</v>
      </c>
      <c r="B827" s="5">
        <f t="shared" si="145"/>
        <v>826</v>
      </c>
      <c r="C827" s="6">
        <f t="shared" ca="1" si="146"/>
        <v>1</v>
      </c>
      <c r="D827" s="7">
        <f ca="1">IF($B827 = 1 + N("Presidente"),
    127,
    IF($B827 = 2 + N("Vice-Presidente"),
        72,
        IF($B827 = 3 + N("Secretária bilíngue"),
            13,
            RANDBETWEEN(5,COUNT(Name!$A:$A) + 1)
        )
    )
)</f>
        <v>335</v>
      </c>
      <c r="E827" s="7" t="str">
        <f ca="1" xml:space="preserve">
VLOOKUP(
  $D827,
  Name!$A:$B,
  2,
  FALSE
)
&amp; " " &amp;
IF($B827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Sammuel Martins Alencar</v>
      </c>
      <c r="F827" s="7">
        <v>2</v>
      </c>
      <c r="G827" s="7" cm="1">
        <f t="array" aca="1" ref="G827" ca="1">INDEX(States!$B:$B,RANDBETWEEN(2,COUNTA(States!$A:$A)),1)</f>
        <v>9</v>
      </c>
      <c r="H827" s="7" t="str">
        <f ca="1">VLOOKUP($D827,Name!$A:$C,3,FALSE)</f>
        <v>M</v>
      </c>
      <c r="I827" s="7" cm="1">
        <f t="array" aca="1" ref="I827" ca="1">INDEX('Marital status'!$A:$A,RANDBETWEEN(2,COUNTA('Marital status'!$A:$A)),1)</f>
        <v>5</v>
      </c>
      <c r="J827" s="7">
        <f t="shared" ca="1" si="147"/>
        <v>2</v>
      </c>
      <c r="K827" s="8">
        <f t="shared" ca="1" si="148"/>
        <v>34826</v>
      </c>
      <c r="L827" s="6">
        <f t="shared" ca="1" si="149"/>
        <v>4</v>
      </c>
      <c r="M827" s="7">
        <f ca="1" xml:space="preserve">
  IF(OR($N827 = 2, $N827 = 3, $N827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827" s="6">
        <f t="shared" ca="1" si="150"/>
        <v>8</v>
      </c>
      <c r="O827" s="6">
        <f t="shared" ca="1" si="151"/>
        <v>3</v>
      </c>
      <c r="P827" s="8">
        <f t="shared" ca="1" si="152"/>
        <v>40640</v>
      </c>
      <c r="Q827" s="6">
        <f ca="1">RANDBETWEEN(2,COUNTA('Recruitment source'!$A:$A))</f>
        <v>12</v>
      </c>
      <c r="R827" s="8" t="e">
        <f t="shared" ca="1" si="153"/>
        <v>#N/A</v>
      </c>
      <c r="S827" s="6" t="e">
        <f t="shared" ca="1" si="154"/>
        <v>#N/A</v>
      </c>
      <c r="T827" s="6">
        <f t="shared" ca="1" si="144"/>
        <v>2</v>
      </c>
      <c r="U827" s="1">
        <f t="shared" ca="1" si="155"/>
        <v>2000</v>
      </c>
    </row>
    <row r="828" spans="1:21" x14ac:dyDescent="0.2">
      <c r="A828" s="7" cm="1">
        <f t="array" aca="1" ref="A828" ca="1">INDEX(Companies!$A:$A,RANDBETWEEN(2,COUNTA(Companies!$A:$A)),1)</f>
        <v>2</v>
      </c>
      <c r="B828" s="5">
        <f t="shared" si="145"/>
        <v>827</v>
      </c>
      <c r="C828" s="6">
        <f t="shared" ca="1" si="146"/>
        <v>1</v>
      </c>
      <c r="D828" s="7">
        <f ca="1">IF($B828 = 1 + N("Presidente"),
    127,
    IF($B828 = 2 + N("Vice-Presidente"),
        72,
        IF($B828 = 3 + N("Secretária bilíngue"),
            13,
            RANDBETWEEN(5,COUNT(Name!$A:$A) + 1)
        )
    )
)</f>
        <v>239</v>
      </c>
      <c r="E828" s="7" t="str">
        <f ca="1" xml:space="preserve">
VLOOKUP(
  $D828,
  Name!$A:$B,
  2,
  FALSE
)
&amp; " " &amp;
IF($B828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Lucas Gabriel Bianchi Oliveira</v>
      </c>
      <c r="F828" s="7">
        <v>2</v>
      </c>
      <c r="G828" s="7" cm="1">
        <f t="array" aca="1" ref="G828" ca="1">INDEX(States!$B:$B,RANDBETWEEN(2,COUNTA(States!$A:$A)),1)</f>
        <v>20</v>
      </c>
      <c r="H828" s="7" t="str">
        <f ca="1">VLOOKUP($D828,Name!$A:$C,3,FALSE)</f>
        <v>M</v>
      </c>
      <c r="I828" s="7" cm="1">
        <f t="array" aca="1" ref="I828" ca="1">INDEX('Marital status'!$A:$A,RANDBETWEEN(2,COUNTA('Marital status'!$A:$A)),1)</f>
        <v>2</v>
      </c>
      <c r="J828" s="7">
        <f t="shared" ca="1" si="147"/>
        <v>2</v>
      </c>
      <c r="K828" s="8">
        <f t="shared" ca="1" si="148"/>
        <v>29891</v>
      </c>
      <c r="L828" s="6">
        <f t="shared" ca="1" si="149"/>
        <v>4</v>
      </c>
      <c r="M828" s="7">
        <f ca="1" xml:space="preserve">
  IF(OR($N828 = 2, $N828 = 3, $N828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828" s="6">
        <f t="shared" ca="1" si="150"/>
        <v>7</v>
      </c>
      <c r="O828" s="6" t="e">
        <f t="shared" ca="1" si="151"/>
        <v>#N/A</v>
      </c>
      <c r="P828" s="8">
        <f t="shared" ca="1" si="152"/>
        <v>39252</v>
      </c>
      <c r="Q828" s="6">
        <f ca="1">RANDBETWEEN(2,COUNTA('Recruitment source'!$A:$A))</f>
        <v>7</v>
      </c>
      <c r="R828" s="8" t="e">
        <f t="shared" ca="1" si="153"/>
        <v>#N/A</v>
      </c>
      <c r="S828" s="6" t="e">
        <f t="shared" ca="1" si="154"/>
        <v>#N/A</v>
      </c>
      <c r="T828" s="6">
        <f t="shared" ca="1" si="144"/>
        <v>3</v>
      </c>
      <c r="U828" s="1">
        <f t="shared" ca="1" si="155"/>
        <v>1085</v>
      </c>
    </row>
    <row r="829" spans="1:21" x14ac:dyDescent="0.2">
      <c r="A829" s="7" cm="1">
        <f t="array" aca="1" ref="A829" ca="1">INDEX(Companies!$A:$A,RANDBETWEEN(2,COUNTA(Companies!$A:$A)),1)</f>
        <v>2</v>
      </c>
      <c r="B829" s="5">
        <f t="shared" si="145"/>
        <v>828</v>
      </c>
      <c r="C829" s="6">
        <f t="shared" ca="1" si="146"/>
        <v>1</v>
      </c>
      <c r="D829" s="7">
        <f ca="1">IF($B829 = 1 + N("Presidente"),
    127,
    IF($B829 = 2 + N("Vice-Presidente"),
        72,
        IF($B829 = 3 + N("Secretária bilíngue"),
            13,
            RANDBETWEEN(5,COUNT(Name!$A:$A) + 1)
        )
    )
)</f>
        <v>252</v>
      </c>
      <c r="E829" s="7" t="str">
        <f ca="1" xml:space="preserve">
VLOOKUP(
  $D829,
  Name!$A:$B,
  2,
  FALSE
)
&amp; " " &amp;
IF($B829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Malco Santoro Machado</v>
      </c>
      <c r="F829" s="7">
        <v>2</v>
      </c>
      <c r="G829" s="7" cm="1">
        <f t="array" aca="1" ref="G829" ca="1">INDEX(States!$B:$B,RANDBETWEEN(2,COUNTA(States!$A:$A)),1)</f>
        <v>3</v>
      </c>
      <c r="H829" s="7" t="str">
        <f ca="1">VLOOKUP($D829,Name!$A:$C,3,FALSE)</f>
        <v>M</v>
      </c>
      <c r="I829" s="7" cm="1">
        <f t="array" aca="1" ref="I829" ca="1">INDEX('Marital status'!$A:$A,RANDBETWEEN(2,COUNTA('Marital status'!$A:$A)),1)</f>
        <v>4</v>
      </c>
      <c r="J829" s="7">
        <f t="shared" ca="1" si="147"/>
        <v>2</v>
      </c>
      <c r="K829" s="8">
        <f t="shared" ca="1" si="148"/>
        <v>37042</v>
      </c>
      <c r="L829" s="6">
        <f t="shared" ca="1" si="149"/>
        <v>5</v>
      </c>
      <c r="M829" s="7">
        <f ca="1" xml:space="preserve">
  IF(OR($N829 = 2, $N829 = 3, $N829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829" s="6">
        <f t="shared" ca="1" si="150"/>
        <v>8</v>
      </c>
      <c r="O829" s="6">
        <f t="shared" ca="1" si="151"/>
        <v>3</v>
      </c>
      <c r="P829" s="8">
        <f t="shared" ca="1" si="152"/>
        <v>42083</v>
      </c>
      <c r="Q829" s="6">
        <f ca="1">RANDBETWEEN(2,COUNTA('Recruitment source'!$A:$A))</f>
        <v>9</v>
      </c>
      <c r="R829" s="8" t="e">
        <f t="shared" ca="1" si="153"/>
        <v>#N/A</v>
      </c>
      <c r="S829" s="6" t="e">
        <f t="shared" ca="1" si="154"/>
        <v>#N/A</v>
      </c>
      <c r="T829" s="6">
        <f t="shared" ca="1" si="144"/>
        <v>5</v>
      </c>
      <c r="U829" s="1">
        <f t="shared" ca="1" si="155"/>
        <v>2080</v>
      </c>
    </row>
    <row r="830" spans="1:21" x14ac:dyDescent="0.2">
      <c r="A830" s="7" cm="1">
        <f t="array" aca="1" ref="A830" ca="1">INDEX(Companies!$A:$A,RANDBETWEEN(2,COUNTA(Companies!$A:$A)),1)</f>
        <v>2</v>
      </c>
      <c r="B830" s="5">
        <f t="shared" si="145"/>
        <v>829</v>
      </c>
      <c r="C830" s="6">
        <f t="shared" ca="1" si="146"/>
        <v>1</v>
      </c>
      <c r="D830" s="7">
        <f ca="1">IF($B830 = 1 + N("Presidente"),
    127,
    IF($B830 = 2 + N("Vice-Presidente"),
        72,
        IF($B830 = 3 + N("Secretária bilíngue"),
            13,
            RANDBETWEEN(5,COUNT(Name!$A:$A) + 1)
        )
    )
)</f>
        <v>284</v>
      </c>
      <c r="E830" s="7" t="str">
        <f ca="1" xml:space="preserve">
VLOOKUP(
  $D830,
  Name!$A:$B,
  2,
  FALSE
)
&amp; " " &amp;
IF($B830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Martim Monteiro Pimenta</v>
      </c>
      <c r="F830" s="7">
        <v>2</v>
      </c>
      <c r="G830" s="7" cm="1">
        <f t="array" aca="1" ref="G830" ca="1">INDEX(States!$B:$B,RANDBETWEEN(2,COUNTA(States!$A:$A)),1)</f>
        <v>14</v>
      </c>
      <c r="H830" s="7" t="str">
        <f ca="1">VLOOKUP($D830,Name!$A:$C,3,FALSE)</f>
        <v>M</v>
      </c>
      <c r="I830" s="7" cm="1">
        <f t="array" aca="1" ref="I830" ca="1">INDEX('Marital status'!$A:$A,RANDBETWEEN(2,COUNTA('Marital status'!$A:$A)),1)</f>
        <v>4</v>
      </c>
      <c r="J830" s="7">
        <f t="shared" ca="1" si="147"/>
        <v>2</v>
      </c>
      <c r="K830" s="8">
        <f t="shared" ca="1" si="148"/>
        <v>32640</v>
      </c>
      <c r="L830" s="6">
        <f t="shared" ca="1" si="149"/>
        <v>4</v>
      </c>
      <c r="M830" s="7">
        <f ca="1" xml:space="preserve">
  IF(OR($N830 = 2, $N830 = 3, $N830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830" s="6">
        <f t="shared" ca="1" si="150"/>
        <v>7</v>
      </c>
      <c r="O830" s="6" t="e">
        <f t="shared" ca="1" si="151"/>
        <v>#N/A</v>
      </c>
      <c r="P830" s="8">
        <f t="shared" ca="1" si="152"/>
        <v>40769</v>
      </c>
      <c r="Q830" s="6">
        <f ca="1">RANDBETWEEN(2,COUNTA('Recruitment source'!$A:$A))</f>
        <v>2</v>
      </c>
      <c r="R830" s="8" t="e">
        <f t="shared" ca="1" si="153"/>
        <v>#N/A</v>
      </c>
      <c r="S830" s="6" t="e">
        <f t="shared" ca="1" si="154"/>
        <v>#N/A</v>
      </c>
      <c r="T830" s="6">
        <f t="shared" ca="1" si="144"/>
        <v>3</v>
      </c>
      <c r="U830" s="1">
        <f t="shared" ca="1" si="155"/>
        <v>1005</v>
      </c>
    </row>
    <row r="831" spans="1:21" x14ac:dyDescent="0.2">
      <c r="A831" s="7" cm="1">
        <f t="array" aca="1" ref="A831" ca="1">INDEX(Companies!$A:$A,RANDBETWEEN(2,COUNTA(Companies!$A:$A)),1)</f>
        <v>2</v>
      </c>
      <c r="B831" s="5">
        <f t="shared" si="145"/>
        <v>830</v>
      </c>
      <c r="C831" s="6">
        <f t="shared" ca="1" si="146"/>
        <v>1</v>
      </c>
      <c r="D831" s="7">
        <f ca="1">IF($B831 = 1 + N("Presidente"),
    127,
    IF($B831 = 2 + N("Vice-Presidente"),
        72,
        IF($B831 = 3 + N("Secretária bilíngue"),
            13,
            RANDBETWEEN(5,COUNT(Name!$A:$A) + 1)
        )
    )
)</f>
        <v>174</v>
      </c>
      <c r="E831" s="7" t="str">
        <f ca="1" xml:space="preserve">
VLOOKUP(
  $D831,
  Name!$A:$B,
  2,
  FALSE
)
&amp; " " &amp;
IF($B831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 Alves Aleluia</v>
      </c>
      <c r="F831" s="7">
        <v>2</v>
      </c>
      <c r="G831" s="7" cm="1">
        <f t="array" aca="1" ref="G831" ca="1">INDEX(States!$B:$B,RANDBETWEEN(2,COUNTA(States!$A:$A)),1)</f>
        <v>2</v>
      </c>
      <c r="H831" s="7" t="str">
        <f ca="1">VLOOKUP($D831,Name!$A:$C,3,FALSE)</f>
        <v>F</v>
      </c>
      <c r="I831" s="7" cm="1">
        <f t="array" aca="1" ref="I831" ca="1">INDEX('Marital status'!$A:$A,RANDBETWEEN(2,COUNTA('Marital status'!$A:$A)),1)</f>
        <v>2</v>
      </c>
      <c r="J831" s="7">
        <f t="shared" ca="1" si="147"/>
        <v>2</v>
      </c>
      <c r="K831" s="8">
        <f t="shared" ca="1" si="148"/>
        <v>35037</v>
      </c>
      <c r="L831" s="6">
        <f t="shared" ca="1" si="149"/>
        <v>4</v>
      </c>
      <c r="M831" s="7">
        <f ca="1" xml:space="preserve">
  IF(OR($N831 = 2, $N831 = 3, $N831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831" s="6">
        <f t="shared" ca="1" si="150"/>
        <v>8</v>
      </c>
      <c r="O831" s="6">
        <f t="shared" ca="1" si="151"/>
        <v>4</v>
      </c>
      <c r="P831" s="8">
        <f t="shared" ca="1" si="152"/>
        <v>40379</v>
      </c>
      <c r="Q831" s="6">
        <f ca="1">RANDBETWEEN(2,COUNTA('Recruitment source'!$A:$A))</f>
        <v>10</v>
      </c>
      <c r="R831" s="8" t="e">
        <f t="shared" ca="1" si="153"/>
        <v>#N/A</v>
      </c>
      <c r="S831" s="6" t="e">
        <f t="shared" ca="1" si="154"/>
        <v>#N/A</v>
      </c>
      <c r="T831" s="6">
        <f t="shared" ca="1" si="144"/>
        <v>5</v>
      </c>
      <c r="U831" s="1">
        <f t="shared" ca="1" si="155"/>
        <v>2080</v>
      </c>
    </row>
    <row r="832" spans="1:21" x14ac:dyDescent="0.2">
      <c r="A832" s="7" cm="1">
        <f t="array" aca="1" ref="A832" ca="1">INDEX(Companies!$A:$A,RANDBETWEEN(2,COUNTA(Companies!$A:$A)),1)</f>
        <v>2</v>
      </c>
      <c r="B832" s="5">
        <f t="shared" si="145"/>
        <v>831</v>
      </c>
      <c r="C832" s="6">
        <f t="shared" ca="1" si="146"/>
        <v>1</v>
      </c>
      <c r="D832" s="7">
        <f ca="1">IF($B832 = 1 + N("Presidente"),
    127,
    IF($B832 = 2 + N("Vice-Presidente"),
        72,
        IF($B832 = 3 + N("Secretária bilíngue"),
            13,
            RANDBETWEEN(5,COUNT(Name!$A:$A) + 1)
        )
    )
)</f>
        <v>40</v>
      </c>
      <c r="E832" s="7" t="str">
        <f ca="1" xml:space="preserve">
VLOOKUP(
  $D832,
  Name!$A:$B,
  2,
  FALSE
)
&amp; " " &amp;
IF($B832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André Sacramento Veiga</v>
      </c>
      <c r="F832" s="7">
        <v>2</v>
      </c>
      <c r="G832" s="7" cm="1">
        <f t="array" aca="1" ref="G832" ca="1">INDEX(States!$B:$B,RANDBETWEEN(2,COUNTA(States!$A:$A)),1)</f>
        <v>7</v>
      </c>
      <c r="H832" s="7" t="str">
        <f ca="1">VLOOKUP($D832,Name!$A:$C,3,FALSE)</f>
        <v>M</v>
      </c>
      <c r="I832" s="7" cm="1">
        <f t="array" aca="1" ref="I832" ca="1">INDEX('Marital status'!$A:$A,RANDBETWEEN(2,COUNTA('Marital status'!$A:$A)),1)</f>
        <v>2</v>
      </c>
      <c r="J832" s="7">
        <f t="shared" ca="1" si="147"/>
        <v>2</v>
      </c>
      <c r="K832" s="8">
        <f t="shared" ca="1" si="148"/>
        <v>32269</v>
      </c>
      <c r="L832" s="6">
        <f t="shared" ca="1" si="149"/>
        <v>4</v>
      </c>
      <c r="M832" s="7">
        <f ca="1" xml:space="preserve">
  IF(OR($N832 = 2, $N832 = 3, $N832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832" s="6">
        <f t="shared" ca="1" si="150"/>
        <v>7</v>
      </c>
      <c r="O832" s="6" t="e">
        <f t="shared" ca="1" si="151"/>
        <v>#N/A</v>
      </c>
      <c r="P832" s="8">
        <f t="shared" ca="1" si="152"/>
        <v>43337</v>
      </c>
      <c r="Q832" s="6">
        <f ca="1">RANDBETWEEN(2,COUNTA('Recruitment source'!$A:$A))</f>
        <v>10</v>
      </c>
      <c r="R832" s="8" t="e">
        <f t="shared" ca="1" si="153"/>
        <v>#N/A</v>
      </c>
      <c r="S832" s="6" t="e">
        <f t="shared" ca="1" si="154"/>
        <v>#N/A</v>
      </c>
      <c r="T832" s="6">
        <f t="shared" ca="1" si="144"/>
        <v>3</v>
      </c>
      <c r="U832" s="1">
        <f t="shared" ca="1" si="155"/>
        <v>1005</v>
      </c>
    </row>
    <row r="833" spans="1:21" x14ac:dyDescent="0.2">
      <c r="A833" s="7" cm="1">
        <f t="array" aca="1" ref="A833" ca="1">INDEX(Companies!$A:$A,RANDBETWEEN(2,COUNTA(Companies!$A:$A)),1)</f>
        <v>2</v>
      </c>
      <c r="B833" s="5">
        <f t="shared" si="145"/>
        <v>832</v>
      </c>
      <c r="C833" s="6">
        <f t="shared" ca="1" si="146"/>
        <v>1</v>
      </c>
      <c r="D833" s="7">
        <f ca="1">IF($B833 = 1 + N("Presidente"),
    127,
    IF($B833 = 2 + N("Vice-Presidente"),
        72,
        IF($B833 = 3 + N("Secretária bilíngue"),
            13,
            RANDBETWEEN(5,COUNT(Name!$A:$A) + 1)
        )
    )
)</f>
        <v>278</v>
      </c>
      <c r="E833" s="7" t="str">
        <f ca="1" xml:space="preserve">
VLOOKUP(
  $D833,
  Name!$A:$B,
  2,
  FALSE
)
&amp; " " &amp;
IF($B833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Mariana Tavarez Dantas</v>
      </c>
      <c r="F833" s="7">
        <v>2</v>
      </c>
      <c r="G833" s="7" cm="1">
        <f t="array" aca="1" ref="G833" ca="1">INDEX(States!$B:$B,RANDBETWEEN(2,COUNTA(States!$A:$A)),1)</f>
        <v>17</v>
      </c>
      <c r="H833" s="7" t="str">
        <f ca="1">VLOOKUP($D833,Name!$A:$C,3,FALSE)</f>
        <v>F</v>
      </c>
      <c r="I833" s="7" cm="1">
        <f t="array" aca="1" ref="I833" ca="1">INDEX('Marital status'!$A:$A,RANDBETWEEN(2,COUNTA('Marital status'!$A:$A)),1)</f>
        <v>6</v>
      </c>
      <c r="J833" s="7">
        <f t="shared" ca="1" si="147"/>
        <v>3</v>
      </c>
      <c r="K833" s="8">
        <f t="shared" ca="1" si="148"/>
        <v>35248</v>
      </c>
      <c r="L833" s="6">
        <f t="shared" ca="1" si="149"/>
        <v>4</v>
      </c>
      <c r="M833" s="7">
        <f ca="1" xml:space="preserve">
  IF(OR($N833 = 2, $N833 = 3, $N833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833" s="6">
        <f t="shared" ca="1" si="150"/>
        <v>8</v>
      </c>
      <c r="O833" s="6">
        <f t="shared" ca="1" si="151"/>
        <v>3</v>
      </c>
      <c r="P833" s="8">
        <f t="shared" ca="1" si="152"/>
        <v>42156</v>
      </c>
      <c r="Q833" s="6">
        <f ca="1">RANDBETWEEN(2,COUNTA('Recruitment source'!$A:$A))</f>
        <v>8</v>
      </c>
      <c r="R833" s="8" t="e">
        <f t="shared" ca="1" si="153"/>
        <v>#N/A</v>
      </c>
      <c r="S833" s="6" t="e">
        <f t="shared" ca="1" si="154"/>
        <v>#N/A</v>
      </c>
      <c r="T833" s="6">
        <f t="shared" ca="1" si="144"/>
        <v>4</v>
      </c>
      <c r="U833" s="1">
        <f t="shared" ca="1" si="155"/>
        <v>2000</v>
      </c>
    </row>
    <row r="834" spans="1:21" x14ac:dyDescent="0.2">
      <c r="A834" s="7" cm="1">
        <f t="array" aca="1" ref="A834" ca="1">INDEX(Companies!$A:$A,RANDBETWEEN(2,COUNTA(Companies!$A:$A)),1)</f>
        <v>2</v>
      </c>
      <c r="B834" s="5">
        <f t="shared" si="145"/>
        <v>833</v>
      </c>
      <c r="C834" s="6">
        <f t="shared" ca="1" si="146"/>
        <v>1</v>
      </c>
      <c r="D834" s="7">
        <f ca="1">IF($B834 = 1 + N("Presidente"),
    127,
    IF($B834 = 2 + N("Vice-Presidente"),
        72,
        IF($B834 = 3 + N("Secretária bilíngue"),
            13,
            RANDBETWEEN(5,COUNT(Name!$A:$A) + 1)
        )
    )
)</f>
        <v>190</v>
      </c>
      <c r="E834" s="7" t="str">
        <f ca="1" xml:space="preserve">
VLOOKUP(
  $D834,
  Name!$A:$B,
  2,
  FALSE
)
&amp; " " &amp;
IF($B834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Miguel Andrioli Seixas</v>
      </c>
      <c r="F834" s="7">
        <v>2</v>
      </c>
      <c r="G834" s="7" cm="1">
        <f t="array" aca="1" ref="G834" ca="1">INDEX(States!$B:$B,RANDBETWEEN(2,COUNTA(States!$A:$A)),1)</f>
        <v>8</v>
      </c>
      <c r="H834" s="7" t="str">
        <f ca="1">VLOOKUP($D834,Name!$A:$C,3,FALSE)</f>
        <v>M</v>
      </c>
      <c r="I834" s="7" cm="1">
        <f t="array" aca="1" ref="I834" ca="1">INDEX('Marital status'!$A:$A,RANDBETWEEN(2,COUNTA('Marital status'!$A:$A)),1)</f>
        <v>5</v>
      </c>
      <c r="J834" s="7">
        <f t="shared" ca="1" si="147"/>
        <v>2</v>
      </c>
      <c r="K834" s="8">
        <f t="shared" ca="1" si="148"/>
        <v>28905</v>
      </c>
      <c r="L834" s="6">
        <f t="shared" ca="1" si="149"/>
        <v>4</v>
      </c>
      <c r="M834" s="7">
        <f ca="1" xml:space="preserve">
  IF(OR($N834 = 2, $N834 = 3, $N834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834" s="6">
        <f t="shared" ca="1" si="150"/>
        <v>7</v>
      </c>
      <c r="O834" s="6" t="e">
        <f t="shared" ca="1" si="151"/>
        <v>#N/A</v>
      </c>
      <c r="P834" s="8">
        <f t="shared" ca="1" si="152"/>
        <v>40283</v>
      </c>
      <c r="Q834" s="6">
        <f ca="1">RANDBETWEEN(2,COUNTA('Recruitment source'!$A:$A))</f>
        <v>3</v>
      </c>
      <c r="R834" s="8" t="e">
        <f t="shared" ca="1" si="153"/>
        <v>#N/A</v>
      </c>
      <c r="S834" s="6" t="e">
        <f t="shared" ca="1" si="154"/>
        <v>#N/A</v>
      </c>
      <c r="T834" s="6">
        <f t="shared" ref="T834:T897" ca="1" si="156" xml:space="preserve">
IF(
 ISNA($R834),
 IF(
   $N834 = 2,
   5,
   IF(
     OR($N834=3,$N834=4,$N834=5),
     RANDBETWEEN(4,5),
     IF(
       OR($N834=11,$N834=12),
       RANDBETWEEN(3,5),
       RANDBETWEEN(2,5)
     )
   )
 ),
 RANDBETWEEN(1,3)
)</f>
        <v>2</v>
      </c>
      <c r="U834" s="1">
        <f t="shared" ca="1" si="155"/>
        <v>1005</v>
      </c>
    </row>
    <row r="835" spans="1:21" x14ac:dyDescent="0.2">
      <c r="A835" s="7" cm="1">
        <f t="array" aca="1" ref="A835" ca="1">INDEX(Companies!$A:$A,RANDBETWEEN(2,COUNTA(Companies!$A:$A)),1)</f>
        <v>2</v>
      </c>
      <c r="B835" s="5">
        <f t="shared" ref="B835:B898" si="157">ROW() - 1</f>
        <v>834</v>
      </c>
      <c r="C835" s="6">
        <f t="shared" ref="C835:C898" ca="1" si="158">IF(ISNA($R835),1,0)</f>
        <v>1</v>
      </c>
      <c r="D835" s="7">
        <f ca="1">IF($B835 = 1 + N("Presidente"),
    127,
    IF($B835 = 2 + N("Vice-Presidente"),
        72,
        IF($B835 = 3 + N("Secretária bilíngue"),
            13,
            RANDBETWEEN(5,COUNT(Name!$A:$A) + 1)
        )
    )
)</f>
        <v>157</v>
      </c>
      <c r="E835" s="7" t="str">
        <f ca="1" xml:space="preserve">
VLOOKUP(
  $D835,
  Name!$A:$B,
  2,
  FALSE
)
&amp; " " &amp;
IF($B835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Guilherme Rocha Rodrigues</v>
      </c>
      <c r="F835" s="7">
        <v>2</v>
      </c>
      <c r="G835" s="7" cm="1">
        <f t="array" aca="1" ref="G835" ca="1">INDEX(States!$B:$B,RANDBETWEEN(2,COUNTA(States!$A:$A)),1)</f>
        <v>12</v>
      </c>
      <c r="H835" s="7" t="str">
        <f ca="1">VLOOKUP($D835,Name!$A:$C,3,FALSE)</f>
        <v>M</v>
      </c>
      <c r="I835" s="7" cm="1">
        <f t="array" aca="1" ref="I835" ca="1">INDEX('Marital status'!$A:$A,RANDBETWEEN(2,COUNTA('Marital status'!$A:$A)),1)</f>
        <v>3</v>
      </c>
      <c r="J835" s="7">
        <f t="shared" ref="J835:J898" ca="1" si="159" xml:space="preserve">
IF(AND($N835 &gt;= 2, $N835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835" s="8">
        <f t="shared" ref="K835:K898" ca="1" si="160" xml:space="preserve">
IF($N835 = 5 + N("CEO"),
    TODAY() - 16340,
    IF($N835 = 8 + N("Secretary"),
        RANDBETWEEN(TODAY() - 12418.5, TODAY()-6574.5),
        IF(OR($N835 = 7, $N835 = 14),
            RANDBETWEEN(TODAY() - 16071, TODAY() - 8766),
            IF(OR($N835 = 13, $N835 = 12, $N835 = 11),
                RANDBETWEEN(TODAY() - 27393.75, TODAY() - 12783.75),
                RANDBETWEEN(TODAY() - 27393.75, TODAY()-10957.5)
            )
        )
    )
)</f>
        <v>36453</v>
      </c>
      <c r="L835" s="6">
        <f t="shared" ref="L835:L898" ca="1" si="161" xml:space="preserve">
IF(OR($N835 = 2, $N835 = 3) + N("Se for presidente ou vice-presidente"),
    7 + N("Doutor"),
    IF($N835 = 4 + N("Se for diretor"),
        RANDBETWEEN(5,7) + N("Graduate school or Master’s degree or Doctorate"),
        IF($N835 = 11 + N("Se for gerente"),
            RANDBETWEEN(4,6) + N("Undergraduate degree or Graduate school or Master’s degree"),
            IF(AND($N835 &gt;= 8, $N835 &lt;= 10) + N("If coordinator or specialist or analyst"),
                RANDBETWEEN(4,5),
                4
            )
        )
    )
)</f>
        <v>5</v>
      </c>
      <c r="M835" s="7">
        <f ca="1" xml:space="preserve">
  IF(OR($N835 = 2, $N835 = 3, $N835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835" s="6">
        <f t="shared" ref="N835:N898" ca="1" si="162" xml:space="preserve">
IF($B835 = 1 + N("Se matrícula for 1"),
  2 + N("Presidente"),
  IF($B835 = 2 + N("Se matrícula for 2"),
    3 + N("Vice-presidente"),
    IF($B835 = 3 + N("Se matrícula for 3"),
      5 + N("Secretária bilíngue"),
      IF(AND($B835 &gt;= 4, $B835 &lt;=14),
        4 + N("Diretor"),
        IF(AND($B835 &gt;= 15, $B835 &lt;= 25),
          11 + N("Manager"),
          IF(AND($B835 &gt;= 26, $B835 &lt;= 36),
            10 + N("Coordinador"),
            IF(AND($B835 &gt;= 37, $B835 &lt;= 47),
              9 + N("Especialista"),
                IF(MOD($B835,2) = 0,
                  8 + N("Analista"),
                  RANDBETWEEN(6,7) + N("Estagiário ou Trainee")
                )
            )
          )
        )
      )
    )
  )
)</f>
        <v>8</v>
      </c>
      <c r="O835" s="6">
        <f t="shared" ref="O835:O898" ca="1" si="163" xml:space="preserve">
IF($N835 =8 + N("Analyst"),
    RANDBETWEEN(2, 4) + N("Jr, Pleno, Sr"),
    NA()
)</f>
        <v>2</v>
      </c>
      <c r="P835" s="8">
        <f t="shared" ref="P835:P898" ca="1" si="164" xml:space="preserve">
IF(
   $N835=2 + N("Presidente"),
   36161,
   IF(
       OR(
         $N835=3 + N("Vice-Presidente"),
         $N835=4 + N("Diretor"),
         $N835=5 + N("Secretária bilíngue")
       ),
       RANDBETWEEN(36161,36411),
       IF(
         ((TODAY() - $K835) / 365) &lt; 19,
         TODAY(),
         RANDBETWEEN(36161,TODAY())
       )
   )
)</f>
        <v>36558</v>
      </c>
      <c r="Q835" s="6">
        <f ca="1">RANDBETWEEN(2,COUNTA('Recruitment source'!$A:$A))</f>
        <v>4</v>
      </c>
      <c r="R835" s="8" t="e">
        <f t="shared" ref="R835:R898" ca="1" si="165" xml:space="preserve">
IF(MOD(
     ROW(),111
   )=0,
   RANDBETWEEN($P835 + 1,TODAY() - 1),NA()
)</f>
        <v>#N/A</v>
      </c>
      <c r="S835" s="6" t="e">
        <f t="shared" ref="S835:S898" ca="1" si="166" xml:space="preserve">
IF(
  ISNA(R835),
  NA(),
  RANDBETWEEN(2,IF($H835="F",10,9))
)</f>
        <v>#N/A</v>
      </c>
      <c r="T835" s="6">
        <f t="shared" ca="1" si="156"/>
        <v>4</v>
      </c>
      <c r="U835" s="1">
        <f t="shared" ref="U835:U898" ca="1" si="167" xml:space="preserve">
IF($N835 = 2 + N("Presidente"),
    25000,
    IF($N835 = 3 + N("Vice-presidente"),
        23000,
        IF(OR($N835 = 5, $N835= 10, $N835 = 9) + N("Secretária bilíngue ou coordenador ou especialista"),
            8000,
            IF($N835 = 4 + N("Diretor"),
                15000,
                IF($N835 = 11 + N("Gerente"),
                    12000,
                    IF($N835 = 6 + N("Estagiário"),
                        805,
                        IF($N835 = 7 + N("Trainee"),
                            1005,
                            IF($N835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IF($L835 = 7,
  100,
  IF($L835 = 8,
    200,
    IF($L835 = 9,
      300,
      IF($L835 = 10,
        400,
        0
      )
    )
  )
)
+
N("Adicional no salário por área")
+
IF($M835 = 14 + N("Tecnologia da Informação"),
  120,
  IF($M835 = 16 + N("Vendas"),
    110,
    IF($M835 = 15 + N("Jurídico"),
      100,
      IF(OR($M835 = 8, $M835 = 9, $M835 = 11) + N("Recursos humanos ou comercial ou comunicação e marketing"),
        80,
        0
      )
    )
  )
)
+
N("Adicionando pegadinha")
+
IF(AND($M835 = 13, $N835 = 8) + N("Se for de vendas e analista"),
  IF($J835 = 2,
    50,
    0
  )
  +
  IF($H835 = "M",
    50,
    0
  ),
  0
)</f>
        <v>2000</v>
      </c>
    </row>
    <row r="836" spans="1:21" x14ac:dyDescent="0.2">
      <c r="A836" s="7" cm="1">
        <f t="array" aca="1" ref="A836" ca="1">INDEX(Companies!$A:$A,RANDBETWEEN(2,COUNTA(Companies!$A:$A)),1)</f>
        <v>2</v>
      </c>
      <c r="B836" s="5">
        <f t="shared" si="157"/>
        <v>835</v>
      </c>
      <c r="C836" s="6">
        <f t="shared" ca="1" si="158"/>
        <v>1</v>
      </c>
      <c r="D836" s="7">
        <f ca="1">IF($B836 = 1 + N("Presidente"),
    127,
    IF($B836 = 2 + N("Vice-Presidente"),
        72,
        IF($B836 = 3 + N("Secretária bilíngue"),
            13,
            RANDBETWEEN(5,COUNT(Name!$A:$A) + 1)
        )
    )
)</f>
        <v>183</v>
      </c>
      <c r="E836" s="7" t="str">
        <f ca="1" xml:space="preserve">
VLOOKUP(
  $D836,
  Name!$A:$B,
  2,
  FALSE
)
&amp; " " &amp;
IF($B836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Joanah Miranda Pereira</v>
      </c>
      <c r="F836" s="7">
        <v>2</v>
      </c>
      <c r="G836" s="7" cm="1">
        <f t="array" aca="1" ref="G836" ca="1">INDEX(States!$B:$B,RANDBETWEEN(2,COUNTA(States!$A:$A)),1)</f>
        <v>21</v>
      </c>
      <c r="H836" s="7" t="str">
        <f ca="1">VLOOKUP($D836,Name!$A:$C,3,FALSE)</f>
        <v>F</v>
      </c>
      <c r="I836" s="7" cm="1">
        <f t="array" aca="1" ref="I836" ca="1">INDEX('Marital status'!$A:$A,RANDBETWEEN(2,COUNTA('Marital status'!$A:$A)),1)</f>
        <v>5</v>
      </c>
      <c r="J836" s="7">
        <f t="shared" ca="1" si="159"/>
        <v>5</v>
      </c>
      <c r="K836" s="8">
        <f t="shared" ca="1" si="160"/>
        <v>30180</v>
      </c>
      <c r="L836" s="6">
        <f t="shared" ca="1" si="161"/>
        <v>4</v>
      </c>
      <c r="M836" s="7">
        <f ca="1" xml:space="preserve">
  IF(OR($N836 = 2, $N836 = 3, $N836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836" s="6">
        <f t="shared" ca="1" si="162"/>
        <v>7</v>
      </c>
      <c r="O836" s="6" t="e">
        <f t="shared" ca="1" si="163"/>
        <v>#N/A</v>
      </c>
      <c r="P836" s="8">
        <f t="shared" ca="1" si="164"/>
        <v>41944</v>
      </c>
      <c r="Q836" s="6">
        <f ca="1">RANDBETWEEN(2,COUNTA('Recruitment source'!$A:$A))</f>
        <v>12</v>
      </c>
      <c r="R836" s="8" t="e">
        <f t="shared" ca="1" si="165"/>
        <v>#N/A</v>
      </c>
      <c r="S836" s="6" t="e">
        <f t="shared" ca="1" si="166"/>
        <v>#N/A</v>
      </c>
      <c r="T836" s="6">
        <f t="shared" ca="1" si="156"/>
        <v>3</v>
      </c>
      <c r="U836" s="1">
        <f t="shared" ca="1" si="167"/>
        <v>1085</v>
      </c>
    </row>
    <row r="837" spans="1:21" x14ac:dyDescent="0.2">
      <c r="A837" s="7" cm="1">
        <f t="array" aca="1" ref="A837" ca="1">INDEX(Companies!$A:$A,RANDBETWEEN(2,COUNTA(Companies!$A:$A)),1)</f>
        <v>2</v>
      </c>
      <c r="B837" s="5">
        <f t="shared" si="157"/>
        <v>836</v>
      </c>
      <c r="C837" s="6">
        <f t="shared" ca="1" si="158"/>
        <v>1</v>
      </c>
      <c r="D837" s="7">
        <f ca="1">IF($B837 = 1 + N("Presidente"),
    127,
    IF($B837 = 2 + N("Vice-Presidente"),
        72,
        IF($B837 = 3 + N("Secretária bilíngue"),
            13,
            RANDBETWEEN(5,COUNT(Name!$A:$A) + 1)
        )
    )
)</f>
        <v>19</v>
      </c>
      <c r="E837" s="7" t="str">
        <f ca="1" xml:space="preserve">
VLOOKUP(
  $D837,
  Name!$A:$B,
  2,
  FALSE
)
&amp; " " &amp;
IF($B837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Aline Alencar Aguiar</v>
      </c>
      <c r="F837" s="7">
        <v>2</v>
      </c>
      <c r="G837" s="7" cm="1">
        <f t="array" aca="1" ref="G837" ca="1">INDEX(States!$B:$B,RANDBETWEEN(2,COUNTA(States!$A:$A)),1)</f>
        <v>19</v>
      </c>
      <c r="H837" s="7" t="str">
        <f ca="1">VLOOKUP($D837,Name!$A:$C,3,FALSE)</f>
        <v>F</v>
      </c>
      <c r="I837" s="7" cm="1">
        <f t="array" aca="1" ref="I837" ca="1">INDEX('Marital status'!$A:$A,RANDBETWEEN(2,COUNTA('Marital status'!$A:$A)),1)</f>
        <v>5</v>
      </c>
      <c r="J837" s="7">
        <f t="shared" ca="1" si="159"/>
        <v>2</v>
      </c>
      <c r="K837" s="8">
        <f t="shared" ca="1" si="160"/>
        <v>35288</v>
      </c>
      <c r="L837" s="6">
        <f t="shared" ca="1" si="161"/>
        <v>5</v>
      </c>
      <c r="M837" s="7">
        <f ca="1" xml:space="preserve">
  IF(OR($N837 = 2, $N837 = 3, $N837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837" s="6">
        <f t="shared" ca="1" si="162"/>
        <v>8</v>
      </c>
      <c r="O837" s="6">
        <f t="shared" ca="1" si="163"/>
        <v>3</v>
      </c>
      <c r="P837" s="8">
        <f t="shared" ca="1" si="164"/>
        <v>39214</v>
      </c>
      <c r="Q837" s="6">
        <f ca="1">RANDBETWEEN(2,COUNTA('Recruitment source'!$A:$A))</f>
        <v>10</v>
      </c>
      <c r="R837" s="8" t="e">
        <f t="shared" ca="1" si="165"/>
        <v>#N/A</v>
      </c>
      <c r="S837" s="6" t="e">
        <f t="shared" ca="1" si="166"/>
        <v>#N/A</v>
      </c>
      <c r="T837" s="6">
        <f t="shared" ca="1" si="156"/>
        <v>5</v>
      </c>
      <c r="U837" s="1">
        <f t="shared" ca="1" si="167"/>
        <v>2000</v>
      </c>
    </row>
    <row r="838" spans="1:21" x14ac:dyDescent="0.2">
      <c r="A838" s="7" cm="1">
        <f t="array" aca="1" ref="A838" ca="1">INDEX(Companies!$A:$A,RANDBETWEEN(2,COUNTA(Companies!$A:$A)),1)</f>
        <v>2</v>
      </c>
      <c r="B838" s="5">
        <f t="shared" si="157"/>
        <v>837</v>
      </c>
      <c r="C838" s="6">
        <f t="shared" ca="1" si="158"/>
        <v>1</v>
      </c>
      <c r="D838" s="7">
        <f ca="1">IF($B838 = 1 + N("Presidente"),
    127,
    IF($B838 = 2 + N("Vice-Presidente"),
        72,
        IF($B838 = 3 + N("Secretária bilíngue"),
            13,
            RANDBETWEEN(5,COUNT(Name!$A:$A) + 1)
        )
    )
)</f>
        <v>260</v>
      </c>
      <c r="E838" s="7" t="str">
        <f ca="1" xml:space="preserve">
VLOOKUP(
  $D838,
  Name!$A:$B,
  2,
  FALSE
)
&amp; " " &amp;
IF($B838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Cecília Monteiro Gomes</v>
      </c>
      <c r="F838" s="7">
        <v>2</v>
      </c>
      <c r="G838" s="7" cm="1">
        <f t="array" aca="1" ref="G838" ca="1">INDEX(States!$B:$B,RANDBETWEEN(2,COUNTA(States!$A:$A)),1)</f>
        <v>11</v>
      </c>
      <c r="H838" s="7" t="str">
        <f ca="1">VLOOKUP($D838,Name!$A:$C,3,FALSE)</f>
        <v>F</v>
      </c>
      <c r="I838" s="7" cm="1">
        <f t="array" aca="1" ref="I838" ca="1">INDEX('Marital status'!$A:$A,RANDBETWEEN(2,COUNTA('Marital status'!$A:$A)),1)</f>
        <v>4</v>
      </c>
      <c r="J838" s="7">
        <f t="shared" ca="1" si="159"/>
        <v>2</v>
      </c>
      <c r="K838" s="8">
        <f t="shared" ca="1" si="160"/>
        <v>33772</v>
      </c>
      <c r="L838" s="6">
        <f t="shared" ca="1" si="161"/>
        <v>4</v>
      </c>
      <c r="M838" s="7">
        <f ca="1" xml:space="preserve">
  IF(OR($N838 = 2, $N838 = 3, $N838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838" s="6">
        <f t="shared" ca="1" si="162"/>
        <v>6</v>
      </c>
      <c r="O838" s="6" t="e">
        <f t="shared" ca="1" si="163"/>
        <v>#N/A</v>
      </c>
      <c r="P838" s="8">
        <f t="shared" ca="1" si="164"/>
        <v>41818</v>
      </c>
      <c r="Q838" s="6">
        <f ca="1">RANDBETWEEN(2,COUNTA('Recruitment source'!$A:$A))</f>
        <v>6</v>
      </c>
      <c r="R838" s="8" t="e">
        <f t="shared" ca="1" si="165"/>
        <v>#N/A</v>
      </c>
      <c r="S838" s="6" t="e">
        <f t="shared" ca="1" si="166"/>
        <v>#N/A</v>
      </c>
      <c r="T838" s="6">
        <f t="shared" ca="1" si="156"/>
        <v>3</v>
      </c>
      <c r="U838" s="1">
        <f t="shared" ca="1" si="167"/>
        <v>805</v>
      </c>
    </row>
    <row r="839" spans="1:21" x14ac:dyDescent="0.2">
      <c r="A839" s="7" cm="1">
        <f t="array" aca="1" ref="A839" ca="1">INDEX(Companies!$A:$A,RANDBETWEEN(2,COUNTA(Companies!$A:$A)),1)</f>
        <v>2</v>
      </c>
      <c r="B839" s="5">
        <f t="shared" si="157"/>
        <v>838</v>
      </c>
      <c r="C839" s="6">
        <f t="shared" ca="1" si="158"/>
        <v>1</v>
      </c>
      <c r="D839" s="7">
        <f ca="1">IF($B839 = 1 + N("Presidente"),
    127,
    IF($B839 = 2 + N("Vice-Presidente"),
        72,
        IF($B839 = 3 + N("Secretária bilíngue"),
            13,
            RANDBETWEEN(5,COUNT(Name!$A:$A) + 1)
        )
    )
)</f>
        <v>268</v>
      </c>
      <c r="E839" s="7" t="str">
        <f ca="1" xml:space="preserve">
VLOOKUP(
  $D839,
  Name!$A:$B,
  2,
  FALSE
)
&amp; " " &amp;
IF($B839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Isis Resende Ferrão</v>
      </c>
      <c r="F839" s="7">
        <v>2</v>
      </c>
      <c r="G839" s="7" cm="1">
        <f t="array" aca="1" ref="G839" ca="1">INDEX(States!$B:$B,RANDBETWEEN(2,COUNTA(States!$A:$A)),1)</f>
        <v>10</v>
      </c>
      <c r="H839" s="7" t="str">
        <f ca="1">VLOOKUP($D839,Name!$A:$C,3,FALSE)</f>
        <v>F</v>
      </c>
      <c r="I839" s="7" cm="1">
        <f t="array" aca="1" ref="I839" ca="1">INDEX('Marital status'!$A:$A,RANDBETWEEN(2,COUNTA('Marital status'!$A:$A)),1)</f>
        <v>4</v>
      </c>
      <c r="J839" s="7">
        <f t="shared" ca="1" si="159"/>
        <v>2</v>
      </c>
      <c r="K839" s="8">
        <f t="shared" ca="1" si="160"/>
        <v>34931</v>
      </c>
      <c r="L839" s="6">
        <f t="shared" ca="1" si="161"/>
        <v>5</v>
      </c>
      <c r="M839" s="7">
        <f ca="1" xml:space="preserve">
  IF(OR($N839 = 2, $N839 = 3, $N839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839" s="6">
        <f t="shared" ca="1" si="162"/>
        <v>8</v>
      </c>
      <c r="O839" s="6">
        <f t="shared" ca="1" si="163"/>
        <v>2</v>
      </c>
      <c r="P839" s="8">
        <f t="shared" ca="1" si="164"/>
        <v>40324</v>
      </c>
      <c r="Q839" s="6">
        <f ca="1">RANDBETWEEN(2,COUNTA('Recruitment source'!$A:$A))</f>
        <v>11</v>
      </c>
      <c r="R839" s="8" t="e">
        <f t="shared" ca="1" si="165"/>
        <v>#N/A</v>
      </c>
      <c r="S839" s="6" t="e">
        <f t="shared" ca="1" si="166"/>
        <v>#N/A</v>
      </c>
      <c r="T839" s="6">
        <f t="shared" ca="1" si="156"/>
        <v>4</v>
      </c>
      <c r="U839" s="1">
        <f t="shared" ca="1" si="167"/>
        <v>2080</v>
      </c>
    </row>
    <row r="840" spans="1:21" x14ac:dyDescent="0.2">
      <c r="A840" s="7" cm="1">
        <f t="array" aca="1" ref="A840" ca="1">INDEX(Companies!$A:$A,RANDBETWEEN(2,COUNTA(Companies!$A:$A)),1)</f>
        <v>2</v>
      </c>
      <c r="B840" s="5">
        <f t="shared" si="157"/>
        <v>839</v>
      </c>
      <c r="C840" s="6">
        <f t="shared" ca="1" si="158"/>
        <v>1</v>
      </c>
      <c r="D840" s="7">
        <f ca="1">IF($B840 = 1 + N("Presidente"),
    127,
    IF($B840 = 2 + N("Vice-Presidente"),
        72,
        IF($B840 = 3 + N("Secretária bilíngue"),
            13,
            RANDBETWEEN(5,COUNT(Name!$A:$A) + 1)
        )
    )
)</f>
        <v>37</v>
      </c>
      <c r="E840" s="7" t="str">
        <f ca="1" xml:space="preserve">
VLOOKUP(
  $D840,
  Name!$A:$B,
  2,
  FALSE
)
&amp; " " &amp;
IF($B840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Vitória Malafaia Batista</v>
      </c>
      <c r="F840" s="7">
        <v>2</v>
      </c>
      <c r="G840" s="7" cm="1">
        <f t="array" aca="1" ref="G840" ca="1">INDEX(States!$B:$B,RANDBETWEEN(2,COUNTA(States!$A:$A)),1)</f>
        <v>5</v>
      </c>
      <c r="H840" s="7" t="str">
        <f ca="1">VLOOKUP($D840,Name!$A:$C,3,FALSE)</f>
        <v>F</v>
      </c>
      <c r="I840" s="7" cm="1">
        <f t="array" aca="1" ref="I840" ca="1">INDEX('Marital status'!$A:$A,RANDBETWEEN(2,COUNTA('Marital status'!$A:$A)),1)</f>
        <v>3</v>
      </c>
      <c r="J840" s="7">
        <f t="shared" ca="1" si="159"/>
        <v>3</v>
      </c>
      <c r="K840" s="8">
        <f t="shared" ca="1" si="160"/>
        <v>19123</v>
      </c>
      <c r="L840" s="6">
        <f t="shared" ca="1" si="161"/>
        <v>4</v>
      </c>
      <c r="M840" s="7">
        <f ca="1" xml:space="preserve">
  IF(OR($N840 = 2, $N840 = 3, $N840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840" s="6">
        <f t="shared" ca="1" si="162"/>
        <v>6</v>
      </c>
      <c r="O840" s="6" t="e">
        <f t="shared" ca="1" si="163"/>
        <v>#N/A</v>
      </c>
      <c r="P840" s="8">
        <f t="shared" ca="1" si="164"/>
        <v>39748</v>
      </c>
      <c r="Q840" s="6">
        <f ca="1">RANDBETWEEN(2,COUNTA('Recruitment source'!$A:$A))</f>
        <v>2</v>
      </c>
      <c r="R840" s="8" t="e">
        <f t="shared" ca="1" si="165"/>
        <v>#N/A</v>
      </c>
      <c r="S840" s="6" t="e">
        <f t="shared" ca="1" si="166"/>
        <v>#N/A</v>
      </c>
      <c r="T840" s="6">
        <f t="shared" ca="1" si="156"/>
        <v>3</v>
      </c>
      <c r="U840" s="1">
        <f t="shared" ca="1" si="167"/>
        <v>805</v>
      </c>
    </row>
    <row r="841" spans="1:21" x14ac:dyDescent="0.2">
      <c r="A841" s="7" cm="1">
        <f t="array" aca="1" ref="A841" ca="1">INDEX(Companies!$A:$A,RANDBETWEEN(2,COUNTA(Companies!$A:$A)),1)</f>
        <v>2</v>
      </c>
      <c r="B841" s="5">
        <f t="shared" si="157"/>
        <v>840</v>
      </c>
      <c r="C841" s="6">
        <f t="shared" ca="1" si="158"/>
        <v>1</v>
      </c>
      <c r="D841" s="7">
        <f ca="1">IF($B841 = 1 + N("Presidente"),
    127,
    IF($B841 = 2 + N("Vice-Presidente"),
        72,
        IF($B841 = 3 + N("Secretária bilíngue"),
            13,
            RANDBETWEEN(5,COUNT(Name!$A:$A) + 1)
        )
    )
)</f>
        <v>50</v>
      </c>
      <c r="E841" s="7" t="str">
        <f ca="1" xml:space="preserve">
VLOOKUP(
  $D841,
  Name!$A:$B,
  2,
  FALSE
)
&amp; " " &amp;
IF($B841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Antonella Testa Andrioli</v>
      </c>
      <c r="F841" s="7">
        <v>2</v>
      </c>
      <c r="G841" s="7" cm="1">
        <f t="array" aca="1" ref="G841" ca="1">INDEX(States!$B:$B,RANDBETWEEN(2,COUNTA(States!$A:$A)),1)</f>
        <v>9</v>
      </c>
      <c r="H841" s="7" t="str">
        <f ca="1">VLOOKUP($D841,Name!$A:$C,3,FALSE)</f>
        <v>F</v>
      </c>
      <c r="I841" s="7" cm="1">
        <f t="array" aca="1" ref="I841" ca="1">INDEX('Marital status'!$A:$A,RANDBETWEEN(2,COUNTA('Marital status'!$A:$A)),1)</f>
        <v>6</v>
      </c>
      <c r="J841" s="7">
        <f t="shared" ca="1" si="159"/>
        <v>2</v>
      </c>
      <c r="K841" s="8">
        <f t="shared" ca="1" si="160"/>
        <v>37990</v>
      </c>
      <c r="L841" s="6">
        <f t="shared" ca="1" si="161"/>
        <v>4</v>
      </c>
      <c r="M841" s="7">
        <f ca="1" xml:space="preserve">
  IF(OR($N841 = 2, $N841 = 3, $N841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841" s="6">
        <f t="shared" ca="1" si="162"/>
        <v>8</v>
      </c>
      <c r="O841" s="6">
        <f t="shared" ca="1" si="163"/>
        <v>4</v>
      </c>
      <c r="P841" s="8">
        <f t="shared" ca="1" si="164"/>
        <v>44838</v>
      </c>
      <c r="Q841" s="6">
        <f ca="1">RANDBETWEEN(2,COUNTA('Recruitment source'!$A:$A))</f>
        <v>11</v>
      </c>
      <c r="R841" s="8" t="e">
        <f t="shared" ca="1" si="165"/>
        <v>#N/A</v>
      </c>
      <c r="S841" s="6" t="e">
        <f t="shared" ca="1" si="166"/>
        <v>#N/A</v>
      </c>
      <c r="T841" s="6">
        <f t="shared" ca="1" si="156"/>
        <v>5</v>
      </c>
      <c r="U841" s="1">
        <f t="shared" ca="1" si="167"/>
        <v>2000</v>
      </c>
    </row>
    <row r="842" spans="1:21" x14ac:dyDescent="0.2">
      <c r="A842" s="7" cm="1">
        <f t="array" aca="1" ref="A842" ca="1">INDEX(Companies!$A:$A,RANDBETWEEN(2,COUNTA(Companies!$A:$A)),1)</f>
        <v>2</v>
      </c>
      <c r="B842" s="5">
        <f t="shared" si="157"/>
        <v>841</v>
      </c>
      <c r="C842" s="6">
        <f t="shared" ca="1" si="158"/>
        <v>1</v>
      </c>
      <c r="D842" s="7">
        <f ca="1">IF($B842 = 1 + N("Presidente"),
    127,
    IF($B842 = 2 + N("Vice-Presidente"),
        72,
        IF($B842 = 3 + N("Secretária bilíngue"),
            13,
            RANDBETWEEN(5,COUNT(Name!$A:$A) + 1)
        )
    )
)</f>
        <v>134</v>
      </c>
      <c r="E842" s="7" t="str">
        <f ca="1" xml:space="preserve">
VLOOKUP(
  $D842,
  Name!$A:$B,
  2,
  FALSE
)
&amp; " " &amp;
IF($B842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Eva Ferreira Bragança</v>
      </c>
      <c r="F842" s="7">
        <v>2</v>
      </c>
      <c r="G842" s="7" cm="1">
        <f t="array" aca="1" ref="G842" ca="1">INDEX(States!$B:$B,RANDBETWEEN(2,COUNTA(States!$A:$A)),1)</f>
        <v>4</v>
      </c>
      <c r="H842" s="7" t="str">
        <f ca="1">VLOOKUP($D842,Name!$A:$C,3,FALSE)</f>
        <v>F</v>
      </c>
      <c r="I842" s="7" cm="1">
        <f t="array" aca="1" ref="I842" ca="1">INDEX('Marital status'!$A:$A,RANDBETWEEN(2,COUNTA('Marital status'!$A:$A)),1)</f>
        <v>6</v>
      </c>
      <c r="J842" s="7">
        <f t="shared" ca="1" si="159"/>
        <v>2</v>
      </c>
      <c r="K842" s="8">
        <f t="shared" ca="1" si="160"/>
        <v>25725</v>
      </c>
      <c r="L842" s="6">
        <f t="shared" ca="1" si="161"/>
        <v>4</v>
      </c>
      <c r="M842" s="7">
        <f ca="1" xml:space="preserve">
  IF(OR($N842 = 2, $N842 = 3, $N842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842" s="6">
        <f t="shared" ca="1" si="162"/>
        <v>6</v>
      </c>
      <c r="O842" s="6" t="e">
        <f t="shared" ca="1" si="163"/>
        <v>#N/A</v>
      </c>
      <c r="P842" s="8">
        <f t="shared" ca="1" si="164"/>
        <v>37824</v>
      </c>
      <c r="Q842" s="6">
        <f ca="1">RANDBETWEEN(2,COUNTA('Recruitment source'!$A:$A))</f>
        <v>12</v>
      </c>
      <c r="R842" s="8" t="e">
        <f t="shared" ca="1" si="165"/>
        <v>#N/A</v>
      </c>
      <c r="S842" s="6" t="e">
        <f t="shared" ca="1" si="166"/>
        <v>#N/A</v>
      </c>
      <c r="T842" s="6">
        <f t="shared" ca="1" si="156"/>
        <v>5</v>
      </c>
      <c r="U842" s="1">
        <f t="shared" ca="1" si="167"/>
        <v>805</v>
      </c>
    </row>
    <row r="843" spans="1:21" x14ac:dyDescent="0.2">
      <c r="A843" s="7" cm="1">
        <f t="array" aca="1" ref="A843" ca="1">INDEX(Companies!$A:$A,RANDBETWEEN(2,COUNTA(Companies!$A:$A)),1)</f>
        <v>2</v>
      </c>
      <c r="B843" s="5">
        <f t="shared" si="157"/>
        <v>842</v>
      </c>
      <c r="C843" s="6">
        <f t="shared" ca="1" si="158"/>
        <v>1</v>
      </c>
      <c r="D843" s="7">
        <f ca="1">IF($B843 = 1 + N("Presidente"),
    127,
    IF($B843 = 2 + N("Vice-Presidente"),
        72,
        IF($B843 = 3 + N("Secretária bilíngue"),
            13,
            RANDBETWEEN(5,COUNT(Name!$A:$A) + 1)
        )
    )
)</f>
        <v>308</v>
      </c>
      <c r="E843" s="7" t="str">
        <f ca="1" xml:space="preserve">
VLOOKUP(
  $D843,
  Name!$A:$B,
  2,
  FALSE
)
&amp; " " &amp;
IF($B843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Noah Pimentel Santacruz</v>
      </c>
      <c r="F843" s="7">
        <v>2</v>
      </c>
      <c r="G843" s="7" cm="1">
        <f t="array" aca="1" ref="G843" ca="1">INDEX(States!$B:$B,RANDBETWEEN(2,COUNTA(States!$A:$A)),1)</f>
        <v>12</v>
      </c>
      <c r="H843" s="7" t="str">
        <f ca="1">VLOOKUP($D843,Name!$A:$C,3,FALSE)</f>
        <v>M</v>
      </c>
      <c r="I843" s="7" cm="1">
        <f t="array" aca="1" ref="I843" ca="1">INDEX('Marital status'!$A:$A,RANDBETWEEN(2,COUNTA('Marital status'!$A:$A)),1)</f>
        <v>4</v>
      </c>
      <c r="J843" s="7">
        <f t="shared" ca="1" si="159"/>
        <v>2</v>
      </c>
      <c r="K843" s="8">
        <f t="shared" ca="1" si="160"/>
        <v>36285</v>
      </c>
      <c r="L843" s="6">
        <f t="shared" ca="1" si="161"/>
        <v>4</v>
      </c>
      <c r="M843" s="7">
        <f ca="1" xml:space="preserve">
  IF(OR($N843 = 2, $N843 = 3, $N843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843" s="6">
        <f t="shared" ca="1" si="162"/>
        <v>8</v>
      </c>
      <c r="O843" s="6">
        <f t="shared" ca="1" si="163"/>
        <v>2</v>
      </c>
      <c r="P843" s="8">
        <f t="shared" ca="1" si="164"/>
        <v>42741</v>
      </c>
      <c r="Q843" s="6">
        <f ca="1">RANDBETWEEN(2,COUNTA('Recruitment source'!$A:$A))</f>
        <v>6</v>
      </c>
      <c r="R843" s="8" t="e">
        <f t="shared" ca="1" si="165"/>
        <v>#N/A</v>
      </c>
      <c r="S843" s="6" t="e">
        <f t="shared" ca="1" si="166"/>
        <v>#N/A</v>
      </c>
      <c r="T843" s="6">
        <f t="shared" ca="1" si="156"/>
        <v>2</v>
      </c>
      <c r="U843" s="1">
        <f t="shared" ca="1" si="167"/>
        <v>2080</v>
      </c>
    </row>
    <row r="844" spans="1:21" x14ac:dyDescent="0.2">
      <c r="A844" s="7" cm="1">
        <f t="array" aca="1" ref="A844" ca="1">INDEX(Companies!$A:$A,RANDBETWEEN(2,COUNTA(Companies!$A:$A)),1)</f>
        <v>2</v>
      </c>
      <c r="B844" s="5">
        <f t="shared" si="157"/>
        <v>843</v>
      </c>
      <c r="C844" s="6">
        <f t="shared" ca="1" si="158"/>
        <v>1</v>
      </c>
      <c r="D844" s="7">
        <f ca="1">IF($B844 = 1 + N("Presidente"),
    127,
    IF($B844 = 2 + N("Vice-Presidente"),
        72,
        IF($B844 = 3 + N("Secretária bilíngue"),
            13,
            RANDBETWEEN(5,COUNT(Name!$A:$A) + 1)
        )
    )
)</f>
        <v>191</v>
      </c>
      <c r="E844" s="7" t="str">
        <f ca="1" xml:space="preserve">
VLOOKUP(
  $D844,
  Name!$A:$B,
  2,
  FALSE
)
&amp; " " &amp;
IF($B844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Paulo Machado Cabral</v>
      </c>
      <c r="F844" s="7">
        <v>2</v>
      </c>
      <c r="G844" s="7" cm="1">
        <f t="array" aca="1" ref="G844" ca="1">INDEX(States!$B:$B,RANDBETWEEN(2,COUNTA(States!$A:$A)),1)</f>
        <v>21</v>
      </c>
      <c r="H844" s="7" t="str">
        <f ca="1">VLOOKUP($D844,Name!$A:$C,3,FALSE)</f>
        <v>M</v>
      </c>
      <c r="I844" s="7" cm="1">
        <f t="array" aca="1" ref="I844" ca="1">INDEX('Marital status'!$A:$A,RANDBETWEEN(2,COUNTA('Marital status'!$A:$A)),1)</f>
        <v>6</v>
      </c>
      <c r="J844" s="7">
        <f t="shared" ca="1" si="159"/>
        <v>2</v>
      </c>
      <c r="K844" s="8">
        <f t="shared" ca="1" si="160"/>
        <v>27880</v>
      </c>
      <c r="L844" s="6">
        <f t="shared" ca="1" si="161"/>
        <v>4</v>
      </c>
      <c r="M844" s="7">
        <f ca="1" xml:space="preserve">
  IF(OR($N844 = 2, $N844 = 3, $N844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844" s="6">
        <f t="shared" ca="1" si="162"/>
        <v>6</v>
      </c>
      <c r="O844" s="6" t="e">
        <f t="shared" ca="1" si="163"/>
        <v>#N/A</v>
      </c>
      <c r="P844" s="8">
        <f t="shared" ca="1" si="164"/>
        <v>42032</v>
      </c>
      <c r="Q844" s="6">
        <f ca="1">RANDBETWEEN(2,COUNTA('Recruitment source'!$A:$A))</f>
        <v>10</v>
      </c>
      <c r="R844" s="8" t="e">
        <f t="shared" ca="1" si="165"/>
        <v>#N/A</v>
      </c>
      <c r="S844" s="6" t="e">
        <f t="shared" ca="1" si="166"/>
        <v>#N/A</v>
      </c>
      <c r="T844" s="6">
        <f t="shared" ca="1" si="156"/>
        <v>4</v>
      </c>
      <c r="U844" s="1">
        <f t="shared" ca="1" si="167"/>
        <v>805</v>
      </c>
    </row>
    <row r="845" spans="1:21" x14ac:dyDescent="0.2">
      <c r="A845" s="7" cm="1">
        <f t="array" aca="1" ref="A845" ca="1">INDEX(Companies!$A:$A,RANDBETWEEN(2,COUNTA(Companies!$A:$A)),1)</f>
        <v>2</v>
      </c>
      <c r="B845" s="5">
        <f t="shared" si="157"/>
        <v>844</v>
      </c>
      <c r="C845" s="6">
        <f t="shared" ca="1" si="158"/>
        <v>1</v>
      </c>
      <c r="D845" s="7">
        <f ca="1">IF($B845 = 1 + N("Presidente"),
    127,
    IF($B845 = 2 + N("Vice-Presidente"),
        72,
        IF($B845 = 3 + N("Secretária bilíngue"),
            13,
            RANDBETWEEN(5,COUNT(Name!$A:$A) + 1)
        )
    )
)</f>
        <v>273</v>
      </c>
      <c r="E845" s="7" t="str">
        <f ca="1" xml:space="preserve">
VLOOKUP(
  $D845,
  Name!$A:$B,
  2,
  FALSE
)
&amp; " " &amp;
IF($B845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Sophia Greco Mancini</v>
      </c>
      <c r="F845" s="7">
        <v>2</v>
      </c>
      <c r="G845" s="7" cm="1">
        <f t="array" aca="1" ref="G845" ca="1">INDEX(States!$B:$B,RANDBETWEEN(2,COUNTA(States!$A:$A)),1)</f>
        <v>11</v>
      </c>
      <c r="H845" s="7" t="str">
        <f ca="1">VLOOKUP($D845,Name!$A:$C,3,FALSE)</f>
        <v>F</v>
      </c>
      <c r="I845" s="7" cm="1">
        <f t="array" aca="1" ref="I845" ca="1">INDEX('Marital status'!$A:$A,RANDBETWEEN(2,COUNTA('Marital status'!$A:$A)),1)</f>
        <v>2</v>
      </c>
      <c r="J845" s="7">
        <f t="shared" ca="1" si="159"/>
        <v>2</v>
      </c>
      <c r="K845" s="8">
        <f t="shared" ca="1" si="160"/>
        <v>35612</v>
      </c>
      <c r="L845" s="6">
        <f t="shared" ca="1" si="161"/>
        <v>4</v>
      </c>
      <c r="M845" s="7">
        <f ca="1" xml:space="preserve">
  IF(OR($N845 = 2, $N845 = 3, $N845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845" s="6">
        <f t="shared" ca="1" si="162"/>
        <v>8</v>
      </c>
      <c r="O845" s="6">
        <f t="shared" ca="1" si="163"/>
        <v>4</v>
      </c>
      <c r="P845" s="8">
        <f t="shared" ca="1" si="164"/>
        <v>41187</v>
      </c>
      <c r="Q845" s="6">
        <f ca="1">RANDBETWEEN(2,COUNTA('Recruitment source'!$A:$A))</f>
        <v>12</v>
      </c>
      <c r="R845" s="8" t="e">
        <f t="shared" ca="1" si="165"/>
        <v>#N/A</v>
      </c>
      <c r="S845" s="6" t="e">
        <f t="shared" ca="1" si="166"/>
        <v>#N/A</v>
      </c>
      <c r="T845" s="6">
        <f t="shared" ca="1" si="156"/>
        <v>5</v>
      </c>
      <c r="U845" s="1">
        <f t="shared" ca="1" si="167"/>
        <v>2000</v>
      </c>
    </row>
    <row r="846" spans="1:21" x14ac:dyDescent="0.2">
      <c r="A846" s="7" cm="1">
        <f t="array" aca="1" ref="A846" ca="1">INDEX(Companies!$A:$A,RANDBETWEEN(2,COUNTA(Companies!$A:$A)),1)</f>
        <v>2</v>
      </c>
      <c r="B846" s="5">
        <f t="shared" si="157"/>
        <v>845</v>
      </c>
      <c r="C846" s="6">
        <f t="shared" ca="1" si="158"/>
        <v>1</v>
      </c>
      <c r="D846" s="7">
        <f ca="1">IF($B846 = 1 + N("Presidente"),
    127,
    IF($B846 = 2 + N("Vice-Presidente"),
        72,
        IF($B846 = 3 + N("Secretária bilíngue"),
            13,
            RANDBETWEEN(5,COUNT(Name!$A:$A) + 1)
        )
    )
)</f>
        <v>36</v>
      </c>
      <c r="E846" s="7" t="str">
        <f ca="1" xml:space="preserve">
VLOOKUP(
  $D846,
  Name!$A:$B,
  2,
  FALSE
)
&amp; " " &amp;
IF($B846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Sophia Chaves Santos</v>
      </c>
      <c r="F846" s="7">
        <v>2</v>
      </c>
      <c r="G846" s="7" cm="1">
        <f t="array" aca="1" ref="G846" ca="1">INDEX(States!$B:$B,RANDBETWEEN(2,COUNTA(States!$A:$A)),1)</f>
        <v>8</v>
      </c>
      <c r="H846" s="7" t="str">
        <f ca="1">VLOOKUP($D846,Name!$A:$C,3,FALSE)</f>
        <v>F</v>
      </c>
      <c r="I846" s="7" cm="1">
        <f t="array" aca="1" ref="I846" ca="1">INDEX('Marital status'!$A:$A,RANDBETWEEN(2,COUNTA('Marital status'!$A:$A)),1)</f>
        <v>5</v>
      </c>
      <c r="J846" s="7">
        <f t="shared" ca="1" si="159"/>
        <v>2</v>
      </c>
      <c r="K846" s="8">
        <f t="shared" ca="1" si="160"/>
        <v>31552</v>
      </c>
      <c r="L846" s="6">
        <f t="shared" ca="1" si="161"/>
        <v>4</v>
      </c>
      <c r="M846" s="7">
        <f ca="1" xml:space="preserve">
  IF(OR($N846 = 2, $N846 = 3, $N846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846" s="6">
        <f t="shared" ca="1" si="162"/>
        <v>7</v>
      </c>
      <c r="O846" s="6" t="e">
        <f t="shared" ca="1" si="163"/>
        <v>#N/A</v>
      </c>
      <c r="P846" s="8">
        <f t="shared" ca="1" si="164"/>
        <v>37674</v>
      </c>
      <c r="Q846" s="6">
        <f ca="1">RANDBETWEEN(2,COUNTA('Recruitment source'!$A:$A))</f>
        <v>6</v>
      </c>
      <c r="R846" s="8" t="e">
        <f t="shared" ca="1" si="165"/>
        <v>#N/A</v>
      </c>
      <c r="S846" s="6" t="e">
        <f t="shared" ca="1" si="166"/>
        <v>#N/A</v>
      </c>
      <c r="T846" s="6">
        <f t="shared" ca="1" si="156"/>
        <v>5</v>
      </c>
      <c r="U846" s="1">
        <f t="shared" ca="1" si="167"/>
        <v>1005</v>
      </c>
    </row>
    <row r="847" spans="1:21" x14ac:dyDescent="0.2">
      <c r="A847" s="7" cm="1">
        <f t="array" aca="1" ref="A847" ca="1">INDEX(Companies!$A:$A,RANDBETWEEN(2,COUNTA(Companies!$A:$A)),1)</f>
        <v>2</v>
      </c>
      <c r="B847" s="5">
        <f t="shared" si="157"/>
        <v>846</v>
      </c>
      <c r="C847" s="6">
        <f t="shared" ca="1" si="158"/>
        <v>1</v>
      </c>
      <c r="D847" s="7">
        <f ca="1">IF($B847 = 1 + N("Presidente"),
    127,
    IF($B847 = 2 + N("Vice-Presidente"),
        72,
        IF($B847 = 3 + N("Secretária bilíngue"),
            13,
            RANDBETWEEN(5,COUNT(Name!$A:$A) + 1)
        )
    )
)</f>
        <v>268</v>
      </c>
      <c r="E847" s="7" t="str">
        <f ca="1" xml:space="preserve">
VLOOKUP(
  $D847,
  Name!$A:$B,
  2,
  FALSE
)
&amp; " " &amp;
IF($B847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Isis Ferreira Martinelli</v>
      </c>
      <c r="F847" s="7">
        <v>2</v>
      </c>
      <c r="G847" s="7" cm="1">
        <f t="array" aca="1" ref="G847" ca="1">INDEX(States!$B:$B,RANDBETWEEN(2,COUNTA(States!$A:$A)),1)</f>
        <v>3</v>
      </c>
      <c r="H847" s="7" t="str">
        <f ca="1">VLOOKUP($D847,Name!$A:$C,3,FALSE)</f>
        <v>F</v>
      </c>
      <c r="I847" s="7" cm="1">
        <f t="array" aca="1" ref="I847" ca="1">INDEX('Marital status'!$A:$A,RANDBETWEEN(2,COUNTA('Marital status'!$A:$A)),1)</f>
        <v>2</v>
      </c>
      <c r="J847" s="7">
        <f t="shared" ca="1" si="159"/>
        <v>4</v>
      </c>
      <c r="K847" s="8">
        <f t="shared" ca="1" si="160"/>
        <v>32675</v>
      </c>
      <c r="L847" s="6">
        <f t="shared" ca="1" si="161"/>
        <v>4</v>
      </c>
      <c r="M847" s="7">
        <f ca="1" xml:space="preserve">
  IF(OR($N847 = 2, $N847 = 3, $N847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847" s="6">
        <f t="shared" ca="1" si="162"/>
        <v>8</v>
      </c>
      <c r="O847" s="6">
        <f t="shared" ca="1" si="163"/>
        <v>2</v>
      </c>
      <c r="P847" s="8">
        <f t="shared" ca="1" si="164"/>
        <v>41877</v>
      </c>
      <c r="Q847" s="6">
        <f ca="1">RANDBETWEEN(2,COUNTA('Recruitment source'!$A:$A))</f>
        <v>9</v>
      </c>
      <c r="R847" s="8" t="e">
        <f t="shared" ca="1" si="165"/>
        <v>#N/A</v>
      </c>
      <c r="S847" s="6" t="e">
        <f t="shared" ca="1" si="166"/>
        <v>#N/A</v>
      </c>
      <c r="T847" s="6">
        <f t="shared" ca="1" si="156"/>
        <v>3</v>
      </c>
      <c r="U847" s="1">
        <f t="shared" ca="1" si="167"/>
        <v>2080</v>
      </c>
    </row>
    <row r="848" spans="1:21" x14ac:dyDescent="0.2">
      <c r="A848" s="7" cm="1">
        <f t="array" aca="1" ref="A848" ca="1">INDEX(Companies!$A:$A,RANDBETWEEN(2,COUNTA(Companies!$A:$A)),1)</f>
        <v>2</v>
      </c>
      <c r="B848" s="5">
        <f t="shared" si="157"/>
        <v>847</v>
      </c>
      <c r="C848" s="6">
        <f t="shared" ca="1" si="158"/>
        <v>1</v>
      </c>
      <c r="D848" s="7">
        <f ca="1">IF($B848 = 1 + N("Presidente"),
    127,
    IF($B848 = 2 + N("Vice-Presidente"),
        72,
        IF($B848 = 3 + N("Secretária bilíngue"),
            13,
            RANDBETWEEN(5,COUNT(Name!$A:$A) + 1)
        )
    )
)</f>
        <v>68</v>
      </c>
      <c r="E848" s="7" t="str">
        <f ca="1" xml:space="preserve">
VLOOKUP(
  $D848,
  Name!$A:$B,
  2,
  FALSE
)
&amp; " " &amp;
IF($B848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Benício Conti Dias</v>
      </c>
      <c r="F848" s="7">
        <v>2</v>
      </c>
      <c r="G848" s="7" cm="1">
        <f t="array" aca="1" ref="G848" ca="1">INDEX(States!$B:$B,RANDBETWEEN(2,COUNTA(States!$A:$A)),1)</f>
        <v>9</v>
      </c>
      <c r="H848" s="7" t="str">
        <f ca="1">VLOOKUP($D848,Name!$A:$C,3,FALSE)</f>
        <v>M</v>
      </c>
      <c r="I848" s="7" cm="1">
        <f t="array" aca="1" ref="I848" ca="1">INDEX('Marital status'!$A:$A,RANDBETWEEN(2,COUNTA('Marital status'!$A:$A)),1)</f>
        <v>6</v>
      </c>
      <c r="J848" s="7">
        <f t="shared" ca="1" si="159"/>
        <v>2</v>
      </c>
      <c r="K848" s="8">
        <f t="shared" ca="1" si="160"/>
        <v>29828</v>
      </c>
      <c r="L848" s="6">
        <f t="shared" ca="1" si="161"/>
        <v>4</v>
      </c>
      <c r="M848" s="7">
        <f ca="1" xml:space="preserve">
  IF(OR($N848 = 2, $N848 = 3, $N848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848" s="6">
        <f t="shared" ca="1" si="162"/>
        <v>7</v>
      </c>
      <c r="O848" s="6" t="e">
        <f t="shared" ca="1" si="163"/>
        <v>#N/A</v>
      </c>
      <c r="P848" s="8">
        <f t="shared" ca="1" si="164"/>
        <v>37864</v>
      </c>
      <c r="Q848" s="6">
        <f ca="1">RANDBETWEEN(2,COUNTA('Recruitment source'!$A:$A))</f>
        <v>4</v>
      </c>
      <c r="R848" s="8" t="e">
        <f t="shared" ca="1" si="165"/>
        <v>#N/A</v>
      </c>
      <c r="S848" s="6" t="e">
        <f t="shared" ca="1" si="166"/>
        <v>#N/A</v>
      </c>
      <c r="T848" s="6">
        <f t="shared" ca="1" si="156"/>
        <v>4</v>
      </c>
      <c r="U848" s="1">
        <f t="shared" ca="1" si="167"/>
        <v>1005</v>
      </c>
    </row>
    <row r="849" spans="1:21" x14ac:dyDescent="0.2">
      <c r="A849" s="7" cm="1">
        <f t="array" aca="1" ref="A849" ca="1">INDEX(Companies!$A:$A,RANDBETWEEN(2,COUNTA(Companies!$A:$A)),1)</f>
        <v>2</v>
      </c>
      <c r="B849" s="5">
        <f t="shared" si="157"/>
        <v>848</v>
      </c>
      <c r="C849" s="6">
        <f t="shared" ca="1" si="158"/>
        <v>1</v>
      </c>
      <c r="D849" s="7">
        <f ca="1">IF($B849 = 1 + N("Presidente"),
    127,
    IF($B849 = 2 + N("Vice-Presidente"),
        72,
        IF($B849 = 3 + N("Secretária bilíngue"),
            13,
            RANDBETWEEN(5,COUNT(Name!$A:$A) + 1)
        )
    )
)</f>
        <v>70</v>
      </c>
      <c r="E849" s="7" t="str">
        <f ca="1" xml:space="preserve">
VLOOKUP(
  $D849,
  Name!$A:$B,
  2,
  FALSE
)
&amp; " " &amp;
IF($B849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Bento Alcantara Barbieri</v>
      </c>
      <c r="F849" s="7">
        <v>2</v>
      </c>
      <c r="G849" s="7" cm="1">
        <f t="array" aca="1" ref="G849" ca="1">INDEX(States!$B:$B,RANDBETWEEN(2,COUNTA(States!$A:$A)),1)</f>
        <v>10</v>
      </c>
      <c r="H849" s="7" t="str">
        <f ca="1">VLOOKUP($D849,Name!$A:$C,3,FALSE)</f>
        <v>M</v>
      </c>
      <c r="I849" s="7" cm="1">
        <f t="array" aca="1" ref="I849" ca="1">INDEX('Marital status'!$A:$A,RANDBETWEEN(2,COUNTA('Marital status'!$A:$A)),1)</f>
        <v>2</v>
      </c>
      <c r="J849" s="7">
        <f t="shared" ca="1" si="159"/>
        <v>2</v>
      </c>
      <c r="K849" s="8">
        <f t="shared" ca="1" si="160"/>
        <v>33315</v>
      </c>
      <c r="L849" s="6">
        <f t="shared" ca="1" si="161"/>
        <v>4</v>
      </c>
      <c r="M849" s="7">
        <f ca="1" xml:space="preserve">
  IF(OR($N849 = 2, $N849 = 3, $N849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849" s="6">
        <f t="shared" ca="1" si="162"/>
        <v>8</v>
      </c>
      <c r="O849" s="6">
        <f t="shared" ca="1" si="163"/>
        <v>3</v>
      </c>
      <c r="P849" s="8">
        <f t="shared" ca="1" si="164"/>
        <v>43727</v>
      </c>
      <c r="Q849" s="6">
        <f ca="1">RANDBETWEEN(2,COUNTA('Recruitment source'!$A:$A))</f>
        <v>4</v>
      </c>
      <c r="R849" s="8" t="e">
        <f t="shared" ca="1" si="165"/>
        <v>#N/A</v>
      </c>
      <c r="S849" s="6" t="e">
        <f t="shared" ca="1" si="166"/>
        <v>#N/A</v>
      </c>
      <c r="T849" s="6">
        <f t="shared" ca="1" si="156"/>
        <v>4</v>
      </c>
      <c r="U849" s="1">
        <f t="shared" ca="1" si="167"/>
        <v>2000</v>
      </c>
    </row>
    <row r="850" spans="1:21" x14ac:dyDescent="0.2">
      <c r="A850" s="7" cm="1">
        <f t="array" aca="1" ref="A850" ca="1">INDEX(Companies!$A:$A,RANDBETWEEN(2,COUNTA(Companies!$A:$A)),1)</f>
        <v>2</v>
      </c>
      <c r="B850" s="5">
        <f t="shared" si="157"/>
        <v>849</v>
      </c>
      <c r="C850" s="6">
        <f t="shared" ca="1" si="158"/>
        <v>1</v>
      </c>
      <c r="D850" s="7">
        <f ca="1">IF($B850 = 1 + N("Presidente"),
    127,
    IF($B850 = 2 + N("Vice-Presidente"),
        72,
        IF($B850 = 3 + N("Secretária bilíngue"),
            13,
            RANDBETWEEN(5,COUNT(Name!$A:$A) + 1)
        )
    )
)</f>
        <v>259</v>
      </c>
      <c r="E850" s="7" t="str">
        <f ca="1" xml:space="preserve">
VLOOKUP(
  $D850,
  Name!$A:$B,
  2,
  FALSE
)
&amp; " " &amp;
IF($B850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Carolina Mancini Giordano</v>
      </c>
      <c r="F850" s="7">
        <v>2</v>
      </c>
      <c r="G850" s="7" cm="1">
        <f t="array" aca="1" ref="G850" ca="1">INDEX(States!$B:$B,RANDBETWEEN(2,COUNTA(States!$A:$A)),1)</f>
        <v>2</v>
      </c>
      <c r="H850" s="7" t="str">
        <f ca="1">VLOOKUP($D850,Name!$A:$C,3,FALSE)</f>
        <v>F</v>
      </c>
      <c r="I850" s="7" cm="1">
        <f t="array" aca="1" ref="I850" ca="1">INDEX('Marital status'!$A:$A,RANDBETWEEN(2,COUNTA('Marital status'!$A:$A)),1)</f>
        <v>5</v>
      </c>
      <c r="J850" s="7">
        <f t="shared" ca="1" si="159"/>
        <v>2</v>
      </c>
      <c r="K850" s="8">
        <f t="shared" ca="1" si="160"/>
        <v>26714</v>
      </c>
      <c r="L850" s="6">
        <f t="shared" ca="1" si="161"/>
        <v>4</v>
      </c>
      <c r="M850" s="7">
        <f ca="1" xml:space="preserve">
  IF(OR($N850 = 2, $N850 = 3, $N850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850" s="6">
        <f t="shared" ca="1" si="162"/>
        <v>6</v>
      </c>
      <c r="O850" s="6" t="e">
        <f t="shared" ca="1" si="163"/>
        <v>#N/A</v>
      </c>
      <c r="P850" s="8">
        <f t="shared" ca="1" si="164"/>
        <v>36604</v>
      </c>
      <c r="Q850" s="6">
        <f ca="1">RANDBETWEEN(2,COUNTA('Recruitment source'!$A:$A))</f>
        <v>4</v>
      </c>
      <c r="R850" s="8" t="e">
        <f t="shared" ca="1" si="165"/>
        <v>#N/A</v>
      </c>
      <c r="S850" s="6" t="e">
        <f t="shared" ca="1" si="166"/>
        <v>#N/A</v>
      </c>
      <c r="T850" s="6">
        <f t="shared" ca="1" si="156"/>
        <v>3</v>
      </c>
      <c r="U850" s="1">
        <f t="shared" ca="1" si="167"/>
        <v>805</v>
      </c>
    </row>
    <row r="851" spans="1:21" x14ac:dyDescent="0.2">
      <c r="A851" s="7" cm="1">
        <f t="array" aca="1" ref="A851" ca="1">INDEX(Companies!$A:$A,RANDBETWEEN(2,COUNTA(Companies!$A:$A)),1)</f>
        <v>2</v>
      </c>
      <c r="B851" s="5">
        <f t="shared" si="157"/>
        <v>850</v>
      </c>
      <c r="C851" s="6">
        <f t="shared" ca="1" si="158"/>
        <v>1</v>
      </c>
      <c r="D851" s="7">
        <f ca="1">IF($B851 = 1 + N("Presidente"),
    127,
    IF($B851 = 2 + N("Vice-Presidente"),
        72,
        IF($B851 = 3 + N("Secretária bilíngue"),
            13,
            RANDBETWEEN(5,COUNT(Name!$A:$A) + 1)
        )
    )
)</f>
        <v>20</v>
      </c>
      <c r="E851" s="7" t="str">
        <f ca="1" xml:space="preserve">
VLOOKUP(
  $D851,
  Name!$A:$B,
  2,
  FALSE
)
&amp; " " &amp;
IF($B851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Alini Freitas Ferrão</v>
      </c>
      <c r="F851" s="7">
        <v>2</v>
      </c>
      <c r="G851" s="7" cm="1">
        <f t="array" aca="1" ref="G851" ca="1">INDEX(States!$B:$B,RANDBETWEEN(2,COUNTA(States!$A:$A)),1)</f>
        <v>14</v>
      </c>
      <c r="H851" s="7" t="str">
        <f ca="1">VLOOKUP($D851,Name!$A:$C,3,FALSE)</f>
        <v>F</v>
      </c>
      <c r="I851" s="7" cm="1">
        <f t="array" aca="1" ref="I851" ca="1">INDEX('Marital status'!$A:$A,RANDBETWEEN(2,COUNTA('Marital status'!$A:$A)),1)</f>
        <v>5</v>
      </c>
      <c r="J851" s="7">
        <f t="shared" ca="1" si="159"/>
        <v>2</v>
      </c>
      <c r="K851" s="8">
        <f t="shared" ca="1" si="160"/>
        <v>36759</v>
      </c>
      <c r="L851" s="6">
        <f t="shared" ca="1" si="161"/>
        <v>5</v>
      </c>
      <c r="M851" s="7">
        <f ca="1" xml:space="preserve">
  IF(OR($N851 = 2, $N851 = 3, $N851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851" s="6">
        <f t="shared" ca="1" si="162"/>
        <v>8</v>
      </c>
      <c r="O851" s="6">
        <f t="shared" ca="1" si="163"/>
        <v>4</v>
      </c>
      <c r="P851" s="8">
        <f t="shared" ca="1" si="164"/>
        <v>42882</v>
      </c>
      <c r="Q851" s="6">
        <f ca="1">RANDBETWEEN(2,COUNTA('Recruitment source'!$A:$A))</f>
        <v>4</v>
      </c>
      <c r="R851" s="8" t="e">
        <f t="shared" ca="1" si="165"/>
        <v>#N/A</v>
      </c>
      <c r="S851" s="6" t="e">
        <f t="shared" ca="1" si="166"/>
        <v>#N/A</v>
      </c>
      <c r="T851" s="6">
        <f t="shared" ca="1" si="156"/>
        <v>3</v>
      </c>
      <c r="U851" s="1">
        <f t="shared" ca="1" si="167"/>
        <v>2000</v>
      </c>
    </row>
    <row r="852" spans="1:21" x14ac:dyDescent="0.2">
      <c r="A852" s="7" cm="1">
        <f t="array" aca="1" ref="A852" ca="1">INDEX(Companies!$A:$A,RANDBETWEEN(2,COUNTA(Companies!$A:$A)),1)</f>
        <v>2</v>
      </c>
      <c r="B852" s="5">
        <f t="shared" si="157"/>
        <v>851</v>
      </c>
      <c r="C852" s="6">
        <f t="shared" ca="1" si="158"/>
        <v>1</v>
      </c>
      <c r="D852" s="7">
        <f ca="1">IF($B852 = 1 + N("Presidente"),
    127,
    IF($B852 = 2 + N("Vice-Presidente"),
        72,
        IF($B852 = 3 + N("Secretária bilíngue"),
            13,
            RANDBETWEEN(5,COUNT(Name!$A:$A) + 1)
        )
    )
)</f>
        <v>186</v>
      </c>
      <c r="E852" s="7" t="str">
        <f ca="1" xml:space="preserve">
VLOOKUP(
  $D852,
  Name!$A:$B,
  2,
  FALSE
)
&amp; " " &amp;
IF($B852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Gabriel Martini Brito</v>
      </c>
      <c r="F852" s="7">
        <v>2</v>
      </c>
      <c r="G852" s="7" cm="1">
        <f t="array" aca="1" ref="G852" ca="1">INDEX(States!$B:$B,RANDBETWEEN(2,COUNTA(States!$A:$A)),1)</f>
        <v>14</v>
      </c>
      <c r="H852" s="7" t="str">
        <f ca="1">VLOOKUP($D852,Name!$A:$C,3,FALSE)</f>
        <v>M</v>
      </c>
      <c r="I852" s="7" cm="1">
        <f t="array" aca="1" ref="I852" ca="1">INDEX('Marital status'!$A:$A,RANDBETWEEN(2,COUNTA('Marital status'!$A:$A)),1)</f>
        <v>3</v>
      </c>
      <c r="J852" s="7">
        <f t="shared" ca="1" si="159"/>
        <v>2</v>
      </c>
      <c r="K852" s="8">
        <f t="shared" ca="1" si="160"/>
        <v>19977</v>
      </c>
      <c r="L852" s="6">
        <f t="shared" ca="1" si="161"/>
        <v>4</v>
      </c>
      <c r="M852" s="7">
        <f ca="1" xml:space="preserve">
  IF(OR($N852 = 2, $N852 = 3, $N852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852" s="6">
        <f t="shared" ca="1" si="162"/>
        <v>6</v>
      </c>
      <c r="O852" s="6" t="e">
        <f t="shared" ca="1" si="163"/>
        <v>#N/A</v>
      </c>
      <c r="P852" s="8">
        <f t="shared" ca="1" si="164"/>
        <v>43756</v>
      </c>
      <c r="Q852" s="6">
        <f ca="1">RANDBETWEEN(2,COUNTA('Recruitment source'!$A:$A))</f>
        <v>7</v>
      </c>
      <c r="R852" s="8" t="e">
        <f t="shared" ca="1" si="165"/>
        <v>#N/A</v>
      </c>
      <c r="S852" s="6" t="e">
        <f t="shared" ca="1" si="166"/>
        <v>#N/A</v>
      </c>
      <c r="T852" s="6">
        <f t="shared" ca="1" si="156"/>
        <v>3</v>
      </c>
      <c r="U852" s="1">
        <f t="shared" ca="1" si="167"/>
        <v>885</v>
      </c>
    </row>
    <row r="853" spans="1:21" x14ac:dyDescent="0.2">
      <c r="A853" s="7" cm="1">
        <f t="array" aca="1" ref="A853" ca="1">INDEX(Companies!$A:$A,RANDBETWEEN(2,COUNTA(Companies!$A:$A)),1)</f>
        <v>2</v>
      </c>
      <c r="B853" s="5">
        <f t="shared" si="157"/>
        <v>852</v>
      </c>
      <c r="C853" s="6">
        <f t="shared" ca="1" si="158"/>
        <v>1</v>
      </c>
      <c r="D853" s="7">
        <f ca="1">IF($B853 = 1 + N("Presidente"),
    127,
    IF($B853 = 2 + N("Vice-Presidente"),
        72,
        IF($B853 = 3 + N("Secretária bilíngue"),
            13,
            RANDBETWEEN(5,COUNT(Name!$A:$A) + 1)
        )
    )
)</f>
        <v>102</v>
      </c>
      <c r="E853" s="7" t="str">
        <f ca="1" xml:space="preserve">
VLOOKUP(
  $D853,
  Name!$A:$B,
  2,
  FALSE
)
&amp; " " &amp;
IF($B853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Danilo Peçanha Martinelli</v>
      </c>
      <c r="F853" s="7">
        <v>2</v>
      </c>
      <c r="G853" s="7" cm="1">
        <f t="array" aca="1" ref="G853" ca="1">INDEX(States!$B:$B,RANDBETWEEN(2,COUNTA(States!$A:$A)),1)</f>
        <v>12</v>
      </c>
      <c r="H853" s="7" t="str">
        <f ca="1">VLOOKUP($D853,Name!$A:$C,3,FALSE)</f>
        <v>M</v>
      </c>
      <c r="I853" s="7" cm="1">
        <f t="array" aca="1" ref="I853" ca="1">INDEX('Marital status'!$A:$A,RANDBETWEEN(2,COUNTA('Marital status'!$A:$A)),1)</f>
        <v>6</v>
      </c>
      <c r="J853" s="7">
        <f t="shared" ca="1" si="159"/>
        <v>2</v>
      </c>
      <c r="K853" s="8">
        <f t="shared" ca="1" si="160"/>
        <v>34788</v>
      </c>
      <c r="L853" s="6">
        <f t="shared" ca="1" si="161"/>
        <v>4</v>
      </c>
      <c r="M853" s="7">
        <f ca="1" xml:space="preserve">
  IF(OR($N853 = 2, $N853 = 3, $N853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853" s="6">
        <f t="shared" ca="1" si="162"/>
        <v>8</v>
      </c>
      <c r="O853" s="6">
        <f t="shared" ca="1" si="163"/>
        <v>3</v>
      </c>
      <c r="P853" s="8">
        <f t="shared" ca="1" si="164"/>
        <v>39334</v>
      </c>
      <c r="Q853" s="6">
        <f ca="1">RANDBETWEEN(2,COUNTA('Recruitment source'!$A:$A))</f>
        <v>7</v>
      </c>
      <c r="R853" s="8" t="e">
        <f t="shared" ca="1" si="165"/>
        <v>#N/A</v>
      </c>
      <c r="S853" s="6" t="e">
        <f t="shared" ca="1" si="166"/>
        <v>#N/A</v>
      </c>
      <c r="T853" s="6">
        <f t="shared" ca="1" si="156"/>
        <v>4</v>
      </c>
      <c r="U853" s="1">
        <f t="shared" ca="1" si="167"/>
        <v>2000</v>
      </c>
    </row>
    <row r="854" spans="1:21" x14ac:dyDescent="0.2">
      <c r="A854" s="7" cm="1">
        <f t="array" aca="1" ref="A854" ca="1">INDEX(Companies!$A:$A,RANDBETWEEN(2,COUNTA(Companies!$A:$A)),1)</f>
        <v>2</v>
      </c>
      <c r="B854" s="5">
        <f t="shared" si="157"/>
        <v>853</v>
      </c>
      <c r="C854" s="6">
        <f t="shared" ca="1" si="158"/>
        <v>1</v>
      </c>
      <c r="D854" s="7">
        <f ca="1">IF($B854 = 1 + N("Presidente"),
    127,
    IF($B854 = 2 + N("Vice-Presidente"),
        72,
        IF($B854 = 3 + N("Secretária bilíngue"),
            13,
            RANDBETWEEN(5,COUNT(Name!$A:$A) + 1)
        )
    )
)</f>
        <v>213</v>
      </c>
      <c r="E854" s="7" t="str">
        <f ca="1" xml:space="preserve">
VLOOKUP(
  $D854,
  Name!$A:$B,
  2,
  FALSE
)
&amp; " " &amp;
IF($B854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Kelvin Brito Bermudes</v>
      </c>
      <c r="F854" s="7">
        <v>2</v>
      </c>
      <c r="G854" s="7" cm="1">
        <f t="array" aca="1" ref="G854" ca="1">INDEX(States!$B:$B,RANDBETWEEN(2,COUNTA(States!$A:$A)),1)</f>
        <v>10</v>
      </c>
      <c r="H854" s="7" t="str">
        <f ca="1">VLOOKUP($D854,Name!$A:$C,3,FALSE)</f>
        <v>M</v>
      </c>
      <c r="I854" s="7" cm="1">
        <f t="array" aca="1" ref="I854" ca="1">INDEX('Marital status'!$A:$A,RANDBETWEEN(2,COUNTA('Marital status'!$A:$A)),1)</f>
        <v>2</v>
      </c>
      <c r="J854" s="7">
        <f t="shared" ca="1" si="159"/>
        <v>3</v>
      </c>
      <c r="K854" s="8">
        <f t="shared" ca="1" si="160"/>
        <v>31146</v>
      </c>
      <c r="L854" s="6">
        <f t="shared" ca="1" si="161"/>
        <v>4</v>
      </c>
      <c r="M854" s="7">
        <f ca="1" xml:space="preserve">
  IF(OR($N854 = 2, $N854 = 3, $N854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854" s="6">
        <f t="shared" ca="1" si="162"/>
        <v>7</v>
      </c>
      <c r="O854" s="6" t="e">
        <f t="shared" ca="1" si="163"/>
        <v>#N/A</v>
      </c>
      <c r="P854" s="8">
        <f t="shared" ca="1" si="164"/>
        <v>39917</v>
      </c>
      <c r="Q854" s="6">
        <f ca="1">RANDBETWEEN(2,COUNTA('Recruitment source'!$A:$A))</f>
        <v>5</v>
      </c>
      <c r="R854" s="8" t="e">
        <f t="shared" ca="1" si="165"/>
        <v>#N/A</v>
      </c>
      <c r="S854" s="6" t="e">
        <f t="shared" ca="1" si="166"/>
        <v>#N/A</v>
      </c>
      <c r="T854" s="6">
        <f t="shared" ca="1" si="156"/>
        <v>2</v>
      </c>
      <c r="U854" s="1">
        <f t="shared" ca="1" si="167"/>
        <v>1085</v>
      </c>
    </row>
    <row r="855" spans="1:21" x14ac:dyDescent="0.2">
      <c r="A855" s="7" cm="1">
        <f t="array" aca="1" ref="A855" ca="1">INDEX(Companies!$A:$A,RANDBETWEEN(2,COUNTA(Companies!$A:$A)),1)</f>
        <v>2</v>
      </c>
      <c r="B855" s="5">
        <f t="shared" si="157"/>
        <v>854</v>
      </c>
      <c r="C855" s="6">
        <f t="shared" ca="1" si="158"/>
        <v>1</v>
      </c>
      <c r="D855" s="7">
        <f ca="1">IF($B855 = 1 + N("Presidente"),
    127,
    IF($B855 = 2 + N("Vice-Presidente"),
        72,
        IF($B855 = 3 + N("Secretária bilíngue"),
            13,
            RANDBETWEEN(5,COUNT(Name!$A:$A) + 1)
        )
    )
)</f>
        <v>296</v>
      </c>
      <c r="E855" s="7" t="str">
        <f ca="1" xml:space="preserve">
VLOOKUP(
  $D855,
  Name!$A:$B,
  2,
  FALSE
)
&amp; " " &amp;
IF($B855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 Henrique Reis Miranda</v>
      </c>
      <c r="F855" s="7">
        <v>2</v>
      </c>
      <c r="G855" s="7" cm="1">
        <f t="array" aca="1" ref="G855" ca="1">INDEX(States!$B:$B,RANDBETWEEN(2,COUNTA(States!$A:$A)),1)</f>
        <v>8</v>
      </c>
      <c r="H855" s="7" t="str">
        <f ca="1">VLOOKUP($D855,Name!$A:$C,3,FALSE)</f>
        <v>M</v>
      </c>
      <c r="I855" s="7" cm="1">
        <f t="array" aca="1" ref="I855" ca="1">INDEX('Marital status'!$A:$A,RANDBETWEEN(2,COUNTA('Marital status'!$A:$A)),1)</f>
        <v>3</v>
      </c>
      <c r="J855" s="7">
        <f t="shared" ca="1" si="159"/>
        <v>5</v>
      </c>
      <c r="K855" s="8">
        <f t="shared" ca="1" si="160"/>
        <v>36777</v>
      </c>
      <c r="L855" s="6">
        <f t="shared" ca="1" si="161"/>
        <v>5</v>
      </c>
      <c r="M855" s="7">
        <f ca="1" xml:space="preserve">
  IF(OR($N855 = 2, $N855 = 3, $N855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855" s="6">
        <f t="shared" ca="1" si="162"/>
        <v>8</v>
      </c>
      <c r="O855" s="6">
        <f t="shared" ca="1" si="163"/>
        <v>2</v>
      </c>
      <c r="P855" s="8">
        <f t="shared" ca="1" si="164"/>
        <v>41341</v>
      </c>
      <c r="Q855" s="6">
        <f ca="1">RANDBETWEEN(2,COUNTA('Recruitment source'!$A:$A))</f>
        <v>12</v>
      </c>
      <c r="R855" s="8" t="e">
        <f t="shared" ca="1" si="165"/>
        <v>#N/A</v>
      </c>
      <c r="S855" s="6" t="e">
        <f t="shared" ca="1" si="166"/>
        <v>#N/A</v>
      </c>
      <c r="T855" s="6">
        <f t="shared" ca="1" si="156"/>
        <v>2</v>
      </c>
      <c r="U855" s="1">
        <f t="shared" ca="1" si="167"/>
        <v>2050</v>
      </c>
    </row>
    <row r="856" spans="1:21" x14ac:dyDescent="0.2">
      <c r="A856" s="7" cm="1">
        <f t="array" aca="1" ref="A856" ca="1">INDEX(Companies!$A:$A,RANDBETWEEN(2,COUNTA(Companies!$A:$A)),1)</f>
        <v>2</v>
      </c>
      <c r="B856" s="5">
        <f t="shared" si="157"/>
        <v>855</v>
      </c>
      <c r="C856" s="6">
        <f t="shared" ca="1" si="158"/>
        <v>1</v>
      </c>
      <c r="D856" s="7">
        <f ca="1">IF($B856 = 1 + N("Presidente"),
    127,
    IF($B856 = 2 + N("Vice-Presidente"),
        72,
        IF($B856 = 3 + N("Secretária bilíngue"),
            13,
            RANDBETWEEN(5,COUNT(Name!$A:$A) + 1)
        )
    )
)</f>
        <v>59</v>
      </c>
      <c r="E856" s="7" t="str">
        <f ca="1" xml:space="preserve">
VLOOKUP(
  $D856,
  Name!$A:$B,
  2,
  FALSE
)
&amp; " " &amp;
IF($B856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Artur Cândido Saragoça</v>
      </c>
      <c r="F856" s="7">
        <v>2</v>
      </c>
      <c r="G856" s="7" cm="1">
        <f t="array" aca="1" ref="G856" ca="1">INDEX(States!$B:$B,RANDBETWEEN(2,COUNTA(States!$A:$A)),1)</f>
        <v>5</v>
      </c>
      <c r="H856" s="7" t="str">
        <f ca="1">VLOOKUP($D856,Name!$A:$C,3,FALSE)</f>
        <v>M</v>
      </c>
      <c r="I856" s="7" cm="1">
        <f t="array" aca="1" ref="I856" ca="1">INDEX('Marital status'!$A:$A,RANDBETWEEN(2,COUNTA('Marital status'!$A:$A)),1)</f>
        <v>3</v>
      </c>
      <c r="J856" s="7">
        <f t="shared" ca="1" si="159"/>
        <v>2</v>
      </c>
      <c r="K856" s="8">
        <f t="shared" ca="1" si="160"/>
        <v>35696</v>
      </c>
      <c r="L856" s="6">
        <f t="shared" ca="1" si="161"/>
        <v>4</v>
      </c>
      <c r="M856" s="7">
        <f ca="1" xml:space="preserve">
  IF(OR($N856 = 2, $N856 = 3, $N856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856" s="6">
        <f t="shared" ca="1" si="162"/>
        <v>7</v>
      </c>
      <c r="O856" s="6" t="e">
        <f t="shared" ca="1" si="163"/>
        <v>#N/A</v>
      </c>
      <c r="P856" s="8">
        <f t="shared" ca="1" si="164"/>
        <v>43933</v>
      </c>
      <c r="Q856" s="6">
        <f ca="1">RANDBETWEEN(2,COUNTA('Recruitment source'!$A:$A))</f>
        <v>7</v>
      </c>
      <c r="R856" s="8" t="e">
        <f t="shared" ca="1" si="165"/>
        <v>#N/A</v>
      </c>
      <c r="S856" s="6" t="e">
        <f t="shared" ca="1" si="166"/>
        <v>#N/A</v>
      </c>
      <c r="T856" s="6">
        <f t="shared" ca="1" si="156"/>
        <v>2</v>
      </c>
      <c r="U856" s="1">
        <f t="shared" ca="1" si="167"/>
        <v>1085</v>
      </c>
    </row>
    <row r="857" spans="1:21" x14ac:dyDescent="0.2">
      <c r="A857" s="7" cm="1">
        <f t="array" aca="1" ref="A857" ca="1">INDEX(Companies!$A:$A,RANDBETWEEN(2,COUNTA(Companies!$A:$A)),1)</f>
        <v>2</v>
      </c>
      <c r="B857" s="5">
        <f t="shared" si="157"/>
        <v>856</v>
      </c>
      <c r="C857" s="6">
        <f t="shared" ca="1" si="158"/>
        <v>1</v>
      </c>
      <c r="D857" s="7">
        <f ca="1">IF($B857 = 1 + N("Presidente"),
    127,
    IF($B857 = 2 + N("Vice-Presidente"),
        72,
        IF($B857 = 3 + N("Secretária bilíngue"),
            13,
            RANDBETWEEN(5,COUNT(Name!$A:$A) + 1)
        )
    )
)</f>
        <v>255</v>
      </c>
      <c r="E857" s="7" t="str">
        <f ca="1" xml:space="preserve">
VLOOKUP(
  $D857,
  Name!$A:$B,
  2,
  FALSE
)
&amp; " " &amp;
IF($B857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Manuela Romano Monti</v>
      </c>
      <c r="F857" s="7">
        <v>2</v>
      </c>
      <c r="G857" s="7" cm="1">
        <f t="array" aca="1" ref="G857" ca="1">INDEX(States!$B:$B,RANDBETWEEN(2,COUNTA(States!$A:$A)),1)</f>
        <v>2</v>
      </c>
      <c r="H857" s="7" t="str">
        <f ca="1">VLOOKUP($D857,Name!$A:$C,3,FALSE)</f>
        <v>F</v>
      </c>
      <c r="I857" s="7" cm="1">
        <f t="array" aca="1" ref="I857" ca="1">INDEX('Marital status'!$A:$A,RANDBETWEEN(2,COUNTA('Marital status'!$A:$A)),1)</f>
        <v>5</v>
      </c>
      <c r="J857" s="7">
        <f t="shared" ca="1" si="159"/>
        <v>2</v>
      </c>
      <c r="K857" s="8">
        <f t="shared" ca="1" si="160"/>
        <v>33013</v>
      </c>
      <c r="L857" s="6">
        <f t="shared" ca="1" si="161"/>
        <v>5</v>
      </c>
      <c r="M857" s="7">
        <f ca="1" xml:space="preserve">
  IF(OR($N857 = 2, $N857 = 3, $N857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857" s="6">
        <f t="shared" ca="1" si="162"/>
        <v>8</v>
      </c>
      <c r="O857" s="6">
        <f t="shared" ca="1" si="163"/>
        <v>4</v>
      </c>
      <c r="P857" s="8">
        <f t="shared" ca="1" si="164"/>
        <v>42432</v>
      </c>
      <c r="Q857" s="6">
        <f ca="1">RANDBETWEEN(2,COUNTA('Recruitment source'!$A:$A))</f>
        <v>12</v>
      </c>
      <c r="R857" s="8" t="e">
        <f t="shared" ca="1" si="165"/>
        <v>#N/A</v>
      </c>
      <c r="S857" s="6" t="e">
        <f t="shared" ca="1" si="166"/>
        <v>#N/A</v>
      </c>
      <c r="T857" s="6">
        <f t="shared" ca="1" si="156"/>
        <v>5</v>
      </c>
      <c r="U857" s="1">
        <f t="shared" ca="1" si="167"/>
        <v>2000</v>
      </c>
    </row>
    <row r="858" spans="1:21" x14ac:dyDescent="0.2">
      <c r="A858" s="7" cm="1">
        <f t="array" aca="1" ref="A858" ca="1">INDEX(Companies!$A:$A,RANDBETWEEN(2,COUNTA(Companies!$A:$A)),1)</f>
        <v>2</v>
      </c>
      <c r="B858" s="5">
        <f t="shared" si="157"/>
        <v>857</v>
      </c>
      <c r="C858" s="6">
        <f t="shared" ca="1" si="158"/>
        <v>1</v>
      </c>
      <c r="D858" s="7">
        <f ca="1">IF($B858 = 1 + N("Presidente"),
    127,
    IF($B858 = 2 + N("Vice-Presidente"),
        72,
        IF($B858 = 3 + N("Secretária bilíngue"),
            13,
            RANDBETWEEN(5,COUNT(Name!$A:$A) + 1)
        )
    )
)</f>
        <v>131</v>
      </c>
      <c r="E858" s="7" t="str">
        <f ca="1" xml:space="preserve">
VLOOKUP(
  $D858,
  Name!$A:$B,
  2,
  FALSE
)
&amp; " " &amp;
IF($B858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Erick Teixeira Moreira</v>
      </c>
      <c r="F858" s="7">
        <v>2</v>
      </c>
      <c r="G858" s="7" cm="1">
        <f t="array" aca="1" ref="G858" ca="1">INDEX(States!$B:$B,RANDBETWEEN(2,COUNTA(States!$A:$A)),1)</f>
        <v>17</v>
      </c>
      <c r="H858" s="7" t="str">
        <f ca="1">VLOOKUP($D858,Name!$A:$C,3,FALSE)</f>
        <v>M</v>
      </c>
      <c r="I858" s="7" cm="1">
        <f t="array" aca="1" ref="I858" ca="1">INDEX('Marital status'!$A:$A,RANDBETWEEN(2,COUNTA('Marital status'!$A:$A)),1)</f>
        <v>6</v>
      </c>
      <c r="J858" s="7">
        <f t="shared" ca="1" si="159"/>
        <v>4</v>
      </c>
      <c r="K858" s="8">
        <f t="shared" ca="1" si="160"/>
        <v>29873</v>
      </c>
      <c r="L858" s="6">
        <f t="shared" ca="1" si="161"/>
        <v>4</v>
      </c>
      <c r="M858" s="7">
        <f ca="1" xml:space="preserve">
  IF(OR($N858 = 2, $N858 = 3, $N858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858" s="6">
        <f t="shared" ca="1" si="162"/>
        <v>6</v>
      </c>
      <c r="O858" s="6" t="e">
        <f t="shared" ca="1" si="163"/>
        <v>#N/A</v>
      </c>
      <c r="P858" s="8">
        <f t="shared" ca="1" si="164"/>
        <v>36665</v>
      </c>
      <c r="Q858" s="6">
        <f ca="1">RANDBETWEEN(2,COUNTA('Recruitment source'!$A:$A))</f>
        <v>6</v>
      </c>
      <c r="R858" s="8" t="e">
        <f t="shared" ca="1" si="165"/>
        <v>#N/A</v>
      </c>
      <c r="S858" s="6" t="e">
        <f t="shared" ca="1" si="166"/>
        <v>#N/A</v>
      </c>
      <c r="T858" s="6">
        <f t="shared" ca="1" si="156"/>
        <v>2</v>
      </c>
      <c r="U858" s="1">
        <f t="shared" ca="1" si="167"/>
        <v>885</v>
      </c>
    </row>
    <row r="859" spans="1:21" x14ac:dyDescent="0.2">
      <c r="A859" s="7" cm="1">
        <f t="array" aca="1" ref="A859" ca="1">INDEX(Companies!$A:$A,RANDBETWEEN(2,COUNTA(Companies!$A:$A)),1)</f>
        <v>2</v>
      </c>
      <c r="B859" s="5">
        <f t="shared" si="157"/>
        <v>858</v>
      </c>
      <c r="C859" s="6">
        <f t="shared" ca="1" si="158"/>
        <v>1</v>
      </c>
      <c r="D859" s="7">
        <f ca="1">IF($B859 = 1 + N("Presidente"),
    127,
    IF($B859 = 2 + N("Vice-Presidente"),
        72,
        IF($B859 = 3 + N("Secretária bilíngue"),
            13,
            RANDBETWEEN(5,COUNT(Name!$A:$A) + 1)
        )
    )
)</f>
        <v>228</v>
      </c>
      <c r="E859" s="7" t="str">
        <f ca="1" xml:space="preserve">
VLOOKUP(
  $D859,
  Name!$A:$B,
  2,
  FALSE
)
&amp; " " &amp;
IF($B859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Lívia Silva Rossi</v>
      </c>
      <c r="F859" s="7">
        <v>2</v>
      </c>
      <c r="G859" s="7" cm="1">
        <f t="array" aca="1" ref="G859" ca="1">INDEX(States!$B:$B,RANDBETWEEN(2,COUNTA(States!$A:$A)),1)</f>
        <v>9</v>
      </c>
      <c r="H859" s="7" t="str">
        <f ca="1">VLOOKUP($D859,Name!$A:$C,3,FALSE)</f>
        <v>F</v>
      </c>
      <c r="I859" s="7" cm="1">
        <f t="array" aca="1" ref="I859" ca="1">INDEX('Marital status'!$A:$A,RANDBETWEEN(2,COUNTA('Marital status'!$A:$A)),1)</f>
        <v>2</v>
      </c>
      <c r="J859" s="7">
        <f t="shared" ca="1" si="159"/>
        <v>2</v>
      </c>
      <c r="K859" s="8">
        <f t="shared" ca="1" si="160"/>
        <v>32562</v>
      </c>
      <c r="L859" s="6">
        <f t="shared" ca="1" si="161"/>
        <v>4</v>
      </c>
      <c r="M859" s="7">
        <f ca="1" xml:space="preserve">
  IF(OR($N859 = 2, $N859 = 3, $N859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859" s="6">
        <f t="shared" ca="1" si="162"/>
        <v>8</v>
      </c>
      <c r="O859" s="6">
        <f t="shared" ca="1" si="163"/>
        <v>2</v>
      </c>
      <c r="P859" s="8">
        <f t="shared" ca="1" si="164"/>
        <v>42028</v>
      </c>
      <c r="Q859" s="6">
        <f ca="1">RANDBETWEEN(2,COUNTA('Recruitment source'!$A:$A))</f>
        <v>11</v>
      </c>
      <c r="R859" s="8" t="e">
        <f t="shared" ca="1" si="165"/>
        <v>#N/A</v>
      </c>
      <c r="S859" s="6" t="e">
        <f t="shared" ca="1" si="166"/>
        <v>#N/A</v>
      </c>
      <c r="T859" s="6">
        <f t="shared" ca="1" si="156"/>
        <v>3</v>
      </c>
      <c r="U859" s="1">
        <f t="shared" ca="1" si="167"/>
        <v>2050</v>
      </c>
    </row>
    <row r="860" spans="1:21" x14ac:dyDescent="0.2">
      <c r="A860" s="7" cm="1">
        <f t="array" aca="1" ref="A860" ca="1">INDEX(Companies!$A:$A,RANDBETWEEN(2,COUNTA(Companies!$A:$A)),1)</f>
        <v>2</v>
      </c>
      <c r="B860" s="5">
        <f t="shared" si="157"/>
        <v>859</v>
      </c>
      <c r="C860" s="6">
        <f t="shared" ca="1" si="158"/>
        <v>1</v>
      </c>
      <c r="D860" s="7">
        <f ca="1">IF($B860 = 1 + N("Presidente"),
    127,
    IF($B860 = 2 + N("Vice-Presidente"),
        72,
        IF($B860 = 3 + N("Secretária bilíngue"),
            13,
            RANDBETWEEN(5,COUNT(Name!$A:$A) + 1)
        )
    )
)</f>
        <v>248</v>
      </c>
      <c r="E860" s="7" t="str">
        <f ca="1" xml:space="preserve">
VLOOKUP(
  $D860,
  Name!$A:$B,
  2,
  FALSE
)
&amp; " " &amp;
IF($B860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Luiza Lombardi Giordano</v>
      </c>
      <c r="F860" s="7">
        <v>2</v>
      </c>
      <c r="G860" s="7" cm="1">
        <f t="array" aca="1" ref="G860" ca="1">INDEX(States!$B:$B,RANDBETWEEN(2,COUNTA(States!$A:$A)),1)</f>
        <v>2</v>
      </c>
      <c r="H860" s="7" t="str">
        <f ca="1">VLOOKUP($D860,Name!$A:$C,3,FALSE)</f>
        <v>F</v>
      </c>
      <c r="I860" s="7" cm="1">
        <f t="array" aca="1" ref="I860" ca="1">INDEX('Marital status'!$A:$A,RANDBETWEEN(2,COUNTA('Marital status'!$A:$A)),1)</f>
        <v>2</v>
      </c>
      <c r="J860" s="7">
        <f t="shared" ca="1" si="159"/>
        <v>2</v>
      </c>
      <c r="K860" s="8">
        <f t="shared" ca="1" si="160"/>
        <v>30326</v>
      </c>
      <c r="L860" s="6">
        <f t="shared" ca="1" si="161"/>
        <v>4</v>
      </c>
      <c r="M860" s="7">
        <f ca="1" xml:space="preserve">
  IF(OR($N860 = 2, $N860 = 3, $N860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860" s="6">
        <f t="shared" ca="1" si="162"/>
        <v>7</v>
      </c>
      <c r="O860" s="6" t="e">
        <f t="shared" ca="1" si="163"/>
        <v>#N/A</v>
      </c>
      <c r="P860" s="8">
        <f t="shared" ca="1" si="164"/>
        <v>43752</v>
      </c>
      <c r="Q860" s="6">
        <f ca="1">RANDBETWEEN(2,COUNTA('Recruitment source'!$A:$A))</f>
        <v>11</v>
      </c>
      <c r="R860" s="8" t="e">
        <f t="shared" ca="1" si="165"/>
        <v>#N/A</v>
      </c>
      <c r="S860" s="6" t="e">
        <f t="shared" ca="1" si="166"/>
        <v>#N/A</v>
      </c>
      <c r="T860" s="6">
        <f t="shared" ca="1" si="156"/>
        <v>5</v>
      </c>
      <c r="U860" s="1">
        <f t="shared" ca="1" si="167"/>
        <v>1005</v>
      </c>
    </row>
    <row r="861" spans="1:21" x14ac:dyDescent="0.2">
      <c r="A861" s="7" cm="1">
        <f t="array" aca="1" ref="A861" ca="1">INDEX(Companies!$A:$A,RANDBETWEEN(2,COUNTA(Companies!$A:$A)),1)</f>
        <v>2</v>
      </c>
      <c r="B861" s="5">
        <f t="shared" si="157"/>
        <v>860</v>
      </c>
      <c r="C861" s="6">
        <f t="shared" ca="1" si="158"/>
        <v>1</v>
      </c>
      <c r="D861" s="7">
        <f ca="1">IF($B861 = 1 + N("Presidente"),
    127,
    IF($B861 = 2 + N("Vice-Presidente"),
        72,
        IF($B861 = 3 + N("Secretária bilíngue"),
            13,
            RANDBETWEEN(5,COUNT(Name!$A:$A) + 1)
        )
    )
)</f>
        <v>267</v>
      </c>
      <c r="E861" s="7" t="str">
        <f ca="1" xml:space="preserve">
VLOOKUP(
  $D861,
  Name!$A:$B,
  2,
  FALSE
)
&amp; " " &amp;
IF($B861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Heloísa Rocha Russo</v>
      </c>
      <c r="F861" s="7">
        <v>2</v>
      </c>
      <c r="G861" s="7" cm="1">
        <f t="array" aca="1" ref="G861" ca="1">INDEX(States!$B:$B,RANDBETWEEN(2,COUNTA(States!$A:$A)),1)</f>
        <v>4</v>
      </c>
      <c r="H861" s="7" t="str">
        <f ca="1">VLOOKUP($D861,Name!$A:$C,3,FALSE)</f>
        <v>F</v>
      </c>
      <c r="I861" s="7" cm="1">
        <f t="array" aca="1" ref="I861" ca="1">INDEX('Marital status'!$A:$A,RANDBETWEEN(2,COUNTA('Marital status'!$A:$A)),1)</f>
        <v>3</v>
      </c>
      <c r="J861" s="7">
        <f t="shared" ca="1" si="159"/>
        <v>3</v>
      </c>
      <c r="K861" s="8">
        <f t="shared" ca="1" si="160"/>
        <v>36467</v>
      </c>
      <c r="L861" s="6">
        <f t="shared" ca="1" si="161"/>
        <v>5</v>
      </c>
      <c r="M861" s="7">
        <f ca="1" xml:space="preserve">
  IF(OR($N861 = 2, $N861 = 3, $N861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861" s="6">
        <f t="shared" ca="1" si="162"/>
        <v>8</v>
      </c>
      <c r="O861" s="6">
        <f t="shared" ca="1" si="163"/>
        <v>3</v>
      </c>
      <c r="P861" s="8">
        <f t="shared" ca="1" si="164"/>
        <v>36481</v>
      </c>
      <c r="Q861" s="6">
        <f ca="1">RANDBETWEEN(2,COUNTA('Recruitment source'!$A:$A))</f>
        <v>8</v>
      </c>
      <c r="R861" s="8" t="e">
        <f t="shared" ca="1" si="165"/>
        <v>#N/A</v>
      </c>
      <c r="S861" s="6" t="e">
        <f t="shared" ca="1" si="166"/>
        <v>#N/A</v>
      </c>
      <c r="T861" s="6">
        <f t="shared" ca="1" si="156"/>
        <v>5</v>
      </c>
      <c r="U861" s="1">
        <f t="shared" ca="1" si="167"/>
        <v>2000</v>
      </c>
    </row>
    <row r="862" spans="1:21" x14ac:dyDescent="0.2">
      <c r="A862" s="7" cm="1">
        <f t="array" aca="1" ref="A862" ca="1">INDEX(Companies!$A:$A,RANDBETWEEN(2,COUNTA(Companies!$A:$A)),1)</f>
        <v>2</v>
      </c>
      <c r="B862" s="5">
        <f t="shared" si="157"/>
        <v>861</v>
      </c>
      <c r="C862" s="6">
        <f t="shared" ca="1" si="158"/>
        <v>1</v>
      </c>
      <c r="D862" s="7">
        <f ca="1">IF($B862 = 1 + N("Presidente"),
    127,
    IF($B862 = 2 + N("Vice-Presidente"),
        72,
        IF($B862 = 3 + N("Secretária bilíngue"),
            13,
            RANDBETWEEN(5,COUNT(Name!$A:$A) + 1)
        )
    )
)</f>
        <v>267</v>
      </c>
      <c r="E862" s="7" t="str">
        <f ca="1" xml:space="preserve">
VLOOKUP(
  $D862,
  Name!$A:$B,
  2,
  FALSE
)
&amp; " " &amp;
IF($B862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Heloísa Bianchi Lombardi</v>
      </c>
      <c r="F862" s="7">
        <v>2</v>
      </c>
      <c r="G862" s="7" cm="1">
        <f t="array" aca="1" ref="G862" ca="1">INDEX(States!$B:$B,RANDBETWEEN(2,COUNTA(States!$A:$A)),1)</f>
        <v>4</v>
      </c>
      <c r="H862" s="7" t="str">
        <f ca="1">VLOOKUP($D862,Name!$A:$C,3,FALSE)</f>
        <v>F</v>
      </c>
      <c r="I862" s="7" cm="1">
        <f t="array" aca="1" ref="I862" ca="1">INDEX('Marital status'!$A:$A,RANDBETWEEN(2,COUNTA('Marital status'!$A:$A)),1)</f>
        <v>5</v>
      </c>
      <c r="J862" s="7">
        <f t="shared" ca="1" si="159"/>
        <v>2</v>
      </c>
      <c r="K862" s="8">
        <f t="shared" ca="1" si="160"/>
        <v>32406</v>
      </c>
      <c r="L862" s="6">
        <f t="shared" ca="1" si="161"/>
        <v>4</v>
      </c>
      <c r="M862" s="7">
        <f ca="1" xml:space="preserve">
  IF(OR($N862 = 2, $N862 = 3, $N862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862" s="6">
        <f t="shared" ca="1" si="162"/>
        <v>7</v>
      </c>
      <c r="O862" s="6" t="e">
        <f t="shared" ca="1" si="163"/>
        <v>#N/A</v>
      </c>
      <c r="P862" s="8">
        <f t="shared" ca="1" si="164"/>
        <v>43916</v>
      </c>
      <c r="Q862" s="6">
        <f ca="1">RANDBETWEEN(2,COUNTA('Recruitment source'!$A:$A))</f>
        <v>11</v>
      </c>
      <c r="R862" s="8" t="e">
        <f t="shared" ca="1" si="165"/>
        <v>#N/A</v>
      </c>
      <c r="S862" s="6" t="e">
        <f t="shared" ca="1" si="166"/>
        <v>#N/A</v>
      </c>
      <c r="T862" s="6">
        <f t="shared" ca="1" si="156"/>
        <v>2</v>
      </c>
      <c r="U862" s="1">
        <f t="shared" ca="1" si="167"/>
        <v>1085</v>
      </c>
    </row>
    <row r="863" spans="1:21" x14ac:dyDescent="0.2">
      <c r="A863" s="7" cm="1">
        <f t="array" aca="1" ref="A863" ca="1">INDEX(Companies!$A:$A,RANDBETWEEN(2,COUNTA(Companies!$A:$A)),1)</f>
        <v>2</v>
      </c>
      <c r="B863" s="5">
        <f t="shared" si="157"/>
        <v>862</v>
      </c>
      <c r="C863" s="6">
        <f t="shared" ca="1" si="158"/>
        <v>1</v>
      </c>
      <c r="D863" s="7">
        <f ca="1">IF($B863 = 1 + N("Presidente"),
    127,
    IF($B863 = 2 + N("Vice-Presidente"),
        72,
        IF($B863 = 3 + N("Secretária bilíngue"),
            13,
            RANDBETWEEN(5,COUNT(Name!$A:$A) + 1)
        )
    )
)</f>
        <v>285</v>
      </c>
      <c r="E863" s="7" t="str">
        <f ca="1" xml:space="preserve">
VLOOKUP(
  $D863,
  Name!$A:$B,
  2,
  FALSE
)
&amp; " " &amp;
IF($B863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Martin Ildelfonso Azeredo</v>
      </c>
      <c r="F863" s="7">
        <v>2</v>
      </c>
      <c r="G863" s="7" cm="1">
        <f t="array" aca="1" ref="G863" ca="1">INDEX(States!$B:$B,RANDBETWEEN(2,COUNTA(States!$A:$A)),1)</f>
        <v>6</v>
      </c>
      <c r="H863" s="7" t="str">
        <f ca="1">VLOOKUP($D863,Name!$A:$C,3,FALSE)</f>
        <v>M</v>
      </c>
      <c r="I863" s="7" cm="1">
        <f t="array" aca="1" ref="I863" ca="1">INDEX('Marital status'!$A:$A,RANDBETWEEN(2,COUNTA('Marital status'!$A:$A)),1)</f>
        <v>3</v>
      </c>
      <c r="J863" s="7">
        <f t="shared" ca="1" si="159"/>
        <v>2</v>
      </c>
      <c r="K863" s="8">
        <f t="shared" ca="1" si="160"/>
        <v>36857</v>
      </c>
      <c r="L863" s="6">
        <f t="shared" ca="1" si="161"/>
        <v>5</v>
      </c>
      <c r="M863" s="7">
        <f ca="1" xml:space="preserve">
  IF(OR($N863 = 2, $N863 = 3, $N863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863" s="6">
        <f t="shared" ca="1" si="162"/>
        <v>8</v>
      </c>
      <c r="O863" s="6">
        <f t="shared" ca="1" si="163"/>
        <v>3</v>
      </c>
      <c r="P863" s="8">
        <f t="shared" ca="1" si="164"/>
        <v>42683</v>
      </c>
      <c r="Q863" s="6">
        <f ca="1">RANDBETWEEN(2,COUNTA('Recruitment source'!$A:$A))</f>
        <v>12</v>
      </c>
      <c r="R863" s="8" t="e">
        <f t="shared" ca="1" si="165"/>
        <v>#N/A</v>
      </c>
      <c r="S863" s="6" t="e">
        <f t="shared" ca="1" si="166"/>
        <v>#N/A</v>
      </c>
      <c r="T863" s="6">
        <f t="shared" ca="1" si="156"/>
        <v>3</v>
      </c>
      <c r="U863" s="1">
        <f t="shared" ca="1" si="167"/>
        <v>2000</v>
      </c>
    </row>
    <row r="864" spans="1:21" x14ac:dyDescent="0.2">
      <c r="A864" s="7" cm="1">
        <f t="array" aca="1" ref="A864" ca="1">INDEX(Companies!$A:$A,RANDBETWEEN(2,COUNTA(Companies!$A:$A)),1)</f>
        <v>2</v>
      </c>
      <c r="B864" s="5">
        <f t="shared" si="157"/>
        <v>863</v>
      </c>
      <c r="C864" s="6">
        <f t="shared" ca="1" si="158"/>
        <v>1</v>
      </c>
      <c r="D864" s="7">
        <f ca="1">IF($B864 = 1 + N("Presidente"),
    127,
    IF($B864 = 2 + N("Vice-Presidente"),
        72,
        IF($B864 = 3 + N("Secretária bilíngue"),
            13,
            RANDBETWEEN(5,COUNT(Name!$A:$A) + 1)
        )
    )
)</f>
        <v>50</v>
      </c>
      <c r="E864" s="7" t="str">
        <f ca="1" xml:space="preserve">
VLOOKUP(
  $D864,
  Name!$A:$B,
  2,
  FALSE
)
&amp; " " &amp;
IF($B864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Antonella Arruda Faria</v>
      </c>
      <c r="F864" s="7">
        <v>2</v>
      </c>
      <c r="G864" s="7" cm="1">
        <f t="array" aca="1" ref="G864" ca="1">INDEX(States!$B:$B,RANDBETWEEN(2,COUNTA(States!$A:$A)),1)</f>
        <v>15</v>
      </c>
      <c r="H864" s="7" t="str">
        <f ca="1">VLOOKUP($D864,Name!$A:$C,3,FALSE)</f>
        <v>F</v>
      </c>
      <c r="I864" s="7" cm="1">
        <f t="array" aca="1" ref="I864" ca="1">INDEX('Marital status'!$A:$A,RANDBETWEEN(2,COUNTA('Marital status'!$A:$A)),1)</f>
        <v>2</v>
      </c>
      <c r="J864" s="7">
        <f t="shared" ca="1" si="159"/>
        <v>2</v>
      </c>
      <c r="K864" s="8">
        <f t="shared" ca="1" si="160"/>
        <v>33251</v>
      </c>
      <c r="L864" s="6">
        <f t="shared" ca="1" si="161"/>
        <v>4</v>
      </c>
      <c r="M864" s="7">
        <f ca="1" xml:space="preserve">
  IF(OR($N864 = 2, $N864 = 3, $N864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864" s="6">
        <f t="shared" ca="1" si="162"/>
        <v>6</v>
      </c>
      <c r="O864" s="6" t="e">
        <f t="shared" ca="1" si="163"/>
        <v>#N/A</v>
      </c>
      <c r="P864" s="8">
        <f t="shared" ca="1" si="164"/>
        <v>44242</v>
      </c>
      <c r="Q864" s="6">
        <f ca="1">RANDBETWEEN(2,COUNTA('Recruitment source'!$A:$A))</f>
        <v>3</v>
      </c>
      <c r="R864" s="8" t="e">
        <f t="shared" ca="1" si="165"/>
        <v>#N/A</v>
      </c>
      <c r="S864" s="6" t="e">
        <f t="shared" ca="1" si="166"/>
        <v>#N/A</v>
      </c>
      <c r="T864" s="6">
        <f t="shared" ca="1" si="156"/>
        <v>4</v>
      </c>
      <c r="U864" s="1">
        <f t="shared" ca="1" si="167"/>
        <v>805</v>
      </c>
    </row>
    <row r="865" spans="1:21" x14ac:dyDescent="0.2">
      <c r="A865" s="7" cm="1">
        <f t="array" aca="1" ref="A865" ca="1">INDEX(Companies!$A:$A,RANDBETWEEN(2,COUNTA(Companies!$A:$A)),1)</f>
        <v>2</v>
      </c>
      <c r="B865" s="5">
        <f t="shared" si="157"/>
        <v>864</v>
      </c>
      <c r="C865" s="6">
        <f t="shared" ca="1" si="158"/>
        <v>1</v>
      </c>
      <c r="D865" s="7">
        <f ca="1">IF($B865 = 1 + N("Presidente"),
    127,
    IF($B865 = 2 + N("Vice-Presidente"),
        72,
        IF($B865 = 3 + N("Secretária bilíngue"),
            13,
            RANDBETWEEN(5,COUNT(Name!$A:$A) + 1)
        )
    )
)</f>
        <v>143</v>
      </c>
      <c r="E865" s="7" t="str">
        <f ca="1" xml:space="preserve">
VLOOKUP(
  $D865,
  Name!$A:$B,
  2,
  FALSE
)
&amp; " " &amp;
IF($B865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Flavio Azeredo Serra</v>
      </c>
      <c r="F865" s="7">
        <v>2</v>
      </c>
      <c r="G865" s="7" cm="1">
        <f t="array" aca="1" ref="G865" ca="1">INDEX(States!$B:$B,RANDBETWEEN(2,COUNTA(States!$A:$A)),1)</f>
        <v>9</v>
      </c>
      <c r="H865" s="7" t="str">
        <f ca="1">VLOOKUP($D865,Name!$A:$C,3,FALSE)</f>
        <v>M</v>
      </c>
      <c r="I865" s="7" cm="1">
        <f t="array" aca="1" ref="I865" ca="1">INDEX('Marital status'!$A:$A,RANDBETWEEN(2,COUNTA('Marital status'!$A:$A)),1)</f>
        <v>6</v>
      </c>
      <c r="J865" s="7">
        <f t="shared" ca="1" si="159"/>
        <v>2</v>
      </c>
      <c r="K865" s="8">
        <f t="shared" ca="1" si="160"/>
        <v>34528</v>
      </c>
      <c r="L865" s="6">
        <f t="shared" ca="1" si="161"/>
        <v>4</v>
      </c>
      <c r="M865" s="7">
        <f ca="1" xml:space="preserve">
  IF(OR($N865 = 2, $N865 = 3, $N865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865" s="6">
        <f t="shared" ca="1" si="162"/>
        <v>8</v>
      </c>
      <c r="O865" s="6">
        <f t="shared" ca="1" si="163"/>
        <v>2</v>
      </c>
      <c r="P865" s="8">
        <f t="shared" ca="1" si="164"/>
        <v>36721</v>
      </c>
      <c r="Q865" s="6">
        <f ca="1">RANDBETWEEN(2,COUNTA('Recruitment source'!$A:$A))</f>
        <v>5</v>
      </c>
      <c r="R865" s="8" t="e">
        <f t="shared" ca="1" si="165"/>
        <v>#N/A</v>
      </c>
      <c r="S865" s="6" t="e">
        <f t="shared" ca="1" si="166"/>
        <v>#N/A</v>
      </c>
      <c r="T865" s="6">
        <f t="shared" ca="1" si="156"/>
        <v>2</v>
      </c>
      <c r="U865" s="1">
        <f t="shared" ca="1" si="167"/>
        <v>2000</v>
      </c>
    </row>
    <row r="866" spans="1:21" x14ac:dyDescent="0.2">
      <c r="A866" s="7" cm="1">
        <f t="array" aca="1" ref="A866" ca="1">INDEX(Companies!$A:$A,RANDBETWEEN(2,COUNTA(Companies!$A:$A)),1)</f>
        <v>2</v>
      </c>
      <c r="B866" s="5">
        <f t="shared" si="157"/>
        <v>865</v>
      </c>
      <c r="C866" s="6">
        <f t="shared" ca="1" si="158"/>
        <v>1</v>
      </c>
      <c r="D866" s="7">
        <f ca="1">IF($B866 = 1 + N("Presidente"),
    127,
    IF($B866 = 2 + N("Vice-Presidente"),
        72,
        IF($B866 = 3 + N("Secretária bilíngue"),
            13,
            RANDBETWEEN(5,COUNT(Name!$A:$A) + 1)
        )
    )
)</f>
        <v>30</v>
      </c>
      <c r="E866" s="7" t="str">
        <f ca="1" xml:space="preserve">
VLOOKUP(
  $D866,
  Name!$A:$B,
  2,
  FALSE
)
&amp; " " &amp;
IF($B866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Clara Aleluia Pimenta</v>
      </c>
      <c r="F866" s="7">
        <v>2</v>
      </c>
      <c r="G866" s="7" cm="1">
        <f t="array" aca="1" ref="G866" ca="1">INDEX(States!$B:$B,RANDBETWEEN(2,COUNTA(States!$A:$A)),1)</f>
        <v>2</v>
      </c>
      <c r="H866" s="7" t="str">
        <f ca="1">VLOOKUP($D866,Name!$A:$C,3,FALSE)</f>
        <v>F</v>
      </c>
      <c r="I866" s="7" cm="1">
        <f t="array" aca="1" ref="I866" ca="1">INDEX('Marital status'!$A:$A,RANDBETWEEN(2,COUNTA('Marital status'!$A:$A)),1)</f>
        <v>4</v>
      </c>
      <c r="J866" s="7">
        <f t="shared" ca="1" si="159"/>
        <v>2</v>
      </c>
      <c r="K866" s="8">
        <f t="shared" ca="1" si="160"/>
        <v>33449</v>
      </c>
      <c r="L866" s="6">
        <f t="shared" ca="1" si="161"/>
        <v>4</v>
      </c>
      <c r="M866" s="7">
        <f ca="1" xml:space="preserve">
  IF(OR($N866 = 2, $N866 = 3, $N866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866" s="6">
        <f t="shared" ca="1" si="162"/>
        <v>7</v>
      </c>
      <c r="O866" s="6" t="e">
        <f t="shared" ca="1" si="163"/>
        <v>#N/A</v>
      </c>
      <c r="P866" s="8">
        <f t="shared" ca="1" si="164"/>
        <v>36721</v>
      </c>
      <c r="Q866" s="6">
        <f ca="1">RANDBETWEEN(2,COUNTA('Recruitment source'!$A:$A))</f>
        <v>11</v>
      </c>
      <c r="R866" s="8" t="e">
        <f t="shared" ca="1" si="165"/>
        <v>#N/A</v>
      </c>
      <c r="S866" s="6" t="e">
        <f t="shared" ca="1" si="166"/>
        <v>#N/A</v>
      </c>
      <c r="T866" s="6">
        <f t="shared" ca="1" si="156"/>
        <v>2</v>
      </c>
      <c r="U866" s="1">
        <f t="shared" ca="1" si="167"/>
        <v>1005</v>
      </c>
    </row>
    <row r="867" spans="1:21" x14ac:dyDescent="0.2">
      <c r="A867" s="7" cm="1">
        <f t="array" aca="1" ref="A867" ca="1">INDEX(Companies!$A:$A,RANDBETWEEN(2,COUNTA(Companies!$A:$A)),1)</f>
        <v>2</v>
      </c>
      <c r="B867" s="5">
        <f t="shared" si="157"/>
        <v>866</v>
      </c>
      <c r="C867" s="6">
        <f t="shared" ca="1" si="158"/>
        <v>1</v>
      </c>
      <c r="D867" s="7">
        <f ca="1">IF($B867 = 1 + N("Presidente"),
    127,
    IF($B867 = 2 + N("Vice-Presidente"),
        72,
        IF($B867 = 3 + N("Secretária bilíngue"),
            13,
            RANDBETWEEN(5,COUNT(Name!$A:$A) + 1)
        )
    )
)</f>
        <v>288</v>
      </c>
      <c r="E867" s="7" t="str">
        <f ca="1" xml:space="preserve">
VLOOKUP(
  $D867,
  Name!$A:$B,
  2,
  FALSE
)
&amp; " " &amp;
IF($B867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Matheus Bruno Pinto de Oliveira</v>
      </c>
      <c r="F867" s="7">
        <v>2</v>
      </c>
      <c r="G867" s="7" cm="1">
        <f t="array" aca="1" ref="G867" ca="1">INDEX(States!$B:$B,RANDBETWEEN(2,COUNTA(States!$A:$A)),1)</f>
        <v>21</v>
      </c>
      <c r="H867" s="7" t="str">
        <f ca="1">VLOOKUP($D867,Name!$A:$C,3,FALSE)</f>
        <v>M</v>
      </c>
      <c r="I867" s="7" cm="1">
        <f t="array" aca="1" ref="I867" ca="1">INDEX('Marital status'!$A:$A,RANDBETWEEN(2,COUNTA('Marital status'!$A:$A)),1)</f>
        <v>6</v>
      </c>
      <c r="J867" s="7">
        <f t="shared" ca="1" si="159"/>
        <v>2</v>
      </c>
      <c r="K867" s="8">
        <f t="shared" ca="1" si="160"/>
        <v>34048</v>
      </c>
      <c r="L867" s="6">
        <f t="shared" ca="1" si="161"/>
        <v>4</v>
      </c>
      <c r="M867" s="7">
        <f ca="1" xml:space="preserve">
  IF(OR($N867 = 2, $N867 = 3, $N867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867" s="6">
        <f t="shared" ca="1" si="162"/>
        <v>8</v>
      </c>
      <c r="O867" s="6">
        <f t="shared" ca="1" si="163"/>
        <v>2</v>
      </c>
      <c r="P867" s="8">
        <f t="shared" ca="1" si="164"/>
        <v>36343</v>
      </c>
      <c r="Q867" s="6">
        <f ca="1">RANDBETWEEN(2,COUNTA('Recruitment source'!$A:$A))</f>
        <v>7</v>
      </c>
      <c r="R867" s="8" t="e">
        <f t="shared" ca="1" si="165"/>
        <v>#N/A</v>
      </c>
      <c r="S867" s="6" t="e">
        <f t="shared" ca="1" si="166"/>
        <v>#N/A</v>
      </c>
      <c r="T867" s="6">
        <f t="shared" ca="1" si="156"/>
        <v>4</v>
      </c>
      <c r="U867" s="1">
        <f t="shared" ca="1" si="167"/>
        <v>2000</v>
      </c>
    </row>
    <row r="868" spans="1:21" x14ac:dyDescent="0.2">
      <c r="A868" s="7" cm="1">
        <f t="array" aca="1" ref="A868" ca="1">INDEX(Companies!$A:$A,RANDBETWEEN(2,COUNTA(Companies!$A:$A)),1)</f>
        <v>2</v>
      </c>
      <c r="B868" s="5">
        <f t="shared" si="157"/>
        <v>867</v>
      </c>
      <c r="C868" s="6">
        <f t="shared" ca="1" si="158"/>
        <v>1</v>
      </c>
      <c r="D868" s="7">
        <f ca="1">IF($B868 = 1 + N("Presidente"),
    127,
    IF($B868 = 2 + N("Vice-Presidente"),
        72,
        IF($B868 = 3 + N("Secretária bilíngue"),
            13,
            RANDBETWEEN(5,COUNT(Name!$A:$A) + 1)
        )
    )
)</f>
        <v>128</v>
      </c>
      <c r="E868" s="7" t="str">
        <f ca="1" xml:space="preserve">
VLOOKUP(
  $D868,
  Name!$A:$B,
  2,
  FALSE
)
&amp; " " &amp;
IF($B868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Enzo Gabriel Faria Mancini</v>
      </c>
      <c r="F868" s="7">
        <v>2</v>
      </c>
      <c r="G868" s="7" cm="1">
        <f t="array" aca="1" ref="G868" ca="1">INDEX(States!$B:$B,RANDBETWEEN(2,COUNTA(States!$A:$A)),1)</f>
        <v>4</v>
      </c>
      <c r="H868" s="7" t="str">
        <f ca="1">VLOOKUP($D868,Name!$A:$C,3,FALSE)</f>
        <v>M</v>
      </c>
      <c r="I868" s="7" cm="1">
        <f t="array" aca="1" ref="I868" ca="1">INDEX('Marital status'!$A:$A,RANDBETWEEN(2,COUNTA('Marital status'!$A:$A)),1)</f>
        <v>4</v>
      </c>
      <c r="J868" s="7">
        <f t="shared" ca="1" si="159"/>
        <v>3</v>
      </c>
      <c r="K868" s="8">
        <f t="shared" ca="1" si="160"/>
        <v>27364</v>
      </c>
      <c r="L868" s="6">
        <f t="shared" ca="1" si="161"/>
        <v>4</v>
      </c>
      <c r="M868" s="7">
        <f ca="1" xml:space="preserve">
  IF(OR($N868 = 2, $N868 = 3, $N868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868" s="6">
        <f t="shared" ca="1" si="162"/>
        <v>6</v>
      </c>
      <c r="O868" s="6" t="e">
        <f t="shared" ca="1" si="163"/>
        <v>#N/A</v>
      </c>
      <c r="P868" s="8">
        <f t="shared" ca="1" si="164"/>
        <v>41152</v>
      </c>
      <c r="Q868" s="6">
        <f ca="1">RANDBETWEEN(2,COUNTA('Recruitment source'!$A:$A))</f>
        <v>10</v>
      </c>
      <c r="R868" s="8" t="e">
        <f t="shared" ca="1" si="165"/>
        <v>#N/A</v>
      </c>
      <c r="S868" s="6" t="e">
        <f t="shared" ca="1" si="166"/>
        <v>#N/A</v>
      </c>
      <c r="T868" s="6">
        <f t="shared" ca="1" si="156"/>
        <v>5</v>
      </c>
      <c r="U868" s="1">
        <f t="shared" ca="1" si="167"/>
        <v>805</v>
      </c>
    </row>
    <row r="869" spans="1:21" x14ac:dyDescent="0.2">
      <c r="A869" s="7" cm="1">
        <f t="array" aca="1" ref="A869" ca="1">INDEX(Companies!$A:$A,RANDBETWEEN(2,COUNTA(Companies!$A:$A)),1)</f>
        <v>2</v>
      </c>
      <c r="B869" s="5">
        <f t="shared" si="157"/>
        <v>868</v>
      </c>
      <c r="C869" s="6">
        <f t="shared" ca="1" si="158"/>
        <v>1</v>
      </c>
      <c r="D869" s="7">
        <f ca="1">IF($B869 = 1 + N("Presidente"),
    127,
    IF($B869 = 2 + N("Vice-Presidente"),
        72,
        IF($B869 = 3 + N("Secretária bilíngue"),
            13,
            RANDBETWEEN(5,COUNT(Name!$A:$A) + 1)
        )
    )
)</f>
        <v>134</v>
      </c>
      <c r="E869" s="7" t="str">
        <f ca="1" xml:space="preserve">
VLOOKUP(
  $D869,
  Name!$A:$B,
  2,
  FALSE
)
&amp; " " &amp;
IF($B869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Eva Negreiros Pimentel</v>
      </c>
      <c r="F869" s="7">
        <v>2</v>
      </c>
      <c r="G869" s="7" cm="1">
        <f t="array" aca="1" ref="G869" ca="1">INDEX(States!$B:$B,RANDBETWEEN(2,COUNTA(States!$A:$A)),1)</f>
        <v>3</v>
      </c>
      <c r="H869" s="7" t="str">
        <f ca="1">VLOOKUP($D869,Name!$A:$C,3,FALSE)</f>
        <v>F</v>
      </c>
      <c r="I869" s="7" cm="1">
        <f t="array" aca="1" ref="I869" ca="1">INDEX('Marital status'!$A:$A,RANDBETWEEN(2,COUNTA('Marital status'!$A:$A)),1)</f>
        <v>2</v>
      </c>
      <c r="J869" s="7">
        <f t="shared" ca="1" si="159"/>
        <v>4</v>
      </c>
      <c r="K869" s="8">
        <f t="shared" ca="1" si="160"/>
        <v>34421</v>
      </c>
      <c r="L869" s="6">
        <f t="shared" ca="1" si="161"/>
        <v>4</v>
      </c>
      <c r="M869" s="7">
        <f ca="1" xml:space="preserve">
  IF(OR($N869 = 2, $N869 = 3, $N869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869" s="6">
        <f t="shared" ca="1" si="162"/>
        <v>8</v>
      </c>
      <c r="O869" s="6">
        <f t="shared" ca="1" si="163"/>
        <v>3</v>
      </c>
      <c r="P869" s="8">
        <f t="shared" ca="1" si="164"/>
        <v>38455</v>
      </c>
      <c r="Q869" s="6">
        <f ca="1">RANDBETWEEN(2,COUNTA('Recruitment source'!$A:$A))</f>
        <v>7</v>
      </c>
      <c r="R869" s="8" t="e">
        <f t="shared" ca="1" si="165"/>
        <v>#N/A</v>
      </c>
      <c r="S869" s="6" t="e">
        <f t="shared" ca="1" si="166"/>
        <v>#N/A</v>
      </c>
      <c r="T869" s="6">
        <f t="shared" ca="1" si="156"/>
        <v>2</v>
      </c>
      <c r="U869" s="1">
        <f t="shared" ca="1" si="167"/>
        <v>2000</v>
      </c>
    </row>
    <row r="870" spans="1:21" x14ac:dyDescent="0.2">
      <c r="A870" s="7" cm="1">
        <f t="array" aca="1" ref="A870" ca="1">INDEX(Companies!$A:$A,RANDBETWEEN(2,COUNTA(Companies!$A:$A)),1)</f>
        <v>2</v>
      </c>
      <c r="B870" s="5">
        <f t="shared" si="157"/>
        <v>869</v>
      </c>
      <c r="C870" s="6">
        <f t="shared" ca="1" si="158"/>
        <v>1</v>
      </c>
      <c r="D870" s="7">
        <f ca="1">IF($B870 = 1 + N("Presidente"),
    127,
    IF($B870 = 2 + N("Vice-Presidente"),
        72,
        IF($B870 = 3 + N("Secretária bilíngue"),
            13,
            RANDBETWEEN(5,COUNT(Name!$A:$A) + 1)
        )
    )
)</f>
        <v>297</v>
      </c>
      <c r="E870" s="7" t="str">
        <f ca="1" xml:space="preserve">
VLOOKUP(
  $D870,
  Name!$A:$B,
  2,
  FALSE
)
&amp; " " &amp;
IF($B870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Miguelito Gonçalves Anunciação</v>
      </c>
      <c r="F870" s="7">
        <v>2</v>
      </c>
      <c r="G870" s="7" cm="1">
        <f t="array" aca="1" ref="G870" ca="1">INDEX(States!$B:$B,RANDBETWEEN(2,COUNTA(States!$A:$A)),1)</f>
        <v>2</v>
      </c>
      <c r="H870" s="7" t="str">
        <f ca="1">VLOOKUP($D870,Name!$A:$C,3,FALSE)</f>
        <v>M</v>
      </c>
      <c r="I870" s="7" cm="1">
        <f t="array" aca="1" ref="I870" ca="1">INDEX('Marital status'!$A:$A,RANDBETWEEN(2,COUNTA('Marital status'!$A:$A)),1)</f>
        <v>4</v>
      </c>
      <c r="J870" s="7">
        <f t="shared" ca="1" si="159"/>
        <v>2</v>
      </c>
      <c r="K870" s="8">
        <f t="shared" ca="1" si="160"/>
        <v>20342</v>
      </c>
      <c r="L870" s="6">
        <f t="shared" ca="1" si="161"/>
        <v>4</v>
      </c>
      <c r="M870" s="7">
        <f ca="1" xml:space="preserve">
  IF(OR($N870 = 2, $N870 = 3, $N870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870" s="6">
        <f t="shared" ca="1" si="162"/>
        <v>6</v>
      </c>
      <c r="O870" s="6" t="e">
        <f t="shared" ca="1" si="163"/>
        <v>#N/A</v>
      </c>
      <c r="P870" s="8">
        <f t="shared" ca="1" si="164"/>
        <v>44345</v>
      </c>
      <c r="Q870" s="6">
        <f ca="1">RANDBETWEEN(2,COUNTA('Recruitment source'!$A:$A))</f>
        <v>6</v>
      </c>
      <c r="R870" s="8" t="e">
        <f t="shared" ca="1" si="165"/>
        <v>#N/A</v>
      </c>
      <c r="S870" s="6" t="e">
        <f t="shared" ca="1" si="166"/>
        <v>#N/A</v>
      </c>
      <c r="T870" s="6">
        <f t="shared" ca="1" si="156"/>
        <v>5</v>
      </c>
      <c r="U870" s="1">
        <f t="shared" ca="1" si="167"/>
        <v>885</v>
      </c>
    </row>
    <row r="871" spans="1:21" x14ac:dyDescent="0.2">
      <c r="A871" s="7" cm="1">
        <f t="array" aca="1" ref="A871" ca="1">INDEX(Companies!$A:$A,RANDBETWEEN(2,COUNTA(Companies!$A:$A)),1)</f>
        <v>2</v>
      </c>
      <c r="B871" s="5">
        <f t="shared" si="157"/>
        <v>870</v>
      </c>
      <c r="C871" s="6">
        <f t="shared" ca="1" si="158"/>
        <v>1</v>
      </c>
      <c r="D871" s="7">
        <f ca="1">IF($B871 = 1 + N("Presidente"),
    127,
    IF($B871 = 2 + N("Vice-Presidente"),
        72,
        IF($B871 = 3 + N("Secretária bilíngue"),
            13,
            RANDBETWEEN(5,COUNT(Name!$A:$A) + 1)
        )
    )
)</f>
        <v>80</v>
      </c>
      <c r="E871" s="7" t="str">
        <f ca="1" xml:space="preserve">
VLOOKUP(
  $D871,
  Name!$A:$B,
  2,
  FALSE
)
&amp; " " &amp;
IF($B871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Byatriz Carvalho Moraes</v>
      </c>
      <c r="F871" s="7">
        <v>2</v>
      </c>
      <c r="G871" s="7" cm="1">
        <f t="array" aca="1" ref="G871" ca="1">INDEX(States!$B:$B,RANDBETWEEN(2,COUNTA(States!$A:$A)),1)</f>
        <v>14</v>
      </c>
      <c r="H871" s="7" t="str">
        <f ca="1">VLOOKUP($D871,Name!$A:$C,3,FALSE)</f>
        <v>F</v>
      </c>
      <c r="I871" s="7" cm="1">
        <f t="array" aca="1" ref="I871" ca="1">INDEX('Marital status'!$A:$A,RANDBETWEEN(2,COUNTA('Marital status'!$A:$A)),1)</f>
        <v>5</v>
      </c>
      <c r="J871" s="7">
        <f t="shared" ca="1" si="159"/>
        <v>2</v>
      </c>
      <c r="K871" s="8">
        <f t="shared" ca="1" si="160"/>
        <v>32759</v>
      </c>
      <c r="L871" s="6">
        <f t="shared" ca="1" si="161"/>
        <v>4</v>
      </c>
      <c r="M871" s="7">
        <f ca="1" xml:space="preserve">
  IF(OR($N871 = 2, $N871 = 3, $N871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871" s="6">
        <f t="shared" ca="1" si="162"/>
        <v>8</v>
      </c>
      <c r="O871" s="6">
        <f t="shared" ca="1" si="163"/>
        <v>3</v>
      </c>
      <c r="P871" s="8">
        <f t="shared" ca="1" si="164"/>
        <v>39147</v>
      </c>
      <c r="Q871" s="6">
        <f ca="1">RANDBETWEEN(2,COUNTA('Recruitment source'!$A:$A))</f>
        <v>10</v>
      </c>
      <c r="R871" s="8" t="e">
        <f t="shared" ca="1" si="165"/>
        <v>#N/A</v>
      </c>
      <c r="S871" s="6" t="e">
        <f t="shared" ca="1" si="166"/>
        <v>#N/A</v>
      </c>
      <c r="T871" s="6">
        <f t="shared" ca="1" si="156"/>
        <v>2</v>
      </c>
      <c r="U871" s="1">
        <f t="shared" ca="1" si="167"/>
        <v>2080</v>
      </c>
    </row>
    <row r="872" spans="1:21" x14ac:dyDescent="0.2">
      <c r="A872" s="7" cm="1">
        <f t="array" aca="1" ref="A872" ca="1">INDEX(Companies!$A:$A,RANDBETWEEN(2,COUNTA(Companies!$A:$A)),1)</f>
        <v>2</v>
      </c>
      <c r="B872" s="5">
        <f t="shared" si="157"/>
        <v>871</v>
      </c>
      <c r="C872" s="6">
        <f t="shared" ca="1" si="158"/>
        <v>1</v>
      </c>
      <c r="D872" s="7">
        <f ca="1">IF($B872 = 1 + N("Presidente"),
    127,
    IF($B872 = 2 + N("Vice-Presidente"),
        72,
        IF($B872 = 3 + N("Secretária bilíngue"),
            13,
            RANDBETWEEN(5,COUNT(Name!$A:$A) + 1)
        )
    )
)</f>
        <v>209</v>
      </c>
      <c r="E872" s="7" t="str">
        <f ca="1" xml:space="preserve">
VLOOKUP(
  $D872,
  Name!$A:$B,
  2,
  FALSE
)
&amp; " " &amp;
IF($B872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Katerine Pinheiro Leite</v>
      </c>
      <c r="F872" s="7">
        <v>2</v>
      </c>
      <c r="G872" s="7" cm="1">
        <f t="array" aca="1" ref="G872" ca="1">INDEX(States!$B:$B,RANDBETWEEN(2,COUNTA(States!$A:$A)),1)</f>
        <v>10</v>
      </c>
      <c r="H872" s="7" t="str">
        <f ca="1">VLOOKUP($D872,Name!$A:$C,3,FALSE)</f>
        <v>F</v>
      </c>
      <c r="I872" s="7" cm="1">
        <f t="array" aca="1" ref="I872" ca="1">INDEX('Marital status'!$A:$A,RANDBETWEEN(2,COUNTA('Marital status'!$A:$A)),1)</f>
        <v>6</v>
      </c>
      <c r="J872" s="7">
        <f t="shared" ca="1" si="159"/>
        <v>2</v>
      </c>
      <c r="K872" s="8">
        <f t="shared" ca="1" si="160"/>
        <v>34997</v>
      </c>
      <c r="L872" s="6">
        <f t="shared" ca="1" si="161"/>
        <v>4</v>
      </c>
      <c r="M872" s="7">
        <f ca="1" xml:space="preserve">
  IF(OR($N872 = 2, $N872 = 3, $N872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872" s="6">
        <f t="shared" ca="1" si="162"/>
        <v>7</v>
      </c>
      <c r="O872" s="6" t="e">
        <f t="shared" ca="1" si="163"/>
        <v>#N/A</v>
      </c>
      <c r="P872" s="8">
        <f t="shared" ca="1" si="164"/>
        <v>42481</v>
      </c>
      <c r="Q872" s="6">
        <f ca="1">RANDBETWEEN(2,COUNTA('Recruitment source'!$A:$A))</f>
        <v>10</v>
      </c>
      <c r="R872" s="8" t="e">
        <f t="shared" ca="1" si="165"/>
        <v>#N/A</v>
      </c>
      <c r="S872" s="6" t="e">
        <f t="shared" ca="1" si="166"/>
        <v>#N/A</v>
      </c>
      <c r="T872" s="6">
        <f t="shared" ca="1" si="156"/>
        <v>2</v>
      </c>
      <c r="U872" s="1">
        <f t="shared" ca="1" si="167"/>
        <v>1085</v>
      </c>
    </row>
    <row r="873" spans="1:21" x14ac:dyDescent="0.2">
      <c r="A873" s="7" cm="1">
        <f t="array" aca="1" ref="A873" ca="1">INDEX(Companies!$A:$A,RANDBETWEEN(2,COUNTA(Companies!$A:$A)),1)</f>
        <v>2</v>
      </c>
      <c r="B873" s="5">
        <f t="shared" si="157"/>
        <v>872</v>
      </c>
      <c r="C873" s="6">
        <f t="shared" ca="1" si="158"/>
        <v>1</v>
      </c>
      <c r="D873" s="7">
        <f ca="1">IF($B873 = 1 + N("Presidente"),
    127,
    IF($B873 = 2 + N("Vice-Presidente"),
        72,
        IF($B873 = 3 + N("Secretária bilíngue"),
            13,
            RANDBETWEEN(5,COUNT(Name!$A:$A) + 1)
        )
    )
)</f>
        <v>132</v>
      </c>
      <c r="E873" s="7" t="str">
        <f ca="1" xml:space="preserve">
VLOOKUP(
  $D873,
  Name!$A:$B,
  2,
  FALSE
)
&amp; " " &amp;
IF($B873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Eslovênia Vaz Monteiro</v>
      </c>
      <c r="F873" s="7">
        <v>2</v>
      </c>
      <c r="G873" s="7" cm="1">
        <f t="array" aca="1" ref="G873" ca="1">INDEX(States!$B:$B,RANDBETWEEN(2,COUNTA(States!$A:$A)),1)</f>
        <v>12</v>
      </c>
      <c r="H873" s="7" t="str">
        <f ca="1">VLOOKUP($D873,Name!$A:$C,3,FALSE)</f>
        <v>F</v>
      </c>
      <c r="I873" s="7" cm="1">
        <f t="array" aca="1" ref="I873" ca="1">INDEX('Marital status'!$A:$A,RANDBETWEEN(2,COUNTA('Marital status'!$A:$A)),1)</f>
        <v>2</v>
      </c>
      <c r="J873" s="7">
        <f t="shared" ca="1" si="159"/>
        <v>2</v>
      </c>
      <c r="K873" s="8">
        <f t="shared" ca="1" si="160"/>
        <v>36814</v>
      </c>
      <c r="L873" s="6">
        <f t="shared" ca="1" si="161"/>
        <v>4</v>
      </c>
      <c r="M873" s="7">
        <f ca="1" xml:space="preserve">
  IF(OR($N873 = 2, $N873 = 3, $N873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873" s="6">
        <f t="shared" ca="1" si="162"/>
        <v>8</v>
      </c>
      <c r="O873" s="6">
        <f t="shared" ca="1" si="163"/>
        <v>4</v>
      </c>
      <c r="P873" s="8">
        <f t="shared" ca="1" si="164"/>
        <v>44089</v>
      </c>
      <c r="Q873" s="6">
        <f ca="1">RANDBETWEEN(2,COUNTA('Recruitment source'!$A:$A))</f>
        <v>4</v>
      </c>
      <c r="R873" s="8" t="e">
        <f t="shared" ca="1" si="165"/>
        <v>#N/A</v>
      </c>
      <c r="S873" s="6" t="e">
        <f t="shared" ca="1" si="166"/>
        <v>#N/A</v>
      </c>
      <c r="T873" s="6">
        <f t="shared" ca="1" si="156"/>
        <v>5</v>
      </c>
      <c r="U873" s="1">
        <f t="shared" ca="1" si="167"/>
        <v>2000</v>
      </c>
    </row>
    <row r="874" spans="1:21" x14ac:dyDescent="0.2">
      <c r="A874" s="7" cm="1">
        <f t="array" aca="1" ref="A874" ca="1">INDEX(Companies!$A:$A,RANDBETWEEN(2,COUNTA(Companies!$A:$A)),1)</f>
        <v>2</v>
      </c>
      <c r="B874" s="5">
        <f t="shared" si="157"/>
        <v>873</v>
      </c>
      <c r="C874" s="6">
        <f t="shared" ca="1" si="158"/>
        <v>1</v>
      </c>
      <c r="D874" s="7">
        <f ca="1">IF($B874 = 1 + N("Presidente"),
    127,
    IF($B874 = 2 + N("Vice-Presidente"),
        72,
        IF($B874 = 3 + N("Secretária bilíngue"),
            13,
            RANDBETWEEN(5,COUNT(Name!$A:$A) + 1)
        )
    )
)</f>
        <v>274</v>
      </c>
      <c r="E874" s="7" t="str">
        <f ca="1" xml:space="preserve">
VLOOKUP(
  $D874,
  Name!$A:$B,
  2,
  FALSE
)
&amp; " " &amp;
IF($B874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Valentina Ferrara Trindade</v>
      </c>
      <c r="F874" s="7">
        <v>2</v>
      </c>
      <c r="G874" s="7" cm="1">
        <f t="array" aca="1" ref="G874" ca="1">INDEX(States!$B:$B,RANDBETWEEN(2,COUNTA(States!$A:$A)),1)</f>
        <v>3</v>
      </c>
      <c r="H874" s="7" t="str">
        <f ca="1">VLOOKUP($D874,Name!$A:$C,3,FALSE)</f>
        <v>F</v>
      </c>
      <c r="I874" s="7" cm="1">
        <f t="array" aca="1" ref="I874" ca="1">INDEX('Marital status'!$A:$A,RANDBETWEEN(2,COUNTA('Marital status'!$A:$A)),1)</f>
        <v>2</v>
      </c>
      <c r="J874" s="7">
        <f t="shared" ca="1" si="159"/>
        <v>5</v>
      </c>
      <c r="K874" s="8">
        <f t="shared" ca="1" si="160"/>
        <v>34222</v>
      </c>
      <c r="L874" s="6">
        <f t="shared" ca="1" si="161"/>
        <v>4</v>
      </c>
      <c r="M874" s="7">
        <f ca="1" xml:space="preserve">
  IF(OR($N874 = 2, $N874 = 3, $N874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874" s="6">
        <f t="shared" ca="1" si="162"/>
        <v>7</v>
      </c>
      <c r="O874" s="6" t="e">
        <f t="shared" ca="1" si="163"/>
        <v>#N/A</v>
      </c>
      <c r="P874" s="8">
        <f t="shared" ca="1" si="164"/>
        <v>37540</v>
      </c>
      <c r="Q874" s="6">
        <f ca="1">RANDBETWEEN(2,COUNTA('Recruitment source'!$A:$A))</f>
        <v>6</v>
      </c>
      <c r="R874" s="8" t="e">
        <f t="shared" ca="1" si="165"/>
        <v>#N/A</v>
      </c>
      <c r="S874" s="6" t="e">
        <f t="shared" ca="1" si="166"/>
        <v>#N/A</v>
      </c>
      <c r="T874" s="6">
        <f t="shared" ca="1" si="156"/>
        <v>4</v>
      </c>
      <c r="U874" s="1">
        <f t="shared" ca="1" si="167"/>
        <v>1005</v>
      </c>
    </row>
    <row r="875" spans="1:21" x14ac:dyDescent="0.2">
      <c r="A875" s="7" cm="1">
        <f t="array" aca="1" ref="A875" ca="1">INDEX(Companies!$A:$A,RANDBETWEEN(2,COUNTA(Companies!$A:$A)),1)</f>
        <v>2</v>
      </c>
      <c r="B875" s="5">
        <f t="shared" si="157"/>
        <v>874</v>
      </c>
      <c r="C875" s="6">
        <f t="shared" ca="1" si="158"/>
        <v>1</v>
      </c>
      <c r="D875" s="7">
        <f ca="1">IF($B875 = 1 + N("Presidente"),
    127,
    IF($B875 = 2 + N("Vice-Presidente"),
        72,
        IF($B875 = 3 + N("Secretária bilíngue"),
            13,
            RANDBETWEEN(5,COUNT(Name!$A:$A) + 1)
        )
    )
)</f>
        <v>286</v>
      </c>
      <c r="E875" s="7" t="str">
        <f ca="1" xml:space="preserve">
VLOOKUP(
  $D875,
  Name!$A:$B,
  2,
  FALSE
)
&amp; " " &amp;
IF($B875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Mateus Oliveira Conti</v>
      </c>
      <c r="F875" s="7">
        <v>2</v>
      </c>
      <c r="G875" s="7" cm="1">
        <f t="array" aca="1" ref="G875" ca="1">INDEX(States!$B:$B,RANDBETWEEN(2,COUNTA(States!$A:$A)),1)</f>
        <v>10</v>
      </c>
      <c r="H875" s="7" t="str">
        <f ca="1">VLOOKUP($D875,Name!$A:$C,3,FALSE)</f>
        <v>M</v>
      </c>
      <c r="I875" s="7" cm="1">
        <f t="array" aca="1" ref="I875" ca="1">INDEX('Marital status'!$A:$A,RANDBETWEEN(2,COUNTA('Marital status'!$A:$A)),1)</f>
        <v>2</v>
      </c>
      <c r="J875" s="7">
        <f t="shared" ca="1" si="159"/>
        <v>3</v>
      </c>
      <c r="K875" s="8">
        <f t="shared" ca="1" si="160"/>
        <v>33876</v>
      </c>
      <c r="L875" s="6">
        <f t="shared" ca="1" si="161"/>
        <v>4</v>
      </c>
      <c r="M875" s="7">
        <f ca="1" xml:space="preserve">
  IF(OR($N875 = 2, $N875 = 3, $N875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875" s="6">
        <f t="shared" ca="1" si="162"/>
        <v>8</v>
      </c>
      <c r="O875" s="6">
        <f t="shared" ca="1" si="163"/>
        <v>2</v>
      </c>
      <c r="P875" s="8">
        <f t="shared" ca="1" si="164"/>
        <v>38190</v>
      </c>
      <c r="Q875" s="6">
        <f ca="1">RANDBETWEEN(2,COUNTA('Recruitment source'!$A:$A))</f>
        <v>9</v>
      </c>
      <c r="R875" s="8" t="e">
        <f t="shared" ca="1" si="165"/>
        <v>#N/A</v>
      </c>
      <c r="S875" s="6" t="e">
        <f t="shared" ca="1" si="166"/>
        <v>#N/A</v>
      </c>
      <c r="T875" s="6">
        <f t="shared" ca="1" si="156"/>
        <v>3</v>
      </c>
      <c r="U875" s="1">
        <f t="shared" ca="1" si="167"/>
        <v>2080</v>
      </c>
    </row>
    <row r="876" spans="1:21" x14ac:dyDescent="0.2">
      <c r="A876" s="7" cm="1">
        <f t="array" aca="1" ref="A876" ca="1">INDEX(Companies!$A:$A,RANDBETWEEN(2,COUNTA(Companies!$A:$A)),1)</f>
        <v>2</v>
      </c>
      <c r="B876" s="5">
        <f t="shared" si="157"/>
        <v>875</v>
      </c>
      <c r="C876" s="6">
        <f t="shared" ca="1" si="158"/>
        <v>1</v>
      </c>
      <c r="D876" s="7">
        <f ca="1">IF($B876 = 1 + N("Presidente"),
    127,
    IF($B876 = 2 + N("Vice-Presidente"),
        72,
        IF($B876 = 3 + N("Secretária bilíngue"),
            13,
            RANDBETWEEN(5,COUNT(Name!$A:$A) + 1)
        )
    )
)</f>
        <v>278</v>
      </c>
      <c r="E876" s="7" t="str">
        <f ca="1" xml:space="preserve">
VLOOKUP(
  $D876,
  Name!$A:$B,
  2,
  FALSE
)
&amp; " " &amp;
IF($B876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Mariana Badu Padrão</v>
      </c>
      <c r="F876" s="7">
        <v>2</v>
      </c>
      <c r="G876" s="7" cm="1">
        <f t="array" aca="1" ref="G876" ca="1">INDEX(States!$B:$B,RANDBETWEEN(2,COUNTA(States!$A:$A)),1)</f>
        <v>12</v>
      </c>
      <c r="H876" s="7" t="str">
        <f ca="1">VLOOKUP($D876,Name!$A:$C,3,FALSE)</f>
        <v>F</v>
      </c>
      <c r="I876" s="7" cm="1">
        <f t="array" aca="1" ref="I876" ca="1">INDEX('Marital status'!$A:$A,RANDBETWEEN(2,COUNTA('Marital status'!$A:$A)),1)</f>
        <v>3</v>
      </c>
      <c r="J876" s="7">
        <f t="shared" ca="1" si="159"/>
        <v>2</v>
      </c>
      <c r="K876" s="8">
        <f t="shared" ca="1" si="160"/>
        <v>30415</v>
      </c>
      <c r="L876" s="6">
        <f t="shared" ca="1" si="161"/>
        <v>4</v>
      </c>
      <c r="M876" s="7">
        <f ca="1" xml:space="preserve">
  IF(OR($N876 = 2, $N876 = 3, $N876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876" s="6">
        <f t="shared" ca="1" si="162"/>
        <v>7</v>
      </c>
      <c r="O876" s="6" t="e">
        <f t="shared" ca="1" si="163"/>
        <v>#N/A</v>
      </c>
      <c r="P876" s="8">
        <f t="shared" ca="1" si="164"/>
        <v>41866</v>
      </c>
      <c r="Q876" s="6">
        <f ca="1">RANDBETWEEN(2,COUNTA('Recruitment source'!$A:$A))</f>
        <v>7</v>
      </c>
      <c r="R876" s="8" t="e">
        <f t="shared" ca="1" si="165"/>
        <v>#N/A</v>
      </c>
      <c r="S876" s="6" t="e">
        <f t="shared" ca="1" si="166"/>
        <v>#N/A</v>
      </c>
      <c r="T876" s="6">
        <f t="shared" ca="1" si="156"/>
        <v>4</v>
      </c>
      <c r="U876" s="1">
        <f t="shared" ca="1" si="167"/>
        <v>1005</v>
      </c>
    </row>
    <row r="877" spans="1:21" x14ac:dyDescent="0.2">
      <c r="A877" s="7" cm="1">
        <f t="array" aca="1" ref="A877" ca="1">INDEX(Companies!$A:$A,RANDBETWEEN(2,COUNTA(Companies!$A:$A)),1)</f>
        <v>2</v>
      </c>
      <c r="B877" s="5">
        <f t="shared" si="157"/>
        <v>876</v>
      </c>
      <c r="C877" s="6">
        <f t="shared" ca="1" si="158"/>
        <v>1</v>
      </c>
      <c r="D877" s="7">
        <f ca="1">IF($B877 = 1 + N("Presidente"),
    127,
    IF($B877 = 2 + N("Vice-Presidente"),
        72,
        IF($B877 = 3 + N("Secretária bilíngue"),
            13,
            RANDBETWEEN(5,COUNT(Name!$A:$A) + 1)
        )
    )
)</f>
        <v>337</v>
      </c>
      <c r="E877" s="7" t="str">
        <f ca="1" xml:space="preserve">
VLOOKUP(
  $D877,
  Name!$A:$B,
  2,
  FALSE
)
&amp; " " &amp;
IF($B877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Sarah Ramos Fontana</v>
      </c>
      <c r="F877" s="7">
        <v>2</v>
      </c>
      <c r="G877" s="7" cm="1">
        <f t="array" aca="1" ref="G877" ca="1">INDEX(States!$B:$B,RANDBETWEEN(2,COUNTA(States!$A:$A)),1)</f>
        <v>8</v>
      </c>
      <c r="H877" s="7" t="str">
        <f ca="1">VLOOKUP($D877,Name!$A:$C,3,FALSE)</f>
        <v>F</v>
      </c>
      <c r="I877" s="7" cm="1">
        <f t="array" aca="1" ref="I877" ca="1">INDEX('Marital status'!$A:$A,RANDBETWEEN(2,COUNTA('Marital status'!$A:$A)),1)</f>
        <v>3</v>
      </c>
      <c r="J877" s="7">
        <f t="shared" ca="1" si="159"/>
        <v>2</v>
      </c>
      <c r="K877" s="8">
        <f t="shared" ca="1" si="160"/>
        <v>35271</v>
      </c>
      <c r="L877" s="6">
        <f t="shared" ca="1" si="161"/>
        <v>5</v>
      </c>
      <c r="M877" s="7">
        <f ca="1" xml:space="preserve">
  IF(OR($N877 = 2, $N877 = 3, $N877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877" s="6">
        <f t="shared" ca="1" si="162"/>
        <v>8</v>
      </c>
      <c r="O877" s="6">
        <f t="shared" ca="1" si="163"/>
        <v>2</v>
      </c>
      <c r="P877" s="8">
        <f t="shared" ca="1" si="164"/>
        <v>43854</v>
      </c>
      <c r="Q877" s="6">
        <f ca="1">RANDBETWEEN(2,COUNTA('Recruitment source'!$A:$A))</f>
        <v>7</v>
      </c>
      <c r="R877" s="8" t="e">
        <f t="shared" ca="1" si="165"/>
        <v>#N/A</v>
      </c>
      <c r="S877" s="6" t="e">
        <f t="shared" ca="1" si="166"/>
        <v>#N/A</v>
      </c>
      <c r="T877" s="6">
        <f t="shared" ca="1" si="156"/>
        <v>4</v>
      </c>
      <c r="U877" s="1">
        <f t="shared" ca="1" si="167"/>
        <v>2080</v>
      </c>
    </row>
    <row r="878" spans="1:21" x14ac:dyDescent="0.2">
      <c r="A878" s="7" cm="1">
        <f t="array" aca="1" ref="A878" ca="1">INDEX(Companies!$A:$A,RANDBETWEEN(2,COUNTA(Companies!$A:$A)),1)</f>
        <v>2</v>
      </c>
      <c r="B878" s="5">
        <f t="shared" si="157"/>
        <v>877</v>
      </c>
      <c r="C878" s="6">
        <f t="shared" ca="1" si="158"/>
        <v>1</v>
      </c>
      <c r="D878" s="7">
        <f ca="1">IF($B878 = 1 + N("Presidente"),
    127,
    IF($B878 = 2 + N("Vice-Presidente"),
        72,
        IF($B878 = 3 + N("Secretária bilíngue"),
            13,
            RANDBETWEEN(5,COUNT(Name!$A:$A) + 1)
        )
    )
)</f>
        <v>249</v>
      </c>
      <c r="E878" s="7" t="str">
        <f ca="1" xml:space="preserve">
VLOOKUP(
  $D878,
  Name!$A:$B,
  2,
  FALSE
)
&amp; " " &amp;
IF($B878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Luna Braga Anunciação</v>
      </c>
      <c r="F878" s="7">
        <v>2</v>
      </c>
      <c r="G878" s="7" cm="1">
        <f t="array" aca="1" ref="G878" ca="1">INDEX(States!$B:$B,RANDBETWEEN(2,COUNTA(States!$A:$A)),1)</f>
        <v>8</v>
      </c>
      <c r="H878" s="7" t="str">
        <f ca="1">VLOOKUP($D878,Name!$A:$C,3,FALSE)</f>
        <v>F</v>
      </c>
      <c r="I878" s="7" cm="1">
        <f t="array" aca="1" ref="I878" ca="1">INDEX('Marital status'!$A:$A,RANDBETWEEN(2,COUNTA('Marital status'!$A:$A)),1)</f>
        <v>4</v>
      </c>
      <c r="J878" s="7">
        <f t="shared" ca="1" si="159"/>
        <v>2</v>
      </c>
      <c r="K878" s="8">
        <f t="shared" ca="1" si="160"/>
        <v>18418</v>
      </c>
      <c r="L878" s="6">
        <f t="shared" ca="1" si="161"/>
        <v>4</v>
      </c>
      <c r="M878" s="7">
        <f ca="1" xml:space="preserve">
  IF(OR($N878 = 2, $N878 = 3, $N878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878" s="6">
        <f t="shared" ca="1" si="162"/>
        <v>6</v>
      </c>
      <c r="O878" s="6" t="e">
        <f t="shared" ca="1" si="163"/>
        <v>#N/A</v>
      </c>
      <c r="P878" s="8">
        <f t="shared" ca="1" si="164"/>
        <v>42974</v>
      </c>
      <c r="Q878" s="6">
        <f ca="1">RANDBETWEEN(2,COUNTA('Recruitment source'!$A:$A))</f>
        <v>9</v>
      </c>
      <c r="R878" s="8" t="e">
        <f t="shared" ca="1" si="165"/>
        <v>#N/A</v>
      </c>
      <c r="S878" s="6" t="e">
        <f t="shared" ca="1" si="166"/>
        <v>#N/A</v>
      </c>
      <c r="T878" s="6">
        <f t="shared" ca="1" si="156"/>
        <v>3</v>
      </c>
      <c r="U878" s="1">
        <f t="shared" ca="1" si="167"/>
        <v>805</v>
      </c>
    </row>
    <row r="879" spans="1:21" x14ac:dyDescent="0.2">
      <c r="A879" s="7" cm="1">
        <f t="array" aca="1" ref="A879" ca="1">INDEX(Companies!$A:$A,RANDBETWEEN(2,COUNTA(Companies!$A:$A)),1)</f>
        <v>2</v>
      </c>
      <c r="B879" s="5">
        <f t="shared" si="157"/>
        <v>878</v>
      </c>
      <c r="C879" s="6">
        <f t="shared" ca="1" si="158"/>
        <v>1</v>
      </c>
      <c r="D879" s="7">
        <f ca="1">IF($B879 = 1 + N("Presidente"),
    127,
    IF($B879 = 2 + N("Vice-Presidente"),
        72,
        IF($B879 = 3 + N("Secretária bilíngue"),
            13,
            RANDBETWEEN(5,COUNT(Name!$A:$A) + 1)
        )
    )
)</f>
        <v>85</v>
      </c>
      <c r="E879" s="7" t="str">
        <f ca="1" xml:space="preserve">
VLOOKUP(
  $D879,
  Name!$A:$B,
  2,
  FALSE
)
&amp; " " &amp;
IF($B879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Carlos Eduardo Saragoça Morato</v>
      </c>
      <c r="F879" s="7">
        <v>2</v>
      </c>
      <c r="G879" s="7" cm="1">
        <f t="array" aca="1" ref="G879" ca="1">INDEX(States!$B:$B,RANDBETWEEN(2,COUNTA(States!$A:$A)),1)</f>
        <v>15</v>
      </c>
      <c r="H879" s="7" t="str">
        <f ca="1">VLOOKUP($D879,Name!$A:$C,3,FALSE)</f>
        <v>M</v>
      </c>
      <c r="I879" s="7" cm="1">
        <f t="array" aca="1" ref="I879" ca="1">INDEX('Marital status'!$A:$A,RANDBETWEEN(2,COUNTA('Marital status'!$A:$A)),1)</f>
        <v>4</v>
      </c>
      <c r="J879" s="7">
        <f t="shared" ca="1" si="159"/>
        <v>2</v>
      </c>
      <c r="K879" s="8">
        <f t="shared" ca="1" si="160"/>
        <v>37570</v>
      </c>
      <c r="L879" s="6">
        <f t="shared" ca="1" si="161"/>
        <v>4</v>
      </c>
      <c r="M879" s="7">
        <f ca="1" xml:space="preserve">
  IF(OR($N879 = 2, $N879 = 3, $N879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879" s="6">
        <f t="shared" ca="1" si="162"/>
        <v>8</v>
      </c>
      <c r="O879" s="6">
        <f t="shared" ca="1" si="163"/>
        <v>4</v>
      </c>
      <c r="P879" s="8">
        <f t="shared" ca="1" si="164"/>
        <v>44727</v>
      </c>
      <c r="Q879" s="6">
        <f ca="1">RANDBETWEEN(2,COUNTA('Recruitment source'!$A:$A))</f>
        <v>12</v>
      </c>
      <c r="R879" s="8" t="e">
        <f t="shared" ca="1" si="165"/>
        <v>#N/A</v>
      </c>
      <c r="S879" s="6" t="e">
        <f t="shared" ca="1" si="166"/>
        <v>#N/A</v>
      </c>
      <c r="T879" s="6">
        <f t="shared" ca="1" si="156"/>
        <v>5</v>
      </c>
      <c r="U879" s="1">
        <f t="shared" ca="1" si="167"/>
        <v>2000</v>
      </c>
    </row>
    <row r="880" spans="1:21" x14ac:dyDescent="0.2">
      <c r="A880" s="7" cm="1">
        <f t="array" aca="1" ref="A880" ca="1">INDEX(Companies!$A:$A,RANDBETWEEN(2,COUNTA(Companies!$A:$A)),1)</f>
        <v>2</v>
      </c>
      <c r="B880" s="5">
        <f t="shared" si="157"/>
        <v>879</v>
      </c>
      <c r="C880" s="6">
        <f t="shared" ca="1" si="158"/>
        <v>1</v>
      </c>
      <c r="D880" s="7">
        <f ca="1">IF($B880 = 1 + N("Presidente"),
    127,
    IF($B880 = 2 + N("Vice-Presidente"),
        72,
        IF($B880 = 3 + N("Secretária bilíngue"),
            13,
            RANDBETWEEN(5,COUNT(Name!$A:$A) + 1)
        )
    )
)</f>
        <v>327</v>
      </c>
      <c r="E880" s="7" t="str">
        <f ca="1" xml:space="preserve">
VLOOKUP(
  $D880,
  Name!$A:$B,
  2,
  FALSE
)
&amp; " " &amp;
IF($B880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Raquel Monteiro Marino</v>
      </c>
      <c r="F880" s="7">
        <v>2</v>
      </c>
      <c r="G880" s="7" cm="1">
        <f t="array" aca="1" ref="G880" ca="1">INDEX(States!$B:$B,RANDBETWEEN(2,COUNTA(States!$A:$A)),1)</f>
        <v>10</v>
      </c>
      <c r="H880" s="7" t="str">
        <f ca="1">VLOOKUP($D880,Name!$A:$C,3,FALSE)</f>
        <v>F</v>
      </c>
      <c r="I880" s="7" cm="1">
        <f t="array" aca="1" ref="I880" ca="1">INDEX('Marital status'!$A:$A,RANDBETWEEN(2,COUNTA('Marital status'!$A:$A)),1)</f>
        <v>5</v>
      </c>
      <c r="J880" s="7">
        <f t="shared" ca="1" si="159"/>
        <v>4</v>
      </c>
      <c r="K880" s="8">
        <f t="shared" ca="1" si="160"/>
        <v>34855</v>
      </c>
      <c r="L880" s="6">
        <f t="shared" ca="1" si="161"/>
        <v>4</v>
      </c>
      <c r="M880" s="7">
        <f ca="1" xml:space="preserve">
  IF(OR($N880 = 2, $N880 = 3, $N880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880" s="6">
        <f t="shared" ca="1" si="162"/>
        <v>7</v>
      </c>
      <c r="O880" s="6" t="e">
        <f t="shared" ca="1" si="163"/>
        <v>#N/A</v>
      </c>
      <c r="P880" s="8">
        <f t="shared" ca="1" si="164"/>
        <v>41269</v>
      </c>
      <c r="Q880" s="6">
        <f ca="1">RANDBETWEEN(2,COUNTA('Recruitment source'!$A:$A))</f>
        <v>11</v>
      </c>
      <c r="R880" s="8" t="e">
        <f t="shared" ca="1" si="165"/>
        <v>#N/A</v>
      </c>
      <c r="S880" s="6" t="e">
        <f t="shared" ca="1" si="166"/>
        <v>#N/A</v>
      </c>
      <c r="T880" s="6">
        <f t="shared" ca="1" si="156"/>
        <v>2</v>
      </c>
      <c r="U880" s="1">
        <f t="shared" ca="1" si="167"/>
        <v>1085</v>
      </c>
    </row>
    <row r="881" spans="1:21" x14ac:dyDescent="0.2">
      <c r="A881" s="7" cm="1">
        <f t="array" aca="1" ref="A881" ca="1">INDEX(Companies!$A:$A,RANDBETWEEN(2,COUNTA(Companies!$A:$A)),1)</f>
        <v>2</v>
      </c>
      <c r="B881" s="5">
        <f t="shared" si="157"/>
        <v>880</v>
      </c>
      <c r="C881" s="6">
        <f t="shared" ca="1" si="158"/>
        <v>1</v>
      </c>
      <c r="D881" s="7">
        <f ca="1">IF($B881 = 1 + N("Presidente"),
    127,
    IF($B881 = 2 + N("Vice-Presidente"),
        72,
        IF($B881 = 3 + N("Secretária bilíngue"),
            13,
            RANDBETWEEN(5,COUNT(Name!$A:$A) + 1)
        )
    )
)</f>
        <v>112</v>
      </c>
      <c r="E881" s="7" t="str">
        <f ca="1" xml:space="preserve">
VLOOKUP(
  $D881,
  Name!$A:$B,
  2,
  FALSE
)
&amp; " " &amp;
IF($B881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Deborah Bermudes Freitas</v>
      </c>
      <c r="F881" s="7">
        <v>2</v>
      </c>
      <c r="G881" s="7" cm="1">
        <f t="array" aca="1" ref="G881" ca="1">INDEX(States!$B:$B,RANDBETWEEN(2,COUNTA(States!$A:$A)),1)</f>
        <v>5</v>
      </c>
      <c r="H881" s="7" t="str">
        <f ca="1">VLOOKUP($D881,Name!$A:$C,3,FALSE)</f>
        <v>F</v>
      </c>
      <c r="I881" s="7" cm="1">
        <f t="array" aca="1" ref="I881" ca="1">INDEX('Marital status'!$A:$A,RANDBETWEEN(2,COUNTA('Marital status'!$A:$A)),1)</f>
        <v>2</v>
      </c>
      <c r="J881" s="7">
        <f t="shared" ca="1" si="159"/>
        <v>2</v>
      </c>
      <c r="K881" s="8">
        <f t="shared" ca="1" si="160"/>
        <v>32804</v>
      </c>
      <c r="L881" s="6">
        <f t="shared" ca="1" si="161"/>
        <v>4</v>
      </c>
      <c r="M881" s="7">
        <f ca="1" xml:space="preserve">
  IF(OR($N881 = 2, $N881 = 3, $N881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881" s="6">
        <f t="shared" ca="1" si="162"/>
        <v>8</v>
      </c>
      <c r="O881" s="6">
        <f t="shared" ca="1" si="163"/>
        <v>2</v>
      </c>
      <c r="P881" s="8">
        <f t="shared" ca="1" si="164"/>
        <v>36829</v>
      </c>
      <c r="Q881" s="6">
        <f ca="1">RANDBETWEEN(2,COUNTA('Recruitment source'!$A:$A))</f>
        <v>12</v>
      </c>
      <c r="R881" s="8" t="e">
        <f t="shared" ca="1" si="165"/>
        <v>#N/A</v>
      </c>
      <c r="S881" s="6" t="e">
        <f t="shared" ca="1" si="166"/>
        <v>#N/A</v>
      </c>
      <c r="T881" s="6">
        <f t="shared" ca="1" si="156"/>
        <v>5</v>
      </c>
      <c r="U881" s="1">
        <f t="shared" ca="1" si="167"/>
        <v>2000</v>
      </c>
    </row>
    <row r="882" spans="1:21" x14ac:dyDescent="0.2">
      <c r="A882" s="7" cm="1">
        <f t="array" aca="1" ref="A882" ca="1">INDEX(Companies!$A:$A,RANDBETWEEN(2,COUNTA(Companies!$A:$A)),1)</f>
        <v>2</v>
      </c>
      <c r="B882" s="5">
        <f t="shared" si="157"/>
        <v>881</v>
      </c>
      <c r="C882" s="6">
        <f t="shared" ca="1" si="158"/>
        <v>1</v>
      </c>
      <c r="D882" s="7">
        <f ca="1">IF($B882 = 1 + N("Presidente"),
    127,
    IF($B882 = 2 + N("Vice-Presidente"),
        72,
        IF($B882 = 3 + N("Secretária bilíngue"),
            13,
            RANDBETWEEN(5,COUNT(Name!$A:$A) + 1)
        )
    )
)</f>
        <v>53</v>
      </c>
      <c r="E882" s="7" t="str">
        <f ca="1" xml:space="preserve">
VLOOKUP(
  $D882,
  Name!$A:$B,
  2,
  FALSE
)
&amp; " " &amp;
IF($B882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Aquiles Caminha Medeiros</v>
      </c>
      <c r="F882" s="7">
        <v>2</v>
      </c>
      <c r="G882" s="7" cm="1">
        <f t="array" aca="1" ref="G882" ca="1">INDEX(States!$B:$B,RANDBETWEEN(2,COUNTA(States!$A:$A)),1)</f>
        <v>13</v>
      </c>
      <c r="H882" s="7" t="str">
        <f ca="1">VLOOKUP($D882,Name!$A:$C,3,FALSE)</f>
        <v>M</v>
      </c>
      <c r="I882" s="7" cm="1">
        <f t="array" aca="1" ref="I882" ca="1">INDEX('Marital status'!$A:$A,RANDBETWEEN(2,COUNTA('Marital status'!$A:$A)),1)</f>
        <v>2</v>
      </c>
      <c r="J882" s="7">
        <f t="shared" ca="1" si="159"/>
        <v>3</v>
      </c>
      <c r="K882" s="8">
        <f t="shared" ca="1" si="160"/>
        <v>26798</v>
      </c>
      <c r="L882" s="6">
        <f t="shared" ca="1" si="161"/>
        <v>4</v>
      </c>
      <c r="M882" s="7">
        <f ca="1" xml:space="preserve">
  IF(OR($N882 = 2, $N882 = 3, $N882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882" s="6">
        <f t="shared" ca="1" si="162"/>
        <v>6</v>
      </c>
      <c r="O882" s="6" t="e">
        <f t="shared" ca="1" si="163"/>
        <v>#N/A</v>
      </c>
      <c r="P882" s="8">
        <f t="shared" ca="1" si="164"/>
        <v>41819</v>
      </c>
      <c r="Q882" s="6">
        <f ca="1">RANDBETWEEN(2,COUNTA('Recruitment source'!$A:$A))</f>
        <v>3</v>
      </c>
      <c r="R882" s="8" t="e">
        <f t="shared" ca="1" si="165"/>
        <v>#N/A</v>
      </c>
      <c r="S882" s="6" t="e">
        <f t="shared" ca="1" si="166"/>
        <v>#N/A</v>
      </c>
      <c r="T882" s="6">
        <f t="shared" ca="1" si="156"/>
        <v>5</v>
      </c>
      <c r="U882" s="1">
        <f t="shared" ca="1" si="167"/>
        <v>885</v>
      </c>
    </row>
    <row r="883" spans="1:21" x14ac:dyDescent="0.2">
      <c r="A883" s="7" cm="1">
        <f t="array" aca="1" ref="A883" ca="1">INDEX(Companies!$A:$A,RANDBETWEEN(2,COUNTA(Companies!$A:$A)),1)</f>
        <v>2</v>
      </c>
      <c r="B883" s="5">
        <f t="shared" si="157"/>
        <v>882</v>
      </c>
      <c r="C883" s="6">
        <f t="shared" ca="1" si="158"/>
        <v>1</v>
      </c>
      <c r="D883" s="7">
        <f ca="1">IF($B883 = 1 + N("Presidente"),
    127,
    IF($B883 = 2 + N("Vice-Presidente"),
        72,
        IF($B883 = 3 + N("Secretária bilíngue"),
            13,
            RANDBETWEEN(5,COUNT(Name!$A:$A) + 1)
        )
    )
)</f>
        <v>29</v>
      </c>
      <c r="E883" s="7" t="str">
        <f ca="1" xml:space="preserve">
VLOOKUP(
  $D883,
  Name!$A:$B,
  2,
  FALSE
)
&amp; " " &amp;
IF($B883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Cecília Farina Leone</v>
      </c>
      <c r="F883" s="7">
        <v>2</v>
      </c>
      <c r="G883" s="7" cm="1">
        <f t="array" aca="1" ref="G883" ca="1">INDEX(States!$B:$B,RANDBETWEEN(2,COUNTA(States!$A:$A)),1)</f>
        <v>19</v>
      </c>
      <c r="H883" s="7" t="str">
        <f ca="1">VLOOKUP($D883,Name!$A:$C,3,FALSE)</f>
        <v>F</v>
      </c>
      <c r="I883" s="7" cm="1">
        <f t="array" aca="1" ref="I883" ca="1">INDEX('Marital status'!$A:$A,RANDBETWEEN(2,COUNTA('Marital status'!$A:$A)),1)</f>
        <v>2</v>
      </c>
      <c r="J883" s="7">
        <f t="shared" ca="1" si="159"/>
        <v>2</v>
      </c>
      <c r="K883" s="8">
        <f t="shared" ca="1" si="160"/>
        <v>35538</v>
      </c>
      <c r="L883" s="6">
        <f t="shared" ca="1" si="161"/>
        <v>4</v>
      </c>
      <c r="M883" s="7">
        <f ca="1" xml:space="preserve">
  IF(OR($N883 = 2, $N883 = 3, $N883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883" s="6">
        <f t="shared" ca="1" si="162"/>
        <v>8</v>
      </c>
      <c r="O883" s="6">
        <f t="shared" ca="1" si="163"/>
        <v>3</v>
      </c>
      <c r="P883" s="8">
        <f t="shared" ca="1" si="164"/>
        <v>43551</v>
      </c>
      <c r="Q883" s="6">
        <f ca="1">RANDBETWEEN(2,COUNTA('Recruitment source'!$A:$A))</f>
        <v>2</v>
      </c>
      <c r="R883" s="8" t="e">
        <f t="shared" ca="1" si="165"/>
        <v>#N/A</v>
      </c>
      <c r="S883" s="6" t="e">
        <f t="shared" ca="1" si="166"/>
        <v>#N/A</v>
      </c>
      <c r="T883" s="6">
        <f t="shared" ca="1" si="156"/>
        <v>5</v>
      </c>
      <c r="U883" s="1">
        <f t="shared" ca="1" si="167"/>
        <v>2080</v>
      </c>
    </row>
    <row r="884" spans="1:21" x14ac:dyDescent="0.2">
      <c r="A884" s="7" cm="1">
        <f t="array" aca="1" ref="A884" ca="1">INDEX(Companies!$A:$A,RANDBETWEEN(2,COUNTA(Companies!$A:$A)),1)</f>
        <v>2</v>
      </c>
      <c r="B884" s="5">
        <f t="shared" si="157"/>
        <v>883</v>
      </c>
      <c r="C884" s="6">
        <f t="shared" ca="1" si="158"/>
        <v>1</v>
      </c>
      <c r="D884" s="7">
        <f ca="1">IF($B884 = 1 + N("Presidente"),
    127,
    IF($B884 = 2 + N("Vice-Presidente"),
        72,
        IF($B884 = 3 + N("Secretária bilíngue"),
            13,
            RANDBETWEEN(5,COUNT(Name!$A:$A) + 1)
        )
    )
)</f>
        <v>305</v>
      </c>
      <c r="E884" s="7" t="str">
        <f ca="1" xml:space="preserve">
VLOOKUP(
  $D884,
  Name!$A:$B,
  2,
  FALSE
)
&amp; " " &amp;
IF($B884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Nathan Bragança Asvilla</v>
      </c>
      <c r="F884" s="7">
        <v>2</v>
      </c>
      <c r="G884" s="7" cm="1">
        <f t="array" aca="1" ref="G884" ca="1">INDEX(States!$B:$B,RANDBETWEEN(2,COUNTA(States!$A:$A)),1)</f>
        <v>2</v>
      </c>
      <c r="H884" s="7" t="str">
        <f ca="1">VLOOKUP($D884,Name!$A:$C,3,FALSE)</f>
        <v>M</v>
      </c>
      <c r="I884" s="7" cm="1">
        <f t="array" aca="1" ref="I884" ca="1">INDEX('Marital status'!$A:$A,RANDBETWEEN(2,COUNTA('Marital status'!$A:$A)),1)</f>
        <v>4</v>
      </c>
      <c r="J884" s="7">
        <f t="shared" ca="1" si="159"/>
        <v>2</v>
      </c>
      <c r="K884" s="8">
        <f t="shared" ca="1" si="160"/>
        <v>34530</v>
      </c>
      <c r="L884" s="6">
        <f t="shared" ca="1" si="161"/>
        <v>4</v>
      </c>
      <c r="M884" s="7">
        <f ca="1" xml:space="preserve">
  IF(OR($N884 = 2, $N884 = 3, $N884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884" s="6">
        <f t="shared" ca="1" si="162"/>
        <v>7</v>
      </c>
      <c r="O884" s="6" t="e">
        <f t="shared" ca="1" si="163"/>
        <v>#N/A</v>
      </c>
      <c r="P884" s="8">
        <f t="shared" ca="1" si="164"/>
        <v>44460</v>
      </c>
      <c r="Q884" s="6">
        <f ca="1">RANDBETWEEN(2,COUNTA('Recruitment source'!$A:$A))</f>
        <v>11</v>
      </c>
      <c r="R884" s="8" t="e">
        <f t="shared" ca="1" si="165"/>
        <v>#N/A</v>
      </c>
      <c r="S884" s="6" t="e">
        <f t="shared" ca="1" si="166"/>
        <v>#N/A</v>
      </c>
      <c r="T884" s="6">
        <f t="shared" ca="1" si="156"/>
        <v>5</v>
      </c>
      <c r="U884" s="1">
        <f t="shared" ca="1" si="167"/>
        <v>1085</v>
      </c>
    </row>
    <row r="885" spans="1:21" x14ac:dyDescent="0.2">
      <c r="A885" s="7" cm="1">
        <f t="array" aca="1" ref="A885" ca="1">INDEX(Companies!$A:$A,RANDBETWEEN(2,COUNTA(Companies!$A:$A)),1)</f>
        <v>2</v>
      </c>
      <c r="B885" s="5">
        <f t="shared" si="157"/>
        <v>884</v>
      </c>
      <c r="C885" s="6">
        <f t="shared" ca="1" si="158"/>
        <v>1</v>
      </c>
      <c r="D885" s="7">
        <f ca="1">IF($B885 = 1 + N("Presidente"),
    127,
    IF($B885 = 2 + N("Vice-Presidente"),
        72,
        IF($B885 = 3 + N("Secretária bilíngue"),
            13,
            RANDBETWEEN(5,COUNT(Name!$A:$A) + 1)
        )
    )
)</f>
        <v>261</v>
      </c>
      <c r="E885" s="7" t="str">
        <f ca="1" xml:space="preserve">
VLOOKUP(
  $D885,
  Name!$A:$B,
  2,
  FALSE
)
&amp; " " &amp;
IF($B885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Clara Pinto Cândido</v>
      </c>
      <c r="F885" s="7">
        <v>2</v>
      </c>
      <c r="G885" s="7" cm="1">
        <f t="array" aca="1" ref="G885" ca="1">INDEX(States!$B:$B,RANDBETWEEN(2,COUNTA(States!$A:$A)),1)</f>
        <v>4</v>
      </c>
      <c r="H885" s="7" t="str">
        <f ca="1">VLOOKUP($D885,Name!$A:$C,3,FALSE)</f>
        <v>F</v>
      </c>
      <c r="I885" s="7" cm="1">
        <f t="array" aca="1" ref="I885" ca="1">INDEX('Marital status'!$A:$A,RANDBETWEEN(2,COUNTA('Marital status'!$A:$A)),1)</f>
        <v>3</v>
      </c>
      <c r="J885" s="7">
        <f t="shared" ca="1" si="159"/>
        <v>2</v>
      </c>
      <c r="K885" s="8">
        <f t="shared" ca="1" si="160"/>
        <v>37274</v>
      </c>
      <c r="L885" s="6">
        <f t="shared" ca="1" si="161"/>
        <v>5</v>
      </c>
      <c r="M885" s="7">
        <f ca="1" xml:space="preserve">
  IF(OR($N885 = 2, $N885 = 3, $N885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885" s="6">
        <f t="shared" ca="1" si="162"/>
        <v>8</v>
      </c>
      <c r="O885" s="6">
        <f t="shared" ca="1" si="163"/>
        <v>4</v>
      </c>
      <c r="P885" s="8">
        <f t="shared" ca="1" si="164"/>
        <v>39641</v>
      </c>
      <c r="Q885" s="6">
        <f ca="1">RANDBETWEEN(2,COUNTA('Recruitment source'!$A:$A))</f>
        <v>12</v>
      </c>
      <c r="R885" s="8" t="e">
        <f t="shared" ca="1" si="165"/>
        <v>#N/A</v>
      </c>
      <c r="S885" s="6" t="e">
        <f t="shared" ca="1" si="166"/>
        <v>#N/A</v>
      </c>
      <c r="T885" s="6">
        <f t="shared" ca="1" si="156"/>
        <v>3</v>
      </c>
      <c r="U885" s="1">
        <f t="shared" ca="1" si="167"/>
        <v>2000</v>
      </c>
    </row>
    <row r="886" spans="1:21" x14ac:dyDescent="0.2">
      <c r="A886" s="7" cm="1">
        <f t="array" aca="1" ref="A886" ca="1">INDEX(Companies!$A:$A,RANDBETWEEN(2,COUNTA(Companies!$A:$A)),1)</f>
        <v>2</v>
      </c>
      <c r="B886" s="5">
        <f t="shared" si="157"/>
        <v>885</v>
      </c>
      <c r="C886" s="6">
        <f t="shared" ca="1" si="158"/>
        <v>1</v>
      </c>
      <c r="D886" s="7">
        <f ca="1">IF($B886 = 1 + N("Presidente"),
    127,
    IF($B886 = 2 + N("Vice-Presidente"),
        72,
        IF($B886 = 3 + N("Secretária bilíngue"),
            13,
            RANDBETWEEN(5,COUNT(Name!$A:$A) + 1)
        )
    )
)</f>
        <v>163</v>
      </c>
      <c r="E886" s="7" t="str">
        <f ca="1" xml:space="preserve">
VLOOKUP(
  $D886,
  Name!$A:$B,
  2,
  FALSE
)
&amp; " " &amp;
IF($B886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Heloísa Bianchi Sá</v>
      </c>
      <c r="F886" s="7">
        <v>2</v>
      </c>
      <c r="G886" s="7" cm="1">
        <f t="array" aca="1" ref="G886" ca="1">INDEX(States!$B:$B,RANDBETWEEN(2,COUNTA(States!$A:$A)),1)</f>
        <v>20</v>
      </c>
      <c r="H886" s="7" t="str">
        <f ca="1">VLOOKUP($D886,Name!$A:$C,3,FALSE)</f>
        <v>F</v>
      </c>
      <c r="I886" s="7" cm="1">
        <f t="array" aca="1" ref="I886" ca="1">INDEX('Marital status'!$A:$A,RANDBETWEEN(2,COUNTA('Marital status'!$A:$A)),1)</f>
        <v>5</v>
      </c>
      <c r="J886" s="7">
        <f t="shared" ca="1" si="159"/>
        <v>2</v>
      </c>
      <c r="K886" s="8">
        <f t="shared" ca="1" si="160"/>
        <v>25349</v>
      </c>
      <c r="L886" s="6">
        <f t="shared" ca="1" si="161"/>
        <v>4</v>
      </c>
      <c r="M886" s="7">
        <f ca="1" xml:space="preserve">
  IF(OR($N886 = 2, $N886 = 3, $N886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886" s="6">
        <f t="shared" ca="1" si="162"/>
        <v>6</v>
      </c>
      <c r="O886" s="6" t="e">
        <f t="shared" ca="1" si="163"/>
        <v>#N/A</v>
      </c>
      <c r="P886" s="8">
        <f t="shared" ca="1" si="164"/>
        <v>42490</v>
      </c>
      <c r="Q886" s="6">
        <f ca="1">RANDBETWEEN(2,COUNTA('Recruitment source'!$A:$A))</f>
        <v>6</v>
      </c>
      <c r="R886" s="8" t="e">
        <f t="shared" ca="1" si="165"/>
        <v>#N/A</v>
      </c>
      <c r="S886" s="6" t="e">
        <f t="shared" ca="1" si="166"/>
        <v>#N/A</v>
      </c>
      <c r="T886" s="6">
        <f t="shared" ca="1" si="156"/>
        <v>5</v>
      </c>
      <c r="U886" s="1">
        <f t="shared" ca="1" si="167"/>
        <v>805</v>
      </c>
    </row>
    <row r="887" spans="1:21" x14ac:dyDescent="0.2">
      <c r="A887" s="7" cm="1">
        <f t="array" aca="1" ref="A887" ca="1">INDEX(Companies!$A:$A,RANDBETWEEN(2,COUNTA(Companies!$A:$A)),1)</f>
        <v>2</v>
      </c>
      <c r="B887" s="5">
        <f t="shared" si="157"/>
        <v>886</v>
      </c>
      <c r="C887" s="6">
        <f t="shared" ca="1" si="158"/>
        <v>1</v>
      </c>
      <c r="D887" s="7">
        <f ca="1">IF($B887 = 1 + N("Presidente"),
    127,
    IF($B887 = 2 + N("Vice-Presidente"),
        72,
        IF($B887 = 3 + N("Secretária bilíngue"),
            13,
            RANDBETWEEN(5,COUNT(Name!$A:$A) + 1)
        )
    )
)</f>
        <v>306</v>
      </c>
      <c r="E887" s="7" t="str">
        <f ca="1" xml:space="preserve">
VLOOKUP(
  $D887,
  Name!$A:$B,
  2,
  FALSE
)
&amp; " " &amp;
IF($B887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Nicolas Monti Ricci</v>
      </c>
      <c r="F887" s="7">
        <v>2</v>
      </c>
      <c r="G887" s="7" cm="1">
        <f t="array" aca="1" ref="G887" ca="1">INDEX(States!$B:$B,RANDBETWEEN(2,COUNTA(States!$A:$A)),1)</f>
        <v>12</v>
      </c>
      <c r="H887" s="7" t="str">
        <f ca="1">VLOOKUP($D887,Name!$A:$C,3,FALSE)</f>
        <v>M</v>
      </c>
      <c r="I887" s="7" cm="1">
        <f t="array" aca="1" ref="I887" ca="1">INDEX('Marital status'!$A:$A,RANDBETWEEN(2,COUNTA('Marital status'!$A:$A)),1)</f>
        <v>2</v>
      </c>
      <c r="J887" s="7">
        <f t="shared" ca="1" si="159"/>
        <v>2</v>
      </c>
      <c r="K887" s="8">
        <f t="shared" ca="1" si="160"/>
        <v>36216</v>
      </c>
      <c r="L887" s="6">
        <f t="shared" ca="1" si="161"/>
        <v>5</v>
      </c>
      <c r="M887" s="7">
        <f ca="1" xml:space="preserve">
  IF(OR($N887 = 2, $N887 = 3, $N887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887" s="6">
        <f t="shared" ca="1" si="162"/>
        <v>8</v>
      </c>
      <c r="O887" s="6">
        <f t="shared" ca="1" si="163"/>
        <v>4</v>
      </c>
      <c r="P887" s="8">
        <f t="shared" ca="1" si="164"/>
        <v>43630</v>
      </c>
      <c r="Q887" s="6">
        <f ca="1">RANDBETWEEN(2,COUNTA('Recruitment source'!$A:$A))</f>
        <v>2</v>
      </c>
      <c r="R887" s="8" t="e">
        <f t="shared" ca="1" si="165"/>
        <v>#N/A</v>
      </c>
      <c r="S887" s="6" t="e">
        <f t="shared" ca="1" si="166"/>
        <v>#N/A</v>
      </c>
      <c r="T887" s="6">
        <f t="shared" ca="1" si="156"/>
        <v>4</v>
      </c>
      <c r="U887" s="1">
        <f t="shared" ca="1" si="167"/>
        <v>2080</v>
      </c>
    </row>
    <row r="888" spans="1:21" x14ac:dyDescent="0.2">
      <c r="A888" s="7" cm="1">
        <f t="array" aca="1" ref="A888" ca="1">INDEX(Companies!$A:$A,RANDBETWEEN(2,COUNTA(Companies!$A:$A)),1)</f>
        <v>2</v>
      </c>
      <c r="B888" s="5">
        <f t="shared" si="157"/>
        <v>887</v>
      </c>
      <c r="C888" s="6">
        <f t="shared" ca="1" si="158"/>
        <v>0</v>
      </c>
      <c r="D888" s="7">
        <f ca="1">IF($B888 = 1 + N("Presidente"),
    127,
    IF($B888 = 2 + N("Vice-Presidente"),
        72,
        IF($B888 = 3 + N("Secretária bilíngue"),
            13,
            RANDBETWEEN(5,COUNT(Name!$A:$A) + 1)
        )
    )
)</f>
        <v>17</v>
      </c>
      <c r="E888" s="7" t="str">
        <f ca="1" xml:space="preserve">
VLOOKUP(
  $D888,
  Name!$A:$B,
  2,
  FALSE
)
&amp; " " &amp;
IF($B888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Alicia Poeta Teixeira</v>
      </c>
      <c r="F888" s="7">
        <v>2</v>
      </c>
      <c r="G888" s="7" cm="1">
        <f t="array" aca="1" ref="G888" ca="1">INDEX(States!$B:$B,RANDBETWEEN(2,COUNTA(States!$A:$A)),1)</f>
        <v>3</v>
      </c>
      <c r="H888" s="7" t="str">
        <f ca="1">VLOOKUP($D888,Name!$A:$C,3,FALSE)</f>
        <v>F</v>
      </c>
      <c r="I888" s="7" cm="1">
        <f t="array" aca="1" ref="I888" ca="1">INDEX('Marital status'!$A:$A,RANDBETWEEN(2,COUNTA('Marital status'!$A:$A)),1)</f>
        <v>2</v>
      </c>
      <c r="J888" s="7">
        <f t="shared" ca="1" si="159"/>
        <v>2</v>
      </c>
      <c r="K888" s="8">
        <f t="shared" ca="1" si="160"/>
        <v>34345</v>
      </c>
      <c r="L888" s="6">
        <f t="shared" ca="1" si="161"/>
        <v>4</v>
      </c>
      <c r="M888" s="7">
        <f ca="1" xml:space="preserve">
  IF(OR($N888 = 2, $N888 = 3, $N888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888" s="6">
        <f t="shared" ca="1" si="162"/>
        <v>7</v>
      </c>
      <c r="O888" s="6" t="e">
        <f t="shared" ca="1" si="163"/>
        <v>#N/A</v>
      </c>
      <c r="P888" s="8">
        <f t="shared" ca="1" si="164"/>
        <v>41672</v>
      </c>
      <c r="Q888" s="6">
        <f ca="1">RANDBETWEEN(2,COUNTA('Recruitment source'!$A:$A))</f>
        <v>3</v>
      </c>
      <c r="R888" s="8">
        <f t="shared" ca="1" si="165"/>
        <v>43164</v>
      </c>
      <c r="S888" s="6">
        <f t="shared" ca="1" si="166"/>
        <v>4</v>
      </c>
      <c r="T888" s="6">
        <f t="shared" ca="1" si="156"/>
        <v>2</v>
      </c>
      <c r="U888" s="1">
        <f t="shared" ca="1" si="167"/>
        <v>1005</v>
      </c>
    </row>
    <row r="889" spans="1:21" x14ac:dyDescent="0.2">
      <c r="A889" s="7" cm="1">
        <f t="array" aca="1" ref="A889" ca="1">INDEX(Companies!$A:$A,RANDBETWEEN(2,COUNTA(Companies!$A:$A)),1)</f>
        <v>2</v>
      </c>
      <c r="B889" s="5">
        <f t="shared" si="157"/>
        <v>888</v>
      </c>
      <c r="C889" s="6">
        <f t="shared" ca="1" si="158"/>
        <v>1</v>
      </c>
      <c r="D889" s="7">
        <f ca="1">IF($B889 = 1 + N("Presidente"),
    127,
    IF($B889 = 2 + N("Vice-Presidente"),
        72,
        IF($B889 = 3 + N("Secretária bilíngue"),
            13,
            RANDBETWEEN(5,COUNT(Name!$A:$A) + 1)
        )
    )
)</f>
        <v>208</v>
      </c>
      <c r="E889" s="7" t="str">
        <f ca="1" xml:space="preserve">
VLOOKUP(
  $D889,
  Name!$A:$B,
  2,
  FALSE
)
&amp; " " &amp;
IF($B889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Katarina Caminha Fernandes</v>
      </c>
      <c r="F889" s="7">
        <v>2</v>
      </c>
      <c r="G889" s="7" cm="1">
        <f t="array" aca="1" ref="G889" ca="1">INDEX(States!$B:$B,RANDBETWEEN(2,COUNTA(States!$A:$A)),1)</f>
        <v>15</v>
      </c>
      <c r="H889" s="7" t="str">
        <f ca="1">VLOOKUP($D889,Name!$A:$C,3,FALSE)</f>
        <v>F</v>
      </c>
      <c r="I889" s="7" cm="1">
        <f t="array" aca="1" ref="I889" ca="1">INDEX('Marital status'!$A:$A,RANDBETWEEN(2,COUNTA('Marital status'!$A:$A)),1)</f>
        <v>6</v>
      </c>
      <c r="J889" s="7">
        <f t="shared" ca="1" si="159"/>
        <v>3</v>
      </c>
      <c r="K889" s="8">
        <f t="shared" ca="1" si="160"/>
        <v>34432</v>
      </c>
      <c r="L889" s="6">
        <f t="shared" ca="1" si="161"/>
        <v>5</v>
      </c>
      <c r="M889" s="7">
        <f ca="1" xml:space="preserve">
  IF(OR($N889 = 2, $N889 = 3, $N889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889" s="6">
        <f t="shared" ca="1" si="162"/>
        <v>8</v>
      </c>
      <c r="O889" s="6">
        <f t="shared" ca="1" si="163"/>
        <v>3</v>
      </c>
      <c r="P889" s="8">
        <f t="shared" ca="1" si="164"/>
        <v>36794</v>
      </c>
      <c r="Q889" s="6">
        <f ca="1">RANDBETWEEN(2,COUNTA('Recruitment source'!$A:$A))</f>
        <v>5</v>
      </c>
      <c r="R889" s="8" t="e">
        <f t="shared" ca="1" si="165"/>
        <v>#N/A</v>
      </c>
      <c r="S889" s="6" t="e">
        <f t="shared" ca="1" si="166"/>
        <v>#N/A</v>
      </c>
      <c r="T889" s="6">
        <f t="shared" ca="1" si="156"/>
        <v>3</v>
      </c>
      <c r="U889" s="1">
        <f t="shared" ca="1" si="167"/>
        <v>2080</v>
      </c>
    </row>
    <row r="890" spans="1:21" x14ac:dyDescent="0.2">
      <c r="A890" s="7" cm="1">
        <f t="array" aca="1" ref="A890" ca="1">INDEX(Companies!$A:$A,RANDBETWEEN(2,COUNTA(Companies!$A:$A)),1)</f>
        <v>2</v>
      </c>
      <c r="B890" s="5">
        <f t="shared" si="157"/>
        <v>889</v>
      </c>
      <c r="C890" s="6">
        <f t="shared" ca="1" si="158"/>
        <v>1</v>
      </c>
      <c r="D890" s="7">
        <f ca="1">IF($B890 = 1 + N("Presidente"),
    127,
    IF($B890 = 2 + N("Vice-Presidente"),
        72,
        IF($B890 = 3 + N("Secretária bilíngue"),
            13,
            RANDBETWEEN(5,COUNT(Name!$A:$A) + 1)
        )
    )
)</f>
        <v>223</v>
      </c>
      <c r="E890" s="7" t="str">
        <f ca="1" xml:space="preserve">
VLOOKUP(
  $D890,
  Name!$A:$B,
  2,
  FALSE
)
&amp; " " &amp;
IF($B890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Leonardo Romano Figo</v>
      </c>
      <c r="F890" s="7">
        <v>2</v>
      </c>
      <c r="G890" s="7" cm="1">
        <f t="array" aca="1" ref="G890" ca="1">INDEX(States!$B:$B,RANDBETWEEN(2,COUNTA(States!$A:$A)),1)</f>
        <v>10</v>
      </c>
      <c r="H890" s="7" t="str">
        <f ca="1">VLOOKUP($D890,Name!$A:$C,3,FALSE)</f>
        <v>M</v>
      </c>
      <c r="I890" s="7" cm="1">
        <f t="array" aca="1" ref="I890" ca="1">INDEX('Marital status'!$A:$A,RANDBETWEEN(2,COUNTA('Marital status'!$A:$A)),1)</f>
        <v>4</v>
      </c>
      <c r="J890" s="7">
        <f t="shared" ca="1" si="159"/>
        <v>2</v>
      </c>
      <c r="K890" s="8">
        <f t="shared" ca="1" si="160"/>
        <v>35081</v>
      </c>
      <c r="L890" s="6">
        <f t="shared" ca="1" si="161"/>
        <v>4</v>
      </c>
      <c r="M890" s="7">
        <f ca="1" xml:space="preserve">
  IF(OR($N890 = 2, $N890 = 3, $N890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890" s="6">
        <f t="shared" ca="1" si="162"/>
        <v>7</v>
      </c>
      <c r="O890" s="6" t="e">
        <f t="shared" ca="1" si="163"/>
        <v>#N/A</v>
      </c>
      <c r="P890" s="8">
        <f t="shared" ca="1" si="164"/>
        <v>44147</v>
      </c>
      <c r="Q890" s="6">
        <f ca="1">RANDBETWEEN(2,COUNTA('Recruitment source'!$A:$A))</f>
        <v>3</v>
      </c>
      <c r="R890" s="8" t="e">
        <f t="shared" ca="1" si="165"/>
        <v>#N/A</v>
      </c>
      <c r="S890" s="6" t="e">
        <f t="shared" ca="1" si="166"/>
        <v>#N/A</v>
      </c>
      <c r="T890" s="6">
        <f t="shared" ca="1" si="156"/>
        <v>5</v>
      </c>
      <c r="U890" s="1">
        <f t="shared" ca="1" si="167"/>
        <v>1005</v>
      </c>
    </row>
    <row r="891" spans="1:21" x14ac:dyDescent="0.2">
      <c r="A891" s="7" cm="1">
        <f t="array" aca="1" ref="A891" ca="1">INDEX(Companies!$A:$A,RANDBETWEEN(2,COUNTA(Companies!$A:$A)),1)</f>
        <v>2</v>
      </c>
      <c r="B891" s="5">
        <f t="shared" si="157"/>
        <v>890</v>
      </c>
      <c r="C891" s="6">
        <f t="shared" ca="1" si="158"/>
        <v>1</v>
      </c>
      <c r="D891" s="7">
        <f ca="1">IF($B891 = 1 + N("Presidente"),
    127,
    IF($B891 = 2 + N("Vice-Presidente"),
        72,
        IF($B891 = 3 + N("Secretária bilíngue"),
            13,
            RANDBETWEEN(5,COUNT(Name!$A:$A) + 1)
        )
    )
)</f>
        <v>153</v>
      </c>
      <c r="E891" s="7" t="str">
        <f ca="1" xml:space="preserve">
VLOOKUP(
  $D891,
  Name!$A:$B,
  2,
  FALSE
)
&amp; " " &amp;
IF($B891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Giovana dos Santos Bianchi</v>
      </c>
      <c r="F891" s="7">
        <v>2</v>
      </c>
      <c r="G891" s="7" cm="1">
        <f t="array" aca="1" ref="G891" ca="1">INDEX(States!$B:$B,RANDBETWEEN(2,COUNTA(States!$A:$A)),1)</f>
        <v>7</v>
      </c>
      <c r="H891" s="7" t="str">
        <f ca="1">VLOOKUP($D891,Name!$A:$C,3,FALSE)</f>
        <v>F</v>
      </c>
      <c r="I891" s="7" cm="1">
        <f t="array" aca="1" ref="I891" ca="1">INDEX('Marital status'!$A:$A,RANDBETWEEN(2,COUNTA('Marital status'!$A:$A)),1)</f>
        <v>3</v>
      </c>
      <c r="J891" s="7">
        <f t="shared" ca="1" si="159"/>
        <v>4</v>
      </c>
      <c r="K891" s="8">
        <f t="shared" ca="1" si="160"/>
        <v>35431</v>
      </c>
      <c r="L891" s="6">
        <f t="shared" ca="1" si="161"/>
        <v>5</v>
      </c>
      <c r="M891" s="7">
        <f ca="1" xml:space="preserve">
  IF(OR($N891 = 2, $N891 = 3, $N891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891" s="6">
        <f t="shared" ca="1" si="162"/>
        <v>8</v>
      </c>
      <c r="O891" s="6">
        <f t="shared" ca="1" si="163"/>
        <v>2</v>
      </c>
      <c r="P891" s="8">
        <f t="shared" ca="1" si="164"/>
        <v>44207</v>
      </c>
      <c r="Q891" s="6">
        <f ca="1">RANDBETWEEN(2,COUNTA('Recruitment source'!$A:$A))</f>
        <v>5</v>
      </c>
      <c r="R891" s="8" t="e">
        <f t="shared" ca="1" si="165"/>
        <v>#N/A</v>
      </c>
      <c r="S891" s="6" t="e">
        <f t="shared" ca="1" si="166"/>
        <v>#N/A</v>
      </c>
      <c r="T891" s="6">
        <f t="shared" ca="1" si="156"/>
        <v>2</v>
      </c>
      <c r="U891" s="1">
        <f t="shared" ca="1" si="167"/>
        <v>2000</v>
      </c>
    </row>
    <row r="892" spans="1:21" x14ac:dyDescent="0.2">
      <c r="A892" s="7" cm="1">
        <f t="array" aca="1" ref="A892" ca="1">INDEX(Companies!$A:$A,RANDBETWEEN(2,COUNTA(Companies!$A:$A)),1)</f>
        <v>2</v>
      </c>
      <c r="B892" s="5">
        <f t="shared" si="157"/>
        <v>891</v>
      </c>
      <c r="C892" s="6">
        <f t="shared" ca="1" si="158"/>
        <v>1</v>
      </c>
      <c r="D892" s="7">
        <f ca="1">IF($B892 = 1 + N("Presidente"),
    127,
    IF($B892 = 2 + N("Vice-Presidente"),
        72,
        IF($B892 = 3 + N("Secretária bilíngue"),
            13,
            RANDBETWEEN(5,COUNT(Name!$A:$A) + 1)
        )
    )
)</f>
        <v>162</v>
      </c>
      <c r="E892" s="7" t="str">
        <f ca="1" xml:space="preserve">
VLOOKUP(
  $D892,
  Name!$A:$B,
  2,
  FALSE
)
&amp; " " &amp;
IF($B892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Helena Malafaia Carvalho</v>
      </c>
      <c r="F892" s="7">
        <v>2</v>
      </c>
      <c r="G892" s="7" cm="1">
        <f t="array" aca="1" ref="G892" ca="1">INDEX(States!$B:$B,RANDBETWEEN(2,COUNTA(States!$A:$A)),1)</f>
        <v>17</v>
      </c>
      <c r="H892" s="7" t="str">
        <f ca="1">VLOOKUP($D892,Name!$A:$C,3,FALSE)</f>
        <v>F</v>
      </c>
      <c r="I892" s="7" cm="1">
        <f t="array" aca="1" ref="I892" ca="1">INDEX('Marital status'!$A:$A,RANDBETWEEN(2,COUNTA('Marital status'!$A:$A)),1)</f>
        <v>4</v>
      </c>
      <c r="J892" s="7">
        <f t="shared" ca="1" si="159"/>
        <v>2</v>
      </c>
      <c r="K892" s="8">
        <f t="shared" ca="1" si="160"/>
        <v>25101</v>
      </c>
      <c r="L892" s="6">
        <f t="shared" ca="1" si="161"/>
        <v>4</v>
      </c>
      <c r="M892" s="7">
        <f ca="1" xml:space="preserve">
  IF(OR($N892 = 2, $N892 = 3, $N892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892" s="6">
        <f t="shared" ca="1" si="162"/>
        <v>6</v>
      </c>
      <c r="O892" s="6" t="e">
        <f t="shared" ca="1" si="163"/>
        <v>#N/A</v>
      </c>
      <c r="P892" s="8">
        <f t="shared" ca="1" si="164"/>
        <v>43021</v>
      </c>
      <c r="Q892" s="6">
        <f ca="1">RANDBETWEEN(2,COUNTA('Recruitment source'!$A:$A))</f>
        <v>12</v>
      </c>
      <c r="R892" s="8" t="e">
        <f t="shared" ca="1" si="165"/>
        <v>#N/A</v>
      </c>
      <c r="S892" s="6" t="e">
        <f t="shared" ca="1" si="166"/>
        <v>#N/A</v>
      </c>
      <c r="T892" s="6">
        <f t="shared" ca="1" si="156"/>
        <v>3</v>
      </c>
      <c r="U892" s="1">
        <f t="shared" ca="1" si="167"/>
        <v>805</v>
      </c>
    </row>
    <row r="893" spans="1:21" x14ac:dyDescent="0.2">
      <c r="A893" s="7" cm="1">
        <f t="array" aca="1" ref="A893" ca="1">INDEX(Companies!$A:$A,RANDBETWEEN(2,COUNTA(Companies!$A:$A)),1)</f>
        <v>2</v>
      </c>
      <c r="B893" s="5">
        <f t="shared" si="157"/>
        <v>892</v>
      </c>
      <c r="C893" s="6">
        <f t="shared" ca="1" si="158"/>
        <v>1</v>
      </c>
      <c r="D893" s="7">
        <f ca="1">IF($B893 = 1 + N("Presidente"),
    127,
    IF($B893 = 2 + N("Vice-Presidente"),
        72,
        IF($B893 = 3 + N("Secretária bilíngue"),
            13,
            RANDBETWEEN(5,COUNT(Name!$A:$A) + 1)
        )
    )
)</f>
        <v>269</v>
      </c>
      <c r="E893" s="7" t="str">
        <f ca="1" xml:space="preserve">
VLOOKUP(
  $D893,
  Name!$A:$B,
  2,
  FALSE
)
&amp; " " &amp;
IF($B893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Júlia Caminha Santoro</v>
      </c>
      <c r="F893" s="7">
        <v>2</v>
      </c>
      <c r="G893" s="7" cm="1">
        <f t="array" aca="1" ref="G893" ca="1">INDEX(States!$B:$B,RANDBETWEEN(2,COUNTA(States!$A:$A)),1)</f>
        <v>13</v>
      </c>
      <c r="H893" s="7" t="str">
        <f ca="1">VLOOKUP($D893,Name!$A:$C,3,FALSE)</f>
        <v>F</v>
      </c>
      <c r="I893" s="7" cm="1">
        <f t="array" aca="1" ref="I893" ca="1">INDEX('Marital status'!$A:$A,RANDBETWEEN(2,COUNTA('Marital status'!$A:$A)),1)</f>
        <v>6</v>
      </c>
      <c r="J893" s="7">
        <f t="shared" ca="1" si="159"/>
        <v>5</v>
      </c>
      <c r="K893" s="8">
        <f t="shared" ca="1" si="160"/>
        <v>33656</v>
      </c>
      <c r="L893" s="6">
        <f t="shared" ca="1" si="161"/>
        <v>5</v>
      </c>
      <c r="M893" s="7">
        <f ca="1" xml:space="preserve">
  IF(OR($N893 = 2, $N893 = 3, $N893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893" s="6">
        <f t="shared" ca="1" si="162"/>
        <v>8</v>
      </c>
      <c r="O893" s="6">
        <f t="shared" ca="1" si="163"/>
        <v>4</v>
      </c>
      <c r="P893" s="8">
        <f t="shared" ca="1" si="164"/>
        <v>37087</v>
      </c>
      <c r="Q893" s="6">
        <f ca="1">RANDBETWEEN(2,COUNTA('Recruitment source'!$A:$A))</f>
        <v>8</v>
      </c>
      <c r="R893" s="8" t="e">
        <f t="shared" ca="1" si="165"/>
        <v>#N/A</v>
      </c>
      <c r="S893" s="6" t="e">
        <f t="shared" ca="1" si="166"/>
        <v>#N/A</v>
      </c>
      <c r="T893" s="6">
        <f t="shared" ca="1" si="156"/>
        <v>4</v>
      </c>
      <c r="U893" s="1">
        <f t="shared" ca="1" si="167"/>
        <v>2080</v>
      </c>
    </row>
    <row r="894" spans="1:21" x14ac:dyDescent="0.2">
      <c r="A894" s="7" cm="1">
        <f t="array" aca="1" ref="A894" ca="1">INDEX(Companies!$A:$A,RANDBETWEEN(2,COUNTA(Companies!$A:$A)),1)</f>
        <v>2</v>
      </c>
      <c r="B894" s="5">
        <f t="shared" si="157"/>
        <v>893</v>
      </c>
      <c r="C894" s="6">
        <f t="shared" ca="1" si="158"/>
        <v>1</v>
      </c>
      <c r="D894" s="7">
        <f ca="1">IF($B894 = 1 + N("Presidente"),
    127,
    IF($B894 = 2 + N("Vice-Presidente"),
        72,
        IF($B894 = 3 + N("Secretária bilíngue"),
            13,
            RANDBETWEEN(5,COUNT(Name!$A:$A) + 1)
        )
    )
)</f>
        <v>48</v>
      </c>
      <c r="E894" s="7" t="str">
        <f ca="1" xml:space="preserve">
VLOOKUP(
  $D894,
  Name!$A:$B,
  2,
  FALSE
)
&amp; " " &amp;
IF($B894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Anthony Luz Monteiro</v>
      </c>
      <c r="F894" s="7">
        <v>2</v>
      </c>
      <c r="G894" s="7" cm="1">
        <f t="array" aca="1" ref="G894" ca="1">INDEX(States!$B:$B,RANDBETWEEN(2,COUNTA(States!$A:$A)),1)</f>
        <v>6</v>
      </c>
      <c r="H894" s="7" t="str">
        <f ca="1">VLOOKUP($D894,Name!$A:$C,3,FALSE)</f>
        <v>M</v>
      </c>
      <c r="I894" s="7" cm="1">
        <f t="array" aca="1" ref="I894" ca="1">INDEX('Marital status'!$A:$A,RANDBETWEEN(2,COUNTA('Marital status'!$A:$A)),1)</f>
        <v>2</v>
      </c>
      <c r="J894" s="7">
        <f t="shared" ca="1" si="159"/>
        <v>2</v>
      </c>
      <c r="K894" s="8">
        <f t="shared" ca="1" si="160"/>
        <v>30118</v>
      </c>
      <c r="L894" s="6">
        <f t="shared" ca="1" si="161"/>
        <v>4</v>
      </c>
      <c r="M894" s="7">
        <f ca="1" xml:space="preserve">
  IF(OR($N894 = 2, $N894 = 3, $N894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894" s="6">
        <f t="shared" ca="1" si="162"/>
        <v>7</v>
      </c>
      <c r="O894" s="6" t="e">
        <f t="shared" ca="1" si="163"/>
        <v>#N/A</v>
      </c>
      <c r="P894" s="8">
        <f t="shared" ca="1" si="164"/>
        <v>40242</v>
      </c>
      <c r="Q894" s="6">
        <f ca="1">RANDBETWEEN(2,COUNTA('Recruitment source'!$A:$A))</f>
        <v>9</v>
      </c>
      <c r="R894" s="8" t="e">
        <f t="shared" ca="1" si="165"/>
        <v>#N/A</v>
      </c>
      <c r="S894" s="6" t="e">
        <f t="shared" ca="1" si="166"/>
        <v>#N/A</v>
      </c>
      <c r="T894" s="6">
        <f t="shared" ca="1" si="156"/>
        <v>5</v>
      </c>
      <c r="U894" s="1">
        <f t="shared" ca="1" si="167"/>
        <v>1005</v>
      </c>
    </row>
    <row r="895" spans="1:21" x14ac:dyDescent="0.2">
      <c r="A895" s="7" cm="1">
        <f t="array" aca="1" ref="A895" ca="1">INDEX(Companies!$A:$A,RANDBETWEEN(2,COUNTA(Companies!$A:$A)),1)</f>
        <v>2</v>
      </c>
      <c r="B895" s="5">
        <f t="shared" si="157"/>
        <v>894</v>
      </c>
      <c r="C895" s="6">
        <f t="shared" ca="1" si="158"/>
        <v>1</v>
      </c>
      <c r="D895" s="7">
        <f ca="1">IF($B895 = 1 + N("Presidente"),
    127,
    IF($B895 = 2 + N("Vice-Presidente"),
        72,
        IF($B895 = 3 + N("Secretária bilíngue"),
            13,
            RANDBETWEEN(5,COUNT(Name!$A:$A) + 1)
        )
    )
)</f>
        <v>223</v>
      </c>
      <c r="E895" s="7" t="str">
        <f ca="1" xml:space="preserve">
VLOOKUP(
  $D895,
  Name!$A:$B,
  2,
  FALSE
)
&amp; " " &amp;
IF($B895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Leonardo Asvilla Esteves</v>
      </c>
      <c r="F895" s="7">
        <v>2</v>
      </c>
      <c r="G895" s="7" cm="1">
        <f t="array" aca="1" ref="G895" ca="1">INDEX(States!$B:$B,RANDBETWEEN(2,COUNTA(States!$A:$A)),1)</f>
        <v>18</v>
      </c>
      <c r="H895" s="7" t="str">
        <f ca="1">VLOOKUP($D895,Name!$A:$C,3,FALSE)</f>
        <v>M</v>
      </c>
      <c r="I895" s="7" cm="1">
        <f t="array" aca="1" ref="I895" ca="1">INDEX('Marital status'!$A:$A,RANDBETWEEN(2,COUNTA('Marital status'!$A:$A)),1)</f>
        <v>6</v>
      </c>
      <c r="J895" s="7">
        <f t="shared" ca="1" si="159"/>
        <v>2</v>
      </c>
      <c r="K895" s="8">
        <f t="shared" ca="1" si="160"/>
        <v>33666</v>
      </c>
      <c r="L895" s="6">
        <f t="shared" ca="1" si="161"/>
        <v>5</v>
      </c>
      <c r="M895" s="7">
        <f ca="1" xml:space="preserve">
  IF(OR($N895 = 2, $N895 = 3, $N895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895" s="6">
        <f t="shared" ca="1" si="162"/>
        <v>8</v>
      </c>
      <c r="O895" s="6">
        <f t="shared" ca="1" si="163"/>
        <v>4</v>
      </c>
      <c r="P895" s="8">
        <f t="shared" ca="1" si="164"/>
        <v>40128</v>
      </c>
      <c r="Q895" s="6">
        <f ca="1">RANDBETWEEN(2,COUNTA('Recruitment source'!$A:$A))</f>
        <v>11</v>
      </c>
      <c r="R895" s="8" t="e">
        <f t="shared" ca="1" si="165"/>
        <v>#N/A</v>
      </c>
      <c r="S895" s="6" t="e">
        <f t="shared" ca="1" si="166"/>
        <v>#N/A</v>
      </c>
      <c r="T895" s="6">
        <f t="shared" ca="1" si="156"/>
        <v>4</v>
      </c>
      <c r="U895" s="1">
        <f t="shared" ca="1" si="167"/>
        <v>2100</v>
      </c>
    </row>
    <row r="896" spans="1:21" x14ac:dyDescent="0.2">
      <c r="A896" s="7" cm="1">
        <f t="array" aca="1" ref="A896" ca="1">INDEX(Companies!$A:$A,RANDBETWEEN(2,COUNTA(Companies!$A:$A)),1)</f>
        <v>2</v>
      </c>
      <c r="B896" s="5">
        <f t="shared" si="157"/>
        <v>895</v>
      </c>
      <c r="C896" s="6">
        <f t="shared" ca="1" si="158"/>
        <v>1</v>
      </c>
      <c r="D896" s="7">
        <f ca="1">IF($B896 = 1 + N("Presidente"),
    127,
    IF($B896 = 2 + N("Vice-Presidente"),
        72,
        IF($B896 = 3 + N("Secretária bilíngue"),
            13,
            RANDBETWEEN(5,COUNT(Name!$A:$A) + 1)
        )
    )
)</f>
        <v>17</v>
      </c>
      <c r="E896" s="7" t="str">
        <f ca="1" xml:space="preserve">
VLOOKUP(
  $D896,
  Name!$A:$B,
  2,
  FALSE
)
&amp; " " &amp;
IF($B896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Alicia Alves Melo</v>
      </c>
      <c r="F896" s="7">
        <v>2</v>
      </c>
      <c r="G896" s="7" cm="1">
        <f t="array" aca="1" ref="G896" ca="1">INDEX(States!$B:$B,RANDBETWEEN(2,COUNTA(States!$A:$A)),1)</f>
        <v>15</v>
      </c>
      <c r="H896" s="7" t="str">
        <f ca="1">VLOOKUP($D896,Name!$A:$C,3,FALSE)</f>
        <v>F</v>
      </c>
      <c r="I896" s="7" cm="1">
        <f t="array" aca="1" ref="I896" ca="1">INDEX('Marital status'!$A:$A,RANDBETWEEN(2,COUNTA('Marital status'!$A:$A)),1)</f>
        <v>5</v>
      </c>
      <c r="J896" s="7">
        <f t="shared" ca="1" si="159"/>
        <v>3</v>
      </c>
      <c r="K896" s="8">
        <f t="shared" ca="1" si="160"/>
        <v>29670</v>
      </c>
      <c r="L896" s="6">
        <f t="shared" ca="1" si="161"/>
        <v>4</v>
      </c>
      <c r="M896" s="7">
        <f ca="1" xml:space="preserve">
  IF(OR($N896 = 2, $N896 = 3, $N896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896" s="6">
        <f t="shared" ca="1" si="162"/>
        <v>7</v>
      </c>
      <c r="O896" s="6" t="e">
        <f t="shared" ca="1" si="163"/>
        <v>#N/A</v>
      </c>
      <c r="P896" s="8">
        <f t="shared" ca="1" si="164"/>
        <v>37170</v>
      </c>
      <c r="Q896" s="6">
        <f ca="1">RANDBETWEEN(2,COUNTA('Recruitment source'!$A:$A))</f>
        <v>2</v>
      </c>
      <c r="R896" s="8" t="e">
        <f t="shared" ca="1" si="165"/>
        <v>#N/A</v>
      </c>
      <c r="S896" s="6" t="e">
        <f t="shared" ca="1" si="166"/>
        <v>#N/A</v>
      </c>
      <c r="T896" s="6">
        <f t="shared" ca="1" si="156"/>
        <v>3</v>
      </c>
      <c r="U896" s="1">
        <f t="shared" ca="1" si="167"/>
        <v>1005</v>
      </c>
    </row>
    <row r="897" spans="1:21" x14ac:dyDescent="0.2">
      <c r="A897" s="7" cm="1">
        <f t="array" aca="1" ref="A897" ca="1">INDEX(Companies!$A:$A,RANDBETWEEN(2,COUNTA(Companies!$A:$A)),1)</f>
        <v>2</v>
      </c>
      <c r="B897" s="5">
        <f t="shared" si="157"/>
        <v>896</v>
      </c>
      <c r="C897" s="6">
        <f t="shared" ca="1" si="158"/>
        <v>1</v>
      </c>
      <c r="D897" s="7">
        <f ca="1">IF($B897 = 1 + N("Presidente"),
    127,
    IF($B897 = 2 + N("Vice-Presidente"),
        72,
        IF($B897 = 3 + N("Secretária bilíngue"),
            13,
            RANDBETWEEN(5,COUNT(Name!$A:$A) + 1)
        )
    )
)</f>
        <v>256</v>
      </c>
      <c r="E897" s="7" t="str">
        <f ca="1" xml:space="preserve">
VLOOKUP(
  $D897,
  Name!$A:$B,
  2,
  FALSE
)
&amp; " " &amp;
IF($B897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Marcelo Castro Araújo</v>
      </c>
      <c r="F897" s="7">
        <v>2</v>
      </c>
      <c r="G897" s="7" cm="1">
        <f t="array" aca="1" ref="G897" ca="1">INDEX(States!$B:$B,RANDBETWEEN(2,COUNTA(States!$A:$A)),1)</f>
        <v>16</v>
      </c>
      <c r="H897" s="7" t="str">
        <f ca="1">VLOOKUP($D897,Name!$A:$C,3,FALSE)</f>
        <v>M</v>
      </c>
      <c r="I897" s="7" cm="1">
        <f t="array" aca="1" ref="I897" ca="1">INDEX('Marital status'!$A:$A,RANDBETWEEN(2,COUNTA('Marital status'!$A:$A)),1)</f>
        <v>4</v>
      </c>
      <c r="J897" s="7">
        <f t="shared" ca="1" si="159"/>
        <v>2</v>
      </c>
      <c r="K897" s="8">
        <f t="shared" ca="1" si="160"/>
        <v>34543</v>
      </c>
      <c r="L897" s="6">
        <f t="shared" ca="1" si="161"/>
        <v>5</v>
      </c>
      <c r="M897" s="7">
        <f ca="1" xml:space="preserve">
  IF(OR($N897 = 2, $N897 = 3, $N897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897" s="6">
        <f t="shared" ca="1" si="162"/>
        <v>8</v>
      </c>
      <c r="O897" s="6">
        <f t="shared" ca="1" si="163"/>
        <v>2</v>
      </c>
      <c r="P897" s="8">
        <f t="shared" ca="1" si="164"/>
        <v>42638</v>
      </c>
      <c r="Q897" s="6">
        <f ca="1">RANDBETWEEN(2,COUNTA('Recruitment source'!$A:$A))</f>
        <v>7</v>
      </c>
      <c r="R897" s="8" t="e">
        <f t="shared" ca="1" si="165"/>
        <v>#N/A</v>
      </c>
      <c r="S897" s="6" t="e">
        <f t="shared" ca="1" si="166"/>
        <v>#N/A</v>
      </c>
      <c r="T897" s="6">
        <f t="shared" ca="1" si="156"/>
        <v>2</v>
      </c>
      <c r="U897" s="1">
        <f t="shared" ca="1" si="167"/>
        <v>2000</v>
      </c>
    </row>
    <row r="898" spans="1:21" x14ac:dyDescent="0.2">
      <c r="A898" s="7" cm="1">
        <f t="array" aca="1" ref="A898" ca="1">INDEX(Companies!$A:$A,RANDBETWEEN(2,COUNTA(Companies!$A:$A)),1)</f>
        <v>2</v>
      </c>
      <c r="B898" s="5">
        <f t="shared" si="157"/>
        <v>897</v>
      </c>
      <c r="C898" s="6">
        <f t="shared" ca="1" si="158"/>
        <v>1</v>
      </c>
      <c r="D898" s="7">
        <f ca="1">IF($B898 = 1 + N("Presidente"),
    127,
    IF($B898 = 2 + N("Vice-Presidente"),
        72,
        IF($B898 = 3 + N("Secretária bilíngue"),
            13,
            RANDBETWEEN(5,COUNT(Name!$A:$A) + 1)
        )
    )
)</f>
        <v>269</v>
      </c>
      <c r="E898" s="7" t="str">
        <f ca="1" xml:space="preserve">
VLOOKUP(
  $D898,
  Name!$A:$B,
  2,
  FALSE
)
&amp; " " &amp;
IF($B898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Júlia Lombardi Miranda</v>
      </c>
      <c r="F898" s="7">
        <v>2</v>
      </c>
      <c r="G898" s="7" cm="1">
        <f t="array" aca="1" ref="G898" ca="1">INDEX(States!$B:$B,RANDBETWEEN(2,COUNTA(States!$A:$A)),1)</f>
        <v>10</v>
      </c>
      <c r="H898" s="7" t="str">
        <f ca="1">VLOOKUP($D898,Name!$A:$C,3,FALSE)</f>
        <v>F</v>
      </c>
      <c r="I898" s="7" cm="1">
        <f t="array" aca="1" ref="I898" ca="1">INDEX('Marital status'!$A:$A,RANDBETWEEN(2,COUNTA('Marital status'!$A:$A)),1)</f>
        <v>5</v>
      </c>
      <c r="J898" s="7">
        <f t="shared" ca="1" si="159"/>
        <v>2</v>
      </c>
      <c r="K898" s="8">
        <f t="shared" ca="1" si="160"/>
        <v>31829</v>
      </c>
      <c r="L898" s="6">
        <f t="shared" ca="1" si="161"/>
        <v>4</v>
      </c>
      <c r="M898" s="7">
        <f ca="1" xml:space="preserve">
  IF(OR($N898 = 2, $N898 = 3, $N898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898" s="6">
        <f t="shared" ca="1" si="162"/>
        <v>7</v>
      </c>
      <c r="O898" s="6" t="e">
        <f t="shared" ca="1" si="163"/>
        <v>#N/A</v>
      </c>
      <c r="P898" s="8">
        <f t="shared" ca="1" si="164"/>
        <v>43349</v>
      </c>
      <c r="Q898" s="6">
        <f ca="1">RANDBETWEEN(2,COUNTA('Recruitment source'!$A:$A))</f>
        <v>2</v>
      </c>
      <c r="R898" s="8" t="e">
        <f t="shared" ca="1" si="165"/>
        <v>#N/A</v>
      </c>
      <c r="S898" s="6" t="e">
        <f t="shared" ca="1" si="166"/>
        <v>#N/A</v>
      </c>
      <c r="T898" s="6">
        <f t="shared" ref="T898:T961" ca="1" si="168" xml:space="preserve">
IF(
 ISNA($R898),
 IF(
   $N898 = 2,
   5,
   IF(
     OR($N898=3,$N898=4,$N898=5),
     RANDBETWEEN(4,5),
     IF(
       OR($N898=11,$N898=12),
       RANDBETWEEN(3,5),
       RANDBETWEEN(2,5)
     )
   )
 ),
 RANDBETWEEN(1,3)
)</f>
        <v>5</v>
      </c>
      <c r="U898" s="1">
        <f t="shared" ca="1" si="167"/>
        <v>1005</v>
      </c>
    </row>
    <row r="899" spans="1:21" x14ac:dyDescent="0.2">
      <c r="A899" s="7" cm="1">
        <f t="array" aca="1" ref="A899" ca="1">INDEX(Companies!$A:$A,RANDBETWEEN(2,COUNTA(Companies!$A:$A)),1)</f>
        <v>2</v>
      </c>
      <c r="B899" s="5">
        <f t="shared" ref="B899:B962" si="169">ROW() - 1</f>
        <v>898</v>
      </c>
      <c r="C899" s="6">
        <f t="shared" ref="C899:C962" ca="1" si="170">IF(ISNA($R899),1,0)</f>
        <v>1</v>
      </c>
      <c r="D899" s="7">
        <f ca="1">IF($B899 = 1 + N("Presidente"),
    127,
    IF($B899 = 2 + N("Vice-Presidente"),
        72,
        IF($B899 = 3 + N("Secretária bilíngue"),
            13,
            RANDBETWEEN(5,COUNT(Name!$A:$A) + 1)
        )
    )
)</f>
        <v>356</v>
      </c>
      <c r="E899" s="7" t="str">
        <f ca="1" xml:space="preserve">
VLOOKUP(
  $D899,
  Name!$A:$B,
  2,
  FALSE
)
&amp; " " &amp;
IF($B899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Victória Anunciação Ferrão</v>
      </c>
      <c r="F899" s="7">
        <v>2</v>
      </c>
      <c r="G899" s="7" cm="1">
        <f t="array" aca="1" ref="G899" ca="1">INDEX(States!$B:$B,RANDBETWEEN(2,COUNTA(States!$A:$A)),1)</f>
        <v>7</v>
      </c>
      <c r="H899" s="7" t="str">
        <f ca="1">VLOOKUP($D899,Name!$A:$C,3,FALSE)</f>
        <v>F</v>
      </c>
      <c r="I899" s="7" cm="1">
        <f t="array" aca="1" ref="I899" ca="1">INDEX('Marital status'!$A:$A,RANDBETWEEN(2,COUNTA('Marital status'!$A:$A)),1)</f>
        <v>3</v>
      </c>
      <c r="J899" s="7">
        <f t="shared" ref="J899:J962" ca="1" si="171" xml:space="preserve">
IF(AND($N899 &gt;= 2, $N899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899" s="8">
        <f t="shared" ref="K899:K962" ca="1" si="172" xml:space="preserve">
IF($N899 = 5 + N("CEO"),
    TODAY() - 16340,
    IF($N899 = 8 + N("Secretary"),
        RANDBETWEEN(TODAY() - 12418.5, TODAY()-6574.5),
        IF(OR($N899 = 7, $N899 = 14),
            RANDBETWEEN(TODAY() - 16071, TODAY() - 8766),
            IF(OR($N899 = 13, $N899 = 12, $N899 = 11),
                RANDBETWEEN(TODAY() - 27393.75, TODAY() - 12783.75),
                RANDBETWEEN(TODAY() - 27393.75, TODAY()-10957.5)
            )
        )
    )
)</f>
        <v>32993</v>
      </c>
      <c r="L899" s="6">
        <f t="shared" ref="L899:L962" ca="1" si="173" xml:space="preserve">
IF(OR($N899 = 2, $N899 = 3) + N("Se for presidente ou vice-presidente"),
    7 + N("Doutor"),
    IF($N899 = 4 + N("Se for diretor"),
        RANDBETWEEN(5,7) + N("Graduate school or Master’s degree or Doctorate"),
        IF($N899 = 11 + N("Se for gerente"),
            RANDBETWEEN(4,6) + N("Undergraduate degree or Graduate school or Master’s degree"),
            IF(AND($N899 &gt;= 8, $N899 &lt;= 10) + N("If coordinator or specialist or analyst"),
                RANDBETWEEN(4,5),
                4
            )
        )
    )
)</f>
        <v>5</v>
      </c>
      <c r="M899" s="7">
        <f ca="1" xml:space="preserve">
  IF(OR($N899 = 2, $N899 = 3, $N899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899" s="6">
        <f t="shared" ref="N899:N962" ca="1" si="174" xml:space="preserve">
IF($B899 = 1 + N("Se matrícula for 1"),
  2 + N("Presidente"),
  IF($B899 = 2 + N("Se matrícula for 2"),
    3 + N("Vice-presidente"),
    IF($B899 = 3 + N("Se matrícula for 3"),
      5 + N("Secretária bilíngue"),
      IF(AND($B899 &gt;= 4, $B899 &lt;=14),
        4 + N("Diretor"),
        IF(AND($B899 &gt;= 15, $B899 &lt;= 25),
          11 + N("Manager"),
          IF(AND($B899 &gt;= 26, $B899 &lt;= 36),
            10 + N("Coordinador"),
            IF(AND($B899 &gt;= 37, $B899 &lt;= 47),
              9 + N("Especialista"),
                IF(MOD($B899,2) = 0,
                  8 + N("Analista"),
                  RANDBETWEEN(6,7) + N("Estagiário ou Trainee")
                )
            )
          )
        )
      )
    )
  )
)</f>
        <v>8</v>
      </c>
      <c r="O899" s="6">
        <f t="shared" ref="O899:O962" ca="1" si="175" xml:space="preserve">
IF($N899 =8 + N("Analyst"),
    RANDBETWEEN(2, 4) + N("Jr, Pleno, Sr"),
    NA()
)</f>
        <v>4</v>
      </c>
      <c r="P899" s="8">
        <f t="shared" ref="P899:P962" ca="1" si="176" xml:space="preserve">
IF(
   $N899=2 + N("Presidente"),
   36161,
   IF(
       OR(
         $N899=3 + N("Vice-Presidente"),
         $N899=4 + N("Diretor"),
         $N899=5 + N("Secretária bilíngue")
       ),
       RANDBETWEEN(36161,36411),
       IF(
         ((TODAY() - $K899) / 365) &lt; 19,
         TODAY(),
         RANDBETWEEN(36161,TODAY())
       )
   )
)</f>
        <v>40053</v>
      </c>
      <c r="Q899" s="6">
        <f ca="1">RANDBETWEEN(2,COUNTA('Recruitment source'!$A:$A))</f>
        <v>8</v>
      </c>
      <c r="R899" s="8" t="e">
        <f t="shared" ref="R899:R962" ca="1" si="177" xml:space="preserve">
IF(MOD(
     ROW(),111
   )=0,
   RANDBETWEEN($P899 + 1,TODAY() - 1),NA()
)</f>
        <v>#N/A</v>
      </c>
      <c r="S899" s="6" t="e">
        <f t="shared" ref="S899:S962" ca="1" si="178" xml:space="preserve">
IF(
  ISNA(R899),
  NA(),
  RANDBETWEEN(2,IF($H899="F",10,9))
)</f>
        <v>#N/A</v>
      </c>
      <c r="T899" s="6">
        <f t="shared" ca="1" si="168"/>
        <v>4</v>
      </c>
      <c r="U899" s="1">
        <f t="shared" ref="U899:U962" ca="1" si="179" xml:space="preserve">
IF($N899 = 2 + N("Presidente"),
    25000,
    IF($N899 = 3 + N("Vice-presidente"),
        23000,
        IF(OR($N899 = 5, $N899= 10, $N899 = 9) + N("Secretária bilíngue ou coordenador ou especialista"),
            8000,
            IF($N899 = 4 + N("Diretor"),
                15000,
                IF($N899 = 11 + N("Gerente"),
                    12000,
                    IF($N899 = 6 + N("Estagiário"),
                        805,
                        IF($N899 = 7 + N("Trainee"),
                            1005,
                            IF($N899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IF($L899 = 7,
  100,
  IF($L899 = 8,
    200,
    IF($L899 = 9,
      300,
      IF($L899 = 10,
        400,
        0
      )
    )
  )
)
+
N("Adicional no salário por área")
+
IF($M899 = 14 + N("Tecnologia da Informação"),
  120,
  IF($M899 = 16 + N("Vendas"),
    110,
    IF($M899 = 15 + N("Jurídico"),
      100,
      IF(OR($M899 = 8, $M899 = 9, $M899 = 11) + N("Recursos humanos ou comercial ou comunicação e marketing"),
        80,
        0
      )
    )
  )
)
+
N("Adicionando pegadinha")
+
IF(AND($M899 = 13, $N899 = 8) + N("Se for de vendas e analista"),
  IF($J899 = 2,
    50,
    0
  )
  +
  IF($H899 = "M",
    50,
    0
  ),
  0
)</f>
        <v>2000</v>
      </c>
    </row>
    <row r="900" spans="1:21" x14ac:dyDescent="0.2">
      <c r="A900" s="7" cm="1">
        <f t="array" aca="1" ref="A900" ca="1">INDEX(Companies!$A:$A,RANDBETWEEN(2,COUNTA(Companies!$A:$A)),1)</f>
        <v>2</v>
      </c>
      <c r="B900" s="5">
        <f t="shared" si="169"/>
        <v>899</v>
      </c>
      <c r="C900" s="6">
        <f t="shared" ca="1" si="170"/>
        <v>1</v>
      </c>
      <c r="D900" s="7">
        <f ca="1">IF($B900 = 1 + N("Presidente"),
    127,
    IF($B900 = 2 + N("Vice-Presidente"),
        72,
        IF($B900 = 3 + N("Secretária bilíngue"),
            13,
            RANDBETWEEN(5,COUNT(Name!$A:$A) + 1)
        )
    )
)</f>
        <v>7</v>
      </c>
      <c r="E900" s="7" t="str">
        <f ca="1" xml:space="preserve">
VLOOKUP(
  $D900,
  Name!$A:$B,
  2,
  FALSE
)
&amp; " " &amp;
IF($B900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Adelaide Anjos Gonçalves</v>
      </c>
      <c r="F900" s="7">
        <v>2</v>
      </c>
      <c r="G900" s="7" cm="1">
        <f t="array" aca="1" ref="G900" ca="1">INDEX(States!$B:$B,RANDBETWEEN(2,COUNTA(States!$A:$A)),1)</f>
        <v>11</v>
      </c>
      <c r="H900" s="7" t="str">
        <f ca="1">VLOOKUP($D900,Name!$A:$C,3,FALSE)</f>
        <v>F</v>
      </c>
      <c r="I900" s="7" cm="1">
        <f t="array" aca="1" ref="I900" ca="1">INDEX('Marital status'!$A:$A,RANDBETWEEN(2,COUNTA('Marital status'!$A:$A)),1)</f>
        <v>6</v>
      </c>
      <c r="J900" s="7">
        <f t="shared" ca="1" si="171"/>
        <v>2</v>
      </c>
      <c r="K900" s="8">
        <f t="shared" ca="1" si="172"/>
        <v>25530</v>
      </c>
      <c r="L900" s="6">
        <f t="shared" ca="1" si="173"/>
        <v>4</v>
      </c>
      <c r="M900" s="7">
        <f ca="1" xml:space="preserve">
  IF(OR($N900 = 2, $N900 = 3, $N900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900" s="6">
        <f t="shared" ca="1" si="174"/>
        <v>6</v>
      </c>
      <c r="O900" s="6" t="e">
        <f t="shared" ca="1" si="175"/>
        <v>#N/A</v>
      </c>
      <c r="P900" s="8">
        <f t="shared" ca="1" si="176"/>
        <v>40248</v>
      </c>
      <c r="Q900" s="6">
        <f ca="1">RANDBETWEEN(2,COUNTA('Recruitment source'!$A:$A))</f>
        <v>6</v>
      </c>
      <c r="R900" s="8" t="e">
        <f t="shared" ca="1" si="177"/>
        <v>#N/A</v>
      </c>
      <c r="S900" s="6" t="e">
        <f t="shared" ca="1" si="178"/>
        <v>#N/A</v>
      </c>
      <c r="T900" s="6">
        <f t="shared" ca="1" si="168"/>
        <v>2</v>
      </c>
      <c r="U900" s="1">
        <f t="shared" ca="1" si="179"/>
        <v>805</v>
      </c>
    </row>
    <row r="901" spans="1:21" x14ac:dyDescent="0.2">
      <c r="A901" s="7" cm="1">
        <f t="array" aca="1" ref="A901" ca="1">INDEX(Companies!$A:$A,RANDBETWEEN(2,COUNTA(Companies!$A:$A)),1)</f>
        <v>2</v>
      </c>
      <c r="B901" s="5">
        <f t="shared" si="169"/>
        <v>900</v>
      </c>
      <c r="C901" s="6">
        <f t="shared" ca="1" si="170"/>
        <v>1</v>
      </c>
      <c r="D901" s="7">
        <f ca="1">IF($B901 = 1 + N("Presidente"),
    127,
    IF($B901 = 2 + N("Vice-Presidente"),
        72,
        IF($B901 = 3 + N("Secretária bilíngue"),
            13,
            RANDBETWEEN(5,COUNT(Name!$A:$A) + 1)
        )
    )
)</f>
        <v>61</v>
      </c>
      <c r="E901" s="7" t="str">
        <f ca="1" xml:space="preserve">
VLOOKUP(
  $D901,
  Name!$A:$B,
  2,
  FALSE
)
&amp; " " &amp;
IF($B901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Augusto Furtado Gonçalves</v>
      </c>
      <c r="F901" s="7">
        <v>2</v>
      </c>
      <c r="G901" s="7" cm="1">
        <f t="array" aca="1" ref="G901" ca="1">INDEX(States!$B:$B,RANDBETWEEN(2,COUNTA(States!$A:$A)),1)</f>
        <v>3</v>
      </c>
      <c r="H901" s="7" t="str">
        <f ca="1">VLOOKUP($D901,Name!$A:$C,3,FALSE)</f>
        <v>M</v>
      </c>
      <c r="I901" s="7" cm="1">
        <f t="array" aca="1" ref="I901" ca="1">INDEX('Marital status'!$A:$A,RANDBETWEEN(2,COUNTA('Marital status'!$A:$A)),1)</f>
        <v>4</v>
      </c>
      <c r="J901" s="7">
        <f t="shared" ca="1" si="171"/>
        <v>2</v>
      </c>
      <c r="K901" s="8">
        <f t="shared" ca="1" si="172"/>
        <v>36588</v>
      </c>
      <c r="L901" s="6">
        <f t="shared" ca="1" si="173"/>
        <v>5</v>
      </c>
      <c r="M901" s="7">
        <f ca="1" xml:space="preserve">
  IF(OR($N901 = 2, $N901 = 3, $N901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901" s="6">
        <f t="shared" ca="1" si="174"/>
        <v>8</v>
      </c>
      <c r="O901" s="6">
        <f t="shared" ca="1" si="175"/>
        <v>3</v>
      </c>
      <c r="P901" s="8">
        <f t="shared" ca="1" si="176"/>
        <v>39415</v>
      </c>
      <c r="Q901" s="6">
        <f ca="1">RANDBETWEEN(2,COUNTA('Recruitment source'!$A:$A))</f>
        <v>5</v>
      </c>
      <c r="R901" s="8" t="e">
        <f t="shared" ca="1" si="177"/>
        <v>#N/A</v>
      </c>
      <c r="S901" s="6" t="e">
        <f t="shared" ca="1" si="178"/>
        <v>#N/A</v>
      </c>
      <c r="T901" s="6">
        <f t="shared" ca="1" si="168"/>
        <v>5</v>
      </c>
      <c r="U901" s="1">
        <f t="shared" ca="1" si="179"/>
        <v>2080</v>
      </c>
    </row>
    <row r="902" spans="1:21" x14ac:dyDescent="0.2">
      <c r="A902" s="7" cm="1">
        <f t="array" aca="1" ref="A902" ca="1">INDEX(Companies!$A:$A,RANDBETWEEN(2,COUNTA(Companies!$A:$A)),1)</f>
        <v>2</v>
      </c>
      <c r="B902" s="5">
        <f t="shared" si="169"/>
        <v>901</v>
      </c>
      <c r="C902" s="6">
        <f t="shared" ca="1" si="170"/>
        <v>1</v>
      </c>
      <c r="D902" s="7">
        <f ca="1">IF($B902 = 1 + N("Presidente"),
    127,
    IF($B902 = 2 + N("Vice-Presidente"),
        72,
        IF($B902 = 3 + N("Secretária bilíngue"),
            13,
            RANDBETWEEN(5,COUNT(Name!$A:$A) + 1)
        )
    )
)</f>
        <v>30</v>
      </c>
      <c r="E902" s="7" t="str">
        <f ca="1" xml:space="preserve">
VLOOKUP(
  $D902,
  Name!$A:$B,
  2,
  FALSE
)
&amp; " " &amp;
IF($B902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Clara Mendes Anunciação</v>
      </c>
      <c r="F902" s="7">
        <v>2</v>
      </c>
      <c r="G902" s="7" cm="1">
        <f t="array" aca="1" ref="G902" ca="1">INDEX(States!$B:$B,RANDBETWEEN(2,COUNTA(States!$A:$A)),1)</f>
        <v>15</v>
      </c>
      <c r="H902" s="7" t="str">
        <f ca="1">VLOOKUP($D902,Name!$A:$C,3,FALSE)</f>
        <v>F</v>
      </c>
      <c r="I902" s="7" cm="1">
        <f t="array" aca="1" ref="I902" ca="1">INDEX('Marital status'!$A:$A,RANDBETWEEN(2,COUNTA('Marital status'!$A:$A)),1)</f>
        <v>6</v>
      </c>
      <c r="J902" s="7">
        <f t="shared" ca="1" si="171"/>
        <v>4</v>
      </c>
      <c r="K902" s="8">
        <f t="shared" ca="1" si="172"/>
        <v>28472</v>
      </c>
      <c r="L902" s="6">
        <f t="shared" ca="1" si="173"/>
        <v>4</v>
      </c>
      <c r="M902" s="7">
        <f ca="1" xml:space="preserve">
  IF(OR($N902 = 2, $N902 = 3, $N902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902" s="6">
        <f t="shared" ca="1" si="174"/>
        <v>6</v>
      </c>
      <c r="O902" s="6" t="e">
        <f t="shared" ca="1" si="175"/>
        <v>#N/A</v>
      </c>
      <c r="P902" s="8">
        <f t="shared" ca="1" si="176"/>
        <v>41586</v>
      </c>
      <c r="Q902" s="6">
        <f ca="1">RANDBETWEEN(2,COUNTA('Recruitment source'!$A:$A))</f>
        <v>8</v>
      </c>
      <c r="R902" s="8" t="e">
        <f t="shared" ca="1" si="177"/>
        <v>#N/A</v>
      </c>
      <c r="S902" s="6" t="e">
        <f t="shared" ca="1" si="178"/>
        <v>#N/A</v>
      </c>
      <c r="T902" s="6">
        <f t="shared" ca="1" si="168"/>
        <v>5</v>
      </c>
      <c r="U902" s="1">
        <f t="shared" ca="1" si="179"/>
        <v>805</v>
      </c>
    </row>
    <row r="903" spans="1:21" x14ac:dyDescent="0.2">
      <c r="A903" s="7" cm="1">
        <f t="array" aca="1" ref="A903" ca="1">INDEX(Companies!$A:$A,RANDBETWEEN(2,COUNTA(Companies!$A:$A)),1)</f>
        <v>2</v>
      </c>
      <c r="B903" s="5">
        <f t="shared" si="169"/>
        <v>902</v>
      </c>
      <c r="C903" s="6">
        <f t="shared" ca="1" si="170"/>
        <v>1</v>
      </c>
      <c r="D903" s="7">
        <f ca="1">IF($B903 = 1 + N("Presidente"),
    127,
    IF($B903 = 2 + N("Vice-Presidente"),
        72,
        IF($B903 = 3 + N("Secretária bilíngue"),
            13,
            RANDBETWEEN(5,COUNT(Name!$A:$A) + 1)
        )
    )
)</f>
        <v>197</v>
      </c>
      <c r="E903" s="7" t="str">
        <f ca="1" xml:space="preserve">
VLOOKUP(
  $D903,
  Name!$A:$B,
  2,
  FALSE
)
&amp; " " &amp;
IF($B903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Veiga Pedrosa</v>
      </c>
      <c r="F903" s="7">
        <v>2</v>
      </c>
      <c r="G903" s="7" cm="1">
        <f t="array" aca="1" ref="G903" ca="1">INDEX(States!$B:$B,RANDBETWEEN(2,COUNTA(States!$A:$A)),1)</f>
        <v>10</v>
      </c>
      <c r="H903" s="7" t="str">
        <f ca="1">VLOOKUP($D903,Name!$A:$C,3,FALSE)</f>
        <v>M</v>
      </c>
      <c r="I903" s="7" cm="1">
        <f t="array" aca="1" ref="I903" ca="1">INDEX('Marital status'!$A:$A,RANDBETWEEN(2,COUNTA('Marital status'!$A:$A)),1)</f>
        <v>4</v>
      </c>
      <c r="J903" s="7">
        <f t="shared" ca="1" si="171"/>
        <v>3</v>
      </c>
      <c r="K903" s="8">
        <f t="shared" ca="1" si="172"/>
        <v>35373</v>
      </c>
      <c r="L903" s="6">
        <f t="shared" ca="1" si="173"/>
        <v>5</v>
      </c>
      <c r="M903" s="7">
        <f ca="1" xml:space="preserve">
  IF(OR($N903 = 2, $N903 = 3, $N903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903" s="6">
        <f t="shared" ca="1" si="174"/>
        <v>8</v>
      </c>
      <c r="O903" s="6">
        <f t="shared" ca="1" si="175"/>
        <v>3</v>
      </c>
      <c r="P903" s="8">
        <f t="shared" ca="1" si="176"/>
        <v>44772</v>
      </c>
      <c r="Q903" s="6">
        <f ca="1">RANDBETWEEN(2,COUNTA('Recruitment source'!$A:$A))</f>
        <v>10</v>
      </c>
      <c r="R903" s="8" t="e">
        <f t="shared" ca="1" si="177"/>
        <v>#N/A</v>
      </c>
      <c r="S903" s="6" t="e">
        <f t="shared" ca="1" si="178"/>
        <v>#N/A</v>
      </c>
      <c r="T903" s="6">
        <f t="shared" ca="1" si="168"/>
        <v>5</v>
      </c>
      <c r="U903" s="1">
        <f t="shared" ca="1" si="179"/>
        <v>2050</v>
      </c>
    </row>
    <row r="904" spans="1:21" x14ac:dyDescent="0.2">
      <c r="A904" s="7" cm="1">
        <f t="array" aca="1" ref="A904" ca="1">INDEX(Companies!$A:$A,RANDBETWEEN(2,COUNTA(Companies!$A:$A)),1)</f>
        <v>2</v>
      </c>
      <c r="B904" s="5">
        <f t="shared" si="169"/>
        <v>903</v>
      </c>
      <c r="C904" s="6">
        <f t="shared" ca="1" si="170"/>
        <v>1</v>
      </c>
      <c r="D904" s="7">
        <f ca="1">IF($B904 = 1 + N("Presidente"),
    127,
    IF($B904 = 2 + N("Vice-Presidente"),
        72,
        IF($B904 = 3 + N("Secretária bilíngue"),
            13,
            RANDBETWEEN(5,COUNT(Name!$A:$A) + 1)
        )
    )
)</f>
        <v>237</v>
      </c>
      <c r="E904" s="7" t="str">
        <f ca="1" xml:space="preserve">
VLOOKUP(
  $D904,
  Name!$A:$B,
  2,
  FALSE
)
&amp; " " &amp;
IF($B904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Luanna Pedroso Sacramento</v>
      </c>
      <c r="F904" s="7">
        <v>2</v>
      </c>
      <c r="G904" s="7" cm="1">
        <f t="array" aca="1" ref="G904" ca="1">INDEX(States!$B:$B,RANDBETWEEN(2,COUNTA(States!$A:$A)),1)</f>
        <v>5</v>
      </c>
      <c r="H904" s="7" t="str">
        <f ca="1">VLOOKUP($D904,Name!$A:$C,3,FALSE)</f>
        <v>F</v>
      </c>
      <c r="I904" s="7" cm="1">
        <f t="array" aca="1" ref="I904" ca="1">INDEX('Marital status'!$A:$A,RANDBETWEEN(2,COUNTA('Marital status'!$A:$A)),1)</f>
        <v>2</v>
      </c>
      <c r="J904" s="7">
        <f t="shared" ca="1" si="171"/>
        <v>2</v>
      </c>
      <c r="K904" s="8">
        <f t="shared" ca="1" si="172"/>
        <v>21111</v>
      </c>
      <c r="L904" s="6">
        <f t="shared" ca="1" si="173"/>
        <v>4</v>
      </c>
      <c r="M904" s="7">
        <f ca="1" xml:space="preserve">
  IF(OR($N904 = 2, $N904 = 3, $N904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904" s="6">
        <f t="shared" ca="1" si="174"/>
        <v>6</v>
      </c>
      <c r="O904" s="6" t="e">
        <f t="shared" ca="1" si="175"/>
        <v>#N/A</v>
      </c>
      <c r="P904" s="8">
        <f t="shared" ca="1" si="176"/>
        <v>39578</v>
      </c>
      <c r="Q904" s="6">
        <f ca="1">RANDBETWEEN(2,COUNTA('Recruitment source'!$A:$A))</f>
        <v>6</v>
      </c>
      <c r="R904" s="8" t="e">
        <f t="shared" ca="1" si="177"/>
        <v>#N/A</v>
      </c>
      <c r="S904" s="6" t="e">
        <f t="shared" ca="1" si="178"/>
        <v>#N/A</v>
      </c>
      <c r="T904" s="6">
        <f t="shared" ca="1" si="168"/>
        <v>4</v>
      </c>
      <c r="U904" s="1">
        <f t="shared" ca="1" si="179"/>
        <v>885</v>
      </c>
    </row>
    <row r="905" spans="1:21" x14ac:dyDescent="0.2">
      <c r="A905" s="7" cm="1">
        <f t="array" aca="1" ref="A905" ca="1">INDEX(Companies!$A:$A,RANDBETWEEN(2,COUNTA(Companies!$A:$A)),1)</f>
        <v>2</v>
      </c>
      <c r="B905" s="5">
        <f t="shared" si="169"/>
        <v>904</v>
      </c>
      <c r="C905" s="6">
        <f t="shared" ca="1" si="170"/>
        <v>1</v>
      </c>
      <c r="D905" s="7">
        <f ca="1">IF($B905 = 1 + N("Presidente"),
    127,
    IF($B905 = 2 + N("Vice-Presidente"),
        72,
        IF($B905 = 3 + N("Secretária bilíngue"),
            13,
            RANDBETWEEN(5,COUNT(Name!$A:$A) + 1)
        )
    )
)</f>
        <v>214</v>
      </c>
      <c r="E905" s="7" t="str">
        <f ca="1" xml:space="preserve">
VLOOKUP(
  $D905,
  Name!$A:$B,
  2,
  FALSE
)
&amp; " " &amp;
IF($B905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Kleriston Mazza Barbieri</v>
      </c>
      <c r="F905" s="7">
        <v>2</v>
      </c>
      <c r="G905" s="7" cm="1">
        <f t="array" aca="1" ref="G905" ca="1">INDEX(States!$B:$B,RANDBETWEEN(2,COUNTA(States!$A:$A)),1)</f>
        <v>5</v>
      </c>
      <c r="H905" s="7" t="str">
        <f ca="1">VLOOKUP($D905,Name!$A:$C,3,FALSE)</f>
        <v>M</v>
      </c>
      <c r="I905" s="7" cm="1">
        <f t="array" aca="1" ref="I905" ca="1">INDEX('Marital status'!$A:$A,RANDBETWEEN(2,COUNTA('Marital status'!$A:$A)),1)</f>
        <v>3</v>
      </c>
      <c r="J905" s="7">
        <f t="shared" ca="1" si="171"/>
        <v>2</v>
      </c>
      <c r="K905" s="8">
        <f t="shared" ca="1" si="172"/>
        <v>36411</v>
      </c>
      <c r="L905" s="6">
        <f t="shared" ca="1" si="173"/>
        <v>4</v>
      </c>
      <c r="M905" s="7">
        <f ca="1" xml:space="preserve">
  IF(OR($N905 = 2, $N905 = 3, $N905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905" s="6">
        <f t="shared" ca="1" si="174"/>
        <v>8</v>
      </c>
      <c r="O905" s="6">
        <f t="shared" ca="1" si="175"/>
        <v>2</v>
      </c>
      <c r="P905" s="8">
        <f t="shared" ca="1" si="176"/>
        <v>43198</v>
      </c>
      <c r="Q905" s="6">
        <f ca="1">RANDBETWEEN(2,COUNTA('Recruitment source'!$A:$A))</f>
        <v>9</v>
      </c>
      <c r="R905" s="8" t="e">
        <f t="shared" ca="1" si="177"/>
        <v>#N/A</v>
      </c>
      <c r="S905" s="6" t="e">
        <f t="shared" ca="1" si="178"/>
        <v>#N/A</v>
      </c>
      <c r="T905" s="6">
        <f t="shared" ca="1" si="168"/>
        <v>5</v>
      </c>
      <c r="U905" s="1">
        <f t="shared" ca="1" si="179"/>
        <v>2000</v>
      </c>
    </row>
    <row r="906" spans="1:21" x14ac:dyDescent="0.2">
      <c r="A906" s="7" cm="1">
        <f t="array" aca="1" ref="A906" ca="1">INDEX(Companies!$A:$A,RANDBETWEEN(2,COUNTA(Companies!$A:$A)),1)</f>
        <v>2</v>
      </c>
      <c r="B906" s="5">
        <f t="shared" si="169"/>
        <v>905</v>
      </c>
      <c r="C906" s="6">
        <f t="shared" ca="1" si="170"/>
        <v>1</v>
      </c>
      <c r="D906" s="7">
        <f ca="1">IF($B906 = 1 + N("Presidente"),
    127,
    IF($B906 = 2 + N("Vice-Presidente"),
        72,
        IF($B906 = 3 + N("Secretária bilíngue"),
            13,
            RANDBETWEEN(5,COUNT(Name!$A:$A) + 1)
        )
    )
)</f>
        <v>145</v>
      </c>
      <c r="E906" s="7" t="str">
        <f ca="1" xml:space="preserve">
VLOOKUP(
  $D906,
  Name!$A:$B,
  2,
  FALSE
)
&amp; " " &amp;
IF($B906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Francisca Oliveira Barbosa</v>
      </c>
      <c r="F906" s="7">
        <v>2</v>
      </c>
      <c r="G906" s="7" cm="1">
        <f t="array" aca="1" ref="G906" ca="1">INDEX(States!$B:$B,RANDBETWEEN(2,COUNTA(States!$A:$A)),1)</f>
        <v>10</v>
      </c>
      <c r="H906" s="7" t="str">
        <f ca="1">VLOOKUP($D906,Name!$A:$C,3,FALSE)</f>
        <v>F</v>
      </c>
      <c r="I906" s="7" cm="1">
        <f t="array" aca="1" ref="I906" ca="1">INDEX('Marital status'!$A:$A,RANDBETWEEN(2,COUNTA('Marital status'!$A:$A)),1)</f>
        <v>4</v>
      </c>
      <c r="J906" s="7">
        <f t="shared" ca="1" si="171"/>
        <v>2</v>
      </c>
      <c r="K906" s="8">
        <f t="shared" ca="1" si="172"/>
        <v>27266</v>
      </c>
      <c r="L906" s="6">
        <f t="shared" ca="1" si="173"/>
        <v>4</v>
      </c>
      <c r="M906" s="7">
        <f ca="1" xml:space="preserve">
  IF(OR($N906 = 2, $N906 = 3, $N906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906" s="6">
        <f t="shared" ca="1" si="174"/>
        <v>6</v>
      </c>
      <c r="O906" s="6" t="e">
        <f t="shared" ca="1" si="175"/>
        <v>#N/A</v>
      </c>
      <c r="P906" s="8">
        <f t="shared" ca="1" si="176"/>
        <v>42326</v>
      </c>
      <c r="Q906" s="6">
        <f ca="1">RANDBETWEEN(2,COUNTA('Recruitment source'!$A:$A))</f>
        <v>3</v>
      </c>
      <c r="R906" s="8" t="e">
        <f t="shared" ca="1" si="177"/>
        <v>#N/A</v>
      </c>
      <c r="S906" s="6" t="e">
        <f t="shared" ca="1" si="178"/>
        <v>#N/A</v>
      </c>
      <c r="T906" s="6">
        <f t="shared" ca="1" si="168"/>
        <v>4</v>
      </c>
      <c r="U906" s="1">
        <f t="shared" ca="1" si="179"/>
        <v>805</v>
      </c>
    </row>
    <row r="907" spans="1:21" x14ac:dyDescent="0.2">
      <c r="A907" s="7" cm="1">
        <f t="array" aca="1" ref="A907" ca="1">INDEX(Companies!$A:$A,RANDBETWEEN(2,COUNTA(Companies!$A:$A)),1)</f>
        <v>2</v>
      </c>
      <c r="B907" s="5">
        <f t="shared" si="169"/>
        <v>906</v>
      </c>
      <c r="C907" s="6">
        <f t="shared" ca="1" si="170"/>
        <v>1</v>
      </c>
      <c r="D907" s="7">
        <f ca="1">IF($B907 = 1 + N("Presidente"),
    127,
    IF($B907 = 2 + N("Vice-Presidente"),
        72,
        IF($B907 = 3 + N("Secretária bilíngue"),
            13,
            RANDBETWEEN(5,COUNT(Name!$A:$A) + 1)
        )
    )
)</f>
        <v>333</v>
      </c>
      <c r="E907" s="7" t="str">
        <f ca="1" xml:space="preserve">
VLOOKUP(
  $D907,
  Name!$A:$B,
  2,
  FALSE
)
&amp; " " &amp;
IF($B907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Ruan Esteves Cunha</v>
      </c>
      <c r="F907" s="7">
        <v>2</v>
      </c>
      <c r="G907" s="7" cm="1">
        <f t="array" aca="1" ref="G907" ca="1">INDEX(States!$B:$B,RANDBETWEEN(2,COUNTA(States!$A:$A)),1)</f>
        <v>19</v>
      </c>
      <c r="H907" s="7" t="str">
        <f ca="1">VLOOKUP($D907,Name!$A:$C,3,FALSE)</f>
        <v>M</v>
      </c>
      <c r="I907" s="7" cm="1">
        <f t="array" aca="1" ref="I907" ca="1">INDEX('Marital status'!$A:$A,RANDBETWEEN(2,COUNTA('Marital status'!$A:$A)),1)</f>
        <v>2</v>
      </c>
      <c r="J907" s="7">
        <f t="shared" ca="1" si="171"/>
        <v>2</v>
      </c>
      <c r="K907" s="8">
        <f t="shared" ca="1" si="172"/>
        <v>37350</v>
      </c>
      <c r="L907" s="6">
        <f t="shared" ca="1" si="173"/>
        <v>5</v>
      </c>
      <c r="M907" s="7">
        <f ca="1" xml:space="preserve">
  IF(OR($N907 = 2, $N907 = 3, $N907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907" s="6">
        <f t="shared" ca="1" si="174"/>
        <v>8</v>
      </c>
      <c r="O907" s="6">
        <f t="shared" ca="1" si="175"/>
        <v>3</v>
      </c>
      <c r="P907" s="8">
        <f t="shared" ca="1" si="176"/>
        <v>44640</v>
      </c>
      <c r="Q907" s="6">
        <f ca="1">RANDBETWEEN(2,COUNTA('Recruitment source'!$A:$A))</f>
        <v>9</v>
      </c>
      <c r="R907" s="8" t="e">
        <f t="shared" ca="1" si="177"/>
        <v>#N/A</v>
      </c>
      <c r="S907" s="6" t="e">
        <f t="shared" ca="1" si="178"/>
        <v>#N/A</v>
      </c>
      <c r="T907" s="6">
        <f t="shared" ca="1" si="168"/>
        <v>4</v>
      </c>
      <c r="U907" s="1">
        <f t="shared" ca="1" si="179"/>
        <v>2080</v>
      </c>
    </row>
    <row r="908" spans="1:21" x14ac:dyDescent="0.2">
      <c r="A908" s="7" cm="1">
        <f t="array" aca="1" ref="A908" ca="1">INDEX(Companies!$A:$A,RANDBETWEEN(2,COUNTA(Companies!$A:$A)),1)</f>
        <v>2</v>
      </c>
      <c r="B908" s="5">
        <f t="shared" si="169"/>
        <v>907</v>
      </c>
      <c r="C908" s="6">
        <f t="shared" ca="1" si="170"/>
        <v>1</v>
      </c>
      <c r="D908" s="7">
        <f ca="1">IF($B908 = 1 + N("Presidente"),
    127,
    IF($B908 = 2 + N("Vice-Presidente"),
        72,
        IF($B908 = 3 + N("Secretária bilíngue"),
            13,
            RANDBETWEEN(5,COUNT(Name!$A:$A) + 1)
        )
    )
)</f>
        <v>221</v>
      </c>
      <c r="E908" s="7" t="str">
        <f ca="1" xml:space="preserve">
VLOOKUP(
  $D908,
  Name!$A:$B,
  2,
  FALSE
)
&amp; " " &amp;
IF($B908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Lavínia Barbieri Esposito</v>
      </c>
      <c r="F908" s="7">
        <v>2</v>
      </c>
      <c r="G908" s="7" cm="1">
        <f t="array" aca="1" ref="G908" ca="1">INDEX(States!$B:$B,RANDBETWEEN(2,COUNTA(States!$A:$A)),1)</f>
        <v>19</v>
      </c>
      <c r="H908" s="7" t="str">
        <f ca="1">VLOOKUP($D908,Name!$A:$C,3,FALSE)</f>
        <v>F</v>
      </c>
      <c r="I908" s="7" cm="1">
        <f t="array" aca="1" ref="I908" ca="1">INDEX('Marital status'!$A:$A,RANDBETWEEN(2,COUNTA('Marital status'!$A:$A)),1)</f>
        <v>3</v>
      </c>
      <c r="J908" s="7">
        <f t="shared" ca="1" si="171"/>
        <v>2</v>
      </c>
      <c r="K908" s="8">
        <f t="shared" ca="1" si="172"/>
        <v>21355</v>
      </c>
      <c r="L908" s="6">
        <f t="shared" ca="1" si="173"/>
        <v>4</v>
      </c>
      <c r="M908" s="7">
        <f ca="1" xml:space="preserve">
  IF(OR($N908 = 2, $N908 = 3, $N908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908" s="6">
        <f t="shared" ca="1" si="174"/>
        <v>6</v>
      </c>
      <c r="O908" s="6" t="e">
        <f t="shared" ca="1" si="175"/>
        <v>#N/A</v>
      </c>
      <c r="P908" s="8">
        <f t="shared" ca="1" si="176"/>
        <v>42907</v>
      </c>
      <c r="Q908" s="6">
        <f ca="1">RANDBETWEEN(2,COUNTA('Recruitment source'!$A:$A))</f>
        <v>8</v>
      </c>
      <c r="R908" s="8" t="e">
        <f t="shared" ca="1" si="177"/>
        <v>#N/A</v>
      </c>
      <c r="S908" s="6" t="e">
        <f t="shared" ca="1" si="178"/>
        <v>#N/A</v>
      </c>
      <c r="T908" s="6">
        <f t="shared" ca="1" si="168"/>
        <v>4</v>
      </c>
      <c r="U908" s="1">
        <f t="shared" ca="1" si="179"/>
        <v>805</v>
      </c>
    </row>
    <row r="909" spans="1:21" x14ac:dyDescent="0.2">
      <c r="A909" s="7" cm="1">
        <f t="array" aca="1" ref="A909" ca="1">INDEX(Companies!$A:$A,RANDBETWEEN(2,COUNTA(Companies!$A:$A)),1)</f>
        <v>2</v>
      </c>
      <c r="B909" s="5">
        <f t="shared" si="169"/>
        <v>908</v>
      </c>
      <c r="C909" s="6">
        <f t="shared" ca="1" si="170"/>
        <v>1</v>
      </c>
      <c r="D909" s="7">
        <f ca="1">IF($B909 = 1 + N("Presidente"),
    127,
    IF($B909 = 2 + N("Vice-Presidente"),
        72,
        IF($B909 = 3 + N("Secretária bilíngue"),
            13,
            RANDBETWEEN(5,COUNT(Name!$A:$A) + 1)
        )
    )
)</f>
        <v>205</v>
      </c>
      <c r="E909" s="7" t="str">
        <f ca="1" xml:space="preserve">
VLOOKUP(
  $D909,
  Name!$A:$B,
  2,
  FALSE
)
&amp; " " &amp;
IF($B909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Kaique Sousa Rocha</v>
      </c>
      <c r="F909" s="7">
        <v>2</v>
      </c>
      <c r="G909" s="7" cm="1">
        <f t="array" aca="1" ref="G909" ca="1">INDEX(States!$B:$B,RANDBETWEEN(2,COUNTA(States!$A:$A)),1)</f>
        <v>10</v>
      </c>
      <c r="H909" s="7" t="str">
        <f ca="1">VLOOKUP($D909,Name!$A:$C,3,FALSE)</f>
        <v>M</v>
      </c>
      <c r="I909" s="7" cm="1">
        <f t="array" aca="1" ref="I909" ca="1">INDEX('Marital status'!$A:$A,RANDBETWEEN(2,COUNTA('Marital status'!$A:$A)),1)</f>
        <v>6</v>
      </c>
      <c r="J909" s="7">
        <f t="shared" ca="1" si="171"/>
        <v>2</v>
      </c>
      <c r="K909" s="8">
        <f t="shared" ca="1" si="172"/>
        <v>37195</v>
      </c>
      <c r="L909" s="6">
        <f t="shared" ca="1" si="173"/>
        <v>4</v>
      </c>
      <c r="M909" s="7">
        <f ca="1" xml:space="preserve">
  IF(OR($N909 = 2, $N909 = 3, $N909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909" s="6">
        <f t="shared" ca="1" si="174"/>
        <v>8</v>
      </c>
      <c r="O909" s="6">
        <f t="shared" ca="1" si="175"/>
        <v>2</v>
      </c>
      <c r="P909" s="8">
        <f t="shared" ca="1" si="176"/>
        <v>39424</v>
      </c>
      <c r="Q909" s="6">
        <f ca="1">RANDBETWEEN(2,COUNTA('Recruitment source'!$A:$A))</f>
        <v>4</v>
      </c>
      <c r="R909" s="8" t="e">
        <f t="shared" ca="1" si="177"/>
        <v>#N/A</v>
      </c>
      <c r="S909" s="6" t="e">
        <f t="shared" ca="1" si="178"/>
        <v>#N/A</v>
      </c>
      <c r="T909" s="6">
        <f t="shared" ca="1" si="168"/>
        <v>2</v>
      </c>
      <c r="U909" s="1">
        <f t="shared" ca="1" si="179"/>
        <v>2000</v>
      </c>
    </row>
    <row r="910" spans="1:21" x14ac:dyDescent="0.2">
      <c r="A910" s="7" cm="1">
        <f t="array" aca="1" ref="A910" ca="1">INDEX(Companies!$A:$A,RANDBETWEEN(2,COUNTA(Companies!$A:$A)),1)</f>
        <v>2</v>
      </c>
      <c r="B910" s="5">
        <f t="shared" si="169"/>
        <v>909</v>
      </c>
      <c r="C910" s="6">
        <f t="shared" ca="1" si="170"/>
        <v>1</v>
      </c>
      <c r="D910" s="7">
        <f ca="1">IF($B910 = 1 + N("Presidente"),
    127,
    IF($B910 = 2 + N("Vice-Presidente"),
        72,
        IF($B910 = 3 + N("Secretária bilíngue"),
            13,
            RANDBETWEEN(5,COUNT(Name!$A:$A) + 1)
        )
    )
)</f>
        <v>210</v>
      </c>
      <c r="E910" s="7" t="str">
        <f ca="1" xml:space="preserve">
VLOOKUP(
  $D910,
  Name!$A:$B,
  2,
  FALSE
)
&amp; " " &amp;
IF($B910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Kauã Ferrari Barros</v>
      </c>
      <c r="F910" s="7">
        <v>2</v>
      </c>
      <c r="G910" s="7" cm="1">
        <f t="array" aca="1" ref="G910" ca="1">INDEX(States!$B:$B,RANDBETWEEN(2,COUNTA(States!$A:$A)),1)</f>
        <v>18</v>
      </c>
      <c r="H910" s="7" t="str">
        <f ca="1">VLOOKUP($D910,Name!$A:$C,3,FALSE)</f>
        <v>M</v>
      </c>
      <c r="I910" s="7" cm="1">
        <f t="array" aca="1" ref="I910" ca="1">INDEX('Marital status'!$A:$A,RANDBETWEEN(2,COUNTA('Marital status'!$A:$A)),1)</f>
        <v>5</v>
      </c>
      <c r="J910" s="7">
        <f t="shared" ca="1" si="171"/>
        <v>3</v>
      </c>
      <c r="K910" s="8">
        <f t="shared" ca="1" si="172"/>
        <v>25461</v>
      </c>
      <c r="L910" s="6">
        <f t="shared" ca="1" si="173"/>
        <v>4</v>
      </c>
      <c r="M910" s="7">
        <f ca="1" xml:space="preserve">
  IF(OR($N910 = 2, $N910 = 3, $N910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910" s="6">
        <f t="shared" ca="1" si="174"/>
        <v>6</v>
      </c>
      <c r="O910" s="6" t="e">
        <f t="shared" ca="1" si="175"/>
        <v>#N/A</v>
      </c>
      <c r="P910" s="8">
        <f t="shared" ca="1" si="176"/>
        <v>43303</v>
      </c>
      <c r="Q910" s="6">
        <f ca="1">RANDBETWEEN(2,COUNTA('Recruitment source'!$A:$A))</f>
        <v>7</v>
      </c>
      <c r="R910" s="8" t="e">
        <f t="shared" ca="1" si="177"/>
        <v>#N/A</v>
      </c>
      <c r="S910" s="6" t="e">
        <f t="shared" ca="1" si="178"/>
        <v>#N/A</v>
      </c>
      <c r="T910" s="6">
        <f t="shared" ca="1" si="168"/>
        <v>3</v>
      </c>
      <c r="U910" s="1">
        <f t="shared" ca="1" si="179"/>
        <v>805</v>
      </c>
    </row>
    <row r="911" spans="1:21" x14ac:dyDescent="0.2">
      <c r="A911" s="7" cm="1">
        <f t="array" aca="1" ref="A911" ca="1">INDEX(Companies!$A:$A,RANDBETWEEN(2,COUNTA(Companies!$A:$A)),1)</f>
        <v>2</v>
      </c>
      <c r="B911" s="5">
        <f t="shared" si="169"/>
        <v>910</v>
      </c>
      <c r="C911" s="6">
        <f t="shared" ca="1" si="170"/>
        <v>1</v>
      </c>
      <c r="D911" s="7">
        <f ca="1">IF($B911 = 1 + N("Presidente"),
    127,
    IF($B911 = 2 + N("Vice-Presidente"),
        72,
        IF($B911 = 3 + N("Secretária bilíngue"),
            13,
            RANDBETWEEN(5,COUNT(Name!$A:$A) + 1)
        )
    )
)</f>
        <v>87</v>
      </c>
      <c r="E911" s="7" t="str">
        <f ca="1" xml:space="preserve">
VLOOKUP(
  $D911,
  Name!$A:$B,
  2,
  FALSE
)
&amp; " " &amp;
IF($B911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Caroline Miranda Rizzo</v>
      </c>
      <c r="F911" s="7">
        <v>2</v>
      </c>
      <c r="G911" s="7" cm="1">
        <f t="array" aca="1" ref="G911" ca="1">INDEX(States!$B:$B,RANDBETWEEN(2,COUNTA(States!$A:$A)),1)</f>
        <v>4</v>
      </c>
      <c r="H911" s="7" t="str">
        <f ca="1">VLOOKUP($D911,Name!$A:$C,3,FALSE)</f>
        <v>F</v>
      </c>
      <c r="I911" s="7" cm="1">
        <f t="array" aca="1" ref="I911" ca="1">INDEX('Marital status'!$A:$A,RANDBETWEEN(2,COUNTA('Marital status'!$A:$A)),1)</f>
        <v>6</v>
      </c>
      <c r="J911" s="7">
        <f t="shared" ca="1" si="171"/>
        <v>2</v>
      </c>
      <c r="K911" s="8">
        <f t="shared" ca="1" si="172"/>
        <v>34286</v>
      </c>
      <c r="L911" s="6">
        <f t="shared" ca="1" si="173"/>
        <v>4</v>
      </c>
      <c r="M911" s="7">
        <f ca="1" xml:space="preserve">
  IF(OR($N911 = 2, $N911 = 3, $N911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911" s="6">
        <f t="shared" ca="1" si="174"/>
        <v>8</v>
      </c>
      <c r="O911" s="6">
        <f t="shared" ca="1" si="175"/>
        <v>4</v>
      </c>
      <c r="P911" s="8">
        <f t="shared" ca="1" si="176"/>
        <v>38112</v>
      </c>
      <c r="Q911" s="6">
        <f ca="1">RANDBETWEEN(2,COUNTA('Recruitment source'!$A:$A))</f>
        <v>3</v>
      </c>
      <c r="R911" s="8" t="e">
        <f t="shared" ca="1" si="177"/>
        <v>#N/A</v>
      </c>
      <c r="S911" s="6" t="e">
        <f t="shared" ca="1" si="178"/>
        <v>#N/A</v>
      </c>
      <c r="T911" s="6">
        <f t="shared" ca="1" si="168"/>
        <v>5</v>
      </c>
      <c r="U911" s="1">
        <f t="shared" ca="1" si="179"/>
        <v>2000</v>
      </c>
    </row>
    <row r="912" spans="1:21" x14ac:dyDescent="0.2">
      <c r="A912" s="7" cm="1">
        <f t="array" aca="1" ref="A912" ca="1">INDEX(Companies!$A:$A,RANDBETWEEN(2,COUNTA(Companies!$A:$A)),1)</f>
        <v>2</v>
      </c>
      <c r="B912" s="5">
        <f t="shared" si="169"/>
        <v>911</v>
      </c>
      <c r="C912" s="6">
        <f t="shared" ca="1" si="170"/>
        <v>1</v>
      </c>
      <c r="D912" s="7">
        <f ca="1">IF($B912 = 1 + N("Presidente"),
    127,
    IF($B912 = 2 + N("Vice-Presidente"),
        72,
        IF($B912 = 3 + N("Secretária bilíngue"),
            13,
            RANDBETWEEN(5,COUNT(Name!$A:$A) + 1)
        )
    )
)</f>
        <v>11</v>
      </c>
      <c r="E912" s="7" t="str">
        <f ca="1" xml:space="preserve">
VLOOKUP(
  $D912,
  Name!$A:$B,
  2,
  FALSE
)
&amp; " " &amp;
IF($B912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Agatha Azeredo Fernandes</v>
      </c>
      <c r="F912" s="7">
        <v>2</v>
      </c>
      <c r="G912" s="7" cm="1">
        <f t="array" aca="1" ref="G912" ca="1">INDEX(States!$B:$B,RANDBETWEEN(2,COUNTA(States!$A:$A)),1)</f>
        <v>11</v>
      </c>
      <c r="H912" s="7" t="str">
        <f ca="1">VLOOKUP($D912,Name!$A:$C,3,FALSE)</f>
        <v>F</v>
      </c>
      <c r="I912" s="7" cm="1">
        <f t="array" aca="1" ref="I912" ca="1">INDEX('Marital status'!$A:$A,RANDBETWEEN(2,COUNTA('Marital status'!$A:$A)),1)</f>
        <v>5</v>
      </c>
      <c r="J912" s="7">
        <f t="shared" ca="1" si="171"/>
        <v>5</v>
      </c>
      <c r="K912" s="8">
        <f t="shared" ca="1" si="172"/>
        <v>35047</v>
      </c>
      <c r="L912" s="6">
        <f t="shared" ca="1" si="173"/>
        <v>4</v>
      </c>
      <c r="M912" s="7">
        <f ca="1" xml:space="preserve">
  IF(OR($N912 = 2, $N912 = 3, $N912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912" s="6">
        <f t="shared" ca="1" si="174"/>
        <v>7</v>
      </c>
      <c r="O912" s="6" t="e">
        <f t="shared" ca="1" si="175"/>
        <v>#N/A</v>
      </c>
      <c r="P912" s="8">
        <f t="shared" ca="1" si="176"/>
        <v>43012</v>
      </c>
      <c r="Q912" s="6">
        <f ca="1">RANDBETWEEN(2,COUNTA('Recruitment source'!$A:$A))</f>
        <v>10</v>
      </c>
      <c r="R912" s="8" t="e">
        <f t="shared" ca="1" si="177"/>
        <v>#N/A</v>
      </c>
      <c r="S912" s="6" t="e">
        <f t="shared" ca="1" si="178"/>
        <v>#N/A</v>
      </c>
      <c r="T912" s="6">
        <f t="shared" ca="1" si="168"/>
        <v>3</v>
      </c>
      <c r="U912" s="1">
        <f t="shared" ca="1" si="179"/>
        <v>1005</v>
      </c>
    </row>
    <row r="913" spans="1:21" x14ac:dyDescent="0.2">
      <c r="A913" s="7" cm="1">
        <f t="array" aca="1" ref="A913" ca="1">INDEX(Companies!$A:$A,RANDBETWEEN(2,COUNTA(Companies!$A:$A)),1)</f>
        <v>2</v>
      </c>
      <c r="B913" s="5">
        <f t="shared" si="169"/>
        <v>912</v>
      </c>
      <c r="C913" s="6">
        <f t="shared" ca="1" si="170"/>
        <v>1</v>
      </c>
      <c r="D913" s="7">
        <f ca="1">IF($B913 = 1 + N("Presidente"),
    127,
    IF($B913 = 2 + N("Vice-Presidente"),
        72,
        IF($B913 = 3 + N("Secretária bilíngue"),
            13,
            RANDBETWEEN(5,COUNT(Name!$A:$A) + 1)
        )
    )
)</f>
        <v>88</v>
      </c>
      <c r="E913" s="7" t="str">
        <f ca="1" xml:space="preserve">
VLOOKUP(
  $D913,
  Name!$A:$B,
  2,
  FALSE
)
&amp; " " &amp;
IF($B913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Catarina Rodrigues Cândido</v>
      </c>
      <c r="F913" s="7">
        <v>2</v>
      </c>
      <c r="G913" s="7" cm="1">
        <f t="array" aca="1" ref="G913" ca="1">INDEX(States!$B:$B,RANDBETWEEN(2,COUNTA(States!$A:$A)),1)</f>
        <v>7</v>
      </c>
      <c r="H913" s="7" t="str">
        <f ca="1">VLOOKUP($D913,Name!$A:$C,3,FALSE)</f>
        <v>F</v>
      </c>
      <c r="I913" s="7" cm="1">
        <f t="array" aca="1" ref="I913" ca="1">INDEX('Marital status'!$A:$A,RANDBETWEEN(2,COUNTA('Marital status'!$A:$A)),1)</f>
        <v>6</v>
      </c>
      <c r="J913" s="7">
        <f t="shared" ca="1" si="171"/>
        <v>4</v>
      </c>
      <c r="K913" s="8">
        <f t="shared" ca="1" si="172"/>
        <v>32633</v>
      </c>
      <c r="L913" s="6">
        <f t="shared" ca="1" si="173"/>
        <v>4</v>
      </c>
      <c r="M913" s="7">
        <f ca="1" xml:space="preserve">
  IF(OR($N913 = 2, $N913 = 3, $N913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913" s="6">
        <f t="shared" ca="1" si="174"/>
        <v>8</v>
      </c>
      <c r="O913" s="6">
        <f t="shared" ca="1" si="175"/>
        <v>4</v>
      </c>
      <c r="P913" s="8">
        <f t="shared" ca="1" si="176"/>
        <v>42960</v>
      </c>
      <c r="Q913" s="6">
        <f ca="1">RANDBETWEEN(2,COUNTA('Recruitment source'!$A:$A))</f>
        <v>6</v>
      </c>
      <c r="R913" s="8" t="e">
        <f t="shared" ca="1" si="177"/>
        <v>#N/A</v>
      </c>
      <c r="S913" s="6" t="e">
        <f t="shared" ca="1" si="178"/>
        <v>#N/A</v>
      </c>
      <c r="T913" s="6">
        <f t="shared" ca="1" si="168"/>
        <v>5</v>
      </c>
      <c r="U913" s="1">
        <f t="shared" ca="1" si="179"/>
        <v>2080</v>
      </c>
    </row>
    <row r="914" spans="1:21" x14ac:dyDescent="0.2">
      <c r="A914" s="7" cm="1">
        <f t="array" aca="1" ref="A914" ca="1">INDEX(Companies!$A:$A,RANDBETWEEN(2,COUNTA(Companies!$A:$A)),1)</f>
        <v>2</v>
      </c>
      <c r="B914" s="5">
        <f t="shared" si="169"/>
        <v>913</v>
      </c>
      <c r="C914" s="6">
        <f t="shared" ca="1" si="170"/>
        <v>1</v>
      </c>
      <c r="D914" s="7">
        <f ca="1">IF($B914 = 1 + N("Presidente"),
    127,
    IF($B914 = 2 + N("Vice-Presidente"),
        72,
        IF($B914 = 3 + N("Secretária bilíngue"),
            13,
            RANDBETWEEN(5,COUNT(Name!$A:$A) + 1)
        )
    )
)</f>
        <v>26</v>
      </c>
      <c r="E914" s="7" t="str">
        <f ca="1" xml:space="preserve">
VLOOKUP(
  $D914,
  Name!$A:$B,
  2,
  FALSE
)
&amp; " " &amp;
IF($B914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Beatriz Romano Abranches</v>
      </c>
      <c r="F914" s="7">
        <v>2</v>
      </c>
      <c r="G914" s="7" cm="1">
        <f t="array" aca="1" ref="G914" ca="1">INDEX(States!$B:$B,RANDBETWEEN(2,COUNTA(States!$A:$A)),1)</f>
        <v>17</v>
      </c>
      <c r="H914" s="7" t="str">
        <f ca="1">VLOOKUP($D914,Name!$A:$C,3,FALSE)</f>
        <v>F</v>
      </c>
      <c r="I914" s="7" cm="1">
        <f t="array" aca="1" ref="I914" ca="1">INDEX('Marital status'!$A:$A,RANDBETWEEN(2,COUNTA('Marital status'!$A:$A)),1)</f>
        <v>4</v>
      </c>
      <c r="J914" s="7">
        <f t="shared" ca="1" si="171"/>
        <v>2</v>
      </c>
      <c r="K914" s="8">
        <f t="shared" ca="1" si="172"/>
        <v>29180</v>
      </c>
      <c r="L914" s="6">
        <f t="shared" ca="1" si="173"/>
        <v>4</v>
      </c>
      <c r="M914" s="7">
        <f ca="1" xml:space="preserve">
  IF(OR($N914 = 2, $N914 = 3, $N914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914" s="6">
        <f t="shared" ca="1" si="174"/>
        <v>7</v>
      </c>
      <c r="O914" s="6" t="e">
        <f t="shared" ca="1" si="175"/>
        <v>#N/A</v>
      </c>
      <c r="P914" s="8">
        <f t="shared" ca="1" si="176"/>
        <v>40288</v>
      </c>
      <c r="Q914" s="6">
        <f ca="1">RANDBETWEEN(2,COUNTA('Recruitment source'!$A:$A))</f>
        <v>10</v>
      </c>
      <c r="R914" s="8" t="e">
        <f t="shared" ca="1" si="177"/>
        <v>#N/A</v>
      </c>
      <c r="S914" s="6" t="e">
        <f t="shared" ca="1" si="178"/>
        <v>#N/A</v>
      </c>
      <c r="T914" s="6">
        <f t="shared" ca="1" si="168"/>
        <v>5</v>
      </c>
      <c r="U914" s="1">
        <f t="shared" ca="1" si="179"/>
        <v>1005</v>
      </c>
    </row>
    <row r="915" spans="1:21" x14ac:dyDescent="0.2">
      <c r="A915" s="7" cm="1">
        <f t="array" aca="1" ref="A915" ca="1">INDEX(Companies!$A:$A,RANDBETWEEN(2,COUNTA(Companies!$A:$A)),1)</f>
        <v>2</v>
      </c>
      <c r="B915" s="5">
        <f t="shared" si="169"/>
        <v>914</v>
      </c>
      <c r="C915" s="6">
        <f t="shared" ca="1" si="170"/>
        <v>1</v>
      </c>
      <c r="D915" s="7">
        <f ca="1">IF($B915 = 1 + N("Presidente"),
    127,
    IF($B915 = 2 + N("Vice-Presidente"),
        72,
        IF($B915 = 3 + N("Secretária bilíngue"),
            13,
            RANDBETWEEN(5,COUNT(Name!$A:$A) + 1)
        )
    )
)</f>
        <v>351</v>
      </c>
      <c r="E915" s="7" t="str">
        <f ca="1" xml:space="preserve">
VLOOKUP(
  $D915,
  Name!$A:$B,
  2,
  FALSE
)
&amp; " " &amp;
IF($B915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Vera Lucia Poeta Russo</v>
      </c>
      <c r="F915" s="7">
        <v>2</v>
      </c>
      <c r="G915" s="7" cm="1">
        <f t="array" aca="1" ref="G915" ca="1">INDEX(States!$B:$B,RANDBETWEEN(2,COUNTA(States!$A:$A)),1)</f>
        <v>14</v>
      </c>
      <c r="H915" s="7" t="str">
        <f ca="1">VLOOKUP($D915,Name!$A:$C,3,FALSE)</f>
        <v>F</v>
      </c>
      <c r="I915" s="7" cm="1">
        <f t="array" aca="1" ref="I915" ca="1">INDEX('Marital status'!$A:$A,RANDBETWEEN(2,COUNTA('Marital status'!$A:$A)),1)</f>
        <v>3</v>
      </c>
      <c r="J915" s="7">
        <f t="shared" ca="1" si="171"/>
        <v>2</v>
      </c>
      <c r="K915" s="8">
        <f t="shared" ca="1" si="172"/>
        <v>32955</v>
      </c>
      <c r="L915" s="6">
        <f t="shared" ca="1" si="173"/>
        <v>5</v>
      </c>
      <c r="M915" s="7">
        <f ca="1" xml:space="preserve">
  IF(OR($N915 = 2, $N915 = 3, $N915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915" s="6">
        <f t="shared" ca="1" si="174"/>
        <v>8</v>
      </c>
      <c r="O915" s="6">
        <f t="shared" ca="1" si="175"/>
        <v>2</v>
      </c>
      <c r="P915" s="8">
        <f t="shared" ca="1" si="176"/>
        <v>41039</v>
      </c>
      <c r="Q915" s="6">
        <f ca="1">RANDBETWEEN(2,COUNTA('Recruitment source'!$A:$A))</f>
        <v>4</v>
      </c>
      <c r="R915" s="8" t="e">
        <f t="shared" ca="1" si="177"/>
        <v>#N/A</v>
      </c>
      <c r="S915" s="6" t="e">
        <f t="shared" ca="1" si="178"/>
        <v>#N/A</v>
      </c>
      <c r="T915" s="6">
        <f t="shared" ca="1" si="168"/>
        <v>2</v>
      </c>
      <c r="U915" s="1">
        <f t="shared" ca="1" si="179"/>
        <v>2000</v>
      </c>
    </row>
    <row r="916" spans="1:21" x14ac:dyDescent="0.2">
      <c r="A916" s="7" cm="1">
        <f t="array" aca="1" ref="A916" ca="1">INDEX(Companies!$A:$A,RANDBETWEEN(2,COUNTA(Companies!$A:$A)),1)</f>
        <v>2</v>
      </c>
      <c r="B916" s="5">
        <f t="shared" si="169"/>
        <v>915</v>
      </c>
      <c r="C916" s="6">
        <f t="shared" ca="1" si="170"/>
        <v>1</v>
      </c>
      <c r="D916" s="7">
        <f ca="1">IF($B916 = 1 + N("Presidente"),
    127,
    IF($B916 = 2 + N("Vice-Presidente"),
        72,
        IF($B916 = 3 + N("Secretária bilíngue"),
            13,
            RANDBETWEEN(5,COUNT(Name!$A:$A) + 1)
        )
    )
)</f>
        <v>251</v>
      </c>
      <c r="E916" s="7" t="str">
        <f ca="1" xml:space="preserve">
VLOOKUP(
  $D916,
  Name!$A:$B,
  2,
  FALSE
)
&amp; " " &amp;
IF($B916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Maitê Sousa Frasão</v>
      </c>
      <c r="F916" s="7">
        <v>2</v>
      </c>
      <c r="G916" s="7" cm="1">
        <f t="array" aca="1" ref="G916" ca="1">INDEX(States!$B:$B,RANDBETWEEN(2,COUNTA(States!$A:$A)),1)</f>
        <v>8</v>
      </c>
      <c r="H916" s="7" t="str">
        <f ca="1">VLOOKUP($D916,Name!$A:$C,3,FALSE)</f>
        <v>F</v>
      </c>
      <c r="I916" s="7" cm="1">
        <f t="array" aca="1" ref="I916" ca="1">INDEX('Marital status'!$A:$A,RANDBETWEEN(2,COUNTA('Marital status'!$A:$A)),1)</f>
        <v>5</v>
      </c>
      <c r="J916" s="7">
        <f t="shared" ca="1" si="171"/>
        <v>2</v>
      </c>
      <c r="K916" s="8">
        <f t="shared" ca="1" si="172"/>
        <v>31345</v>
      </c>
      <c r="L916" s="6">
        <f t="shared" ca="1" si="173"/>
        <v>4</v>
      </c>
      <c r="M916" s="7">
        <f ca="1" xml:space="preserve">
  IF(OR($N916 = 2, $N916 = 3, $N916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916" s="6">
        <f t="shared" ca="1" si="174"/>
        <v>6</v>
      </c>
      <c r="O916" s="6" t="e">
        <f t="shared" ca="1" si="175"/>
        <v>#N/A</v>
      </c>
      <c r="P916" s="8">
        <f t="shared" ca="1" si="176"/>
        <v>44242</v>
      </c>
      <c r="Q916" s="6">
        <f ca="1">RANDBETWEEN(2,COUNTA('Recruitment source'!$A:$A))</f>
        <v>3</v>
      </c>
      <c r="R916" s="8" t="e">
        <f t="shared" ca="1" si="177"/>
        <v>#N/A</v>
      </c>
      <c r="S916" s="6" t="e">
        <f t="shared" ca="1" si="178"/>
        <v>#N/A</v>
      </c>
      <c r="T916" s="6">
        <f t="shared" ca="1" si="168"/>
        <v>5</v>
      </c>
      <c r="U916" s="1">
        <f t="shared" ca="1" si="179"/>
        <v>805</v>
      </c>
    </row>
    <row r="917" spans="1:21" x14ac:dyDescent="0.2">
      <c r="A917" s="7" cm="1">
        <f t="array" aca="1" ref="A917" ca="1">INDEX(Companies!$A:$A,RANDBETWEEN(2,COUNTA(Companies!$A:$A)),1)</f>
        <v>2</v>
      </c>
      <c r="B917" s="5">
        <f t="shared" si="169"/>
        <v>916</v>
      </c>
      <c r="C917" s="6">
        <f t="shared" ca="1" si="170"/>
        <v>1</v>
      </c>
      <c r="D917" s="7">
        <f ca="1">IF($B917 = 1 + N("Presidente"),
    127,
    IF($B917 = 2 + N("Vice-Presidente"),
        72,
        IF($B917 = 3 + N("Secretária bilíngue"),
            13,
            RANDBETWEEN(5,COUNT(Name!$A:$A) + 1)
        )
    )
)</f>
        <v>134</v>
      </c>
      <c r="E917" s="7" t="str">
        <f ca="1" xml:space="preserve">
VLOOKUP(
  $D917,
  Name!$A:$B,
  2,
  FALSE
)
&amp; " " &amp;
IF($B917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Eva Pereira Amor</v>
      </c>
      <c r="F917" s="7">
        <v>2</v>
      </c>
      <c r="G917" s="7" cm="1">
        <f t="array" aca="1" ref="G917" ca="1">INDEX(States!$B:$B,RANDBETWEEN(2,COUNTA(States!$A:$A)),1)</f>
        <v>5</v>
      </c>
      <c r="H917" s="7" t="str">
        <f ca="1">VLOOKUP($D917,Name!$A:$C,3,FALSE)</f>
        <v>F</v>
      </c>
      <c r="I917" s="7" cm="1">
        <f t="array" aca="1" ref="I917" ca="1">INDEX('Marital status'!$A:$A,RANDBETWEEN(2,COUNTA('Marital status'!$A:$A)),1)</f>
        <v>4</v>
      </c>
      <c r="J917" s="7">
        <f t="shared" ca="1" si="171"/>
        <v>3</v>
      </c>
      <c r="K917" s="8">
        <f t="shared" ca="1" si="172"/>
        <v>34774</v>
      </c>
      <c r="L917" s="6">
        <f t="shared" ca="1" si="173"/>
        <v>4</v>
      </c>
      <c r="M917" s="7">
        <f ca="1" xml:space="preserve">
  IF(OR($N917 = 2, $N917 = 3, $N917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917" s="6">
        <f t="shared" ca="1" si="174"/>
        <v>8</v>
      </c>
      <c r="O917" s="6">
        <f t="shared" ca="1" si="175"/>
        <v>2</v>
      </c>
      <c r="P917" s="8">
        <f t="shared" ca="1" si="176"/>
        <v>41732</v>
      </c>
      <c r="Q917" s="6">
        <f ca="1">RANDBETWEEN(2,COUNTA('Recruitment source'!$A:$A))</f>
        <v>9</v>
      </c>
      <c r="R917" s="8" t="e">
        <f t="shared" ca="1" si="177"/>
        <v>#N/A</v>
      </c>
      <c r="S917" s="6" t="e">
        <f t="shared" ca="1" si="178"/>
        <v>#N/A</v>
      </c>
      <c r="T917" s="6">
        <f t="shared" ca="1" si="168"/>
        <v>4</v>
      </c>
      <c r="U917" s="1">
        <f t="shared" ca="1" si="179"/>
        <v>2000</v>
      </c>
    </row>
    <row r="918" spans="1:21" x14ac:dyDescent="0.2">
      <c r="A918" s="7" cm="1">
        <f t="array" aca="1" ref="A918" ca="1">INDEX(Companies!$A:$A,RANDBETWEEN(2,COUNTA(Companies!$A:$A)),1)</f>
        <v>2</v>
      </c>
      <c r="B918" s="5">
        <f t="shared" si="169"/>
        <v>917</v>
      </c>
      <c r="C918" s="6">
        <f t="shared" ca="1" si="170"/>
        <v>1</v>
      </c>
      <c r="D918" s="7">
        <f ca="1">IF($B918 = 1 + N("Presidente"),
    127,
    IF($B918 = 2 + N("Vice-Presidente"),
        72,
        IF($B918 = 3 + N("Secretária bilíngue"),
            13,
            RANDBETWEEN(5,COUNT(Name!$A:$A) + 1)
        )
    )
)</f>
        <v>65</v>
      </c>
      <c r="E918" s="7" t="str">
        <f ca="1" xml:space="preserve">
VLOOKUP(
  $D918,
  Name!$A:$B,
  2,
  FALSE
)
&amp; " " &amp;
IF($B918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Bárbara Pinto Duarte</v>
      </c>
      <c r="F918" s="7">
        <v>2</v>
      </c>
      <c r="G918" s="7" cm="1">
        <f t="array" aca="1" ref="G918" ca="1">INDEX(States!$B:$B,RANDBETWEEN(2,COUNTA(States!$A:$A)),1)</f>
        <v>7</v>
      </c>
      <c r="H918" s="7" t="str">
        <f ca="1">VLOOKUP($D918,Name!$A:$C,3,FALSE)</f>
        <v>F</v>
      </c>
      <c r="I918" s="7" cm="1">
        <f t="array" aca="1" ref="I918" ca="1">INDEX('Marital status'!$A:$A,RANDBETWEEN(2,COUNTA('Marital status'!$A:$A)),1)</f>
        <v>3</v>
      </c>
      <c r="J918" s="7">
        <f t="shared" ca="1" si="171"/>
        <v>2</v>
      </c>
      <c r="K918" s="8">
        <f t="shared" ca="1" si="172"/>
        <v>30862</v>
      </c>
      <c r="L918" s="6">
        <f t="shared" ca="1" si="173"/>
        <v>4</v>
      </c>
      <c r="M918" s="7">
        <f ca="1" xml:space="preserve">
  IF(OR($N918 = 2, $N918 = 3, $N918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918" s="6">
        <f t="shared" ca="1" si="174"/>
        <v>6</v>
      </c>
      <c r="O918" s="6" t="e">
        <f t="shared" ca="1" si="175"/>
        <v>#N/A</v>
      </c>
      <c r="P918" s="8">
        <f t="shared" ca="1" si="176"/>
        <v>37049</v>
      </c>
      <c r="Q918" s="6">
        <f ca="1">RANDBETWEEN(2,COUNTA('Recruitment source'!$A:$A))</f>
        <v>12</v>
      </c>
      <c r="R918" s="8" t="e">
        <f t="shared" ca="1" si="177"/>
        <v>#N/A</v>
      </c>
      <c r="S918" s="6" t="e">
        <f t="shared" ca="1" si="178"/>
        <v>#N/A</v>
      </c>
      <c r="T918" s="6">
        <f t="shared" ca="1" si="168"/>
        <v>3</v>
      </c>
      <c r="U918" s="1">
        <f t="shared" ca="1" si="179"/>
        <v>805</v>
      </c>
    </row>
    <row r="919" spans="1:21" x14ac:dyDescent="0.2">
      <c r="A919" s="7" cm="1">
        <f t="array" aca="1" ref="A919" ca="1">INDEX(Companies!$A:$A,RANDBETWEEN(2,COUNTA(Companies!$A:$A)),1)</f>
        <v>2</v>
      </c>
      <c r="B919" s="5">
        <f t="shared" si="169"/>
        <v>918</v>
      </c>
      <c r="C919" s="6">
        <f t="shared" ca="1" si="170"/>
        <v>1</v>
      </c>
      <c r="D919" s="7">
        <f ca="1">IF($B919 = 1 + N("Presidente"),
    127,
    IF($B919 = 2 + N("Vice-Presidente"),
        72,
        IF($B919 = 3 + N("Secretária bilíngue"),
            13,
            RANDBETWEEN(5,COUNT(Name!$A:$A) + 1)
        )
    )
)</f>
        <v>115</v>
      </c>
      <c r="E919" s="7" t="str">
        <f ca="1" xml:space="preserve">
VLOOKUP(
  $D919,
  Name!$A:$B,
  2,
  FALSE
)
&amp; " " &amp;
IF($B919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Dulce Sacramento Camacho</v>
      </c>
      <c r="F919" s="7">
        <v>2</v>
      </c>
      <c r="G919" s="7" cm="1">
        <f t="array" aca="1" ref="G919" ca="1">INDEX(States!$B:$B,RANDBETWEEN(2,COUNTA(States!$A:$A)),1)</f>
        <v>21</v>
      </c>
      <c r="H919" s="7" t="str">
        <f ca="1">VLOOKUP($D919,Name!$A:$C,3,FALSE)</f>
        <v>F</v>
      </c>
      <c r="I919" s="7" cm="1">
        <f t="array" aca="1" ref="I919" ca="1">INDEX('Marital status'!$A:$A,RANDBETWEEN(2,COUNTA('Marital status'!$A:$A)),1)</f>
        <v>2</v>
      </c>
      <c r="J919" s="7">
        <f t="shared" ca="1" si="171"/>
        <v>2</v>
      </c>
      <c r="K919" s="8">
        <f t="shared" ca="1" si="172"/>
        <v>37311</v>
      </c>
      <c r="L919" s="6">
        <f t="shared" ca="1" si="173"/>
        <v>5</v>
      </c>
      <c r="M919" s="7">
        <f ca="1" xml:space="preserve">
  IF(OR($N919 = 2, $N919 = 3, $N919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919" s="6">
        <f t="shared" ca="1" si="174"/>
        <v>8</v>
      </c>
      <c r="O919" s="6">
        <f t="shared" ca="1" si="175"/>
        <v>3</v>
      </c>
      <c r="P919" s="8">
        <f t="shared" ca="1" si="176"/>
        <v>37373</v>
      </c>
      <c r="Q919" s="6">
        <f ca="1">RANDBETWEEN(2,COUNTA('Recruitment source'!$A:$A))</f>
        <v>7</v>
      </c>
      <c r="R919" s="8" t="e">
        <f t="shared" ca="1" si="177"/>
        <v>#N/A</v>
      </c>
      <c r="S919" s="6" t="e">
        <f t="shared" ca="1" si="178"/>
        <v>#N/A</v>
      </c>
      <c r="T919" s="6">
        <f t="shared" ca="1" si="168"/>
        <v>2</v>
      </c>
      <c r="U919" s="1">
        <f t="shared" ca="1" si="179"/>
        <v>2080</v>
      </c>
    </row>
    <row r="920" spans="1:21" x14ac:dyDescent="0.2">
      <c r="A920" s="7" cm="1">
        <f t="array" aca="1" ref="A920" ca="1">INDEX(Companies!$A:$A,RANDBETWEEN(2,COUNTA(Companies!$A:$A)),1)</f>
        <v>2</v>
      </c>
      <c r="B920" s="5">
        <f t="shared" si="169"/>
        <v>919</v>
      </c>
      <c r="C920" s="6">
        <f t="shared" ca="1" si="170"/>
        <v>1</v>
      </c>
      <c r="D920" s="7">
        <f ca="1">IF($B920 = 1 + N("Presidente"),
    127,
    IF($B920 = 2 + N("Vice-Presidente"),
        72,
        IF($B920 = 3 + N("Secretária bilíngue"),
            13,
            RANDBETWEEN(5,COUNT(Name!$A:$A) + 1)
        )
    )
)</f>
        <v>37</v>
      </c>
      <c r="E920" s="7" t="str">
        <f ca="1" xml:space="preserve">
VLOOKUP(
  $D920,
  Name!$A:$B,
  2,
  FALSE
)
&amp; " " &amp;
IF($B920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Vitória Frois Costa</v>
      </c>
      <c r="F920" s="7">
        <v>2</v>
      </c>
      <c r="G920" s="7" cm="1">
        <f t="array" aca="1" ref="G920" ca="1">INDEX(States!$B:$B,RANDBETWEEN(2,COUNTA(States!$A:$A)),1)</f>
        <v>4</v>
      </c>
      <c r="H920" s="7" t="str">
        <f ca="1">VLOOKUP($D920,Name!$A:$C,3,FALSE)</f>
        <v>F</v>
      </c>
      <c r="I920" s="7" cm="1">
        <f t="array" aca="1" ref="I920" ca="1">INDEX('Marital status'!$A:$A,RANDBETWEEN(2,COUNTA('Marital status'!$A:$A)),1)</f>
        <v>3</v>
      </c>
      <c r="J920" s="7">
        <f t="shared" ca="1" si="171"/>
        <v>2</v>
      </c>
      <c r="K920" s="8">
        <f t="shared" ca="1" si="172"/>
        <v>31376</v>
      </c>
      <c r="L920" s="6">
        <f t="shared" ca="1" si="173"/>
        <v>4</v>
      </c>
      <c r="M920" s="7">
        <f ca="1" xml:space="preserve">
  IF(OR($N920 = 2, $N920 = 3, $N920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920" s="6">
        <f t="shared" ca="1" si="174"/>
        <v>7</v>
      </c>
      <c r="O920" s="6" t="e">
        <f t="shared" ca="1" si="175"/>
        <v>#N/A</v>
      </c>
      <c r="P920" s="8">
        <f t="shared" ca="1" si="176"/>
        <v>44410</v>
      </c>
      <c r="Q920" s="6">
        <f ca="1">RANDBETWEEN(2,COUNTA('Recruitment source'!$A:$A))</f>
        <v>2</v>
      </c>
      <c r="R920" s="8" t="e">
        <f t="shared" ca="1" si="177"/>
        <v>#N/A</v>
      </c>
      <c r="S920" s="6" t="e">
        <f t="shared" ca="1" si="178"/>
        <v>#N/A</v>
      </c>
      <c r="T920" s="6">
        <f t="shared" ca="1" si="168"/>
        <v>3</v>
      </c>
      <c r="U920" s="1">
        <f t="shared" ca="1" si="179"/>
        <v>1085</v>
      </c>
    </row>
    <row r="921" spans="1:21" x14ac:dyDescent="0.2">
      <c r="A921" s="7" cm="1">
        <f t="array" aca="1" ref="A921" ca="1">INDEX(Companies!$A:$A,RANDBETWEEN(2,COUNTA(Companies!$A:$A)),1)</f>
        <v>2</v>
      </c>
      <c r="B921" s="5">
        <f t="shared" si="169"/>
        <v>920</v>
      </c>
      <c r="C921" s="6">
        <f t="shared" ca="1" si="170"/>
        <v>1</v>
      </c>
      <c r="D921" s="7">
        <f ca="1">IF($B921 = 1 + N("Presidente"),
    127,
    IF($B921 = 2 + N("Vice-Presidente"),
        72,
        IF($B921 = 3 + N("Secretária bilíngue"),
            13,
            RANDBETWEEN(5,COUNT(Name!$A:$A) + 1)
        )
    )
)</f>
        <v>141</v>
      </c>
      <c r="E921" s="7" t="str">
        <f ca="1" xml:space="preserve">
VLOOKUP(
  $D921,
  Name!$A:$B,
  2,
  FALSE
)
&amp; " " &amp;
IF($B921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Filipe Pinto Barbieri</v>
      </c>
      <c r="F921" s="7">
        <v>2</v>
      </c>
      <c r="G921" s="7" cm="1">
        <f t="array" aca="1" ref="G921" ca="1">INDEX(States!$B:$B,RANDBETWEEN(2,COUNTA(States!$A:$A)),1)</f>
        <v>17</v>
      </c>
      <c r="H921" s="7" t="str">
        <f ca="1">VLOOKUP($D921,Name!$A:$C,3,FALSE)</f>
        <v>M</v>
      </c>
      <c r="I921" s="7" cm="1">
        <f t="array" aca="1" ref="I921" ca="1">INDEX('Marital status'!$A:$A,RANDBETWEEN(2,COUNTA('Marital status'!$A:$A)),1)</f>
        <v>4</v>
      </c>
      <c r="J921" s="7">
        <f t="shared" ca="1" si="171"/>
        <v>2</v>
      </c>
      <c r="K921" s="8">
        <f t="shared" ca="1" si="172"/>
        <v>35346</v>
      </c>
      <c r="L921" s="6">
        <f t="shared" ca="1" si="173"/>
        <v>5</v>
      </c>
      <c r="M921" s="7">
        <f ca="1" xml:space="preserve">
  IF(OR($N921 = 2, $N921 = 3, $N921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921" s="6">
        <f t="shared" ca="1" si="174"/>
        <v>8</v>
      </c>
      <c r="O921" s="6">
        <f t="shared" ca="1" si="175"/>
        <v>2</v>
      </c>
      <c r="P921" s="8">
        <f t="shared" ca="1" si="176"/>
        <v>38222</v>
      </c>
      <c r="Q921" s="6">
        <f ca="1">RANDBETWEEN(2,COUNTA('Recruitment source'!$A:$A))</f>
        <v>11</v>
      </c>
      <c r="R921" s="8" t="e">
        <f t="shared" ca="1" si="177"/>
        <v>#N/A</v>
      </c>
      <c r="S921" s="6" t="e">
        <f t="shared" ca="1" si="178"/>
        <v>#N/A</v>
      </c>
      <c r="T921" s="6">
        <f t="shared" ca="1" si="168"/>
        <v>5</v>
      </c>
      <c r="U921" s="1">
        <f t="shared" ca="1" si="179"/>
        <v>2080</v>
      </c>
    </row>
    <row r="922" spans="1:21" x14ac:dyDescent="0.2">
      <c r="A922" s="7" cm="1">
        <f t="array" aca="1" ref="A922" ca="1">INDEX(Companies!$A:$A,RANDBETWEEN(2,COUNTA(Companies!$A:$A)),1)</f>
        <v>2</v>
      </c>
      <c r="B922" s="5">
        <f t="shared" si="169"/>
        <v>921</v>
      </c>
      <c r="C922" s="6">
        <f t="shared" ca="1" si="170"/>
        <v>1</v>
      </c>
      <c r="D922" s="7">
        <f ca="1">IF($B922 = 1 + N("Presidente"),
    127,
    IF($B922 = 2 + N("Vice-Presidente"),
        72,
        IF($B922 = 3 + N("Secretária bilíngue"),
            13,
            RANDBETWEEN(5,COUNT(Name!$A:$A) + 1)
        )
    )
)</f>
        <v>282</v>
      </c>
      <c r="E922" s="7" t="str">
        <f ca="1" xml:space="preserve">
VLOOKUP(
  $D922,
  Name!$A:$B,
  2,
  FALSE
)
&amp; " " &amp;
IF($B922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Marinah Saragoça Camargo</v>
      </c>
      <c r="F922" s="7">
        <v>2</v>
      </c>
      <c r="G922" s="7" cm="1">
        <f t="array" aca="1" ref="G922" ca="1">INDEX(States!$B:$B,RANDBETWEEN(2,COUNTA(States!$A:$A)),1)</f>
        <v>10</v>
      </c>
      <c r="H922" s="7" t="str">
        <f ca="1">VLOOKUP($D922,Name!$A:$C,3,FALSE)</f>
        <v>F</v>
      </c>
      <c r="I922" s="7" cm="1">
        <f t="array" aca="1" ref="I922" ca="1">INDEX('Marital status'!$A:$A,RANDBETWEEN(2,COUNTA('Marital status'!$A:$A)),1)</f>
        <v>3</v>
      </c>
      <c r="J922" s="7">
        <f t="shared" ca="1" si="171"/>
        <v>2</v>
      </c>
      <c r="K922" s="8">
        <f t="shared" ca="1" si="172"/>
        <v>35056</v>
      </c>
      <c r="L922" s="6">
        <f t="shared" ca="1" si="173"/>
        <v>4</v>
      </c>
      <c r="M922" s="7">
        <f ca="1" xml:space="preserve">
  IF(OR($N922 = 2, $N922 = 3, $N922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922" s="6">
        <f t="shared" ca="1" si="174"/>
        <v>7</v>
      </c>
      <c r="O922" s="6" t="e">
        <f t="shared" ca="1" si="175"/>
        <v>#N/A</v>
      </c>
      <c r="P922" s="8">
        <f t="shared" ca="1" si="176"/>
        <v>42810</v>
      </c>
      <c r="Q922" s="6">
        <f ca="1">RANDBETWEEN(2,COUNTA('Recruitment source'!$A:$A))</f>
        <v>11</v>
      </c>
      <c r="R922" s="8" t="e">
        <f t="shared" ca="1" si="177"/>
        <v>#N/A</v>
      </c>
      <c r="S922" s="6" t="e">
        <f t="shared" ca="1" si="178"/>
        <v>#N/A</v>
      </c>
      <c r="T922" s="6">
        <f t="shared" ca="1" si="168"/>
        <v>4</v>
      </c>
      <c r="U922" s="1">
        <f t="shared" ca="1" si="179"/>
        <v>1005</v>
      </c>
    </row>
    <row r="923" spans="1:21" x14ac:dyDescent="0.2">
      <c r="A923" s="7" cm="1">
        <f t="array" aca="1" ref="A923" ca="1">INDEX(Companies!$A:$A,RANDBETWEEN(2,COUNTA(Companies!$A:$A)),1)</f>
        <v>2</v>
      </c>
      <c r="B923" s="5">
        <f t="shared" si="169"/>
        <v>922</v>
      </c>
      <c r="C923" s="6">
        <f t="shared" ca="1" si="170"/>
        <v>1</v>
      </c>
      <c r="D923" s="7">
        <f ca="1">IF($B923 = 1 + N("Presidente"),
    127,
    IF($B923 = 2 + N("Vice-Presidente"),
        72,
        IF($B923 = 3 + N("Secretária bilíngue"),
            13,
            RANDBETWEEN(5,COUNT(Name!$A:$A) + 1)
        )
    )
)</f>
        <v>241</v>
      </c>
      <c r="E923" s="7" t="str">
        <f ca="1" xml:space="preserve">
VLOOKUP(
  $D923,
  Name!$A:$B,
  2,
  FALSE
)
&amp; " " &amp;
IF($B923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Luccas Araújo Mazza</v>
      </c>
      <c r="F923" s="7">
        <v>2</v>
      </c>
      <c r="G923" s="7" cm="1">
        <f t="array" aca="1" ref="G923" ca="1">INDEX(States!$B:$B,RANDBETWEEN(2,COUNTA(States!$A:$A)),1)</f>
        <v>10</v>
      </c>
      <c r="H923" s="7" t="str">
        <f ca="1">VLOOKUP($D923,Name!$A:$C,3,FALSE)</f>
        <v>M</v>
      </c>
      <c r="I923" s="7" cm="1">
        <f t="array" aca="1" ref="I923" ca="1">INDEX('Marital status'!$A:$A,RANDBETWEEN(2,COUNTA('Marital status'!$A:$A)),1)</f>
        <v>4</v>
      </c>
      <c r="J923" s="7">
        <f t="shared" ca="1" si="171"/>
        <v>2</v>
      </c>
      <c r="K923" s="8">
        <f t="shared" ca="1" si="172"/>
        <v>32595</v>
      </c>
      <c r="L923" s="6">
        <f t="shared" ca="1" si="173"/>
        <v>5</v>
      </c>
      <c r="M923" s="7">
        <f ca="1" xml:space="preserve">
  IF(OR($N923 = 2, $N923 = 3, $N923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923" s="6">
        <f t="shared" ca="1" si="174"/>
        <v>8</v>
      </c>
      <c r="O923" s="6">
        <f t="shared" ca="1" si="175"/>
        <v>3</v>
      </c>
      <c r="P923" s="8">
        <f t="shared" ca="1" si="176"/>
        <v>38107</v>
      </c>
      <c r="Q923" s="6">
        <f ca="1">RANDBETWEEN(2,COUNTA('Recruitment source'!$A:$A))</f>
        <v>11</v>
      </c>
      <c r="R923" s="8" t="e">
        <f t="shared" ca="1" si="177"/>
        <v>#N/A</v>
      </c>
      <c r="S923" s="6" t="e">
        <f t="shared" ca="1" si="178"/>
        <v>#N/A</v>
      </c>
      <c r="T923" s="6">
        <f t="shared" ca="1" si="168"/>
        <v>4</v>
      </c>
      <c r="U923" s="1">
        <f t="shared" ca="1" si="179"/>
        <v>2000</v>
      </c>
    </row>
    <row r="924" spans="1:21" x14ac:dyDescent="0.2">
      <c r="A924" s="7" cm="1">
        <f t="array" aca="1" ref="A924" ca="1">INDEX(Companies!$A:$A,RANDBETWEEN(2,COUNTA(Companies!$A:$A)),1)</f>
        <v>2</v>
      </c>
      <c r="B924" s="5">
        <f t="shared" si="169"/>
        <v>923</v>
      </c>
      <c r="C924" s="6">
        <f t="shared" ca="1" si="170"/>
        <v>1</v>
      </c>
      <c r="D924" s="7">
        <f ca="1">IF($B924 = 1 + N("Presidente"),
    127,
    IF($B924 = 2 + N("Vice-Presidente"),
        72,
        IF($B924 = 3 + N("Secretária bilíngue"),
            13,
            RANDBETWEEN(5,COUNT(Name!$A:$A) + 1)
        )
    )
)</f>
        <v>235</v>
      </c>
      <c r="E924" s="7" t="str">
        <f ca="1" xml:space="preserve">
VLOOKUP(
  $D924,
  Name!$A:$B,
  2,
  FALSE
)
&amp; " " &amp;
IF($B924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 Camões Romano</v>
      </c>
      <c r="F924" s="7">
        <v>2</v>
      </c>
      <c r="G924" s="7" cm="1">
        <f t="array" aca="1" ref="G924" ca="1">INDEX(States!$B:$B,RANDBETWEEN(2,COUNTA(States!$A:$A)),1)</f>
        <v>18</v>
      </c>
      <c r="H924" s="7" t="str">
        <f ca="1">VLOOKUP($D924,Name!$A:$C,3,FALSE)</f>
        <v>M</v>
      </c>
      <c r="I924" s="7" cm="1">
        <f t="array" aca="1" ref="I924" ca="1">INDEX('Marital status'!$A:$A,RANDBETWEEN(2,COUNTA('Marital status'!$A:$A)),1)</f>
        <v>2</v>
      </c>
      <c r="J924" s="7">
        <f t="shared" ca="1" si="171"/>
        <v>4</v>
      </c>
      <c r="K924" s="8">
        <f t="shared" ca="1" si="172"/>
        <v>35136</v>
      </c>
      <c r="L924" s="6">
        <f t="shared" ca="1" si="173"/>
        <v>4</v>
      </c>
      <c r="M924" s="7">
        <f ca="1" xml:space="preserve">
  IF(OR($N924 = 2, $N924 = 3, $N924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924" s="6">
        <f t="shared" ca="1" si="174"/>
        <v>7</v>
      </c>
      <c r="O924" s="6" t="e">
        <f t="shared" ca="1" si="175"/>
        <v>#N/A</v>
      </c>
      <c r="P924" s="8">
        <f t="shared" ca="1" si="176"/>
        <v>43482</v>
      </c>
      <c r="Q924" s="6">
        <f ca="1">RANDBETWEEN(2,COUNTA('Recruitment source'!$A:$A))</f>
        <v>11</v>
      </c>
      <c r="R924" s="8" t="e">
        <f t="shared" ca="1" si="177"/>
        <v>#N/A</v>
      </c>
      <c r="S924" s="6" t="e">
        <f t="shared" ca="1" si="178"/>
        <v>#N/A</v>
      </c>
      <c r="T924" s="6">
        <f t="shared" ca="1" si="168"/>
        <v>5</v>
      </c>
      <c r="U924" s="1">
        <f t="shared" ca="1" si="179"/>
        <v>1085</v>
      </c>
    </row>
    <row r="925" spans="1:21" x14ac:dyDescent="0.2">
      <c r="A925" s="7" cm="1">
        <f t="array" aca="1" ref="A925" ca="1">INDEX(Companies!$A:$A,RANDBETWEEN(2,COUNTA(Companies!$A:$A)),1)</f>
        <v>2</v>
      </c>
      <c r="B925" s="5">
        <f t="shared" si="169"/>
        <v>924</v>
      </c>
      <c r="C925" s="6">
        <f t="shared" ca="1" si="170"/>
        <v>1</v>
      </c>
      <c r="D925" s="7">
        <f ca="1">IF($B925 = 1 + N("Presidente"),
    127,
    IF($B925 = 2 + N("Vice-Presidente"),
        72,
        IF($B925 = 3 + N("Secretária bilíngue"),
            13,
            RANDBETWEEN(5,COUNT(Name!$A:$A) + 1)
        )
    )
)</f>
        <v>36</v>
      </c>
      <c r="E925" s="7" t="str">
        <f ca="1" xml:space="preserve">
VLOOKUP(
  $D925,
  Name!$A:$B,
  2,
  FALSE
)
&amp; " " &amp;
IF($B925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Sophia Sacramento Amor</v>
      </c>
      <c r="F925" s="7">
        <v>2</v>
      </c>
      <c r="G925" s="7" cm="1">
        <f t="array" aca="1" ref="G925" ca="1">INDEX(States!$B:$B,RANDBETWEEN(2,COUNTA(States!$A:$A)),1)</f>
        <v>4</v>
      </c>
      <c r="H925" s="7" t="str">
        <f ca="1">VLOOKUP($D925,Name!$A:$C,3,FALSE)</f>
        <v>F</v>
      </c>
      <c r="I925" s="7" cm="1">
        <f t="array" aca="1" ref="I925" ca="1">INDEX('Marital status'!$A:$A,RANDBETWEEN(2,COUNTA('Marital status'!$A:$A)),1)</f>
        <v>4</v>
      </c>
      <c r="J925" s="7">
        <f t="shared" ca="1" si="171"/>
        <v>2</v>
      </c>
      <c r="K925" s="8">
        <f t="shared" ca="1" si="172"/>
        <v>34050</v>
      </c>
      <c r="L925" s="6">
        <f t="shared" ca="1" si="173"/>
        <v>4</v>
      </c>
      <c r="M925" s="7">
        <f ca="1" xml:space="preserve">
  IF(OR($N925 = 2, $N925 = 3, $N925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925" s="6">
        <f t="shared" ca="1" si="174"/>
        <v>8</v>
      </c>
      <c r="O925" s="6">
        <f t="shared" ca="1" si="175"/>
        <v>3</v>
      </c>
      <c r="P925" s="8">
        <f t="shared" ca="1" si="176"/>
        <v>41945</v>
      </c>
      <c r="Q925" s="6">
        <f ca="1">RANDBETWEEN(2,COUNTA('Recruitment source'!$A:$A))</f>
        <v>2</v>
      </c>
      <c r="R925" s="8" t="e">
        <f t="shared" ca="1" si="177"/>
        <v>#N/A</v>
      </c>
      <c r="S925" s="6" t="e">
        <f t="shared" ca="1" si="178"/>
        <v>#N/A</v>
      </c>
      <c r="T925" s="6">
        <f t="shared" ca="1" si="168"/>
        <v>2</v>
      </c>
      <c r="U925" s="1">
        <f t="shared" ca="1" si="179"/>
        <v>2080</v>
      </c>
    </row>
    <row r="926" spans="1:21" x14ac:dyDescent="0.2">
      <c r="A926" s="7" cm="1">
        <f t="array" aca="1" ref="A926" ca="1">INDEX(Companies!$A:$A,RANDBETWEEN(2,COUNTA(Companies!$A:$A)),1)</f>
        <v>2</v>
      </c>
      <c r="B926" s="5">
        <f t="shared" si="169"/>
        <v>925</v>
      </c>
      <c r="C926" s="6">
        <f t="shared" ca="1" si="170"/>
        <v>1</v>
      </c>
      <c r="D926" s="7">
        <f ca="1">IF($B926 = 1 + N("Presidente"),
    127,
    IF($B926 = 2 + N("Vice-Presidente"),
        72,
        IF($B926 = 3 + N("Secretária bilíngue"),
            13,
            RANDBETWEEN(5,COUNT(Name!$A:$A) + 1)
        )
    )
)</f>
        <v>274</v>
      </c>
      <c r="E926" s="7" t="str">
        <f ca="1" xml:space="preserve">
VLOOKUP(
  $D926,
  Name!$A:$B,
  2,
  FALSE
)
&amp; " " &amp;
IF($B926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Valentina Barreto Abranches</v>
      </c>
      <c r="F926" s="7">
        <v>2</v>
      </c>
      <c r="G926" s="7" cm="1">
        <f t="array" aca="1" ref="G926" ca="1">INDEX(States!$B:$B,RANDBETWEEN(2,COUNTA(States!$A:$A)),1)</f>
        <v>14</v>
      </c>
      <c r="H926" s="7" t="str">
        <f ca="1">VLOOKUP($D926,Name!$A:$C,3,FALSE)</f>
        <v>F</v>
      </c>
      <c r="I926" s="7" cm="1">
        <f t="array" aca="1" ref="I926" ca="1">INDEX('Marital status'!$A:$A,RANDBETWEEN(2,COUNTA('Marital status'!$A:$A)),1)</f>
        <v>3</v>
      </c>
      <c r="J926" s="7">
        <f t="shared" ca="1" si="171"/>
        <v>2</v>
      </c>
      <c r="K926" s="8">
        <f t="shared" ca="1" si="172"/>
        <v>20286</v>
      </c>
      <c r="L926" s="6">
        <f t="shared" ca="1" si="173"/>
        <v>4</v>
      </c>
      <c r="M926" s="7">
        <f ca="1" xml:space="preserve">
  IF(OR($N926 = 2, $N926 = 3, $N926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926" s="6">
        <f t="shared" ca="1" si="174"/>
        <v>6</v>
      </c>
      <c r="O926" s="6" t="e">
        <f t="shared" ca="1" si="175"/>
        <v>#N/A</v>
      </c>
      <c r="P926" s="8">
        <f t="shared" ca="1" si="176"/>
        <v>41584</v>
      </c>
      <c r="Q926" s="6">
        <f ca="1">RANDBETWEEN(2,COUNTA('Recruitment source'!$A:$A))</f>
        <v>7</v>
      </c>
      <c r="R926" s="8" t="e">
        <f t="shared" ca="1" si="177"/>
        <v>#N/A</v>
      </c>
      <c r="S926" s="6" t="e">
        <f t="shared" ca="1" si="178"/>
        <v>#N/A</v>
      </c>
      <c r="T926" s="6">
        <f t="shared" ca="1" si="168"/>
        <v>5</v>
      </c>
      <c r="U926" s="1">
        <f t="shared" ca="1" si="179"/>
        <v>885</v>
      </c>
    </row>
    <row r="927" spans="1:21" x14ac:dyDescent="0.2">
      <c r="A927" s="7" cm="1">
        <f t="array" aca="1" ref="A927" ca="1">INDEX(Companies!$A:$A,RANDBETWEEN(2,COUNTA(Companies!$A:$A)),1)</f>
        <v>2</v>
      </c>
      <c r="B927" s="5">
        <f t="shared" si="169"/>
        <v>926</v>
      </c>
      <c r="C927" s="6">
        <f t="shared" ca="1" si="170"/>
        <v>1</v>
      </c>
      <c r="D927" s="7">
        <f ca="1">IF($B927 = 1 + N("Presidente"),
    127,
    IF($B927 = 2 + N("Vice-Presidente"),
        72,
        IF($B927 = 3 + N("Secretária bilíngue"),
            13,
            RANDBETWEEN(5,COUNT(Name!$A:$A) + 1)
        )
    )
)</f>
        <v>206</v>
      </c>
      <c r="E927" s="7" t="str">
        <f ca="1" xml:space="preserve">
VLOOKUP(
  $D927,
  Name!$A:$B,
  2,
  FALSE
)
&amp; " " &amp;
IF($B927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Kamilla Alvarenga Santana</v>
      </c>
      <c r="F927" s="7">
        <v>2</v>
      </c>
      <c r="G927" s="7" cm="1">
        <f t="array" aca="1" ref="G927" ca="1">INDEX(States!$B:$B,RANDBETWEEN(2,COUNTA(States!$A:$A)),1)</f>
        <v>7</v>
      </c>
      <c r="H927" s="7" t="str">
        <f ca="1">VLOOKUP($D927,Name!$A:$C,3,FALSE)</f>
        <v>F</v>
      </c>
      <c r="I927" s="7" cm="1">
        <f t="array" aca="1" ref="I927" ca="1">INDEX('Marital status'!$A:$A,RANDBETWEEN(2,COUNTA('Marital status'!$A:$A)),1)</f>
        <v>2</v>
      </c>
      <c r="J927" s="7">
        <f t="shared" ca="1" si="171"/>
        <v>2</v>
      </c>
      <c r="K927" s="8">
        <f t="shared" ca="1" si="172"/>
        <v>36204</v>
      </c>
      <c r="L927" s="6">
        <f t="shared" ca="1" si="173"/>
        <v>5</v>
      </c>
      <c r="M927" s="7">
        <f ca="1" xml:space="preserve">
  IF(OR($N927 = 2, $N927 = 3, $N927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927" s="6">
        <f t="shared" ca="1" si="174"/>
        <v>8</v>
      </c>
      <c r="O927" s="6">
        <f t="shared" ca="1" si="175"/>
        <v>3</v>
      </c>
      <c r="P927" s="8">
        <f t="shared" ca="1" si="176"/>
        <v>44425</v>
      </c>
      <c r="Q927" s="6">
        <f ca="1">RANDBETWEEN(2,COUNTA('Recruitment source'!$A:$A))</f>
        <v>6</v>
      </c>
      <c r="R927" s="8" t="e">
        <f t="shared" ca="1" si="177"/>
        <v>#N/A</v>
      </c>
      <c r="S927" s="6" t="e">
        <f t="shared" ca="1" si="178"/>
        <v>#N/A</v>
      </c>
      <c r="T927" s="6">
        <f t="shared" ca="1" si="168"/>
        <v>5</v>
      </c>
      <c r="U927" s="1">
        <f t="shared" ca="1" si="179"/>
        <v>2000</v>
      </c>
    </row>
    <row r="928" spans="1:21" x14ac:dyDescent="0.2">
      <c r="A928" s="7" cm="1">
        <f t="array" aca="1" ref="A928" ca="1">INDEX(Companies!$A:$A,RANDBETWEEN(2,COUNTA(Companies!$A:$A)),1)</f>
        <v>2</v>
      </c>
      <c r="B928" s="5">
        <f t="shared" si="169"/>
        <v>927</v>
      </c>
      <c r="C928" s="6">
        <f t="shared" ca="1" si="170"/>
        <v>1</v>
      </c>
      <c r="D928" s="7">
        <f ca="1">IF($B928 = 1 + N("Presidente"),
    127,
    IF($B928 = 2 + N("Vice-Presidente"),
        72,
        IF($B928 = 3 + N("Secretária bilíngue"),
            13,
            RANDBETWEEN(5,COUNT(Name!$A:$A) + 1)
        )
    )
)</f>
        <v>38</v>
      </c>
      <c r="E928" s="7" t="str">
        <f ca="1" xml:space="preserve">
VLOOKUP(
  $D928,
  Name!$A:$B,
  2,
  FALSE
)
&amp; " " &amp;
IF($B928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Analu Santos Frasão</v>
      </c>
      <c r="F928" s="7">
        <v>2</v>
      </c>
      <c r="G928" s="7" cm="1">
        <f t="array" aca="1" ref="G928" ca="1">INDEX(States!$B:$B,RANDBETWEEN(2,COUNTA(States!$A:$A)),1)</f>
        <v>2</v>
      </c>
      <c r="H928" s="7" t="str">
        <f ca="1">VLOOKUP($D928,Name!$A:$C,3,FALSE)</f>
        <v>F</v>
      </c>
      <c r="I928" s="7" cm="1">
        <f t="array" aca="1" ref="I928" ca="1">INDEX('Marital status'!$A:$A,RANDBETWEEN(2,COUNTA('Marital status'!$A:$A)),1)</f>
        <v>5</v>
      </c>
      <c r="J928" s="7">
        <f t="shared" ca="1" si="171"/>
        <v>2</v>
      </c>
      <c r="K928" s="8">
        <f t="shared" ca="1" si="172"/>
        <v>33896</v>
      </c>
      <c r="L928" s="6">
        <f t="shared" ca="1" si="173"/>
        <v>4</v>
      </c>
      <c r="M928" s="7">
        <f ca="1" xml:space="preserve">
  IF(OR($N928 = 2, $N928 = 3, $N928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928" s="6">
        <f t="shared" ca="1" si="174"/>
        <v>7</v>
      </c>
      <c r="O928" s="6" t="e">
        <f t="shared" ca="1" si="175"/>
        <v>#N/A</v>
      </c>
      <c r="P928" s="8">
        <f t="shared" ca="1" si="176"/>
        <v>43762</v>
      </c>
      <c r="Q928" s="6">
        <f ca="1">RANDBETWEEN(2,COUNTA('Recruitment source'!$A:$A))</f>
        <v>5</v>
      </c>
      <c r="R928" s="8" t="e">
        <f t="shared" ca="1" si="177"/>
        <v>#N/A</v>
      </c>
      <c r="S928" s="6" t="e">
        <f t="shared" ca="1" si="178"/>
        <v>#N/A</v>
      </c>
      <c r="T928" s="6">
        <f t="shared" ca="1" si="168"/>
        <v>4</v>
      </c>
      <c r="U928" s="1">
        <f t="shared" ca="1" si="179"/>
        <v>1005</v>
      </c>
    </row>
    <row r="929" spans="1:21" x14ac:dyDescent="0.2">
      <c r="A929" s="7" cm="1">
        <f t="array" aca="1" ref="A929" ca="1">INDEX(Companies!$A:$A,RANDBETWEEN(2,COUNTA(Companies!$A:$A)),1)</f>
        <v>2</v>
      </c>
      <c r="B929" s="5">
        <f t="shared" si="169"/>
        <v>928</v>
      </c>
      <c r="C929" s="6">
        <f t="shared" ca="1" si="170"/>
        <v>1</v>
      </c>
      <c r="D929" s="7">
        <f ca="1">IF($B929 = 1 + N("Presidente"),
    127,
    IF($B929 = 2 + N("Vice-Presidente"),
        72,
        IF($B929 = 3 + N("Secretária bilíngue"),
            13,
            RANDBETWEEN(5,COUNT(Name!$A:$A) + 1)
        )
    )
)</f>
        <v>139</v>
      </c>
      <c r="E929" s="7" t="str">
        <f ca="1" xml:space="preserve">
VLOOKUP(
  $D929,
  Name!$A:$B,
  2,
  FALSE
)
&amp; " " &amp;
IF($B929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Mariano Marques Zil</v>
      </c>
      <c r="F929" s="7">
        <v>2</v>
      </c>
      <c r="G929" s="7" cm="1">
        <f t="array" aca="1" ref="G929" ca="1">INDEX(States!$B:$B,RANDBETWEEN(2,COUNTA(States!$A:$A)),1)</f>
        <v>3</v>
      </c>
      <c r="H929" s="7" t="str">
        <f ca="1">VLOOKUP($D929,Name!$A:$C,3,FALSE)</f>
        <v>M</v>
      </c>
      <c r="I929" s="7" cm="1">
        <f t="array" aca="1" ref="I929" ca="1">INDEX('Marital status'!$A:$A,RANDBETWEEN(2,COUNTA('Marital status'!$A:$A)),1)</f>
        <v>4</v>
      </c>
      <c r="J929" s="7">
        <f t="shared" ca="1" si="171"/>
        <v>2</v>
      </c>
      <c r="K929" s="8">
        <f t="shared" ca="1" si="172"/>
        <v>36159</v>
      </c>
      <c r="L929" s="6">
        <f t="shared" ca="1" si="173"/>
        <v>4</v>
      </c>
      <c r="M929" s="7">
        <f ca="1" xml:space="preserve">
  IF(OR($N929 = 2, $N929 = 3, $N929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929" s="6">
        <f t="shared" ca="1" si="174"/>
        <v>8</v>
      </c>
      <c r="O929" s="6">
        <f t="shared" ca="1" si="175"/>
        <v>3</v>
      </c>
      <c r="P929" s="8">
        <f t="shared" ca="1" si="176"/>
        <v>41126</v>
      </c>
      <c r="Q929" s="6">
        <f ca="1">RANDBETWEEN(2,COUNTA('Recruitment source'!$A:$A))</f>
        <v>4</v>
      </c>
      <c r="R929" s="8" t="e">
        <f t="shared" ca="1" si="177"/>
        <v>#N/A</v>
      </c>
      <c r="S929" s="6" t="e">
        <f t="shared" ca="1" si="178"/>
        <v>#N/A</v>
      </c>
      <c r="T929" s="6">
        <f t="shared" ca="1" si="168"/>
        <v>3</v>
      </c>
      <c r="U929" s="1">
        <f t="shared" ca="1" si="179"/>
        <v>2100</v>
      </c>
    </row>
    <row r="930" spans="1:21" x14ac:dyDescent="0.2">
      <c r="A930" s="7" cm="1">
        <f t="array" aca="1" ref="A930" ca="1">INDEX(Companies!$A:$A,RANDBETWEEN(2,COUNTA(Companies!$A:$A)),1)</f>
        <v>2</v>
      </c>
      <c r="B930" s="5">
        <f t="shared" si="169"/>
        <v>929</v>
      </c>
      <c r="C930" s="6">
        <f t="shared" ca="1" si="170"/>
        <v>1</v>
      </c>
      <c r="D930" s="7">
        <f ca="1">IF($B930 = 1 + N("Presidente"),
    127,
    IF($B930 = 2 + N("Vice-Presidente"),
        72,
        IF($B930 = 3 + N("Secretária bilíngue"),
            13,
            RANDBETWEEN(5,COUNT(Name!$A:$A) + 1)
        )
    )
)</f>
        <v>154</v>
      </c>
      <c r="E930" s="7" t="str">
        <f ca="1" xml:space="preserve">
VLOOKUP(
  $D930,
  Name!$A:$B,
  2,
  FALSE
)
&amp; " " &amp;
IF($B930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Giovanna Auth Mancini</v>
      </c>
      <c r="F930" s="7">
        <v>2</v>
      </c>
      <c r="G930" s="7" cm="1">
        <f t="array" aca="1" ref="G930" ca="1">INDEX(States!$B:$B,RANDBETWEEN(2,COUNTA(States!$A:$A)),1)</f>
        <v>10</v>
      </c>
      <c r="H930" s="7" t="str">
        <f ca="1">VLOOKUP($D930,Name!$A:$C,3,FALSE)</f>
        <v>F</v>
      </c>
      <c r="I930" s="7" cm="1">
        <f t="array" aca="1" ref="I930" ca="1">INDEX('Marital status'!$A:$A,RANDBETWEEN(2,COUNTA('Marital status'!$A:$A)),1)</f>
        <v>3</v>
      </c>
      <c r="J930" s="7">
        <f t="shared" ca="1" si="171"/>
        <v>2</v>
      </c>
      <c r="K930" s="8">
        <f t="shared" ca="1" si="172"/>
        <v>28967</v>
      </c>
      <c r="L930" s="6">
        <f t="shared" ca="1" si="173"/>
        <v>4</v>
      </c>
      <c r="M930" s="7">
        <f ca="1" xml:space="preserve">
  IF(OR($N930 = 2, $N930 = 3, $N930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930" s="6">
        <f t="shared" ca="1" si="174"/>
        <v>7</v>
      </c>
      <c r="O930" s="6" t="e">
        <f t="shared" ca="1" si="175"/>
        <v>#N/A</v>
      </c>
      <c r="P930" s="8">
        <f t="shared" ca="1" si="176"/>
        <v>41143</v>
      </c>
      <c r="Q930" s="6">
        <f ca="1">RANDBETWEEN(2,COUNTA('Recruitment source'!$A:$A))</f>
        <v>9</v>
      </c>
      <c r="R930" s="8" t="e">
        <f t="shared" ca="1" si="177"/>
        <v>#N/A</v>
      </c>
      <c r="S930" s="6" t="e">
        <f t="shared" ca="1" si="178"/>
        <v>#N/A</v>
      </c>
      <c r="T930" s="6">
        <f t="shared" ca="1" si="168"/>
        <v>5</v>
      </c>
      <c r="U930" s="1">
        <f t="shared" ca="1" si="179"/>
        <v>1085</v>
      </c>
    </row>
    <row r="931" spans="1:21" x14ac:dyDescent="0.2">
      <c r="A931" s="7" cm="1">
        <f t="array" aca="1" ref="A931" ca="1">INDEX(Companies!$A:$A,RANDBETWEEN(2,COUNTA(Companies!$A:$A)),1)</f>
        <v>2</v>
      </c>
      <c r="B931" s="5">
        <f t="shared" si="169"/>
        <v>930</v>
      </c>
      <c r="C931" s="6">
        <f t="shared" ca="1" si="170"/>
        <v>1</v>
      </c>
      <c r="D931" s="7">
        <f ca="1">IF($B931 = 1 + N("Presidente"),
    127,
    IF($B931 = 2 + N("Vice-Presidente"),
        72,
        IF($B931 = 3 + N("Secretária bilíngue"),
            13,
            RANDBETWEEN(5,COUNT(Name!$A:$A) + 1)
        )
    )
)</f>
        <v>173</v>
      </c>
      <c r="E931" s="7" t="str">
        <f ca="1" xml:space="preserve">
VLOOKUP(
  $D931,
  Name!$A:$B,
  2,
  FALSE
)
&amp; " " &amp;
IF($B931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Isaac Sousa Junqueira</v>
      </c>
      <c r="F931" s="7">
        <v>2</v>
      </c>
      <c r="G931" s="7" cm="1">
        <f t="array" aca="1" ref="G931" ca="1">INDEX(States!$B:$B,RANDBETWEEN(2,COUNTA(States!$A:$A)),1)</f>
        <v>12</v>
      </c>
      <c r="H931" s="7" t="str">
        <f ca="1">VLOOKUP($D931,Name!$A:$C,3,FALSE)</f>
        <v>M</v>
      </c>
      <c r="I931" s="7" cm="1">
        <f t="array" aca="1" ref="I931" ca="1">INDEX('Marital status'!$A:$A,RANDBETWEEN(2,COUNTA('Marital status'!$A:$A)),1)</f>
        <v>2</v>
      </c>
      <c r="J931" s="7">
        <f t="shared" ca="1" si="171"/>
        <v>5</v>
      </c>
      <c r="K931" s="8">
        <f t="shared" ca="1" si="172"/>
        <v>34157</v>
      </c>
      <c r="L931" s="6">
        <f t="shared" ca="1" si="173"/>
        <v>4</v>
      </c>
      <c r="M931" s="7">
        <f ca="1" xml:space="preserve">
  IF(OR($N931 = 2, $N931 = 3, $N931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931" s="6">
        <f t="shared" ca="1" si="174"/>
        <v>8</v>
      </c>
      <c r="O931" s="6">
        <f t="shared" ca="1" si="175"/>
        <v>3</v>
      </c>
      <c r="P931" s="8">
        <f t="shared" ca="1" si="176"/>
        <v>40420</v>
      </c>
      <c r="Q931" s="6">
        <f ca="1">RANDBETWEEN(2,COUNTA('Recruitment source'!$A:$A))</f>
        <v>10</v>
      </c>
      <c r="R931" s="8" t="e">
        <f t="shared" ca="1" si="177"/>
        <v>#N/A</v>
      </c>
      <c r="S931" s="6" t="e">
        <f t="shared" ca="1" si="178"/>
        <v>#N/A</v>
      </c>
      <c r="T931" s="6">
        <f t="shared" ca="1" si="168"/>
        <v>3</v>
      </c>
      <c r="U931" s="1">
        <f t="shared" ca="1" si="179"/>
        <v>2080</v>
      </c>
    </row>
    <row r="932" spans="1:21" x14ac:dyDescent="0.2">
      <c r="A932" s="7" cm="1">
        <f t="array" aca="1" ref="A932" ca="1">INDEX(Companies!$A:$A,RANDBETWEEN(2,COUNTA(Companies!$A:$A)),1)</f>
        <v>2</v>
      </c>
      <c r="B932" s="5">
        <f t="shared" si="169"/>
        <v>931</v>
      </c>
      <c r="C932" s="6">
        <f t="shared" ca="1" si="170"/>
        <v>1</v>
      </c>
      <c r="D932" s="7">
        <f ca="1">IF($B932 = 1 + N("Presidente"),
    127,
    IF($B932 = 2 + N("Vice-Presidente"),
        72,
        IF($B932 = 3 + N("Secretária bilíngue"),
            13,
            RANDBETWEEN(5,COUNT(Name!$A:$A) + 1)
        )
    )
)</f>
        <v>125</v>
      </c>
      <c r="E932" s="7" t="str">
        <f ca="1" xml:space="preserve">
VLOOKUP(
  $D932,
  Name!$A:$B,
  2,
  FALSE
)
&amp; " " &amp;
IF($B932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Emmanuel Conti Poeta</v>
      </c>
      <c r="F932" s="7">
        <v>2</v>
      </c>
      <c r="G932" s="7" cm="1">
        <f t="array" aca="1" ref="G932" ca="1">INDEX(States!$B:$B,RANDBETWEEN(2,COUNTA(States!$A:$A)),1)</f>
        <v>3</v>
      </c>
      <c r="H932" s="7" t="str">
        <f ca="1">VLOOKUP($D932,Name!$A:$C,3,FALSE)</f>
        <v>M</v>
      </c>
      <c r="I932" s="7" cm="1">
        <f t="array" aca="1" ref="I932" ca="1">INDEX('Marital status'!$A:$A,RANDBETWEEN(2,COUNTA('Marital status'!$A:$A)),1)</f>
        <v>5</v>
      </c>
      <c r="J932" s="7">
        <f t="shared" ca="1" si="171"/>
        <v>2</v>
      </c>
      <c r="K932" s="8">
        <f t="shared" ca="1" si="172"/>
        <v>34873</v>
      </c>
      <c r="L932" s="6">
        <f t="shared" ca="1" si="173"/>
        <v>4</v>
      </c>
      <c r="M932" s="7">
        <f ca="1" xml:space="preserve">
  IF(OR($N932 = 2, $N932 = 3, $N932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932" s="6">
        <f t="shared" ca="1" si="174"/>
        <v>7</v>
      </c>
      <c r="O932" s="6" t="e">
        <f t="shared" ca="1" si="175"/>
        <v>#N/A</v>
      </c>
      <c r="P932" s="8">
        <f t="shared" ca="1" si="176"/>
        <v>43462</v>
      </c>
      <c r="Q932" s="6">
        <f ca="1">RANDBETWEEN(2,COUNTA('Recruitment source'!$A:$A))</f>
        <v>11</v>
      </c>
      <c r="R932" s="8" t="e">
        <f t="shared" ca="1" si="177"/>
        <v>#N/A</v>
      </c>
      <c r="S932" s="6" t="e">
        <f t="shared" ca="1" si="178"/>
        <v>#N/A</v>
      </c>
      <c r="T932" s="6">
        <f t="shared" ca="1" si="168"/>
        <v>3</v>
      </c>
      <c r="U932" s="1">
        <f t="shared" ca="1" si="179"/>
        <v>1005</v>
      </c>
    </row>
    <row r="933" spans="1:21" x14ac:dyDescent="0.2">
      <c r="A933" s="7" cm="1">
        <f t="array" aca="1" ref="A933" ca="1">INDEX(Companies!$A:$A,RANDBETWEEN(2,COUNTA(Companies!$A:$A)),1)</f>
        <v>2</v>
      </c>
      <c r="B933" s="5">
        <f t="shared" si="169"/>
        <v>932</v>
      </c>
      <c r="C933" s="6">
        <f t="shared" ca="1" si="170"/>
        <v>1</v>
      </c>
      <c r="D933" s="7">
        <f ca="1">IF($B933 = 1 + N("Presidente"),
    127,
    IF($B933 = 2 + N("Vice-Presidente"),
        72,
        IF($B933 = 3 + N("Secretária bilíngue"),
            13,
            RANDBETWEEN(5,COUNT(Name!$A:$A) + 1)
        )
    )
)</f>
        <v>258</v>
      </c>
      <c r="E933" s="7" t="str">
        <f ca="1" xml:space="preserve">
VLOOKUP(
  $D933,
  Name!$A:$B,
  2,
  FALSE
)
&amp; " " &amp;
IF($B933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Alice Gomes Araújo</v>
      </c>
      <c r="F933" s="7">
        <v>2</v>
      </c>
      <c r="G933" s="7" cm="1">
        <f t="array" aca="1" ref="G933" ca="1">INDEX(States!$B:$B,RANDBETWEEN(2,COUNTA(States!$A:$A)),1)</f>
        <v>16</v>
      </c>
      <c r="H933" s="7" t="str">
        <f ca="1">VLOOKUP($D933,Name!$A:$C,3,FALSE)</f>
        <v>F</v>
      </c>
      <c r="I933" s="7" cm="1">
        <f t="array" aca="1" ref="I933" ca="1">INDEX('Marital status'!$A:$A,RANDBETWEEN(2,COUNTA('Marital status'!$A:$A)),1)</f>
        <v>2</v>
      </c>
      <c r="J933" s="7">
        <f t="shared" ca="1" si="171"/>
        <v>2</v>
      </c>
      <c r="K933" s="8">
        <f t="shared" ca="1" si="172"/>
        <v>35247</v>
      </c>
      <c r="L933" s="6">
        <f t="shared" ca="1" si="173"/>
        <v>4</v>
      </c>
      <c r="M933" s="7">
        <f ca="1" xml:space="preserve">
  IF(OR($N933 = 2, $N933 = 3, $N933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933" s="6">
        <f t="shared" ca="1" si="174"/>
        <v>8</v>
      </c>
      <c r="O933" s="6">
        <f t="shared" ca="1" si="175"/>
        <v>4</v>
      </c>
      <c r="P933" s="8">
        <f t="shared" ca="1" si="176"/>
        <v>44179</v>
      </c>
      <c r="Q933" s="6">
        <f ca="1">RANDBETWEEN(2,COUNTA('Recruitment source'!$A:$A))</f>
        <v>8</v>
      </c>
      <c r="R933" s="8" t="e">
        <f t="shared" ca="1" si="177"/>
        <v>#N/A</v>
      </c>
      <c r="S933" s="6" t="e">
        <f t="shared" ca="1" si="178"/>
        <v>#N/A</v>
      </c>
      <c r="T933" s="6">
        <f t="shared" ca="1" si="168"/>
        <v>5</v>
      </c>
      <c r="U933" s="1">
        <f t="shared" ca="1" si="179"/>
        <v>2000</v>
      </c>
    </row>
    <row r="934" spans="1:21" x14ac:dyDescent="0.2">
      <c r="A934" s="7" cm="1">
        <f t="array" aca="1" ref="A934" ca="1">INDEX(Companies!$A:$A,RANDBETWEEN(2,COUNTA(Companies!$A:$A)),1)</f>
        <v>2</v>
      </c>
      <c r="B934" s="5">
        <f t="shared" si="169"/>
        <v>933</v>
      </c>
      <c r="C934" s="6">
        <f t="shared" ca="1" si="170"/>
        <v>1</v>
      </c>
      <c r="D934" s="7">
        <f ca="1">IF($B934 = 1 + N("Presidente"),
    127,
    IF($B934 = 2 + N("Vice-Presidente"),
        72,
        IF($B934 = 3 + N("Secretária bilíngue"),
            13,
            RANDBETWEEN(5,COUNT(Name!$A:$A) + 1)
        )
    )
)</f>
        <v>273</v>
      </c>
      <c r="E934" s="7" t="str">
        <f ca="1" xml:space="preserve">
VLOOKUP(
  $D934,
  Name!$A:$B,
  2,
  FALSE
)
&amp; " " &amp;
IF($B934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Sophia Zil Barreto</v>
      </c>
      <c r="F934" s="7">
        <v>2</v>
      </c>
      <c r="G934" s="7" cm="1">
        <f t="array" aca="1" ref="G934" ca="1">INDEX(States!$B:$B,RANDBETWEEN(2,COUNTA(States!$A:$A)),1)</f>
        <v>3</v>
      </c>
      <c r="H934" s="7" t="str">
        <f ca="1">VLOOKUP($D934,Name!$A:$C,3,FALSE)</f>
        <v>F</v>
      </c>
      <c r="I934" s="7" cm="1">
        <f t="array" aca="1" ref="I934" ca="1">INDEX('Marital status'!$A:$A,RANDBETWEEN(2,COUNTA('Marital status'!$A:$A)),1)</f>
        <v>6</v>
      </c>
      <c r="J934" s="7">
        <f t="shared" ca="1" si="171"/>
        <v>2</v>
      </c>
      <c r="K934" s="8">
        <f t="shared" ca="1" si="172"/>
        <v>34664</v>
      </c>
      <c r="L934" s="6">
        <f t="shared" ca="1" si="173"/>
        <v>4</v>
      </c>
      <c r="M934" s="7">
        <f ca="1" xml:space="preserve">
  IF(OR($N934 = 2, $N934 = 3, $N934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934" s="6">
        <f t="shared" ca="1" si="174"/>
        <v>7</v>
      </c>
      <c r="O934" s="6" t="e">
        <f t="shared" ca="1" si="175"/>
        <v>#N/A</v>
      </c>
      <c r="P934" s="8">
        <f t="shared" ca="1" si="176"/>
        <v>37890</v>
      </c>
      <c r="Q934" s="6">
        <f ca="1">RANDBETWEEN(2,COUNTA('Recruitment source'!$A:$A))</f>
        <v>7</v>
      </c>
      <c r="R934" s="8" t="e">
        <f t="shared" ca="1" si="177"/>
        <v>#N/A</v>
      </c>
      <c r="S934" s="6" t="e">
        <f t="shared" ca="1" si="178"/>
        <v>#N/A</v>
      </c>
      <c r="T934" s="6">
        <f t="shared" ca="1" si="168"/>
        <v>4</v>
      </c>
      <c r="U934" s="1">
        <f t="shared" ca="1" si="179"/>
        <v>1005</v>
      </c>
    </row>
    <row r="935" spans="1:21" x14ac:dyDescent="0.2">
      <c r="A935" s="7" cm="1">
        <f t="array" aca="1" ref="A935" ca="1">INDEX(Companies!$A:$A,RANDBETWEEN(2,COUNTA(Companies!$A:$A)),1)</f>
        <v>2</v>
      </c>
      <c r="B935" s="5">
        <f t="shared" si="169"/>
        <v>934</v>
      </c>
      <c r="C935" s="6">
        <f t="shared" ca="1" si="170"/>
        <v>1</v>
      </c>
      <c r="D935" s="7">
        <f ca="1">IF($B935 = 1 + N("Presidente"),
    127,
    IF($B935 = 2 + N("Vice-Presidente"),
        72,
        IF($B935 = 3 + N("Secretária bilíngue"),
            13,
            RANDBETWEEN(5,COUNT(Name!$A:$A) + 1)
        )
    )
)</f>
        <v>139</v>
      </c>
      <c r="E935" s="7" t="str">
        <f ca="1" xml:space="preserve">
VLOOKUP(
  $D935,
  Name!$A:$B,
  2,
  FALSE
)
&amp; " " &amp;
IF($B935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Mariano Holanda Resende</v>
      </c>
      <c r="F935" s="7">
        <v>2</v>
      </c>
      <c r="G935" s="7" cm="1">
        <f t="array" aca="1" ref="G935" ca="1">INDEX(States!$B:$B,RANDBETWEEN(2,COUNTA(States!$A:$A)),1)</f>
        <v>16</v>
      </c>
      <c r="H935" s="7" t="str">
        <f ca="1">VLOOKUP($D935,Name!$A:$C,3,FALSE)</f>
        <v>M</v>
      </c>
      <c r="I935" s="7" cm="1">
        <f t="array" aca="1" ref="I935" ca="1">INDEX('Marital status'!$A:$A,RANDBETWEEN(2,COUNTA('Marital status'!$A:$A)),1)</f>
        <v>6</v>
      </c>
      <c r="J935" s="7">
        <f t="shared" ca="1" si="171"/>
        <v>4</v>
      </c>
      <c r="K935" s="8">
        <f t="shared" ca="1" si="172"/>
        <v>32772</v>
      </c>
      <c r="L935" s="6">
        <f t="shared" ca="1" si="173"/>
        <v>5</v>
      </c>
      <c r="M935" s="7">
        <f ca="1" xml:space="preserve">
  IF(OR($N935 = 2, $N935 = 3, $N935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935" s="6">
        <f t="shared" ca="1" si="174"/>
        <v>8</v>
      </c>
      <c r="O935" s="6">
        <f t="shared" ca="1" si="175"/>
        <v>2</v>
      </c>
      <c r="P935" s="8">
        <f t="shared" ca="1" si="176"/>
        <v>41117</v>
      </c>
      <c r="Q935" s="6">
        <f ca="1">RANDBETWEEN(2,COUNTA('Recruitment source'!$A:$A))</f>
        <v>4</v>
      </c>
      <c r="R935" s="8" t="e">
        <f t="shared" ca="1" si="177"/>
        <v>#N/A</v>
      </c>
      <c r="S935" s="6" t="e">
        <f t="shared" ca="1" si="178"/>
        <v>#N/A</v>
      </c>
      <c r="T935" s="6">
        <f t="shared" ca="1" si="168"/>
        <v>4</v>
      </c>
      <c r="U935" s="1">
        <f t="shared" ca="1" si="179"/>
        <v>2080</v>
      </c>
    </row>
    <row r="936" spans="1:21" x14ac:dyDescent="0.2">
      <c r="A936" s="7" cm="1">
        <f t="array" aca="1" ref="A936" ca="1">INDEX(Companies!$A:$A,RANDBETWEEN(2,COUNTA(Companies!$A:$A)),1)</f>
        <v>2</v>
      </c>
      <c r="B936" s="5">
        <f t="shared" si="169"/>
        <v>935</v>
      </c>
      <c r="C936" s="6">
        <f t="shared" ca="1" si="170"/>
        <v>1</v>
      </c>
      <c r="D936" s="7">
        <f ca="1">IF($B936 = 1 + N("Presidente"),
    127,
    IF($B936 = 2 + N("Vice-Presidente"),
        72,
        IF($B936 = 3 + N("Secretária bilíngue"),
            13,
            RANDBETWEEN(5,COUNT(Name!$A:$A) + 1)
        )
    )
)</f>
        <v>213</v>
      </c>
      <c r="E936" s="7" t="str">
        <f ca="1" xml:space="preserve">
VLOOKUP(
  $D936,
  Name!$A:$B,
  2,
  FALSE
)
&amp; " " &amp;
IF($B936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Kelvin Costatini Camargo</v>
      </c>
      <c r="F936" s="7">
        <v>2</v>
      </c>
      <c r="G936" s="7" cm="1">
        <f t="array" aca="1" ref="G936" ca="1">INDEX(States!$B:$B,RANDBETWEEN(2,COUNTA(States!$A:$A)),1)</f>
        <v>10</v>
      </c>
      <c r="H936" s="7" t="str">
        <f ca="1">VLOOKUP($D936,Name!$A:$C,3,FALSE)</f>
        <v>M</v>
      </c>
      <c r="I936" s="7" cm="1">
        <f t="array" aca="1" ref="I936" ca="1">INDEX('Marital status'!$A:$A,RANDBETWEEN(2,COUNTA('Marital status'!$A:$A)),1)</f>
        <v>4</v>
      </c>
      <c r="J936" s="7">
        <f t="shared" ca="1" si="171"/>
        <v>2</v>
      </c>
      <c r="K936" s="8">
        <f t="shared" ca="1" si="172"/>
        <v>34083</v>
      </c>
      <c r="L936" s="6">
        <f t="shared" ca="1" si="173"/>
        <v>4</v>
      </c>
      <c r="M936" s="7">
        <f ca="1" xml:space="preserve">
  IF(OR($N936 = 2, $N936 = 3, $N936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936" s="6">
        <f t="shared" ca="1" si="174"/>
        <v>7</v>
      </c>
      <c r="O936" s="6" t="e">
        <f t="shared" ca="1" si="175"/>
        <v>#N/A</v>
      </c>
      <c r="P936" s="8">
        <f t="shared" ca="1" si="176"/>
        <v>38399</v>
      </c>
      <c r="Q936" s="6">
        <f ca="1">RANDBETWEEN(2,COUNTA('Recruitment source'!$A:$A))</f>
        <v>6</v>
      </c>
      <c r="R936" s="8" t="e">
        <f t="shared" ca="1" si="177"/>
        <v>#N/A</v>
      </c>
      <c r="S936" s="6" t="e">
        <f t="shared" ca="1" si="178"/>
        <v>#N/A</v>
      </c>
      <c r="T936" s="6">
        <f t="shared" ca="1" si="168"/>
        <v>3</v>
      </c>
      <c r="U936" s="1">
        <f t="shared" ca="1" si="179"/>
        <v>1005</v>
      </c>
    </row>
    <row r="937" spans="1:21" x14ac:dyDescent="0.2">
      <c r="A937" s="7" cm="1">
        <f t="array" aca="1" ref="A937" ca="1">INDEX(Companies!$A:$A,RANDBETWEEN(2,COUNTA(Companies!$A:$A)),1)</f>
        <v>2</v>
      </c>
      <c r="B937" s="5">
        <f t="shared" si="169"/>
        <v>936</v>
      </c>
      <c r="C937" s="6">
        <f t="shared" ca="1" si="170"/>
        <v>1</v>
      </c>
      <c r="D937" s="7">
        <f ca="1">IF($B937 = 1 + N("Presidente"),
    127,
    IF($B937 = 2 + N("Vice-Presidente"),
        72,
        IF($B937 = 3 + N("Secretária bilíngue"),
            13,
            RANDBETWEEN(5,COUNT(Name!$A:$A) + 1)
        )
    )
)</f>
        <v>231</v>
      </c>
      <c r="E937" s="7" t="str">
        <f ca="1" xml:space="preserve">
VLOOKUP(
  $D937,
  Name!$A:$B,
  2,
  FALSE
)
&amp; " " &amp;
IF($B937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Lorenna Moreira Barros</v>
      </c>
      <c r="F937" s="7">
        <v>2</v>
      </c>
      <c r="G937" s="7" cm="1">
        <f t="array" aca="1" ref="G937" ca="1">INDEX(States!$B:$B,RANDBETWEEN(2,COUNTA(States!$A:$A)),1)</f>
        <v>20</v>
      </c>
      <c r="H937" s="7" t="str">
        <f ca="1">VLOOKUP($D937,Name!$A:$C,3,FALSE)</f>
        <v>F</v>
      </c>
      <c r="I937" s="7" cm="1">
        <f t="array" aca="1" ref="I937" ca="1">INDEX('Marital status'!$A:$A,RANDBETWEEN(2,COUNTA('Marital status'!$A:$A)),1)</f>
        <v>2</v>
      </c>
      <c r="J937" s="7">
        <f t="shared" ca="1" si="171"/>
        <v>2</v>
      </c>
      <c r="K937" s="8">
        <f t="shared" ca="1" si="172"/>
        <v>32426</v>
      </c>
      <c r="L937" s="6">
        <f t="shared" ca="1" si="173"/>
        <v>4</v>
      </c>
      <c r="M937" s="7">
        <f ca="1" xml:space="preserve">
  IF(OR($N937 = 2, $N937 = 3, $N937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937" s="6">
        <f t="shared" ca="1" si="174"/>
        <v>8</v>
      </c>
      <c r="O937" s="6">
        <f t="shared" ca="1" si="175"/>
        <v>2</v>
      </c>
      <c r="P937" s="8">
        <f t="shared" ca="1" si="176"/>
        <v>40619</v>
      </c>
      <c r="Q937" s="6">
        <f ca="1">RANDBETWEEN(2,COUNTA('Recruitment source'!$A:$A))</f>
        <v>8</v>
      </c>
      <c r="R937" s="8" t="e">
        <f t="shared" ca="1" si="177"/>
        <v>#N/A</v>
      </c>
      <c r="S937" s="6" t="e">
        <f t="shared" ca="1" si="178"/>
        <v>#N/A</v>
      </c>
      <c r="T937" s="6">
        <f t="shared" ca="1" si="168"/>
        <v>2</v>
      </c>
      <c r="U937" s="1">
        <f t="shared" ca="1" si="179"/>
        <v>2050</v>
      </c>
    </row>
    <row r="938" spans="1:21" x14ac:dyDescent="0.2">
      <c r="A938" s="7" cm="1">
        <f t="array" aca="1" ref="A938" ca="1">INDEX(Companies!$A:$A,RANDBETWEEN(2,COUNTA(Companies!$A:$A)),1)</f>
        <v>2</v>
      </c>
      <c r="B938" s="5">
        <f t="shared" si="169"/>
        <v>937</v>
      </c>
      <c r="C938" s="6">
        <f t="shared" ca="1" si="170"/>
        <v>1</v>
      </c>
      <c r="D938" s="7">
        <f ca="1">IF($B938 = 1 + N("Presidente"),
    127,
    IF($B938 = 2 + N("Vice-Presidente"),
        72,
        IF($B938 = 3 + N("Secretária bilíngue"),
            13,
            RANDBETWEEN(5,COUNT(Name!$A:$A) + 1)
        )
    )
)</f>
        <v>321</v>
      </c>
      <c r="E938" s="7" t="str">
        <f ca="1" xml:space="preserve">
VLOOKUP(
  $D938,
  Name!$A:$B,
  2,
  FALSE
)
&amp; " " &amp;
IF($B938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Pietra Lima Conti</v>
      </c>
      <c r="F938" s="7">
        <v>2</v>
      </c>
      <c r="G938" s="7" cm="1">
        <f t="array" aca="1" ref="G938" ca="1">INDEX(States!$B:$B,RANDBETWEEN(2,COUNTA(States!$A:$A)),1)</f>
        <v>20</v>
      </c>
      <c r="H938" s="7" t="str">
        <f ca="1">VLOOKUP($D938,Name!$A:$C,3,FALSE)</f>
        <v>F</v>
      </c>
      <c r="I938" s="7" cm="1">
        <f t="array" aca="1" ref="I938" ca="1">INDEX('Marital status'!$A:$A,RANDBETWEEN(2,COUNTA('Marital status'!$A:$A)),1)</f>
        <v>3</v>
      </c>
      <c r="J938" s="7">
        <f t="shared" ca="1" si="171"/>
        <v>3</v>
      </c>
      <c r="K938" s="8">
        <f t="shared" ca="1" si="172"/>
        <v>31679</v>
      </c>
      <c r="L938" s="6">
        <f t="shared" ca="1" si="173"/>
        <v>4</v>
      </c>
      <c r="M938" s="7">
        <f ca="1" xml:space="preserve">
  IF(OR($N938 = 2, $N938 = 3, $N938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938" s="6">
        <f t="shared" ca="1" si="174"/>
        <v>6</v>
      </c>
      <c r="O938" s="6" t="e">
        <f t="shared" ca="1" si="175"/>
        <v>#N/A</v>
      </c>
      <c r="P938" s="8">
        <f t="shared" ca="1" si="176"/>
        <v>42164</v>
      </c>
      <c r="Q938" s="6">
        <f ca="1">RANDBETWEEN(2,COUNTA('Recruitment source'!$A:$A))</f>
        <v>6</v>
      </c>
      <c r="R938" s="8" t="e">
        <f t="shared" ca="1" si="177"/>
        <v>#N/A</v>
      </c>
      <c r="S938" s="6" t="e">
        <f t="shared" ca="1" si="178"/>
        <v>#N/A</v>
      </c>
      <c r="T938" s="6">
        <f t="shared" ca="1" si="168"/>
        <v>5</v>
      </c>
      <c r="U938" s="1">
        <f t="shared" ca="1" si="179"/>
        <v>805</v>
      </c>
    </row>
    <row r="939" spans="1:21" x14ac:dyDescent="0.2">
      <c r="A939" s="7" cm="1">
        <f t="array" aca="1" ref="A939" ca="1">INDEX(Companies!$A:$A,RANDBETWEEN(2,COUNTA(Companies!$A:$A)),1)</f>
        <v>2</v>
      </c>
      <c r="B939" s="5">
        <f t="shared" si="169"/>
        <v>938</v>
      </c>
      <c r="C939" s="6">
        <f t="shared" ca="1" si="170"/>
        <v>1</v>
      </c>
      <c r="D939" s="7">
        <f ca="1">IF($B939 = 1 + N("Presidente"),
    127,
    IF($B939 = 2 + N("Vice-Presidente"),
        72,
        IF($B939 = 3 + N("Secretária bilíngue"),
            13,
            RANDBETWEEN(5,COUNT(Name!$A:$A) + 1)
        )
    )
)</f>
        <v>210</v>
      </c>
      <c r="E939" s="7" t="str">
        <f ca="1" xml:space="preserve">
VLOOKUP(
  $D939,
  Name!$A:$B,
  2,
  FALSE
)
&amp; " " &amp;
IF($B939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Kauã Ramos Barbosa</v>
      </c>
      <c r="F939" s="7">
        <v>2</v>
      </c>
      <c r="G939" s="7" cm="1">
        <f t="array" aca="1" ref="G939" ca="1">INDEX(States!$B:$B,RANDBETWEEN(2,COUNTA(States!$A:$A)),1)</f>
        <v>18</v>
      </c>
      <c r="H939" s="7" t="str">
        <f ca="1">VLOOKUP($D939,Name!$A:$C,3,FALSE)</f>
        <v>M</v>
      </c>
      <c r="I939" s="7" cm="1">
        <f t="array" aca="1" ref="I939" ca="1">INDEX('Marital status'!$A:$A,RANDBETWEEN(2,COUNTA('Marital status'!$A:$A)),1)</f>
        <v>2</v>
      </c>
      <c r="J939" s="7">
        <f t="shared" ca="1" si="171"/>
        <v>2</v>
      </c>
      <c r="K939" s="8">
        <f t="shared" ca="1" si="172"/>
        <v>33991</v>
      </c>
      <c r="L939" s="6">
        <f t="shared" ca="1" si="173"/>
        <v>4</v>
      </c>
      <c r="M939" s="7">
        <f ca="1" xml:space="preserve">
  IF(OR($N939 = 2, $N939 = 3, $N939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939" s="6">
        <f t="shared" ca="1" si="174"/>
        <v>8</v>
      </c>
      <c r="O939" s="6">
        <f t="shared" ca="1" si="175"/>
        <v>4</v>
      </c>
      <c r="P939" s="8">
        <f t="shared" ca="1" si="176"/>
        <v>42401</v>
      </c>
      <c r="Q939" s="6">
        <f ca="1">RANDBETWEEN(2,COUNTA('Recruitment source'!$A:$A))</f>
        <v>11</v>
      </c>
      <c r="R939" s="8" t="e">
        <f t="shared" ca="1" si="177"/>
        <v>#N/A</v>
      </c>
      <c r="S939" s="6" t="e">
        <f t="shared" ca="1" si="178"/>
        <v>#N/A</v>
      </c>
      <c r="T939" s="6">
        <f t="shared" ca="1" si="168"/>
        <v>4</v>
      </c>
      <c r="U939" s="1">
        <f t="shared" ca="1" si="179"/>
        <v>2000</v>
      </c>
    </row>
    <row r="940" spans="1:21" x14ac:dyDescent="0.2">
      <c r="A940" s="7" cm="1">
        <f t="array" aca="1" ref="A940" ca="1">INDEX(Companies!$A:$A,RANDBETWEEN(2,COUNTA(Companies!$A:$A)),1)</f>
        <v>2</v>
      </c>
      <c r="B940" s="5">
        <f t="shared" si="169"/>
        <v>939</v>
      </c>
      <c r="C940" s="6">
        <f t="shared" ca="1" si="170"/>
        <v>1</v>
      </c>
      <c r="D940" s="7">
        <f ca="1">IF($B940 = 1 + N("Presidente"),
    127,
    IF($B940 = 2 + N("Vice-Presidente"),
        72,
        IF($B940 = 3 + N("Secretária bilíngue"),
            13,
            RANDBETWEEN(5,COUNT(Name!$A:$A) + 1)
        )
    )
)</f>
        <v>117</v>
      </c>
      <c r="E940" s="7" t="str">
        <f ca="1" xml:space="preserve">
VLOOKUP(
  $D940,
  Name!$A:$B,
  2,
  FALSE
)
&amp; " " &amp;
IF($B940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Eduardo Cândido Romano</v>
      </c>
      <c r="F940" s="7">
        <v>2</v>
      </c>
      <c r="G940" s="7" cm="1">
        <f t="array" aca="1" ref="G940" ca="1">INDEX(States!$B:$B,RANDBETWEEN(2,COUNTA(States!$A:$A)),1)</f>
        <v>10</v>
      </c>
      <c r="H940" s="7" t="str">
        <f ca="1">VLOOKUP($D940,Name!$A:$C,3,FALSE)</f>
        <v>M</v>
      </c>
      <c r="I940" s="7" cm="1">
        <f t="array" aca="1" ref="I940" ca="1">INDEX('Marital status'!$A:$A,RANDBETWEEN(2,COUNTA('Marital status'!$A:$A)),1)</f>
        <v>4</v>
      </c>
      <c r="J940" s="7">
        <f t="shared" ca="1" si="171"/>
        <v>2</v>
      </c>
      <c r="K940" s="8">
        <f t="shared" ca="1" si="172"/>
        <v>26965</v>
      </c>
      <c r="L940" s="6">
        <f t="shared" ca="1" si="173"/>
        <v>4</v>
      </c>
      <c r="M940" s="7">
        <f ca="1" xml:space="preserve">
  IF(OR($N940 = 2, $N940 = 3, $N940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940" s="6">
        <f t="shared" ca="1" si="174"/>
        <v>6</v>
      </c>
      <c r="O940" s="6" t="e">
        <f t="shared" ca="1" si="175"/>
        <v>#N/A</v>
      </c>
      <c r="P940" s="8">
        <f t="shared" ca="1" si="176"/>
        <v>40971</v>
      </c>
      <c r="Q940" s="6">
        <f ca="1">RANDBETWEEN(2,COUNTA('Recruitment source'!$A:$A))</f>
        <v>9</v>
      </c>
      <c r="R940" s="8" t="e">
        <f t="shared" ca="1" si="177"/>
        <v>#N/A</v>
      </c>
      <c r="S940" s="6" t="e">
        <f t="shared" ca="1" si="178"/>
        <v>#N/A</v>
      </c>
      <c r="T940" s="6">
        <f t="shared" ca="1" si="168"/>
        <v>2</v>
      </c>
      <c r="U940" s="1">
        <f t="shared" ca="1" si="179"/>
        <v>805</v>
      </c>
    </row>
    <row r="941" spans="1:21" x14ac:dyDescent="0.2">
      <c r="A941" s="7" cm="1">
        <f t="array" aca="1" ref="A941" ca="1">INDEX(Companies!$A:$A,RANDBETWEEN(2,COUNTA(Companies!$A:$A)),1)</f>
        <v>2</v>
      </c>
      <c r="B941" s="5">
        <f t="shared" si="169"/>
        <v>940</v>
      </c>
      <c r="C941" s="6">
        <f t="shared" ca="1" si="170"/>
        <v>1</v>
      </c>
      <c r="D941" s="7">
        <f ca="1">IF($B941 = 1 + N("Presidente"),
    127,
    IF($B941 = 2 + N("Vice-Presidente"),
        72,
        IF($B941 = 3 + N("Secretária bilíngue"),
            13,
            RANDBETWEEN(5,COUNT(Name!$A:$A) + 1)
        )
    )
)</f>
        <v>310</v>
      </c>
      <c r="E941" s="7" t="str">
        <f ca="1" xml:space="preserve">
VLOOKUP(
  $D941,
  Name!$A:$B,
  2,
  FALSE
)
&amp; " " &amp;
IF($B941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Oliver Barbieri Saragoça</v>
      </c>
      <c r="F941" s="7">
        <v>2</v>
      </c>
      <c r="G941" s="7" cm="1">
        <f t="array" aca="1" ref="G941" ca="1">INDEX(States!$B:$B,RANDBETWEEN(2,COUNTA(States!$A:$A)),1)</f>
        <v>14</v>
      </c>
      <c r="H941" s="7" t="str">
        <f ca="1">VLOOKUP($D941,Name!$A:$C,3,FALSE)</f>
        <v>M</v>
      </c>
      <c r="I941" s="7" cm="1">
        <f t="array" aca="1" ref="I941" ca="1">INDEX('Marital status'!$A:$A,RANDBETWEEN(2,COUNTA('Marital status'!$A:$A)),1)</f>
        <v>3</v>
      </c>
      <c r="J941" s="7">
        <f t="shared" ca="1" si="171"/>
        <v>2</v>
      </c>
      <c r="K941" s="8">
        <f t="shared" ca="1" si="172"/>
        <v>37194</v>
      </c>
      <c r="L941" s="6">
        <f t="shared" ca="1" si="173"/>
        <v>5</v>
      </c>
      <c r="M941" s="7">
        <f ca="1" xml:space="preserve">
  IF(OR($N941 = 2, $N941 = 3, $N941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941" s="6">
        <f t="shared" ca="1" si="174"/>
        <v>8</v>
      </c>
      <c r="O941" s="6">
        <f t="shared" ca="1" si="175"/>
        <v>3</v>
      </c>
      <c r="P941" s="8">
        <f t="shared" ca="1" si="176"/>
        <v>40122</v>
      </c>
      <c r="Q941" s="6">
        <f ca="1">RANDBETWEEN(2,COUNTA('Recruitment source'!$A:$A))</f>
        <v>4</v>
      </c>
      <c r="R941" s="8" t="e">
        <f t="shared" ca="1" si="177"/>
        <v>#N/A</v>
      </c>
      <c r="S941" s="6" t="e">
        <f t="shared" ca="1" si="178"/>
        <v>#N/A</v>
      </c>
      <c r="T941" s="6">
        <f t="shared" ca="1" si="168"/>
        <v>3</v>
      </c>
      <c r="U941" s="1">
        <f t="shared" ca="1" si="179"/>
        <v>2000</v>
      </c>
    </row>
    <row r="942" spans="1:21" x14ac:dyDescent="0.2">
      <c r="A942" s="7" cm="1">
        <f t="array" aca="1" ref="A942" ca="1">INDEX(Companies!$A:$A,RANDBETWEEN(2,COUNTA(Companies!$A:$A)),1)</f>
        <v>2</v>
      </c>
      <c r="B942" s="5">
        <f t="shared" si="169"/>
        <v>941</v>
      </c>
      <c r="C942" s="6">
        <f t="shared" ca="1" si="170"/>
        <v>1</v>
      </c>
      <c r="D942" s="7">
        <f ca="1">IF($B942 = 1 + N("Presidente"),
    127,
    IF($B942 = 2 + N("Vice-Presidente"),
        72,
        IF($B942 = 3 + N("Secretária bilíngue"),
            13,
            RANDBETWEEN(5,COUNT(Name!$A:$A) + 1)
        )
    )
)</f>
        <v>28</v>
      </c>
      <c r="E942" s="7" t="str">
        <f ca="1" xml:space="preserve">
VLOOKUP(
  $D942,
  Name!$A:$B,
  2,
  FALSE
)
&amp; " " &amp;
IF($B942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Caroline Ricci Nunes</v>
      </c>
      <c r="F942" s="7">
        <v>2</v>
      </c>
      <c r="G942" s="7" cm="1">
        <f t="array" aca="1" ref="G942" ca="1">INDEX(States!$B:$B,RANDBETWEEN(2,COUNTA(States!$A:$A)),1)</f>
        <v>15</v>
      </c>
      <c r="H942" s="7" t="str">
        <f ca="1">VLOOKUP($D942,Name!$A:$C,3,FALSE)</f>
        <v>F</v>
      </c>
      <c r="I942" s="7" cm="1">
        <f t="array" aca="1" ref="I942" ca="1">INDEX('Marital status'!$A:$A,RANDBETWEEN(2,COUNTA('Marital status'!$A:$A)),1)</f>
        <v>5</v>
      </c>
      <c r="J942" s="7">
        <f t="shared" ca="1" si="171"/>
        <v>2</v>
      </c>
      <c r="K942" s="8">
        <f t="shared" ca="1" si="172"/>
        <v>34325</v>
      </c>
      <c r="L942" s="6">
        <f t="shared" ca="1" si="173"/>
        <v>4</v>
      </c>
      <c r="M942" s="7">
        <f ca="1" xml:space="preserve">
  IF(OR($N942 = 2, $N942 = 3, $N942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942" s="6">
        <f t="shared" ca="1" si="174"/>
        <v>7</v>
      </c>
      <c r="O942" s="6" t="e">
        <f t="shared" ca="1" si="175"/>
        <v>#N/A</v>
      </c>
      <c r="P942" s="8">
        <f t="shared" ca="1" si="176"/>
        <v>43589</v>
      </c>
      <c r="Q942" s="6">
        <f ca="1">RANDBETWEEN(2,COUNTA('Recruitment source'!$A:$A))</f>
        <v>9</v>
      </c>
      <c r="R942" s="8" t="e">
        <f t="shared" ca="1" si="177"/>
        <v>#N/A</v>
      </c>
      <c r="S942" s="6" t="e">
        <f t="shared" ca="1" si="178"/>
        <v>#N/A</v>
      </c>
      <c r="T942" s="6">
        <f t="shared" ca="1" si="168"/>
        <v>4</v>
      </c>
      <c r="U942" s="1">
        <f t="shared" ca="1" si="179"/>
        <v>1085</v>
      </c>
    </row>
    <row r="943" spans="1:21" x14ac:dyDescent="0.2">
      <c r="A943" s="7" cm="1">
        <f t="array" aca="1" ref="A943" ca="1">INDEX(Companies!$A:$A,RANDBETWEEN(2,COUNTA(Companies!$A:$A)),1)</f>
        <v>2</v>
      </c>
      <c r="B943" s="5">
        <f t="shared" si="169"/>
        <v>942</v>
      </c>
      <c r="C943" s="6">
        <f t="shared" ca="1" si="170"/>
        <v>1</v>
      </c>
      <c r="D943" s="7">
        <f ca="1">IF($B943 = 1 + N("Presidente"),
    127,
    IF($B943 = 2 + N("Vice-Presidente"),
        72,
        IF($B943 = 3 + N("Secretária bilíngue"),
            13,
            RANDBETWEEN(5,COUNT(Name!$A:$A) + 1)
        )
    )
)</f>
        <v>8</v>
      </c>
      <c r="E943" s="7" t="str">
        <f ca="1" xml:space="preserve">
VLOOKUP(
  $D943,
  Name!$A:$B,
  2,
  FALSE
)
&amp; " " &amp;
IF($B943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Adélia Siqueira Veiga</v>
      </c>
      <c r="F943" s="7">
        <v>2</v>
      </c>
      <c r="G943" s="7" cm="1">
        <f t="array" aca="1" ref="G943" ca="1">INDEX(States!$B:$B,RANDBETWEEN(2,COUNTA(States!$A:$A)),1)</f>
        <v>5</v>
      </c>
      <c r="H943" s="7" t="str">
        <f ca="1">VLOOKUP($D943,Name!$A:$C,3,FALSE)</f>
        <v>F</v>
      </c>
      <c r="I943" s="7" cm="1">
        <f t="array" aca="1" ref="I943" ca="1">INDEX('Marital status'!$A:$A,RANDBETWEEN(2,COUNTA('Marital status'!$A:$A)),1)</f>
        <v>4</v>
      </c>
      <c r="J943" s="7">
        <f t="shared" ca="1" si="171"/>
        <v>2</v>
      </c>
      <c r="K943" s="8">
        <f t="shared" ca="1" si="172"/>
        <v>32821</v>
      </c>
      <c r="L943" s="6">
        <f t="shared" ca="1" si="173"/>
        <v>5</v>
      </c>
      <c r="M943" s="7">
        <f ca="1" xml:space="preserve">
  IF(OR($N943 = 2, $N943 = 3, $N943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943" s="6">
        <f t="shared" ca="1" si="174"/>
        <v>8</v>
      </c>
      <c r="O943" s="6">
        <f t="shared" ca="1" si="175"/>
        <v>3</v>
      </c>
      <c r="P943" s="8">
        <f t="shared" ca="1" si="176"/>
        <v>38499</v>
      </c>
      <c r="Q943" s="6">
        <f ca="1">RANDBETWEEN(2,COUNTA('Recruitment source'!$A:$A))</f>
        <v>3</v>
      </c>
      <c r="R943" s="8" t="e">
        <f t="shared" ca="1" si="177"/>
        <v>#N/A</v>
      </c>
      <c r="S943" s="6" t="e">
        <f t="shared" ca="1" si="178"/>
        <v>#N/A</v>
      </c>
      <c r="T943" s="6">
        <f t="shared" ca="1" si="168"/>
        <v>3</v>
      </c>
      <c r="U943" s="1">
        <f t="shared" ca="1" si="179"/>
        <v>2000</v>
      </c>
    </row>
    <row r="944" spans="1:21" x14ac:dyDescent="0.2">
      <c r="A944" s="7" cm="1">
        <f t="array" aca="1" ref="A944" ca="1">INDEX(Companies!$A:$A,RANDBETWEEN(2,COUNTA(Companies!$A:$A)),1)</f>
        <v>2</v>
      </c>
      <c r="B944" s="5">
        <f t="shared" si="169"/>
        <v>943</v>
      </c>
      <c r="C944" s="6">
        <f t="shared" ca="1" si="170"/>
        <v>1</v>
      </c>
      <c r="D944" s="7">
        <f ca="1">IF($B944 = 1 + N("Presidente"),
    127,
    IF($B944 = 2 + N("Vice-Presidente"),
        72,
        IF($B944 = 3 + N("Secretária bilíngue"),
            13,
            RANDBETWEEN(5,COUNT(Name!$A:$A) + 1)
        )
    )
)</f>
        <v>55</v>
      </c>
      <c r="E944" s="7" t="str">
        <f ca="1" xml:space="preserve">
VLOOKUP(
  $D944,
  Name!$A:$B,
  2,
  FALSE
)
&amp; " " &amp;
IF($B944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Anunciação Rinaldi</v>
      </c>
      <c r="F944" s="7">
        <v>2</v>
      </c>
      <c r="G944" s="7" cm="1">
        <f t="array" aca="1" ref="G944" ca="1">INDEX(States!$B:$B,RANDBETWEEN(2,COUNTA(States!$A:$A)),1)</f>
        <v>14</v>
      </c>
      <c r="H944" s="7" t="str">
        <f ca="1">VLOOKUP($D944,Name!$A:$C,3,FALSE)</f>
        <v>M</v>
      </c>
      <c r="I944" s="7" cm="1">
        <f t="array" aca="1" ref="I944" ca="1">INDEX('Marital status'!$A:$A,RANDBETWEEN(2,COUNTA('Marital status'!$A:$A)),1)</f>
        <v>5</v>
      </c>
      <c r="J944" s="7">
        <f t="shared" ca="1" si="171"/>
        <v>2</v>
      </c>
      <c r="K944" s="8">
        <f t="shared" ca="1" si="172"/>
        <v>30354</v>
      </c>
      <c r="L944" s="6">
        <f t="shared" ca="1" si="173"/>
        <v>4</v>
      </c>
      <c r="M944" s="7">
        <f ca="1" xml:space="preserve">
  IF(OR($N944 = 2, $N944 = 3, $N944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944" s="6">
        <f t="shared" ca="1" si="174"/>
        <v>7</v>
      </c>
      <c r="O944" s="6" t="e">
        <f t="shared" ca="1" si="175"/>
        <v>#N/A</v>
      </c>
      <c r="P944" s="8">
        <f t="shared" ca="1" si="176"/>
        <v>41089</v>
      </c>
      <c r="Q944" s="6">
        <f ca="1">RANDBETWEEN(2,COUNTA('Recruitment source'!$A:$A))</f>
        <v>10</v>
      </c>
      <c r="R944" s="8" t="e">
        <f t="shared" ca="1" si="177"/>
        <v>#N/A</v>
      </c>
      <c r="S944" s="6" t="e">
        <f t="shared" ca="1" si="178"/>
        <v>#N/A</v>
      </c>
      <c r="T944" s="6">
        <f t="shared" ca="1" si="168"/>
        <v>5</v>
      </c>
      <c r="U944" s="1">
        <f t="shared" ca="1" si="179"/>
        <v>1005</v>
      </c>
    </row>
    <row r="945" spans="1:21" x14ac:dyDescent="0.2">
      <c r="A945" s="7" cm="1">
        <f t="array" aca="1" ref="A945" ca="1">INDEX(Companies!$A:$A,RANDBETWEEN(2,COUNTA(Companies!$A:$A)),1)</f>
        <v>2</v>
      </c>
      <c r="B945" s="5">
        <f t="shared" si="169"/>
        <v>944</v>
      </c>
      <c r="C945" s="6">
        <f t="shared" ca="1" si="170"/>
        <v>1</v>
      </c>
      <c r="D945" s="7">
        <f ca="1">IF($B945 = 1 + N("Presidente"),
    127,
    IF($B945 = 2 + N("Vice-Presidente"),
        72,
        IF($B945 = 3 + N("Secretária bilíngue"),
            13,
            RANDBETWEEN(5,COUNT(Name!$A:$A) + 1)
        )
    )
)</f>
        <v>343</v>
      </c>
      <c r="E945" s="7" t="str">
        <f ca="1" xml:space="preserve">
VLOOKUP(
  $D945,
  Name!$A:$B,
  2,
  FALSE
)
&amp; " " &amp;
IF($B945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Thiago Rizzo Serra</v>
      </c>
      <c r="F945" s="7">
        <v>2</v>
      </c>
      <c r="G945" s="7" cm="1">
        <f t="array" aca="1" ref="G945" ca="1">INDEX(States!$B:$B,RANDBETWEEN(2,COUNTA(States!$A:$A)),1)</f>
        <v>8</v>
      </c>
      <c r="H945" s="7" t="str">
        <f ca="1">VLOOKUP($D945,Name!$A:$C,3,FALSE)</f>
        <v>M</v>
      </c>
      <c r="I945" s="7" cm="1">
        <f t="array" aca="1" ref="I945" ca="1">INDEX('Marital status'!$A:$A,RANDBETWEEN(2,COUNTA('Marital status'!$A:$A)),1)</f>
        <v>5</v>
      </c>
      <c r="J945" s="7">
        <f t="shared" ca="1" si="171"/>
        <v>3</v>
      </c>
      <c r="K945" s="8">
        <f t="shared" ca="1" si="172"/>
        <v>36320</v>
      </c>
      <c r="L945" s="6">
        <f t="shared" ca="1" si="173"/>
        <v>5</v>
      </c>
      <c r="M945" s="7">
        <f ca="1" xml:space="preserve">
  IF(OR($N945 = 2, $N945 = 3, $N945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945" s="6">
        <f t="shared" ca="1" si="174"/>
        <v>8</v>
      </c>
      <c r="O945" s="6">
        <f t="shared" ca="1" si="175"/>
        <v>3</v>
      </c>
      <c r="P945" s="8">
        <f t="shared" ca="1" si="176"/>
        <v>38374</v>
      </c>
      <c r="Q945" s="6">
        <f ca="1">RANDBETWEEN(2,COUNTA('Recruitment source'!$A:$A))</f>
        <v>11</v>
      </c>
      <c r="R945" s="8" t="e">
        <f t="shared" ca="1" si="177"/>
        <v>#N/A</v>
      </c>
      <c r="S945" s="6" t="e">
        <f t="shared" ca="1" si="178"/>
        <v>#N/A</v>
      </c>
      <c r="T945" s="6">
        <f t="shared" ca="1" si="168"/>
        <v>2</v>
      </c>
      <c r="U945" s="1">
        <f t="shared" ca="1" si="179"/>
        <v>2000</v>
      </c>
    </row>
    <row r="946" spans="1:21" x14ac:dyDescent="0.2">
      <c r="A946" s="7" cm="1">
        <f t="array" aca="1" ref="A946" ca="1">INDEX(Companies!$A:$A,RANDBETWEEN(2,COUNTA(Companies!$A:$A)),1)</f>
        <v>2</v>
      </c>
      <c r="B946" s="5">
        <f t="shared" si="169"/>
        <v>945</v>
      </c>
      <c r="C946" s="6">
        <f t="shared" ca="1" si="170"/>
        <v>1</v>
      </c>
      <c r="D946" s="7">
        <f ca="1">IF($B946 = 1 + N("Presidente"),
    127,
    IF($B946 = 2 + N("Vice-Presidente"),
        72,
        IF($B946 = 3 + N("Secretária bilíngue"),
            13,
            RANDBETWEEN(5,COUNT(Name!$A:$A) + 1)
        )
    )
)</f>
        <v>243</v>
      </c>
      <c r="E946" s="7" t="str">
        <f ca="1" xml:space="preserve">
VLOOKUP(
  $D946,
  Name!$A:$B,
  2,
  FALSE
)
&amp; " " &amp;
IF($B946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Felipe Lombardi Pimenta</v>
      </c>
      <c r="F946" s="7">
        <v>2</v>
      </c>
      <c r="G946" s="7" cm="1">
        <f t="array" aca="1" ref="G946" ca="1">INDEX(States!$B:$B,RANDBETWEEN(2,COUNTA(States!$A:$A)),1)</f>
        <v>15</v>
      </c>
      <c r="H946" s="7" t="str">
        <f ca="1">VLOOKUP($D946,Name!$A:$C,3,FALSE)</f>
        <v>M</v>
      </c>
      <c r="I946" s="7" cm="1">
        <f t="array" aca="1" ref="I946" ca="1">INDEX('Marital status'!$A:$A,RANDBETWEEN(2,COUNTA('Marital status'!$A:$A)),1)</f>
        <v>2</v>
      </c>
      <c r="J946" s="7">
        <f t="shared" ca="1" si="171"/>
        <v>4</v>
      </c>
      <c r="K946" s="8">
        <f t="shared" ca="1" si="172"/>
        <v>32470</v>
      </c>
      <c r="L946" s="6">
        <f t="shared" ca="1" si="173"/>
        <v>4</v>
      </c>
      <c r="M946" s="7">
        <f ca="1" xml:space="preserve">
  IF(OR($N946 = 2, $N946 = 3, $N946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946" s="6">
        <f t="shared" ca="1" si="174"/>
        <v>6</v>
      </c>
      <c r="O946" s="6" t="e">
        <f t="shared" ca="1" si="175"/>
        <v>#N/A</v>
      </c>
      <c r="P946" s="8">
        <f t="shared" ca="1" si="176"/>
        <v>43363</v>
      </c>
      <c r="Q946" s="6">
        <f ca="1">RANDBETWEEN(2,COUNTA('Recruitment source'!$A:$A))</f>
        <v>2</v>
      </c>
      <c r="R946" s="8" t="e">
        <f t="shared" ca="1" si="177"/>
        <v>#N/A</v>
      </c>
      <c r="S946" s="6" t="e">
        <f t="shared" ca="1" si="178"/>
        <v>#N/A</v>
      </c>
      <c r="T946" s="6">
        <f t="shared" ca="1" si="168"/>
        <v>5</v>
      </c>
      <c r="U946" s="1">
        <f t="shared" ca="1" si="179"/>
        <v>805</v>
      </c>
    </row>
    <row r="947" spans="1:21" x14ac:dyDescent="0.2">
      <c r="A947" s="7" cm="1">
        <f t="array" aca="1" ref="A947" ca="1">INDEX(Companies!$A:$A,RANDBETWEEN(2,COUNTA(Companies!$A:$A)),1)</f>
        <v>2</v>
      </c>
      <c r="B947" s="5">
        <f t="shared" si="169"/>
        <v>946</v>
      </c>
      <c r="C947" s="6">
        <f t="shared" ca="1" si="170"/>
        <v>1</v>
      </c>
      <c r="D947" s="7">
        <f ca="1">IF($B947 = 1 + N("Presidente"),
    127,
    IF($B947 = 2 + N("Vice-Presidente"),
        72,
        IF($B947 = 3 + N("Secretária bilíngue"),
            13,
            RANDBETWEEN(5,COUNT(Name!$A:$A) + 1)
        )
    )
)</f>
        <v>350</v>
      </c>
      <c r="E947" s="7" t="str">
        <f ca="1" xml:space="preserve">
VLOOKUP(
  $D947,
  Name!$A:$B,
  2,
  FALSE
)
&amp; " " &amp;
IF($B947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Vanessa Battaglia Albuquerque</v>
      </c>
      <c r="F947" s="7">
        <v>2</v>
      </c>
      <c r="G947" s="7" cm="1">
        <f t="array" aca="1" ref="G947" ca="1">INDEX(States!$B:$B,RANDBETWEEN(2,COUNTA(States!$A:$A)),1)</f>
        <v>3</v>
      </c>
      <c r="H947" s="7" t="str">
        <f ca="1">VLOOKUP($D947,Name!$A:$C,3,FALSE)</f>
        <v>F</v>
      </c>
      <c r="I947" s="7" cm="1">
        <f t="array" aca="1" ref="I947" ca="1">INDEX('Marital status'!$A:$A,RANDBETWEEN(2,COUNTA('Marital status'!$A:$A)),1)</f>
        <v>5</v>
      </c>
      <c r="J947" s="7">
        <f t="shared" ca="1" si="171"/>
        <v>2</v>
      </c>
      <c r="K947" s="8">
        <f t="shared" ca="1" si="172"/>
        <v>34635</v>
      </c>
      <c r="L947" s="6">
        <f t="shared" ca="1" si="173"/>
        <v>4</v>
      </c>
      <c r="M947" s="7">
        <f ca="1" xml:space="preserve">
  IF(OR($N947 = 2, $N947 = 3, $N947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947" s="6">
        <f t="shared" ca="1" si="174"/>
        <v>8</v>
      </c>
      <c r="O947" s="6">
        <f t="shared" ca="1" si="175"/>
        <v>4</v>
      </c>
      <c r="P947" s="8">
        <f t="shared" ca="1" si="176"/>
        <v>40328</v>
      </c>
      <c r="Q947" s="6">
        <f ca="1">RANDBETWEEN(2,COUNTA('Recruitment source'!$A:$A))</f>
        <v>4</v>
      </c>
      <c r="R947" s="8" t="e">
        <f t="shared" ca="1" si="177"/>
        <v>#N/A</v>
      </c>
      <c r="S947" s="6" t="e">
        <f t="shared" ca="1" si="178"/>
        <v>#N/A</v>
      </c>
      <c r="T947" s="6">
        <f t="shared" ca="1" si="168"/>
        <v>3</v>
      </c>
      <c r="U947" s="1">
        <f t="shared" ca="1" si="179"/>
        <v>2000</v>
      </c>
    </row>
    <row r="948" spans="1:21" x14ac:dyDescent="0.2">
      <c r="A948" s="7" cm="1">
        <f t="array" aca="1" ref="A948" ca="1">INDEX(Companies!$A:$A,RANDBETWEEN(2,COUNTA(Companies!$A:$A)),1)</f>
        <v>2</v>
      </c>
      <c r="B948" s="5">
        <f t="shared" si="169"/>
        <v>947</v>
      </c>
      <c r="C948" s="6">
        <f t="shared" ca="1" si="170"/>
        <v>1</v>
      </c>
      <c r="D948" s="7">
        <f ca="1">IF($B948 = 1 + N("Presidente"),
    127,
    IF($B948 = 2 + N("Vice-Presidente"),
        72,
        IF($B948 = 3 + N("Secretária bilíngue"),
            13,
            RANDBETWEEN(5,COUNT(Name!$A:$A) + 1)
        )
    )
)</f>
        <v>194</v>
      </c>
      <c r="E948" s="7" t="str">
        <f ca="1" xml:space="preserve">
VLOOKUP(
  $D948,
  Name!$A:$B,
  2,
  FALSE
)
&amp; " " &amp;
IF($B948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Vitor Castro Bragança</v>
      </c>
      <c r="F948" s="7">
        <v>2</v>
      </c>
      <c r="G948" s="7" cm="1">
        <f t="array" aca="1" ref="G948" ca="1">INDEX(States!$B:$B,RANDBETWEEN(2,COUNTA(States!$A:$A)),1)</f>
        <v>14</v>
      </c>
      <c r="H948" s="7" t="str">
        <f ca="1">VLOOKUP($D948,Name!$A:$C,3,FALSE)</f>
        <v>M</v>
      </c>
      <c r="I948" s="7" cm="1">
        <f t="array" aca="1" ref="I948" ca="1">INDEX('Marital status'!$A:$A,RANDBETWEEN(2,COUNTA('Marital status'!$A:$A)),1)</f>
        <v>4</v>
      </c>
      <c r="J948" s="7">
        <f t="shared" ca="1" si="171"/>
        <v>2</v>
      </c>
      <c r="K948" s="8">
        <f t="shared" ca="1" si="172"/>
        <v>33847</v>
      </c>
      <c r="L948" s="6">
        <f t="shared" ca="1" si="173"/>
        <v>4</v>
      </c>
      <c r="M948" s="7">
        <f ca="1" xml:space="preserve">
  IF(OR($N948 = 2, $N948 = 3, $N948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948" s="6">
        <f t="shared" ca="1" si="174"/>
        <v>7</v>
      </c>
      <c r="O948" s="6" t="e">
        <f t="shared" ca="1" si="175"/>
        <v>#N/A</v>
      </c>
      <c r="P948" s="8">
        <f t="shared" ca="1" si="176"/>
        <v>41275</v>
      </c>
      <c r="Q948" s="6">
        <f ca="1">RANDBETWEEN(2,COUNTA('Recruitment source'!$A:$A))</f>
        <v>11</v>
      </c>
      <c r="R948" s="8" t="e">
        <f t="shared" ca="1" si="177"/>
        <v>#N/A</v>
      </c>
      <c r="S948" s="6" t="e">
        <f t="shared" ca="1" si="178"/>
        <v>#N/A</v>
      </c>
      <c r="T948" s="6">
        <f t="shared" ca="1" si="168"/>
        <v>5</v>
      </c>
      <c r="U948" s="1">
        <f t="shared" ca="1" si="179"/>
        <v>1005</v>
      </c>
    </row>
    <row r="949" spans="1:21" x14ac:dyDescent="0.2">
      <c r="A949" s="7" cm="1">
        <f t="array" aca="1" ref="A949" ca="1">INDEX(Companies!$A:$A,RANDBETWEEN(2,COUNTA(Companies!$A:$A)),1)</f>
        <v>2</v>
      </c>
      <c r="B949" s="5">
        <f t="shared" si="169"/>
        <v>948</v>
      </c>
      <c r="C949" s="6">
        <f t="shared" ca="1" si="170"/>
        <v>1</v>
      </c>
      <c r="D949" s="7">
        <f ca="1">IF($B949 = 1 + N("Presidente"),
    127,
    IF($B949 = 2 + N("Vice-Presidente"),
        72,
        IF($B949 = 3 + N("Secretária bilíngue"),
            13,
            RANDBETWEEN(5,COUNT(Name!$A:$A) + 1)
        )
    )
)</f>
        <v>65</v>
      </c>
      <c r="E949" s="7" t="str">
        <f ca="1" xml:space="preserve">
VLOOKUP(
  $D949,
  Name!$A:$B,
  2,
  FALSE
)
&amp; " " &amp;
IF($B949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Bárbara Morais Borges</v>
      </c>
      <c r="F949" s="7">
        <v>2</v>
      </c>
      <c r="G949" s="7" cm="1">
        <f t="array" aca="1" ref="G949" ca="1">INDEX(States!$B:$B,RANDBETWEEN(2,COUNTA(States!$A:$A)),1)</f>
        <v>18</v>
      </c>
      <c r="H949" s="7" t="str">
        <f ca="1">VLOOKUP($D949,Name!$A:$C,3,FALSE)</f>
        <v>F</v>
      </c>
      <c r="I949" s="7" cm="1">
        <f t="array" aca="1" ref="I949" ca="1">INDEX('Marital status'!$A:$A,RANDBETWEEN(2,COUNTA('Marital status'!$A:$A)),1)</f>
        <v>5</v>
      </c>
      <c r="J949" s="7">
        <f t="shared" ca="1" si="171"/>
        <v>2</v>
      </c>
      <c r="K949" s="8">
        <f t="shared" ca="1" si="172"/>
        <v>37869</v>
      </c>
      <c r="L949" s="6">
        <f t="shared" ca="1" si="173"/>
        <v>4</v>
      </c>
      <c r="M949" s="7">
        <f ca="1" xml:space="preserve">
  IF(OR($N949 = 2, $N949 = 3, $N949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949" s="6">
        <f t="shared" ca="1" si="174"/>
        <v>8</v>
      </c>
      <c r="O949" s="6">
        <f t="shared" ca="1" si="175"/>
        <v>4</v>
      </c>
      <c r="P949" s="8">
        <f t="shared" ca="1" si="176"/>
        <v>44101</v>
      </c>
      <c r="Q949" s="6">
        <f ca="1">RANDBETWEEN(2,COUNTA('Recruitment source'!$A:$A))</f>
        <v>6</v>
      </c>
      <c r="R949" s="8" t="e">
        <f t="shared" ca="1" si="177"/>
        <v>#N/A</v>
      </c>
      <c r="S949" s="6" t="e">
        <f t="shared" ca="1" si="178"/>
        <v>#N/A</v>
      </c>
      <c r="T949" s="6">
        <f t="shared" ca="1" si="168"/>
        <v>4</v>
      </c>
      <c r="U949" s="1">
        <f t="shared" ca="1" si="179"/>
        <v>2000</v>
      </c>
    </row>
    <row r="950" spans="1:21" x14ac:dyDescent="0.2">
      <c r="A950" s="7" cm="1">
        <f t="array" aca="1" ref="A950" ca="1">INDEX(Companies!$A:$A,RANDBETWEEN(2,COUNTA(Companies!$A:$A)),1)</f>
        <v>2</v>
      </c>
      <c r="B950" s="5">
        <f t="shared" si="169"/>
        <v>949</v>
      </c>
      <c r="C950" s="6">
        <f t="shared" ca="1" si="170"/>
        <v>1</v>
      </c>
      <c r="D950" s="7">
        <f ca="1">IF($B950 = 1 + N("Presidente"),
    127,
    IF($B950 = 2 + N("Vice-Presidente"),
        72,
        IF($B950 = 3 + N("Secretária bilíngue"),
            13,
            RANDBETWEEN(5,COUNT(Name!$A:$A) + 1)
        )
    )
)</f>
        <v>264</v>
      </c>
      <c r="E950" s="7" t="str">
        <f ca="1" xml:space="preserve">
VLOOKUP(
  $D950,
  Name!$A:$B,
  2,
  FALSE
)
&amp; " " &amp;
IF($B950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Flor Albuquerque Mancini</v>
      </c>
      <c r="F950" s="7">
        <v>2</v>
      </c>
      <c r="G950" s="7" cm="1">
        <f t="array" aca="1" ref="G950" ca="1">INDEX(States!$B:$B,RANDBETWEEN(2,COUNTA(States!$A:$A)),1)</f>
        <v>13</v>
      </c>
      <c r="H950" s="7" t="str">
        <f ca="1">VLOOKUP($D950,Name!$A:$C,3,FALSE)</f>
        <v>F</v>
      </c>
      <c r="I950" s="7" cm="1">
        <f t="array" aca="1" ref="I950" ca="1">INDEX('Marital status'!$A:$A,RANDBETWEEN(2,COUNTA('Marital status'!$A:$A)),1)</f>
        <v>5</v>
      </c>
      <c r="J950" s="7">
        <f t="shared" ca="1" si="171"/>
        <v>5</v>
      </c>
      <c r="K950" s="8">
        <f t="shared" ca="1" si="172"/>
        <v>33020</v>
      </c>
      <c r="L950" s="6">
        <f t="shared" ca="1" si="173"/>
        <v>4</v>
      </c>
      <c r="M950" s="7">
        <f ca="1" xml:space="preserve">
  IF(OR($N950 = 2, $N950 = 3, $N950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950" s="6">
        <f t="shared" ca="1" si="174"/>
        <v>6</v>
      </c>
      <c r="O950" s="6" t="e">
        <f t="shared" ca="1" si="175"/>
        <v>#N/A</v>
      </c>
      <c r="P950" s="8">
        <f t="shared" ca="1" si="176"/>
        <v>41151</v>
      </c>
      <c r="Q950" s="6">
        <f ca="1">RANDBETWEEN(2,COUNTA('Recruitment source'!$A:$A))</f>
        <v>6</v>
      </c>
      <c r="R950" s="8" t="e">
        <f t="shared" ca="1" si="177"/>
        <v>#N/A</v>
      </c>
      <c r="S950" s="6" t="e">
        <f t="shared" ca="1" si="178"/>
        <v>#N/A</v>
      </c>
      <c r="T950" s="6">
        <f t="shared" ca="1" si="168"/>
        <v>3</v>
      </c>
      <c r="U950" s="1">
        <f t="shared" ca="1" si="179"/>
        <v>805</v>
      </c>
    </row>
    <row r="951" spans="1:21" x14ac:dyDescent="0.2">
      <c r="A951" s="7" cm="1">
        <f t="array" aca="1" ref="A951" ca="1">INDEX(Companies!$A:$A,RANDBETWEEN(2,COUNTA(Companies!$A:$A)),1)</f>
        <v>2</v>
      </c>
      <c r="B951" s="5">
        <f t="shared" si="169"/>
        <v>950</v>
      </c>
      <c r="C951" s="6">
        <f t="shared" ca="1" si="170"/>
        <v>1</v>
      </c>
      <c r="D951" s="7">
        <f ca="1">IF($B951 = 1 + N("Presidente"),
    127,
    IF($B951 = 2 + N("Vice-Presidente"),
        72,
        IF($B951 = 3 + N("Secretária bilíngue"),
            13,
            RANDBETWEEN(5,COUNT(Name!$A:$A) + 1)
        )
    )
)</f>
        <v>325</v>
      </c>
      <c r="E951" s="7" t="str">
        <f ca="1" xml:space="preserve">
VLOOKUP(
  $D951,
  Name!$A:$B,
  2,
  FALSE
)
&amp; " " &amp;
IF($B951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Rafaela Brito Alencar</v>
      </c>
      <c r="F951" s="7">
        <v>2</v>
      </c>
      <c r="G951" s="7" cm="1">
        <f t="array" aca="1" ref="G951" ca="1">INDEX(States!$B:$B,RANDBETWEEN(2,COUNTA(States!$A:$A)),1)</f>
        <v>5</v>
      </c>
      <c r="H951" s="7" t="str">
        <f ca="1">VLOOKUP($D951,Name!$A:$C,3,FALSE)</f>
        <v>F</v>
      </c>
      <c r="I951" s="7" cm="1">
        <f t="array" aca="1" ref="I951" ca="1">INDEX('Marital status'!$A:$A,RANDBETWEEN(2,COUNTA('Marital status'!$A:$A)),1)</f>
        <v>3</v>
      </c>
      <c r="J951" s="7">
        <f t="shared" ca="1" si="171"/>
        <v>2</v>
      </c>
      <c r="K951" s="8">
        <f t="shared" ca="1" si="172"/>
        <v>33849</v>
      </c>
      <c r="L951" s="6">
        <f t="shared" ca="1" si="173"/>
        <v>4</v>
      </c>
      <c r="M951" s="7">
        <f ca="1" xml:space="preserve">
  IF(OR($N951 = 2, $N951 = 3, $N951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951" s="6">
        <f t="shared" ca="1" si="174"/>
        <v>8</v>
      </c>
      <c r="O951" s="6">
        <f t="shared" ca="1" si="175"/>
        <v>4</v>
      </c>
      <c r="P951" s="8">
        <f t="shared" ca="1" si="176"/>
        <v>42904</v>
      </c>
      <c r="Q951" s="6">
        <f ca="1">RANDBETWEEN(2,COUNTA('Recruitment source'!$A:$A))</f>
        <v>2</v>
      </c>
      <c r="R951" s="8" t="e">
        <f t="shared" ca="1" si="177"/>
        <v>#N/A</v>
      </c>
      <c r="S951" s="6" t="e">
        <f t="shared" ca="1" si="178"/>
        <v>#N/A</v>
      </c>
      <c r="T951" s="6">
        <f t="shared" ca="1" si="168"/>
        <v>3</v>
      </c>
      <c r="U951" s="1">
        <f t="shared" ca="1" si="179"/>
        <v>2000</v>
      </c>
    </row>
    <row r="952" spans="1:21" x14ac:dyDescent="0.2">
      <c r="A952" s="7" cm="1">
        <f t="array" aca="1" ref="A952" ca="1">INDEX(Companies!$A:$A,RANDBETWEEN(2,COUNTA(Companies!$A:$A)),1)</f>
        <v>2</v>
      </c>
      <c r="B952" s="5">
        <f t="shared" si="169"/>
        <v>951</v>
      </c>
      <c r="C952" s="6">
        <f t="shared" ca="1" si="170"/>
        <v>1</v>
      </c>
      <c r="D952" s="7">
        <f ca="1">IF($B952 = 1 + N("Presidente"),
    127,
    IF($B952 = 2 + N("Vice-Presidente"),
        72,
        IF($B952 = 3 + N("Secretária bilíngue"),
            13,
            RANDBETWEEN(5,COUNT(Name!$A:$A) + 1)
        )
    )
)</f>
        <v>214</v>
      </c>
      <c r="E952" s="7" t="str">
        <f ca="1" xml:space="preserve">
VLOOKUP(
  $D952,
  Name!$A:$B,
  2,
  FALSE
)
&amp; " " &amp;
IF($B952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Kleriston Alvim Veiga</v>
      </c>
      <c r="F952" s="7">
        <v>2</v>
      </c>
      <c r="G952" s="7" cm="1">
        <f t="array" aca="1" ref="G952" ca="1">INDEX(States!$B:$B,RANDBETWEEN(2,COUNTA(States!$A:$A)),1)</f>
        <v>2</v>
      </c>
      <c r="H952" s="7" t="str">
        <f ca="1">VLOOKUP($D952,Name!$A:$C,3,FALSE)</f>
        <v>M</v>
      </c>
      <c r="I952" s="7" cm="1">
        <f t="array" aca="1" ref="I952" ca="1">INDEX('Marital status'!$A:$A,RANDBETWEEN(2,COUNTA('Marital status'!$A:$A)),1)</f>
        <v>3</v>
      </c>
      <c r="J952" s="7">
        <f t="shared" ca="1" si="171"/>
        <v>3</v>
      </c>
      <c r="K952" s="8">
        <f t="shared" ca="1" si="172"/>
        <v>33774</v>
      </c>
      <c r="L952" s="6">
        <f t="shared" ca="1" si="173"/>
        <v>4</v>
      </c>
      <c r="M952" s="7">
        <f ca="1" xml:space="preserve">
  IF(OR($N952 = 2, $N952 = 3, $N952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952" s="6">
        <f t="shared" ca="1" si="174"/>
        <v>7</v>
      </c>
      <c r="O952" s="6" t="e">
        <f t="shared" ca="1" si="175"/>
        <v>#N/A</v>
      </c>
      <c r="P952" s="8">
        <f t="shared" ca="1" si="176"/>
        <v>40036</v>
      </c>
      <c r="Q952" s="6">
        <f ca="1">RANDBETWEEN(2,COUNTA('Recruitment source'!$A:$A))</f>
        <v>3</v>
      </c>
      <c r="R952" s="8" t="e">
        <f t="shared" ca="1" si="177"/>
        <v>#N/A</v>
      </c>
      <c r="S952" s="6" t="e">
        <f t="shared" ca="1" si="178"/>
        <v>#N/A</v>
      </c>
      <c r="T952" s="6">
        <f t="shared" ca="1" si="168"/>
        <v>2</v>
      </c>
      <c r="U952" s="1">
        <f t="shared" ca="1" si="179"/>
        <v>1085</v>
      </c>
    </row>
    <row r="953" spans="1:21" x14ac:dyDescent="0.2">
      <c r="A953" s="7" cm="1">
        <f t="array" aca="1" ref="A953" ca="1">INDEX(Companies!$A:$A,RANDBETWEEN(2,COUNTA(Companies!$A:$A)),1)</f>
        <v>2</v>
      </c>
      <c r="B953" s="5">
        <f t="shared" si="169"/>
        <v>952</v>
      </c>
      <c r="C953" s="6">
        <f t="shared" ca="1" si="170"/>
        <v>1</v>
      </c>
      <c r="D953" s="7">
        <f ca="1">IF($B953 = 1 + N("Presidente"),
    127,
    IF($B953 = 2 + N("Vice-Presidente"),
        72,
        IF($B953 = 3 + N("Secretária bilíngue"),
            13,
            RANDBETWEEN(5,COUNT(Name!$A:$A) + 1)
        )
    )
)</f>
        <v>11</v>
      </c>
      <c r="E953" s="7" t="str">
        <f ca="1" xml:space="preserve">
VLOOKUP(
  $D953,
  Name!$A:$B,
  2,
  FALSE
)
&amp; " " &amp;
IF($B953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Agatha Andrioli Braga</v>
      </c>
      <c r="F953" s="7">
        <v>2</v>
      </c>
      <c r="G953" s="7" cm="1">
        <f t="array" aca="1" ref="G953" ca="1">INDEX(States!$B:$B,RANDBETWEEN(2,COUNTA(States!$A:$A)),1)</f>
        <v>14</v>
      </c>
      <c r="H953" s="7" t="str">
        <f ca="1">VLOOKUP($D953,Name!$A:$C,3,FALSE)</f>
        <v>F</v>
      </c>
      <c r="I953" s="7" cm="1">
        <f t="array" aca="1" ref="I953" ca="1">INDEX('Marital status'!$A:$A,RANDBETWEEN(2,COUNTA('Marital status'!$A:$A)),1)</f>
        <v>2</v>
      </c>
      <c r="J953" s="7">
        <f t="shared" ca="1" si="171"/>
        <v>2</v>
      </c>
      <c r="K953" s="8">
        <f t="shared" ca="1" si="172"/>
        <v>35856</v>
      </c>
      <c r="L953" s="6">
        <f t="shared" ca="1" si="173"/>
        <v>4</v>
      </c>
      <c r="M953" s="7">
        <f ca="1" xml:space="preserve">
  IF(OR($N953 = 2, $N953 = 3, $N953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953" s="6">
        <f t="shared" ca="1" si="174"/>
        <v>8</v>
      </c>
      <c r="O953" s="6">
        <f t="shared" ca="1" si="175"/>
        <v>4</v>
      </c>
      <c r="P953" s="8">
        <f t="shared" ca="1" si="176"/>
        <v>42037</v>
      </c>
      <c r="Q953" s="6">
        <f ca="1">RANDBETWEEN(2,COUNTA('Recruitment source'!$A:$A))</f>
        <v>5</v>
      </c>
      <c r="R953" s="8" t="e">
        <f t="shared" ca="1" si="177"/>
        <v>#N/A</v>
      </c>
      <c r="S953" s="6" t="e">
        <f t="shared" ca="1" si="178"/>
        <v>#N/A</v>
      </c>
      <c r="T953" s="6">
        <f t="shared" ca="1" si="168"/>
        <v>3</v>
      </c>
      <c r="U953" s="1">
        <f t="shared" ca="1" si="179"/>
        <v>2000</v>
      </c>
    </row>
    <row r="954" spans="1:21" x14ac:dyDescent="0.2">
      <c r="A954" s="7" cm="1">
        <f t="array" aca="1" ref="A954" ca="1">INDEX(Companies!$A:$A,RANDBETWEEN(2,COUNTA(Companies!$A:$A)),1)</f>
        <v>2</v>
      </c>
      <c r="B954" s="5">
        <f t="shared" si="169"/>
        <v>953</v>
      </c>
      <c r="C954" s="6">
        <f t="shared" ca="1" si="170"/>
        <v>1</v>
      </c>
      <c r="D954" s="7">
        <f ca="1">IF($B954 = 1 + N("Presidente"),
    127,
    IF($B954 = 2 + N("Vice-Presidente"),
        72,
        IF($B954 = 3 + N("Secretária bilíngue"),
            13,
            RANDBETWEEN(5,COUNT(Name!$A:$A) + 1)
        )
    )
)</f>
        <v>339</v>
      </c>
      <c r="E954" s="7" t="str">
        <f ca="1" xml:space="preserve">
VLOOKUP(
  $D954,
  Name!$A:$B,
  2,
  FALSE
)
&amp; " " &amp;
IF($B954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Sophie Camargo Dias</v>
      </c>
      <c r="F954" s="7">
        <v>2</v>
      </c>
      <c r="G954" s="7" cm="1">
        <f t="array" aca="1" ref="G954" ca="1">INDEX(States!$B:$B,RANDBETWEEN(2,COUNTA(States!$A:$A)),1)</f>
        <v>11</v>
      </c>
      <c r="H954" s="7" t="str">
        <f ca="1">VLOOKUP($D954,Name!$A:$C,3,FALSE)</f>
        <v>F</v>
      </c>
      <c r="I954" s="7" cm="1">
        <f t="array" aca="1" ref="I954" ca="1">INDEX('Marital status'!$A:$A,RANDBETWEEN(2,COUNTA('Marital status'!$A:$A)),1)</f>
        <v>4</v>
      </c>
      <c r="J954" s="7">
        <f t="shared" ca="1" si="171"/>
        <v>2</v>
      </c>
      <c r="K954" s="8">
        <f t="shared" ca="1" si="172"/>
        <v>34196</v>
      </c>
      <c r="L954" s="6">
        <f t="shared" ca="1" si="173"/>
        <v>4</v>
      </c>
      <c r="M954" s="7">
        <f ca="1" xml:space="preserve">
  IF(OR($N954 = 2, $N954 = 3, $N954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954" s="6">
        <f t="shared" ca="1" si="174"/>
        <v>7</v>
      </c>
      <c r="O954" s="6" t="e">
        <f t="shared" ca="1" si="175"/>
        <v>#N/A</v>
      </c>
      <c r="P954" s="8">
        <f t="shared" ca="1" si="176"/>
        <v>44344</v>
      </c>
      <c r="Q954" s="6">
        <f ca="1">RANDBETWEEN(2,COUNTA('Recruitment source'!$A:$A))</f>
        <v>3</v>
      </c>
      <c r="R954" s="8" t="e">
        <f t="shared" ca="1" si="177"/>
        <v>#N/A</v>
      </c>
      <c r="S954" s="6" t="e">
        <f t="shared" ca="1" si="178"/>
        <v>#N/A</v>
      </c>
      <c r="T954" s="6">
        <f t="shared" ca="1" si="168"/>
        <v>4</v>
      </c>
      <c r="U954" s="1">
        <f t="shared" ca="1" si="179"/>
        <v>1005</v>
      </c>
    </row>
    <row r="955" spans="1:21" x14ac:dyDescent="0.2">
      <c r="A955" s="7" cm="1">
        <f t="array" aca="1" ref="A955" ca="1">INDEX(Companies!$A:$A,RANDBETWEEN(2,COUNTA(Companies!$A:$A)),1)</f>
        <v>2</v>
      </c>
      <c r="B955" s="5">
        <f t="shared" si="169"/>
        <v>954</v>
      </c>
      <c r="C955" s="6">
        <f t="shared" ca="1" si="170"/>
        <v>1</v>
      </c>
      <c r="D955" s="7">
        <f ca="1">IF($B955 = 1 + N("Presidente"),
    127,
    IF($B955 = 2 + N("Vice-Presidente"),
        72,
        IF($B955 = 3 + N("Secretária bilíngue"),
            13,
            RANDBETWEEN(5,COUNT(Name!$A:$A) + 1)
        )
    )
)</f>
        <v>31</v>
      </c>
      <c r="E955" s="7" t="str">
        <f ca="1" xml:space="preserve">
VLOOKUP(
  $D955,
  Name!$A:$B,
  2,
  FALSE
)
&amp; " " &amp;
IF($B955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Júlia Furtado Trindade</v>
      </c>
      <c r="F955" s="7">
        <v>2</v>
      </c>
      <c r="G955" s="7" cm="1">
        <f t="array" aca="1" ref="G955" ca="1">INDEX(States!$B:$B,RANDBETWEEN(2,COUNTA(States!$A:$A)),1)</f>
        <v>5</v>
      </c>
      <c r="H955" s="7" t="str">
        <f ca="1">VLOOKUP($D955,Name!$A:$C,3,FALSE)</f>
        <v>F</v>
      </c>
      <c r="I955" s="7" cm="1">
        <f t="array" aca="1" ref="I955" ca="1">INDEX('Marital status'!$A:$A,RANDBETWEEN(2,COUNTA('Marital status'!$A:$A)),1)</f>
        <v>2</v>
      </c>
      <c r="J955" s="7">
        <f t="shared" ca="1" si="171"/>
        <v>2</v>
      </c>
      <c r="K955" s="8">
        <f t="shared" ca="1" si="172"/>
        <v>35016</v>
      </c>
      <c r="L955" s="6">
        <f t="shared" ca="1" si="173"/>
        <v>4</v>
      </c>
      <c r="M955" s="7">
        <f ca="1" xml:space="preserve">
  IF(OR($N955 = 2, $N955 = 3, $N955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955" s="6">
        <f t="shared" ca="1" si="174"/>
        <v>8</v>
      </c>
      <c r="O955" s="6">
        <f t="shared" ca="1" si="175"/>
        <v>3</v>
      </c>
      <c r="P955" s="8">
        <f t="shared" ca="1" si="176"/>
        <v>42789</v>
      </c>
      <c r="Q955" s="6">
        <f ca="1">RANDBETWEEN(2,COUNTA('Recruitment source'!$A:$A))</f>
        <v>7</v>
      </c>
      <c r="R955" s="8" t="e">
        <f t="shared" ca="1" si="177"/>
        <v>#N/A</v>
      </c>
      <c r="S955" s="6" t="e">
        <f t="shared" ca="1" si="178"/>
        <v>#N/A</v>
      </c>
      <c r="T955" s="6">
        <f t="shared" ca="1" si="168"/>
        <v>2</v>
      </c>
      <c r="U955" s="1">
        <f t="shared" ca="1" si="179"/>
        <v>2080</v>
      </c>
    </row>
    <row r="956" spans="1:21" x14ac:dyDescent="0.2">
      <c r="A956" s="7" cm="1">
        <f t="array" aca="1" ref="A956" ca="1">INDEX(Companies!$A:$A,RANDBETWEEN(2,COUNTA(Companies!$A:$A)),1)</f>
        <v>2</v>
      </c>
      <c r="B956" s="5">
        <f t="shared" si="169"/>
        <v>955</v>
      </c>
      <c r="C956" s="6">
        <f t="shared" ca="1" si="170"/>
        <v>1</v>
      </c>
      <c r="D956" s="7">
        <f ca="1">IF($B956 = 1 + N("Presidente"),
    127,
    IF($B956 = 2 + N("Vice-Presidente"),
        72,
        IF($B956 = 3 + N("Secretária bilíngue"),
            13,
            RANDBETWEEN(5,COUNT(Name!$A:$A) + 1)
        )
    )
)</f>
        <v>306</v>
      </c>
      <c r="E956" s="7" t="str">
        <f ca="1" xml:space="preserve">
VLOOKUP(
  $D956,
  Name!$A:$B,
  2,
  FALSE
)
&amp; " " &amp;
IF($B956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Nicolas sobrenome Bianchi</v>
      </c>
      <c r="F956" s="7">
        <v>2</v>
      </c>
      <c r="G956" s="7" cm="1">
        <f t="array" aca="1" ref="G956" ca="1">INDEX(States!$B:$B,RANDBETWEEN(2,COUNTA(States!$A:$A)),1)</f>
        <v>4</v>
      </c>
      <c r="H956" s="7" t="str">
        <f ca="1">VLOOKUP($D956,Name!$A:$C,3,FALSE)</f>
        <v>M</v>
      </c>
      <c r="I956" s="7" cm="1">
        <f t="array" aca="1" ref="I956" ca="1">INDEX('Marital status'!$A:$A,RANDBETWEEN(2,COUNTA('Marital status'!$A:$A)),1)</f>
        <v>6</v>
      </c>
      <c r="J956" s="7">
        <f t="shared" ca="1" si="171"/>
        <v>2</v>
      </c>
      <c r="K956" s="8">
        <f t="shared" ca="1" si="172"/>
        <v>35923</v>
      </c>
      <c r="L956" s="6">
        <f t="shared" ca="1" si="173"/>
        <v>4</v>
      </c>
      <c r="M956" s="7">
        <f ca="1" xml:space="preserve">
  IF(OR($N956 = 2, $N956 = 3, $N956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956" s="6">
        <f t="shared" ca="1" si="174"/>
        <v>7</v>
      </c>
      <c r="O956" s="6" t="e">
        <f t="shared" ca="1" si="175"/>
        <v>#N/A</v>
      </c>
      <c r="P956" s="8">
        <f t="shared" ca="1" si="176"/>
        <v>36929</v>
      </c>
      <c r="Q956" s="6">
        <f ca="1">RANDBETWEEN(2,COUNTA('Recruitment source'!$A:$A))</f>
        <v>3</v>
      </c>
      <c r="R956" s="8" t="e">
        <f t="shared" ca="1" si="177"/>
        <v>#N/A</v>
      </c>
      <c r="S956" s="6" t="e">
        <f t="shared" ca="1" si="178"/>
        <v>#N/A</v>
      </c>
      <c r="T956" s="6">
        <f t="shared" ca="1" si="168"/>
        <v>2</v>
      </c>
      <c r="U956" s="1">
        <f t="shared" ca="1" si="179"/>
        <v>1005</v>
      </c>
    </row>
    <row r="957" spans="1:21" x14ac:dyDescent="0.2">
      <c r="A957" s="7" cm="1">
        <f t="array" aca="1" ref="A957" ca="1">INDEX(Companies!$A:$A,RANDBETWEEN(2,COUNTA(Companies!$A:$A)),1)</f>
        <v>2</v>
      </c>
      <c r="B957" s="5">
        <f t="shared" si="169"/>
        <v>956</v>
      </c>
      <c r="C957" s="6">
        <f t="shared" ca="1" si="170"/>
        <v>1</v>
      </c>
      <c r="D957" s="7">
        <f ca="1">IF($B957 = 1 + N("Presidente"),
    127,
    IF($B957 = 2 + N("Vice-Presidente"),
        72,
        IF($B957 = 3 + N("Secretária bilíngue"),
            13,
            RANDBETWEEN(5,COUNT(Name!$A:$A) + 1)
        )
    )
)</f>
        <v>15</v>
      </c>
      <c r="E957" s="7" t="str">
        <f ca="1" xml:space="preserve">
VLOOKUP(
  $D957,
  Name!$A:$B,
  2,
  FALSE
)
&amp; " " &amp;
IF($B957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Alexandre Nascimento Romano</v>
      </c>
      <c r="F957" s="7">
        <v>2</v>
      </c>
      <c r="G957" s="7" cm="1">
        <f t="array" aca="1" ref="G957" ca="1">INDEX(States!$B:$B,RANDBETWEEN(2,COUNTA(States!$A:$A)),1)</f>
        <v>5</v>
      </c>
      <c r="H957" s="7" t="str">
        <f ca="1">VLOOKUP($D957,Name!$A:$C,3,FALSE)</f>
        <v>M</v>
      </c>
      <c r="I957" s="7" cm="1">
        <f t="array" aca="1" ref="I957" ca="1">INDEX('Marital status'!$A:$A,RANDBETWEEN(2,COUNTA('Marital status'!$A:$A)),1)</f>
        <v>4</v>
      </c>
      <c r="J957" s="7">
        <f t="shared" ca="1" si="171"/>
        <v>4</v>
      </c>
      <c r="K957" s="8">
        <f t="shared" ca="1" si="172"/>
        <v>33855</v>
      </c>
      <c r="L957" s="6">
        <f t="shared" ca="1" si="173"/>
        <v>4</v>
      </c>
      <c r="M957" s="7">
        <f ca="1" xml:space="preserve">
  IF(OR($N957 = 2, $N957 = 3, $N957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957" s="6">
        <f t="shared" ca="1" si="174"/>
        <v>8</v>
      </c>
      <c r="O957" s="6">
        <f t="shared" ca="1" si="175"/>
        <v>3</v>
      </c>
      <c r="P957" s="8">
        <f t="shared" ca="1" si="176"/>
        <v>42474</v>
      </c>
      <c r="Q957" s="6">
        <f ca="1">RANDBETWEEN(2,COUNTA('Recruitment source'!$A:$A))</f>
        <v>6</v>
      </c>
      <c r="R957" s="8" t="e">
        <f t="shared" ca="1" si="177"/>
        <v>#N/A</v>
      </c>
      <c r="S957" s="6" t="e">
        <f t="shared" ca="1" si="178"/>
        <v>#N/A</v>
      </c>
      <c r="T957" s="6">
        <f t="shared" ca="1" si="168"/>
        <v>3</v>
      </c>
      <c r="U957" s="1">
        <f t="shared" ca="1" si="179"/>
        <v>2050</v>
      </c>
    </row>
    <row r="958" spans="1:21" x14ac:dyDescent="0.2">
      <c r="A958" s="7" cm="1">
        <f t="array" aca="1" ref="A958" ca="1">INDEX(Companies!$A:$A,RANDBETWEEN(2,COUNTA(Companies!$A:$A)),1)</f>
        <v>2</v>
      </c>
      <c r="B958" s="5">
        <f t="shared" si="169"/>
        <v>957</v>
      </c>
      <c r="C958" s="6">
        <f t="shared" ca="1" si="170"/>
        <v>1</v>
      </c>
      <c r="D958" s="7">
        <f ca="1">IF($B958 = 1 + N("Presidente"),
    127,
    IF($B958 = 2 + N("Vice-Presidente"),
        72,
        IF($B958 = 3 + N("Secretária bilíngue"),
            13,
            RANDBETWEEN(5,COUNT(Name!$A:$A) + 1)
        )
    )
)</f>
        <v>250</v>
      </c>
      <c r="E958" s="7" t="str">
        <f ca="1" xml:space="preserve">
VLOOKUP(
  $D958,
  Name!$A:$B,
  2,
  FALSE
)
&amp; " " &amp;
IF($B958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Madalena Bandeira Batista</v>
      </c>
      <c r="F958" s="7">
        <v>2</v>
      </c>
      <c r="G958" s="7" cm="1">
        <f t="array" aca="1" ref="G958" ca="1">INDEX(States!$B:$B,RANDBETWEEN(2,COUNTA(States!$A:$A)),1)</f>
        <v>17</v>
      </c>
      <c r="H958" s="7" t="str">
        <f ca="1">VLOOKUP($D958,Name!$A:$C,3,FALSE)</f>
        <v>F</v>
      </c>
      <c r="I958" s="7" cm="1">
        <f t="array" aca="1" ref="I958" ca="1">INDEX('Marital status'!$A:$A,RANDBETWEEN(2,COUNTA('Marital status'!$A:$A)),1)</f>
        <v>6</v>
      </c>
      <c r="J958" s="7">
        <f t="shared" ca="1" si="171"/>
        <v>2</v>
      </c>
      <c r="K958" s="8">
        <f t="shared" ca="1" si="172"/>
        <v>31015</v>
      </c>
      <c r="L958" s="6">
        <f t="shared" ca="1" si="173"/>
        <v>4</v>
      </c>
      <c r="M958" s="7">
        <f ca="1" xml:space="preserve">
  IF(OR($N958 = 2, $N958 = 3, $N958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958" s="6">
        <f t="shared" ca="1" si="174"/>
        <v>7</v>
      </c>
      <c r="O958" s="6" t="e">
        <f t="shared" ca="1" si="175"/>
        <v>#N/A</v>
      </c>
      <c r="P958" s="8">
        <f t="shared" ca="1" si="176"/>
        <v>37858</v>
      </c>
      <c r="Q958" s="6">
        <f ca="1">RANDBETWEEN(2,COUNTA('Recruitment source'!$A:$A))</f>
        <v>6</v>
      </c>
      <c r="R958" s="8" t="e">
        <f t="shared" ca="1" si="177"/>
        <v>#N/A</v>
      </c>
      <c r="S958" s="6" t="e">
        <f t="shared" ca="1" si="178"/>
        <v>#N/A</v>
      </c>
      <c r="T958" s="6">
        <f t="shared" ca="1" si="168"/>
        <v>2</v>
      </c>
      <c r="U958" s="1">
        <f t="shared" ca="1" si="179"/>
        <v>1005</v>
      </c>
    </row>
    <row r="959" spans="1:21" x14ac:dyDescent="0.2">
      <c r="A959" s="7" cm="1">
        <f t="array" aca="1" ref="A959" ca="1">INDEX(Companies!$A:$A,RANDBETWEEN(2,COUNTA(Companies!$A:$A)),1)</f>
        <v>2</v>
      </c>
      <c r="B959" s="5">
        <f t="shared" si="169"/>
        <v>958</v>
      </c>
      <c r="C959" s="6">
        <f t="shared" ca="1" si="170"/>
        <v>1</v>
      </c>
      <c r="D959" s="7">
        <f ca="1">IF($B959 = 1 + N("Presidente"),
    127,
    IF($B959 = 2 + N("Vice-Presidente"),
        72,
        IF($B959 = 3 + N("Secretária bilíngue"),
            13,
            RANDBETWEEN(5,COUNT(Name!$A:$A) + 1)
        )
    )
)</f>
        <v>214</v>
      </c>
      <c r="E959" s="7" t="str">
        <f ca="1" xml:space="preserve">
VLOOKUP(
  $D959,
  Name!$A:$B,
  2,
  FALSE
)
&amp; " " &amp;
IF($B959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Kleriston Tavarez Trindade</v>
      </c>
      <c r="F959" s="7">
        <v>2</v>
      </c>
      <c r="G959" s="7" cm="1">
        <f t="array" aca="1" ref="G959" ca="1">INDEX(States!$B:$B,RANDBETWEEN(2,COUNTA(States!$A:$A)),1)</f>
        <v>8</v>
      </c>
      <c r="H959" s="7" t="str">
        <f ca="1">VLOOKUP($D959,Name!$A:$C,3,FALSE)</f>
        <v>M</v>
      </c>
      <c r="I959" s="7" cm="1">
        <f t="array" aca="1" ref="I959" ca="1">INDEX('Marital status'!$A:$A,RANDBETWEEN(2,COUNTA('Marital status'!$A:$A)),1)</f>
        <v>2</v>
      </c>
      <c r="J959" s="7">
        <f t="shared" ca="1" si="171"/>
        <v>3</v>
      </c>
      <c r="K959" s="8">
        <f t="shared" ca="1" si="172"/>
        <v>35759</v>
      </c>
      <c r="L959" s="6">
        <f t="shared" ca="1" si="173"/>
        <v>5</v>
      </c>
      <c r="M959" s="7">
        <f ca="1" xml:space="preserve">
  IF(OR($N959 = 2, $N959 = 3, $N959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959" s="6">
        <f t="shared" ca="1" si="174"/>
        <v>8</v>
      </c>
      <c r="O959" s="6">
        <f t="shared" ca="1" si="175"/>
        <v>4</v>
      </c>
      <c r="P959" s="8">
        <f t="shared" ca="1" si="176"/>
        <v>37084</v>
      </c>
      <c r="Q959" s="6">
        <f ca="1">RANDBETWEEN(2,COUNTA('Recruitment source'!$A:$A))</f>
        <v>3</v>
      </c>
      <c r="R959" s="8" t="e">
        <f t="shared" ca="1" si="177"/>
        <v>#N/A</v>
      </c>
      <c r="S959" s="6" t="e">
        <f t="shared" ca="1" si="178"/>
        <v>#N/A</v>
      </c>
      <c r="T959" s="6">
        <f t="shared" ca="1" si="168"/>
        <v>3</v>
      </c>
      <c r="U959" s="1">
        <f t="shared" ca="1" si="179"/>
        <v>2000</v>
      </c>
    </row>
    <row r="960" spans="1:21" x14ac:dyDescent="0.2">
      <c r="A960" s="7" cm="1">
        <f t="array" aca="1" ref="A960" ca="1">INDEX(Companies!$A:$A,RANDBETWEEN(2,COUNTA(Companies!$A:$A)),1)</f>
        <v>2</v>
      </c>
      <c r="B960" s="5">
        <f t="shared" si="169"/>
        <v>959</v>
      </c>
      <c r="C960" s="6">
        <f t="shared" ca="1" si="170"/>
        <v>1</v>
      </c>
      <c r="D960" s="7">
        <f ca="1">IF($B960 = 1 + N("Presidente"),
    127,
    IF($B960 = 2 + N("Vice-Presidente"),
        72,
        IF($B960 = 3 + N("Secretária bilíngue"),
            13,
            RANDBETWEEN(5,COUNT(Name!$A:$A) + 1)
        )
    )
)</f>
        <v>6</v>
      </c>
      <c r="E960" s="7" t="str">
        <f ca="1" xml:space="preserve">
VLOOKUP(
  $D960,
  Name!$A:$B,
  2,
  FALSE
)
&amp; " " &amp;
IF($B960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Abigail Frasão Amor</v>
      </c>
      <c r="F960" s="7">
        <v>2</v>
      </c>
      <c r="G960" s="7" cm="1">
        <f t="array" aca="1" ref="G960" ca="1">INDEX(States!$B:$B,RANDBETWEEN(2,COUNTA(States!$A:$A)),1)</f>
        <v>7</v>
      </c>
      <c r="H960" s="7" t="str">
        <f ca="1">VLOOKUP($D960,Name!$A:$C,3,FALSE)</f>
        <v>F</v>
      </c>
      <c r="I960" s="7" cm="1">
        <f t="array" aca="1" ref="I960" ca="1">INDEX('Marital status'!$A:$A,RANDBETWEEN(2,COUNTA('Marital status'!$A:$A)),1)</f>
        <v>3</v>
      </c>
      <c r="J960" s="7">
        <f t="shared" ca="1" si="171"/>
        <v>2</v>
      </c>
      <c r="K960" s="8">
        <f t="shared" ca="1" si="172"/>
        <v>31652</v>
      </c>
      <c r="L960" s="6">
        <f t="shared" ca="1" si="173"/>
        <v>4</v>
      </c>
      <c r="M960" s="7">
        <f ca="1" xml:space="preserve">
  IF(OR($N960 = 2, $N960 = 3, $N960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960" s="6">
        <f t="shared" ca="1" si="174"/>
        <v>7</v>
      </c>
      <c r="O960" s="6" t="e">
        <f t="shared" ca="1" si="175"/>
        <v>#N/A</v>
      </c>
      <c r="P960" s="8">
        <f t="shared" ca="1" si="176"/>
        <v>38202</v>
      </c>
      <c r="Q960" s="6">
        <f ca="1">RANDBETWEEN(2,COUNTA('Recruitment source'!$A:$A))</f>
        <v>5</v>
      </c>
      <c r="R960" s="8" t="e">
        <f t="shared" ca="1" si="177"/>
        <v>#N/A</v>
      </c>
      <c r="S960" s="6" t="e">
        <f t="shared" ca="1" si="178"/>
        <v>#N/A</v>
      </c>
      <c r="T960" s="6">
        <f t="shared" ca="1" si="168"/>
        <v>3</v>
      </c>
      <c r="U960" s="1">
        <f t="shared" ca="1" si="179"/>
        <v>1005</v>
      </c>
    </row>
    <row r="961" spans="1:21" x14ac:dyDescent="0.2">
      <c r="A961" s="7" cm="1">
        <f t="array" aca="1" ref="A961" ca="1">INDEX(Companies!$A:$A,RANDBETWEEN(2,COUNTA(Companies!$A:$A)),1)</f>
        <v>2</v>
      </c>
      <c r="B961" s="5">
        <f t="shared" si="169"/>
        <v>960</v>
      </c>
      <c r="C961" s="6">
        <f t="shared" ca="1" si="170"/>
        <v>1</v>
      </c>
      <c r="D961" s="7">
        <f ca="1">IF($B961 = 1 + N("Presidente"),
    127,
    IF($B961 = 2 + N("Vice-Presidente"),
        72,
        IF($B961 = 3 + N("Secretária bilíngue"),
            13,
            RANDBETWEEN(5,COUNT(Name!$A:$A) + 1)
        )
    )
)</f>
        <v>5</v>
      </c>
      <c r="E961" s="7" t="str">
        <f ca="1" xml:space="preserve">
VLOOKUP(
  $D961,
  Name!$A:$B,
  2,
  FALSE
)
&amp; " " &amp;
IF($B961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Abel Ribeiro Leitão</v>
      </c>
      <c r="F961" s="7">
        <v>2</v>
      </c>
      <c r="G961" s="7" cm="1">
        <f t="array" aca="1" ref="G961" ca="1">INDEX(States!$B:$B,RANDBETWEEN(2,COUNTA(States!$A:$A)),1)</f>
        <v>13</v>
      </c>
      <c r="H961" s="7" t="str">
        <f ca="1">VLOOKUP($D961,Name!$A:$C,3,FALSE)</f>
        <v>M</v>
      </c>
      <c r="I961" s="7" cm="1">
        <f t="array" aca="1" ref="I961" ca="1">INDEX('Marital status'!$A:$A,RANDBETWEEN(2,COUNTA('Marital status'!$A:$A)),1)</f>
        <v>3</v>
      </c>
      <c r="J961" s="7">
        <f t="shared" ca="1" si="171"/>
        <v>2</v>
      </c>
      <c r="K961" s="8">
        <f t="shared" ca="1" si="172"/>
        <v>34890</v>
      </c>
      <c r="L961" s="6">
        <f t="shared" ca="1" si="173"/>
        <v>5</v>
      </c>
      <c r="M961" s="7">
        <f ca="1" xml:space="preserve">
  IF(OR($N961 = 2, $N961 = 3, $N961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961" s="6">
        <f t="shared" ca="1" si="174"/>
        <v>8</v>
      </c>
      <c r="O961" s="6">
        <f t="shared" ca="1" si="175"/>
        <v>4</v>
      </c>
      <c r="P961" s="8">
        <f t="shared" ca="1" si="176"/>
        <v>36933</v>
      </c>
      <c r="Q961" s="6">
        <f ca="1">RANDBETWEEN(2,COUNTA('Recruitment source'!$A:$A))</f>
        <v>11</v>
      </c>
      <c r="R961" s="8" t="e">
        <f t="shared" ca="1" si="177"/>
        <v>#N/A</v>
      </c>
      <c r="S961" s="6" t="e">
        <f t="shared" ca="1" si="178"/>
        <v>#N/A</v>
      </c>
      <c r="T961" s="6">
        <f t="shared" ca="1" si="168"/>
        <v>5</v>
      </c>
      <c r="U961" s="1">
        <f t="shared" ca="1" si="179"/>
        <v>2000</v>
      </c>
    </row>
    <row r="962" spans="1:21" x14ac:dyDescent="0.2">
      <c r="A962" s="7" cm="1">
        <f t="array" aca="1" ref="A962" ca="1">INDEX(Companies!$A:$A,RANDBETWEEN(2,COUNTA(Companies!$A:$A)),1)</f>
        <v>2</v>
      </c>
      <c r="B962" s="5">
        <f t="shared" si="169"/>
        <v>961</v>
      </c>
      <c r="C962" s="6">
        <f t="shared" ca="1" si="170"/>
        <v>1</v>
      </c>
      <c r="D962" s="7">
        <f ca="1">IF($B962 = 1 + N("Presidente"),
    127,
    IF($B962 = 2 + N("Vice-Presidente"),
        72,
        IF($B962 = 3 + N("Secretária bilíngue"),
            13,
            RANDBETWEEN(5,COUNT(Name!$A:$A) + 1)
        )
    )
)</f>
        <v>85</v>
      </c>
      <c r="E962" s="7" t="str">
        <f ca="1" xml:space="preserve">
VLOOKUP(
  $D962,
  Name!$A:$B,
  2,
  FALSE
)
&amp; " " &amp;
IF($B962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Carlos Eduardo Camargo Marques</v>
      </c>
      <c r="F962" s="7">
        <v>2</v>
      </c>
      <c r="G962" s="7" cm="1">
        <f t="array" aca="1" ref="G962" ca="1">INDEX(States!$B:$B,RANDBETWEEN(2,COUNTA(States!$A:$A)),1)</f>
        <v>17</v>
      </c>
      <c r="H962" s="7" t="str">
        <f ca="1">VLOOKUP($D962,Name!$A:$C,3,FALSE)</f>
        <v>M</v>
      </c>
      <c r="I962" s="7" cm="1">
        <f t="array" aca="1" ref="I962" ca="1">INDEX('Marital status'!$A:$A,RANDBETWEEN(2,COUNTA('Marital status'!$A:$A)),1)</f>
        <v>2</v>
      </c>
      <c r="J962" s="7">
        <f t="shared" ca="1" si="171"/>
        <v>2</v>
      </c>
      <c r="K962" s="8">
        <f t="shared" ca="1" si="172"/>
        <v>34583</v>
      </c>
      <c r="L962" s="6">
        <f t="shared" ca="1" si="173"/>
        <v>4</v>
      </c>
      <c r="M962" s="7">
        <f ca="1" xml:space="preserve">
  IF(OR($N962 = 2, $N962 = 3, $N962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962" s="6">
        <f t="shared" ca="1" si="174"/>
        <v>7</v>
      </c>
      <c r="O962" s="6" t="e">
        <f t="shared" ca="1" si="175"/>
        <v>#N/A</v>
      </c>
      <c r="P962" s="8">
        <f t="shared" ca="1" si="176"/>
        <v>41403</v>
      </c>
      <c r="Q962" s="6">
        <f ca="1">RANDBETWEEN(2,COUNTA('Recruitment source'!$A:$A))</f>
        <v>8</v>
      </c>
      <c r="R962" s="8" t="e">
        <f t="shared" ca="1" si="177"/>
        <v>#N/A</v>
      </c>
      <c r="S962" s="6" t="e">
        <f t="shared" ca="1" si="178"/>
        <v>#N/A</v>
      </c>
      <c r="T962" s="6">
        <f t="shared" ref="T962:T1025" ca="1" si="180" xml:space="preserve">
IF(
 ISNA($R962),
 IF(
   $N962 = 2,
   5,
   IF(
     OR($N962=3,$N962=4,$N962=5),
     RANDBETWEEN(4,5),
     IF(
       OR($N962=11,$N962=12),
       RANDBETWEEN(3,5),
       RANDBETWEEN(2,5)
     )
   )
 ),
 RANDBETWEEN(1,3)
)</f>
        <v>2</v>
      </c>
      <c r="U962" s="1">
        <f t="shared" ca="1" si="179"/>
        <v>1005</v>
      </c>
    </row>
    <row r="963" spans="1:21" x14ac:dyDescent="0.2">
      <c r="A963" s="7" cm="1">
        <f t="array" aca="1" ref="A963" ca="1">INDEX(Companies!$A:$A,RANDBETWEEN(2,COUNTA(Companies!$A:$A)),1)</f>
        <v>2</v>
      </c>
      <c r="B963" s="5">
        <f t="shared" ref="B963:B1026" si="181">ROW() - 1</f>
        <v>962</v>
      </c>
      <c r="C963" s="6">
        <f t="shared" ref="C963:C1026" ca="1" si="182">IF(ISNA($R963),1,0)</f>
        <v>1</v>
      </c>
      <c r="D963" s="7">
        <f ca="1">IF($B963 = 1 + N("Presidente"),
    127,
    IF($B963 = 2 + N("Vice-Presidente"),
        72,
        IF($B963 = 3 + N("Secretária bilíngue"),
            13,
            RANDBETWEEN(5,COUNT(Name!$A:$A) + 1)
        )
    )
)</f>
        <v>253</v>
      </c>
      <c r="E963" s="7" t="str">
        <f ca="1" xml:space="preserve">
VLOOKUP(
  $D963,
  Name!$A:$B,
  2,
  FALSE
)
&amp; " " &amp;
IF($B963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Malu Santos Leite</v>
      </c>
      <c r="F963" s="7">
        <v>2</v>
      </c>
      <c r="G963" s="7" cm="1">
        <f t="array" aca="1" ref="G963" ca="1">INDEX(States!$B:$B,RANDBETWEEN(2,COUNTA(States!$A:$A)),1)</f>
        <v>21</v>
      </c>
      <c r="H963" s="7" t="str">
        <f ca="1">VLOOKUP($D963,Name!$A:$C,3,FALSE)</f>
        <v>F</v>
      </c>
      <c r="I963" s="7" cm="1">
        <f t="array" aca="1" ref="I963" ca="1">INDEX('Marital status'!$A:$A,RANDBETWEEN(2,COUNTA('Marital status'!$A:$A)),1)</f>
        <v>6</v>
      </c>
      <c r="J963" s="7">
        <f t="shared" ref="J963:J1026" ca="1" si="183" xml:space="preserve">
IF(AND($N963 &gt;= 2, $N963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963" s="8">
        <f t="shared" ref="K963:K1026" ca="1" si="184" xml:space="preserve">
IF($N963 = 5 + N("CEO"),
    TODAY() - 16340,
    IF($N963 = 8 + N("Secretary"),
        RANDBETWEEN(TODAY() - 12418.5, TODAY()-6574.5),
        IF(OR($N963 = 7, $N963 = 14),
            RANDBETWEEN(TODAY() - 16071, TODAY() - 8766),
            IF(OR($N963 = 13, $N963 = 12, $N963 = 11),
                RANDBETWEEN(TODAY() - 27393.75, TODAY() - 12783.75),
                RANDBETWEEN(TODAY() - 27393.75, TODAY()-10957.5)
            )
        )
    )
)</f>
        <v>34791</v>
      </c>
      <c r="L963" s="6">
        <f t="shared" ref="L963:L1026" ca="1" si="185" xml:space="preserve">
IF(OR($N963 = 2, $N963 = 3) + N("Se for presidente ou vice-presidente"),
    7 + N("Doutor"),
    IF($N963 = 4 + N("Se for diretor"),
        RANDBETWEEN(5,7) + N("Graduate school or Master’s degree or Doctorate"),
        IF($N963 = 11 + N("Se for gerente"),
            RANDBETWEEN(4,6) + N("Undergraduate degree or Graduate school or Master’s degree"),
            IF(AND($N963 &gt;= 8, $N963 &lt;= 10) + N("If coordinator or specialist or analyst"),
                RANDBETWEEN(4,5),
                4
            )
        )
    )
)</f>
        <v>4</v>
      </c>
      <c r="M963" s="7">
        <f ca="1" xml:space="preserve">
  IF(OR($N963 = 2, $N963 = 3, $N963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963" s="6">
        <f t="shared" ref="N963:N1026" ca="1" si="186" xml:space="preserve">
IF($B963 = 1 + N("Se matrícula for 1"),
  2 + N("Presidente"),
  IF($B963 = 2 + N("Se matrícula for 2"),
    3 + N("Vice-presidente"),
    IF($B963 = 3 + N("Se matrícula for 3"),
      5 + N("Secretária bilíngue"),
      IF(AND($B963 &gt;= 4, $B963 &lt;=14),
        4 + N("Diretor"),
        IF(AND($B963 &gt;= 15, $B963 &lt;= 25),
          11 + N("Manager"),
          IF(AND($B963 &gt;= 26, $B963 &lt;= 36),
            10 + N("Coordinador"),
            IF(AND($B963 &gt;= 37, $B963 &lt;= 47),
              9 + N("Especialista"),
                IF(MOD($B963,2) = 0,
                  8 + N("Analista"),
                  RANDBETWEEN(6,7) + N("Estagiário ou Trainee")
                )
            )
          )
        )
      )
    )
  )
)</f>
        <v>8</v>
      </c>
      <c r="O963" s="6">
        <f t="shared" ref="O963:O1026" ca="1" si="187" xml:space="preserve">
IF($N963 =8 + N("Analyst"),
    RANDBETWEEN(2, 4) + N("Jr, Pleno, Sr"),
    NA()
)</f>
        <v>2</v>
      </c>
      <c r="P963" s="8">
        <f t="shared" ref="P963:P1026" ca="1" si="188" xml:space="preserve">
IF(
   $N963=2 + N("Presidente"),
   36161,
   IF(
       OR(
         $N963=3 + N("Vice-Presidente"),
         $N963=4 + N("Diretor"),
         $N963=5 + N("Secretária bilíngue")
       ),
       RANDBETWEEN(36161,36411),
       IF(
         ((TODAY() - $K963) / 365) &lt; 19,
         TODAY(),
         RANDBETWEEN(36161,TODAY())
       )
   )
)</f>
        <v>37434</v>
      </c>
      <c r="Q963" s="6">
        <f ca="1">RANDBETWEEN(2,COUNTA('Recruitment source'!$A:$A))</f>
        <v>11</v>
      </c>
      <c r="R963" s="8" t="e">
        <f t="shared" ref="R963:R1026" ca="1" si="189" xml:space="preserve">
IF(MOD(
     ROW(),111
   )=0,
   RANDBETWEEN($P963 + 1,TODAY() - 1),NA()
)</f>
        <v>#N/A</v>
      </c>
      <c r="S963" s="6" t="e">
        <f t="shared" ref="S963:S1026" ca="1" si="190" xml:space="preserve">
IF(
  ISNA(R963),
  NA(),
  RANDBETWEEN(2,IF($H963="F",10,9))
)</f>
        <v>#N/A</v>
      </c>
      <c r="T963" s="6">
        <f t="shared" ca="1" si="180"/>
        <v>4</v>
      </c>
      <c r="U963" s="1">
        <f t="shared" ref="U963:U1026" ca="1" si="191" xml:space="preserve">
IF($N963 = 2 + N("Presidente"),
    25000,
    IF($N963 = 3 + N("Vice-presidente"),
        23000,
        IF(OR($N963 = 5, $N963= 10, $N963 = 9) + N("Secretária bilíngue ou coordenador ou especialista"),
            8000,
            IF($N963 = 4 + N("Diretor"),
                15000,
                IF($N963 = 11 + N("Gerente"),
                    12000,
                    IF($N963 = 6 + N("Estagiário"),
                        805,
                        IF($N963 = 7 + N("Trainee"),
                            1005,
                            IF($N963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IF($L963 = 7,
  100,
  IF($L963 = 8,
    200,
    IF($L963 = 9,
      300,
      IF($L963 = 10,
        400,
        0
      )
    )
  )
)
+
N("Adicional no salário por área")
+
IF($M963 = 14 + N("Tecnologia da Informação"),
  120,
  IF($M963 = 16 + N("Vendas"),
    110,
    IF($M963 = 15 + N("Jurídico"),
      100,
      IF(OR($M963 = 8, $M963 = 9, $M963 = 11) + N("Recursos humanos ou comercial ou comunicação e marketing"),
        80,
        0
      )
    )
  )
)
+
N("Adicionando pegadinha")
+
IF(AND($M963 = 13, $N963 = 8) + N("Se for de vendas e analista"),
  IF($J963 = 2,
    50,
    0
  )
  +
  IF($H963 = "M",
    50,
    0
  ),
  0
)</f>
        <v>2000</v>
      </c>
    </row>
    <row r="964" spans="1:21" x14ac:dyDescent="0.2">
      <c r="A964" s="7" cm="1">
        <f t="array" aca="1" ref="A964" ca="1">INDEX(Companies!$A:$A,RANDBETWEEN(2,COUNTA(Companies!$A:$A)),1)</f>
        <v>2</v>
      </c>
      <c r="B964" s="5">
        <f t="shared" si="181"/>
        <v>963</v>
      </c>
      <c r="C964" s="6">
        <f t="shared" ca="1" si="182"/>
        <v>1</v>
      </c>
      <c r="D964" s="7">
        <f ca="1">IF($B964 = 1 + N("Presidente"),
    127,
    IF($B964 = 2 + N("Vice-Presidente"),
        72,
        IF($B964 = 3 + N("Secretária bilíngue"),
            13,
            RANDBETWEEN(5,COUNT(Name!$A:$A) + 1)
        )
    )
)</f>
        <v>136</v>
      </c>
      <c r="E964" s="7" t="str">
        <f ca="1" xml:space="preserve">
VLOOKUP(
  $D964,
  Name!$A:$B,
  2,
  FALSE
)
&amp; " " &amp;
IF($B964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Fellipe Ramos Soares</v>
      </c>
      <c r="F964" s="7">
        <v>2</v>
      </c>
      <c r="G964" s="7" cm="1">
        <f t="array" aca="1" ref="G964" ca="1">INDEX(States!$B:$B,RANDBETWEEN(2,COUNTA(States!$A:$A)),1)</f>
        <v>18</v>
      </c>
      <c r="H964" s="7" t="str">
        <f ca="1">VLOOKUP($D964,Name!$A:$C,3,FALSE)</f>
        <v>M</v>
      </c>
      <c r="I964" s="7" cm="1">
        <f t="array" aca="1" ref="I964" ca="1">INDEX('Marital status'!$A:$A,RANDBETWEEN(2,COUNTA('Marital status'!$A:$A)),1)</f>
        <v>4</v>
      </c>
      <c r="J964" s="7">
        <f t="shared" ca="1" si="183"/>
        <v>2</v>
      </c>
      <c r="K964" s="8">
        <f t="shared" ca="1" si="184"/>
        <v>31941</v>
      </c>
      <c r="L964" s="6">
        <f t="shared" ca="1" si="185"/>
        <v>4</v>
      </c>
      <c r="M964" s="7">
        <f ca="1" xml:space="preserve">
  IF(OR($N964 = 2, $N964 = 3, $N964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964" s="6">
        <f t="shared" ca="1" si="186"/>
        <v>7</v>
      </c>
      <c r="O964" s="6" t="e">
        <f t="shared" ca="1" si="187"/>
        <v>#N/A</v>
      </c>
      <c r="P964" s="8">
        <f t="shared" ca="1" si="188"/>
        <v>40035</v>
      </c>
      <c r="Q964" s="6">
        <f ca="1">RANDBETWEEN(2,COUNTA('Recruitment source'!$A:$A))</f>
        <v>6</v>
      </c>
      <c r="R964" s="8" t="e">
        <f t="shared" ca="1" si="189"/>
        <v>#N/A</v>
      </c>
      <c r="S964" s="6" t="e">
        <f t="shared" ca="1" si="190"/>
        <v>#N/A</v>
      </c>
      <c r="T964" s="6">
        <f t="shared" ca="1" si="180"/>
        <v>5</v>
      </c>
      <c r="U964" s="1">
        <f t="shared" ca="1" si="191"/>
        <v>1085</v>
      </c>
    </row>
    <row r="965" spans="1:21" x14ac:dyDescent="0.2">
      <c r="A965" s="7" cm="1">
        <f t="array" aca="1" ref="A965" ca="1">INDEX(Companies!$A:$A,RANDBETWEEN(2,COUNTA(Companies!$A:$A)),1)</f>
        <v>2</v>
      </c>
      <c r="B965" s="5">
        <f t="shared" si="181"/>
        <v>964</v>
      </c>
      <c r="C965" s="6">
        <f t="shared" ca="1" si="182"/>
        <v>1</v>
      </c>
      <c r="D965" s="7">
        <f ca="1">IF($B965 = 1 + N("Presidente"),
    127,
    IF($B965 = 2 + N("Vice-Presidente"),
        72,
        IF($B965 = 3 + N("Secretária bilíngue"),
            13,
            RANDBETWEEN(5,COUNT(Name!$A:$A) + 1)
        )
    )
)</f>
        <v>117</v>
      </c>
      <c r="E965" s="7" t="str">
        <f ca="1" xml:space="preserve">
VLOOKUP(
  $D965,
  Name!$A:$B,
  2,
  FALSE
)
&amp; " " &amp;
IF($B965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Eduardo Sá Alvim</v>
      </c>
      <c r="F965" s="7">
        <v>2</v>
      </c>
      <c r="G965" s="7" cm="1">
        <f t="array" aca="1" ref="G965" ca="1">INDEX(States!$B:$B,RANDBETWEEN(2,COUNTA(States!$A:$A)),1)</f>
        <v>21</v>
      </c>
      <c r="H965" s="7" t="str">
        <f ca="1">VLOOKUP($D965,Name!$A:$C,3,FALSE)</f>
        <v>M</v>
      </c>
      <c r="I965" s="7" cm="1">
        <f t="array" aca="1" ref="I965" ca="1">INDEX('Marital status'!$A:$A,RANDBETWEEN(2,COUNTA('Marital status'!$A:$A)),1)</f>
        <v>4</v>
      </c>
      <c r="J965" s="7">
        <f t="shared" ca="1" si="183"/>
        <v>2</v>
      </c>
      <c r="K965" s="8">
        <f t="shared" ca="1" si="184"/>
        <v>36464</v>
      </c>
      <c r="L965" s="6">
        <f t="shared" ca="1" si="185"/>
        <v>5</v>
      </c>
      <c r="M965" s="7">
        <f ca="1" xml:space="preserve">
  IF(OR($N965 = 2, $N965 = 3, $N965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965" s="6">
        <f t="shared" ca="1" si="186"/>
        <v>8</v>
      </c>
      <c r="O965" s="6">
        <f t="shared" ca="1" si="187"/>
        <v>3</v>
      </c>
      <c r="P965" s="8">
        <f t="shared" ca="1" si="188"/>
        <v>44769</v>
      </c>
      <c r="Q965" s="6">
        <f ca="1">RANDBETWEEN(2,COUNTA('Recruitment source'!$A:$A))</f>
        <v>10</v>
      </c>
      <c r="R965" s="8" t="e">
        <f t="shared" ca="1" si="189"/>
        <v>#N/A</v>
      </c>
      <c r="S965" s="6" t="e">
        <f t="shared" ca="1" si="190"/>
        <v>#N/A</v>
      </c>
      <c r="T965" s="6">
        <f t="shared" ca="1" si="180"/>
        <v>4</v>
      </c>
      <c r="U965" s="1">
        <f t="shared" ca="1" si="191"/>
        <v>2080</v>
      </c>
    </row>
    <row r="966" spans="1:21" x14ac:dyDescent="0.2">
      <c r="A966" s="7" cm="1">
        <f t="array" aca="1" ref="A966" ca="1">INDEX(Companies!$A:$A,RANDBETWEEN(2,COUNTA(Companies!$A:$A)),1)</f>
        <v>2</v>
      </c>
      <c r="B966" s="5">
        <f t="shared" si="181"/>
        <v>965</v>
      </c>
      <c r="C966" s="6">
        <f t="shared" ca="1" si="182"/>
        <v>1</v>
      </c>
      <c r="D966" s="7">
        <f ca="1">IF($B966 = 1 + N("Presidente"),
    127,
    IF($B966 = 2 + N("Vice-Presidente"),
        72,
        IF($B966 = 3 + N("Secretária bilíngue"),
            13,
            RANDBETWEEN(5,COUNT(Name!$A:$A) + 1)
        )
    )
)</f>
        <v>156</v>
      </c>
      <c r="E966" s="7" t="str">
        <f ca="1" xml:space="preserve">
VLOOKUP(
  $D966,
  Name!$A:$B,
  2,
  FALSE
)
&amp; " " &amp;
IF($B966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Glória Maria Botelho Almeida</v>
      </c>
      <c r="F966" s="7">
        <v>2</v>
      </c>
      <c r="G966" s="7" cm="1">
        <f t="array" aca="1" ref="G966" ca="1">INDEX(States!$B:$B,RANDBETWEEN(2,COUNTA(States!$A:$A)),1)</f>
        <v>13</v>
      </c>
      <c r="H966" s="7" t="str">
        <f ca="1">VLOOKUP($D966,Name!$A:$C,3,FALSE)</f>
        <v>F</v>
      </c>
      <c r="I966" s="7" cm="1">
        <f t="array" aca="1" ref="I966" ca="1">INDEX('Marital status'!$A:$A,RANDBETWEEN(2,COUNTA('Marital status'!$A:$A)),1)</f>
        <v>6</v>
      </c>
      <c r="J966" s="7">
        <f t="shared" ca="1" si="183"/>
        <v>3</v>
      </c>
      <c r="K966" s="8">
        <f t="shared" ca="1" si="184"/>
        <v>19193</v>
      </c>
      <c r="L966" s="6">
        <f t="shared" ca="1" si="185"/>
        <v>4</v>
      </c>
      <c r="M966" s="7">
        <f ca="1" xml:space="preserve">
  IF(OR($N966 = 2, $N966 = 3, $N966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966" s="6">
        <f t="shared" ca="1" si="186"/>
        <v>6</v>
      </c>
      <c r="O966" s="6" t="e">
        <f t="shared" ca="1" si="187"/>
        <v>#N/A</v>
      </c>
      <c r="P966" s="8">
        <f t="shared" ca="1" si="188"/>
        <v>41411</v>
      </c>
      <c r="Q966" s="6">
        <f ca="1">RANDBETWEEN(2,COUNTA('Recruitment source'!$A:$A))</f>
        <v>12</v>
      </c>
      <c r="R966" s="8" t="e">
        <f t="shared" ca="1" si="189"/>
        <v>#N/A</v>
      </c>
      <c r="S966" s="6" t="e">
        <f t="shared" ca="1" si="190"/>
        <v>#N/A</v>
      </c>
      <c r="T966" s="6">
        <f t="shared" ca="1" si="180"/>
        <v>2</v>
      </c>
      <c r="U966" s="1">
        <f t="shared" ca="1" si="191"/>
        <v>805</v>
      </c>
    </row>
    <row r="967" spans="1:21" x14ac:dyDescent="0.2">
      <c r="A967" s="7" cm="1">
        <f t="array" aca="1" ref="A967" ca="1">INDEX(Companies!$A:$A,RANDBETWEEN(2,COUNTA(Companies!$A:$A)),1)</f>
        <v>2</v>
      </c>
      <c r="B967" s="5">
        <f t="shared" si="181"/>
        <v>966</v>
      </c>
      <c r="C967" s="6">
        <f t="shared" ca="1" si="182"/>
        <v>1</v>
      </c>
      <c r="D967" s="7">
        <f ca="1">IF($B967 = 1 + N("Presidente"),
    127,
    IF($B967 = 2 + N("Vice-Presidente"),
        72,
        IF($B967 = 3 + N("Secretária bilíngue"),
            13,
            RANDBETWEEN(5,COUNT(Name!$A:$A) + 1)
        )
    )
)</f>
        <v>37</v>
      </c>
      <c r="E967" s="7" t="str">
        <f ca="1" xml:space="preserve">
VLOOKUP(
  $D967,
  Name!$A:$B,
  2,
  FALSE
)
&amp; " " &amp;
IF($B967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Vitória Mello Romano</v>
      </c>
      <c r="F967" s="7">
        <v>2</v>
      </c>
      <c r="G967" s="7" cm="1">
        <f t="array" aca="1" ref="G967" ca="1">INDEX(States!$B:$B,RANDBETWEEN(2,COUNTA(States!$A:$A)),1)</f>
        <v>8</v>
      </c>
      <c r="H967" s="7" t="str">
        <f ca="1">VLOOKUP($D967,Name!$A:$C,3,FALSE)</f>
        <v>F</v>
      </c>
      <c r="I967" s="7" cm="1">
        <f t="array" aca="1" ref="I967" ca="1">INDEX('Marital status'!$A:$A,RANDBETWEEN(2,COUNTA('Marital status'!$A:$A)),1)</f>
        <v>6</v>
      </c>
      <c r="J967" s="7">
        <f t="shared" ca="1" si="183"/>
        <v>2</v>
      </c>
      <c r="K967" s="8">
        <f t="shared" ca="1" si="184"/>
        <v>34755</v>
      </c>
      <c r="L967" s="6">
        <f t="shared" ca="1" si="185"/>
        <v>4</v>
      </c>
      <c r="M967" s="7">
        <f ca="1" xml:space="preserve">
  IF(OR($N967 = 2, $N967 = 3, $N967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967" s="6">
        <f t="shared" ca="1" si="186"/>
        <v>8</v>
      </c>
      <c r="O967" s="6">
        <f t="shared" ca="1" si="187"/>
        <v>2</v>
      </c>
      <c r="P967" s="8">
        <f t="shared" ca="1" si="188"/>
        <v>40829</v>
      </c>
      <c r="Q967" s="6">
        <f ca="1">RANDBETWEEN(2,COUNTA('Recruitment source'!$A:$A))</f>
        <v>9</v>
      </c>
      <c r="R967" s="8" t="e">
        <f t="shared" ca="1" si="189"/>
        <v>#N/A</v>
      </c>
      <c r="S967" s="6" t="e">
        <f t="shared" ca="1" si="190"/>
        <v>#N/A</v>
      </c>
      <c r="T967" s="6">
        <f t="shared" ca="1" si="180"/>
        <v>5</v>
      </c>
      <c r="U967" s="1">
        <f t="shared" ca="1" si="191"/>
        <v>2050</v>
      </c>
    </row>
    <row r="968" spans="1:21" x14ac:dyDescent="0.2">
      <c r="A968" s="7" cm="1">
        <f t="array" aca="1" ref="A968" ca="1">INDEX(Companies!$A:$A,RANDBETWEEN(2,COUNTA(Companies!$A:$A)),1)</f>
        <v>2</v>
      </c>
      <c r="B968" s="5">
        <f t="shared" si="181"/>
        <v>967</v>
      </c>
      <c r="C968" s="6">
        <f t="shared" ca="1" si="182"/>
        <v>1</v>
      </c>
      <c r="D968" s="7">
        <f ca="1">IF($B968 = 1 + N("Presidente"),
    127,
    IF($B968 = 2 + N("Vice-Presidente"),
        72,
        IF($B968 = 3 + N("Secretária bilíngue"),
            13,
            RANDBETWEEN(5,COUNT(Name!$A:$A) + 1)
        )
    )
)</f>
        <v>364</v>
      </c>
      <c r="E968" s="7" t="str">
        <f ca="1" xml:space="preserve">
VLOOKUP(
  $D968,
  Name!$A:$B,
  2,
  FALSE
)
&amp; " " &amp;
IF($B968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Yasmin Oliveira Lopes</v>
      </c>
      <c r="F968" s="7">
        <v>2</v>
      </c>
      <c r="G968" s="7" cm="1">
        <f t="array" aca="1" ref="G968" ca="1">INDEX(States!$B:$B,RANDBETWEEN(2,COUNTA(States!$A:$A)),1)</f>
        <v>11</v>
      </c>
      <c r="H968" s="7" t="str">
        <f ca="1">VLOOKUP($D968,Name!$A:$C,3,FALSE)</f>
        <v>F</v>
      </c>
      <c r="I968" s="7" cm="1">
        <f t="array" aca="1" ref="I968" ca="1">INDEX('Marital status'!$A:$A,RANDBETWEEN(2,COUNTA('Marital status'!$A:$A)),1)</f>
        <v>2</v>
      </c>
      <c r="J968" s="7">
        <f t="shared" ca="1" si="183"/>
        <v>4</v>
      </c>
      <c r="K968" s="8">
        <f t="shared" ca="1" si="184"/>
        <v>32499</v>
      </c>
      <c r="L968" s="6">
        <f t="shared" ca="1" si="185"/>
        <v>4</v>
      </c>
      <c r="M968" s="7">
        <f ca="1" xml:space="preserve">
  IF(OR($N968 = 2, $N968 = 3, $N968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968" s="6">
        <f t="shared" ca="1" si="186"/>
        <v>7</v>
      </c>
      <c r="O968" s="6" t="e">
        <f t="shared" ca="1" si="187"/>
        <v>#N/A</v>
      </c>
      <c r="P968" s="8">
        <f t="shared" ca="1" si="188"/>
        <v>36712</v>
      </c>
      <c r="Q968" s="6">
        <f ca="1">RANDBETWEEN(2,COUNTA('Recruitment source'!$A:$A))</f>
        <v>7</v>
      </c>
      <c r="R968" s="8" t="e">
        <f t="shared" ca="1" si="189"/>
        <v>#N/A</v>
      </c>
      <c r="S968" s="6" t="e">
        <f t="shared" ca="1" si="190"/>
        <v>#N/A</v>
      </c>
      <c r="T968" s="6">
        <f t="shared" ca="1" si="180"/>
        <v>4</v>
      </c>
      <c r="U968" s="1">
        <f t="shared" ca="1" si="191"/>
        <v>1005</v>
      </c>
    </row>
    <row r="969" spans="1:21" x14ac:dyDescent="0.2">
      <c r="A969" s="7" cm="1">
        <f t="array" aca="1" ref="A969" ca="1">INDEX(Companies!$A:$A,RANDBETWEEN(2,COUNTA(Companies!$A:$A)),1)</f>
        <v>2</v>
      </c>
      <c r="B969" s="5">
        <f t="shared" si="181"/>
        <v>968</v>
      </c>
      <c r="C969" s="6">
        <f t="shared" ca="1" si="182"/>
        <v>1</v>
      </c>
      <c r="D969" s="7">
        <f ca="1">IF($B969 = 1 + N("Presidente"),
    127,
    IF($B969 = 2 + N("Vice-Presidente"),
        72,
        IF($B969 = 3 + N("Secretária bilíngue"),
            13,
            RANDBETWEEN(5,COUNT(Name!$A:$A) + 1)
        )
    )
)</f>
        <v>186</v>
      </c>
      <c r="E969" s="7" t="str">
        <f ca="1" xml:space="preserve">
VLOOKUP(
  $D969,
  Name!$A:$B,
  2,
  FALSE
)
&amp; " " &amp;
IF($B969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Gabriel Pinto Bragança</v>
      </c>
      <c r="F969" s="7">
        <v>2</v>
      </c>
      <c r="G969" s="7" cm="1">
        <f t="array" aca="1" ref="G969" ca="1">INDEX(States!$B:$B,RANDBETWEEN(2,COUNTA(States!$A:$A)),1)</f>
        <v>12</v>
      </c>
      <c r="H969" s="7" t="str">
        <f ca="1">VLOOKUP($D969,Name!$A:$C,3,FALSE)</f>
        <v>M</v>
      </c>
      <c r="I969" s="7" cm="1">
        <f t="array" aca="1" ref="I969" ca="1">INDEX('Marital status'!$A:$A,RANDBETWEEN(2,COUNTA('Marital status'!$A:$A)),1)</f>
        <v>6</v>
      </c>
      <c r="J969" s="7">
        <f t="shared" ca="1" si="183"/>
        <v>5</v>
      </c>
      <c r="K969" s="8">
        <f t="shared" ca="1" si="184"/>
        <v>32855</v>
      </c>
      <c r="L969" s="6">
        <f t="shared" ca="1" si="185"/>
        <v>5</v>
      </c>
      <c r="M969" s="7">
        <f ca="1" xml:space="preserve">
  IF(OR($N969 = 2, $N969 = 3, $N969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969" s="6">
        <f t="shared" ca="1" si="186"/>
        <v>8</v>
      </c>
      <c r="O969" s="6">
        <f t="shared" ca="1" si="187"/>
        <v>3</v>
      </c>
      <c r="P969" s="8">
        <f t="shared" ca="1" si="188"/>
        <v>41987</v>
      </c>
      <c r="Q969" s="6">
        <f ca="1">RANDBETWEEN(2,COUNTA('Recruitment source'!$A:$A))</f>
        <v>2</v>
      </c>
      <c r="R969" s="8" t="e">
        <f t="shared" ca="1" si="189"/>
        <v>#N/A</v>
      </c>
      <c r="S969" s="6" t="e">
        <f t="shared" ca="1" si="190"/>
        <v>#N/A</v>
      </c>
      <c r="T969" s="6">
        <f t="shared" ca="1" si="180"/>
        <v>4</v>
      </c>
      <c r="U969" s="1">
        <f t="shared" ca="1" si="191"/>
        <v>2000</v>
      </c>
    </row>
    <row r="970" spans="1:21" x14ac:dyDescent="0.2">
      <c r="A970" s="7" cm="1">
        <f t="array" aca="1" ref="A970" ca="1">INDEX(Companies!$A:$A,RANDBETWEEN(2,COUNTA(Companies!$A:$A)),1)</f>
        <v>2</v>
      </c>
      <c r="B970" s="5">
        <f t="shared" si="181"/>
        <v>969</v>
      </c>
      <c r="C970" s="6">
        <f t="shared" ca="1" si="182"/>
        <v>1</v>
      </c>
      <c r="D970" s="7">
        <f ca="1">IF($B970 = 1 + N("Presidente"),
    127,
    IF($B970 = 2 + N("Vice-Presidente"),
        72,
        IF($B970 = 3 + N("Secretária bilíngue"),
            13,
            RANDBETWEEN(5,COUNT(Name!$A:$A) + 1)
        )
    )
)</f>
        <v>349</v>
      </c>
      <c r="E970" s="7" t="str">
        <f ca="1" xml:space="preserve">
VLOOKUP(
  $D970,
  Name!$A:$B,
  2,
  FALSE
)
&amp; " " &amp;
IF($B970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Valentina Giordano Moraes</v>
      </c>
      <c r="F970" s="7">
        <v>2</v>
      </c>
      <c r="G970" s="7" cm="1">
        <f t="array" aca="1" ref="G970" ca="1">INDEX(States!$B:$B,RANDBETWEEN(2,COUNTA(States!$A:$A)),1)</f>
        <v>17</v>
      </c>
      <c r="H970" s="7" t="str">
        <f ca="1">VLOOKUP($D970,Name!$A:$C,3,FALSE)</f>
        <v>F</v>
      </c>
      <c r="I970" s="7" cm="1">
        <f t="array" aca="1" ref="I970" ca="1">INDEX('Marital status'!$A:$A,RANDBETWEEN(2,COUNTA('Marital status'!$A:$A)),1)</f>
        <v>5</v>
      </c>
      <c r="J970" s="7">
        <f t="shared" ca="1" si="183"/>
        <v>2</v>
      </c>
      <c r="K970" s="8">
        <f t="shared" ca="1" si="184"/>
        <v>31757</v>
      </c>
      <c r="L970" s="6">
        <f t="shared" ca="1" si="185"/>
        <v>4</v>
      </c>
      <c r="M970" s="7">
        <f ca="1" xml:space="preserve">
  IF(OR($N970 = 2, $N970 = 3, $N970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970" s="6">
        <f t="shared" ca="1" si="186"/>
        <v>6</v>
      </c>
      <c r="O970" s="6" t="e">
        <f t="shared" ca="1" si="187"/>
        <v>#N/A</v>
      </c>
      <c r="P970" s="8">
        <f t="shared" ca="1" si="188"/>
        <v>41642</v>
      </c>
      <c r="Q970" s="6">
        <f ca="1">RANDBETWEEN(2,COUNTA('Recruitment source'!$A:$A))</f>
        <v>4</v>
      </c>
      <c r="R970" s="8" t="e">
        <f t="shared" ca="1" si="189"/>
        <v>#N/A</v>
      </c>
      <c r="S970" s="6" t="e">
        <f t="shared" ca="1" si="190"/>
        <v>#N/A</v>
      </c>
      <c r="T970" s="6">
        <f t="shared" ca="1" si="180"/>
        <v>3</v>
      </c>
      <c r="U970" s="1">
        <f t="shared" ca="1" si="191"/>
        <v>805</v>
      </c>
    </row>
    <row r="971" spans="1:21" x14ac:dyDescent="0.2">
      <c r="A971" s="7" cm="1">
        <f t="array" aca="1" ref="A971" ca="1">INDEX(Companies!$A:$A,RANDBETWEEN(2,COUNTA(Companies!$A:$A)),1)</f>
        <v>2</v>
      </c>
      <c r="B971" s="5">
        <f t="shared" si="181"/>
        <v>970</v>
      </c>
      <c r="C971" s="6">
        <f t="shared" ca="1" si="182"/>
        <v>1</v>
      </c>
      <c r="D971" s="7">
        <f ca="1">IF($B971 = 1 + N("Presidente"),
    127,
    IF($B971 = 2 + N("Vice-Presidente"),
        72,
        IF($B971 = 3 + N("Secretária bilíngue"),
            13,
            RANDBETWEEN(5,COUNT(Name!$A:$A) + 1)
        )
    )
)</f>
        <v>24</v>
      </c>
      <c r="E971" s="7" t="str">
        <f ca="1" xml:space="preserve">
VLOOKUP(
  $D971,
  Name!$A:$B,
  2,
  FALSE
)
&amp; " " &amp;
IF($B971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Ammanda Figo Esteves</v>
      </c>
      <c r="F971" s="7">
        <v>2</v>
      </c>
      <c r="G971" s="7" cm="1">
        <f t="array" aca="1" ref="G971" ca="1">INDEX(States!$B:$B,RANDBETWEEN(2,COUNTA(States!$A:$A)),1)</f>
        <v>13</v>
      </c>
      <c r="H971" s="7" t="str">
        <f ca="1">VLOOKUP($D971,Name!$A:$C,3,FALSE)</f>
        <v>F</v>
      </c>
      <c r="I971" s="7" cm="1">
        <f t="array" aca="1" ref="I971" ca="1">INDEX('Marital status'!$A:$A,RANDBETWEEN(2,COUNTA('Marital status'!$A:$A)),1)</f>
        <v>4</v>
      </c>
      <c r="J971" s="7">
        <f t="shared" ca="1" si="183"/>
        <v>2</v>
      </c>
      <c r="K971" s="8">
        <f t="shared" ca="1" si="184"/>
        <v>36027</v>
      </c>
      <c r="L971" s="6">
        <f t="shared" ca="1" si="185"/>
        <v>5</v>
      </c>
      <c r="M971" s="7">
        <f ca="1" xml:space="preserve">
  IF(OR($N971 = 2, $N971 = 3, $N971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971" s="6">
        <f t="shared" ca="1" si="186"/>
        <v>8</v>
      </c>
      <c r="O971" s="6">
        <f t="shared" ca="1" si="187"/>
        <v>2</v>
      </c>
      <c r="P971" s="8">
        <f t="shared" ca="1" si="188"/>
        <v>42014</v>
      </c>
      <c r="Q971" s="6">
        <f ca="1">RANDBETWEEN(2,COUNTA('Recruitment source'!$A:$A))</f>
        <v>10</v>
      </c>
      <c r="R971" s="8" t="e">
        <f t="shared" ca="1" si="189"/>
        <v>#N/A</v>
      </c>
      <c r="S971" s="6" t="e">
        <f t="shared" ca="1" si="190"/>
        <v>#N/A</v>
      </c>
      <c r="T971" s="6">
        <f t="shared" ca="1" si="180"/>
        <v>5</v>
      </c>
      <c r="U971" s="1">
        <f t="shared" ca="1" si="191"/>
        <v>2000</v>
      </c>
    </row>
    <row r="972" spans="1:21" x14ac:dyDescent="0.2">
      <c r="A972" s="7" cm="1">
        <f t="array" aca="1" ref="A972" ca="1">INDEX(Companies!$A:$A,RANDBETWEEN(2,COUNTA(Companies!$A:$A)),1)</f>
        <v>2</v>
      </c>
      <c r="B972" s="5">
        <f t="shared" si="181"/>
        <v>971</v>
      </c>
      <c r="C972" s="6">
        <f t="shared" ca="1" si="182"/>
        <v>1</v>
      </c>
      <c r="D972" s="7">
        <f ca="1">IF($B972 = 1 + N("Presidente"),
    127,
    IF($B972 = 2 + N("Vice-Presidente"),
        72,
        IF($B972 = 3 + N("Secretária bilíngue"),
            13,
            RANDBETWEEN(5,COUNT(Name!$A:$A) + 1)
        )
    )
)</f>
        <v>222</v>
      </c>
      <c r="E972" s="7" t="str">
        <f ca="1" xml:space="preserve">
VLOOKUP(
  $D972,
  Name!$A:$B,
  2,
  FALSE
)
&amp; " " &amp;
IF($B972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Lavignia Furtado Colombo</v>
      </c>
      <c r="F972" s="7">
        <v>2</v>
      </c>
      <c r="G972" s="7" cm="1">
        <f t="array" aca="1" ref="G972" ca="1">INDEX(States!$B:$B,RANDBETWEEN(2,COUNTA(States!$A:$A)),1)</f>
        <v>9</v>
      </c>
      <c r="H972" s="7" t="str">
        <f ca="1">VLOOKUP($D972,Name!$A:$C,3,FALSE)</f>
        <v>F</v>
      </c>
      <c r="I972" s="7" cm="1">
        <f t="array" aca="1" ref="I972" ca="1">INDEX('Marital status'!$A:$A,RANDBETWEEN(2,COUNTA('Marital status'!$A:$A)),1)</f>
        <v>2</v>
      </c>
      <c r="J972" s="7">
        <f t="shared" ca="1" si="183"/>
        <v>2</v>
      </c>
      <c r="K972" s="8">
        <f t="shared" ca="1" si="184"/>
        <v>32087</v>
      </c>
      <c r="L972" s="6">
        <f t="shared" ca="1" si="185"/>
        <v>4</v>
      </c>
      <c r="M972" s="7">
        <f ca="1" xml:space="preserve">
  IF(OR($N972 = 2, $N972 = 3, $N972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972" s="6">
        <f t="shared" ca="1" si="186"/>
        <v>7</v>
      </c>
      <c r="O972" s="6" t="e">
        <f t="shared" ca="1" si="187"/>
        <v>#N/A</v>
      </c>
      <c r="P972" s="8">
        <f t="shared" ca="1" si="188"/>
        <v>39150</v>
      </c>
      <c r="Q972" s="6">
        <f ca="1">RANDBETWEEN(2,COUNTA('Recruitment source'!$A:$A))</f>
        <v>4</v>
      </c>
      <c r="R972" s="8" t="e">
        <f t="shared" ca="1" si="189"/>
        <v>#N/A</v>
      </c>
      <c r="S972" s="6" t="e">
        <f t="shared" ca="1" si="190"/>
        <v>#N/A</v>
      </c>
      <c r="T972" s="6">
        <f t="shared" ca="1" si="180"/>
        <v>3</v>
      </c>
      <c r="U972" s="1">
        <f t="shared" ca="1" si="191"/>
        <v>1005</v>
      </c>
    </row>
    <row r="973" spans="1:21" x14ac:dyDescent="0.2">
      <c r="A973" s="7" cm="1">
        <f t="array" aca="1" ref="A973" ca="1">INDEX(Companies!$A:$A,RANDBETWEEN(2,COUNTA(Companies!$A:$A)),1)</f>
        <v>2</v>
      </c>
      <c r="B973" s="5">
        <f t="shared" si="181"/>
        <v>972</v>
      </c>
      <c r="C973" s="6">
        <f t="shared" ca="1" si="182"/>
        <v>1</v>
      </c>
      <c r="D973" s="7">
        <f ca="1">IF($B973 = 1 + N("Presidente"),
    127,
    IF($B973 = 2 + N("Vice-Presidente"),
        72,
        IF($B973 = 3 + N("Secretária bilíngue"),
            13,
            RANDBETWEEN(5,COUNT(Name!$A:$A) + 1)
        )
    )
)</f>
        <v>201</v>
      </c>
      <c r="E973" s="7" t="str">
        <f ca="1" xml:space="preserve">
VLOOKUP(
  $D973,
  Name!$A:$B,
  2,
  FALSE
)
&amp; " " &amp;
IF($B973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Júlia Saragoça Serra</v>
      </c>
      <c r="F973" s="7">
        <v>2</v>
      </c>
      <c r="G973" s="7" cm="1">
        <f t="array" aca="1" ref="G973" ca="1">INDEX(States!$B:$B,RANDBETWEEN(2,COUNTA(States!$A:$A)),1)</f>
        <v>12</v>
      </c>
      <c r="H973" s="7" t="str">
        <f ca="1">VLOOKUP($D973,Name!$A:$C,3,FALSE)</f>
        <v>F</v>
      </c>
      <c r="I973" s="7" cm="1">
        <f t="array" aca="1" ref="I973" ca="1">INDEX('Marital status'!$A:$A,RANDBETWEEN(2,COUNTA('Marital status'!$A:$A)),1)</f>
        <v>5</v>
      </c>
      <c r="J973" s="7">
        <f t="shared" ca="1" si="183"/>
        <v>3</v>
      </c>
      <c r="K973" s="8">
        <f t="shared" ca="1" si="184"/>
        <v>33831</v>
      </c>
      <c r="L973" s="6">
        <f t="shared" ca="1" si="185"/>
        <v>5</v>
      </c>
      <c r="M973" s="7">
        <f ca="1" xml:space="preserve">
  IF(OR($N973 = 2, $N973 = 3, $N973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973" s="6">
        <f t="shared" ca="1" si="186"/>
        <v>8</v>
      </c>
      <c r="O973" s="6">
        <f t="shared" ca="1" si="187"/>
        <v>3</v>
      </c>
      <c r="P973" s="8">
        <f t="shared" ca="1" si="188"/>
        <v>43640</v>
      </c>
      <c r="Q973" s="6">
        <f ca="1">RANDBETWEEN(2,COUNTA('Recruitment source'!$A:$A))</f>
        <v>7</v>
      </c>
      <c r="R973" s="8" t="e">
        <f t="shared" ca="1" si="189"/>
        <v>#N/A</v>
      </c>
      <c r="S973" s="6" t="e">
        <f t="shared" ca="1" si="190"/>
        <v>#N/A</v>
      </c>
      <c r="T973" s="6">
        <f t="shared" ca="1" si="180"/>
        <v>4</v>
      </c>
      <c r="U973" s="1">
        <f t="shared" ca="1" si="191"/>
        <v>2000</v>
      </c>
    </row>
    <row r="974" spans="1:21" x14ac:dyDescent="0.2">
      <c r="A974" s="7" cm="1">
        <f t="array" aca="1" ref="A974" ca="1">INDEX(Companies!$A:$A,RANDBETWEEN(2,COUNTA(Companies!$A:$A)),1)</f>
        <v>2</v>
      </c>
      <c r="B974" s="5">
        <f t="shared" si="181"/>
        <v>973</v>
      </c>
      <c r="C974" s="6">
        <f t="shared" ca="1" si="182"/>
        <v>1</v>
      </c>
      <c r="D974" s="7">
        <f ca="1">IF($B974 = 1 + N("Presidente"),
    127,
    IF($B974 = 2 + N("Vice-Presidente"),
        72,
        IF($B974 = 3 + N("Secretária bilíngue"),
            13,
            RANDBETWEEN(5,COUNT(Name!$A:$A) + 1)
        )
    )
)</f>
        <v>119</v>
      </c>
      <c r="E974" s="7" t="str">
        <f ca="1" xml:space="preserve">
VLOOKUP(
  $D974,
  Name!$A:$B,
  2,
  FALSE
)
&amp; " " &amp;
IF($B974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Elisa Ferrão Longo</v>
      </c>
      <c r="F974" s="7">
        <v>2</v>
      </c>
      <c r="G974" s="7" cm="1">
        <f t="array" aca="1" ref="G974" ca="1">INDEX(States!$B:$B,RANDBETWEEN(2,COUNTA(States!$A:$A)),1)</f>
        <v>14</v>
      </c>
      <c r="H974" s="7" t="str">
        <f ca="1">VLOOKUP($D974,Name!$A:$C,3,FALSE)</f>
        <v>F</v>
      </c>
      <c r="I974" s="7" cm="1">
        <f t="array" aca="1" ref="I974" ca="1">INDEX('Marital status'!$A:$A,RANDBETWEEN(2,COUNTA('Marital status'!$A:$A)),1)</f>
        <v>2</v>
      </c>
      <c r="J974" s="7">
        <f t="shared" ca="1" si="183"/>
        <v>2</v>
      </c>
      <c r="K974" s="8">
        <f t="shared" ca="1" si="184"/>
        <v>28884</v>
      </c>
      <c r="L974" s="6">
        <f t="shared" ca="1" si="185"/>
        <v>4</v>
      </c>
      <c r="M974" s="7">
        <f ca="1" xml:space="preserve">
  IF(OR($N974 = 2, $N974 = 3, $N974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974" s="6">
        <f t="shared" ca="1" si="186"/>
        <v>6</v>
      </c>
      <c r="O974" s="6" t="e">
        <f t="shared" ca="1" si="187"/>
        <v>#N/A</v>
      </c>
      <c r="P974" s="8">
        <f t="shared" ca="1" si="188"/>
        <v>39149</v>
      </c>
      <c r="Q974" s="6">
        <f ca="1">RANDBETWEEN(2,COUNTA('Recruitment source'!$A:$A))</f>
        <v>9</v>
      </c>
      <c r="R974" s="8" t="e">
        <f t="shared" ca="1" si="189"/>
        <v>#N/A</v>
      </c>
      <c r="S974" s="6" t="e">
        <f t="shared" ca="1" si="190"/>
        <v>#N/A</v>
      </c>
      <c r="T974" s="6">
        <f t="shared" ca="1" si="180"/>
        <v>3</v>
      </c>
      <c r="U974" s="1">
        <f t="shared" ca="1" si="191"/>
        <v>885</v>
      </c>
    </row>
    <row r="975" spans="1:21" x14ac:dyDescent="0.2">
      <c r="A975" s="7" cm="1">
        <f t="array" aca="1" ref="A975" ca="1">INDEX(Companies!$A:$A,RANDBETWEEN(2,COUNTA(Companies!$A:$A)),1)</f>
        <v>2</v>
      </c>
      <c r="B975" s="5">
        <f t="shared" si="181"/>
        <v>974</v>
      </c>
      <c r="C975" s="6">
        <f t="shared" ca="1" si="182"/>
        <v>1</v>
      </c>
      <c r="D975" s="7">
        <f ca="1">IF($B975 = 1 + N("Presidente"),
    127,
    IF($B975 = 2 + N("Vice-Presidente"),
        72,
        IF($B975 = 3 + N("Secretária bilíngue"),
            13,
            RANDBETWEEN(5,COUNT(Name!$A:$A) + 1)
        )
    )
)</f>
        <v>356</v>
      </c>
      <c r="E975" s="7" t="str">
        <f ca="1" xml:space="preserve">
VLOOKUP(
  $D975,
  Name!$A:$B,
  2,
  FALSE
)
&amp; " " &amp;
IF($B975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Victória Moretti Esposito</v>
      </c>
      <c r="F975" s="7">
        <v>2</v>
      </c>
      <c r="G975" s="7" cm="1">
        <f t="array" aca="1" ref="G975" ca="1">INDEX(States!$B:$B,RANDBETWEEN(2,COUNTA(States!$A:$A)),1)</f>
        <v>16</v>
      </c>
      <c r="H975" s="7" t="str">
        <f ca="1">VLOOKUP($D975,Name!$A:$C,3,FALSE)</f>
        <v>F</v>
      </c>
      <c r="I975" s="7" cm="1">
        <f t="array" aca="1" ref="I975" ca="1">INDEX('Marital status'!$A:$A,RANDBETWEEN(2,COUNTA('Marital status'!$A:$A)),1)</f>
        <v>3</v>
      </c>
      <c r="J975" s="7">
        <f t="shared" ca="1" si="183"/>
        <v>2</v>
      </c>
      <c r="K975" s="8">
        <f t="shared" ca="1" si="184"/>
        <v>36979</v>
      </c>
      <c r="L975" s="6">
        <f t="shared" ca="1" si="185"/>
        <v>5</v>
      </c>
      <c r="M975" s="7">
        <f ca="1" xml:space="preserve">
  IF(OR($N975 = 2, $N975 = 3, $N975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975" s="6">
        <f t="shared" ca="1" si="186"/>
        <v>8</v>
      </c>
      <c r="O975" s="6">
        <f t="shared" ca="1" si="187"/>
        <v>3</v>
      </c>
      <c r="P975" s="8">
        <f t="shared" ca="1" si="188"/>
        <v>44818</v>
      </c>
      <c r="Q975" s="6">
        <f ca="1">RANDBETWEEN(2,COUNTA('Recruitment source'!$A:$A))</f>
        <v>3</v>
      </c>
      <c r="R975" s="8" t="e">
        <f t="shared" ca="1" si="189"/>
        <v>#N/A</v>
      </c>
      <c r="S975" s="6" t="e">
        <f t="shared" ca="1" si="190"/>
        <v>#N/A</v>
      </c>
      <c r="T975" s="6">
        <f t="shared" ca="1" si="180"/>
        <v>2</v>
      </c>
      <c r="U975" s="1">
        <f t="shared" ca="1" si="191"/>
        <v>2000</v>
      </c>
    </row>
    <row r="976" spans="1:21" x14ac:dyDescent="0.2">
      <c r="A976" s="7" cm="1">
        <f t="array" aca="1" ref="A976" ca="1">INDEX(Companies!$A:$A,RANDBETWEEN(2,COUNTA(Companies!$A:$A)),1)</f>
        <v>2</v>
      </c>
      <c r="B976" s="5">
        <f t="shared" si="181"/>
        <v>975</v>
      </c>
      <c r="C976" s="6">
        <f t="shared" ca="1" si="182"/>
        <v>1</v>
      </c>
      <c r="D976" s="7">
        <f ca="1">IF($B976 = 1 + N("Presidente"),
    127,
    IF($B976 = 2 + N("Vice-Presidente"),
        72,
        IF($B976 = 3 + N("Secretária bilíngue"),
            13,
            RANDBETWEEN(5,COUNT(Name!$A:$A) + 1)
        )
    )
)</f>
        <v>166</v>
      </c>
      <c r="E976" s="7" t="str">
        <f ca="1" xml:space="preserve">
VLOOKUP(
  $D976,
  Name!$A:$B,
  2,
  FALSE
)
&amp; " " &amp;
IF($B976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Henrico Romano Arruda</v>
      </c>
      <c r="F976" s="7">
        <v>2</v>
      </c>
      <c r="G976" s="7" cm="1">
        <f t="array" aca="1" ref="G976" ca="1">INDEX(States!$B:$B,RANDBETWEEN(2,COUNTA(States!$A:$A)),1)</f>
        <v>9</v>
      </c>
      <c r="H976" s="7" t="str">
        <f ca="1">VLOOKUP($D976,Name!$A:$C,3,FALSE)</f>
        <v>M</v>
      </c>
      <c r="I976" s="7" cm="1">
        <f t="array" aca="1" ref="I976" ca="1">INDEX('Marital status'!$A:$A,RANDBETWEEN(2,COUNTA('Marital status'!$A:$A)),1)</f>
        <v>5</v>
      </c>
      <c r="J976" s="7">
        <f t="shared" ca="1" si="183"/>
        <v>2</v>
      </c>
      <c r="K976" s="8">
        <f t="shared" ca="1" si="184"/>
        <v>29367</v>
      </c>
      <c r="L976" s="6">
        <f t="shared" ca="1" si="185"/>
        <v>4</v>
      </c>
      <c r="M976" s="7">
        <f ca="1" xml:space="preserve">
  IF(OR($N976 = 2, $N976 = 3, $N976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976" s="6">
        <f t="shared" ca="1" si="186"/>
        <v>7</v>
      </c>
      <c r="O976" s="6" t="e">
        <f t="shared" ca="1" si="187"/>
        <v>#N/A</v>
      </c>
      <c r="P976" s="8">
        <f t="shared" ca="1" si="188"/>
        <v>38475</v>
      </c>
      <c r="Q976" s="6">
        <f ca="1">RANDBETWEEN(2,COUNTA('Recruitment source'!$A:$A))</f>
        <v>2</v>
      </c>
      <c r="R976" s="8" t="e">
        <f t="shared" ca="1" si="189"/>
        <v>#N/A</v>
      </c>
      <c r="S976" s="6" t="e">
        <f t="shared" ca="1" si="190"/>
        <v>#N/A</v>
      </c>
      <c r="T976" s="6">
        <f t="shared" ca="1" si="180"/>
        <v>2</v>
      </c>
      <c r="U976" s="1">
        <f t="shared" ca="1" si="191"/>
        <v>1005</v>
      </c>
    </row>
    <row r="977" spans="1:21" x14ac:dyDescent="0.2">
      <c r="A977" s="7" cm="1">
        <f t="array" aca="1" ref="A977" ca="1">INDEX(Companies!$A:$A,RANDBETWEEN(2,COUNTA(Companies!$A:$A)),1)</f>
        <v>2</v>
      </c>
      <c r="B977" s="5">
        <f t="shared" si="181"/>
        <v>976</v>
      </c>
      <c r="C977" s="6">
        <f t="shared" ca="1" si="182"/>
        <v>1</v>
      </c>
      <c r="D977" s="7">
        <f ca="1">IF($B977 = 1 + N("Presidente"),
    127,
    IF($B977 = 2 + N("Vice-Presidente"),
        72,
        IF($B977 = 3 + N("Secretária bilíngue"),
            13,
            RANDBETWEEN(5,COUNT(Name!$A:$A) + 1)
        )
    )
)</f>
        <v>319</v>
      </c>
      <c r="E977" s="7" t="str">
        <f ca="1" xml:space="preserve">
VLOOKUP(
  $D977,
  Name!$A:$B,
  2,
  FALSE
)
&amp; " " &amp;
IF($B977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Miguel Santoro Araújo</v>
      </c>
      <c r="F977" s="7">
        <v>2</v>
      </c>
      <c r="G977" s="7" cm="1">
        <f t="array" aca="1" ref="G977" ca="1">INDEX(States!$B:$B,RANDBETWEEN(2,COUNTA(States!$A:$A)),1)</f>
        <v>19</v>
      </c>
      <c r="H977" s="7" t="str">
        <f ca="1">VLOOKUP($D977,Name!$A:$C,3,FALSE)</f>
        <v>M</v>
      </c>
      <c r="I977" s="7" cm="1">
        <f t="array" aca="1" ref="I977" ca="1">INDEX('Marital status'!$A:$A,RANDBETWEEN(2,COUNTA('Marital status'!$A:$A)),1)</f>
        <v>6</v>
      </c>
      <c r="J977" s="7">
        <f t="shared" ca="1" si="183"/>
        <v>2</v>
      </c>
      <c r="K977" s="8">
        <f t="shared" ca="1" si="184"/>
        <v>32653</v>
      </c>
      <c r="L977" s="6">
        <f t="shared" ca="1" si="185"/>
        <v>4</v>
      </c>
      <c r="M977" s="7">
        <f ca="1" xml:space="preserve">
  IF(OR($N977 = 2, $N977 = 3, $N977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977" s="6">
        <f t="shared" ca="1" si="186"/>
        <v>8</v>
      </c>
      <c r="O977" s="6">
        <f t="shared" ca="1" si="187"/>
        <v>4</v>
      </c>
      <c r="P977" s="8">
        <f t="shared" ca="1" si="188"/>
        <v>42211</v>
      </c>
      <c r="Q977" s="6">
        <f ca="1">RANDBETWEEN(2,COUNTA('Recruitment source'!$A:$A))</f>
        <v>2</v>
      </c>
      <c r="R977" s="8" t="e">
        <f t="shared" ca="1" si="189"/>
        <v>#N/A</v>
      </c>
      <c r="S977" s="6" t="e">
        <f t="shared" ca="1" si="190"/>
        <v>#N/A</v>
      </c>
      <c r="T977" s="6">
        <f t="shared" ca="1" si="180"/>
        <v>2</v>
      </c>
      <c r="U977" s="1">
        <f t="shared" ca="1" si="191"/>
        <v>2100</v>
      </c>
    </row>
    <row r="978" spans="1:21" x14ac:dyDescent="0.2">
      <c r="A978" s="7" cm="1">
        <f t="array" aca="1" ref="A978" ca="1">INDEX(Companies!$A:$A,RANDBETWEEN(2,COUNTA(Companies!$A:$A)),1)</f>
        <v>2</v>
      </c>
      <c r="B978" s="5">
        <f t="shared" si="181"/>
        <v>977</v>
      </c>
      <c r="C978" s="6">
        <f t="shared" ca="1" si="182"/>
        <v>1</v>
      </c>
      <c r="D978" s="7">
        <f ca="1">IF($B978 = 1 + N("Presidente"),
    127,
    IF($B978 = 2 + N("Vice-Presidente"),
        72,
        IF($B978 = 3 + N("Secretária bilíngue"),
            13,
            RANDBETWEEN(5,COUNT(Name!$A:$A) + 1)
        )
    )
)</f>
        <v>50</v>
      </c>
      <c r="E978" s="7" t="str">
        <f ca="1" xml:space="preserve">
VLOOKUP(
  $D978,
  Name!$A:$B,
  2,
  FALSE
)
&amp; " " &amp;
IF($B978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Antonella Rossi Badu</v>
      </c>
      <c r="F978" s="7">
        <v>2</v>
      </c>
      <c r="G978" s="7" cm="1">
        <f t="array" aca="1" ref="G978" ca="1">INDEX(States!$B:$B,RANDBETWEEN(2,COUNTA(States!$A:$A)),1)</f>
        <v>8</v>
      </c>
      <c r="H978" s="7" t="str">
        <f ca="1">VLOOKUP($D978,Name!$A:$C,3,FALSE)</f>
        <v>F</v>
      </c>
      <c r="I978" s="7" cm="1">
        <f t="array" aca="1" ref="I978" ca="1">INDEX('Marital status'!$A:$A,RANDBETWEEN(2,COUNTA('Marital status'!$A:$A)),1)</f>
        <v>5</v>
      </c>
      <c r="J978" s="7">
        <f t="shared" ca="1" si="183"/>
        <v>2</v>
      </c>
      <c r="K978" s="8">
        <f t="shared" ca="1" si="184"/>
        <v>31974</v>
      </c>
      <c r="L978" s="6">
        <f t="shared" ca="1" si="185"/>
        <v>4</v>
      </c>
      <c r="M978" s="7">
        <f ca="1" xml:space="preserve">
  IF(OR($N978 = 2, $N978 = 3, $N978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978" s="6">
        <f t="shared" ca="1" si="186"/>
        <v>6</v>
      </c>
      <c r="O978" s="6" t="e">
        <f t="shared" ca="1" si="187"/>
        <v>#N/A</v>
      </c>
      <c r="P978" s="8">
        <f t="shared" ca="1" si="188"/>
        <v>41406</v>
      </c>
      <c r="Q978" s="6">
        <f ca="1">RANDBETWEEN(2,COUNTA('Recruitment source'!$A:$A))</f>
        <v>10</v>
      </c>
      <c r="R978" s="8" t="e">
        <f t="shared" ca="1" si="189"/>
        <v>#N/A</v>
      </c>
      <c r="S978" s="6" t="e">
        <f t="shared" ca="1" si="190"/>
        <v>#N/A</v>
      </c>
      <c r="T978" s="6">
        <f t="shared" ca="1" si="180"/>
        <v>3</v>
      </c>
      <c r="U978" s="1">
        <f t="shared" ca="1" si="191"/>
        <v>805</v>
      </c>
    </row>
    <row r="979" spans="1:21" x14ac:dyDescent="0.2">
      <c r="A979" s="7" cm="1">
        <f t="array" aca="1" ref="A979" ca="1">INDEX(Companies!$A:$A,RANDBETWEEN(2,COUNTA(Companies!$A:$A)),1)</f>
        <v>2</v>
      </c>
      <c r="B979" s="5">
        <f t="shared" si="181"/>
        <v>978</v>
      </c>
      <c r="C979" s="6">
        <f t="shared" ca="1" si="182"/>
        <v>1</v>
      </c>
      <c r="D979" s="7">
        <f ca="1">IF($B979 = 1 + N("Presidente"),
    127,
    IF($B979 = 2 + N("Vice-Presidente"),
        72,
        IF($B979 = 3 + N("Secretária bilíngue"),
            13,
            RANDBETWEEN(5,COUNT(Name!$A:$A) + 1)
        )
    )
)</f>
        <v>256</v>
      </c>
      <c r="E979" s="7" t="str">
        <f ca="1" xml:space="preserve">
VLOOKUP(
  $D979,
  Name!$A:$B,
  2,
  FALSE
)
&amp; " " &amp;
IF($B979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Marcelo Barbosa Vaz</v>
      </c>
      <c r="F979" s="7">
        <v>2</v>
      </c>
      <c r="G979" s="7" cm="1">
        <f t="array" aca="1" ref="G979" ca="1">INDEX(States!$B:$B,RANDBETWEEN(2,COUNTA(States!$A:$A)),1)</f>
        <v>7</v>
      </c>
      <c r="H979" s="7" t="str">
        <f ca="1">VLOOKUP($D979,Name!$A:$C,3,FALSE)</f>
        <v>M</v>
      </c>
      <c r="I979" s="7" cm="1">
        <f t="array" aca="1" ref="I979" ca="1">INDEX('Marital status'!$A:$A,RANDBETWEEN(2,COUNTA('Marital status'!$A:$A)),1)</f>
        <v>3</v>
      </c>
      <c r="J979" s="7">
        <f t="shared" ca="1" si="183"/>
        <v>4</v>
      </c>
      <c r="K979" s="8">
        <f t="shared" ca="1" si="184"/>
        <v>32729</v>
      </c>
      <c r="L979" s="6">
        <f t="shared" ca="1" si="185"/>
        <v>4</v>
      </c>
      <c r="M979" s="7">
        <f ca="1" xml:space="preserve">
  IF(OR($N979 = 2, $N979 = 3, $N979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979" s="6">
        <f t="shared" ca="1" si="186"/>
        <v>8</v>
      </c>
      <c r="O979" s="6">
        <f t="shared" ca="1" si="187"/>
        <v>4</v>
      </c>
      <c r="P979" s="8">
        <f t="shared" ca="1" si="188"/>
        <v>36295</v>
      </c>
      <c r="Q979" s="6">
        <f ca="1">RANDBETWEEN(2,COUNTA('Recruitment source'!$A:$A))</f>
        <v>6</v>
      </c>
      <c r="R979" s="8" t="e">
        <f t="shared" ca="1" si="189"/>
        <v>#N/A</v>
      </c>
      <c r="S979" s="6" t="e">
        <f t="shared" ca="1" si="190"/>
        <v>#N/A</v>
      </c>
      <c r="T979" s="6">
        <f t="shared" ca="1" si="180"/>
        <v>3</v>
      </c>
      <c r="U979" s="1">
        <f t="shared" ca="1" si="191"/>
        <v>2050</v>
      </c>
    </row>
    <row r="980" spans="1:21" x14ac:dyDescent="0.2">
      <c r="A980" s="7" cm="1">
        <f t="array" aca="1" ref="A980" ca="1">INDEX(Companies!$A:$A,RANDBETWEEN(2,COUNTA(Companies!$A:$A)),1)</f>
        <v>2</v>
      </c>
      <c r="B980" s="5">
        <f t="shared" si="181"/>
        <v>979</v>
      </c>
      <c r="C980" s="6">
        <f t="shared" ca="1" si="182"/>
        <v>1</v>
      </c>
      <c r="D980" s="7">
        <f ca="1">IF($B980 = 1 + N("Presidente"),
    127,
    IF($B980 = 2 + N("Vice-Presidente"),
        72,
        IF($B980 = 3 + N("Secretária bilíngue"),
            13,
            RANDBETWEEN(5,COUNT(Name!$A:$A) + 1)
        )
    )
)</f>
        <v>278</v>
      </c>
      <c r="E980" s="7" t="str">
        <f ca="1" xml:space="preserve">
VLOOKUP(
  $D980,
  Name!$A:$B,
  2,
  FALSE
)
&amp; " " &amp;
IF($B980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Mariana Luz Medeiros</v>
      </c>
      <c r="F980" s="7">
        <v>2</v>
      </c>
      <c r="G980" s="7" cm="1">
        <f t="array" aca="1" ref="G980" ca="1">INDEX(States!$B:$B,RANDBETWEEN(2,COUNTA(States!$A:$A)),1)</f>
        <v>3</v>
      </c>
      <c r="H980" s="7" t="str">
        <f ca="1">VLOOKUP($D980,Name!$A:$C,3,FALSE)</f>
        <v>F</v>
      </c>
      <c r="I980" s="7" cm="1">
        <f t="array" aca="1" ref="I980" ca="1">INDEX('Marital status'!$A:$A,RANDBETWEEN(2,COUNTA('Marital status'!$A:$A)),1)</f>
        <v>6</v>
      </c>
      <c r="J980" s="7">
        <f t="shared" ca="1" si="183"/>
        <v>3</v>
      </c>
      <c r="K980" s="8">
        <f t="shared" ca="1" si="184"/>
        <v>29924</v>
      </c>
      <c r="L980" s="6">
        <f t="shared" ca="1" si="185"/>
        <v>4</v>
      </c>
      <c r="M980" s="7">
        <f ca="1" xml:space="preserve">
  IF(OR($N980 = 2, $N980 = 3, $N980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980" s="6">
        <f t="shared" ca="1" si="186"/>
        <v>7</v>
      </c>
      <c r="O980" s="6" t="e">
        <f t="shared" ca="1" si="187"/>
        <v>#N/A</v>
      </c>
      <c r="P980" s="8">
        <f t="shared" ca="1" si="188"/>
        <v>37507</v>
      </c>
      <c r="Q980" s="6">
        <f ca="1">RANDBETWEEN(2,COUNTA('Recruitment source'!$A:$A))</f>
        <v>10</v>
      </c>
      <c r="R980" s="8" t="e">
        <f t="shared" ca="1" si="189"/>
        <v>#N/A</v>
      </c>
      <c r="S980" s="6" t="e">
        <f t="shared" ca="1" si="190"/>
        <v>#N/A</v>
      </c>
      <c r="T980" s="6">
        <f t="shared" ca="1" si="180"/>
        <v>3</v>
      </c>
      <c r="U980" s="1">
        <f t="shared" ca="1" si="191"/>
        <v>1005</v>
      </c>
    </row>
    <row r="981" spans="1:21" x14ac:dyDescent="0.2">
      <c r="A981" s="7" cm="1">
        <f t="array" aca="1" ref="A981" ca="1">INDEX(Companies!$A:$A,RANDBETWEEN(2,COUNTA(Companies!$A:$A)),1)</f>
        <v>2</v>
      </c>
      <c r="B981" s="5">
        <f t="shared" si="181"/>
        <v>980</v>
      </c>
      <c r="C981" s="6">
        <f t="shared" ca="1" si="182"/>
        <v>1</v>
      </c>
      <c r="D981" s="7">
        <f ca="1">IF($B981 = 1 + N("Presidente"),
    127,
    IF($B981 = 2 + N("Vice-Presidente"),
        72,
        IF($B981 = 3 + N("Secretária bilíngue"),
            13,
            RANDBETWEEN(5,COUNT(Name!$A:$A) + 1)
        )
    )
)</f>
        <v>68</v>
      </c>
      <c r="E981" s="7" t="str">
        <f ca="1" xml:space="preserve">
VLOOKUP(
  $D981,
  Name!$A:$B,
  2,
  FALSE
)
&amp; " " &amp;
IF($B981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Benício Almeida Testa</v>
      </c>
      <c r="F981" s="7">
        <v>2</v>
      </c>
      <c r="G981" s="7" cm="1">
        <f t="array" aca="1" ref="G981" ca="1">INDEX(States!$B:$B,RANDBETWEEN(2,COUNTA(States!$A:$A)),1)</f>
        <v>8</v>
      </c>
      <c r="H981" s="7" t="str">
        <f ca="1">VLOOKUP($D981,Name!$A:$C,3,FALSE)</f>
        <v>M</v>
      </c>
      <c r="I981" s="7" cm="1">
        <f t="array" aca="1" ref="I981" ca="1">INDEX('Marital status'!$A:$A,RANDBETWEEN(2,COUNTA('Marital status'!$A:$A)),1)</f>
        <v>2</v>
      </c>
      <c r="J981" s="7">
        <f t="shared" ca="1" si="183"/>
        <v>2</v>
      </c>
      <c r="K981" s="8">
        <f t="shared" ca="1" si="184"/>
        <v>35150</v>
      </c>
      <c r="L981" s="6">
        <f t="shared" ca="1" si="185"/>
        <v>5</v>
      </c>
      <c r="M981" s="7">
        <f ca="1" xml:space="preserve">
  IF(OR($N981 = 2, $N981 = 3, $N981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981" s="6">
        <f t="shared" ca="1" si="186"/>
        <v>8</v>
      </c>
      <c r="O981" s="6">
        <f t="shared" ca="1" si="187"/>
        <v>2</v>
      </c>
      <c r="P981" s="8">
        <f t="shared" ca="1" si="188"/>
        <v>43273</v>
      </c>
      <c r="Q981" s="6">
        <f ca="1">RANDBETWEEN(2,COUNTA('Recruitment source'!$A:$A))</f>
        <v>2</v>
      </c>
      <c r="R981" s="8" t="e">
        <f t="shared" ca="1" si="189"/>
        <v>#N/A</v>
      </c>
      <c r="S981" s="6" t="e">
        <f t="shared" ca="1" si="190"/>
        <v>#N/A</v>
      </c>
      <c r="T981" s="6">
        <f t="shared" ca="1" si="180"/>
        <v>5</v>
      </c>
      <c r="U981" s="1">
        <f t="shared" ca="1" si="191"/>
        <v>2000</v>
      </c>
    </row>
    <row r="982" spans="1:21" x14ac:dyDescent="0.2">
      <c r="A982" s="7" cm="1">
        <f t="array" aca="1" ref="A982" ca="1">INDEX(Companies!$A:$A,RANDBETWEEN(2,COUNTA(Companies!$A:$A)),1)</f>
        <v>2</v>
      </c>
      <c r="B982" s="5">
        <f t="shared" si="181"/>
        <v>981</v>
      </c>
      <c r="C982" s="6">
        <f t="shared" ca="1" si="182"/>
        <v>1</v>
      </c>
      <c r="D982" s="7">
        <f ca="1">IF($B982 = 1 + N("Presidente"),
    127,
    IF($B982 = 2 + N("Vice-Presidente"),
        72,
        IF($B982 = 3 + N("Secretária bilíngue"),
            13,
            RANDBETWEEN(5,COUNT(Name!$A:$A) + 1)
        )
    )
)</f>
        <v>195</v>
      </c>
      <c r="E982" s="7" t="str">
        <f ca="1" xml:space="preserve">
VLOOKUP(
  $D982,
  Name!$A:$B,
  2,
  FALSE
)
&amp; " " &amp;
IF($B982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Joaquim Sacramento Brasil</v>
      </c>
      <c r="F982" s="7">
        <v>2</v>
      </c>
      <c r="G982" s="7" cm="1">
        <f t="array" aca="1" ref="G982" ca="1">INDEX(States!$B:$B,RANDBETWEEN(2,COUNTA(States!$A:$A)),1)</f>
        <v>3</v>
      </c>
      <c r="H982" s="7" t="str">
        <f ca="1">VLOOKUP($D982,Name!$A:$C,3,FALSE)</f>
        <v>M</v>
      </c>
      <c r="I982" s="7" cm="1">
        <f t="array" aca="1" ref="I982" ca="1">INDEX('Marital status'!$A:$A,RANDBETWEEN(2,COUNTA('Marital status'!$A:$A)),1)</f>
        <v>6</v>
      </c>
      <c r="J982" s="7">
        <f t="shared" ca="1" si="183"/>
        <v>2</v>
      </c>
      <c r="K982" s="8">
        <f t="shared" ca="1" si="184"/>
        <v>25176</v>
      </c>
      <c r="L982" s="6">
        <f t="shared" ca="1" si="185"/>
        <v>4</v>
      </c>
      <c r="M982" s="7">
        <f ca="1" xml:space="preserve">
  IF(OR($N982 = 2, $N982 = 3, $N982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982" s="6">
        <f t="shared" ca="1" si="186"/>
        <v>6</v>
      </c>
      <c r="O982" s="6" t="e">
        <f t="shared" ca="1" si="187"/>
        <v>#N/A</v>
      </c>
      <c r="P982" s="8">
        <f t="shared" ca="1" si="188"/>
        <v>44062</v>
      </c>
      <c r="Q982" s="6">
        <f ca="1">RANDBETWEEN(2,COUNTA('Recruitment source'!$A:$A))</f>
        <v>10</v>
      </c>
      <c r="R982" s="8" t="e">
        <f t="shared" ca="1" si="189"/>
        <v>#N/A</v>
      </c>
      <c r="S982" s="6" t="e">
        <f t="shared" ca="1" si="190"/>
        <v>#N/A</v>
      </c>
      <c r="T982" s="6">
        <f t="shared" ca="1" si="180"/>
        <v>3</v>
      </c>
      <c r="U982" s="1">
        <f t="shared" ca="1" si="191"/>
        <v>805</v>
      </c>
    </row>
    <row r="983" spans="1:21" x14ac:dyDescent="0.2">
      <c r="A983" s="7" cm="1">
        <f t="array" aca="1" ref="A983" ca="1">INDEX(Companies!$A:$A,RANDBETWEEN(2,COUNTA(Companies!$A:$A)),1)</f>
        <v>2</v>
      </c>
      <c r="B983" s="5">
        <f t="shared" si="181"/>
        <v>982</v>
      </c>
      <c r="C983" s="6">
        <f t="shared" ca="1" si="182"/>
        <v>1</v>
      </c>
      <c r="D983" s="7">
        <f ca="1">IF($B983 = 1 + N("Presidente"),
    127,
    IF($B983 = 2 + N("Vice-Presidente"),
        72,
        IF($B983 = 3 + N("Secretária bilíngue"),
            13,
            RANDBETWEEN(5,COUNT(Name!$A:$A) + 1)
        )
    )
)</f>
        <v>96</v>
      </c>
      <c r="E983" s="7" t="str">
        <f ca="1" xml:space="preserve">
VLOOKUP(
  $D983,
  Name!$A:$B,
  2,
  FALSE
)
&amp; " " &amp;
IF($B983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Clarisse Colombo Junqueira</v>
      </c>
      <c r="F983" s="7">
        <v>2</v>
      </c>
      <c r="G983" s="7" cm="1">
        <f t="array" aca="1" ref="G983" ca="1">INDEX(States!$B:$B,RANDBETWEEN(2,COUNTA(States!$A:$A)),1)</f>
        <v>20</v>
      </c>
      <c r="H983" s="7" t="str">
        <f ca="1">VLOOKUP($D983,Name!$A:$C,3,FALSE)</f>
        <v>F</v>
      </c>
      <c r="I983" s="7" cm="1">
        <f t="array" aca="1" ref="I983" ca="1">INDEX('Marital status'!$A:$A,RANDBETWEEN(2,COUNTA('Marital status'!$A:$A)),1)</f>
        <v>2</v>
      </c>
      <c r="J983" s="7">
        <f t="shared" ca="1" si="183"/>
        <v>2</v>
      </c>
      <c r="K983" s="8">
        <f t="shared" ca="1" si="184"/>
        <v>37158</v>
      </c>
      <c r="L983" s="6">
        <f t="shared" ca="1" si="185"/>
        <v>5</v>
      </c>
      <c r="M983" s="7">
        <f ca="1" xml:space="preserve">
  IF(OR($N983 = 2, $N983 = 3, $N983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983" s="6">
        <f t="shared" ca="1" si="186"/>
        <v>8</v>
      </c>
      <c r="O983" s="6">
        <f t="shared" ca="1" si="187"/>
        <v>3</v>
      </c>
      <c r="P983" s="8">
        <f t="shared" ca="1" si="188"/>
        <v>44455</v>
      </c>
      <c r="Q983" s="6">
        <f ca="1">RANDBETWEEN(2,COUNTA('Recruitment source'!$A:$A))</f>
        <v>4</v>
      </c>
      <c r="R983" s="8" t="e">
        <f t="shared" ca="1" si="189"/>
        <v>#N/A</v>
      </c>
      <c r="S983" s="6" t="e">
        <f t="shared" ca="1" si="190"/>
        <v>#N/A</v>
      </c>
      <c r="T983" s="6">
        <f t="shared" ca="1" si="180"/>
        <v>4</v>
      </c>
      <c r="U983" s="1">
        <f t="shared" ca="1" si="191"/>
        <v>2050</v>
      </c>
    </row>
    <row r="984" spans="1:21" x14ac:dyDescent="0.2">
      <c r="A984" s="7" cm="1">
        <f t="array" aca="1" ref="A984" ca="1">INDEX(Companies!$A:$A,RANDBETWEEN(2,COUNTA(Companies!$A:$A)),1)</f>
        <v>2</v>
      </c>
      <c r="B984" s="5">
        <f t="shared" si="181"/>
        <v>983</v>
      </c>
      <c r="C984" s="6">
        <f t="shared" ca="1" si="182"/>
        <v>1</v>
      </c>
      <c r="D984" s="7">
        <f ca="1">IF($B984 = 1 + N("Presidente"),
    127,
    IF($B984 = 2 + N("Vice-Presidente"),
        72,
        IF($B984 = 3 + N("Secretária bilíngue"),
            13,
            RANDBETWEEN(5,COUNT(Name!$A:$A) + 1)
        )
    )
)</f>
        <v>29</v>
      </c>
      <c r="E984" s="7" t="str">
        <f ca="1" xml:space="preserve">
VLOOKUP(
  $D984,
  Name!$A:$B,
  2,
  FALSE
)
&amp; " " &amp;
IF($B984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Cecília Madureira Souza</v>
      </c>
      <c r="F984" s="7">
        <v>2</v>
      </c>
      <c r="G984" s="7" cm="1">
        <f t="array" aca="1" ref="G984" ca="1">INDEX(States!$B:$B,RANDBETWEEN(2,COUNTA(States!$A:$A)),1)</f>
        <v>11</v>
      </c>
      <c r="H984" s="7" t="str">
        <f ca="1">VLOOKUP($D984,Name!$A:$C,3,FALSE)</f>
        <v>F</v>
      </c>
      <c r="I984" s="7" cm="1">
        <f t="array" aca="1" ref="I984" ca="1">INDEX('Marital status'!$A:$A,RANDBETWEEN(2,COUNTA('Marital status'!$A:$A)),1)</f>
        <v>5</v>
      </c>
      <c r="J984" s="7">
        <f t="shared" ca="1" si="183"/>
        <v>2</v>
      </c>
      <c r="K984" s="8">
        <f t="shared" ca="1" si="184"/>
        <v>20982</v>
      </c>
      <c r="L984" s="6">
        <f t="shared" ca="1" si="185"/>
        <v>4</v>
      </c>
      <c r="M984" s="7">
        <f ca="1" xml:space="preserve">
  IF(OR($N984 = 2, $N984 = 3, $N984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984" s="6">
        <f t="shared" ca="1" si="186"/>
        <v>6</v>
      </c>
      <c r="O984" s="6" t="e">
        <f t="shared" ca="1" si="187"/>
        <v>#N/A</v>
      </c>
      <c r="P984" s="8">
        <f t="shared" ca="1" si="188"/>
        <v>43511</v>
      </c>
      <c r="Q984" s="6">
        <f ca="1">RANDBETWEEN(2,COUNTA('Recruitment source'!$A:$A))</f>
        <v>4</v>
      </c>
      <c r="R984" s="8" t="e">
        <f t="shared" ca="1" si="189"/>
        <v>#N/A</v>
      </c>
      <c r="S984" s="6" t="e">
        <f t="shared" ca="1" si="190"/>
        <v>#N/A</v>
      </c>
      <c r="T984" s="6">
        <f t="shared" ca="1" si="180"/>
        <v>4</v>
      </c>
      <c r="U984" s="1">
        <f t="shared" ca="1" si="191"/>
        <v>885</v>
      </c>
    </row>
    <row r="985" spans="1:21" x14ac:dyDescent="0.2">
      <c r="A985" s="7" cm="1">
        <f t="array" aca="1" ref="A985" ca="1">INDEX(Companies!$A:$A,RANDBETWEEN(2,COUNTA(Companies!$A:$A)),1)</f>
        <v>2</v>
      </c>
      <c r="B985" s="5">
        <f t="shared" si="181"/>
        <v>984</v>
      </c>
      <c r="C985" s="6">
        <f t="shared" ca="1" si="182"/>
        <v>1</v>
      </c>
      <c r="D985" s="7">
        <f ca="1">IF($B985 = 1 + N("Presidente"),
    127,
    IF($B985 = 2 + N("Vice-Presidente"),
        72,
        IF($B985 = 3 + N("Secretária bilíngue"),
            13,
            RANDBETWEEN(5,COUNT(Name!$A:$A) + 1)
        )
    )
)</f>
        <v>6</v>
      </c>
      <c r="E985" s="7" t="str">
        <f ca="1" xml:space="preserve">
VLOOKUP(
  $D985,
  Name!$A:$B,
  2,
  FALSE
)
&amp; " " &amp;
IF($B985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Abigail Moretti Silva</v>
      </c>
      <c r="F985" s="7">
        <v>2</v>
      </c>
      <c r="G985" s="7" cm="1">
        <f t="array" aca="1" ref="G985" ca="1">INDEX(States!$B:$B,RANDBETWEEN(2,COUNTA(States!$A:$A)),1)</f>
        <v>14</v>
      </c>
      <c r="H985" s="7" t="str">
        <f ca="1">VLOOKUP($D985,Name!$A:$C,3,FALSE)</f>
        <v>F</v>
      </c>
      <c r="I985" s="7" cm="1">
        <f t="array" aca="1" ref="I985" ca="1">INDEX('Marital status'!$A:$A,RANDBETWEEN(2,COUNTA('Marital status'!$A:$A)),1)</f>
        <v>4</v>
      </c>
      <c r="J985" s="7">
        <f t="shared" ca="1" si="183"/>
        <v>2</v>
      </c>
      <c r="K985" s="8">
        <f t="shared" ca="1" si="184"/>
        <v>33718</v>
      </c>
      <c r="L985" s="6">
        <f t="shared" ca="1" si="185"/>
        <v>4</v>
      </c>
      <c r="M985" s="7">
        <f ca="1" xml:space="preserve">
  IF(OR($N985 = 2, $N985 = 3, $N985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985" s="6">
        <f t="shared" ca="1" si="186"/>
        <v>8</v>
      </c>
      <c r="O985" s="6">
        <f t="shared" ca="1" si="187"/>
        <v>2</v>
      </c>
      <c r="P985" s="8">
        <f t="shared" ca="1" si="188"/>
        <v>37599</v>
      </c>
      <c r="Q985" s="6">
        <f ca="1">RANDBETWEEN(2,COUNTA('Recruitment source'!$A:$A))</f>
        <v>12</v>
      </c>
      <c r="R985" s="8" t="e">
        <f t="shared" ca="1" si="189"/>
        <v>#N/A</v>
      </c>
      <c r="S985" s="6" t="e">
        <f t="shared" ca="1" si="190"/>
        <v>#N/A</v>
      </c>
      <c r="T985" s="6">
        <f t="shared" ca="1" si="180"/>
        <v>3</v>
      </c>
      <c r="U985" s="1">
        <f t="shared" ca="1" si="191"/>
        <v>2000</v>
      </c>
    </row>
    <row r="986" spans="1:21" x14ac:dyDescent="0.2">
      <c r="A986" s="7" cm="1">
        <f t="array" aca="1" ref="A986" ca="1">INDEX(Companies!$A:$A,RANDBETWEEN(2,COUNTA(Companies!$A:$A)),1)</f>
        <v>2</v>
      </c>
      <c r="B986" s="5">
        <f t="shared" si="181"/>
        <v>985</v>
      </c>
      <c r="C986" s="6">
        <f t="shared" ca="1" si="182"/>
        <v>1</v>
      </c>
      <c r="D986" s="7">
        <f ca="1">IF($B986 = 1 + N("Presidente"),
    127,
    IF($B986 = 2 + N("Vice-Presidente"),
        72,
        IF($B986 = 3 + N("Secretária bilíngue"),
            13,
            RANDBETWEEN(5,COUNT(Name!$A:$A) + 1)
        )
    )
)</f>
        <v>237</v>
      </c>
      <c r="E986" s="7" t="str">
        <f ca="1" xml:space="preserve">
VLOOKUP(
  $D986,
  Name!$A:$B,
  2,
  FALSE
)
&amp; " " &amp;
IF($B986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Luanna Peçanha Camargo</v>
      </c>
      <c r="F986" s="7">
        <v>2</v>
      </c>
      <c r="G986" s="7" cm="1">
        <f t="array" aca="1" ref="G986" ca="1">INDEX(States!$B:$B,RANDBETWEEN(2,COUNTA(States!$A:$A)),1)</f>
        <v>11</v>
      </c>
      <c r="H986" s="7" t="str">
        <f ca="1">VLOOKUP($D986,Name!$A:$C,3,FALSE)</f>
        <v>F</v>
      </c>
      <c r="I986" s="7" cm="1">
        <f t="array" aca="1" ref="I986" ca="1">INDEX('Marital status'!$A:$A,RANDBETWEEN(2,COUNTA('Marital status'!$A:$A)),1)</f>
        <v>2</v>
      </c>
      <c r="J986" s="7">
        <f t="shared" ca="1" si="183"/>
        <v>2</v>
      </c>
      <c r="K986" s="8">
        <f t="shared" ca="1" si="184"/>
        <v>31669</v>
      </c>
      <c r="L986" s="6">
        <f t="shared" ca="1" si="185"/>
        <v>4</v>
      </c>
      <c r="M986" s="7">
        <f ca="1" xml:space="preserve">
  IF(OR($N986 = 2, $N986 = 3, $N986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986" s="6">
        <f t="shared" ca="1" si="186"/>
        <v>7</v>
      </c>
      <c r="O986" s="6" t="e">
        <f t="shared" ca="1" si="187"/>
        <v>#N/A</v>
      </c>
      <c r="P986" s="8">
        <f t="shared" ca="1" si="188"/>
        <v>41818</v>
      </c>
      <c r="Q986" s="6">
        <f ca="1">RANDBETWEEN(2,COUNTA('Recruitment source'!$A:$A))</f>
        <v>9</v>
      </c>
      <c r="R986" s="8" t="e">
        <f t="shared" ca="1" si="189"/>
        <v>#N/A</v>
      </c>
      <c r="S986" s="6" t="e">
        <f t="shared" ca="1" si="190"/>
        <v>#N/A</v>
      </c>
      <c r="T986" s="6">
        <f t="shared" ca="1" si="180"/>
        <v>3</v>
      </c>
      <c r="U986" s="1">
        <f t="shared" ca="1" si="191"/>
        <v>1005</v>
      </c>
    </row>
    <row r="987" spans="1:21" x14ac:dyDescent="0.2">
      <c r="A987" s="7" cm="1">
        <f t="array" aca="1" ref="A987" ca="1">INDEX(Companies!$A:$A,RANDBETWEEN(2,COUNTA(Companies!$A:$A)),1)</f>
        <v>2</v>
      </c>
      <c r="B987" s="5">
        <f t="shared" si="181"/>
        <v>986</v>
      </c>
      <c r="C987" s="6">
        <f t="shared" ca="1" si="182"/>
        <v>1</v>
      </c>
      <c r="D987" s="7">
        <f ca="1">IF($B987 = 1 + N("Presidente"),
    127,
    IF($B987 = 2 + N("Vice-Presidente"),
        72,
        IF($B987 = 3 + N("Secretária bilíngue"),
            13,
            RANDBETWEEN(5,COUNT(Name!$A:$A) + 1)
        )
    )
)</f>
        <v>146</v>
      </c>
      <c r="E987" s="7" t="str">
        <f ca="1" xml:space="preserve">
VLOOKUP(
  $D987,
  Name!$A:$B,
  2,
  FALSE
)
&amp; " " &amp;
IF($B987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Francisco Cardoso Gallo</v>
      </c>
      <c r="F987" s="7">
        <v>2</v>
      </c>
      <c r="G987" s="7" cm="1">
        <f t="array" aca="1" ref="G987" ca="1">INDEX(States!$B:$B,RANDBETWEEN(2,COUNTA(States!$A:$A)),1)</f>
        <v>21</v>
      </c>
      <c r="H987" s="7" t="str">
        <f ca="1">VLOOKUP($D987,Name!$A:$C,3,FALSE)</f>
        <v>M</v>
      </c>
      <c r="I987" s="7" cm="1">
        <f t="array" aca="1" ref="I987" ca="1">INDEX('Marital status'!$A:$A,RANDBETWEEN(2,COUNTA('Marital status'!$A:$A)),1)</f>
        <v>6</v>
      </c>
      <c r="J987" s="7">
        <f t="shared" ca="1" si="183"/>
        <v>3</v>
      </c>
      <c r="K987" s="8">
        <f t="shared" ca="1" si="184"/>
        <v>34373</v>
      </c>
      <c r="L987" s="6">
        <f t="shared" ca="1" si="185"/>
        <v>4</v>
      </c>
      <c r="M987" s="7">
        <f ca="1" xml:space="preserve">
  IF(OR($N987 = 2, $N987 = 3, $N987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987" s="6">
        <f t="shared" ca="1" si="186"/>
        <v>8</v>
      </c>
      <c r="O987" s="6">
        <f t="shared" ca="1" si="187"/>
        <v>2</v>
      </c>
      <c r="P987" s="8">
        <f t="shared" ca="1" si="188"/>
        <v>43584</v>
      </c>
      <c r="Q987" s="6">
        <f ca="1">RANDBETWEEN(2,COUNTA('Recruitment source'!$A:$A))</f>
        <v>10</v>
      </c>
      <c r="R987" s="8" t="e">
        <f t="shared" ca="1" si="189"/>
        <v>#N/A</v>
      </c>
      <c r="S987" s="6" t="e">
        <f t="shared" ca="1" si="190"/>
        <v>#N/A</v>
      </c>
      <c r="T987" s="6">
        <f t="shared" ca="1" si="180"/>
        <v>3</v>
      </c>
      <c r="U987" s="1">
        <f t="shared" ca="1" si="191"/>
        <v>2000</v>
      </c>
    </row>
    <row r="988" spans="1:21" x14ac:dyDescent="0.2">
      <c r="A988" s="7" cm="1">
        <f t="array" aca="1" ref="A988" ca="1">INDEX(Companies!$A:$A,RANDBETWEEN(2,COUNTA(Companies!$A:$A)),1)</f>
        <v>2</v>
      </c>
      <c r="B988" s="5">
        <f t="shared" si="181"/>
        <v>987</v>
      </c>
      <c r="C988" s="6">
        <f t="shared" ca="1" si="182"/>
        <v>1</v>
      </c>
      <c r="D988" s="7">
        <f ca="1">IF($B988 = 1 + N("Presidente"),
    127,
    IF($B988 = 2 + N("Vice-Presidente"),
        72,
        IF($B988 = 3 + N("Secretária bilíngue"),
            13,
            RANDBETWEEN(5,COUNT(Name!$A:$A) + 1)
        )
    )
)</f>
        <v>205</v>
      </c>
      <c r="E988" s="7" t="str">
        <f ca="1" xml:space="preserve">
VLOOKUP(
  $D988,
  Name!$A:$B,
  2,
  FALSE
)
&amp; " " &amp;
IF($B988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Kaique Teixeira Miranda</v>
      </c>
      <c r="F988" s="7">
        <v>2</v>
      </c>
      <c r="G988" s="7" cm="1">
        <f t="array" aca="1" ref="G988" ca="1">INDEX(States!$B:$B,RANDBETWEEN(2,COUNTA(States!$A:$A)),1)</f>
        <v>21</v>
      </c>
      <c r="H988" s="7" t="str">
        <f ca="1">VLOOKUP($D988,Name!$A:$C,3,FALSE)</f>
        <v>M</v>
      </c>
      <c r="I988" s="7" cm="1">
        <f t="array" aca="1" ref="I988" ca="1">INDEX('Marital status'!$A:$A,RANDBETWEEN(2,COUNTA('Marital status'!$A:$A)),1)</f>
        <v>6</v>
      </c>
      <c r="J988" s="7">
        <f t="shared" ca="1" si="183"/>
        <v>5</v>
      </c>
      <c r="K988" s="8">
        <f t="shared" ca="1" si="184"/>
        <v>30970</v>
      </c>
      <c r="L988" s="6">
        <f t="shared" ca="1" si="185"/>
        <v>4</v>
      </c>
      <c r="M988" s="7">
        <f ca="1" xml:space="preserve">
  IF(OR($N988 = 2, $N988 = 3, $N988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988" s="6">
        <f t="shared" ca="1" si="186"/>
        <v>6</v>
      </c>
      <c r="O988" s="6" t="e">
        <f t="shared" ca="1" si="187"/>
        <v>#N/A</v>
      </c>
      <c r="P988" s="8">
        <f t="shared" ca="1" si="188"/>
        <v>41721</v>
      </c>
      <c r="Q988" s="6">
        <f ca="1">RANDBETWEEN(2,COUNTA('Recruitment source'!$A:$A))</f>
        <v>9</v>
      </c>
      <c r="R988" s="8" t="e">
        <f t="shared" ca="1" si="189"/>
        <v>#N/A</v>
      </c>
      <c r="S988" s="6" t="e">
        <f t="shared" ca="1" si="190"/>
        <v>#N/A</v>
      </c>
      <c r="T988" s="6">
        <f t="shared" ca="1" si="180"/>
        <v>3</v>
      </c>
      <c r="U988" s="1">
        <f t="shared" ca="1" si="191"/>
        <v>805</v>
      </c>
    </row>
    <row r="989" spans="1:21" x14ac:dyDescent="0.2">
      <c r="A989" s="7" cm="1">
        <f t="array" aca="1" ref="A989" ca="1">INDEX(Companies!$A:$A,RANDBETWEEN(2,COUNTA(Companies!$A:$A)),1)</f>
        <v>2</v>
      </c>
      <c r="B989" s="5">
        <f t="shared" si="181"/>
        <v>988</v>
      </c>
      <c r="C989" s="6">
        <f t="shared" ca="1" si="182"/>
        <v>1</v>
      </c>
      <c r="D989" s="7">
        <f ca="1">IF($B989 = 1 + N("Presidente"),
    127,
    IF($B989 = 2 + N("Vice-Presidente"),
        72,
        IF($B989 = 3 + N("Secretária bilíngue"),
            13,
            RANDBETWEEN(5,COUNT(Name!$A:$A) + 1)
        )
    )
)</f>
        <v>89</v>
      </c>
      <c r="E989" s="7" t="str">
        <f ca="1" xml:space="preserve">
VLOOKUP(
  $D989,
  Name!$A:$B,
  2,
  FALSE
)
&amp; " " &amp;
IF($B989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Cauã Bragança Sacramento</v>
      </c>
      <c r="F989" s="7">
        <v>2</v>
      </c>
      <c r="G989" s="7" cm="1">
        <f t="array" aca="1" ref="G989" ca="1">INDEX(States!$B:$B,RANDBETWEEN(2,COUNTA(States!$A:$A)),1)</f>
        <v>3</v>
      </c>
      <c r="H989" s="7" t="str">
        <f ca="1">VLOOKUP($D989,Name!$A:$C,3,FALSE)</f>
        <v>M</v>
      </c>
      <c r="I989" s="7" cm="1">
        <f t="array" aca="1" ref="I989" ca="1">INDEX('Marital status'!$A:$A,RANDBETWEEN(2,COUNTA('Marital status'!$A:$A)),1)</f>
        <v>6</v>
      </c>
      <c r="J989" s="7">
        <f t="shared" ca="1" si="183"/>
        <v>2</v>
      </c>
      <c r="K989" s="8">
        <f t="shared" ca="1" si="184"/>
        <v>33897</v>
      </c>
      <c r="L989" s="6">
        <f t="shared" ca="1" si="185"/>
        <v>4</v>
      </c>
      <c r="M989" s="7">
        <f ca="1" xml:space="preserve">
  IF(OR($N989 = 2, $N989 = 3, $N989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989" s="6">
        <f t="shared" ca="1" si="186"/>
        <v>8</v>
      </c>
      <c r="O989" s="6">
        <f t="shared" ca="1" si="187"/>
        <v>4</v>
      </c>
      <c r="P989" s="8">
        <f t="shared" ca="1" si="188"/>
        <v>44536</v>
      </c>
      <c r="Q989" s="6">
        <f ca="1">RANDBETWEEN(2,COUNTA('Recruitment source'!$A:$A))</f>
        <v>5</v>
      </c>
      <c r="R989" s="8" t="e">
        <f t="shared" ca="1" si="189"/>
        <v>#N/A</v>
      </c>
      <c r="S989" s="6" t="e">
        <f t="shared" ca="1" si="190"/>
        <v>#N/A</v>
      </c>
      <c r="T989" s="6">
        <f t="shared" ca="1" si="180"/>
        <v>5</v>
      </c>
      <c r="U989" s="1">
        <f t="shared" ca="1" si="191"/>
        <v>2000</v>
      </c>
    </row>
    <row r="990" spans="1:21" x14ac:dyDescent="0.2">
      <c r="A990" s="7" cm="1">
        <f t="array" aca="1" ref="A990" ca="1">INDEX(Companies!$A:$A,RANDBETWEEN(2,COUNTA(Companies!$A:$A)),1)</f>
        <v>2</v>
      </c>
      <c r="B990" s="5">
        <f t="shared" si="181"/>
        <v>989</v>
      </c>
      <c r="C990" s="6">
        <f t="shared" ca="1" si="182"/>
        <v>1</v>
      </c>
      <c r="D990" s="7">
        <f ca="1">IF($B990 = 1 + N("Presidente"),
    127,
    IF($B990 = 2 + N("Vice-Presidente"),
        72,
        IF($B990 = 3 + N("Secretária bilíngue"),
            13,
            RANDBETWEEN(5,COUNT(Name!$A:$A) + 1)
        )
    )
)</f>
        <v>325</v>
      </c>
      <c r="E990" s="7" t="str">
        <f ca="1" xml:space="preserve">
VLOOKUP(
  $D990,
  Name!$A:$B,
  2,
  FALSE
)
&amp; " " &amp;
IF($B990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Rafaela Saragoça Madureira</v>
      </c>
      <c r="F990" s="7">
        <v>2</v>
      </c>
      <c r="G990" s="7" cm="1">
        <f t="array" aca="1" ref="G990" ca="1">INDEX(States!$B:$B,RANDBETWEEN(2,COUNTA(States!$A:$A)),1)</f>
        <v>12</v>
      </c>
      <c r="H990" s="7" t="str">
        <f ca="1">VLOOKUP($D990,Name!$A:$C,3,FALSE)</f>
        <v>F</v>
      </c>
      <c r="I990" s="7" cm="1">
        <f t="array" aca="1" ref="I990" ca="1">INDEX('Marital status'!$A:$A,RANDBETWEEN(2,COUNTA('Marital status'!$A:$A)),1)</f>
        <v>4</v>
      </c>
      <c r="J990" s="7">
        <f t="shared" ca="1" si="183"/>
        <v>4</v>
      </c>
      <c r="K990" s="8">
        <f t="shared" ca="1" si="184"/>
        <v>34219</v>
      </c>
      <c r="L990" s="6">
        <f t="shared" ca="1" si="185"/>
        <v>4</v>
      </c>
      <c r="M990" s="7">
        <f ca="1" xml:space="preserve">
  IF(OR($N990 = 2, $N990 = 3, $N990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990" s="6">
        <f t="shared" ca="1" si="186"/>
        <v>7</v>
      </c>
      <c r="O990" s="6" t="e">
        <f t="shared" ca="1" si="187"/>
        <v>#N/A</v>
      </c>
      <c r="P990" s="8">
        <f t="shared" ca="1" si="188"/>
        <v>41477</v>
      </c>
      <c r="Q990" s="6">
        <f ca="1">RANDBETWEEN(2,COUNTA('Recruitment source'!$A:$A))</f>
        <v>9</v>
      </c>
      <c r="R990" s="8" t="e">
        <f t="shared" ca="1" si="189"/>
        <v>#N/A</v>
      </c>
      <c r="S990" s="6" t="e">
        <f t="shared" ca="1" si="190"/>
        <v>#N/A</v>
      </c>
      <c r="T990" s="6">
        <f t="shared" ca="1" si="180"/>
        <v>5</v>
      </c>
      <c r="U990" s="1">
        <f t="shared" ca="1" si="191"/>
        <v>1085</v>
      </c>
    </row>
    <row r="991" spans="1:21" x14ac:dyDescent="0.2">
      <c r="A991" s="7" cm="1">
        <f t="array" aca="1" ref="A991" ca="1">INDEX(Companies!$A:$A,RANDBETWEEN(2,COUNTA(Companies!$A:$A)),1)</f>
        <v>2</v>
      </c>
      <c r="B991" s="5">
        <f t="shared" si="181"/>
        <v>990</v>
      </c>
      <c r="C991" s="6">
        <f t="shared" ca="1" si="182"/>
        <v>1</v>
      </c>
      <c r="D991" s="7">
        <f ca="1">IF($B991 = 1 + N("Presidente"),
    127,
    IF($B991 = 2 + N("Vice-Presidente"),
        72,
        IF($B991 = 3 + N("Secretária bilíngue"),
            13,
            RANDBETWEEN(5,COUNT(Name!$A:$A) + 1)
        )
    )
)</f>
        <v>61</v>
      </c>
      <c r="E991" s="7" t="str">
        <f ca="1" xml:space="preserve">
VLOOKUP(
  $D991,
  Name!$A:$B,
  2,
  FALSE
)
&amp; " " &amp;
IF($B991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Augusto Camões Bispo</v>
      </c>
      <c r="F991" s="7">
        <v>2</v>
      </c>
      <c r="G991" s="7" cm="1">
        <f t="array" aca="1" ref="G991" ca="1">INDEX(States!$B:$B,RANDBETWEEN(2,COUNTA(States!$A:$A)),1)</f>
        <v>12</v>
      </c>
      <c r="H991" s="7" t="str">
        <f ca="1">VLOOKUP($D991,Name!$A:$C,3,FALSE)</f>
        <v>M</v>
      </c>
      <c r="I991" s="7" cm="1">
        <f t="array" aca="1" ref="I991" ca="1">INDEX('Marital status'!$A:$A,RANDBETWEEN(2,COUNTA('Marital status'!$A:$A)),1)</f>
        <v>3</v>
      </c>
      <c r="J991" s="7">
        <f t="shared" ca="1" si="183"/>
        <v>2</v>
      </c>
      <c r="K991" s="8">
        <f t="shared" ca="1" si="184"/>
        <v>35215</v>
      </c>
      <c r="L991" s="6">
        <f t="shared" ca="1" si="185"/>
        <v>4</v>
      </c>
      <c r="M991" s="7">
        <f ca="1" xml:space="preserve">
  IF(OR($N991 = 2, $N991 = 3, $N991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991" s="6">
        <f t="shared" ca="1" si="186"/>
        <v>8</v>
      </c>
      <c r="O991" s="6">
        <f t="shared" ca="1" si="187"/>
        <v>4</v>
      </c>
      <c r="P991" s="8">
        <f t="shared" ca="1" si="188"/>
        <v>39129</v>
      </c>
      <c r="Q991" s="6">
        <f ca="1">RANDBETWEEN(2,COUNTA('Recruitment source'!$A:$A))</f>
        <v>11</v>
      </c>
      <c r="R991" s="8" t="e">
        <f t="shared" ca="1" si="189"/>
        <v>#N/A</v>
      </c>
      <c r="S991" s="6" t="e">
        <f t="shared" ca="1" si="190"/>
        <v>#N/A</v>
      </c>
      <c r="T991" s="6">
        <f t="shared" ca="1" si="180"/>
        <v>4</v>
      </c>
      <c r="U991" s="1">
        <f t="shared" ca="1" si="191"/>
        <v>2000</v>
      </c>
    </row>
    <row r="992" spans="1:21" x14ac:dyDescent="0.2">
      <c r="A992" s="7" cm="1">
        <f t="array" aca="1" ref="A992" ca="1">INDEX(Companies!$A:$A,RANDBETWEEN(2,COUNTA(Companies!$A:$A)),1)</f>
        <v>2</v>
      </c>
      <c r="B992" s="5">
        <f t="shared" si="181"/>
        <v>991</v>
      </c>
      <c r="C992" s="6">
        <f t="shared" ca="1" si="182"/>
        <v>1</v>
      </c>
      <c r="D992" s="7">
        <f ca="1">IF($B992 = 1 + N("Presidente"),
    127,
    IF($B992 = 2 + N("Vice-Presidente"),
        72,
        IF($B992 = 3 + N("Secretária bilíngue"),
            13,
            RANDBETWEEN(5,COUNT(Name!$A:$A) + 1)
        )
    )
)</f>
        <v>112</v>
      </c>
      <c r="E992" s="7" t="str">
        <f ca="1" xml:space="preserve">
VLOOKUP(
  $D992,
  Name!$A:$B,
  2,
  FALSE
)
&amp; " " &amp;
IF($B992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Deborah Ricci Evangelista</v>
      </c>
      <c r="F992" s="7">
        <v>2</v>
      </c>
      <c r="G992" s="7" cm="1">
        <f t="array" aca="1" ref="G992" ca="1">INDEX(States!$B:$B,RANDBETWEEN(2,COUNTA(States!$A:$A)),1)</f>
        <v>17</v>
      </c>
      <c r="H992" s="7" t="str">
        <f ca="1">VLOOKUP($D992,Name!$A:$C,3,FALSE)</f>
        <v>F</v>
      </c>
      <c r="I992" s="7" cm="1">
        <f t="array" aca="1" ref="I992" ca="1">INDEX('Marital status'!$A:$A,RANDBETWEEN(2,COUNTA('Marital status'!$A:$A)),1)</f>
        <v>4</v>
      </c>
      <c r="J992" s="7">
        <f t="shared" ca="1" si="183"/>
        <v>2</v>
      </c>
      <c r="K992" s="8">
        <f t="shared" ca="1" si="184"/>
        <v>17519</v>
      </c>
      <c r="L992" s="6">
        <f t="shared" ca="1" si="185"/>
        <v>4</v>
      </c>
      <c r="M992" s="7">
        <f ca="1" xml:space="preserve">
  IF(OR($N992 = 2, $N992 = 3, $N992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992" s="6">
        <f t="shared" ca="1" si="186"/>
        <v>6</v>
      </c>
      <c r="O992" s="6" t="e">
        <f t="shared" ca="1" si="187"/>
        <v>#N/A</v>
      </c>
      <c r="P992" s="8">
        <f t="shared" ca="1" si="188"/>
        <v>40986</v>
      </c>
      <c r="Q992" s="6">
        <f ca="1">RANDBETWEEN(2,COUNTA('Recruitment source'!$A:$A))</f>
        <v>9</v>
      </c>
      <c r="R992" s="8" t="e">
        <f t="shared" ca="1" si="189"/>
        <v>#N/A</v>
      </c>
      <c r="S992" s="6" t="e">
        <f t="shared" ca="1" si="190"/>
        <v>#N/A</v>
      </c>
      <c r="T992" s="6">
        <f t="shared" ca="1" si="180"/>
        <v>5</v>
      </c>
      <c r="U992" s="1">
        <f t="shared" ca="1" si="191"/>
        <v>805</v>
      </c>
    </row>
    <row r="993" spans="1:21" x14ac:dyDescent="0.2">
      <c r="A993" s="7" cm="1">
        <f t="array" aca="1" ref="A993" ca="1">INDEX(Companies!$A:$A,RANDBETWEEN(2,COUNTA(Companies!$A:$A)),1)</f>
        <v>2</v>
      </c>
      <c r="B993" s="5">
        <f t="shared" si="181"/>
        <v>992</v>
      </c>
      <c r="C993" s="6">
        <f t="shared" ca="1" si="182"/>
        <v>1</v>
      </c>
      <c r="D993" s="7">
        <f ca="1">IF($B993 = 1 + N("Presidente"),
    127,
    IF($B993 = 2 + N("Vice-Presidente"),
        72,
        IF($B993 = 3 + N("Secretária bilíngue"),
            13,
            RANDBETWEEN(5,COUNT(Name!$A:$A) + 1)
        )
    )
)</f>
        <v>292</v>
      </c>
      <c r="E993" s="7" t="str">
        <f ca="1" xml:space="preserve">
VLOOKUP(
  $D993,
  Name!$A:$B,
  2,
  FALSE
)
&amp; " " &amp;
IF($B993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Micaela Pedroso dos Santos</v>
      </c>
      <c r="F993" s="7">
        <v>2</v>
      </c>
      <c r="G993" s="7" cm="1">
        <f t="array" aca="1" ref="G993" ca="1">INDEX(States!$B:$B,RANDBETWEEN(2,COUNTA(States!$A:$A)),1)</f>
        <v>8</v>
      </c>
      <c r="H993" s="7" t="str">
        <f ca="1">VLOOKUP($D993,Name!$A:$C,3,FALSE)</f>
        <v>F</v>
      </c>
      <c r="I993" s="7" cm="1">
        <f t="array" aca="1" ref="I993" ca="1">INDEX('Marital status'!$A:$A,RANDBETWEEN(2,COUNTA('Marital status'!$A:$A)),1)</f>
        <v>5</v>
      </c>
      <c r="J993" s="7">
        <f t="shared" ca="1" si="183"/>
        <v>2</v>
      </c>
      <c r="K993" s="8">
        <f t="shared" ca="1" si="184"/>
        <v>34010</v>
      </c>
      <c r="L993" s="6">
        <f t="shared" ca="1" si="185"/>
        <v>5</v>
      </c>
      <c r="M993" s="7">
        <f ca="1" xml:space="preserve">
  IF(OR($N993 = 2, $N993 = 3, $N993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993" s="6">
        <f t="shared" ca="1" si="186"/>
        <v>8</v>
      </c>
      <c r="O993" s="6">
        <f t="shared" ca="1" si="187"/>
        <v>2</v>
      </c>
      <c r="P993" s="8">
        <f t="shared" ca="1" si="188"/>
        <v>40174</v>
      </c>
      <c r="Q993" s="6">
        <f ca="1">RANDBETWEEN(2,COUNTA('Recruitment source'!$A:$A))</f>
        <v>11</v>
      </c>
      <c r="R993" s="8" t="e">
        <f t="shared" ca="1" si="189"/>
        <v>#N/A</v>
      </c>
      <c r="S993" s="6" t="e">
        <f t="shared" ca="1" si="190"/>
        <v>#N/A</v>
      </c>
      <c r="T993" s="6">
        <f t="shared" ca="1" si="180"/>
        <v>4</v>
      </c>
      <c r="U993" s="1">
        <f t="shared" ca="1" si="191"/>
        <v>2080</v>
      </c>
    </row>
    <row r="994" spans="1:21" x14ac:dyDescent="0.2">
      <c r="A994" s="7" cm="1">
        <f t="array" aca="1" ref="A994" ca="1">INDEX(Companies!$A:$A,RANDBETWEEN(2,COUNTA(Companies!$A:$A)),1)</f>
        <v>2</v>
      </c>
      <c r="B994" s="5">
        <f t="shared" si="181"/>
        <v>993</v>
      </c>
      <c r="C994" s="6">
        <f t="shared" ca="1" si="182"/>
        <v>1</v>
      </c>
      <c r="D994" s="7">
        <f ca="1">IF($B994 = 1 + N("Presidente"),
    127,
    IF($B994 = 2 + N("Vice-Presidente"),
        72,
        IF($B994 = 3 + N("Secretária bilíngue"),
            13,
            RANDBETWEEN(5,COUNT(Name!$A:$A) + 1)
        )
    )
)</f>
        <v>169</v>
      </c>
      <c r="E994" s="7" t="str">
        <f ca="1" xml:space="preserve">
VLOOKUP(
  $D994,
  Name!$A:$B,
  2,
  FALSE
)
&amp; " " &amp;
IF($B994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Ian Evangelista Greco</v>
      </c>
      <c r="F994" s="7">
        <v>2</v>
      </c>
      <c r="G994" s="7" cm="1">
        <f t="array" aca="1" ref="G994" ca="1">INDEX(States!$B:$B,RANDBETWEEN(2,COUNTA(States!$A:$A)),1)</f>
        <v>12</v>
      </c>
      <c r="H994" s="7" t="str">
        <f ca="1">VLOOKUP($D994,Name!$A:$C,3,FALSE)</f>
        <v>M</v>
      </c>
      <c r="I994" s="7" cm="1">
        <f t="array" aca="1" ref="I994" ca="1">INDEX('Marital status'!$A:$A,RANDBETWEEN(2,COUNTA('Marital status'!$A:$A)),1)</f>
        <v>2</v>
      </c>
      <c r="J994" s="7">
        <f t="shared" ca="1" si="183"/>
        <v>3</v>
      </c>
      <c r="K994" s="8">
        <f t="shared" ca="1" si="184"/>
        <v>18876</v>
      </c>
      <c r="L994" s="6">
        <f t="shared" ca="1" si="185"/>
        <v>4</v>
      </c>
      <c r="M994" s="7">
        <f ca="1" xml:space="preserve">
  IF(OR($N994 = 2, $N994 = 3, $N994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994" s="6">
        <f t="shared" ca="1" si="186"/>
        <v>6</v>
      </c>
      <c r="O994" s="6" t="e">
        <f t="shared" ca="1" si="187"/>
        <v>#N/A</v>
      </c>
      <c r="P994" s="8">
        <f t="shared" ca="1" si="188"/>
        <v>38272</v>
      </c>
      <c r="Q994" s="6">
        <f ca="1">RANDBETWEEN(2,COUNTA('Recruitment source'!$A:$A))</f>
        <v>4</v>
      </c>
      <c r="R994" s="8" t="e">
        <f t="shared" ca="1" si="189"/>
        <v>#N/A</v>
      </c>
      <c r="S994" s="6" t="e">
        <f t="shared" ca="1" si="190"/>
        <v>#N/A</v>
      </c>
      <c r="T994" s="6">
        <f t="shared" ca="1" si="180"/>
        <v>5</v>
      </c>
      <c r="U994" s="1">
        <f t="shared" ca="1" si="191"/>
        <v>805</v>
      </c>
    </row>
    <row r="995" spans="1:21" x14ac:dyDescent="0.2">
      <c r="A995" s="7" cm="1">
        <f t="array" aca="1" ref="A995" ca="1">INDEX(Companies!$A:$A,RANDBETWEEN(2,COUNTA(Companies!$A:$A)),1)</f>
        <v>2</v>
      </c>
      <c r="B995" s="5">
        <f t="shared" si="181"/>
        <v>994</v>
      </c>
      <c r="C995" s="6">
        <f t="shared" ca="1" si="182"/>
        <v>1</v>
      </c>
      <c r="D995" s="7">
        <f ca="1">IF($B995 = 1 + N("Presidente"),
    127,
    IF($B995 = 2 + N("Vice-Presidente"),
        72,
        IF($B995 = 3 + N("Secretária bilíngue"),
            13,
            RANDBETWEEN(5,COUNT(Name!$A:$A) + 1)
        )
    )
)</f>
        <v>122</v>
      </c>
      <c r="E995" s="7" t="str">
        <f ca="1" xml:space="preserve">
VLOOKUP(
  $D995,
  Name!$A:$B,
  2,
  FALSE
)
&amp; " " &amp;
IF($B995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Emanuel Bianchi Campos</v>
      </c>
      <c r="F995" s="7">
        <v>2</v>
      </c>
      <c r="G995" s="7" cm="1">
        <f t="array" aca="1" ref="G995" ca="1">INDEX(States!$B:$B,RANDBETWEEN(2,COUNTA(States!$A:$A)),1)</f>
        <v>3</v>
      </c>
      <c r="H995" s="7" t="str">
        <f ca="1">VLOOKUP($D995,Name!$A:$C,3,FALSE)</f>
        <v>M</v>
      </c>
      <c r="I995" s="7" cm="1">
        <f t="array" aca="1" ref="I995" ca="1">INDEX('Marital status'!$A:$A,RANDBETWEEN(2,COUNTA('Marital status'!$A:$A)),1)</f>
        <v>3</v>
      </c>
      <c r="J995" s="7">
        <f t="shared" ca="1" si="183"/>
        <v>2</v>
      </c>
      <c r="K995" s="8">
        <f t="shared" ca="1" si="184"/>
        <v>35495</v>
      </c>
      <c r="L995" s="6">
        <f t="shared" ca="1" si="185"/>
        <v>5</v>
      </c>
      <c r="M995" s="7">
        <f ca="1" xml:space="preserve">
  IF(OR($N995 = 2, $N995 = 3, $N995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995" s="6">
        <f t="shared" ca="1" si="186"/>
        <v>8</v>
      </c>
      <c r="O995" s="6">
        <f t="shared" ca="1" si="187"/>
        <v>2</v>
      </c>
      <c r="P995" s="8">
        <f t="shared" ca="1" si="188"/>
        <v>36471</v>
      </c>
      <c r="Q995" s="6">
        <f ca="1">RANDBETWEEN(2,COUNTA('Recruitment source'!$A:$A))</f>
        <v>4</v>
      </c>
      <c r="R995" s="8" t="e">
        <f t="shared" ca="1" si="189"/>
        <v>#N/A</v>
      </c>
      <c r="S995" s="6" t="e">
        <f t="shared" ca="1" si="190"/>
        <v>#N/A</v>
      </c>
      <c r="T995" s="6">
        <f t="shared" ca="1" si="180"/>
        <v>5</v>
      </c>
      <c r="U995" s="1">
        <f t="shared" ca="1" si="191"/>
        <v>2000</v>
      </c>
    </row>
    <row r="996" spans="1:21" x14ac:dyDescent="0.2">
      <c r="A996" s="7" cm="1">
        <f t="array" aca="1" ref="A996" ca="1">INDEX(Companies!$A:$A,RANDBETWEEN(2,COUNTA(Companies!$A:$A)),1)</f>
        <v>2</v>
      </c>
      <c r="B996" s="5">
        <f t="shared" si="181"/>
        <v>995</v>
      </c>
      <c r="C996" s="6">
        <f t="shared" ca="1" si="182"/>
        <v>1</v>
      </c>
      <c r="D996" s="7">
        <f ca="1">IF($B996 = 1 + N("Presidente"),
    127,
    IF($B996 = 2 + N("Vice-Presidente"),
        72,
        IF($B996 = 3 + N("Secretária bilíngue"),
            13,
            RANDBETWEEN(5,COUNT(Name!$A:$A) + 1)
        )
    )
)</f>
        <v>277</v>
      </c>
      <c r="E996" s="7" t="str">
        <f ca="1" xml:space="preserve">
VLOOKUP(
  $D996,
  Name!$A:$B,
  2,
  FALSE
)
&amp; " " &amp;
IF($B996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Maryah Trindade Anjos</v>
      </c>
      <c r="F996" s="7">
        <v>2</v>
      </c>
      <c r="G996" s="7" cm="1">
        <f t="array" aca="1" ref="G996" ca="1">INDEX(States!$B:$B,RANDBETWEEN(2,COUNTA(States!$A:$A)),1)</f>
        <v>8</v>
      </c>
      <c r="H996" s="7" t="str">
        <f ca="1">VLOOKUP($D996,Name!$A:$C,3,FALSE)</f>
        <v>F</v>
      </c>
      <c r="I996" s="7" cm="1">
        <f t="array" aca="1" ref="I996" ca="1">INDEX('Marital status'!$A:$A,RANDBETWEEN(2,COUNTA('Marital status'!$A:$A)),1)</f>
        <v>3</v>
      </c>
      <c r="J996" s="7">
        <f t="shared" ca="1" si="183"/>
        <v>2</v>
      </c>
      <c r="K996" s="8">
        <f t="shared" ca="1" si="184"/>
        <v>32654</v>
      </c>
      <c r="L996" s="6">
        <f t="shared" ca="1" si="185"/>
        <v>4</v>
      </c>
      <c r="M996" s="7">
        <f ca="1" xml:space="preserve">
  IF(OR($N996 = 2, $N996 = 3, $N996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996" s="6">
        <f t="shared" ca="1" si="186"/>
        <v>6</v>
      </c>
      <c r="O996" s="6" t="e">
        <f t="shared" ca="1" si="187"/>
        <v>#N/A</v>
      </c>
      <c r="P996" s="8">
        <f t="shared" ca="1" si="188"/>
        <v>37561</v>
      </c>
      <c r="Q996" s="6">
        <f ca="1">RANDBETWEEN(2,COUNTA('Recruitment source'!$A:$A))</f>
        <v>9</v>
      </c>
      <c r="R996" s="8" t="e">
        <f t="shared" ca="1" si="189"/>
        <v>#N/A</v>
      </c>
      <c r="S996" s="6" t="e">
        <f t="shared" ca="1" si="190"/>
        <v>#N/A</v>
      </c>
      <c r="T996" s="6">
        <f t="shared" ca="1" si="180"/>
        <v>4</v>
      </c>
      <c r="U996" s="1">
        <f t="shared" ca="1" si="191"/>
        <v>805</v>
      </c>
    </row>
    <row r="997" spans="1:21" x14ac:dyDescent="0.2">
      <c r="A997" s="7" cm="1">
        <f t="array" aca="1" ref="A997" ca="1">INDEX(Companies!$A:$A,RANDBETWEEN(2,COUNTA(Companies!$A:$A)),1)</f>
        <v>2</v>
      </c>
      <c r="B997" s="5">
        <f t="shared" si="181"/>
        <v>996</v>
      </c>
      <c r="C997" s="6">
        <f t="shared" ca="1" si="182"/>
        <v>1</v>
      </c>
      <c r="D997" s="7">
        <f ca="1">IF($B997 = 1 + N("Presidente"),
    127,
    IF($B997 = 2 + N("Vice-Presidente"),
        72,
        IF($B997 = 3 + N("Secretária bilíngue"),
            13,
            RANDBETWEEN(5,COUNT(Name!$A:$A) + 1)
        )
    )
)</f>
        <v>234</v>
      </c>
      <c r="E997" s="7" t="str">
        <f ca="1" xml:space="preserve">
VLOOKUP(
  $D997,
  Name!$A:$B,
  2,
  FALSE
)
&amp; " " &amp;
IF($B997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Louise Gouveia Albuquerque</v>
      </c>
      <c r="F997" s="7">
        <v>2</v>
      </c>
      <c r="G997" s="7" cm="1">
        <f t="array" aca="1" ref="G997" ca="1">INDEX(States!$B:$B,RANDBETWEEN(2,COUNTA(States!$A:$A)),1)</f>
        <v>18</v>
      </c>
      <c r="H997" s="7" t="str">
        <f ca="1">VLOOKUP($D997,Name!$A:$C,3,FALSE)</f>
        <v>F</v>
      </c>
      <c r="I997" s="7" cm="1">
        <f t="array" aca="1" ref="I997" ca="1">INDEX('Marital status'!$A:$A,RANDBETWEEN(2,COUNTA('Marital status'!$A:$A)),1)</f>
        <v>5</v>
      </c>
      <c r="J997" s="7">
        <f t="shared" ca="1" si="183"/>
        <v>2</v>
      </c>
      <c r="K997" s="8">
        <f t="shared" ca="1" si="184"/>
        <v>34793</v>
      </c>
      <c r="L997" s="6">
        <f t="shared" ca="1" si="185"/>
        <v>5</v>
      </c>
      <c r="M997" s="7">
        <f ca="1" xml:space="preserve">
  IF(OR($N997 = 2, $N997 = 3, $N997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997" s="6">
        <f t="shared" ca="1" si="186"/>
        <v>8</v>
      </c>
      <c r="O997" s="6">
        <f t="shared" ca="1" si="187"/>
        <v>4</v>
      </c>
      <c r="P997" s="8">
        <f t="shared" ca="1" si="188"/>
        <v>42361</v>
      </c>
      <c r="Q997" s="6">
        <f ca="1">RANDBETWEEN(2,COUNTA('Recruitment source'!$A:$A))</f>
        <v>12</v>
      </c>
      <c r="R997" s="8" t="e">
        <f t="shared" ca="1" si="189"/>
        <v>#N/A</v>
      </c>
      <c r="S997" s="6" t="e">
        <f t="shared" ca="1" si="190"/>
        <v>#N/A</v>
      </c>
      <c r="T997" s="6">
        <f t="shared" ca="1" si="180"/>
        <v>3</v>
      </c>
      <c r="U997" s="1">
        <f t="shared" ca="1" si="191"/>
        <v>2000</v>
      </c>
    </row>
    <row r="998" spans="1:21" x14ac:dyDescent="0.2">
      <c r="A998" s="7" cm="1">
        <f t="array" aca="1" ref="A998" ca="1">INDEX(Companies!$A:$A,RANDBETWEEN(2,COUNTA(Companies!$A:$A)),1)</f>
        <v>2</v>
      </c>
      <c r="B998" s="5">
        <f t="shared" si="181"/>
        <v>997</v>
      </c>
      <c r="C998" s="6">
        <f t="shared" ca="1" si="182"/>
        <v>1</v>
      </c>
      <c r="D998" s="7">
        <f ca="1">IF($B998 = 1 + N("Presidente"),
    127,
    IF($B998 = 2 + N("Vice-Presidente"),
        72,
        IF($B998 = 3 + N("Secretária bilíngue"),
            13,
            RANDBETWEEN(5,COUNT(Name!$A:$A) + 1)
        )
    )
)</f>
        <v>354</v>
      </c>
      <c r="E998" s="7" t="str">
        <f ca="1" xml:space="preserve">
VLOOKUP(
  $D998,
  Name!$A:$B,
  2,
  FALSE
)
&amp; " " &amp;
IF($B998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Victor Negreiros Peçanha</v>
      </c>
      <c r="F998" s="7">
        <v>2</v>
      </c>
      <c r="G998" s="7" cm="1">
        <f t="array" aca="1" ref="G998" ca="1">INDEX(States!$B:$B,RANDBETWEEN(2,COUNTA(States!$A:$A)),1)</f>
        <v>16</v>
      </c>
      <c r="H998" s="7" t="str">
        <f ca="1">VLOOKUP($D998,Name!$A:$C,3,FALSE)</f>
        <v>M</v>
      </c>
      <c r="I998" s="7" cm="1">
        <f t="array" aca="1" ref="I998" ca="1">INDEX('Marital status'!$A:$A,RANDBETWEEN(2,COUNTA('Marital status'!$A:$A)),1)</f>
        <v>5</v>
      </c>
      <c r="J998" s="7">
        <f t="shared" ca="1" si="183"/>
        <v>2</v>
      </c>
      <c r="K998" s="8">
        <f t="shared" ca="1" si="184"/>
        <v>24540</v>
      </c>
      <c r="L998" s="6">
        <f t="shared" ca="1" si="185"/>
        <v>4</v>
      </c>
      <c r="M998" s="7">
        <f ca="1" xml:space="preserve">
  IF(OR($N998 = 2, $N998 = 3, $N998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998" s="6">
        <f t="shared" ca="1" si="186"/>
        <v>6</v>
      </c>
      <c r="O998" s="6" t="e">
        <f t="shared" ca="1" si="187"/>
        <v>#N/A</v>
      </c>
      <c r="P998" s="8">
        <f t="shared" ca="1" si="188"/>
        <v>40229</v>
      </c>
      <c r="Q998" s="6">
        <f ca="1">RANDBETWEEN(2,COUNTA('Recruitment source'!$A:$A))</f>
        <v>12</v>
      </c>
      <c r="R998" s="8" t="e">
        <f t="shared" ca="1" si="189"/>
        <v>#N/A</v>
      </c>
      <c r="S998" s="6" t="e">
        <f t="shared" ca="1" si="190"/>
        <v>#N/A</v>
      </c>
      <c r="T998" s="6">
        <f t="shared" ca="1" si="180"/>
        <v>5</v>
      </c>
      <c r="U998" s="1">
        <f t="shared" ca="1" si="191"/>
        <v>805</v>
      </c>
    </row>
    <row r="999" spans="1:21" x14ac:dyDescent="0.2">
      <c r="A999" s="7" cm="1">
        <f t="array" aca="1" ref="A999" ca="1">INDEX(Companies!$A:$A,RANDBETWEEN(2,COUNTA(Companies!$A:$A)),1)</f>
        <v>2</v>
      </c>
      <c r="B999" s="5">
        <f t="shared" si="181"/>
        <v>998</v>
      </c>
      <c r="C999" s="6">
        <f t="shared" ca="1" si="182"/>
        <v>0</v>
      </c>
      <c r="D999" s="7">
        <f ca="1">IF($B999 = 1 + N("Presidente"),
    127,
    IF($B999 = 2 + N("Vice-Presidente"),
        72,
        IF($B999 = 3 + N("Secretária bilíngue"),
            13,
            RANDBETWEEN(5,COUNT(Name!$A:$A) + 1)
        )
    )
)</f>
        <v>35</v>
      </c>
      <c r="E999" s="7" t="str">
        <f ca="1" xml:space="preserve">
VLOOKUP(
  $D999,
  Name!$A:$B,
  2,
  FALSE
)
&amp; " " &amp;
IF($B999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Luiza Vieira Freitas</v>
      </c>
      <c r="F999" s="7">
        <v>2</v>
      </c>
      <c r="G999" s="7" cm="1">
        <f t="array" aca="1" ref="G999" ca="1">INDEX(States!$B:$B,RANDBETWEEN(2,COUNTA(States!$A:$A)),1)</f>
        <v>11</v>
      </c>
      <c r="H999" s="7" t="str">
        <f ca="1">VLOOKUP($D999,Name!$A:$C,3,FALSE)</f>
        <v>F</v>
      </c>
      <c r="I999" s="7" cm="1">
        <f t="array" aca="1" ref="I999" ca="1">INDEX('Marital status'!$A:$A,RANDBETWEEN(2,COUNTA('Marital status'!$A:$A)),1)</f>
        <v>4</v>
      </c>
      <c r="J999" s="7">
        <f t="shared" ca="1" si="183"/>
        <v>2</v>
      </c>
      <c r="K999" s="8">
        <f t="shared" ca="1" si="184"/>
        <v>34973</v>
      </c>
      <c r="L999" s="6">
        <f t="shared" ca="1" si="185"/>
        <v>4</v>
      </c>
      <c r="M999" s="7">
        <f ca="1" xml:space="preserve">
  IF(OR($N999 = 2, $N999 = 3, $N999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999" s="6">
        <f t="shared" ca="1" si="186"/>
        <v>8</v>
      </c>
      <c r="O999" s="6">
        <f t="shared" ca="1" si="187"/>
        <v>2</v>
      </c>
      <c r="P999" s="8">
        <f t="shared" ca="1" si="188"/>
        <v>36321</v>
      </c>
      <c r="Q999" s="6">
        <f ca="1">RANDBETWEEN(2,COUNTA('Recruitment source'!$A:$A))</f>
        <v>9</v>
      </c>
      <c r="R999" s="8">
        <f t="shared" ca="1" si="189"/>
        <v>43285</v>
      </c>
      <c r="S999" s="6">
        <f t="shared" ca="1" si="190"/>
        <v>8</v>
      </c>
      <c r="T999" s="6">
        <f t="shared" ca="1" si="180"/>
        <v>3</v>
      </c>
      <c r="U999" s="1">
        <f t="shared" ca="1" si="191"/>
        <v>2000</v>
      </c>
    </row>
    <row r="1000" spans="1:21" x14ac:dyDescent="0.2">
      <c r="A1000" s="7" cm="1">
        <f t="array" aca="1" ref="A1000" ca="1">INDEX(Companies!$A:$A,RANDBETWEEN(2,COUNTA(Companies!$A:$A)),1)</f>
        <v>2</v>
      </c>
      <c r="B1000" s="5">
        <f t="shared" si="181"/>
        <v>999</v>
      </c>
      <c r="C1000" s="6">
        <f t="shared" ca="1" si="182"/>
        <v>1</v>
      </c>
      <c r="D1000" s="7">
        <f ca="1">IF($B1000 = 1 + N("Presidente"),
    127,
    IF($B1000 = 2 + N("Vice-Presidente"),
        72,
        IF($B1000 = 3 + N("Secretária bilíngue"),
            13,
            RANDBETWEEN(5,COUNT(Name!$A:$A) + 1)
        )
    )
)</f>
        <v>325</v>
      </c>
      <c r="E1000" s="7" t="str">
        <f ca="1" xml:space="preserve">
VLOOKUP(
  $D1000,
  Name!$A:$B,
  2,
  FALSE
)
&amp; " " &amp;
IF($B1000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Rafaela Leitão Barbosa</v>
      </c>
      <c r="F1000" s="7">
        <v>2</v>
      </c>
      <c r="G1000" s="7" cm="1">
        <f t="array" aca="1" ref="G1000" ca="1">INDEX(States!$B:$B,RANDBETWEEN(2,COUNTA(States!$A:$A)),1)</f>
        <v>3</v>
      </c>
      <c r="H1000" s="7" t="str">
        <f ca="1">VLOOKUP($D1000,Name!$A:$C,3,FALSE)</f>
        <v>F</v>
      </c>
      <c r="I1000" s="7" cm="1">
        <f t="array" aca="1" ref="I1000" ca="1">INDEX('Marital status'!$A:$A,RANDBETWEEN(2,COUNTA('Marital status'!$A:$A)),1)</f>
        <v>4</v>
      </c>
      <c r="J1000" s="7">
        <f t="shared" ca="1" si="183"/>
        <v>2</v>
      </c>
      <c r="K1000" s="8">
        <f t="shared" ca="1" si="184"/>
        <v>20249</v>
      </c>
      <c r="L1000" s="6">
        <f t="shared" ca="1" si="185"/>
        <v>4</v>
      </c>
      <c r="M1000" s="7">
        <f ca="1" xml:space="preserve">
  IF(OR($N1000 = 2, $N1000 = 3, $N1000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000" s="6">
        <f t="shared" ca="1" si="186"/>
        <v>6</v>
      </c>
      <c r="O1000" s="6" t="e">
        <f t="shared" ca="1" si="187"/>
        <v>#N/A</v>
      </c>
      <c r="P1000" s="8">
        <f t="shared" ca="1" si="188"/>
        <v>40802</v>
      </c>
      <c r="Q1000" s="6">
        <f ca="1">RANDBETWEEN(2,COUNTA('Recruitment source'!$A:$A))</f>
        <v>5</v>
      </c>
      <c r="R1000" s="8" t="e">
        <f t="shared" ca="1" si="189"/>
        <v>#N/A</v>
      </c>
      <c r="S1000" s="6" t="e">
        <f t="shared" ca="1" si="190"/>
        <v>#N/A</v>
      </c>
      <c r="T1000" s="6">
        <f t="shared" ca="1" si="180"/>
        <v>2</v>
      </c>
      <c r="U1000" s="1">
        <f t="shared" ca="1" si="191"/>
        <v>805</v>
      </c>
    </row>
    <row r="1001" spans="1:21" x14ac:dyDescent="0.2">
      <c r="A1001" s="7" cm="1">
        <f t="array" aca="1" ref="A1001" ca="1">INDEX(Companies!$A:$A,RANDBETWEEN(2,COUNTA(Companies!$A:$A)),1)</f>
        <v>2</v>
      </c>
      <c r="B1001" s="5">
        <f t="shared" si="181"/>
        <v>1000</v>
      </c>
      <c r="C1001" s="6">
        <f t="shared" ca="1" si="182"/>
        <v>1</v>
      </c>
      <c r="D1001" s="7">
        <f ca="1">IF($B1001 = 1 + N("Presidente"),
    127,
    IF($B1001 = 2 + N("Vice-Presidente"),
        72,
        IF($B1001 = 3 + N("Secretária bilíngue"),
            13,
            RANDBETWEEN(5,COUNT(Name!$A:$A) + 1)
        )
    )
)</f>
        <v>263</v>
      </c>
      <c r="E1001" s="7" t="str">
        <f ca="1" xml:space="preserve">
VLOOKUP(
  $D1001,
  Name!$A:$B,
  2,
  FALSE
)
&amp; " " &amp;
IF($B1001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Fernanda Café Monti</v>
      </c>
      <c r="F1001" s="7">
        <v>2</v>
      </c>
      <c r="G1001" s="7" cm="1">
        <f t="array" aca="1" ref="G1001" ca="1">INDEX(States!$B:$B,RANDBETWEEN(2,COUNTA(States!$A:$A)),1)</f>
        <v>14</v>
      </c>
      <c r="H1001" s="7" t="str">
        <f ca="1">VLOOKUP($D1001,Name!$A:$C,3,FALSE)</f>
        <v>F</v>
      </c>
      <c r="I1001" s="7" cm="1">
        <f t="array" aca="1" ref="I1001" ca="1">INDEX('Marital status'!$A:$A,RANDBETWEEN(2,COUNTA('Marital status'!$A:$A)),1)</f>
        <v>4</v>
      </c>
      <c r="J1001" s="7">
        <f t="shared" ca="1" si="183"/>
        <v>4</v>
      </c>
      <c r="K1001" s="8">
        <f t="shared" ca="1" si="184"/>
        <v>37101</v>
      </c>
      <c r="L1001" s="6">
        <f t="shared" ca="1" si="185"/>
        <v>5</v>
      </c>
      <c r="M1001" s="7">
        <f ca="1" xml:space="preserve">
  IF(OR($N1001 = 2, $N1001 = 3, $N1001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001" s="6">
        <f t="shared" ca="1" si="186"/>
        <v>8</v>
      </c>
      <c r="O1001" s="6">
        <f t="shared" ca="1" si="187"/>
        <v>4</v>
      </c>
      <c r="P1001" s="8">
        <f t="shared" ca="1" si="188"/>
        <v>38576</v>
      </c>
      <c r="Q1001" s="6">
        <f ca="1">RANDBETWEEN(2,COUNTA('Recruitment source'!$A:$A))</f>
        <v>9</v>
      </c>
      <c r="R1001" s="8" t="e">
        <f t="shared" ca="1" si="189"/>
        <v>#N/A</v>
      </c>
      <c r="S1001" s="6" t="e">
        <f t="shared" ca="1" si="190"/>
        <v>#N/A</v>
      </c>
      <c r="T1001" s="6">
        <f t="shared" ca="1" si="180"/>
        <v>5</v>
      </c>
      <c r="U1001" s="1">
        <f t="shared" ca="1" si="191"/>
        <v>2080</v>
      </c>
    </row>
    <row r="1002" spans="1:21" x14ac:dyDescent="0.2">
      <c r="A1002" s="7" cm="1">
        <f t="array" aca="1" ref="A1002" ca="1">INDEX(Companies!$A:$A,RANDBETWEEN(2,COUNTA(Companies!$A:$A)),1)</f>
        <v>2</v>
      </c>
      <c r="B1002" s="5">
        <f t="shared" si="181"/>
        <v>1001</v>
      </c>
      <c r="C1002" s="6">
        <f t="shared" ca="1" si="182"/>
        <v>1</v>
      </c>
      <c r="D1002" s="7">
        <f ca="1">IF($B1002 = 1 + N("Presidente"),
    127,
    IF($B1002 = 2 + N("Vice-Presidente"),
        72,
        IF($B1002 = 3 + N("Secretária bilíngue"),
            13,
            RANDBETWEEN(5,COUNT(Name!$A:$A) + 1)
        )
    )
)</f>
        <v>37</v>
      </c>
      <c r="E1002" s="7" t="str">
        <f ca="1" xml:space="preserve">
VLOOKUP(
  $D1002,
  Name!$A:$B,
  2,
  FALSE
)
&amp; " " &amp;
IF($B1002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Vitória Pimentel Teixeira</v>
      </c>
      <c r="F1002" s="7">
        <v>2</v>
      </c>
      <c r="G1002" s="7" cm="1">
        <f t="array" aca="1" ref="G1002" ca="1">INDEX(States!$B:$B,RANDBETWEEN(2,COUNTA(States!$A:$A)),1)</f>
        <v>7</v>
      </c>
      <c r="H1002" s="7" t="str">
        <f ca="1">VLOOKUP($D1002,Name!$A:$C,3,FALSE)</f>
        <v>F</v>
      </c>
      <c r="I1002" s="7" cm="1">
        <f t="array" aca="1" ref="I1002" ca="1">INDEX('Marital status'!$A:$A,RANDBETWEEN(2,COUNTA('Marital status'!$A:$A)),1)</f>
        <v>5</v>
      </c>
      <c r="J1002" s="7">
        <f t="shared" ca="1" si="183"/>
        <v>2</v>
      </c>
      <c r="K1002" s="8">
        <f t="shared" ca="1" si="184"/>
        <v>27007</v>
      </c>
      <c r="L1002" s="6">
        <f t="shared" ca="1" si="185"/>
        <v>4</v>
      </c>
      <c r="M1002" s="7">
        <f ca="1" xml:space="preserve">
  IF(OR($N1002 = 2, $N1002 = 3, $N1002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002" s="6">
        <f t="shared" ca="1" si="186"/>
        <v>6</v>
      </c>
      <c r="O1002" s="6" t="e">
        <f t="shared" ca="1" si="187"/>
        <v>#N/A</v>
      </c>
      <c r="P1002" s="8">
        <f t="shared" ca="1" si="188"/>
        <v>44269</v>
      </c>
      <c r="Q1002" s="6">
        <f ca="1">RANDBETWEEN(2,COUNTA('Recruitment source'!$A:$A))</f>
        <v>9</v>
      </c>
      <c r="R1002" s="8" t="e">
        <f t="shared" ca="1" si="189"/>
        <v>#N/A</v>
      </c>
      <c r="S1002" s="6" t="e">
        <f t="shared" ca="1" si="190"/>
        <v>#N/A</v>
      </c>
      <c r="T1002" s="6">
        <f t="shared" ca="1" si="180"/>
        <v>4</v>
      </c>
      <c r="U1002" s="1">
        <f t="shared" ca="1" si="191"/>
        <v>805</v>
      </c>
    </row>
    <row r="1003" spans="1:21" x14ac:dyDescent="0.2">
      <c r="A1003" s="7" cm="1">
        <f t="array" aca="1" ref="A1003" ca="1">INDEX(Companies!$A:$A,RANDBETWEEN(2,COUNTA(Companies!$A:$A)),1)</f>
        <v>2</v>
      </c>
      <c r="B1003" s="5">
        <f t="shared" si="181"/>
        <v>1002</v>
      </c>
      <c r="C1003" s="6">
        <f t="shared" ca="1" si="182"/>
        <v>1</v>
      </c>
      <c r="D1003" s="7">
        <f ca="1">IF($B1003 = 1 + N("Presidente"),
    127,
    IF($B1003 = 2 + N("Vice-Presidente"),
        72,
        IF($B1003 = 3 + N("Secretária bilíngue"),
            13,
            RANDBETWEEN(5,COUNT(Name!$A:$A) + 1)
        )
    )
)</f>
        <v>202</v>
      </c>
      <c r="E1003" s="7" t="str">
        <f ca="1" xml:space="preserve">
VLOOKUP(
  $D1003,
  Name!$A:$B,
  2,
  FALSE
)
&amp; " " &amp;
IF($B1003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Júlia Clara Gonçalves Saragoça</v>
      </c>
      <c r="F1003" s="7">
        <v>2</v>
      </c>
      <c r="G1003" s="7" cm="1">
        <f t="array" aca="1" ref="G1003" ca="1">INDEX(States!$B:$B,RANDBETWEEN(2,COUNTA(States!$A:$A)),1)</f>
        <v>4</v>
      </c>
      <c r="H1003" s="7" t="str">
        <f ca="1">VLOOKUP($D1003,Name!$A:$C,3,FALSE)</f>
        <v>F</v>
      </c>
      <c r="I1003" s="7" cm="1">
        <f t="array" aca="1" ref="I1003" ca="1">INDEX('Marital status'!$A:$A,RANDBETWEEN(2,COUNTA('Marital status'!$A:$A)),1)</f>
        <v>5</v>
      </c>
      <c r="J1003" s="7">
        <f t="shared" ca="1" si="183"/>
        <v>2</v>
      </c>
      <c r="K1003" s="8">
        <f t="shared" ca="1" si="184"/>
        <v>32776</v>
      </c>
      <c r="L1003" s="6">
        <f t="shared" ca="1" si="185"/>
        <v>4</v>
      </c>
      <c r="M1003" s="7">
        <f ca="1" xml:space="preserve">
  IF(OR($N1003 = 2, $N1003 = 3, $N1003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003" s="6">
        <f t="shared" ca="1" si="186"/>
        <v>8</v>
      </c>
      <c r="O1003" s="6">
        <f t="shared" ca="1" si="187"/>
        <v>4</v>
      </c>
      <c r="P1003" s="8">
        <f t="shared" ca="1" si="188"/>
        <v>38361</v>
      </c>
      <c r="Q1003" s="6">
        <f ca="1">RANDBETWEEN(2,COUNTA('Recruitment source'!$A:$A))</f>
        <v>6</v>
      </c>
      <c r="R1003" s="8" t="e">
        <f t="shared" ca="1" si="189"/>
        <v>#N/A</v>
      </c>
      <c r="S1003" s="6" t="e">
        <f t="shared" ca="1" si="190"/>
        <v>#N/A</v>
      </c>
      <c r="T1003" s="6">
        <f t="shared" ca="1" si="180"/>
        <v>3</v>
      </c>
      <c r="U1003" s="1">
        <f t="shared" ca="1" si="191"/>
        <v>2000</v>
      </c>
    </row>
    <row r="1004" spans="1:21" x14ac:dyDescent="0.2">
      <c r="A1004" s="7" cm="1">
        <f t="array" aca="1" ref="A1004" ca="1">INDEX(Companies!$A:$A,RANDBETWEEN(2,COUNTA(Companies!$A:$A)),1)</f>
        <v>2</v>
      </c>
      <c r="B1004" s="5">
        <f t="shared" si="181"/>
        <v>1003</v>
      </c>
      <c r="C1004" s="6">
        <f t="shared" ca="1" si="182"/>
        <v>1</v>
      </c>
      <c r="D1004" s="7">
        <f ca="1">IF($B1004 = 1 + N("Presidente"),
    127,
    IF($B1004 = 2 + N("Vice-Presidente"),
        72,
        IF($B1004 = 3 + N("Secretária bilíngue"),
            13,
            RANDBETWEEN(5,COUNT(Name!$A:$A) + 1)
        )
    )
)</f>
        <v>158</v>
      </c>
      <c r="E1004" s="7" t="str">
        <f ca="1" xml:space="preserve">
VLOOKUP(
  $D1004,
  Name!$A:$B,
  2,
  FALSE
)
&amp; " " &amp;
IF($B1004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Guilherme Augusto Bianchi Ferrara</v>
      </c>
      <c r="F1004" s="7">
        <v>2</v>
      </c>
      <c r="G1004" s="7" cm="1">
        <f t="array" aca="1" ref="G1004" ca="1">INDEX(States!$B:$B,RANDBETWEEN(2,COUNTA(States!$A:$A)),1)</f>
        <v>20</v>
      </c>
      <c r="H1004" s="7" t="str">
        <f ca="1">VLOOKUP($D1004,Name!$A:$C,3,FALSE)</f>
        <v>M</v>
      </c>
      <c r="I1004" s="7" cm="1">
        <f t="array" aca="1" ref="I1004" ca="1">INDEX('Marital status'!$A:$A,RANDBETWEEN(2,COUNTA('Marital status'!$A:$A)),1)</f>
        <v>2</v>
      </c>
      <c r="J1004" s="7">
        <f t="shared" ca="1" si="183"/>
        <v>2</v>
      </c>
      <c r="K1004" s="8">
        <f t="shared" ca="1" si="184"/>
        <v>22808</v>
      </c>
      <c r="L1004" s="6">
        <f t="shared" ca="1" si="185"/>
        <v>4</v>
      </c>
      <c r="M1004" s="7">
        <f ca="1" xml:space="preserve">
  IF(OR($N1004 = 2, $N1004 = 3, $N1004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004" s="6">
        <f t="shared" ca="1" si="186"/>
        <v>6</v>
      </c>
      <c r="O1004" s="6" t="e">
        <f t="shared" ca="1" si="187"/>
        <v>#N/A</v>
      </c>
      <c r="P1004" s="8">
        <f t="shared" ca="1" si="188"/>
        <v>36508</v>
      </c>
      <c r="Q1004" s="6">
        <f ca="1">RANDBETWEEN(2,COUNTA('Recruitment source'!$A:$A))</f>
        <v>12</v>
      </c>
      <c r="R1004" s="8" t="e">
        <f t="shared" ca="1" si="189"/>
        <v>#N/A</v>
      </c>
      <c r="S1004" s="6" t="e">
        <f t="shared" ca="1" si="190"/>
        <v>#N/A</v>
      </c>
      <c r="T1004" s="6">
        <f t="shared" ca="1" si="180"/>
        <v>5</v>
      </c>
      <c r="U1004" s="1">
        <f t="shared" ca="1" si="191"/>
        <v>805</v>
      </c>
    </row>
    <row r="1005" spans="1:21" x14ac:dyDescent="0.2">
      <c r="A1005" s="7" cm="1">
        <f t="array" aca="1" ref="A1005" ca="1">INDEX(Companies!$A:$A,RANDBETWEEN(2,COUNTA(Companies!$A:$A)),1)</f>
        <v>2</v>
      </c>
      <c r="B1005" s="5">
        <f t="shared" si="181"/>
        <v>1004</v>
      </c>
      <c r="C1005" s="6">
        <f t="shared" ca="1" si="182"/>
        <v>1</v>
      </c>
      <c r="D1005" s="7">
        <f ca="1">IF($B1005 = 1 + N("Presidente"),
    127,
    IF($B1005 = 2 + N("Vice-Presidente"),
        72,
        IF($B1005 = 3 + N("Secretária bilíngue"),
            13,
            RANDBETWEEN(5,COUNT(Name!$A:$A) + 1)
        )
    )
)</f>
        <v>158</v>
      </c>
      <c r="E1005" s="7" t="str">
        <f ca="1" xml:space="preserve">
VLOOKUP(
  $D1005,
  Name!$A:$B,
  2,
  FALSE
)
&amp; " " &amp;
IF($B1005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Guilherme Augusto Chaves Ferrara</v>
      </c>
      <c r="F1005" s="7">
        <v>2</v>
      </c>
      <c r="G1005" s="7" cm="1">
        <f t="array" aca="1" ref="G1005" ca="1">INDEX(States!$B:$B,RANDBETWEEN(2,COUNTA(States!$A:$A)),1)</f>
        <v>3</v>
      </c>
      <c r="H1005" s="7" t="str">
        <f ca="1">VLOOKUP($D1005,Name!$A:$C,3,FALSE)</f>
        <v>M</v>
      </c>
      <c r="I1005" s="7" cm="1">
        <f t="array" aca="1" ref="I1005" ca="1">INDEX('Marital status'!$A:$A,RANDBETWEEN(2,COUNTA('Marital status'!$A:$A)),1)</f>
        <v>2</v>
      </c>
      <c r="J1005" s="7">
        <f t="shared" ca="1" si="183"/>
        <v>2</v>
      </c>
      <c r="K1005" s="8">
        <f t="shared" ca="1" si="184"/>
        <v>32709</v>
      </c>
      <c r="L1005" s="6">
        <f t="shared" ca="1" si="185"/>
        <v>4</v>
      </c>
      <c r="M1005" s="7">
        <f ca="1" xml:space="preserve">
  IF(OR($N1005 = 2, $N1005 = 3, $N1005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005" s="6">
        <f t="shared" ca="1" si="186"/>
        <v>8</v>
      </c>
      <c r="O1005" s="6">
        <f t="shared" ca="1" si="187"/>
        <v>3</v>
      </c>
      <c r="P1005" s="8">
        <f t="shared" ca="1" si="188"/>
        <v>37313</v>
      </c>
      <c r="Q1005" s="6">
        <f ca="1">RANDBETWEEN(2,COUNTA('Recruitment source'!$A:$A))</f>
        <v>5</v>
      </c>
      <c r="R1005" s="8" t="e">
        <f t="shared" ca="1" si="189"/>
        <v>#N/A</v>
      </c>
      <c r="S1005" s="6" t="e">
        <f t="shared" ca="1" si="190"/>
        <v>#N/A</v>
      </c>
      <c r="T1005" s="6">
        <f t="shared" ca="1" si="180"/>
        <v>3</v>
      </c>
      <c r="U1005" s="1">
        <f t="shared" ca="1" si="191"/>
        <v>2000</v>
      </c>
    </row>
    <row r="1006" spans="1:21" x14ac:dyDescent="0.2">
      <c r="A1006" s="7" cm="1">
        <f t="array" aca="1" ref="A1006" ca="1">INDEX(Companies!$A:$A,RANDBETWEEN(2,COUNTA(Companies!$A:$A)),1)</f>
        <v>2</v>
      </c>
      <c r="B1006" s="5">
        <f t="shared" si="181"/>
        <v>1005</v>
      </c>
      <c r="C1006" s="6">
        <f t="shared" ca="1" si="182"/>
        <v>1</v>
      </c>
      <c r="D1006" s="7">
        <f ca="1">IF($B1006 = 1 + N("Presidente"),
    127,
    IF($B1006 = 2 + N("Vice-Presidente"),
        72,
        IF($B1006 = 3 + N("Secretária bilíngue"),
            13,
            RANDBETWEEN(5,COUNT(Name!$A:$A) + 1)
        )
    )
)</f>
        <v>168</v>
      </c>
      <c r="E1006" s="7" t="str">
        <f ca="1" xml:space="preserve">
VLOOKUP(
  $D1006,
  Name!$A:$B,
  2,
  FALSE
)
&amp; " " &amp;
IF($B1006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Henry Moretti Giordano</v>
      </c>
      <c r="F1006" s="7">
        <v>2</v>
      </c>
      <c r="G1006" s="7" cm="1">
        <f t="array" aca="1" ref="G1006" ca="1">INDEX(States!$B:$B,RANDBETWEEN(2,COUNTA(States!$A:$A)),1)</f>
        <v>17</v>
      </c>
      <c r="H1006" s="7" t="str">
        <f ca="1">VLOOKUP($D1006,Name!$A:$C,3,FALSE)</f>
        <v>M</v>
      </c>
      <c r="I1006" s="7" cm="1">
        <f t="array" aca="1" ref="I1006" ca="1">INDEX('Marital status'!$A:$A,RANDBETWEEN(2,COUNTA('Marital status'!$A:$A)),1)</f>
        <v>2</v>
      </c>
      <c r="J1006" s="7">
        <f t="shared" ca="1" si="183"/>
        <v>2</v>
      </c>
      <c r="K1006" s="8">
        <f t="shared" ca="1" si="184"/>
        <v>25397</v>
      </c>
      <c r="L1006" s="6">
        <f t="shared" ca="1" si="185"/>
        <v>4</v>
      </c>
      <c r="M1006" s="7">
        <f ca="1" xml:space="preserve">
  IF(OR($N1006 = 2, $N1006 = 3, $N1006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006" s="6">
        <f t="shared" ca="1" si="186"/>
        <v>6</v>
      </c>
      <c r="O1006" s="6" t="e">
        <f t="shared" ca="1" si="187"/>
        <v>#N/A</v>
      </c>
      <c r="P1006" s="8">
        <f t="shared" ca="1" si="188"/>
        <v>39101</v>
      </c>
      <c r="Q1006" s="6">
        <f ca="1">RANDBETWEEN(2,COUNTA('Recruitment source'!$A:$A))</f>
        <v>11</v>
      </c>
      <c r="R1006" s="8" t="e">
        <f t="shared" ca="1" si="189"/>
        <v>#N/A</v>
      </c>
      <c r="S1006" s="6" t="e">
        <f t="shared" ca="1" si="190"/>
        <v>#N/A</v>
      </c>
      <c r="T1006" s="6">
        <f t="shared" ca="1" si="180"/>
        <v>3</v>
      </c>
      <c r="U1006" s="1">
        <f t="shared" ca="1" si="191"/>
        <v>805</v>
      </c>
    </row>
    <row r="1007" spans="1:21" x14ac:dyDescent="0.2">
      <c r="A1007" s="7" cm="1">
        <f t="array" aca="1" ref="A1007" ca="1">INDEX(Companies!$A:$A,RANDBETWEEN(2,COUNTA(Companies!$A:$A)),1)</f>
        <v>2</v>
      </c>
      <c r="B1007" s="5">
        <f t="shared" si="181"/>
        <v>1006</v>
      </c>
      <c r="C1007" s="6">
        <f t="shared" ca="1" si="182"/>
        <v>1</v>
      </c>
      <c r="D1007" s="7">
        <f ca="1">IF($B1007 = 1 + N("Presidente"),
    127,
    IF($B1007 = 2 + N("Vice-Presidente"),
        72,
        IF($B1007 = 3 + N("Secretária bilíngue"),
            13,
            RANDBETWEEN(5,COUNT(Name!$A:$A) + 1)
        )
    )
)</f>
        <v>122</v>
      </c>
      <c r="E1007" s="7" t="str">
        <f ca="1" xml:space="preserve">
VLOOKUP(
  $D1007,
  Name!$A:$B,
  2,
  FALSE
)
&amp; " " &amp;
IF($B1007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Emanuel Aguiar Reis</v>
      </c>
      <c r="F1007" s="7">
        <v>2</v>
      </c>
      <c r="G1007" s="7" cm="1">
        <f t="array" aca="1" ref="G1007" ca="1">INDEX(States!$B:$B,RANDBETWEEN(2,COUNTA(States!$A:$A)),1)</f>
        <v>10</v>
      </c>
      <c r="H1007" s="7" t="str">
        <f ca="1">VLOOKUP($D1007,Name!$A:$C,3,FALSE)</f>
        <v>M</v>
      </c>
      <c r="I1007" s="7" cm="1">
        <f t="array" aca="1" ref="I1007" ca="1">INDEX('Marital status'!$A:$A,RANDBETWEEN(2,COUNTA('Marital status'!$A:$A)),1)</f>
        <v>6</v>
      </c>
      <c r="J1007" s="7">
        <f t="shared" ca="1" si="183"/>
        <v>5</v>
      </c>
      <c r="K1007" s="8">
        <f t="shared" ca="1" si="184"/>
        <v>32867</v>
      </c>
      <c r="L1007" s="6">
        <f t="shared" ca="1" si="185"/>
        <v>5</v>
      </c>
      <c r="M1007" s="7">
        <f ca="1" xml:space="preserve">
  IF(OR($N1007 = 2, $N1007 = 3, $N1007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007" s="6">
        <f t="shared" ca="1" si="186"/>
        <v>8</v>
      </c>
      <c r="O1007" s="6">
        <f t="shared" ca="1" si="187"/>
        <v>3</v>
      </c>
      <c r="P1007" s="8">
        <f t="shared" ca="1" si="188"/>
        <v>39582</v>
      </c>
      <c r="Q1007" s="6">
        <f ca="1">RANDBETWEEN(2,COUNTA('Recruitment source'!$A:$A))</f>
        <v>10</v>
      </c>
      <c r="R1007" s="8" t="e">
        <f t="shared" ca="1" si="189"/>
        <v>#N/A</v>
      </c>
      <c r="S1007" s="6" t="e">
        <f t="shared" ca="1" si="190"/>
        <v>#N/A</v>
      </c>
      <c r="T1007" s="6">
        <f t="shared" ca="1" si="180"/>
        <v>3</v>
      </c>
      <c r="U1007" s="1">
        <f t="shared" ca="1" si="191"/>
        <v>2000</v>
      </c>
    </row>
    <row r="1008" spans="1:21" x14ac:dyDescent="0.2">
      <c r="A1008" s="7" cm="1">
        <f t="array" aca="1" ref="A1008" ca="1">INDEX(Companies!$A:$A,RANDBETWEEN(2,COUNTA(Companies!$A:$A)),1)</f>
        <v>2</v>
      </c>
      <c r="B1008" s="5">
        <f t="shared" si="181"/>
        <v>1007</v>
      </c>
      <c r="C1008" s="6">
        <f t="shared" ca="1" si="182"/>
        <v>1</v>
      </c>
      <c r="D1008" s="7">
        <f ca="1">IF($B1008 = 1 + N("Presidente"),
    127,
    IF($B1008 = 2 + N("Vice-Presidente"),
        72,
        IF($B1008 = 3 + N("Secretária bilíngue"),
            13,
            RANDBETWEEN(5,COUNT(Name!$A:$A) + 1)
        )
    )
)</f>
        <v>288</v>
      </c>
      <c r="E1008" s="7" t="str">
        <f ca="1" xml:space="preserve">
VLOOKUP(
  $D1008,
  Name!$A:$B,
  2,
  FALSE
)
&amp; " " &amp;
IF($B1008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Matheus Bruno Frasão Monteiro</v>
      </c>
      <c r="F1008" s="7">
        <v>2</v>
      </c>
      <c r="G1008" s="7" cm="1">
        <f t="array" aca="1" ref="G1008" ca="1">INDEX(States!$B:$B,RANDBETWEEN(2,COUNTA(States!$A:$A)),1)</f>
        <v>18</v>
      </c>
      <c r="H1008" s="7" t="str">
        <f ca="1">VLOOKUP($D1008,Name!$A:$C,3,FALSE)</f>
        <v>M</v>
      </c>
      <c r="I1008" s="7" cm="1">
        <f t="array" aca="1" ref="I1008" ca="1">INDEX('Marital status'!$A:$A,RANDBETWEEN(2,COUNTA('Marital status'!$A:$A)),1)</f>
        <v>5</v>
      </c>
      <c r="J1008" s="7">
        <f t="shared" ca="1" si="183"/>
        <v>3</v>
      </c>
      <c r="K1008" s="8">
        <f t="shared" ca="1" si="184"/>
        <v>29593</v>
      </c>
      <c r="L1008" s="6">
        <f t="shared" ca="1" si="185"/>
        <v>4</v>
      </c>
      <c r="M1008" s="7">
        <f ca="1" xml:space="preserve">
  IF(OR($N1008 = 2, $N1008 = 3, $N1008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008" s="6">
        <f t="shared" ca="1" si="186"/>
        <v>7</v>
      </c>
      <c r="O1008" s="6" t="e">
        <f t="shared" ca="1" si="187"/>
        <v>#N/A</v>
      </c>
      <c r="P1008" s="8">
        <f t="shared" ca="1" si="188"/>
        <v>37166</v>
      </c>
      <c r="Q1008" s="6">
        <f ca="1">RANDBETWEEN(2,COUNTA('Recruitment source'!$A:$A))</f>
        <v>3</v>
      </c>
      <c r="R1008" s="8" t="e">
        <f t="shared" ca="1" si="189"/>
        <v>#N/A</v>
      </c>
      <c r="S1008" s="6" t="e">
        <f t="shared" ca="1" si="190"/>
        <v>#N/A</v>
      </c>
      <c r="T1008" s="6">
        <f t="shared" ca="1" si="180"/>
        <v>2</v>
      </c>
      <c r="U1008" s="1">
        <f t="shared" ca="1" si="191"/>
        <v>1085</v>
      </c>
    </row>
    <row r="1009" spans="1:21" x14ac:dyDescent="0.2">
      <c r="A1009" s="7" cm="1">
        <f t="array" aca="1" ref="A1009" ca="1">INDEX(Companies!$A:$A,RANDBETWEEN(2,COUNTA(Companies!$A:$A)),1)</f>
        <v>2</v>
      </c>
      <c r="B1009" s="5">
        <f t="shared" si="181"/>
        <v>1008</v>
      </c>
      <c r="C1009" s="6">
        <f t="shared" ca="1" si="182"/>
        <v>1</v>
      </c>
      <c r="D1009" s="7">
        <f ca="1">IF($B1009 = 1 + N("Presidente"),
    127,
    IF($B1009 = 2 + N("Vice-Presidente"),
        72,
        IF($B1009 = 3 + N("Secretária bilíngue"),
            13,
            RANDBETWEEN(5,COUNT(Name!$A:$A) + 1)
        )
    )
)</f>
        <v>282</v>
      </c>
      <c r="E1009" s="7" t="str">
        <f ca="1" xml:space="preserve">
VLOOKUP(
  $D1009,
  Name!$A:$B,
  2,
  FALSE
)
&amp; " " &amp;
IF($B1009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Marinah Leone Alvaregna</v>
      </c>
      <c r="F1009" s="7">
        <v>2</v>
      </c>
      <c r="G1009" s="7" cm="1">
        <f t="array" aca="1" ref="G1009" ca="1">INDEX(States!$B:$B,RANDBETWEEN(2,COUNTA(States!$A:$A)),1)</f>
        <v>19</v>
      </c>
      <c r="H1009" s="7" t="str">
        <f ca="1">VLOOKUP($D1009,Name!$A:$C,3,FALSE)</f>
        <v>F</v>
      </c>
      <c r="I1009" s="7" cm="1">
        <f t="array" aca="1" ref="I1009" ca="1">INDEX('Marital status'!$A:$A,RANDBETWEEN(2,COUNTA('Marital status'!$A:$A)),1)</f>
        <v>5</v>
      </c>
      <c r="J1009" s="7">
        <f t="shared" ca="1" si="183"/>
        <v>2</v>
      </c>
      <c r="K1009" s="8">
        <f t="shared" ca="1" si="184"/>
        <v>32595</v>
      </c>
      <c r="L1009" s="6">
        <f t="shared" ca="1" si="185"/>
        <v>5</v>
      </c>
      <c r="M1009" s="7">
        <f ca="1" xml:space="preserve">
  IF(OR($N1009 = 2, $N1009 = 3, $N1009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009" s="6">
        <f t="shared" ca="1" si="186"/>
        <v>8</v>
      </c>
      <c r="O1009" s="6">
        <f t="shared" ca="1" si="187"/>
        <v>4</v>
      </c>
      <c r="P1009" s="8">
        <f t="shared" ca="1" si="188"/>
        <v>40096</v>
      </c>
      <c r="Q1009" s="6">
        <f ca="1">RANDBETWEEN(2,COUNTA('Recruitment source'!$A:$A))</f>
        <v>2</v>
      </c>
      <c r="R1009" s="8" t="e">
        <f t="shared" ca="1" si="189"/>
        <v>#N/A</v>
      </c>
      <c r="S1009" s="6" t="e">
        <f t="shared" ca="1" si="190"/>
        <v>#N/A</v>
      </c>
      <c r="T1009" s="6">
        <f t="shared" ca="1" si="180"/>
        <v>2</v>
      </c>
      <c r="U1009" s="1">
        <f t="shared" ca="1" si="191"/>
        <v>2000</v>
      </c>
    </row>
    <row r="1010" spans="1:21" x14ac:dyDescent="0.2">
      <c r="A1010" s="7" cm="1">
        <f t="array" aca="1" ref="A1010" ca="1">INDEX(Companies!$A:$A,RANDBETWEEN(2,COUNTA(Companies!$A:$A)),1)</f>
        <v>2</v>
      </c>
      <c r="B1010" s="5">
        <f t="shared" si="181"/>
        <v>1009</v>
      </c>
      <c r="C1010" s="6">
        <f t="shared" ca="1" si="182"/>
        <v>1</v>
      </c>
      <c r="D1010" s="7">
        <f ca="1">IF($B1010 = 1 + N("Presidente"),
    127,
    IF($B1010 = 2 + N("Vice-Presidente"),
        72,
        IF($B1010 = 3 + N("Secretária bilíngue"),
            13,
            RANDBETWEEN(5,COUNT(Name!$A:$A) + 1)
        )
    )
)</f>
        <v>27</v>
      </c>
      <c r="E1010" s="7" t="str">
        <f ca="1" xml:space="preserve">
VLOOKUP(
  $D1010,
  Name!$A:$B,
  2,
  FALSE
)
&amp; " " &amp;
IF($B1010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Carolina Leite Carneiro</v>
      </c>
      <c r="F1010" s="7">
        <v>2</v>
      </c>
      <c r="G1010" s="7" cm="1">
        <f t="array" aca="1" ref="G1010" ca="1">INDEX(States!$B:$B,RANDBETWEEN(2,COUNTA(States!$A:$A)),1)</f>
        <v>9</v>
      </c>
      <c r="H1010" s="7" t="str">
        <f ca="1">VLOOKUP($D1010,Name!$A:$C,3,FALSE)</f>
        <v>F</v>
      </c>
      <c r="I1010" s="7" cm="1">
        <f t="array" aca="1" ref="I1010" ca="1">INDEX('Marital status'!$A:$A,RANDBETWEEN(2,COUNTA('Marital status'!$A:$A)),1)</f>
        <v>6</v>
      </c>
      <c r="J1010" s="7">
        <f t="shared" ca="1" si="183"/>
        <v>2</v>
      </c>
      <c r="K1010" s="8">
        <f t="shared" ca="1" si="184"/>
        <v>33584</v>
      </c>
      <c r="L1010" s="6">
        <f t="shared" ca="1" si="185"/>
        <v>4</v>
      </c>
      <c r="M1010" s="7">
        <f ca="1" xml:space="preserve">
  IF(OR($N1010 = 2, $N1010 = 3, $N1010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010" s="6">
        <f t="shared" ca="1" si="186"/>
        <v>7</v>
      </c>
      <c r="O1010" s="6" t="e">
        <f t="shared" ca="1" si="187"/>
        <v>#N/A</v>
      </c>
      <c r="P1010" s="8">
        <f t="shared" ca="1" si="188"/>
        <v>41785</v>
      </c>
      <c r="Q1010" s="6">
        <f ca="1">RANDBETWEEN(2,COUNTA('Recruitment source'!$A:$A))</f>
        <v>11</v>
      </c>
      <c r="R1010" s="8" t="e">
        <f t="shared" ca="1" si="189"/>
        <v>#N/A</v>
      </c>
      <c r="S1010" s="6" t="e">
        <f t="shared" ca="1" si="190"/>
        <v>#N/A</v>
      </c>
      <c r="T1010" s="6">
        <f t="shared" ca="1" si="180"/>
        <v>3</v>
      </c>
      <c r="U1010" s="1">
        <f t="shared" ca="1" si="191"/>
        <v>1005</v>
      </c>
    </row>
    <row r="1011" spans="1:21" x14ac:dyDescent="0.2">
      <c r="A1011" s="7" cm="1">
        <f t="array" aca="1" ref="A1011" ca="1">INDEX(Companies!$A:$A,RANDBETWEEN(2,COUNTA(Companies!$A:$A)),1)</f>
        <v>2</v>
      </c>
      <c r="B1011" s="5">
        <f t="shared" si="181"/>
        <v>1010</v>
      </c>
      <c r="C1011" s="6">
        <f t="shared" ca="1" si="182"/>
        <v>1</v>
      </c>
      <c r="D1011" s="7">
        <f ca="1">IF($B1011 = 1 + N("Presidente"),
    127,
    IF($B1011 = 2 + N("Vice-Presidente"),
        72,
        IF($B1011 = 3 + N("Secretária bilíngue"),
            13,
            RANDBETWEEN(5,COUNT(Name!$A:$A) + 1)
        )
    )
)</f>
        <v>168</v>
      </c>
      <c r="E1011" s="7" t="str">
        <f ca="1" xml:space="preserve">
VLOOKUP(
  $D1011,
  Name!$A:$B,
  2,
  FALSE
)
&amp; " " &amp;
IF($B1011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Henry Pimentel Frois</v>
      </c>
      <c r="F1011" s="7">
        <v>2</v>
      </c>
      <c r="G1011" s="7" cm="1">
        <f t="array" aca="1" ref="G1011" ca="1">INDEX(States!$B:$B,RANDBETWEEN(2,COUNTA(States!$A:$A)),1)</f>
        <v>20</v>
      </c>
      <c r="H1011" s="7" t="str">
        <f ca="1">VLOOKUP($D1011,Name!$A:$C,3,FALSE)</f>
        <v>M</v>
      </c>
      <c r="I1011" s="7" cm="1">
        <f t="array" aca="1" ref="I1011" ca="1">INDEX('Marital status'!$A:$A,RANDBETWEEN(2,COUNTA('Marital status'!$A:$A)),1)</f>
        <v>2</v>
      </c>
      <c r="J1011" s="7">
        <f t="shared" ca="1" si="183"/>
        <v>2</v>
      </c>
      <c r="K1011" s="8">
        <f t="shared" ca="1" si="184"/>
        <v>38098</v>
      </c>
      <c r="L1011" s="6">
        <f t="shared" ca="1" si="185"/>
        <v>5</v>
      </c>
      <c r="M1011" s="7">
        <f ca="1" xml:space="preserve">
  IF(OR($N1011 = 2, $N1011 = 3, $N1011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011" s="6">
        <f t="shared" ca="1" si="186"/>
        <v>8</v>
      </c>
      <c r="O1011" s="6">
        <f t="shared" ca="1" si="187"/>
        <v>4</v>
      </c>
      <c r="P1011" s="8">
        <f t="shared" ca="1" si="188"/>
        <v>44838</v>
      </c>
      <c r="Q1011" s="6">
        <f ca="1">RANDBETWEEN(2,COUNTA('Recruitment source'!$A:$A))</f>
        <v>11</v>
      </c>
      <c r="R1011" s="8" t="e">
        <f t="shared" ca="1" si="189"/>
        <v>#N/A</v>
      </c>
      <c r="S1011" s="6" t="e">
        <f t="shared" ca="1" si="190"/>
        <v>#N/A</v>
      </c>
      <c r="T1011" s="6">
        <f t="shared" ca="1" si="180"/>
        <v>2</v>
      </c>
      <c r="U1011" s="1">
        <f t="shared" ca="1" si="191"/>
        <v>2000</v>
      </c>
    </row>
    <row r="1012" spans="1:21" x14ac:dyDescent="0.2">
      <c r="A1012" s="7" cm="1">
        <f t="array" aca="1" ref="A1012" ca="1">INDEX(Companies!$A:$A,RANDBETWEEN(2,COUNTA(Companies!$A:$A)),1)</f>
        <v>2</v>
      </c>
      <c r="B1012" s="5">
        <f t="shared" si="181"/>
        <v>1011</v>
      </c>
      <c r="C1012" s="6">
        <f t="shared" ca="1" si="182"/>
        <v>1</v>
      </c>
      <c r="D1012" s="7">
        <f ca="1">IF($B1012 = 1 + N("Presidente"),
    127,
    IF($B1012 = 2 + N("Vice-Presidente"),
        72,
        IF($B1012 = 3 + N("Secretária bilíngue"),
            13,
            RANDBETWEEN(5,COUNT(Name!$A:$A) + 1)
        )
    )
)</f>
        <v>330</v>
      </c>
      <c r="E1012" s="7" t="str">
        <f ca="1" xml:space="preserve">
VLOOKUP(
  $D1012,
  Name!$A:$B,
  2,
  FALSE
)
&amp; " " &amp;
IF($B1012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Rebecca Rinaldi Lombardi</v>
      </c>
      <c r="F1012" s="7">
        <v>2</v>
      </c>
      <c r="G1012" s="7" cm="1">
        <f t="array" aca="1" ref="G1012" ca="1">INDEX(States!$B:$B,RANDBETWEEN(2,COUNTA(States!$A:$A)),1)</f>
        <v>6</v>
      </c>
      <c r="H1012" s="7" t="str">
        <f ca="1">VLOOKUP($D1012,Name!$A:$C,3,FALSE)</f>
        <v>F</v>
      </c>
      <c r="I1012" s="7" cm="1">
        <f t="array" aca="1" ref="I1012" ca="1">INDEX('Marital status'!$A:$A,RANDBETWEEN(2,COUNTA('Marital status'!$A:$A)),1)</f>
        <v>4</v>
      </c>
      <c r="J1012" s="7">
        <f t="shared" ca="1" si="183"/>
        <v>4</v>
      </c>
      <c r="K1012" s="8">
        <f t="shared" ca="1" si="184"/>
        <v>25161</v>
      </c>
      <c r="L1012" s="6">
        <f t="shared" ca="1" si="185"/>
        <v>4</v>
      </c>
      <c r="M1012" s="7">
        <f ca="1" xml:space="preserve">
  IF(OR($N1012 = 2, $N1012 = 3, $N1012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012" s="6">
        <f t="shared" ca="1" si="186"/>
        <v>6</v>
      </c>
      <c r="O1012" s="6" t="e">
        <f t="shared" ca="1" si="187"/>
        <v>#N/A</v>
      </c>
      <c r="P1012" s="8">
        <f t="shared" ca="1" si="188"/>
        <v>38389</v>
      </c>
      <c r="Q1012" s="6">
        <f ca="1">RANDBETWEEN(2,COUNTA('Recruitment source'!$A:$A))</f>
        <v>6</v>
      </c>
      <c r="R1012" s="8" t="e">
        <f t="shared" ca="1" si="189"/>
        <v>#N/A</v>
      </c>
      <c r="S1012" s="6" t="e">
        <f t="shared" ca="1" si="190"/>
        <v>#N/A</v>
      </c>
      <c r="T1012" s="6">
        <f t="shared" ca="1" si="180"/>
        <v>4</v>
      </c>
      <c r="U1012" s="1">
        <f t="shared" ca="1" si="191"/>
        <v>805</v>
      </c>
    </row>
    <row r="1013" spans="1:21" x14ac:dyDescent="0.2">
      <c r="A1013" s="7" cm="1">
        <f t="array" aca="1" ref="A1013" ca="1">INDEX(Companies!$A:$A,RANDBETWEEN(2,COUNTA(Companies!$A:$A)),1)</f>
        <v>2</v>
      </c>
      <c r="B1013" s="5">
        <f t="shared" si="181"/>
        <v>1012</v>
      </c>
      <c r="C1013" s="6">
        <f t="shared" ca="1" si="182"/>
        <v>1</v>
      </c>
      <c r="D1013" s="7">
        <f ca="1">IF($B1013 = 1 + N("Presidente"),
    127,
    IF($B1013 = 2 + N("Vice-Presidente"),
        72,
        IF($B1013 = 3 + N("Secretária bilíngue"),
            13,
            RANDBETWEEN(5,COUNT(Name!$A:$A) + 1)
        )
    )
)</f>
        <v>174</v>
      </c>
      <c r="E1013" s="7" t="str">
        <f ca="1" xml:space="preserve">
VLOOKUP(
  $D1013,
  Name!$A:$B,
  2,
  FALSE
)
&amp; " " &amp;
IF($B1013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 Rangel Conti</v>
      </c>
      <c r="F1013" s="7">
        <v>2</v>
      </c>
      <c r="G1013" s="7" cm="1">
        <f t="array" aca="1" ref="G1013" ca="1">INDEX(States!$B:$B,RANDBETWEEN(2,COUNTA(States!$A:$A)),1)</f>
        <v>3</v>
      </c>
      <c r="H1013" s="7" t="str">
        <f ca="1">VLOOKUP($D1013,Name!$A:$C,3,FALSE)</f>
        <v>F</v>
      </c>
      <c r="I1013" s="7" cm="1">
        <f t="array" aca="1" ref="I1013" ca="1">INDEX('Marital status'!$A:$A,RANDBETWEEN(2,COUNTA('Marital status'!$A:$A)),1)</f>
        <v>2</v>
      </c>
      <c r="J1013" s="7">
        <f t="shared" ca="1" si="183"/>
        <v>2</v>
      </c>
      <c r="K1013" s="8">
        <f t="shared" ca="1" si="184"/>
        <v>33846</v>
      </c>
      <c r="L1013" s="6">
        <f t="shared" ca="1" si="185"/>
        <v>4</v>
      </c>
      <c r="M1013" s="7">
        <f ca="1" xml:space="preserve">
  IF(OR($N1013 = 2, $N1013 = 3, $N1013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013" s="6">
        <f t="shared" ca="1" si="186"/>
        <v>8</v>
      </c>
      <c r="O1013" s="6">
        <f t="shared" ca="1" si="187"/>
        <v>3</v>
      </c>
      <c r="P1013" s="8">
        <f t="shared" ca="1" si="188"/>
        <v>44245</v>
      </c>
      <c r="Q1013" s="6">
        <f ca="1">RANDBETWEEN(2,COUNTA('Recruitment source'!$A:$A))</f>
        <v>6</v>
      </c>
      <c r="R1013" s="8" t="e">
        <f t="shared" ca="1" si="189"/>
        <v>#N/A</v>
      </c>
      <c r="S1013" s="6" t="e">
        <f t="shared" ca="1" si="190"/>
        <v>#N/A</v>
      </c>
      <c r="T1013" s="6">
        <f t="shared" ca="1" si="180"/>
        <v>5</v>
      </c>
      <c r="U1013" s="1">
        <f t="shared" ca="1" si="191"/>
        <v>2000</v>
      </c>
    </row>
    <row r="1014" spans="1:21" x14ac:dyDescent="0.2">
      <c r="A1014" s="7" cm="1">
        <f t="array" aca="1" ref="A1014" ca="1">INDEX(Companies!$A:$A,RANDBETWEEN(2,COUNTA(Companies!$A:$A)),1)</f>
        <v>2</v>
      </c>
      <c r="B1014" s="5">
        <f t="shared" si="181"/>
        <v>1013</v>
      </c>
      <c r="C1014" s="6">
        <f t="shared" ca="1" si="182"/>
        <v>1</v>
      </c>
      <c r="D1014" s="7">
        <f ca="1">IF($B1014 = 1 + N("Presidente"),
    127,
    IF($B1014 = 2 + N("Vice-Presidente"),
        72,
        IF($B1014 = 3 + N("Secretária bilíngue"),
            13,
            RANDBETWEEN(5,COUNT(Name!$A:$A) + 1)
        )
    )
)</f>
        <v>217</v>
      </c>
      <c r="E1014" s="7" t="str">
        <f ca="1" xml:space="preserve">
VLOOKUP(
  $D1014,
  Name!$A:$B,
  2,
  FALSE
)
&amp; " " &amp;
IF($B1014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Lara Pasquim Rangel</v>
      </c>
      <c r="F1014" s="7">
        <v>2</v>
      </c>
      <c r="G1014" s="7" cm="1">
        <f t="array" aca="1" ref="G1014" ca="1">INDEX(States!$B:$B,RANDBETWEEN(2,COUNTA(States!$A:$A)),1)</f>
        <v>15</v>
      </c>
      <c r="H1014" s="7" t="str">
        <f ca="1">VLOOKUP($D1014,Name!$A:$C,3,FALSE)</f>
        <v>F</v>
      </c>
      <c r="I1014" s="7" cm="1">
        <f t="array" aca="1" ref="I1014" ca="1">INDEX('Marital status'!$A:$A,RANDBETWEEN(2,COUNTA('Marital status'!$A:$A)),1)</f>
        <v>4</v>
      </c>
      <c r="J1014" s="7">
        <f t="shared" ca="1" si="183"/>
        <v>2</v>
      </c>
      <c r="K1014" s="8">
        <f t="shared" ca="1" si="184"/>
        <v>24284</v>
      </c>
      <c r="L1014" s="6">
        <f t="shared" ca="1" si="185"/>
        <v>4</v>
      </c>
      <c r="M1014" s="7">
        <f ca="1" xml:space="preserve">
  IF(OR($N1014 = 2, $N1014 = 3, $N1014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014" s="6">
        <f t="shared" ca="1" si="186"/>
        <v>6</v>
      </c>
      <c r="O1014" s="6" t="e">
        <f t="shared" ca="1" si="187"/>
        <v>#N/A</v>
      </c>
      <c r="P1014" s="8">
        <f t="shared" ca="1" si="188"/>
        <v>37582</v>
      </c>
      <c r="Q1014" s="6">
        <f ca="1">RANDBETWEEN(2,COUNTA('Recruitment source'!$A:$A))</f>
        <v>8</v>
      </c>
      <c r="R1014" s="8" t="e">
        <f t="shared" ca="1" si="189"/>
        <v>#N/A</v>
      </c>
      <c r="S1014" s="6" t="e">
        <f t="shared" ca="1" si="190"/>
        <v>#N/A</v>
      </c>
      <c r="T1014" s="6">
        <f t="shared" ca="1" si="180"/>
        <v>2</v>
      </c>
      <c r="U1014" s="1">
        <f t="shared" ca="1" si="191"/>
        <v>805</v>
      </c>
    </row>
    <row r="1015" spans="1:21" x14ac:dyDescent="0.2">
      <c r="A1015" s="7" cm="1">
        <f t="array" aca="1" ref="A1015" ca="1">INDEX(Companies!$A:$A,RANDBETWEEN(2,COUNTA(Companies!$A:$A)),1)</f>
        <v>2</v>
      </c>
      <c r="B1015" s="5">
        <f t="shared" si="181"/>
        <v>1014</v>
      </c>
      <c r="C1015" s="6">
        <f t="shared" ca="1" si="182"/>
        <v>1</v>
      </c>
      <c r="D1015" s="7">
        <f ca="1">IF($B1015 = 1 + N("Presidente"),
    127,
    IF($B1015 = 2 + N("Vice-Presidente"),
        72,
        IF($B1015 = 3 + N("Secretária bilíngue"),
            13,
            RANDBETWEEN(5,COUNT(Name!$A:$A) + 1)
        )
    )
)</f>
        <v>9</v>
      </c>
      <c r="E1015" s="7" t="str">
        <f ca="1" xml:space="preserve">
VLOOKUP(
  $D1015,
  Name!$A:$B,
  2,
  FALSE
)
&amp; " " &amp;
IF($B1015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Adélio Vaz Greco</v>
      </c>
      <c r="F1015" s="7">
        <v>2</v>
      </c>
      <c r="G1015" s="7" cm="1">
        <f t="array" aca="1" ref="G1015" ca="1">INDEX(States!$B:$B,RANDBETWEEN(2,COUNTA(States!$A:$A)),1)</f>
        <v>3</v>
      </c>
      <c r="H1015" s="7" t="str">
        <f ca="1">VLOOKUP($D1015,Name!$A:$C,3,FALSE)</f>
        <v>M</v>
      </c>
      <c r="I1015" s="7" cm="1">
        <f t="array" aca="1" ref="I1015" ca="1">INDEX('Marital status'!$A:$A,RANDBETWEEN(2,COUNTA('Marital status'!$A:$A)),1)</f>
        <v>3</v>
      </c>
      <c r="J1015" s="7">
        <f t="shared" ca="1" si="183"/>
        <v>3</v>
      </c>
      <c r="K1015" s="8">
        <f t="shared" ca="1" si="184"/>
        <v>37646</v>
      </c>
      <c r="L1015" s="6">
        <f t="shared" ca="1" si="185"/>
        <v>4</v>
      </c>
      <c r="M1015" s="7">
        <f ca="1" xml:space="preserve">
  IF(OR($N1015 = 2, $N1015 = 3, $N1015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015" s="6">
        <f t="shared" ca="1" si="186"/>
        <v>8</v>
      </c>
      <c r="O1015" s="6">
        <f t="shared" ca="1" si="187"/>
        <v>3</v>
      </c>
      <c r="P1015" s="8">
        <f t="shared" ca="1" si="188"/>
        <v>40885</v>
      </c>
      <c r="Q1015" s="6">
        <f ca="1">RANDBETWEEN(2,COUNTA('Recruitment source'!$A:$A))</f>
        <v>7</v>
      </c>
      <c r="R1015" s="8" t="e">
        <f t="shared" ca="1" si="189"/>
        <v>#N/A</v>
      </c>
      <c r="S1015" s="6" t="e">
        <f t="shared" ca="1" si="190"/>
        <v>#N/A</v>
      </c>
      <c r="T1015" s="6">
        <f t="shared" ca="1" si="180"/>
        <v>2</v>
      </c>
      <c r="U1015" s="1">
        <f t="shared" ca="1" si="191"/>
        <v>2000</v>
      </c>
    </row>
    <row r="1016" spans="1:21" x14ac:dyDescent="0.2">
      <c r="A1016" s="7" cm="1">
        <f t="array" aca="1" ref="A1016" ca="1">INDEX(Companies!$A:$A,RANDBETWEEN(2,COUNTA(Companies!$A:$A)),1)</f>
        <v>2</v>
      </c>
      <c r="B1016" s="5">
        <f t="shared" si="181"/>
        <v>1015</v>
      </c>
      <c r="C1016" s="6">
        <f t="shared" ca="1" si="182"/>
        <v>1</v>
      </c>
      <c r="D1016" s="7">
        <f ca="1">IF($B1016 = 1 + N("Presidente"),
    127,
    IF($B1016 = 2 + N("Vice-Presidente"),
        72,
        IF($B1016 = 3 + N("Secretária bilíngue"),
            13,
            RANDBETWEEN(5,COUNT(Name!$A:$A) + 1)
        )
    )
)</f>
        <v>32</v>
      </c>
      <c r="E1016" s="7" t="str">
        <f ca="1" xml:space="preserve">
VLOOKUP(
  $D1016,
  Name!$A:$B,
  2,
  FALSE
)
&amp; " " &amp;
IF($B1016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Laura Siqueira Padrão</v>
      </c>
      <c r="F1016" s="7">
        <v>2</v>
      </c>
      <c r="G1016" s="7" cm="1">
        <f t="array" aca="1" ref="G1016" ca="1">INDEX(States!$B:$B,RANDBETWEEN(2,COUNTA(States!$A:$A)),1)</f>
        <v>19</v>
      </c>
      <c r="H1016" s="7" t="str">
        <f ca="1">VLOOKUP($D1016,Name!$A:$C,3,FALSE)</f>
        <v>F</v>
      </c>
      <c r="I1016" s="7" cm="1">
        <f t="array" aca="1" ref="I1016" ca="1">INDEX('Marital status'!$A:$A,RANDBETWEEN(2,COUNTA('Marital status'!$A:$A)),1)</f>
        <v>5</v>
      </c>
      <c r="J1016" s="7">
        <f t="shared" ca="1" si="183"/>
        <v>2</v>
      </c>
      <c r="K1016" s="8">
        <f t="shared" ca="1" si="184"/>
        <v>30484</v>
      </c>
      <c r="L1016" s="6">
        <f t="shared" ca="1" si="185"/>
        <v>4</v>
      </c>
      <c r="M1016" s="7">
        <f ca="1" xml:space="preserve">
  IF(OR($N1016 = 2, $N1016 = 3, $N1016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016" s="6">
        <f t="shared" ca="1" si="186"/>
        <v>6</v>
      </c>
      <c r="O1016" s="6" t="e">
        <f t="shared" ca="1" si="187"/>
        <v>#N/A</v>
      </c>
      <c r="P1016" s="8">
        <f t="shared" ca="1" si="188"/>
        <v>38002</v>
      </c>
      <c r="Q1016" s="6">
        <f ca="1">RANDBETWEEN(2,COUNTA('Recruitment source'!$A:$A))</f>
        <v>10</v>
      </c>
      <c r="R1016" s="8" t="e">
        <f t="shared" ca="1" si="189"/>
        <v>#N/A</v>
      </c>
      <c r="S1016" s="6" t="e">
        <f t="shared" ca="1" si="190"/>
        <v>#N/A</v>
      </c>
      <c r="T1016" s="6">
        <f t="shared" ca="1" si="180"/>
        <v>2</v>
      </c>
      <c r="U1016" s="1">
        <f t="shared" ca="1" si="191"/>
        <v>805</v>
      </c>
    </row>
    <row r="1017" spans="1:21" x14ac:dyDescent="0.2">
      <c r="A1017" s="7" cm="1">
        <f t="array" aca="1" ref="A1017" ca="1">INDEX(Companies!$A:$A,RANDBETWEEN(2,COUNTA(Companies!$A:$A)),1)</f>
        <v>2</v>
      </c>
      <c r="B1017" s="5">
        <f t="shared" si="181"/>
        <v>1016</v>
      </c>
      <c r="C1017" s="6">
        <f t="shared" ca="1" si="182"/>
        <v>1</v>
      </c>
      <c r="D1017" s="7">
        <f ca="1">IF($B1017 = 1 + N("Presidente"),
    127,
    IF($B1017 = 2 + N("Vice-Presidente"),
        72,
        IF($B1017 = 3 + N("Secretária bilíngue"),
            13,
            RANDBETWEEN(5,COUNT(Name!$A:$A) + 1)
        )
    )
)</f>
        <v>332</v>
      </c>
      <c r="E1017" s="7" t="str">
        <f ca="1" xml:space="preserve">
VLOOKUP(
  $D1017,
  Name!$A:$B,
  2,
  FALSE
)
&amp; " " &amp;
IF($B1017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Rodrigo Barreto Negrão</v>
      </c>
      <c r="F1017" s="7">
        <v>2</v>
      </c>
      <c r="G1017" s="7" cm="1">
        <f t="array" aca="1" ref="G1017" ca="1">INDEX(States!$B:$B,RANDBETWEEN(2,COUNTA(States!$A:$A)),1)</f>
        <v>16</v>
      </c>
      <c r="H1017" s="7" t="str">
        <f ca="1">VLOOKUP($D1017,Name!$A:$C,3,FALSE)</f>
        <v>M</v>
      </c>
      <c r="I1017" s="7" cm="1">
        <f t="array" aca="1" ref="I1017" ca="1">INDEX('Marital status'!$A:$A,RANDBETWEEN(2,COUNTA('Marital status'!$A:$A)),1)</f>
        <v>2</v>
      </c>
      <c r="J1017" s="7">
        <f t="shared" ca="1" si="183"/>
        <v>2</v>
      </c>
      <c r="K1017" s="8">
        <f t="shared" ca="1" si="184"/>
        <v>34182</v>
      </c>
      <c r="L1017" s="6">
        <f t="shared" ca="1" si="185"/>
        <v>4</v>
      </c>
      <c r="M1017" s="7">
        <f ca="1" xml:space="preserve">
  IF(OR($N1017 = 2, $N1017 = 3, $N1017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017" s="6">
        <f t="shared" ca="1" si="186"/>
        <v>8</v>
      </c>
      <c r="O1017" s="6">
        <f t="shared" ca="1" si="187"/>
        <v>4</v>
      </c>
      <c r="P1017" s="8">
        <f t="shared" ca="1" si="188"/>
        <v>36731</v>
      </c>
      <c r="Q1017" s="6">
        <f ca="1">RANDBETWEEN(2,COUNTA('Recruitment source'!$A:$A))</f>
        <v>7</v>
      </c>
      <c r="R1017" s="8" t="e">
        <f t="shared" ca="1" si="189"/>
        <v>#N/A</v>
      </c>
      <c r="S1017" s="6" t="e">
        <f t="shared" ca="1" si="190"/>
        <v>#N/A</v>
      </c>
      <c r="T1017" s="6">
        <f t="shared" ca="1" si="180"/>
        <v>3</v>
      </c>
      <c r="U1017" s="1">
        <f t="shared" ca="1" si="191"/>
        <v>2000</v>
      </c>
    </row>
    <row r="1018" spans="1:21" x14ac:dyDescent="0.2">
      <c r="A1018" s="7" cm="1">
        <f t="array" aca="1" ref="A1018" ca="1">INDEX(Companies!$A:$A,RANDBETWEEN(2,COUNTA(Companies!$A:$A)),1)</f>
        <v>2</v>
      </c>
      <c r="B1018" s="5">
        <f t="shared" si="181"/>
        <v>1017</v>
      </c>
      <c r="C1018" s="6">
        <f t="shared" ca="1" si="182"/>
        <v>1</v>
      </c>
      <c r="D1018" s="7">
        <f ca="1">IF($B1018 = 1 + N("Presidente"),
    127,
    IF($B1018 = 2 + N("Vice-Presidente"),
        72,
        IF($B1018 = 3 + N("Secretária bilíngue"),
            13,
            RANDBETWEEN(5,COUNT(Name!$A:$A) + 1)
        )
    )
)</f>
        <v>75</v>
      </c>
      <c r="E1018" s="7" t="str">
        <f ca="1" xml:space="preserve">
VLOOKUP(
  $D1018,
  Name!$A:$B,
  2,
  FALSE
)
&amp; " " &amp;
IF($B1018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Breno Duarte Pellegrini</v>
      </c>
      <c r="F1018" s="7">
        <v>2</v>
      </c>
      <c r="G1018" s="7" cm="1">
        <f t="array" aca="1" ref="G1018" ca="1">INDEX(States!$B:$B,RANDBETWEEN(2,COUNTA(States!$A:$A)),1)</f>
        <v>2</v>
      </c>
      <c r="H1018" s="7" t="str">
        <f ca="1">VLOOKUP($D1018,Name!$A:$C,3,FALSE)</f>
        <v>M</v>
      </c>
      <c r="I1018" s="7" cm="1">
        <f t="array" aca="1" ref="I1018" ca="1">INDEX('Marital status'!$A:$A,RANDBETWEEN(2,COUNTA('Marital status'!$A:$A)),1)</f>
        <v>2</v>
      </c>
      <c r="J1018" s="7">
        <f t="shared" ca="1" si="183"/>
        <v>2</v>
      </c>
      <c r="K1018" s="8">
        <f t="shared" ca="1" si="184"/>
        <v>21284</v>
      </c>
      <c r="L1018" s="6">
        <f t="shared" ca="1" si="185"/>
        <v>4</v>
      </c>
      <c r="M1018" s="7">
        <f ca="1" xml:space="preserve">
  IF(OR($N1018 = 2, $N1018 = 3, $N1018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018" s="6">
        <f t="shared" ca="1" si="186"/>
        <v>6</v>
      </c>
      <c r="O1018" s="6" t="e">
        <f t="shared" ca="1" si="187"/>
        <v>#N/A</v>
      </c>
      <c r="P1018" s="8">
        <f t="shared" ca="1" si="188"/>
        <v>36839</v>
      </c>
      <c r="Q1018" s="6">
        <f ca="1">RANDBETWEEN(2,COUNTA('Recruitment source'!$A:$A))</f>
        <v>10</v>
      </c>
      <c r="R1018" s="8" t="e">
        <f t="shared" ca="1" si="189"/>
        <v>#N/A</v>
      </c>
      <c r="S1018" s="6" t="e">
        <f t="shared" ca="1" si="190"/>
        <v>#N/A</v>
      </c>
      <c r="T1018" s="6">
        <f t="shared" ca="1" si="180"/>
        <v>2</v>
      </c>
      <c r="U1018" s="1">
        <f t="shared" ca="1" si="191"/>
        <v>885</v>
      </c>
    </row>
    <row r="1019" spans="1:21" x14ac:dyDescent="0.2">
      <c r="A1019" s="7" cm="1">
        <f t="array" aca="1" ref="A1019" ca="1">INDEX(Companies!$A:$A,RANDBETWEEN(2,COUNTA(Companies!$A:$A)),1)</f>
        <v>2</v>
      </c>
      <c r="B1019" s="5">
        <f t="shared" si="181"/>
        <v>1018</v>
      </c>
      <c r="C1019" s="6">
        <f t="shared" ca="1" si="182"/>
        <v>1</v>
      </c>
      <c r="D1019" s="7">
        <f ca="1">IF($B1019 = 1 + N("Presidente"),
    127,
    IF($B1019 = 2 + N("Vice-Presidente"),
        72,
        IF($B1019 = 3 + N("Secretária bilíngue"),
            13,
            RANDBETWEEN(5,COUNT(Name!$A:$A) + 1)
        )
    )
)</f>
        <v>152</v>
      </c>
      <c r="E1019" s="7" t="str">
        <f ca="1" xml:space="preserve">
VLOOKUP(
  $D1019,
  Name!$A:$B,
  2,
  FALSE
)
&amp; " " &amp;
IF($B1019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Gael Trindade Alencar</v>
      </c>
      <c r="F1019" s="7">
        <v>2</v>
      </c>
      <c r="G1019" s="7" cm="1">
        <f t="array" aca="1" ref="G1019" ca="1">INDEX(States!$B:$B,RANDBETWEEN(2,COUNTA(States!$A:$A)),1)</f>
        <v>10</v>
      </c>
      <c r="H1019" s="7" t="str">
        <f ca="1">VLOOKUP($D1019,Name!$A:$C,3,FALSE)</f>
        <v>M</v>
      </c>
      <c r="I1019" s="7" cm="1">
        <f t="array" aca="1" ref="I1019" ca="1">INDEX('Marital status'!$A:$A,RANDBETWEEN(2,COUNTA('Marital status'!$A:$A)),1)</f>
        <v>5</v>
      </c>
      <c r="J1019" s="7">
        <f t="shared" ca="1" si="183"/>
        <v>2</v>
      </c>
      <c r="K1019" s="8">
        <f t="shared" ca="1" si="184"/>
        <v>38131</v>
      </c>
      <c r="L1019" s="6">
        <f t="shared" ca="1" si="185"/>
        <v>5</v>
      </c>
      <c r="M1019" s="7">
        <f ca="1" xml:space="preserve">
  IF(OR($N1019 = 2, $N1019 = 3, $N1019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019" s="6">
        <f t="shared" ca="1" si="186"/>
        <v>8</v>
      </c>
      <c r="O1019" s="6">
        <f t="shared" ca="1" si="187"/>
        <v>3</v>
      </c>
      <c r="P1019" s="8">
        <f t="shared" ca="1" si="188"/>
        <v>44838</v>
      </c>
      <c r="Q1019" s="6">
        <f ca="1">RANDBETWEEN(2,COUNTA('Recruitment source'!$A:$A))</f>
        <v>5</v>
      </c>
      <c r="R1019" s="8" t="e">
        <f t="shared" ca="1" si="189"/>
        <v>#N/A</v>
      </c>
      <c r="S1019" s="6" t="e">
        <f t="shared" ca="1" si="190"/>
        <v>#N/A</v>
      </c>
      <c r="T1019" s="6">
        <f t="shared" ca="1" si="180"/>
        <v>5</v>
      </c>
      <c r="U1019" s="1">
        <f t="shared" ca="1" si="191"/>
        <v>2000</v>
      </c>
    </row>
    <row r="1020" spans="1:21" x14ac:dyDescent="0.2">
      <c r="A1020" s="7" cm="1">
        <f t="array" aca="1" ref="A1020" ca="1">INDEX(Companies!$A:$A,RANDBETWEEN(2,COUNTA(Companies!$A:$A)),1)</f>
        <v>2</v>
      </c>
      <c r="B1020" s="5">
        <f t="shared" si="181"/>
        <v>1019</v>
      </c>
      <c r="C1020" s="6">
        <f t="shared" ca="1" si="182"/>
        <v>1</v>
      </c>
      <c r="D1020" s="7">
        <f ca="1">IF($B1020 = 1 + N("Presidente"),
    127,
    IF($B1020 = 2 + N("Vice-Presidente"),
        72,
        IF($B1020 = 3 + N("Secretária bilíngue"),
            13,
            RANDBETWEEN(5,COUNT(Name!$A:$A) + 1)
        )
    )
)</f>
        <v>97</v>
      </c>
      <c r="E1020" s="7" t="str">
        <f ca="1" xml:space="preserve">
VLOOKUP(
  $D1020,
  Name!$A:$B,
  2,
  FALSE
)
&amp; " " &amp;
IF($B1020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Claudia Alvarenga Poeta</v>
      </c>
      <c r="F1020" s="7">
        <v>2</v>
      </c>
      <c r="G1020" s="7" cm="1">
        <f t="array" aca="1" ref="G1020" ca="1">INDEX(States!$B:$B,RANDBETWEEN(2,COUNTA(States!$A:$A)),1)</f>
        <v>18</v>
      </c>
      <c r="H1020" s="7" t="str">
        <f ca="1">VLOOKUP($D1020,Name!$A:$C,3,FALSE)</f>
        <v>F</v>
      </c>
      <c r="I1020" s="7" cm="1">
        <f t="array" aca="1" ref="I1020" ca="1">INDEX('Marital status'!$A:$A,RANDBETWEEN(2,COUNTA('Marital status'!$A:$A)),1)</f>
        <v>6</v>
      </c>
      <c r="J1020" s="7">
        <f t="shared" ca="1" si="183"/>
        <v>2</v>
      </c>
      <c r="K1020" s="8">
        <f t="shared" ca="1" si="184"/>
        <v>20518</v>
      </c>
      <c r="L1020" s="6">
        <f t="shared" ca="1" si="185"/>
        <v>4</v>
      </c>
      <c r="M1020" s="7">
        <f ca="1" xml:space="preserve">
  IF(OR($N1020 = 2, $N1020 = 3, $N1020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020" s="6">
        <f t="shared" ca="1" si="186"/>
        <v>6</v>
      </c>
      <c r="O1020" s="6" t="e">
        <f t="shared" ca="1" si="187"/>
        <v>#N/A</v>
      </c>
      <c r="P1020" s="8">
        <f t="shared" ca="1" si="188"/>
        <v>41256</v>
      </c>
      <c r="Q1020" s="6">
        <f ca="1">RANDBETWEEN(2,COUNTA('Recruitment source'!$A:$A))</f>
        <v>10</v>
      </c>
      <c r="R1020" s="8" t="e">
        <f t="shared" ca="1" si="189"/>
        <v>#N/A</v>
      </c>
      <c r="S1020" s="6" t="e">
        <f t="shared" ca="1" si="190"/>
        <v>#N/A</v>
      </c>
      <c r="T1020" s="6">
        <f t="shared" ca="1" si="180"/>
        <v>5</v>
      </c>
      <c r="U1020" s="1">
        <f t="shared" ca="1" si="191"/>
        <v>805</v>
      </c>
    </row>
    <row r="1021" spans="1:21" x14ac:dyDescent="0.2">
      <c r="A1021" s="7" cm="1">
        <f t="array" aca="1" ref="A1021" ca="1">INDEX(Companies!$A:$A,RANDBETWEEN(2,COUNTA(Companies!$A:$A)),1)</f>
        <v>2</v>
      </c>
      <c r="B1021" s="5">
        <f t="shared" si="181"/>
        <v>1020</v>
      </c>
      <c r="C1021" s="6">
        <f t="shared" ca="1" si="182"/>
        <v>1</v>
      </c>
      <c r="D1021" s="7">
        <f ca="1">IF($B1021 = 1 + N("Presidente"),
    127,
    IF($B1021 = 2 + N("Vice-Presidente"),
        72,
        IF($B1021 = 3 + N("Secretária bilíngue"),
            13,
            RANDBETWEEN(5,COUNT(Name!$A:$A) + 1)
        )
    )
)</f>
        <v>29</v>
      </c>
      <c r="E1021" s="7" t="str">
        <f ca="1" xml:space="preserve">
VLOOKUP(
  $D1021,
  Name!$A:$B,
  2,
  FALSE
)
&amp; " " &amp;
IF($B1021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Cecília Rodrigues Braga</v>
      </c>
      <c r="F1021" s="7">
        <v>2</v>
      </c>
      <c r="G1021" s="7" cm="1">
        <f t="array" aca="1" ref="G1021" ca="1">INDEX(States!$B:$B,RANDBETWEEN(2,COUNTA(States!$A:$A)),1)</f>
        <v>4</v>
      </c>
      <c r="H1021" s="7" t="str">
        <f ca="1">VLOOKUP($D1021,Name!$A:$C,3,FALSE)</f>
        <v>F</v>
      </c>
      <c r="I1021" s="7" cm="1">
        <f t="array" aca="1" ref="I1021" ca="1">INDEX('Marital status'!$A:$A,RANDBETWEEN(2,COUNTA('Marital status'!$A:$A)),1)</f>
        <v>3</v>
      </c>
      <c r="J1021" s="7">
        <f t="shared" ca="1" si="183"/>
        <v>2</v>
      </c>
      <c r="K1021" s="8">
        <f t="shared" ca="1" si="184"/>
        <v>37935</v>
      </c>
      <c r="L1021" s="6">
        <f t="shared" ca="1" si="185"/>
        <v>4</v>
      </c>
      <c r="M1021" s="7">
        <f ca="1" xml:space="preserve">
  IF(OR($N1021 = 2, $N1021 = 3, $N1021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021" s="6">
        <f t="shared" ca="1" si="186"/>
        <v>8</v>
      </c>
      <c r="O1021" s="6">
        <f t="shared" ca="1" si="187"/>
        <v>3</v>
      </c>
      <c r="P1021" s="8">
        <f t="shared" ca="1" si="188"/>
        <v>44838</v>
      </c>
      <c r="Q1021" s="6">
        <f ca="1">RANDBETWEEN(2,COUNTA('Recruitment source'!$A:$A))</f>
        <v>5</v>
      </c>
      <c r="R1021" s="8" t="e">
        <f t="shared" ca="1" si="189"/>
        <v>#N/A</v>
      </c>
      <c r="S1021" s="6" t="e">
        <f t="shared" ca="1" si="190"/>
        <v>#N/A</v>
      </c>
      <c r="T1021" s="6">
        <f t="shared" ca="1" si="180"/>
        <v>5</v>
      </c>
      <c r="U1021" s="1">
        <f t="shared" ca="1" si="191"/>
        <v>2000</v>
      </c>
    </row>
    <row r="1022" spans="1:21" x14ac:dyDescent="0.2">
      <c r="A1022" s="7" cm="1">
        <f t="array" aca="1" ref="A1022" ca="1">INDEX(Companies!$A:$A,RANDBETWEEN(2,COUNTA(Companies!$A:$A)),1)</f>
        <v>2</v>
      </c>
      <c r="B1022" s="5">
        <f t="shared" si="181"/>
        <v>1021</v>
      </c>
      <c r="C1022" s="6">
        <f t="shared" ca="1" si="182"/>
        <v>1</v>
      </c>
      <c r="D1022" s="7">
        <f ca="1">IF($B1022 = 1 + N("Presidente"),
    127,
    IF($B1022 = 2 + N("Vice-Presidente"),
        72,
        IF($B1022 = 3 + N("Secretária bilíngue"),
            13,
            RANDBETWEEN(5,COUNT(Name!$A:$A) + 1)
        )
    )
)</f>
        <v>59</v>
      </c>
      <c r="E1022" s="7" t="str">
        <f ca="1" xml:space="preserve">
VLOOKUP(
  $D1022,
  Name!$A:$B,
  2,
  FALSE
)
&amp; " " &amp;
IF($B1022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Artur Pedroso Pinheiro</v>
      </c>
      <c r="F1022" s="7">
        <v>2</v>
      </c>
      <c r="G1022" s="7" cm="1">
        <f t="array" aca="1" ref="G1022" ca="1">INDEX(States!$B:$B,RANDBETWEEN(2,COUNTA(States!$A:$A)),1)</f>
        <v>15</v>
      </c>
      <c r="H1022" s="7" t="str">
        <f ca="1">VLOOKUP($D1022,Name!$A:$C,3,FALSE)</f>
        <v>M</v>
      </c>
      <c r="I1022" s="7" cm="1">
        <f t="array" aca="1" ref="I1022" ca="1">INDEX('Marital status'!$A:$A,RANDBETWEEN(2,COUNTA('Marital status'!$A:$A)),1)</f>
        <v>2</v>
      </c>
      <c r="J1022" s="7">
        <f t="shared" ca="1" si="183"/>
        <v>3</v>
      </c>
      <c r="K1022" s="8">
        <f t="shared" ca="1" si="184"/>
        <v>30200</v>
      </c>
      <c r="L1022" s="6">
        <f t="shared" ca="1" si="185"/>
        <v>4</v>
      </c>
      <c r="M1022" s="7">
        <f ca="1" xml:space="preserve">
  IF(OR($N1022 = 2, $N1022 = 3, $N1022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022" s="6">
        <f t="shared" ca="1" si="186"/>
        <v>7</v>
      </c>
      <c r="O1022" s="6" t="e">
        <f t="shared" ca="1" si="187"/>
        <v>#N/A</v>
      </c>
      <c r="P1022" s="8">
        <f t="shared" ca="1" si="188"/>
        <v>43007</v>
      </c>
      <c r="Q1022" s="6">
        <f ca="1">RANDBETWEEN(2,COUNTA('Recruitment source'!$A:$A))</f>
        <v>5</v>
      </c>
      <c r="R1022" s="8" t="e">
        <f t="shared" ca="1" si="189"/>
        <v>#N/A</v>
      </c>
      <c r="S1022" s="6" t="e">
        <f t="shared" ca="1" si="190"/>
        <v>#N/A</v>
      </c>
      <c r="T1022" s="6">
        <f t="shared" ca="1" si="180"/>
        <v>5</v>
      </c>
      <c r="U1022" s="1">
        <f t="shared" ca="1" si="191"/>
        <v>1085</v>
      </c>
    </row>
    <row r="1023" spans="1:21" x14ac:dyDescent="0.2">
      <c r="A1023" s="7" cm="1">
        <f t="array" aca="1" ref="A1023" ca="1">INDEX(Companies!$A:$A,RANDBETWEEN(2,COUNTA(Companies!$A:$A)),1)</f>
        <v>2</v>
      </c>
      <c r="B1023" s="5">
        <f t="shared" si="181"/>
        <v>1022</v>
      </c>
      <c r="C1023" s="6">
        <f t="shared" ca="1" si="182"/>
        <v>1</v>
      </c>
      <c r="D1023" s="7">
        <f ca="1">IF($B1023 = 1 + N("Presidente"),
    127,
    IF($B1023 = 2 + N("Vice-Presidente"),
        72,
        IF($B1023 = 3 + N("Secretária bilíngue"),
            13,
            RANDBETWEEN(5,COUNT(Name!$A:$A) + 1)
        )
    )
)</f>
        <v>243</v>
      </c>
      <c r="E1023" s="7" t="str">
        <f ca="1" xml:space="preserve">
VLOOKUP(
  $D1023,
  Name!$A:$B,
  2,
  FALSE
)
&amp; " " &amp;
IF($B1023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Felipe Pereira Coelho</v>
      </c>
      <c r="F1023" s="7">
        <v>2</v>
      </c>
      <c r="G1023" s="7" cm="1">
        <f t="array" aca="1" ref="G1023" ca="1">INDEX(States!$B:$B,RANDBETWEEN(2,COUNTA(States!$A:$A)),1)</f>
        <v>14</v>
      </c>
      <c r="H1023" s="7" t="str">
        <f ca="1">VLOOKUP($D1023,Name!$A:$C,3,FALSE)</f>
        <v>M</v>
      </c>
      <c r="I1023" s="7" cm="1">
        <f t="array" aca="1" ref="I1023" ca="1">INDEX('Marital status'!$A:$A,RANDBETWEEN(2,COUNTA('Marital status'!$A:$A)),1)</f>
        <v>2</v>
      </c>
      <c r="J1023" s="7">
        <f t="shared" ca="1" si="183"/>
        <v>4</v>
      </c>
      <c r="K1023" s="8">
        <f t="shared" ca="1" si="184"/>
        <v>33341</v>
      </c>
      <c r="L1023" s="6">
        <f t="shared" ca="1" si="185"/>
        <v>4</v>
      </c>
      <c r="M1023" s="7">
        <f ca="1" xml:space="preserve">
  IF(OR($N1023 = 2, $N1023 = 3, $N1023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023" s="6">
        <f t="shared" ca="1" si="186"/>
        <v>8</v>
      </c>
      <c r="O1023" s="6">
        <f t="shared" ca="1" si="187"/>
        <v>4</v>
      </c>
      <c r="P1023" s="8">
        <f t="shared" ca="1" si="188"/>
        <v>42073</v>
      </c>
      <c r="Q1023" s="6">
        <f ca="1">RANDBETWEEN(2,COUNTA('Recruitment source'!$A:$A))</f>
        <v>8</v>
      </c>
      <c r="R1023" s="8" t="e">
        <f t="shared" ca="1" si="189"/>
        <v>#N/A</v>
      </c>
      <c r="S1023" s="6" t="e">
        <f t="shared" ca="1" si="190"/>
        <v>#N/A</v>
      </c>
      <c r="T1023" s="6">
        <f t="shared" ca="1" si="180"/>
        <v>3</v>
      </c>
      <c r="U1023" s="1">
        <f t="shared" ca="1" si="191"/>
        <v>2080</v>
      </c>
    </row>
    <row r="1024" spans="1:21" x14ac:dyDescent="0.2">
      <c r="A1024" s="7" cm="1">
        <f t="array" aca="1" ref="A1024" ca="1">INDEX(Companies!$A:$A,RANDBETWEEN(2,COUNTA(Companies!$A:$A)),1)</f>
        <v>2</v>
      </c>
      <c r="B1024" s="5">
        <f t="shared" si="181"/>
        <v>1023</v>
      </c>
      <c r="C1024" s="6">
        <f t="shared" ca="1" si="182"/>
        <v>1</v>
      </c>
      <c r="D1024" s="7">
        <f ca="1">IF($B1024 = 1 + N("Presidente"),
    127,
    IF($B1024 = 2 + N("Vice-Presidente"),
        72,
        IF($B1024 = 3 + N("Secretária bilíngue"),
            13,
            RANDBETWEEN(5,COUNT(Name!$A:$A) + 1)
        )
    )
)</f>
        <v>183</v>
      </c>
      <c r="E1024" s="7" t="str">
        <f ca="1" xml:space="preserve">
VLOOKUP(
  $D1024,
  Name!$A:$B,
  2,
  FALSE
)
&amp; " " &amp;
IF($B1024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Joanah Andrioli sobrenome</v>
      </c>
      <c r="F1024" s="7">
        <v>2</v>
      </c>
      <c r="G1024" s="7" cm="1">
        <f t="array" aca="1" ref="G1024" ca="1">INDEX(States!$B:$B,RANDBETWEEN(2,COUNTA(States!$A:$A)),1)</f>
        <v>11</v>
      </c>
      <c r="H1024" s="7" t="str">
        <f ca="1">VLOOKUP($D1024,Name!$A:$C,3,FALSE)</f>
        <v>F</v>
      </c>
      <c r="I1024" s="7" cm="1">
        <f t="array" aca="1" ref="I1024" ca="1">INDEX('Marital status'!$A:$A,RANDBETWEEN(2,COUNTA('Marital status'!$A:$A)),1)</f>
        <v>6</v>
      </c>
      <c r="J1024" s="7">
        <f t="shared" ca="1" si="183"/>
        <v>2</v>
      </c>
      <c r="K1024" s="8">
        <f t="shared" ca="1" si="184"/>
        <v>31687</v>
      </c>
      <c r="L1024" s="6">
        <f t="shared" ca="1" si="185"/>
        <v>4</v>
      </c>
      <c r="M1024" s="7">
        <f ca="1" xml:space="preserve">
  IF(OR($N1024 = 2, $N1024 = 3, $N1024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024" s="6">
        <f t="shared" ca="1" si="186"/>
        <v>7</v>
      </c>
      <c r="O1024" s="6" t="e">
        <f t="shared" ca="1" si="187"/>
        <v>#N/A</v>
      </c>
      <c r="P1024" s="8">
        <f t="shared" ca="1" si="188"/>
        <v>43742</v>
      </c>
      <c r="Q1024" s="6">
        <f ca="1">RANDBETWEEN(2,COUNTA('Recruitment source'!$A:$A))</f>
        <v>8</v>
      </c>
      <c r="R1024" s="8" t="e">
        <f t="shared" ca="1" si="189"/>
        <v>#N/A</v>
      </c>
      <c r="S1024" s="6" t="e">
        <f t="shared" ca="1" si="190"/>
        <v>#N/A</v>
      </c>
      <c r="T1024" s="6">
        <f t="shared" ca="1" si="180"/>
        <v>2</v>
      </c>
      <c r="U1024" s="1">
        <f t="shared" ca="1" si="191"/>
        <v>1005</v>
      </c>
    </row>
    <row r="1025" spans="1:21" x14ac:dyDescent="0.2">
      <c r="A1025" s="7" cm="1">
        <f t="array" aca="1" ref="A1025" ca="1">INDEX(Companies!$A:$A,RANDBETWEEN(2,COUNTA(Companies!$A:$A)),1)</f>
        <v>2</v>
      </c>
      <c r="B1025" s="5">
        <f t="shared" si="181"/>
        <v>1024</v>
      </c>
      <c r="C1025" s="6">
        <f t="shared" ca="1" si="182"/>
        <v>1</v>
      </c>
      <c r="D1025" s="7">
        <f ca="1">IF($B1025 = 1 + N("Presidente"),
    127,
    IF($B1025 = 2 + N("Vice-Presidente"),
        72,
        IF($B1025 = 3 + N("Secretária bilíngue"),
            13,
            RANDBETWEEN(5,COUNT(Name!$A:$A) + 1)
        )
    )
)</f>
        <v>34</v>
      </c>
      <c r="E1025" s="7" t="str">
        <f ca="1" xml:space="preserve">
VLOOKUP(
  $D1025,
  Name!$A:$B,
  2,
  FALSE
)
&amp; " " &amp;
IF($B1025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Liz Moretti Reis</v>
      </c>
      <c r="F1025" s="7">
        <v>2</v>
      </c>
      <c r="G1025" s="7" cm="1">
        <f t="array" aca="1" ref="G1025" ca="1">INDEX(States!$B:$B,RANDBETWEEN(2,COUNTA(States!$A:$A)),1)</f>
        <v>8</v>
      </c>
      <c r="H1025" s="7" t="str">
        <f ca="1">VLOOKUP($D1025,Name!$A:$C,3,FALSE)</f>
        <v>F</v>
      </c>
      <c r="I1025" s="7" cm="1">
        <f t="array" aca="1" ref="I1025" ca="1">INDEX('Marital status'!$A:$A,RANDBETWEEN(2,COUNTA('Marital status'!$A:$A)),1)</f>
        <v>3</v>
      </c>
      <c r="J1025" s="7">
        <f t="shared" ca="1" si="183"/>
        <v>2</v>
      </c>
      <c r="K1025" s="8">
        <f t="shared" ca="1" si="184"/>
        <v>34981</v>
      </c>
      <c r="L1025" s="6">
        <f t="shared" ca="1" si="185"/>
        <v>5</v>
      </c>
      <c r="M1025" s="7">
        <f ca="1" xml:space="preserve">
  IF(OR($N1025 = 2, $N1025 = 3, $N1025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025" s="6">
        <f t="shared" ca="1" si="186"/>
        <v>8</v>
      </c>
      <c r="O1025" s="6">
        <f t="shared" ca="1" si="187"/>
        <v>2</v>
      </c>
      <c r="P1025" s="8">
        <f t="shared" ca="1" si="188"/>
        <v>41858</v>
      </c>
      <c r="Q1025" s="6">
        <f ca="1">RANDBETWEEN(2,COUNTA('Recruitment source'!$A:$A))</f>
        <v>7</v>
      </c>
      <c r="R1025" s="8" t="e">
        <f t="shared" ca="1" si="189"/>
        <v>#N/A</v>
      </c>
      <c r="S1025" s="6" t="e">
        <f t="shared" ca="1" si="190"/>
        <v>#N/A</v>
      </c>
      <c r="T1025" s="6">
        <f t="shared" ca="1" si="180"/>
        <v>5</v>
      </c>
      <c r="U1025" s="1">
        <f t="shared" ca="1" si="191"/>
        <v>2000</v>
      </c>
    </row>
    <row r="1026" spans="1:21" x14ac:dyDescent="0.2">
      <c r="A1026" s="7" cm="1">
        <f t="array" aca="1" ref="A1026" ca="1">INDEX(Companies!$A:$A,RANDBETWEEN(2,COUNTA(Companies!$A:$A)),1)</f>
        <v>2</v>
      </c>
      <c r="B1026" s="5">
        <f t="shared" si="181"/>
        <v>1025</v>
      </c>
      <c r="C1026" s="6">
        <f t="shared" ca="1" si="182"/>
        <v>1</v>
      </c>
      <c r="D1026" s="7">
        <f ca="1">IF($B1026 = 1 + N("Presidente"),
    127,
    IF($B1026 = 2 + N("Vice-Presidente"),
        72,
        IF($B1026 = 3 + N("Secretária bilíngue"),
            13,
            RANDBETWEEN(5,COUNT(Name!$A:$A) + 1)
        )
    )
)</f>
        <v>207</v>
      </c>
      <c r="E1026" s="7" t="str">
        <f ca="1" xml:space="preserve">
VLOOKUP(
  $D1026,
  Name!$A:$B,
  2,
  FALSE
)
&amp; " " &amp;
IF($B1026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Kamille Martini Siqueira</v>
      </c>
      <c r="F1026" s="7">
        <v>2</v>
      </c>
      <c r="G1026" s="7" cm="1">
        <f t="array" aca="1" ref="G1026" ca="1">INDEX(States!$B:$B,RANDBETWEEN(2,COUNTA(States!$A:$A)),1)</f>
        <v>14</v>
      </c>
      <c r="H1026" s="7" t="str">
        <f ca="1">VLOOKUP($D1026,Name!$A:$C,3,FALSE)</f>
        <v>F</v>
      </c>
      <c r="I1026" s="7" cm="1">
        <f t="array" aca="1" ref="I1026" ca="1">INDEX('Marital status'!$A:$A,RANDBETWEEN(2,COUNTA('Marital status'!$A:$A)),1)</f>
        <v>2</v>
      </c>
      <c r="J1026" s="7">
        <f t="shared" ca="1" si="183"/>
        <v>5</v>
      </c>
      <c r="K1026" s="8">
        <f t="shared" ca="1" si="184"/>
        <v>35748</v>
      </c>
      <c r="L1026" s="6">
        <f t="shared" ca="1" si="185"/>
        <v>4</v>
      </c>
      <c r="M1026" s="7">
        <f ca="1" xml:space="preserve">
  IF(OR($N1026 = 2, $N1026 = 3, $N1026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026" s="6">
        <f t="shared" ca="1" si="186"/>
        <v>7</v>
      </c>
      <c r="O1026" s="6" t="e">
        <f t="shared" ca="1" si="187"/>
        <v>#N/A</v>
      </c>
      <c r="P1026" s="8">
        <f t="shared" ca="1" si="188"/>
        <v>41430</v>
      </c>
      <c r="Q1026" s="6">
        <f ca="1">RANDBETWEEN(2,COUNTA('Recruitment source'!$A:$A))</f>
        <v>4</v>
      </c>
      <c r="R1026" s="8" t="e">
        <f t="shared" ca="1" si="189"/>
        <v>#N/A</v>
      </c>
      <c r="S1026" s="6" t="e">
        <f t="shared" ca="1" si="190"/>
        <v>#N/A</v>
      </c>
      <c r="T1026" s="6">
        <f t="shared" ref="T1026:T1089" ca="1" si="192" xml:space="preserve">
IF(
 ISNA($R1026),
 IF(
   $N1026 = 2,
   5,
   IF(
     OR($N1026=3,$N1026=4,$N1026=5),
     RANDBETWEEN(4,5),
     IF(
       OR($N1026=11,$N1026=12),
       RANDBETWEEN(3,5),
       RANDBETWEEN(2,5)
     )
   )
 ),
 RANDBETWEEN(1,3)
)</f>
        <v>5</v>
      </c>
      <c r="U1026" s="1">
        <f t="shared" ca="1" si="191"/>
        <v>1085</v>
      </c>
    </row>
    <row r="1027" spans="1:21" x14ac:dyDescent="0.2">
      <c r="A1027" s="7" cm="1">
        <f t="array" aca="1" ref="A1027" ca="1">INDEX(Companies!$A:$A,RANDBETWEEN(2,COUNTA(Companies!$A:$A)),1)</f>
        <v>2</v>
      </c>
      <c r="B1027" s="5">
        <f t="shared" ref="B1027:B1090" si="193">ROW() - 1</f>
        <v>1026</v>
      </c>
      <c r="C1027" s="6">
        <f t="shared" ref="C1027:C1090" ca="1" si="194">IF(ISNA($R1027),1,0)</f>
        <v>1</v>
      </c>
      <c r="D1027" s="7">
        <f ca="1">IF($B1027 = 1 + N("Presidente"),
    127,
    IF($B1027 = 2 + N("Vice-Presidente"),
        72,
        IF($B1027 = 3 + N("Secretária bilíngue"),
            13,
            RANDBETWEEN(5,COUNT(Name!$A:$A) + 1)
        )
    )
)</f>
        <v>39</v>
      </c>
      <c r="E1027" s="7" t="str">
        <f ca="1" xml:space="preserve">
VLOOKUP(
  $D1027,
  Name!$A:$B,
  2,
  FALSE
)
&amp; " " &amp;
IF($B1027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Ananda Farina Bactista</v>
      </c>
      <c r="F1027" s="7">
        <v>2</v>
      </c>
      <c r="G1027" s="7" cm="1">
        <f t="array" aca="1" ref="G1027" ca="1">INDEX(States!$B:$B,RANDBETWEEN(2,COUNTA(States!$A:$A)),1)</f>
        <v>7</v>
      </c>
      <c r="H1027" s="7" t="str">
        <f ca="1">VLOOKUP($D1027,Name!$A:$C,3,FALSE)</f>
        <v>F</v>
      </c>
      <c r="I1027" s="7" cm="1">
        <f t="array" aca="1" ref="I1027" ca="1">INDEX('Marital status'!$A:$A,RANDBETWEEN(2,COUNTA('Marital status'!$A:$A)),1)</f>
        <v>5</v>
      </c>
      <c r="J1027" s="7">
        <f t="shared" ref="J1027:J1090" ca="1" si="195" xml:space="preserve">
IF(AND($N1027 &gt;= 2, $N1027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1027" s="8">
        <f t="shared" ref="K1027:K1090" ca="1" si="196" xml:space="preserve">
IF($N1027 = 5 + N("CEO"),
    TODAY() - 16340,
    IF($N1027 = 8 + N("Secretary"),
        RANDBETWEEN(TODAY() - 12418.5, TODAY()-6574.5),
        IF(OR($N1027 = 7, $N1027 = 14),
            RANDBETWEEN(TODAY() - 16071, TODAY() - 8766),
            IF(OR($N1027 = 13, $N1027 = 12, $N1027 = 11),
                RANDBETWEEN(TODAY() - 27393.75, TODAY() - 12783.75),
                RANDBETWEEN(TODAY() - 27393.75, TODAY()-10957.5)
            )
        )
    )
)</f>
        <v>36969</v>
      </c>
      <c r="L1027" s="6">
        <f t="shared" ref="L1027:L1090" ca="1" si="197" xml:space="preserve">
IF(OR($N1027 = 2, $N1027 = 3) + N("Se for presidente ou vice-presidente"),
    7 + N("Doutor"),
    IF($N1027 = 4 + N("Se for diretor"),
        RANDBETWEEN(5,7) + N("Graduate school or Master’s degree or Doctorate"),
        IF($N1027 = 11 + N("Se for gerente"),
            RANDBETWEEN(4,6) + N("Undergraduate degree or Graduate school or Master’s degree"),
            IF(AND($N1027 &gt;= 8, $N1027 &lt;= 10) + N("If coordinator or specialist or analyst"),
                RANDBETWEEN(4,5),
                4
            )
        )
    )
)</f>
        <v>5</v>
      </c>
      <c r="M1027" s="7">
        <f ca="1" xml:space="preserve">
  IF(OR($N1027 = 2, $N1027 = 3, $N1027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027" s="6">
        <f t="shared" ref="N1027:N1090" ca="1" si="198" xml:space="preserve">
IF($B1027 = 1 + N("Se matrícula for 1"),
  2 + N("Presidente"),
  IF($B1027 = 2 + N("Se matrícula for 2"),
    3 + N("Vice-presidente"),
    IF($B1027 = 3 + N("Se matrícula for 3"),
      5 + N("Secretária bilíngue"),
      IF(AND($B1027 &gt;= 4, $B1027 &lt;=14),
        4 + N("Diretor"),
        IF(AND($B1027 &gt;= 15, $B1027 &lt;= 25),
          11 + N("Manager"),
          IF(AND($B1027 &gt;= 26, $B1027 &lt;= 36),
            10 + N("Coordinador"),
            IF(AND($B1027 &gt;= 37, $B1027 &lt;= 47),
              9 + N("Especialista"),
                IF(MOD($B1027,2) = 0,
                  8 + N("Analista"),
                  RANDBETWEEN(6,7) + N("Estagiário ou Trainee")
                )
            )
          )
        )
      )
    )
  )
)</f>
        <v>8</v>
      </c>
      <c r="O1027" s="6">
        <f t="shared" ref="O1027:O1090" ca="1" si="199" xml:space="preserve">
IF($N1027 =8 + N("Analyst"),
    RANDBETWEEN(2, 4) + N("Jr, Pleno, Sr"),
    NA()
)</f>
        <v>3</v>
      </c>
      <c r="P1027" s="8">
        <f t="shared" ref="P1027:P1090" ca="1" si="200" xml:space="preserve">
IF(
   $N1027=2 + N("Presidente"),
   36161,
   IF(
       OR(
         $N1027=3 + N("Vice-Presidente"),
         $N1027=4 + N("Diretor"),
         $N1027=5 + N("Secretária bilíngue")
       ),
       RANDBETWEEN(36161,36411),
       IF(
         ((TODAY() - $K1027) / 365) &lt; 19,
         TODAY(),
         RANDBETWEEN(36161,TODAY())
       )
   )
)</f>
        <v>41870</v>
      </c>
      <c r="Q1027" s="6">
        <f ca="1">RANDBETWEEN(2,COUNTA('Recruitment source'!$A:$A))</f>
        <v>12</v>
      </c>
      <c r="R1027" s="8" t="e">
        <f t="shared" ref="R1027:R1090" ca="1" si="201" xml:space="preserve">
IF(MOD(
     ROW(),111
   )=0,
   RANDBETWEEN($P1027 + 1,TODAY() - 1),NA()
)</f>
        <v>#N/A</v>
      </c>
      <c r="S1027" s="6" t="e">
        <f t="shared" ref="S1027:S1090" ca="1" si="202" xml:space="preserve">
IF(
  ISNA(R1027),
  NA(),
  RANDBETWEEN(2,IF($H1027="F",10,9))
)</f>
        <v>#N/A</v>
      </c>
      <c r="T1027" s="6">
        <f t="shared" ca="1" si="192"/>
        <v>2</v>
      </c>
      <c r="U1027" s="1">
        <f t="shared" ref="U1027:U1090" ca="1" si="203" xml:space="preserve">
IF($N1027 = 2 + N("Presidente"),
    25000,
    IF($N1027 = 3 + N("Vice-presidente"),
        23000,
        IF(OR($N1027 = 5, $N1027= 10, $N1027 = 9) + N("Secretária bilíngue ou coordenador ou especialista"),
            8000,
            IF($N1027 = 4 + N("Diretor"),
                15000,
                IF($N1027 = 11 + N("Gerente"),
                    12000,
                    IF($N1027 = 6 + N("Estagiário"),
                        805,
                        IF($N1027 = 7 + N("Trainee"),
                            1005,
                            IF($N1027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IF($L1027 = 7,
  100,
  IF($L1027 = 8,
    200,
    IF($L1027 = 9,
      300,
      IF($L1027 = 10,
        400,
        0
      )
    )
  )
)
+
N("Adicional no salário por área")
+
IF($M1027 = 14 + N("Tecnologia da Informação"),
  120,
  IF($M1027 = 16 + N("Vendas"),
    110,
    IF($M1027 = 15 + N("Jurídico"),
      100,
      IF(OR($M1027 = 8, $M1027 = 9, $M1027 = 11) + N("Recursos humanos ou comercial ou comunicação e marketing"),
        80,
        0
      )
    )
  )
)
+
N("Adicionando pegadinha")
+
IF(AND($M1027 = 13, $N1027 = 8) + N("Se for de vendas e analista"),
  IF($J1027 = 2,
    50,
    0
  )
  +
  IF($H1027 = "M",
    50,
    0
  ),
  0
)</f>
        <v>2000</v>
      </c>
    </row>
    <row r="1028" spans="1:21" x14ac:dyDescent="0.2">
      <c r="A1028" s="7" cm="1">
        <f t="array" aca="1" ref="A1028" ca="1">INDEX(Companies!$A:$A,RANDBETWEEN(2,COUNTA(Companies!$A:$A)),1)</f>
        <v>2</v>
      </c>
      <c r="B1028" s="5">
        <f t="shared" si="193"/>
        <v>1027</v>
      </c>
      <c r="C1028" s="6">
        <f t="shared" ca="1" si="194"/>
        <v>1</v>
      </c>
      <c r="D1028" s="7">
        <f ca="1">IF($B1028 = 1 + N("Presidente"),
    127,
    IF($B1028 = 2 + N("Vice-Presidente"),
        72,
        IF($B1028 = 3 + N("Secretária bilíngue"),
            13,
            RANDBETWEEN(5,COUNT(Name!$A:$A) + 1)
        )
    )
)</f>
        <v>112</v>
      </c>
      <c r="E1028" s="7" t="str">
        <f ca="1" xml:space="preserve">
VLOOKUP(
  $D1028,
  Name!$A:$B,
  2,
  FALSE
)
&amp; " " &amp;
IF($B1028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Deborah Anunciação Medeiros</v>
      </c>
      <c r="F1028" s="7">
        <v>2</v>
      </c>
      <c r="G1028" s="7" cm="1">
        <f t="array" aca="1" ref="G1028" ca="1">INDEX(States!$B:$B,RANDBETWEEN(2,COUNTA(States!$A:$A)),1)</f>
        <v>10</v>
      </c>
      <c r="H1028" s="7" t="str">
        <f ca="1">VLOOKUP($D1028,Name!$A:$C,3,FALSE)</f>
        <v>F</v>
      </c>
      <c r="I1028" s="7" cm="1">
        <f t="array" aca="1" ref="I1028" ca="1">INDEX('Marital status'!$A:$A,RANDBETWEEN(2,COUNTA('Marital status'!$A:$A)),1)</f>
        <v>2</v>
      </c>
      <c r="J1028" s="7">
        <f t="shared" ca="1" si="195"/>
        <v>2</v>
      </c>
      <c r="K1028" s="8">
        <f t="shared" ca="1" si="196"/>
        <v>33338</v>
      </c>
      <c r="L1028" s="6">
        <f t="shared" ca="1" si="197"/>
        <v>4</v>
      </c>
      <c r="M1028" s="7">
        <f ca="1" xml:space="preserve">
  IF(OR($N1028 = 2, $N1028 = 3, $N1028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028" s="6">
        <f t="shared" ca="1" si="198"/>
        <v>7</v>
      </c>
      <c r="O1028" s="6" t="e">
        <f t="shared" ca="1" si="199"/>
        <v>#N/A</v>
      </c>
      <c r="P1028" s="8">
        <f t="shared" ca="1" si="200"/>
        <v>42612</v>
      </c>
      <c r="Q1028" s="6">
        <f ca="1">RANDBETWEEN(2,COUNTA('Recruitment source'!$A:$A))</f>
        <v>8</v>
      </c>
      <c r="R1028" s="8" t="e">
        <f t="shared" ca="1" si="201"/>
        <v>#N/A</v>
      </c>
      <c r="S1028" s="6" t="e">
        <f t="shared" ca="1" si="202"/>
        <v>#N/A</v>
      </c>
      <c r="T1028" s="6">
        <f t="shared" ca="1" si="192"/>
        <v>2</v>
      </c>
      <c r="U1028" s="1">
        <f t="shared" ca="1" si="203"/>
        <v>1085</v>
      </c>
    </row>
    <row r="1029" spans="1:21" x14ac:dyDescent="0.2">
      <c r="A1029" s="7" cm="1">
        <f t="array" aca="1" ref="A1029" ca="1">INDEX(Companies!$A:$A,RANDBETWEEN(2,COUNTA(Companies!$A:$A)),1)</f>
        <v>2</v>
      </c>
      <c r="B1029" s="5">
        <f t="shared" si="193"/>
        <v>1028</v>
      </c>
      <c r="C1029" s="6">
        <f t="shared" ca="1" si="194"/>
        <v>1</v>
      </c>
      <c r="D1029" s="7">
        <f ca="1">IF($B1029 = 1 + N("Presidente"),
    127,
    IF($B1029 = 2 + N("Vice-Presidente"),
        72,
        IF($B1029 = 3 + N("Secretária bilíngue"),
            13,
            RANDBETWEEN(5,COUNT(Name!$A:$A) + 1)
        )
    )
)</f>
        <v>279</v>
      </c>
      <c r="E1029" s="7" t="str">
        <f ca="1" xml:space="preserve">
VLOOKUP(
  $D1029,
  Name!$A:$B,
  2,
  FALSE
)
&amp; " " &amp;
IF($B1029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Mariane de Oliveira Frasão</v>
      </c>
      <c r="F1029" s="7">
        <v>2</v>
      </c>
      <c r="G1029" s="7" cm="1">
        <f t="array" aca="1" ref="G1029" ca="1">INDEX(States!$B:$B,RANDBETWEEN(2,COUNTA(States!$A:$A)),1)</f>
        <v>9</v>
      </c>
      <c r="H1029" s="7" t="str">
        <f ca="1">VLOOKUP($D1029,Name!$A:$C,3,FALSE)</f>
        <v>F</v>
      </c>
      <c r="I1029" s="7" cm="1">
        <f t="array" aca="1" ref="I1029" ca="1">INDEX('Marital status'!$A:$A,RANDBETWEEN(2,COUNTA('Marital status'!$A:$A)),1)</f>
        <v>4</v>
      </c>
      <c r="J1029" s="7">
        <f t="shared" ca="1" si="195"/>
        <v>3</v>
      </c>
      <c r="K1029" s="8">
        <f t="shared" ca="1" si="196"/>
        <v>34432</v>
      </c>
      <c r="L1029" s="6">
        <f t="shared" ca="1" si="197"/>
        <v>5</v>
      </c>
      <c r="M1029" s="7">
        <f ca="1" xml:space="preserve">
  IF(OR($N1029 = 2, $N1029 = 3, $N1029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029" s="6">
        <f t="shared" ca="1" si="198"/>
        <v>8</v>
      </c>
      <c r="O1029" s="6">
        <f t="shared" ca="1" si="199"/>
        <v>4</v>
      </c>
      <c r="P1029" s="8">
        <f t="shared" ca="1" si="200"/>
        <v>44583</v>
      </c>
      <c r="Q1029" s="6">
        <f ca="1">RANDBETWEEN(2,COUNTA('Recruitment source'!$A:$A))</f>
        <v>11</v>
      </c>
      <c r="R1029" s="8" t="e">
        <f t="shared" ca="1" si="201"/>
        <v>#N/A</v>
      </c>
      <c r="S1029" s="6" t="e">
        <f t="shared" ca="1" si="202"/>
        <v>#N/A</v>
      </c>
      <c r="T1029" s="6">
        <f t="shared" ca="1" si="192"/>
        <v>5</v>
      </c>
      <c r="U1029" s="1">
        <f t="shared" ca="1" si="203"/>
        <v>2000</v>
      </c>
    </row>
    <row r="1030" spans="1:21" x14ac:dyDescent="0.2">
      <c r="A1030" s="7" cm="1">
        <f t="array" aca="1" ref="A1030" ca="1">INDEX(Companies!$A:$A,RANDBETWEEN(2,COUNTA(Companies!$A:$A)),1)</f>
        <v>2</v>
      </c>
      <c r="B1030" s="5">
        <f t="shared" si="193"/>
        <v>1029</v>
      </c>
      <c r="C1030" s="6">
        <f t="shared" ca="1" si="194"/>
        <v>1</v>
      </c>
      <c r="D1030" s="7">
        <f ca="1">IF($B1030 = 1 + N("Presidente"),
    127,
    IF($B1030 = 2 + N("Vice-Presidente"),
        72,
        IF($B1030 = 3 + N("Secretária bilíngue"),
            13,
            RANDBETWEEN(5,COUNT(Name!$A:$A) + 1)
        )
    )
)</f>
        <v>290</v>
      </c>
      <c r="E1030" s="7" t="str">
        <f ca="1" xml:space="preserve">
VLOOKUP(
  $D1030,
  Name!$A:$B,
  2,
  FALSE
)
&amp; " " &amp;
IF($B1030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Melissa Rocha Alvarenga</v>
      </c>
      <c r="F1030" s="7">
        <v>2</v>
      </c>
      <c r="G1030" s="7" cm="1">
        <f t="array" aca="1" ref="G1030" ca="1">INDEX(States!$B:$B,RANDBETWEEN(2,COUNTA(States!$A:$A)),1)</f>
        <v>13</v>
      </c>
      <c r="H1030" s="7" t="str">
        <f ca="1">VLOOKUP($D1030,Name!$A:$C,3,FALSE)</f>
        <v>F</v>
      </c>
      <c r="I1030" s="7" cm="1">
        <f t="array" aca="1" ref="I1030" ca="1">INDEX('Marital status'!$A:$A,RANDBETWEEN(2,COUNTA('Marital status'!$A:$A)),1)</f>
        <v>5</v>
      </c>
      <c r="J1030" s="7">
        <f t="shared" ca="1" si="195"/>
        <v>2</v>
      </c>
      <c r="K1030" s="8">
        <f t="shared" ca="1" si="196"/>
        <v>33576</v>
      </c>
      <c r="L1030" s="6">
        <f t="shared" ca="1" si="197"/>
        <v>4</v>
      </c>
      <c r="M1030" s="7">
        <f ca="1" xml:space="preserve">
  IF(OR($N1030 = 2, $N1030 = 3, $N1030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030" s="6">
        <f t="shared" ca="1" si="198"/>
        <v>7</v>
      </c>
      <c r="O1030" s="6" t="e">
        <f t="shared" ca="1" si="199"/>
        <v>#N/A</v>
      </c>
      <c r="P1030" s="8">
        <f t="shared" ca="1" si="200"/>
        <v>38702</v>
      </c>
      <c r="Q1030" s="6">
        <f ca="1">RANDBETWEEN(2,COUNTA('Recruitment source'!$A:$A))</f>
        <v>7</v>
      </c>
      <c r="R1030" s="8" t="e">
        <f t="shared" ca="1" si="201"/>
        <v>#N/A</v>
      </c>
      <c r="S1030" s="6" t="e">
        <f t="shared" ca="1" si="202"/>
        <v>#N/A</v>
      </c>
      <c r="T1030" s="6">
        <f t="shared" ca="1" si="192"/>
        <v>5</v>
      </c>
      <c r="U1030" s="1">
        <f t="shared" ca="1" si="203"/>
        <v>1085</v>
      </c>
    </row>
    <row r="1031" spans="1:21" x14ac:dyDescent="0.2">
      <c r="A1031" s="7" cm="1">
        <f t="array" aca="1" ref="A1031" ca="1">INDEX(Companies!$A:$A,RANDBETWEEN(2,COUNTA(Companies!$A:$A)),1)</f>
        <v>2</v>
      </c>
      <c r="B1031" s="5">
        <f t="shared" si="193"/>
        <v>1030</v>
      </c>
      <c r="C1031" s="6">
        <f t="shared" ca="1" si="194"/>
        <v>1</v>
      </c>
      <c r="D1031" s="7">
        <f ca="1">IF($B1031 = 1 + N("Presidente"),
    127,
    IF($B1031 = 2 + N("Vice-Presidente"),
        72,
        IF($B1031 = 3 + N("Secretária bilíngue"),
            13,
            RANDBETWEEN(5,COUNT(Name!$A:$A) + 1)
        )
    )
)</f>
        <v>35</v>
      </c>
      <c r="E1031" s="7" t="str">
        <f ca="1" xml:space="preserve">
VLOOKUP(
  $D1031,
  Name!$A:$B,
  2,
  FALSE
)
&amp; " " &amp;
IF($B1031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Luiza Veiga Freitas</v>
      </c>
      <c r="F1031" s="7">
        <v>2</v>
      </c>
      <c r="G1031" s="7" cm="1">
        <f t="array" aca="1" ref="G1031" ca="1">INDEX(States!$B:$B,RANDBETWEEN(2,COUNTA(States!$A:$A)),1)</f>
        <v>2</v>
      </c>
      <c r="H1031" s="7" t="str">
        <f ca="1">VLOOKUP($D1031,Name!$A:$C,3,FALSE)</f>
        <v>F</v>
      </c>
      <c r="I1031" s="7" cm="1">
        <f t="array" aca="1" ref="I1031" ca="1">INDEX('Marital status'!$A:$A,RANDBETWEEN(2,COUNTA('Marital status'!$A:$A)),1)</f>
        <v>5</v>
      </c>
      <c r="J1031" s="7">
        <f t="shared" ca="1" si="195"/>
        <v>2</v>
      </c>
      <c r="K1031" s="8">
        <f t="shared" ca="1" si="196"/>
        <v>35147</v>
      </c>
      <c r="L1031" s="6">
        <f t="shared" ca="1" si="197"/>
        <v>4</v>
      </c>
      <c r="M1031" s="7">
        <f ca="1" xml:space="preserve">
  IF(OR($N1031 = 2, $N1031 = 3, $N1031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031" s="6">
        <f t="shared" ca="1" si="198"/>
        <v>8</v>
      </c>
      <c r="O1031" s="6">
        <f t="shared" ca="1" si="199"/>
        <v>4</v>
      </c>
      <c r="P1031" s="8">
        <f t="shared" ca="1" si="200"/>
        <v>37016</v>
      </c>
      <c r="Q1031" s="6">
        <f ca="1">RANDBETWEEN(2,COUNTA('Recruitment source'!$A:$A))</f>
        <v>2</v>
      </c>
      <c r="R1031" s="8" t="e">
        <f t="shared" ca="1" si="201"/>
        <v>#N/A</v>
      </c>
      <c r="S1031" s="6" t="e">
        <f t="shared" ca="1" si="202"/>
        <v>#N/A</v>
      </c>
      <c r="T1031" s="6">
        <f t="shared" ca="1" si="192"/>
        <v>3</v>
      </c>
      <c r="U1031" s="1">
        <f t="shared" ca="1" si="203"/>
        <v>2000</v>
      </c>
    </row>
    <row r="1032" spans="1:21" x14ac:dyDescent="0.2">
      <c r="A1032" s="7" cm="1">
        <f t="array" aca="1" ref="A1032" ca="1">INDEX(Companies!$A:$A,RANDBETWEEN(2,COUNTA(Companies!$A:$A)),1)</f>
        <v>2</v>
      </c>
      <c r="B1032" s="5">
        <f t="shared" si="193"/>
        <v>1031</v>
      </c>
      <c r="C1032" s="6">
        <f t="shared" ca="1" si="194"/>
        <v>1</v>
      </c>
      <c r="D1032" s="7">
        <f ca="1">IF($B1032 = 1 + N("Presidente"),
    127,
    IF($B1032 = 2 + N("Vice-Presidente"),
        72,
        IF($B1032 = 3 + N("Secretária bilíngue"),
            13,
            RANDBETWEEN(5,COUNT(Name!$A:$A) + 1)
        )
    )
)</f>
        <v>352</v>
      </c>
      <c r="E1032" s="7" t="str">
        <f ca="1" xml:space="preserve">
VLOOKUP(
  $D1032,
  Name!$A:$B,
  2,
  FALSE
)
&amp; " " &amp;
IF($B1032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Vicent Camacho Melo</v>
      </c>
      <c r="F1032" s="7">
        <v>2</v>
      </c>
      <c r="G1032" s="7" cm="1">
        <f t="array" aca="1" ref="G1032" ca="1">INDEX(States!$B:$B,RANDBETWEEN(2,COUNTA(States!$A:$A)),1)</f>
        <v>20</v>
      </c>
      <c r="H1032" s="7" t="str">
        <f ca="1">VLOOKUP($D1032,Name!$A:$C,3,FALSE)</f>
        <v>M</v>
      </c>
      <c r="I1032" s="7" cm="1">
        <f t="array" aca="1" ref="I1032" ca="1">INDEX('Marital status'!$A:$A,RANDBETWEEN(2,COUNTA('Marital status'!$A:$A)),1)</f>
        <v>2</v>
      </c>
      <c r="J1032" s="7">
        <f t="shared" ca="1" si="195"/>
        <v>2</v>
      </c>
      <c r="K1032" s="8">
        <f t="shared" ca="1" si="196"/>
        <v>33110</v>
      </c>
      <c r="L1032" s="6">
        <f t="shared" ca="1" si="197"/>
        <v>4</v>
      </c>
      <c r="M1032" s="7">
        <f ca="1" xml:space="preserve">
  IF(OR($N1032 = 2, $N1032 = 3, $N1032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032" s="6">
        <f t="shared" ca="1" si="198"/>
        <v>7</v>
      </c>
      <c r="O1032" s="6" t="e">
        <f t="shared" ca="1" si="199"/>
        <v>#N/A</v>
      </c>
      <c r="P1032" s="8">
        <f t="shared" ca="1" si="200"/>
        <v>43762</v>
      </c>
      <c r="Q1032" s="6">
        <f ca="1">RANDBETWEEN(2,COUNTA('Recruitment source'!$A:$A))</f>
        <v>5</v>
      </c>
      <c r="R1032" s="8" t="e">
        <f t="shared" ca="1" si="201"/>
        <v>#N/A</v>
      </c>
      <c r="S1032" s="6" t="e">
        <f t="shared" ca="1" si="202"/>
        <v>#N/A</v>
      </c>
      <c r="T1032" s="6">
        <f t="shared" ca="1" si="192"/>
        <v>2</v>
      </c>
      <c r="U1032" s="1">
        <f t="shared" ca="1" si="203"/>
        <v>1005</v>
      </c>
    </row>
    <row r="1033" spans="1:21" x14ac:dyDescent="0.2">
      <c r="A1033" s="7" cm="1">
        <f t="array" aca="1" ref="A1033" ca="1">INDEX(Companies!$A:$A,RANDBETWEEN(2,COUNTA(Companies!$A:$A)),1)</f>
        <v>2</v>
      </c>
      <c r="B1033" s="5">
        <f t="shared" si="193"/>
        <v>1032</v>
      </c>
      <c r="C1033" s="6">
        <f t="shared" ca="1" si="194"/>
        <v>1</v>
      </c>
      <c r="D1033" s="7">
        <f ca="1">IF($B1033 = 1 + N("Presidente"),
    127,
    IF($B1033 = 2 + N("Vice-Presidente"),
        72,
        IF($B1033 = 3 + N("Secretária bilíngue"),
            13,
            RANDBETWEEN(5,COUNT(Name!$A:$A) + 1)
        )
    )
)</f>
        <v>352</v>
      </c>
      <c r="E1033" s="7" t="str">
        <f ca="1" xml:space="preserve">
VLOOKUP(
  $D1033,
  Name!$A:$B,
  2,
  FALSE
)
&amp; " " &amp;
IF($B1033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Vicent Barreto Bicalho</v>
      </c>
      <c r="F1033" s="7">
        <v>2</v>
      </c>
      <c r="G1033" s="7" cm="1">
        <f t="array" aca="1" ref="G1033" ca="1">INDEX(States!$B:$B,RANDBETWEEN(2,COUNTA(States!$A:$A)),1)</f>
        <v>7</v>
      </c>
      <c r="H1033" s="7" t="str">
        <f ca="1">VLOOKUP($D1033,Name!$A:$C,3,FALSE)</f>
        <v>M</v>
      </c>
      <c r="I1033" s="7" cm="1">
        <f t="array" aca="1" ref="I1033" ca="1">INDEX('Marital status'!$A:$A,RANDBETWEEN(2,COUNTA('Marital status'!$A:$A)),1)</f>
        <v>3</v>
      </c>
      <c r="J1033" s="7">
        <f t="shared" ca="1" si="195"/>
        <v>2</v>
      </c>
      <c r="K1033" s="8">
        <f t="shared" ca="1" si="196"/>
        <v>34331</v>
      </c>
      <c r="L1033" s="6">
        <f t="shared" ca="1" si="197"/>
        <v>4</v>
      </c>
      <c r="M1033" s="7">
        <f ca="1" xml:space="preserve">
  IF(OR($N1033 = 2, $N1033 = 3, $N1033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033" s="6">
        <f t="shared" ca="1" si="198"/>
        <v>8</v>
      </c>
      <c r="O1033" s="6">
        <f t="shared" ca="1" si="199"/>
        <v>4</v>
      </c>
      <c r="P1033" s="8">
        <f t="shared" ca="1" si="200"/>
        <v>37858</v>
      </c>
      <c r="Q1033" s="6">
        <f ca="1">RANDBETWEEN(2,COUNTA('Recruitment source'!$A:$A))</f>
        <v>6</v>
      </c>
      <c r="R1033" s="8" t="e">
        <f t="shared" ca="1" si="201"/>
        <v>#N/A</v>
      </c>
      <c r="S1033" s="6" t="e">
        <f t="shared" ca="1" si="202"/>
        <v>#N/A</v>
      </c>
      <c r="T1033" s="6">
        <f t="shared" ca="1" si="192"/>
        <v>4</v>
      </c>
      <c r="U1033" s="1">
        <f t="shared" ca="1" si="203"/>
        <v>2000</v>
      </c>
    </row>
    <row r="1034" spans="1:21" x14ac:dyDescent="0.2">
      <c r="A1034" s="7" cm="1">
        <f t="array" aca="1" ref="A1034" ca="1">INDEX(Companies!$A:$A,RANDBETWEEN(2,COUNTA(Companies!$A:$A)),1)</f>
        <v>2</v>
      </c>
      <c r="B1034" s="5">
        <f t="shared" si="193"/>
        <v>1033</v>
      </c>
      <c r="C1034" s="6">
        <f t="shared" ca="1" si="194"/>
        <v>1</v>
      </c>
      <c r="D1034" s="7">
        <f ca="1">IF($B1034 = 1 + N("Presidente"),
    127,
    IF($B1034 = 2 + N("Vice-Presidente"),
        72,
        IF($B1034 = 3 + N("Secretária bilíngue"),
            13,
            RANDBETWEEN(5,COUNT(Name!$A:$A) + 1)
        )
    )
)</f>
        <v>108</v>
      </c>
      <c r="E1034" s="7" t="str">
        <f ca="1" xml:space="preserve">
VLOOKUP(
  $D1034,
  Name!$A:$B,
  2,
  FALSE
)
&amp; " " &amp;
IF($B1034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Luccas Testa Freitas</v>
      </c>
      <c r="F1034" s="7">
        <v>2</v>
      </c>
      <c r="G1034" s="7" cm="1">
        <f t="array" aca="1" ref="G1034" ca="1">INDEX(States!$B:$B,RANDBETWEEN(2,COUNTA(States!$A:$A)),1)</f>
        <v>8</v>
      </c>
      <c r="H1034" s="7" t="str">
        <f ca="1">VLOOKUP($D1034,Name!$A:$C,3,FALSE)</f>
        <v>M</v>
      </c>
      <c r="I1034" s="7" cm="1">
        <f t="array" aca="1" ref="I1034" ca="1">INDEX('Marital status'!$A:$A,RANDBETWEEN(2,COUNTA('Marital status'!$A:$A)),1)</f>
        <v>3</v>
      </c>
      <c r="J1034" s="7">
        <f t="shared" ca="1" si="195"/>
        <v>4</v>
      </c>
      <c r="K1034" s="8">
        <f t="shared" ca="1" si="196"/>
        <v>33648</v>
      </c>
      <c r="L1034" s="6">
        <f t="shared" ca="1" si="197"/>
        <v>4</v>
      </c>
      <c r="M1034" s="7">
        <f ca="1" xml:space="preserve">
  IF(OR($N1034 = 2, $N1034 = 3, $N1034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034" s="6">
        <f t="shared" ca="1" si="198"/>
        <v>7</v>
      </c>
      <c r="O1034" s="6" t="e">
        <f t="shared" ca="1" si="199"/>
        <v>#N/A</v>
      </c>
      <c r="P1034" s="8">
        <f t="shared" ca="1" si="200"/>
        <v>36193</v>
      </c>
      <c r="Q1034" s="6">
        <f ca="1">RANDBETWEEN(2,COUNTA('Recruitment source'!$A:$A))</f>
        <v>10</v>
      </c>
      <c r="R1034" s="8" t="e">
        <f t="shared" ca="1" si="201"/>
        <v>#N/A</v>
      </c>
      <c r="S1034" s="6" t="e">
        <f t="shared" ca="1" si="202"/>
        <v>#N/A</v>
      </c>
      <c r="T1034" s="6">
        <f t="shared" ca="1" si="192"/>
        <v>3</v>
      </c>
      <c r="U1034" s="1">
        <f t="shared" ca="1" si="203"/>
        <v>1005</v>
      </c>
    </row>
    <row r="1035" spans="1:21" x14ac:dyDescent="0.2">
      <c r="A1035" s="7" cm="1">
        <f t="array" aca="1" ref="A1035" ca="1">INDEX(Companies!$A:$A,RANDBETWEEN(2,COUNTA(Companies!$A:$A)),1)</f>
        <v>2</v>
      </c>
      <c r="B1035" s="5">
        <f t="shared" si="193"/>
        <v>1034</v>
      </c>
      <c r="C1035" s="6">
        <f t="shared" ca="1" si="194"/>
        <v>1</v>
      </c>
      <c r="D1035" s="7">
        <f ca="1">IF($B1035 = 1 + N("Presidente"),
    127,
    IF($B1035 = 2 + N("Vice-Presidente"),
        72,
        IF($B1035 = 3 + N("Secretária bilíngue"),
            13,
            RANDBETWEEN(5,COUNT(Name!$A:$A) + 1)
        )
    )
)</f>
        <v>258</v>
      </c>
      <c r="E1035" s="7" t="str">
        <f ca="1" xml:space="preserve">
VLOOKUP(
  $D1035,
  Name!$A:$B,
  2,
  FALSE
)
&amp; " " &amp;
IF($B1035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Alice Monti Mazza</v>
      </c>
      <c r="F1035" s="7">
        <v>2</v>
      </c>
      <c r="G1035" s="7" cm="1">
        <f t="array" aca="1" ref="G1035" ca="1">INDEX(States!$B:$B,RANDBETWEEN(2,COUNTA(States!$A:$A)),1)</f>
        <v>21</v>
      </c>
      <c r="H1035" s="7" t="str">
        <f ca="1">VLOOKUP($D1035,Name!$A:$C,3,FALSE)</f>
        <v>F</v>
      </c>
      <c r="I1035" s="7" cm="1">
        <f t="array" aca="1" ref="I1035" ca="1">INDEX('Marital status'!$A:$A,RANDBETWEEN(2,COUNTA('Marital status'!$A:$A)),1)</f>
        <v>6</v>
      </c>
      <c r="J1035" s="7">
        <f t="shared" ca="1" si="195"/>
        <v>2</v>
      </c>
      <c r="K1035" s="8">
        <f t="shared" ca="1" si="196"/>
        <v>37583</v>
      </c>
      <c r="L1035" s="6">
        <f t="shared" ca="1" si="197"/>
        <v>5</v>
      </c>
      <c r="M1035" s="7">
        <f ca="1" xml:space="preserve">
  IF(OR($N1035 = 2, $N1035 = 3, $N1035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035" s="6">
        <f t="shared" ca="1" si="198"/>
        <v>8</v>
      </c>
      <c r="O1035" s="6">
        <f t="shared" ca="1" si="199"/>
        <v>4</v>
      </c>
      <c r="P1035" s="8">
        <f t="shared" ca="1" si="200"/>
        <v>44531</v>
      </c>
      <c r="Q1035" s="6">
        <f ca="1">RANDBETWEEN(2,COUNTA('Recruitment source'!$A:$A))</f>
        <v>3</v>
      </c>
      <c r="R1035" s="8" t="e">
        <f t="shared" ca="1" si="201"/>
        <v>#N/A</v>
      </c>
      <c r="S1035" s="6" t="e">
        <f t="shared" ca="1" si="202"/>
        <v>#N/A</v>
      </c>
      <c r="T1035" s="6">
        <f t="shared" ca="1" si="192"/>
        <v>2</v>
      </c>
      <c r="U1035" s="1">
        <f t="shared" ca="1" si="203"/>
        <v>2050</v>
      </c>
    </row>
    <row r="1036" spans="1:21" x14ac:dyDescent="0.2">
      <c r="A1036" s="7" cm="1">
        <f t="array" aca="1" ref="A1036" ca="1">INDEX(Companies!$A:$A,RANDBETWEEN(2,COUNTA(Companies!$A:$A)),1)</f>
        <v>2</v>
      </c>
      <c r="B1036" s="5">
        <f t="shared" si="193"/>
        <v>1035</v>
      </c>
      <c r="C1036" s="6">
        <f t="shared" ca="1" si="194"/>
        <v>1</v>
      </c>
      <c r="D1036" s="7">
        <f ca="1">IF($B1036 = 1 + N("Presidente"),
    127,
    IF($B1036 = 2 + N("Vice-Presidente"),
        72,
        IF($B1036 = 3 + N("Secretária bilíngue"),
            13,
            RANDBETWEEN(5,COUNT(Name!$A:$A) + 1)
        )
    )
)</f>
        <v>189</v>
      </c>
      <c r="E1036" s="7" t="str">
        <f ca="1" xml:space="preserve">
VLOOKUP(
  $D1036,
  Name!$A:$B,
  2,
  FALSE
)
&amp; " " &amp;
IF($B1036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Luccas Cabral Alcantara</v>
      </c>
      <c r="F1036" s="7">
        <v>2</v>
      </c>
      <c r="G1036" s="7" cm="1">
        <f t="array" aca="1" ref="G1036" ca="1">INDEX(States!$B:$B,RANDBETWEEN(2,COUNTA(States!$A:$A)),1)</f>
        <v>15</v>
      </c>
      <c r="H1036" s="7" t="str">
        <f ca="1">VLOOKUP($D1036,Name!$A:$C,3,FALSE)</f>
        <v>M</v>
      </c>
      <c r="I1036" s="7" cm="1">
        <f t="array" aca="1" ref="I1036" ca="1">INDEX('Marital status'!$A:$A,RANDBETWEEN(2,COUNTA('Marital status'!$A:$A)),1)</f>
        <v>5</v>
      </c>
      <c r="J1036" s="7">
        <f t="shared" ca="1" si="195"/>
        <v>3</v>
      </c>
      <c r="K1036" s="8">
        <f t="shared" ca="1" si="196"/>
        <v>21554</v>
      </c>
      <c r="L1036" s="6">
        <f t="shared" ca="1" si="197"/>
        <v>4</v>
      </c>
      <c r="M1036" s="7">
        <f ca="1" xml:space="preserve">
  IF(OR($N1036 = 2, $N1036 = 3, $N1036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036" s="6">
        <f t="shared" ca="1" si="198"/>
        <v>6</v>
      </c>
      <c r="O1036" s="6" t="e">
        <f t="shared" ca="1" si="199"/>
        <v>#N/A</v>
      </c>
      <c r="P1036" s="8">
        <f t="shared" ca="1" si="200"/>
        <v>38352</v>
      </c>
      <c r="Q1036" s="6">
        <f ca="1">RANDBETWEEN(2,COUNTA('Recruitment source'!$A:$A))</f>
        <v>12</v>
      </c>
      <c r="R1036" s="8" t="e">
        <f t="shared" ca="1" si="201"/>
        <v>#N/A</v>
      </c>
      <c r="S1036" s="6" t="e">
        <f t="shared" ca="1" si="202"/>
        <v>#N/A</v>
      </c>
      <c r="T1036" s="6">
        <f t="shared" ca="1" si="192"/>
        <v>3</v>
      </c>
      <c r="U1036" s="1">
        <f t="shared" ca="1" si="203"/>
        <v>805</v>
      </c>
    </row>
    <row r="1037" spans="1:21" x14ac:dyDescent="0.2">
      <c r="A1037" s="7" cm="1">
        <f t="array" aca="1" ref="A1037" ca="1">INDEX(Companies!$A:$A,RANDBETWEEN(2,COUNTA(Companies!$A:$A)),1)</f>
        <v>2</v>
      </c>
      <c r="B1037" s="5">
        <f t="shared" si="193"/>
        <v>1036</v>
      </c>
      <c r="C1037" s="6">
        <f t="shared" ca="1" si="194"/>
        <v>1</v>
      </c>
      <c r="D1037" s="7">
        <f ca="1">IF($B1037 = 1 + N("Presidente"),
    127,
    IF($B1037 = 2 + N("Vice-Presidente"),
        72,
        IF($B1037 = 3 + N("Secretária bilíngue"),
            13,
            RANDBETWEEN(5,COUNT(Name!$A:$A) + 1)
        )
    )
)</f>
        <v>125</v>
      </c>
      <c r="E1037" s="7" t="str">
        <f ca="1" xml:space="preserve">
VLOOKUP(
  $D1037,
  Name!$A:$B,
  2,
  FALSE
)
&amp; " " &amp;
IF($B1037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Emmanuel Arruda Abranches</v>
      </c>
      <c r="F1037" s="7">
        <v>2</v>
      </c>
      <c r="G1037" s="7" cm="1">
        <f t="array" aca="1" ref="G1037" ca="1">INDEX(States!$B:$B,RANDBETWEEN(2,COUNTA(States!$A:$A)),1)</f>
        <v>12</v>
      </c>
      <c r="H1037" s="7" t="str">
        <f ca="1">VLOOKUP($D1037,Name!$A:$C,3,FALSE)</f>
        <v>M</v>
      </c>
      <c r="I1037" s="7" cm="1">
        <f t="array" aca="1" ref="I1037" ca="1">INDEX('Marital status'!$A:$A,RANDBETWEEN(2,COUNTA('Marital status'!$A:$A)),1)</f>
        <v>6</v>
      </c>
      <c r="J1037" s="7">
        <f t="shared" ca="1" si="195"/>
        <v>2</v>
      </c>
      <c r="K1037" s="8">
        <f t="shared" ca="1" si="196"/>
        <v>33390</v>
      </c>
      <c r="L1037" s="6">
        <f t="shared" ca="1" si="197"/>
        <v>5</v>
      </c>
      <c r="M1037" s="7">
        <f ca="1" xml:space="preserve">
  IF(OR($N1037 = 2, $N1037 = 3, $N1037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037" s="6">
        <f t="shared" ca="1" si="198"/>
        <v>8</v>
      </c>
      <c r="O1037" s="6">
        <f t="shared" ca="1" si="199"/>
        <v>4</v>
      </c>
      <c r="P1037" s="8">
        <f t="shared" ca="1" si="200"/>
        <v>38517</v>
      </c>
      <c r="Q1037" s="6">
        <f ca="1">RANDBETWEEN(2,COUNTA('Recruitment source'!$A:$A))</f>
        <v>10</v>
      </c>
      <c r="R1037" s="8" t="e">
        <f t="shared" ca="1" si="201"/>
        <v>#N/A</v>
      </c>
      <c r="S1037" s="6" t="e">
        <f t="shared" ca="1" si="202"/>
        <v>#N/A</v>
      </c>
      <c r="T1037" s="6">
        <f t="shared" ca="1" si="192"/>
        <v>4</v>
      </c>
      <c r="U1037" s="1">
        <f t="shared" ca="1" si="203"/>
        <v>2080</v>
      </c>
    </row>
    <row r="1038" spans="1:21" x14ac:dyDescent="0.2">
      <c r="A1038" s="7" cm="1">
        <f t="array" aca="1" ref="A1038" ca="1">INDEX(Companies!$A:$A,RANDBETWEEN(2,COUNTA(Companies!$A:$A)),1)</f>
        <v>2</v>
      </c>
      <c r="B1038" s="5">
        <f t="shared" si="193"/>
        <v>1037</v>
      </c>
      <c r="C1038" s="6">
        <f t="shared" ca="1" si="194"/>
        <v>1</v>
      </c>
      <c r="D1038" s="7">
        <f ca="1">IF($B1038 = 1 + N("Presidente"),
    127,
    IF($B1038 = 2 + N("Vice-Presidente"),
        72,
        IF($B1038 = 3 + N("Secretária bilíngue"),
            13,
            RANDBETWEEN(5,COUNT(Name!$A:$A) + 1)
        )
    )
)</f>
        <v>110</v>
      </c>
      <c r="E1038" s="7" t="str">
        <f ca="1" xml:space="preserve">
VLOOKUP(
  $D1038,
  Name!$A:$B,
  2,
  FALSE
)
&amp; " " &amp;
IF($B1038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Miguel Coelho Rinaldi</v>
      </c>
      <c r="F1038" s="7">
        <v>2</v>
      </c>
      <c r="G1038" s="7" cm="1">
        <f t="array" aca="1" ref="G1038" ca="1">INDEX(States!$B:$B,RANDBETWEEN(2,COUNTA(States!$A:$A)),1)</f>
        <v>14</v>
      </c>
      <c r="H1038" s="7" t="str">
        <f ca="1">VLOOKUP($D1038,Name!$A:$C,3,FALSE)</f>
        <v>M</v>
      </c>
      <c r="I1038" s="7" cm="1">
        <f t="array" aca="1" ref="I1038" ca="1">INDEX('Marital status'!$A:$A,RANDBETWEEN(2,COUNTA('Marital status'!$A:$A)),1)</f>
        <v>6</v>
      </c>
      <c r="J1038" s="7">
        <f t="shared" ca="1" si="195"/>
        <v>2</v>
      </c>
      <c r="K1038" s="8">
        <f t="shared" ca="1" si="196"/>
        <v>31852</v>
      </c>
      <c r="L1038" s="6">
        <f t="shared" ca="1" si="197"/>
        <v>4</v>
      </c>
      <c r="M1038" s="7">
        <f ca="1" xml:space="preserve">
  IF(OR($N1038 = 2, $N1038 = 3, $N1038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038" s="6">
        <f t="shared" ca="1" si="198"/>
        <v>6</v>
      </c>
      <c r="O1038" s="6" t="e">
        <f t="shared" ca="1" si="199"/>
        <v>#N/A</v>
      </c>
      <c r="P1038" s="8">
        <f t="shared" ca="1" si="200"/>
        <v>39816</v>
      </c>
      <c r="Q1038" s="6">
        <f ca="1">RANDBETWEEN(2,COUNTA('Recruitment source'!$A:$A))</f>
        <v>11</v>
      </c>
      <c r="R1038" s="8" t="e">
        <f t="shared" ca="1" si="201"/>
        <v>#N/A</v>
      </c>
      <c r="S1038" s="6" t="e">
        <f t="shared" ca="1" si="202"/>
        <v>#N/A</v>
      </c>
      <c r="T1038" s="6">
        <f t="shared" ca="1" si="192"/>
        <v>5</v>
      </c>
      <c r="U1038" s="1">
        <f t="shared" ca="1" si="203"/>
        <v>805</v>
      </c>
    </row>
    <row r="1039" spans="1:21" x14ac:dyDescent="0.2">
      <c r="A1039" s="7" cm="1">
        <f t="array" aca="1" ref="A1039" ca="1">INDEX(Companies!$A:$A,RANDBETWEEN(2,COUNTA(Companies!$A:$A)),1)</f>
        <v>2</v>
      </c>
      <c r="B1039" s="5">
        <f t="shared" si="193"/>
        <v>1038</v>
      </c>
      <c r="C1039" s="6">
        <f t="shared" ca="1" si="194"/>
        <v>1</v>
      </c>
      <c r="D1039" s="7">
        <f ca="1">IF($B1039 = 1 + N("Presidente"),
    127,
    IF($B1039 = 2 + N("Vice-Presidente"),
        72,
        IF($B1039 = 3 + N("Secretária bilíngue"),
            13,
            RANDBETWEEN(5,COUNT(Name!$A:$A) + 1)
        )
    )
)</f>
        <v>155</v>
      </c>
      <c r="E1039" s="7" t="str">
        <f ca="1" xml:space="preserve">
VLOOKUP(
  $D1039,
  Name!$A:$B,
  2,
  FALSE
)
&amp; " " &amp;
IF($B1039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Gloria Negreiros Badu</v>
      </c>
      <c r="F1039" s="7">
        <v>2</v>
      </c>
      <c r="G1039" s="7" cm="1">
        <f t="array" aca="1" ref="G1039" ca="1">INDEX(States!$B:$B,RANDBETWEEN(2,COUNTA(States!$A:$A)),1)</f>
        <v>7</v>
      </c>
      <c r="H1039" s="7" t="str">
        <f ca="1">VLOOKUP($D1039,Name!$A:$C,3,FALSE)</f>
        <v>F</v>
      </c>
      <c r="I1039" s="7" cm="1">
        <f t="array" aca="1" ref="I1039" ca="1">INDEX('Marital status'!$A:$A,RANDBETWEEN(2,COUNTA('Marital status'!$A:$A)),1)</f>
        <v>6</v>
      </c>
      <c r="J1039" s="7">
        <f t="shared" ca="1" si="195"/>
        <v>2</v>
      </c>
      <c r="K1039" s="8">
        <f t="shared" ca="1" si="196"/>
        <v>32973</v>
      </c>
      <c r="L1039" s="6">
        <f t="shared" ca="1" si="197"/>
        <v>5</v>
      </c>
      <c r="M1039" s="7">
        <f ca="1" xml:space="preserve">
  IF(OR($N1039 = 2, $N1039 = 3, $N1039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039" s="6">
        <f t="shared" ca="1" si="198"/>
        <v>8</v>
      </c>
      <c r="O1039" s="6">
        <f t="shared" ca="1" si="199"/>
        <v>4</v>
      </c>
      <c r="P1039" s="8">
        <f t="shared" ca="1" si="200"/>
        <v>38311</v>
      </c>
      <c r="Q1039" s="6">
        <f ca="1">RANDBETWEEN(2,COUNTA('Recruitment source'!$A:$A))</f>
        <v>6</v>
      </c>
      <c r="R1039" s="8" t="e">
        <f t="shared" ca="1" si="201"/>
        <v>#N/A</v>
      </c>
      <c r="S1039" s="6" t="e">
        <f t="shared" ca="1" si="202"/>
        <v>#N/A</v>
      </c>
      <c r="T1039" s="6">
        <f t="shared" ca="1" si="192"/>
        <v>4</v>
      </c>
      <c r="U1039" s="1">
        <f t="shared" ca="1" si="203"/>
        <v>2000</v>
      </c>
    </row>
    <row r="1040" spans="1:21" x14ac:dyDescent="0.2">
      <c r="A1040" s="7" cm="1">
        <f t="array" aca="1" ref="A1040" ca="1">INDEX(Companies!$A:$A,RANDBETWEEN(2,COUNTA(Companies!$A:$A)),1)</f>
        <v>2</v>
      </c>
      <c r="B1040" s="5">
        <f t="shared" si="193"/>
        <v>1039</v>
      </c>
      <c r="C1040" s="6">
        <f t="shared" ca="1" si="194"/>
        <v>1</v>
      </c>
      <c r="D1040" s="7">
        <f ca="1">IF($B1040 = 1 + N("Presidente"),
    127,
    IF($B1040 = 2 + N("Vice-Presidente"),
        72,
        IF($B1040 = 3 + N("Secretária bilíngue"),
            13,
            RANDBETWEEN(5,COUNT(Name!$A:$A) + 1)
        )
    )
)</f>
        <v>7</v>
      </c>
      <c r="E1040" s="7" t="str">
        <f ca="1" xml:space="preserve">
VLOOKUP(
  $D1040,
  Name!$A:$B,
  2,
  FALSE
)
&amp; " " &amp;
IF($B1040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Adelaide Morais Carneiro</v>
      </c>
      <c r="F1040" s="7">
        <v>2</v>
      </c>
      <c r="G1040" s="7" cm="1">
        <f t="array" aca="1" ref="G1040" ca="1">INDEX(States!$B:$B,RANDBETWEEN(2,COUNTA(States!$A:$A)),1)</f>
        <v>14</v>
      </c>
      <c r="H1040" s="7" t="str">
        <f ca="1">VLOOKUP($D1040,Name!$A:$C,3,FALSE)</f>
        <v>F</v>
      </c>
      <c r="I1040" s="7" cm="1">
        <f t="array" aca="1" ref="I1040" ca="1">INDEX('Marital status'!$A:$A,RANDBETWEEN(2,COUNTA('Marital status'!$A:$A)),1)</f>
        <v>4</v>
      </c>
      <c r="J1040" s="7">
        <f t="shared" ca="1" si="195"/>
        <v>2</v>
      </c>
      <c r="K1040" s="8">
        <f t="shared" ca="1" si="196"/>
        <v>22458</v>
      </c>
      <c r="L1040" s="6">
        <f t="shared" ca="1" si="197"/>
        <v>4</v>
      </c>
      <c r="M1040" s="7">
        <f ca="1" xml:space="preserve">
  IF(OR($N1040 = 2, $N1040 = 3, $N1040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040" s="6">
        <f t="shared" ca="1" si="198"/>
        <v>6</v>
      </c>
      <c r="O1040" s="6" t="e">
        <f t="shared" ca="1" si="199"/>
        <v>#N/A</v>
      </c>
      <c r="P1040" s="8">
        <f t="shared" ca="1" si="200"/>
        <v>40605</v>
      </c>
      <c r="Q1040" s="6">
        <f ca="1">RANDBETWEEN(2,COUNTA('Recruitment source'!$A:$A))</f>
        <v>6</v>
      </c>
      <c r="R1040" s="8" t="e">
        <f t="shared" ca="1" si="201"/>
        <v>#N/A</v>
      </c>
      <c r="S1040" s="6" t="e">
        <f t="shared" ca="1" si="202"/>
        <v>#N/A</v>
      </c>
      <c r="T1040" s="6">
        <f t="shared" ca="1" si="192"/>
        <v>2</v>
      </c>
      <c r="U1040" s="1">
        <f t="shared" ca="1" si="203"/>
        <v>885</v>
      </c>
    </row>
    <row r="1041" spans="1:21" x14ac:dyDescent="0.2">
      <c r="A1041" s="7" cm="1">
        <f t="array" aca="1" ref="A1041" ca="1">INDEX(Companies!$A:$A,RANDBETWEEN(2,COUNTA(Companies!$A:$A)),1)</f>
        <v>2</v>
      </c>
      <c r="B1041" s="5">
        <f t="shared" si="193"/>
        <v>1040</v>
      </c>
      <c r="C1041" s="6">
        <f t="shared" ca="1" si="194"/>
        <v>1</v>
      </c>
      <c r="D1041" s="7">
        <f ca="1">IF($B1041 = 1 + N("Presidente"),
    127,
    IF($B1041 = 2 + N("Vice-Presidente"),
        72,
        IF($B1041 = 3 + N("Secretária bilíngue"),
            13,
            RANDBETWEEN(5,COUNT(Name!$A:$A) + 1)
        )
    )
)</f>
        <v>355</v>
      </c>
      <c r="E1041" s="7" t="str">
        <f ca="1" xml:space="preserve">
VLOOKUP(
  $D1041,
  Name!$A:$B,
  2,
  FALSE
)
&amp; " " &amp;
IF($B1041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Victor Hugo Gallo Cardozo</v>
      </c>
      <c r="F1041" s="7">
        <v>2</v>
      </c>
      <c r="G1041" s="7" cm="1">
        <f t="array" aca="1" ref="G1041" ca="1">INDEX(States!$B:$B,RANDBETWEEN(2,COUNTA(States!$A:$A)),1)</f>
        <v>12</v>
      </c>
      <c r="H1041" s="7" t="str">
        <f ca="1">VLOOKUP($D1041,Name!$A:$C,3,FALSE)</f>
        <v>M</v>
      </c>
      <c r="I1041" s="7" cm="1">
        <f t="array" aca="1" ref="I1041" ca="1">INDEX('Marital status'!$A:$A,RANDBETWEEN(2,COUNTA('Marital status'!$A:$A)),1)</f>
        <v>6</v>
      </c>
      <c r="J1041" s="7">
        <f t="shared" ca="1" si="195"/>
        <v>2</v>
      </c>
      <c r="K1041" s="8">
        <f t="shared" ca="1" si="196"/>
        <v>36352</v>
      </c>
      <c r="L1041" s="6">
        <f t="shared" ca="1" si="197"/>
        <v>4</v>
      </c>
      <c r="M1041" s="7">
        <f ca="1" xml:space="preserve">
  IF(OR($N1041 = 2, $N1041 = 3, $N1041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041" s="6">
        <f t="shared" ca="1" si="198"/>
        <v>8</v>
      </c>
      <c r="O1041" s="6">
        <f t="shared" ca="1" si="199"/>
        <v>4</v>
      </c>
      <c r="P1041" s="8">
        <f t="shared" ca="1" si="200"/>
        <v>44285</v>
      </c>
      <c r="Q1041" s="6">
        <f ca="1">RANDBETWEEN(2,COUNTA('Recruitment source'!$A:$A))</f>
        <v>2</v>
      </c>
      <c r="R1041" s="8" t="e">
        <f t="shared" ca="1" si="201"/>
        <v>#N/A</v>
      </c>
      <c r="S1041" s="6" t="e">
        <f t="shared" ca="1" si="202"/>
        <v>#N/A</v>
      </c>
      <c r="T1041" s="6">
        <f t="shared" ca="1" si="192"/>
        <v>4</v>
      </c>
      <c r="U1041" s="1">
        <f t="shared" ca="1" si="203"/>
        <v>2080</v>
      </c>
    </row>
    <row r="1042" spans="1:21" x14ac:dyDescent="0.2">
      <c r="A1042" s="7" cm="1">
        <f t="array" aca="1" ref="A1042" ca="1">INDEX(Companies!$A:$A,RANDBETWEEN(2,COUNTA(Companies!$A:$A)),1)</f>
        <v>2</v>
      </c>
      <c r="B1042" s="5">
        <f t="shared" si="193"/>
        <v>1041</v>
      </c>
      <c r="C1042" s="6">
        <f t="shared" ca="1" si="194"/>
        <v>1</v>
      </c>
      <c r="D1042" s="7">
        <f ca="1">IF($B1042 = 1 + N("Presidente"),
    127,
    IF($B1042 = 2 + N("Vice-Presidente"),
        72,
        IF($B1042 = 3 + N("Secretária bilíngue"),
            13,
            RANDBETWEEN(5,COUNT(Name!$A:$A) + 1)
        )
    )
)</f>
        <v>44</v>
      </c>
      <c r="E1042" s="7" t="str">
        <f ca="1" xml:space="preserve">
VLOOKUP(
  $D1042,
  Name!$A:$B,
  2,
  FALSE
)
&amp; " " &amp;
IF($B1042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Carolina Leone Aleluia</v>
      </c>
      <c r="F1042" s="7">
        <v>2</v>
      </c>
      <c r="G1042" s="7" cm="1">
        <f t="array" aca="1" ref="G1042" ca="1">INDEX(States!$B:$B,RANDBETWEEN(2,COUNTA(States!$A:$A)),1)</f>
        <v>16</v>
      </c>
      <c r="H1042" s="7" t="str">
        <f ca="1">VLOOKUP($D1042,Name!$A:$C,3,FALSE)</f>
        <v>F</v>
      </c>
      <c r="I1042" s="7" cm="1">
        <f t="array" aca="1" ref="I1042" ca="1">INDEX('Marital status'!$A:$A,RANDBETWEEN(2,COUNTA('Marital status'!$A:$A)),1)</f>
        <v>2</v>
      </c>
      <c r="J1042" s="7">
        <f t="shared" ca="1" si="195"/>
        <v>2</v>
      </c>
      <c r="K1042" s="8">
        <f t="shared" ca="1" si="196"/>
        <v>34186</v>
      </c>
      <c r="L1042" s="6">
        <f t="shared" ca="1" si="197"/>
        <v>4</v>
      </c>
      <c r="M1042" s="7">
        <f ca="1" xml:space="preserve">
  IF(OR($N1042 = 2, $N1042 = 3, $N1042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042" s="6">
        <f t="shared" ca="1" si="198"/>
        <v>7</v>
      </c>
      <c r="O1042" s="6" t="e">
        <f t="shared" ca="1" si="199"/>
        <v>#N/A</v>
      </c>
      <c r="P1042" s="8">
        <f t="shared" ca="1" si="200"/>
        <v>44025</v>
      </c>
      <c r="Q1042" s="6">
        <f ca="1">RANDBETWEEN(2,COUNTA('Recruitment source'!$A:$A))</f>
        <v>11</v>
      </c>
      <c r="R1042" s="8" t="e">
        <f t="shared" ca="1" si="201"/>
        <v>#N/A</v>
      </c>
      <c r="S1042" s="6" t="e">
        <f t="shared" ca="1" si="202"/>
        <v>#N/A</v>
      </c>
      <c r="T1042" s="6">
        <f t="shared" ca="1" si="192"/>
        <v>4</v>
      </c>
      <c r="U1042" s="1">
        <f t="shared" ca="1" si="203"/>
        <v>1005</v>
      </c>
    </row>
    <row r="1043" spans="1:21" x14ac:dyDescent="0.2">
      <c r="A1043" s="7" cm="1">
        <f t="array" aca="1" ref="A1043" ca="1">INDEX(Companies!$A:$A,RANDBETWEEN(2,COUNTA(Companies!$A:$A)),1)</f>
        <v>2</v>
      </c>
      <c r="B1043" s="5">
        <f t="shared" si="193"/>
        <v>1042</v>
      </c>
      <c r="C1043" s="6">
        <f t="shared" ca="1" si="194"/>
        <v>1</v>
      </c>
      <c r="D1043" s="7">
        <f ca="1">IF($B1043 = 1 + N("Presidente"),
    127,
    IF($B1043 = 2 + N("Vice-Presidente"),
        72,
        IF($B1043 = 3 + N("Secretária bilíngue"),
            13,
            RANDBETWEEN(5,COUNT(Name!$A:$A) + 1)
        )
    )
)</f>
        <v>82</v>
      </c>
      <c r="E1043" s="7" t="str">
        <f ca="1" xml:space="preserve">
VLOOKUP(
  $D1043,
  Name!$A:$B,
  2,
  FALSE
)
&amp; " " &amp;
IF($B1043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Caleb Rossi Duarte</v>
      </c>
      <c r="F1043" s="7">
        <v>2</v>
      </c>
      <c r="G1043" s="7" cm="1">
        <f t="array" aca="1" ref="G1043" ca="1">INDEX(States!$B:$B,RANDBETWEEN(2,COUNTA(States!$A:$A)),1)</f>
        <v>7</v>
      </c>
      <c r="H1043" s="7" t="str">
        <f ca="1">VLOOKUP($D1043,Name!$A:$C,3,FALSE)</f>
        <v>M</v>
      </c>
      <c r="I1043" s="7" cm="1">
        <f t="array" aca="1" ref="I1043" ca="1">INDEX('Marital status'!$A:$A,RANDBETWEEN(2,COUNTA('Marital status'!$A:$A)),1)</f>
        <v>5</v>
      </c>
      <c r="J1043" s="7">
        <f t="shared" ca="1" si="195"/>
        <v>3</v>
      </c>
      <c r="K1043" s="8">
        <f t="shared" ca="1" si="196"/>
        <v>34362</v>
      </c>
      <c r="L1043" s="6">
        <f t="shared" ca="1" si="197"/>
        <v>5</v>
      </c>
      <c r="M1043" s="7">
        <f ca="1" xml:space="preserve">
  IF(OR($N1043 = 2, $N1043 = 3, $N1043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043" s="6">
        <f t="shared" ca="1" si="198"/>
        <v>8</v>
      </c>
      <c r="O1043" s="6">
        <f t="shared" ca="1" si="199"/>
        <v>4</v>
      </c>
      <c r="P1043" s="8">
        <f t="shared" ca="1" si="200"/>
        <v>42550</v>
      </c>
      <c r="Q1043" s="6">
        <f ca="1">RANDBETWEEN(2,COUNTA('Recruitment source'!$A:$A))</f>
        <v>10</v>
      </c>
      <c r="R1043" s="8" t="e">
        <f t="shared" ca="1" si="201"/>
        <v>#N/A</v>
      </c>
      <c r="S1043" s="6" t="e">
        <f t="shared" ca="1" si="202"/>
        <v>#N/A</v>
      </c>
      <c r="T1043" s="6">
        <f t="shared" ca="1" si="192"/>
        <v>3</v>
      </c>
      <c r="U1043" s="1">
        <f t="shared" ca="1" si="203"/>
        <v>2000</v>
      </c>
    </row>
    <row r="1044" spans="1:21" x14ac:dyDescent="0.2">
      <c r="A1044" s="7" cm="1">
        <f t="array" aca="1" ref="A1044" ca="1">INDEX(Companies!$A:$A,RANDBETWEEN(2,COUNTA(Companies!$A:$A)),1)</f>
        <v>2</v>
      </c>
      <c r="B1044" s="5">
        <f t="shared" si="193"/>
        <v>1043</v>
      </c>
      <c r="C1044" s="6">
        <f t="shared" ca="1" si="194"/>
        <v>1</v>
      </c>
      <c r="D1044" s="7">
        <f ca="1">IF($B1044 = 1 + N("Presidente"),
    127,
    IF($B1044 = 2 + N("Vice-Presidente"),
        72,
        IF($B1044 = 3 + N("Secretária bilíngue"),
            13,
            RANDBETWEEN(5,COUNT(Name!$A:$A) + 1)
        )
    )
)</f>
        <v>27</v>
      </c>
      <c r="E1044" s="7" t="str">
        <f ca="1" xml:space="preserve">
VLOOKUP(
  $D1044,
  Name!$A:$B,
  2,
  FALSE
)
&amp; " " &amp;
IF($B1044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Carolina Freitas Costa</v>
      </c>
      <c r="F1044" s="7">
        <v>2</v>
      </c>
      <c r="G1044" s="7" cm="1">
        <f t="array" aca="1" ref="G1044" ca="1">INDEX(States!$B:$B,RANDBETWEEN(2,COUNTA(States!$A:$A)),1)</f>
        <v>21</v>
      </c>
      <c r="H1044" s="7" t="str">
        <f ca="1">VLOOKUP($D1044,Name!$A:$C,3,FALSE)</f>
        <v>F</v>
      </c>
      <c r="I1044" s="7" cm="1">
        <f t="array" aca="1" ref="I1044" ca="1">INDEX('Marital status'!$A:$A,RANDBETWEEN(2,COUNTA('Marital status'!$A:$A)),1)</f>
        <v>6</v>
      </c>
      <c r="J1044" s="7">
        <f t="shared" ca="1" si="195"/>
        <v>2</v>
      </c>
      <c r="K1044" s="8">
        <f t="shared" ca="1" si="196"/>
        <v>33866</v>
      </c>
      <c r="L1044" s="6">
        <f t="shared" ca="1" si="197"/>
        <v>4</v>
      </c>
      <c r="M1044" s="7">
        <f ca="1" xml:space="preserve">
  IF(OR($N1044 = 2, $N1044 = 3, $N1044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044" s="6">
        <f t="shared" ca="1" si="198"/>
        <v>7</v>
      </c>
      <c r="O1044" s="6" t="e">
        <f t="shared" ca="1" si="199"/>
        <v>#N/A</v>
      </c>
      <c r="P1044" s="8">
        <f t="shared" ca="1" si="200"/>
        <v>42180</v>
      </c>
      <c r="Q1044" s="6">
        <f ca="1">RANDBETWEEN(2,COUNTA('Recruitment source'!$A:$A))</f>
        <v>6</v>
      </c>
      <c r="R1044" s="8" t="e">
        <f t="shared" ca="1" si="201"/>
        <v>#N/A</v>
      </c>
      <c r="S1044" s="6" t="e">
        <f t="shared" ca="1" si="202"/>
        <v>#N/A</v>
      </c>
      <c r="T1044" s="6">
        <f t="shared" ca="1" si="192"/>
        <v>5</v>
      </c>
      <c r="U1044" s="1">
        <f t="shared" ca="1" si="203"/>
        <v>1005</v>
      </c>
    </row>
    <row r="1045" spans="1:21" x14ac:dyDescent="0.2">
      <c r="A1045" s="7" cm="1">
        <f t="array" aca="1" ref="A1045" ca="1">INDEX(Companies!$A:$A,RANDBETWEEN(2,COUNTA(Companies!$A:$A)),1)</f>
        <v>2</v>
      </c>
      <c r="B1045" s="5">
        <f t="shared" si="193"/>
        <v>1044</v>
      </c>
      <c r="C1045" s="6">
        <f t="shared" ca="1" si="194"/>
        <v>1</v>
      </c>
      <c r="D1045" s="7">
        <f ca="1">IF($B1045 = 1 + N("Presidente"),
    127,
    IF($B1045 = 2 + N("Vice-Presidente"),
        72,
        IF($B1045 = 3 + N("Secretária bilíngue"),
            13,
            RANDBETWEEN(5,COUNT(Name!$A:$A) + 1)
        )
    )
)</f>
        <v>195</v>
      </c>
      <c r="E1045" s="7" t="str">
        <f ca="1" xml:space="preserve">
VLOOKUP(
  $D1045,
  Name!$A:$B,
  2,
  FALSE
)
&amp; " " &amp;
IF($B1045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Joaquim Vaz Alves</v>
      </c>
      <c r="F1045" s="7">
        <v>2</v>
      </c>
      <c r="G1045" s="7" cm="1">
        <f t="array" aca="1" ref="G1045" ca="1">INDEX(States!$B:$B,RANDBETWEEN(2,COUNTA(States!$A:$A)),1)</f>
        <v>7</v>
      </c>
      <c r="H1045" s="7" t="str">
        <f ca="1">VLOOKUP($D1045,Name!$A:$C,3,FALSE)</f>
        <v>M</v>
      </c>
      <c r="I1045" s="7" cm="1">
        <f t="array" aca="1" ref="I1045" ca="1">INDEX('Marital status'!$A:$A,RANDBETWEEN(2,COUNTA('Marital status'!$A:$A)),1)</f>
        <v>2</v>
      </c>
      <c r="J1045" s="7">
        <f t="shared" ca="1" si="195"/>
        <v>5</v>
      </c>
      <c r="K1045" s="8">
        <f t="shared" ca="1" si="196"/>
        <v>33985</v>
      </c>
      <c r="L1045" s="6">
        <f t="shared" ca="1" si="197"/>
        <v>4</v>
      </c>
      <c r="M1045" s="7">
        <f ca="1" xml:space="preserve">
  IF(OR($N1045 = 2, $N1045 = 3, $N1045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045" s="6">
        <f t="shared" ca="1" si="198"/>
        <v>8</v>
      </c>
      <c r="O1045" s="6">
        <f t="shared" ca="1" si="199"/>
        <v>4</v>
      </c>
      <c r="P1045" s="8">
        <f t="shared" ca="1" si="200"/>
        <v>43222</v>
      </c>
      <c r="Q1045" s="6">
        <f ca="1">RANDBETWEEN(2,COUNTA('Recruitment source'!$A:$A))</f>
        <v>10</v>
      </c>
      <c r="R1045" s="8" t="e">
        <f t="shared" ca="1" si="201"/>
        <v>#N/A</v>
      </c>
      <c r="S1045" s="6" t="e">
        <f t="shared" ca="1" si="202"/>
        <v>#N/A</v>
      </c>
      <c r="T1045" s="6">
        <f t="shared" ca="1" si="192"/>
        <v>2</v>
      </c>
      <c r="U1045" s="1">
        <f t="shared" ca="1" si="203"/>
        <v>2000</v>
      </c>
    </row>
    <row r="1046" spans="1:21" x14ac:dyDescent="0.2">
      <c r="A1046" s="7" cm="1">
        <f t="array" aca="1" ref="A1046" ca="1">INDEX(Companies!$A:$A,RANDBETWEEN(2,COUNTA(Companies!$A:$A)),1)</f>
        <v>2</v>
      </c>
      <c r="B1046" s="5">
        <f t="shared" si="193"/>
        <v>1045</v>
      </c>
      <c r="C1046" s="6">
        <f t="shared" ca="1" si="194"/>
        <v>1</v>
      </c>
      <c r="D1046" s="7">
        <f ca="1">IF($B1046 = 1 + N("Presidente"),
    127,
    IF($B1046 = 2 + N("Vice-Presidente"),
        72,
        IF($B1046 = 3 + N("Secretária bilíngue"),
            13,
            RANDBETWEEN(5,COUNT(Name!$A:$A) + 1)
        )
    )
)</f>
        <v>94</v>
      </c>
      <c r="E1046" s="7" t="str">
        <f ca="1" xml:space="preserve">
VLOOKUP(
  $D1046,
  Name!$A:$B,
  2,
  FALSE
)
&amp; " " &amp;
IF($B1046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Clara Aragão Barros</v>
      </c>
      <c r="F1046" s="7">
        <v>2</v>
      </c>
      <c r="G1046" s="7" cm="1">
        <f t="array" aca="1" ref="G1046" ca="1">INDEX(States!$B:$B,RANDBETWEEN(2,COUNTA(States!$A:$A)),1)</f>
        <v>21</v>
      </c>
      <c r="H1046" s="7" t="str">
        <f ca="1">VLOOKUP($D1046,Name!$A:$C,3,FALSE)</f>
        <v>F</v>
      </c>
      <c r="I1046" s="7" cm="1">
        <f t="array" aca="1" ref="I1046" ca="1">INDEX('Marital status'!$A:$A,RANDBETWEEN(2,COUNTA('Marital status'!$A:$A)),1)</f>
        <v>2</v>
      </c>
      <c r="J1046" s="7">
        <f t="shared" ca="1" si="195"/>
        <v>2</v>
      </c>
      <c r="K1046" s="8">
        <f t="shared" ca="1" si="196"/>
        <v>29444</v>
      </c>
      <c r="L1046" s="6">
        <f t="shared" ca="1" si="197"/>
        <v>4</v>
      </c>
      <c r="M1046" s="7">
        <f ca="1" xml:space="preserve">
  IF(OR($N1046 = 2, $N1046 = 3, $N1046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046" s="6">
        <f t="shared" ca="1" si="198"/>
        <v>7</v>
      </c>
      <c r="O1046" s="6" t="e">
        <f t="shared" ca="1" si="199"/>
        <v>#N/A</v>
      </c>
      <c r="P1046" s="8">
        <f t="shared" ca="1" si="200"/>
        <v>42449</v>
      </c>
      <c r="Q1046" s="6">
        <f ca="1">RANDBETWEEN(2,COUNTA('Recruitment source'!$A:$A))</f>
        <v>7</v>
      </c>
      <c r="R1046" s="8" t="e">
        <f t="shared" ca="1" si="201"/>
        <v>#N/A</v>
      </c>
      <c r="S1046" s="6" t="e">
        <f t="shared" ca="1" si="202"/>
        <v>#N/A</v>
      </c>
      <c r="T1046" s="6">
        <f t="shared" ca="1" si="192"/>
        <v>4</v>
      </c>
      <c r="U1046" s="1">
        <f t="shared" ca="1" si="203"/>
        <v>1005</v>
      </c>
    </row>
    <row r="1047" spans="1:21" x14ac:dyDescent="0.2">
      <c r="A1047" s="7" cm="1">
        <f t="array" aca="1" ref="A1047" ca="1">INDEX(Companies!$A:$A,RANDBETWEEN(2,COUNTA(Companies!$A:$A)),1)</f>
        <v>2</v>
      </c>
      <c r="B1047" s="5">
        <f t="shared" si="193"/>
        <v>1046</v>
      </c>
      <c r="C1047" s="6">
        <f t="shared" ca="1" si="194"/>
        <v>1</v>
      </c>
      <c r="D1047" s="7">
        <f ca="1">IF($B1047 = 1 + N("Presidente"),
    127,
    IF($B1047 = 2 + N("Vice-Presidente"),
        72,
        IF($B1047 = 3 + N("Secretária bilíngue"),
            13,
            RANDBETWEEN(5,COUNT(Name!$A:$A) + 1)
        )
    )
)</f>
        <v>63</v>
      </c>
      <c r="E1047" s="7" t="str">
        <f ca="1" xml:space="preserve">
VLOOKUP(
  $D1047,
  Name!$A:$B,
  2,
  FALSE
)
&amp; " " &amp;
IF($B1047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Aurorah De Luca Gomes</v>
      </c>
      <c r="F1047" s="7">
        <v>2</v>
      </c>
      <c r="G1047" s="7" cm="1">
        <f t="array" aca="1" ref="G1047" ca="1">INDEX(States!$B:$B,RANDBETWEEN(2,COUNTA(States!$A:$A)),1)</f>
        <v>17</v>
      </c>
      <c r="H1047" s="7" t="str">
        <f ca="1">VLOOKUP($D1047,Name!$A:$C,3,FALSE)</f>
        <v>F</v>
      </c>
      <c r="I1047" s="7" cm="1">
        <f t="array" aca="1" ref="I1047" ca="1">INDEX('Marital status'!$A:$A,RANDBETWEEN(2,COUNTA('Marital status'!$A:$A)),1)</f>
        <v>2</v>
      </c>
      <c r="J1047" s="7">
        <f t="shared" ca="1" si="195"/>
        <v>2</v>
      </c>
      <c r="K1047" s="8">
        <f t="shared" ca="1" si="196"/>
        <v>35626</v>
      </c>
      <c r="L1047" s="6">
        <f t="shared" ca="1" si="197"/>
        <v>5</v>
      </c>
      <c r="M1047" s="7">
        <f ca="1" xml:space="preserve">
  IF(OR($N1047 = 2, $N1047 = 3, $N1047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047" s="6">
        <f t="shared" ca="1" si="198"/>
        <v>8</v>
      </c>
      <c r="O1047" s="6">
        <f t="shared" ca="1" si="199"/>
        <v>2</v>
      </c>
      <c r="P1047" s="8">
        <f t="shared" ca="1" si="200"/>
        <v>40660</v>
      </c>
      <c r="Q1047" s="6">
        <f ca="1">RANDBETWEEN(2,COUNTA('Recruitment source'!$A:$A))</f>
        <v>4</v>
      </c>
      <c r="R1047" s="8" t="e">
        <f t="shared" ca="1" si="201"/>
        <v>#N/A</v>
      </c>
      <c r="S1047" s="6" t="e">
        <f t="shared" ca="1" si="202"/>
        <v>#N/A</v>
      </c>
      <c r="T1047" s="6">
        <f t="shared" ca="1" si="192"/>
        <v>2</v>
      </c>
      <c r="U1047" s="1">
        <f t="shared" ca="1" si="203"/>
        <v>2080</v>
      </c>
    </row>
    <row r="1048" spans="1:21" x14ac:dyDescent="0.2">
      <c r="A1048" s="7" cm="1">
        <f t="array" aca="1" ref="A1048" ca="1">INDEX(Companies!$A:$A,RANDBETWEEN(2,COUNTA(Companies!$A:$A)),1)</f>
        <v>2</v>
      </c>
      <c r="B1048" s="5">
        <f t="shared" si="193"/>
        <v>1047</v>
      </c>
      <c r="C1048" s="6">
        <f t="shared" ca="1" si="194"/>
        <v>1</v>
      </c>
      <c r="D1048" s="7">
        <f ca="1">IF($B1048 = 1 + N("Presidente"),
    127,
    IF($B1048 = 2 + N("Vice-Presidente"),
        72,
        IF($B1048 = 3 + N("Secretária bilíngue"),
            13,
            RANDBETWEEN(5,COUNT(Name!$A:$A) + 1)
        )
    )
)</f>
        <v>162</v>
      </c>
      <c r="E1048" s="7" t="str">
        <f ca="1" xml:space="preserve">
VLOOKUP(
  $D1048,
  Name!$A:$B,
  2,
  FALSE
)
&amp; " " &amp;
IF($B1048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Helena Ramos Fontana</v>
      </c>
      <c r="F1048" s="7">
        <v>2</v>
      </c>
      <c r="G1048" s="7" cm="1">
        <f t="array" aca="1" ref="G1048" ca="1">INDEX(States!$B:$B,RANDBETWEEN(2,COUNTA(States!$A:$A)),1)</f>
        <v>8</v>
      </c>
      <c r="H1048" s="7" t="str">
        <f ca="1">VLOOKUP($D1048,Name!$A:$C,3,FALSE)</f>
        <v>F</v>
      </c>
      <c r="I1048" s="7" cm="1">
        <f t="array" aca="1" ref="I1048" ca="1">INDEX('Marital status'!$A:$A,RANDBETWEEN(2,COUNTA('Marital status'!$A:$A)),1)</f>
        <v>3</v>
      </c>
      <c r="J1048" s="7">
        <f t="shared" ca="1" si="195"/>
        <v>2</v>
      </c>
      <c r="K1048" s="8">
        <f t="shared" ca="1" si="196"/>
        <v>32722</v>
      </c>
      <c r="L1048" s="6">
        <f t="shared" ca="1" si="197"/>
        <v>4</v>
      </c>
      <c r="M1048" s="7">
        <f ca="1" xml:space="preserve">
  IF(OR($N1048 = 2, $N1048 = 3, $N1048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048" s="6">
        <f t="shared" ca="1" si="198"/>
        <v>7</v>
      </c>
      <c r="O1048" s="6" t="e">
        <f t="shared" ca="1" si="199"/>
        <v>#N/A</v>
      </c>
      <c r="P1048" s="8">
        <f t="shared" ca="1" si="200"/>
        <v>41861</v>
      </c>
      <c r="Q1048" s="6">
        <f ca="1">RANDBETWEEN(2,COUNTA('Recruitment source'!$A:$A))</f>
        <v>7</v>
      </c>
      <c r="R1048" s="8" t="e">
        <f t="shared" ca="1" si="201"/>
        <v>#N/A</v>
      </c>
      <c r="S1048" s="6" t="e">
        <f t="shared" ca="1" si="202"/>
        <v>#N/A</v>
      </c>
      <c r="T1048" s="6">
        <f t="shared" ca="1" si="192"/>
        <v>2</v>
      </c>
      <c r="U1048" s="1">
        <f t="shared" ca="1" si="203"/>
        <v>1005</v>
      </c>
    </row>
    <row r="1049" spans="1:21" x14ac:dyDescent="0.2">
      <c r="A1049" s="7" cm="1">
        <f t="array" aca="1" ref="A1049" ca="1">INDEX(Companies!$A:$A,RANDBETWEEN(2,COUNTA(Companies!$A:$A)),1)</f>
        <v>2</v>
      </c>
      <c r="B1049" s="5">
        <f t="shared" si="193"/>
        <v>1048</v>
      </c>
      <c r="C1049" s="6">
        <f t="shared" ca="1" si="194"/>
        <v>1</v>
      </c>
      <c r="D1049" s="7">
        <f ca="1">IF($B1049 = 1 + N("Presidente"),
    127,
    IF($B1049 = 2 + N("Vice-Presidente"),
        72,
        IF($B1049 = 3 + N("Secretária bilíngue"),
            13,
            RANDBETWEEN(5,COUNT(Name!$A:$A) + 1)
        )
    )
)</f>
        <v>270</v>
      </c>
      <c r="E1049" s="7" t="str">
        <f ca="1" xml:space="preserve">
VLOOKUP(
  $D1049,
  Name!$A:$B,
  2,
  FALSE
)
&amp; " " &amp;
IF($B1049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Laura Dias Barros</v>
      </c>
      <c r="F1049" s="7">
        <v>2</v>
      </c>
      <c r="G1049" s="7" cm="1">
        <f t="array" aca="1" ref="G1049" ca="1">INDEX(States!$B:$B,RANDBETWEEN(2,COUNTA(States!$A:$A)),1)</f>
        <v>4</v>
      </c>
      <c r="H1049" s="7" t="str">
        <f ca="1">VLOOKUP($D1049,Name!$A:$C,3,FALSE)</f>
        <v>F</v>
      </c>
      <c r="I1049" s="7" cm="1">
        <f t="array" aca="1" ref="I1049" ca="1">INDEX('Marital status'!$A:$A,RANDBETWEEN(2,COUNTA('Marital status'!$A:$A)),1)</f>
        <v>4</v>
      </c>
      <c r="J1049" s="7">
        <f t="shared" ca="1" si="195"/>
        <v>2</v>
      </c>
      <c r="K1049" s="8">
        <f t="shared" ca="1" si="196"/>
        <v>32711</v>
      </c>
      <c r="L1049" s="6">
        <f t="shared" ca="1" si="197"/>
        <v>4</v>
      </c>
      <c r="M1049" s="7">
        <f ca="1" xml:space="preserve">
  IF(OR($N1049 = 2, $N1049 = 3, $N1049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049" s="6">
        <f t="shared" ca="1" si="198"/>
        <v>8</v>
      </c>
      <c r="O1049" s="6">
        <f t="shared" ca="1" si="199"/>
        <v>4</v>
      </c>
      <c r="P1049" s="8">
        <f t="shared" ca="1" si="200"/>
        <v>38912</v>
      </c>
      <c r="Q1049" s="6">
        <f ca="1">RANDBETWEEN(2,COUNTA('Recruitment source'!$A:$A))</f>
        <v>2</v>
      </c>
      <c r="R1049" s="8" t="e">
        <f t="shared" ca="1" si="201"/>
        <v>#N/A</v>
      </c>
      <c r="S1049" s="6" t="e">
        <f t="shared" ca="1" si="202"/>
        <v>#N/A</v>
      </c>
      <c r="T1049" s="6">
        <f t="shared" ca="1" si="192"/>
        <v>3</v>
      </c>
      <c r="U1049" s="1">
        <f t="shared" ca="1" si="203"/>
        <v>2000</v>
      </c>
    </row>
    <row r="1050" spans="1:21" x14ac:dyDescent="0.2">
      <c r="A1050" s="7" cm="1">
        <f t="array" aca="1" ref="A1050" ca="1">INDEX(Companies!$A:$A,RANDBETWEEN(2,COUNTA(Companies!$A:$A)),1)</f>
        <v>2</v>
      </c>
      <c r="B1050" s="5">
        <f t="shared" si="193"/>
        <v>1049</v>
      </c>
      <c r="C1050" s="6">
        <f t="shared" ca="1" si="194"/>
        <v>1</v>
      </c>
      <c r="D1050" s="7">
        <f ca="1">IF($B1050 = 1 + N("Presidente"),
    127,
    IF($B1050 = 2 + N("Vice-Presidente"),
        72,
        IF($B1050 = 3 + N("Secretária bilíngue"),
            13,
            RANDBETWEEN(5,COUNT(Name!$A:$A) + 1)
        )
    )
)</f>
        <v>283</v>
      </c>
      <c r="E1050" s="7" t="str">
        <f ca="1" xml:space="preserve">
VLOOKUP(
  $D1050,
  Name!$A:$B,
  2,
  FALSE
)
&amp; " " &amp;
IF($B1050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Marta Zil Camargo</v>
      </c>
      <c r="F1050" s="7">
        <v>2</v>
      </c>
      <c r="G1050" s="7" cm="1">
        <f t="array" aca="1" ref="G1050" ca="1">INDEX(States!$B:$B,RANDBETWEEN(2,COUNTA(States!$A:$A)),1)</f>
        <v>16</v>
      </c>
      <c r="H1050" s="7" t="str">
        <f ca="1">VLOOKUP($D1050,Name!$A:$C,3,FALSE)</f>
        <v>F</v>
      </c>
      <c r="I1050" s="7" cm="1">
        <f t="array" aca="1" ref="I1050" ca="1">INDEX('Marital status'!$A:$A,RANDBETWEEN(2,COUNTA('Marital status'!$A:$A)),1)</f>
        <v>2</v>
      </c>
      <c r="J1050" s="7">
        <f t="shared" ca="1" si="195"/>
        <v>3</v>
      </c>
      <c r="K1050" s="8">
        <f t="shared" ca="1" si="196"/>
        <v>30036</v>
      </c>
      <c r="L1050" s="6">
        <f t="shared" ca="1" si="197"/>
        <v>4</v>
      </c>
      <c r="M1050" s="7">
        <f ca="1" xml:space="preserve">
  IF(OR($N1050 = 2, $N1050 = 3, $N1050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050" s="6">
        <f t="shared" ca="1" si="198"/>
        <v>6</v>
      </c>
      <c r="O1050" s="6" t="e">
        <f t="shared" ca="1" si="199"/>
        <v>#N/A</v>
      </c>
      <c r="P1050" s="8">
        <f t="shared" ca="1" si="200"/>
        <v>38051</v>
      </c>
      <c r="Q1050" s="6">
        <f ca="1">RANDBETWEEN(2,COUNTA('Recruitment source'!$A:$A))</f>
        <v>7</v>
      </c>
      <c r="R1050" s="8" t="e">
        <f t="shared" ca="1" si="201"/>
        <v>#N/A</v>
      </c>
      <c r="S1050" s="6" t="e">
        <f t="shared" ca="1" si="202"/>
        <v>#N/A</v>
      </c>
      <c r="T1050" s="6">
        <f t="shared" ca="1" si="192"/>
        <v>3</v>
      </c>
      <c r="U1050" s="1">
        <f t="shared" ca="1" si="203"/>
        <v>805</v>
      </c>
    </row>
    <row r="1051" spans="1:21" x14ac:dyDescent="0.2">
      <c r="A1051" s="7" cm="1">
        <f t="array" aca="1" ref="A1051" ca="1">INDEX(Companies!$A:$A,RANDBETWEEN(2,COUNTA(Companies!$A:$A)),1)</f>
        <v>2</v>
      </c>
      <c r="B1051" s="5">
        <f t="shared" si="193"/>
        <v>1050</v>
      </c>
      <c r="C1051" s="6">
        <f t="shared" ca="1" si="194"/>
        <v>1</v>
      </c>
      <c r="D1051" s="7">
        <f ca="1">IF($B1051 = 1 + N("Presidente"),
    127,
    IF($B1051 = 2 + N("Vice-Presidente"),
        72,
        IF($B1051 = 3 + N("Secretária bilíngue"),
            13,
            RANDBETWEEN(5,COUNT(Name!$A:$A) + 1)
        )
    )
)</f>
        <v>135</v>
      </c>
      <c r="E1051" s="7" t="str">
        <f ca="1" xml:space="preserve">
VLOOKUP(
  $D1051,
  Name!$A:$B,
  2,
  FALSE
)
&amp; " " &amp;
IF($B1051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Felipe Camacho Alvim</v>
      </c>
      <c r="F1051" s="7">
        <v>2</v>
      </c>
      <c r="G1051" s="7" cm="1">
        <f t="array" aca="1" ref="G1051" ca="1">INDEX(States!$B:$B,RANDBETWEEN(2,COUNTA(States!$A:$A)),1)</f>
        <v>16</v>
      </c>
      <c r="H1051" s="7" t="str">
        <f ca="1">VLOOKUP($D1051,Name!$A:$C,3,FALSE)</f>
        <v>M</v>
      </c>
      <c r="I1051" s="7" cm="1">
        <f t="array" aca="1" ref="I1051" ca="1">INDEX('Marital status'!$A:$A,RANDBETWEEN(2,COUNTA('Marital status'!$A:$A)),1)</f>
        <v>2</v>
      </c>
      <c r="J1051" s="7">
        <f t="shared" ca="1" si="195"/>
        <v>2</v>
      </c>
      <c r="K1051" s="8">
        <f t="shared" ca="1" si="196"/>
        <v>36204</v>
      </c>
      <c r="L1051" s="6">
        <f t="shared" ca="1" si="197"/>
        <v>4</v>
      </c>
      <c r="M1051" s="7">
        <f ca="1" xml:space="preserve">
  IF(OR($N1051 = 2, $N1051 = 3, $N1051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051" s="6">
        <f t="shared" ca="1" si="198"/>
        <v>8</v>
      </c>
      <c r="O1051" s="6">
        <f t="shared" ca="1" si="199"/>
        <v>4</v>
      </c>
      <c r="P1051" s="8">
        <f t="shared" ca="1" si="200"/>
        <v>41613</v>
      </c>
      <c r="Q1051" s="6">
        <f ca="1">RANDBETWEEN(2,COUNTA('Recruitment source'!$A:$A))</f>
        <v>2</v>
      </c>
      <c r="R1051" s="8" t="e">
        <f t="shared" ca="1" si="201"/>
        <v>#N/A</v>
      </c>
      <c r="S1051" s="6" t="e">
        <f t="shared" ca="1" si="202"/>
        <v>#N/A</v>
      </c>
      <c r="T1051" s="6">
        <f t="shared" ca="1" si="192"/>
        <v>5</v>
      </c>
      <c r="U1051" s="1">
        <f t="shared" ca="1" si="203"/>
        <v>2000</v>
      </c>
    </row>
    <row r="1052" spans="1:21" x14ac:dyDescent="0.2">
      <c r="A1052" s="7" cm="1">
        <f t="array" aca="1" ref="A1052" ca="1">INDEX(Companies!$A:$A,RANDBETWEEN(2,COUNTA(Companies!$A:$A)),1)</f>
        <v>2</v>
      </c>
      <c r="B1052" s="5">
        <f t="shared" si="193"/>
        <v>1051</v>
      </c>
      <c r="C1052" s="6">
        <f t="shared" ca="1" si="194"/>
        <v>1</v>
      </c>
      <c r="D1052" s="7">
        <f ca="1">IF($B1052 = 1 + N("Presidente"),
    127,
    IF($B1052 = 2 + N("Vice-Presidente"),
        72,
        IF($B1052 = 3 + N("Secretária bilíngue"),
            13,
            RANDBETWEEN(5,COUNT(Name!$A:$A) + 1)
        )
    )
)</f>
        <v>82</v>
      </c>
      <c r="E1052" s="7" t="str">
        <f ca="1" xml:space="preserve">
VLOOKUP(
  $D1052,
  Name!$A:$B,
  2,
  FALSE
)
&amp; " " &amp;
IF($B1052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Caleb Junqueira Colombo</v>
      </c>
      <c r="F1052" s="7">
        <v>2</v>
      </c>
      <c r="G1052" s="7" cm="1">
        <f t="array" aca="1" ref="G1052" ca="1">INDEX(States!$B:$B,RANDBETWEEN(2,COUNTA(States!$A:$A)),1)</f>
        <v>5</v>
      </c>
      <c r="H1052" s="7" t="str">
        <f ca="1">VLOOKUP($D1052,Name!$A:$C,3,FALSE)</f>
        <v>M</v>
      </c>
      <c r="I1052" s="7" cm="1">
        <f t="array" aca="1" ref="I1052" ca="1">INDEX('Marital status'!$A:$A,RANDBETWEEN(2,COUNTA('Marital status'!$A:$A)),1)</f>
        <v>3</v>
      </c>
      <c r="J1052" s="7">
        <f t="shared" ca="1" si="195"/>
        <v>2</v>
      </c>
      <c r="K1052" s="8">
        <f t="shared" ca="1" si="196"/>
        <v>31343</v>
      </c>
      <c r="L1052" s="6">
        <f t="shared" ca="1" si="197"/>
        <v>4</v>
      </c>
      <c r="M1052" s="7">
        <f ca="1" xml:space="preserve">
  IF(OR($N1052 = 2, $N1052 = 3, $N1052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052" s="6">
        <f t="shared" ca="1" si="198"/>
        <v>7</v>
      </c>
      <c r="O1052" s="6" t="e">
        <f t="shared" ca="1" si="199"/>
        <v>#N/A</v>
      </c>
      <c r="P1052" s="8">
        <f t="shared" ca="1" si="200"/>
        <v>36626</v>
      </c>
      <c r="Q1052" s="6">
        <f ca="1">RANDBETWEEN(2,COUNTA('Recruitment source'!$A:$A))</f>
        <v>4</v>
      </c>
      <c r="R1052" s="8" t="e">
        <f t="shared" ca="1" si="201"/>
        <v>#N/A</v>
      </c>
      <c r="S1052" s="6" t="e">
        <f t="shared" ca="1" si="202"/>
        <v>#N/A</v>
      </c>
      <c r="T1052" s="6">
        <f t="shared" ca="1" si="192"/>
        <v>5</v>
      </c>
      <c r="U1052" s="1">
        <f t="shared" ca="1" si="203"/>
        <v>1085</v>
      </c>
    </row>
    <row r="1053" spans="1:21" x14ac:dyDescent="0.2">
      <c r="A1053" s="7" cm="1">
        <f t="array" aca="1" ref="A1053" ca="1">INDEX(Companies!$A:$A,RANDBETWEEN(2,COUNTA(Companies!$A:$A)),1)</f>
        <v>2</v>
      </c>
      <c r="B1053" s="5">
        <f t="shared" si="193"/>
        <v>1052</v>
      </c>
      <c r="C1053" s="6">
        <f t="shared" ca="1" si="194"/>
        <v>1</v>
      </c>
      <c r="D1053" s="7">
        <f ca="1">IF($B1053 = 1 + N("Presidente"),
    127,
    IF($B1053 = 2 + N("Vice-Presidente"),
        72,
        IF($B1053 = 3 + N("Secretária bilíngue"),
            13,
            RANDBETWEEN(5,COUNT(Name!$A:$A) + 1)
        )
    )
)</f>
        <v>252</v>
      </c>
      <c r="E1053" s="7" t="str">
        <f ca="1" xml:space="preserve">
VLOOKUP(
  $D1053,
  Name!$A:$B,
  2,
  FALSE
)
&amp; " " &amp;
IF($B1053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Malco Brasão Anunciação</v>
      </c>
      <c r="F1053" s="7">
        <v>2</v>
      </c>
      <c r="G1053" s="7" cm="1">
        <f t="array" aca="1" ref="G1053" ca="1">INDEX(States!$B:$B,RANDBETWEEN(2,COUNTA(States!$A:$A)),1)</f>
        <v>20</v>
      </c>
      <c r="H1053" s="7" t="str">
        <f ca="1">VLOOKUP($D1053,Name!$A:$C,3,FALSE)</f>
        <v>M</v>
      </c>
      <c r="I1053" s="7" cm="1">
        <f t="array" aca="1" ref="I1053" ca="1">INDEX('Marital status'!$A:$A,RANDBETWEEN(2,COUNTA('Marital status'!$A:$A)),1)</f>
        <v>4</v>
      </c>
      <c r="J1053" s="7">
        <f t="shared" ca="1" si="195"/>
        <v>2</v>
      </c>
      <c r="K1053" s="8">
        <f t="shared" ca="1" si="196"/>
        <v>35018</v>
      </c>
      <c r="L1053" s="6">
        <f t="shared" ca="1" si="197"/>
        <v>5</v>
      </c>
      <c r="M1053" s="7">
        <f ca="1" xml:space="preserve">
  IF(OR($N1053 = 2, $N1053 = 3, $N1053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053" s="6">
        <f t="shared" ca="1" si="198"/>
        <v>8</v>
      </c>
      <c r="O1053" s="6">
        <f t="shared" ca="1" si="199"/>
        <v>3</v>
      </c>
      <c r="P1053" s="8">
        <f t="shared" ca="1" si="200"/>
        <v>40972</v>
      </c>
      <c r="Q1053" s="6">
        <f ca="1">RANDBETWEEN(2,COUNTA('Recruitment source'!$A:$A))</f>
        <v>4</v>
      </c>
      <c r="R1053" s="8" t="e">
        <f t="shared" ca="1" si="201"/>
        <v>#N/A</v>
      </c>
      <c r="S1053" s="6" t="e">
        <f t="shared" ca="1" si="202"/>
        <v>#N/A</v>
      </c>
      <c r="T1053" s="6">
        <f t="shared" ca="1" si="192"/>
        <v>5</v>
      </c>
      <c r="U1053" s="1">
        <f t="shared" ca="1" si="203"/>
        <v>2080</v>
      </c>
    </row>
    <row r="1054" spans="1:21" x14ac:dyDescent="0.2">
      <c r="A1054" s="7" cm="1">
        <f t="array" aca="1" ref="A1054" ca="1">INDEX(Companies!$A:$A,RANDBETWEEN(2,COUNTA(Companies!$A:$A)),1)</f>
        <v>2</v>
      </c>
      <c r="B1054" s="5">
        <f t="shared" si="193"/>
        <v>1053</v>
      </c>
      <c r="C1054" s="6">
        <f t="shared" ca="1" si="194"/>
        <v>1</v>
      </c>
      <c r="D1054" s="7">
        <f ca="1">IF($B1054 = 1 + N("Presidente"),
    127,
    IF($B1054 = 2 + N("Vice-Presidente"),
        72,
        IF($B1054 = 3 + N("Secretária bilíngue"),
            13,
            RANDBETWEEN(5,COUNT(Name!$A:$A) + 1)
        )
    )
)</f>
        <v>104</v>
      </c>
      <c r="E1054" s="7" t="str">
        <f ca="1" xml:space="preserve">
VLOOKUP(
  $D1054,
  Name!$A:$B,
  2,
  FALSE
)
&amp; " " &amp;
IF($B1054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Danylo Oliveira Luz</v>
      </c>
      <c r="F1054" s="7">
        <v>2</v>
      </c>
      <c r="G1054" s="7" cm="1">
        <f t="array" aca="1" ref="G1054" ca="1">INDEX(States!$B:$B,RANDBETWEEN(2,COUNTA(States!$A:$A)),1)</f>
        <v>8</v>
      </c>
      <c r="H1054" s="7" t="str">
        <f ca="1">VLOOKUP($D1054,Name!$A:$C,3,FALSE)</f>
        <v>M</v>
      </c>
      <c r="I1054" s="7" cm="1">
        <f t="array" aca="1" ref="I1054" ca="1">INDEX('Marital status'!$A:$A,RANDBETWEEN(2,COUNTA('Marital status'!$A:$A)),1)</f>
        <v>2</v>
      </c>
      <c r="J1054" s="7">
        <f t="shared" ca="1" si="195"/>
        <v>2</v>
      </c>
      <c r="K1054" s="8">
        <f t="shared" ca="1" si="196"/>
        <v>23943</v>
      </c>
      <c r="L1054" s="6">
        <f t="shared" ca="1" si="197"/>
        <v>4</v>
      </c>
      <c r="M1054" s="7">
        <f ca="1" xml:space="preserve">
  IF(OR($N1054 = 2, $N1054 = 3, $N1054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054" s="6">
        <f t="shared" ca="1" si="198"/>
        <v>6</v>
      </c>
      <c r="O1054" s="6" t="e">
        <f t="shared" ca="1" si="199"/>
        <v>#N/A</v>
      </c>
      <c r="P1054" s="8">
        <f t="shared" ca="1" si="200"/>
        <v>44490</v>
      </c>
      <c r="Q1054" s="6">
        <f ca="1">RANDBETWEEN(2,COUNTA('Recruitment source'!$A:$A))</f>
        <v>8</v>
      </c>
      <c r="R1054" s="8" t="e">
        <f t="shared" ca="1" si="201"/>
        <v>#N/A</v>
      </c>
      <c r="S1054" s="6" t="e">
        <f t="shared" ca="1" si="202"/>
        <v>#N/A</v>
      </c>
      <c r="T1054" s="6">
        <f t="shared" ca="1" si="192"/>
        <v>2</v>
      </c>
      <c r="U1054" s="1">
        <f t="shared" ca="1" si="203"/>
        <v>805</v>
      </c>
    </row>
    <row r="1055" spans="1:21" x14ac:dyDescent="0.2">
      <c r="A1055" s="7" cm="1">
        <f t="array" aca="1" ref="A1055" ca="1">INDEX(Companies!$A:$A,RANDBETWEEN(2,COUNTA(Companies!$A:$A)),1)</f>
        <v>2</v>
      </c>
      <c r="B1055" s="5">
        <f t="shared" si="193"/>
        <v>1054</v>
      </c>
      <c r="C1055" s="6">
        <f t="shared" ca="1" si="194"/>
        <v>1</v>
      </c>
      <c r="D1055" s="7">
        <f ca="1">IF($B1055 = 1 + N("Presidente"),
    127,
    IF($B1055 = 2 + N("Vice-Presidente"),
        72,
        IF($B1055 = 3 + N("Secretária bilíngue"),
            13,
            RANDBETWEEN(5,COUNT(Name!$A:$A) + 1)
        )
    )
)</f>
        <v>345</v>
      </c>
      <c r="E1055" s="7" t="str">
        <f ca="1" xml:space="preserve">
VLOOKUP(
  $D1055,
  Name!$A:$B,
  2,
  FALSE
)
&amp; " " &amp;
IF($B1055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Tiago Duarte Dias</v>
      </c>
      <c r="F1055" s="7">
        <v>2</v>
      </c>
      <c r="G1055" s="7" cm="1">
        <f t="array" aca="1" ref="G1055" ca="1">INDEX(States!$B:$B,RANDBETWEEN(2,COUNTA(States!$A:$A)),1)</f>
        <v>15</v>
      </c>
      <c r="H1055" s="7" t="str">
        <f ca="1">VLOOKUP($D1055,Name!$A:$C,3,FALSE)</f>
        <v>M</v>
      </c>
      <c r="I1055" s="7" cm="1">
        <f t="array" aca="1" ref="I1055" ca="1">INDEX('Marital status'!$A:$A,RANDBETWEEN(2,COUNTA('Marital status'!$A:$A)),1)</f>
        <v>3</v>
      </c>
      <c r="J1055" s="7">
        <f t="shared" ca="1" si="195"/>
        <v>2</v>
      </c>
      <c r="K1055" s="8">
        <f t="shared" ca="1" si="196"/>
        <v>33003</v>
      </c>
      <c r="L1055" s="6">
        <f t="shared" ca="1" si="197"/>
        <v>4</v>
      </c>
      <c r="M1055" s="7">
        <f ca="1" xml:space="preserve">
  IF(OR($N1055 = 2, $N1055 = 3, $N1055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055" s="6">
        <f t="shared" ca="1" si="198"/>
        <v>8</v>
      </c>
      <c r="O1055" s="6">
        <f t="shared" ca="1" si="199"/>
        <v>3</v>
      </c>
      <c r="P1055" s="8">
        <f t="shared" ca="1" si="200"/>
        <v>40328</v>
      </c>
      <c r="Q1055" s="6">
        <f ca="1">RANDBETWEEN(2,COUNTA('Recruitment source'!$A:$A))</f>
        <v>6</v>
      </c>
      <c r="R1055" s="8" t="e">
        <f t="shared" ca="1" si="201"/>
        <v>#N/A</v>
      </c>
      <c r="S1055" s="6" t="e">
        <f t="shared" ca="1" si="202"/>
        <v>#N/A</v>
      </c>
      <c r="T1055" s="6">
        <f t="shared" ca="1" si="192"/>
        <v>4</v>
      </c>
      <c r="U1055" s="1">
        <f t="shared" ca="1" si="203"/>
        <v>2000</v>
      </c>
    </row>
    <row r="1056" spans="1:21" x14ac:dyDescent="0.2">
      <c r="A1056" s="7" cm="1">
        <f t="array" aca="1" ref="A1056" ca="1">INDEX(Companies!$A:$A,RANDBETWEEN(2,COUNTA(Companies!$A:$A)),1)</f>
        <v>2</v>
      </c>
      <c r="B1056" s="5">
        <f t="shared" si="193"/>
        <v>1055</v>
      </c>
      <c r="C1056" s="6">
        <f t="shared" ca="1" si="194"/>
        <v>1</v>
      </c>
      <c r="D1056" s="7">
        <f ca="1">IF($B1056 = 1 + N("Presidente"),
    127,
    IF($B1056 = 2 + N("Vice-Presidente"),
        72,
        IF($B1056 = 3 + N("Secretária bilíngue"),
            13,
            RANDBETWEEN(5,COUNT(Name!$A:$A) + 1)
        )
    )
)</f>
        <v>150</v>
      </c>
      <c r="E1056" s="7" t="str">
        <f ca="1" xml:space="preserve">
VLOOKUP(
  $D1056,
  Name!$A:$B,
  2,
  FALSE
)
&amp; " " &amp;
IF($B1056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Gabriela Moreira Abranches</v>
      </c>
      <c r="F1056" s="7">
        <v>2</v>
      </c>
      <c r="G1056" s="7" cm="1">
        <f t="array" aca="1" ref="G1056" ca="1">INDEX(States!$B:$B,RANDBETWEEN(2,COUNTA(States!$A:$A)),1)</f>
        <v>12</v>
      </c>
      <c r="H1056" s="7" t="str">
        <f ca="1">VLOOKUP($D1056,Name!$A:$C,3,FALSE)</f>
        <v>F</v>
      </c>
      <c r="I1056" s="7" cm="1">
        <f t="array" aca="1" ref="I1056" ca="1">INDEX('Marital status'!$A:$A,RANDBETWEEN(2,COUNTA('Marital status'!$A:$A)),1)</f>
        <v>2</v>
      </c>
      <c r="J1056" s="7">
        <f t="shared" ca="1" si="195"/>
        <v>4</v>
      </c>
      <c r="K1056" s="8">
        <f t="shared" ca="1" si="196"/>
        <v>34331</v>
      </c>
      <c r="L1056" s="6">
        <f t="shared" ca="1" si="197"/>
        <v>4</v>
      </c>
      <c r="M1056" s="7">
        <f ca="1" xml:space="preserve">
  IF(OR($N1056 = 2, $N1056 = 3, $N1056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056" s="6">
        <f t="shared" ca="1" si="198"/>
        <v>7</v>
      </c>
      <c r="O1056" s="6" t="e">
        <f t="shared" ca="1" si="199"/>
        <v>#N/A</v>
      </c>
      <c r="P1056" s="8">
        <f t="shared" ca="1" si="200"/>
        <v>37916</v>
      </c>
      <c r="Q1056" s="6">
        <f ca="1">RANDBETWEEN(2,COUNTA('Recruitment source'!$A:$A))</f>
        <v>8</v>
      </c>
      <c r="R1056" s="8" t="e">
        <f t="shared" ca="1" si="201"/>
        <v>#N/A</v>
      </c>
      <c r="S1056" s="6" t="e">
        <f t="shared" ca="1" si="202"/>
        <v>#N/A</v>
      </c>
      <c r="T1056" s="6">
        <f t="shared" ca="1" si="192"/>
        <v>4</v>
      </c>
      <c r="U1056" s="1">
        <f t="shared" ca="1" si="203"/>
        <v>1005</v>
      </c>
    </row>
    <row r="1057" spans="1:21" x14ac:dyDescent="0.2">
      <c r="A1057" s="7" cm="1">
        <f t="array" aca="1" ref="A1057" ca="1">INDEX(Companies!$A:$A,RANDBETWEEN(2,COUNTA(Companies!$A:$A)),1)</f>
        <v>2</v>
      </c>
      <c r="B1057" s="5">
        <f t="shared" si="193"/>
        <v>1056</v>
      </c>
      <c r="C1057" s="6">
        <f t="shared" ca="1" si="194"/>
        <v>1</v>
      </c>
      <c r="D1057" s="7">
        <f ca="1">IF($B1057 = 1 + N("Presidente"),
    127,
    IF($B1057 = 2 + N("Vice-Presidente"),
        72,
        IF($B1057 = 3 + N("Secretária bilíngue"),
            13,
            RANDBETWEEN(5,COUNT(Name!$A:$A) + 1)
        )
    )
)</f>
        <v>351</v>
      </c>
      <c r="E1057" s="7" t="str">
        <f ca="1" xml:space="preserve">
VLOOKUP(
  $D1057,
  Name!$A:$B,
  2,
  FALSE
)
&amp; " " &amp;
IF($B1057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Vera Lucia Costatini Brasão</v>
      </c>
      <c r="F1057" s="7">
        <v>2</v>
      </c>
      <c r="G1057" s="7" cm="1">
        <f t="array" aca="1" ref="G1057" ca="1">INDEX(States!$B:$B,RANDBETWEEN(2,COUNTA(States!$A:$A)),1)</f>
        <v>8</v>
      </c>
      <c r="H1057" s="7" t="str">
        <f ca="1">VLOOKUP($D1057,Name!$A:$C,3,FALSE)</f>
        <v>F</v>
      </c>
      <c r="I1057" s="7" cm="1">
        <f t="array" aca="1" ref="I1057" ca="1">INDEX('Marital status'!$A:$A,RANDBETWEEN(2,COUNTA('Marital status'!$A:$A)),1)</f>
        <v>5</v>
      </c>
      <c r="J1057" s="7">
        <f t="shared" ca="1" si="195"/>
        <v>3</v>
      </c>
      <c r="K1057" s="8">
        <f t="shared" ca="1" si="196"/>
        <v>32919</v>
      </c>
      <c r="L1057" s="6">
        <f t="shared" ca="1" si="197"/>
        <v>5</v>
      </c>
      <c r="M1057" s="7">
        <f ca="1" xml:space="preserve">
  IF(OR($N1057 = 2, $N1057 = 3, $N1057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057" s="6">
        <f t="shared" ca="1" si="198"/>
        <v>8</v>
      </c>
      <c r="O1057" s="6">
        <f t="shared" ca="1" si="199"/>
        <v>4</v>
      </c>
      <c r="P1057" s="8">
        <f t="shared" ca="1" si="200"/>
        <v>44800</v>
      </c>
      <c r="Q1057" s="6">
        <f ca="1">RANDBETWEEN(2,COUNTA('Recruitment source'!$A:$A))</f>
        <v>8</v>
      </c>
      <c r="R1057" s="8" t="e">
        <f t="shared" ca="1" si="201"/>
        <v>#N/A</v>
      </c>
      <c r="S1057" s="6" t="e">
        <f t="shared" ca="1" si="202"/>
        <v>#N/A</v>
      </c>
      <c r="T1057" s="6">
        <f t="shared" ca="1" si="192"/>
        <v>3</v>
      </c>
      <c r="U1057" s="1">
        <f t="shared" ca="1" si="203"/>
        <v>2000</v>
      </c>
    </row>
    <row r="1058" spans="1:21" x14ac:dyDescent="0.2">
      <c r="A1058" s="7" cm="1">
        <f t="array" aca="1" ref="A1058" ca="1">INDEX(Companies!$A:$A,RANDBETWEEN(2,COUNTA(Companies!$A:$A)),1)</f>
        <v>2</v>
      </c>
      <c r="B1058" s="5">
        <f t="shared" si="193"/>
        <v>1057</v>
      </c>
      <c r="C1058" s="6">
        <f t="shared" ca="1" si="194"/>
        <v>1</v>
      </c>
      <c r="D1058" s="7">
        <f ca="1">IF($B1058 = 1 + N("Presidente"),
    127,
    IF($B1058 = 2 + N("Vice-Presidente"),
        72,
        IF($B1058 = 3 + N("Secretária bilíngue"),
            13,
            RANDBETWEEN(5,COUNT(Name!$A:$A) + 1)
        )
    )
)</f>
        <v>192</v>
      </c>
      <c r="E1058" s="7" t="str">
        <f ca="1" xml:space="preserve">
VLOOKUP(
  $D1058,
  Name!$A:$B,
  2,
  FALSE
)
&amp; " " &amp;
IF($B1058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Pedro Reis Badu</v>
      </c>
      <c r="F1058" s="7">
        <v>2</v>
      </c>
      <c r="G1058" s="7" cm="1">
        <f t="array" aca="1" ref="G1058" ca="1">INDEX(States!$B:$B,RANDBETWEEN(2,COUNTA(States!$A:$A)),1)</f>
        <v>6</v>
      </c>
      <c r="H1058" s="7" t="str">
        <f ca="1">VLOOKUP($D1058,Name!$A:$C,3,FALSE)</f>
        <v>M</v>
      </c>
      <c r="I1058" s="7" cm="1">
        <f t="array" aca="1" ref="I1058" ca="1">INDEX('Marital status'!$A:$A,RANDBETWEEN(2,COUNTA('Marital status'!$A:$A)),1)</f>
        <v>3</v>
      </c>
      <c r="J1058" s="7">
        <f t="shared" ca="1" si="195"/>
        <v>2</v>
      </c>
      <c r="K1058" s="8">
        <f t="shared" ca="1" si="196"/>
        <v>32189</v>
      </c>
      <c r="L1058" s="6">
        <f t="shared" ca="1" si="197"/>
        <v>4</v>
      </c>
      <c r="M1058" s="7">
        <f ca="1" xml:space="preserve">
  IF(OR($N1058 = 2, $N1058 = 3, $N1058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058" s="6">
        <f t="shared" ca="1" si="198"/>
        <v>6</v>
      </c>
      <c r="O1058" s="6" t="e">
        <f t="shared" ca="1" si="199"/>
        <v>#N/A</v>
      </c>
      <c r="P1058" s="8">
        <f t="shared" ca="1" si="200"/>
        <v>39757</v>
      </c>
      <c r="Q1058" s="6">
        <f ca="1">RANDBETWEEN(2,COUNTA('Recruitment source'!$A:$A))</f>
        <v>3</v>
      </c>
      <c r="R1058" s="8" t="e">
        <f t="shared" ca="1" si="201"/>
        <v>#N/A</v>
      </c>
      <c r="S1058" s="6" t="e">
        <f t="shared" ca="1" si="202"/>
        <v>#N/A</v>
      </c>
      <c r="T1058" s="6">
        <f t="shared" ca="1" si="192"/>
        <v>3</v>
      </c>
      <c r="U1058" s="1">
        <f t="shared" ca="1" si="203"/>
        <v>805</v>
      </c>
    </row>
    <row r="1059" spans="1:21" x14ac:dyDescent="0.2">
      <c r="A1059" s="7" cm="1">
        <f t="array" aca="1" ref="A1059" ca="1">INDEX(Companies!$A:$A,RANDBETWEEN(2,COUNTA(Companies!$A:$A)),1)</f>
        <v>2</v>
      </c>
      <c r="B1059" s="5">
        <f t="shared" si="193"/>
        <v>1058</v>
      </c>
      <c r="C1059" s="6">
        <f t="shared" ca="1" si="194"/>
        <v>1</v>
      </c>
      <c r="D1059" s="7">
        <f ca="1">IF($B1059 = 1 + N("Presidente"),
    127,
    IF($B1059 = 2 + N("Vice-Presidente"),
        72,
        IF($B1059 = 3 + N("Secretária bilíngue"),
            13,
            RANDBETWEEN(5,COUNT(Name!$A:$A) + 1)
        )
    )
)</f>
        <v>258</v>
      </c>
      <c r="E1059" s="7" t="str">
        <f ca="1" xml:space="preserve">
VLOOKUP(
  $D1059,
  Name!$A:$B,
  2,
  FALSE
)
&amp; " " &amp;
IF($B1059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Alice Russo Resende</v>
      </c>
      <c r="F1059" s="7">
        <v>2</v>
      </c>
      <c r="G1059" s="7" cm="1">
        <f t="array" aca="1" ref="G1059" ca="1">INDEX(States!$B:$B,RANDBETWEEN(2,COUNTA(States!$A:$A)),1)</f>
        <v>17</v>
      </c>
      <c r="H1059" s="7" t="str">
        <f ca="1">VLOOKUP($D1059,Name!$A:$C,3,FALSE)</f>
        <v>F</v>
      </c>
      <c r="I1059" s="7" cm="1">
        <f t="array" aca="1" ref="I1059" ca="1">INDEX('Marital status'!$A:$A,RANDBETWEEN(2,COUNTA('Marital status'!$A:$A)),1)</f>
        <v>2</v>
      </c>
      <c r="J1059" s="7">
        <f t="shared" ca="1" si="195"/>
        <v>2</v>
      </c>
      <c r="K1059" s="8">
        <f t="shared" ca="1" si="196"/>
        <v>36793</v>
      </c>
      <c r="L1059" s="6">
        <f t="shared" ca="1" si="197"/>
        <v>5</v>
      </c>
      <c r="M1059" s="7">
        <f ca="1" xml:space="preserve">
  IF(OR($N1059 = 2, $N1059 = 3, $N1059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059" s="6">
        <f t="shared" ca="1" si="198"/>
        <v>8</v>
      </c>
      <c r="O1059" s="6">
        <f t="shared" ca="1" si="199"/>
        <v>3</v>
      </c>
      <c r="P1059" s="8">
        <f t="shared" ca="1" si="200"/>
        <v>41956</v>
      </c>
      <c r="Q1059" s="6">
        <f ca="1">RANDBETWEEN(2,COUNTA('Recruitment source'!$A:$A))</f>
        <v>6</v>
      </c>
      <c r="R1059" s="8" t="e">
        <f t="shared" ca="1" si="201"/>
        <v>#N/A</v>
      </c>
      <c r="S1059" s="6" t="e">
        <f t="shared" ca="1" si="202"/>
        <v>#N/A</v>
      </c>
      <c r="T1059" s="6">
        <f t="shared" ca="1" si="192"/>
        <v>4</v>
      </c>
      <c r="U1059" s="1">
        <f t="shared" ca="1" si="203"/>
        <v>2000</v>
      </c>
    </row>
    <row r="1060" spans="1:21" x14ac:dyDescent="0.2">
      <c r="A1060" s="7" cm="1">
        <f t="array" aca="1" ref="A1060" ca="1">INDEX(Companies!$A:$A,RANDBETWEEN(2,COUNTA(Companies!$A:$A)),1)</f>
        <v>2</v>
      </c>
      <c r="B1060" s="5">
        <f t="shared" si="193"/>
        <v>1059</v>
      </c>
      <c r="C1060" s="6">
        <f t="shared" ca="1" si="194"/>
        <v>1</v>
      </c>
      <c r="D1060" s="7">
        <f ca="1">IF($B1060 = 1 + N("Presidente"),
    127,
    IF($B1060 = 2 + N("Vice-Presidente"),
        72,
        IF($B1060 = 3 + N("Secretária bilíngue"),
            13,
            RANDBETWEEN(5,COUNT(Name!$A:$A) + 1)
        )
    )
)</f>
        <v>325</v>
      </c>
      <c r="E1060" s="7" t="str">
        <f ca="1" xml:space="preserve">
VLOOKUP(
  $D1060,
  Name!$A:$B,
  2,
  FALSE
)
&amp; " " &amp;
IF($B1060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Rafaela Ferrão Santana</v>
      </c>
      <c r="F1060" s="7">
        <v>2</v>
      </c>
      <c r="G1060" s="7" cm="1">
        <f t="array" aca="1" ref="G1060" ca="1">INDEX(States!$B:$B,RANDBETWEEN(2,COUNTA(States!$A:$A)),1)</f>
        <v>5</v>
      </c>
      <c r="H1060" s="7" t="str">
        <f ca="1">VLOOKUP($D1060,Name!$A:$C,3,FALSE)</f>
        <v>F</v>
      </c>
      <c r="I1060" s="7" cm="1">
        <f t="array" aca="1" ref="I1060" ca="1">INDEX('Marital status'!$A:$A,RANDBETWEEN(2,COUNTA('Marital status'!$A:$A)),1)</f>
        <v>4</v>
      </c>
      <c r="J1060" s="7">
        <f t="shared" ca="1" si="195"/>
        <v>2</v>
      </c>
      <c r="K1060" s="8">
        <f t="shared" ca="1" si="196"/>
        <v>32996</v>
      </c>
      <c r="L1060" s="6">
        <f t="shared" ca="1" si="197"/>
        <v>4</v>
      </c>
      <c r="M1060" s="7">
        <f ca="1" xml:space="preserve">
  IF(OR($N1060 = 2, $N1060 = 3, $N1060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060" s="6">
        <f t="shared" ca="1" si="198"/>
        <v>7</v>
      </c>
      <c r="O1060" s="6" t="e">
        <f t="shared" ca="1" si="199"/>
        <v>#N/A</v>
      </c>
      <c r="P1060" s="8">
        <f t="shared" ca="1" si="200"/>
        <v>42944</v>
      </c>
      <c r="Q1060" s="6">
        <f ca="1">RANDBETWEEN(2,COUNTA('Recruitment source'!$A:$A))</f>
        <v>4</v>
      </c>
      <c r="R1060" s="8" t="e">
        <f t="shared" ca="1" si="201"/>
        <v>#N/A</v>
      </c>
      <c r="S1060" s="6" t="e">
        <f t="shared" ca="1" si="202"/>
        <v>#N/A</v>
      </c>
      <c r="T1060" s="6">
        <f t="shared" ca="1" si="192"/>
        <v>4</v>
      </c>
      <c r="U1060" s="1">
        <f t="shared" ca="1" si="203"/>
        <v>1005</v>
      </c>
    </row>
    <row r="1061" spans="1:21" x14ac:dyDescent="0.2">
      <c r="A1061" s="7" cm="1">
        <f t="array" aca="1" ref="A1061" ca="1">INDEX(Companies!$A:$A,RANDBETWEEN(2,COUNTA(Companies!$A:$A)),1)</f>
        <v>2</v>
      </c>
      <c r="B1061" s="5">
        <f t="shared" si="193"/>
        <v>1060</v>
      </c>
      <c r="C1061" s="6">
        <f t="shared" ca="1" si="194"/>
        <v>1</v>
      </c>
      <c r="D1061" s="7">
        <f ca="1">IF($B1061 = 1 + N("Presidente"),
    127,
    IF($B1061 = 2 + N("Vice-Presidente"),
        72,
        IF($B1061 = 3 + N("Secretária bilíngue"),
            13,
            RANDBETWEEN(5,COUNT(Name!$A:$A) + 1)
        )
    )
)</f>
        <v>42</v>
      </c>
      <c r="E1061" s="7" t="str">
        <f ca="1" xml:space="preserve">
VLOOKUP(
  $D1061,
  Name!$A:$B,
  2,
  FALSE
)
&amp; " " &amp;
IF($B1061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Ângelo Rodrigues Gallo</v>
      </c>
      <c r="F1061" s="7">
        <v>2</v>
      </c>
      <c r="G1061" s="7" cm="1">
        <f t="array" aca="1" ref="G1061" ca="1">INDEX(States!$B:$B,RANDBETWEEN(2,COUNTA(States!$A:$A)),1)</f>
        <v>9</v>
      </c>
      <c r="H1061" s="7" t="str">
        <f ca="1">VLOOKUP($D1061,Name!$A:$C,3,FALSE)</f>
        <v>M</v>
      </c>
      <c r="I1061" s="7" cm="1">
        <f t="array" aca="1" ref="I1061" ca="1">INDEX('Marital status'!$A:$A,RANDBETWEEN(2,COUNTA('Marital status'!$A:$A)),1)</f>
        <v>2</v>
      </c>
      <c r="J1061" s="7">
        <f t="shared" ca="1" si="195"/>
        <v>2</v>
      </c>
      <c r="K1061" s="8">
        <f t="shared" ca="1" si="196"/>
        <v>33596</v>
      </c>
      <c r="L1061" s="6">
        <f t="shared" ca="1" si="197"/>
        <v>5</v>
      </c>
      <c r="M1061" s="7">
        <f ca="1" xml:space="preserve">
  IF(OR($N1061 = 2, $N1061 = 3, $N1061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061" s="6">
        <f t="shared" ca="1" si="198"/>
        <v>8</v>
      </c>
      <c r="O1061" s="6">
        <f t="shared" ca="1" si="199"/>
        <v>4</v>
      </c>
      <c r="P1061" s="8">
        <f t="shared" ca="1" si="200"/>
        <v>40830</v>
      </c>
      <c r="Q1061" s="6">
        <f ca="1">RANDBETWEEN(2,COUNTA('Recruitment source'!$A:$A))</f>
        <v>12</v>
      </c>
      <c r="R1061" s="8" t="e">
        <f t="shared" ca="1" si="201"/>
        <v>#N/A</v>
      </c>
      <c r="S1061" s="6" t="e">
        <f t="shared" ca="1" si="202"/>
        <v>#N/A</v>
      </c>
      <c r="T1061" s="6">
        <f t="shared" ca="1" si="192"/>
        <v>5</v>
      </c>
      <c r="U1061" s="1">
        <f t="shared" ca="1" si="203"/>
        <v>2000</v>
      </c>
    </row>
    <row r="1062" spans="1:21" x14ac:dyDescent="0.2">
      <c r="A1062" s="7" cm="1">
        <f t="array" aca="1" ref="A1062" ca="1">INDEX(Companies!$A:$A,RANDBETWEEN(2,COUNTA(Companies!$A:$A)),1)</f>
        <v>2</v>
      </c>
      <c r="B1062" s="5">
        <f t="shared" si="193"/>
        <v>1061</v>
      </c>
      <c r="C1062" s="6">
        <f t="shared" ca="1" si="194"/>
        <v>1</v>
      </c>
      <c r="D1062" s="7">
        <f ca="1">IF($B1062 = 1 + N("Presidente"),
    127,
    IF($B1062 = 2 + N("Vice-Presidente"),
        72,
        IF($B1062 = 3 + N("Secretária bilíngue"),
            13,
            RANDBETWEEN(5,COUNT(Name!$A:$A) + 1)
        )
    )
)</f>
        <v>356</v>
      </c>
      <c r="E1062" s="7" t="str">
        <f ca="1" xml:space="preserve">
VLOOKUP(
  $D1062,
  Name!$A:$B,
  2,
  FALSE
)
&amp; " " &amp;
IF($B1062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Victória Camargo Mendes</v>
      </c>
      <c r="F1062" s="7">
        <v>2</v>
      </c>
      <c r="G1062" s="7" cm="1">
        <f t="array" aca="1" ref="G1062" ca="1">INDEX(States!$B:$B,RANDBETWEEN(2,COUNTA(States!$A:$A)),1)</f>
        <v>5</v>
      </c>
      <c r="H1062" s="7" t="str">
        <f ca="1">VLOOKUP($D1062,Name!$A:$C,3,FALSE)</f>
        <v>F</v>
      </c>
      <c r="I1062" s="7" cm="1">
        <f t="array" aca="1" ref="I1062" ca="1">INDEX('Marital status'!$A:$A,RANDBETWEEN(2,COUNTA('Marital status'!$A:$A)),1)</f>
        <v>5</v>
      </c>
      <c r="J1062" s="7">
        <f t="shared" ca="1" si="195"/>
        <v>2</v>
      </c>
      <c r="K1062" s="8">
        <f t="shared" ca="1" si="196"/>
        <v>30648</v>
      </c>
      <c r="L1062" s="6">
        <f t="shared" ca="1" si="197"/>
        <v>4</v>
      </c>
      <c r="M1062" s="7">
        <f ca="1" xml:space="preserve">
  IF(OR($N1062 = 2, $N1062 = 3, $N1062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062" s="6">
        <f t="shared" ca="1" si="198"/>
        <v>7</v>
      </c>
      <c r="O1062" s="6" t="e">
        <f t="shared" ca="1" si="199"/>
        <v>#N/A</v>
      </c>
      <c r="P1062" s="8">
        <f t="shared" ca="1" si="200"/>
        <v>36904</v>
      </c>
      <c r="Q1062" s="6">
        <f ca="1">RANDBETWEEN(2,COUNTA('Recruitment source'!$A:$A))</f>
        <v>8</v>
      </c>
      <c r="R1062" s="8" t="e">
        <f t="shared" ca="1" si="201"/>
        <v>#N/A</v>
      </c>
      <c r="S1062" s="6" t="e">
        <f t="shared" ca="1" si="202"/>
        <v>#N/A</v>
      </c>
      <c r="T1062" s="6">
        <f t="shared" ca="1" si="192"/>
        <v>5</v>
      </c>
      <c r="U1062" s="1">
        <f t="shared" ca="1" si="203"/>
        <v>1005</v>
      </c>
    </row>
    <row r="1063" spans="1:21" x14ac:dyDescent="0.2">
      <c r="A1063" s="7" cm="1">
        <f t="array" aca="1" ref="A1063" ca="1">INDEX(Companies!$A:$A,RANDBETWEEN(2,COUNTA(Companies!$A:$A)),1)</f>
        <v>2</v>
      </c>
      <c r="B1063" s="5">
        <f t="shared" si="193"/>
        <v>1062</v>
      </c>
      <c r="C1063" s="6">
        <f t="shared" ca="1" si="194"/>
        <v>1</v>
      </c>
      <c r="D1063" s="7">
        <f ca="1">IF($B1063 = 1 + N("Presidente"),
    127,
    IF($B1063 = 2 + N("Vice-Presidente"),
        72,
        IF($B1063 = 3 + N("Secretária bilíngue"),
            13,
            RANDBETWEEN(5,COUNT(Name!$A:$A) + 1)
        )
    )
)</f>
        <v>320</v>
      </c>
      <c r="E1063" s="7" t="str">
        <f ca="1" xml:space="preserve">
VLOOKUP(
  $D1063,
  Name!$A:$B,
  2,
  FALSE
)
&amp; " " &amp;
IF($B1063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Péricles Figo Pimentel</v>
      </c>
      <c r="F1063" s="7">
        <v>2</v>
      </c>
      <c r="G1063" s="7" cm="1">
        <f t="array" aca="1" ref="G1063" ca="1">INDEX(States!$B:$B,RANDBETWEEN(2,COUNTA(States!$A:$A)),1)</f>
        <v>15</v>
      </c>
      <c r="H1063" s="7" t="str">
        <f ca="1">VLOOKUP($D1063,Name!$A:$C,3,FALSE)</f>
        <v>M</v>
      </c>
      <c r="I1063" s="7" cm="1">
        <f t="array" aca="1" ref="I1063" ca="1">INDEX('Marital status'!$A:$A,RANDBETWEEN(2,COUNTA('Marital status'!$A:$A)),1)</f>
        <v>2</v>
      </c>
      <c r="J1063" s="7">
        <f t="shared" ca="1" si="195"/>
        <v>2</v>
      </c>
      <c r="K1063" s="8">
        <f t="shared" ca="1" si="196"/>
        <v>36513</v>
      </c>
      <c r="L1063" s="6">
        <f t="shared" ca="1" si="197"/>
        <v>4</v>
      </c>
      <c r="M1063" s="7">
        <f ca="1" xml:space="preserve">
  IF(OR($N1063 = 2, $N1063 = 3, $N1063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063" s="6">
        <f t="shared" ca="1" si="198"/>
        <v>8</v>
      </c>
      <c r="O1063" s="6">
        <f t="shared" ca="1" si="199"/>
        <v>4</v>
      </c>
      <c r="P1063" s="8">
        <f t="shared" ca="1" si="200"/>
        <v>37009</v>
      </c>
      <c r="Q1063" s="6">
        <f ca="1">RANDBETWEEN(2,COUNTA('Recruitment source'!$A:$A))</f>
        <v>10</v>
      </c>
      <c r="R1063" s="8" t="e">
        <f t="shared" ca="1" si="201"/>
        <v>#N/A</v>
      </c>
      <c r="S1063" s="6" t="e">
        <f t="shared" ca="1" si="202"/>
        <v>#N/A</v>
      </c>
      <c r="T1063" s="6">
        <f t="shared" ca="1" si="192"/>
        <v>3</v>
      </c>
      <c r="U1063" s="1">
        <f t="shared" ca="1" si="203"/>
        <v>2000</v>
      </c>
    </row>
    <row r="1064" spans="1:21" x14ac:dyDescent="0.2">
      <c r="A1064" s="7" cm="1">
        <f t="array" aca="1" ref="A1064" ca="1">INDEX(Companies!$A:$A,RANDBETWEEN(2,COUNTA(Companies!$A:$A)),1)</f>
        <v>2</v>
      </c>
      <c r="B1064" s="5">
        <f t="shared" si="193"/>
        <v>1063</v>
      </c>
      <c r="C1064" s="6">
        <f t="shared" ca="1" si="194"/>
        <v>1</v>
      </c>
      <c r="D1064" s="7">
        <f ca="1">IF($B1064 = 1 + N("Presidente"),
    127,
    IF($B1064 = 2 + N("Vice-Presidente"),
        72,
        IF($B1064 = 3 + N("Secretária bilíngue"),
            13,
            RANDBETWEEN(5,COUNT(Name!$A:$A) + 1)
        )
    )
)</f>
        <v>16</v>
      </c>
      <c r="E1064" s="7" t="str">
        <f ca="1" xml:space="preserve">
VLOOKUP(
  $D1064,
  Name!$A:$B,
  2,
  FALSE
)
&amp; " " &amp;
IF($B1064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Alice Sacramento Rossi</v>
      </c>
      <c r="F1064" s="7">
        <v>2</v>
      </c>
      <c r="G1064" s="7" cm="1">
        <f t="array" aca="1" ref="G1064" ca="1">INDEX(States!$B:$B,RANDBETWEEN(2,COUNTA(States!$A:$A)),1)</f>
        <v>10</v>
      </c>
      <c r="H1064" s="7" t="str">
        <f ca="1">VLOOKUP($D1064,Name!$A:$C,3,FALSE)</f>
        <v>F</v>
      </c>
      <c r="I1064" s="7" cm="1">
        <f t="array" aca="1" ref="I1064" ca="1">INDEX('Marital status'!$A:$A,RANDBETWEEN(2,COUNTA('Marital status'!$A:$A)),1)</f>
        <v>4</v>
      </c>
      <c r="J1064" s="7">
        <f t="shared" ca="1" si="195"/>
        <v>5</v>
      </c>
      <c r="K1064" s="8">
        <f t="shared" ca="1" si="196"/>
        <v>21275</v>
      </c>
      <c r="L1064" s="6">
        <f t="shared" ca="1" si="197"/>
        <v>4</v>
      </c>
      <c r="M1064" s="7">
        <f ca="1" xml:space="preserve">
  IF(OR($N1064 = 2, $N1064 = 3, $N1064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064" s="6">
        <f t="shared" ca="1" si="198"/>
        <v>6</v>
      </c>
      <c r="O1064" s="6" t="e">
        <f t="shared" ca="1" si="199"/>
        <v>#N/A</v>
      </c>
      <c r="P1064" s="8">
        <f t="shared" ca="1" si="200"/>
        <v>37299</v>
      </c>
      <c r="Q1064" s="6">
        <f ca="1">RANDBETWEEN(2,COUNTA('Recruitment source'!$A:$A))</f>
        <v>4</v>
      </c>
      <c r="R1064" s="8" t="e">
        <f t="shared" ca="1" si="201"/>
        <v>#N/A</v>
      </c>
      <c r="S1064" s="6" t="e">
        <f t="shared" ca="1" si="202"/>
        <v>#N/A</v>
      </c>
      <c r="T1064" s="6">
        <f t="shared" ca="1" si="192"/>
        <v>5</v>
      </c>
      <c r="U1064" s="1">
        <f t="shared" ca="1" si="203"/>
        <v>805</v>
      </c>
    </row>
    <row r="1065" spans="1:21" x14ac:dyDescent="0.2">
      <c r="A1065" s="7" cm="1">
        <f t="array" aca="1" ref="A1065" ca="1">INDEX(Companies!$A:$A,RANDBETWEEN(2,COUNTA(Companies!$A:$A)),1)</f>
        <v>2</v>
      </c>
      <c r="B1065" s="5">
        <f t="shared" si="193"/>
        <v>1064</v>
      </c>
      <c r="C1065" s="6">
        <f t="shared" ca="1" si="194"/>
        <v>1</v>
      </c>
      <c r="D1065" s="7">
        <f ca="1">IF($B1065 = 1 + N("Presidente"),
    127,
    IF($B1065 = 2 + N("Vice-Presidente"),
        72,
        IF($B1065 = 3 + N("Secretária bilíngue"),
            13,
            RANDBETWEEN(5,COUNT(Name!$A:$A) + 1)
        )
    )
)</f>
        <v>122</v>
      </c>
      <c r="E1065" s="7" t="str">
        <f ca="1" xml:space="preserve">
VLOOKUP(
  $D1065,
  Name!$A:$B,
  2,
  FALSE
)
&amp; " " &amp;
IF($B1065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Emanuel Paulista Moretti</v>
      </c>
      <c r="F1065" s="7">
        <v>2</v>
      </c>
      <c r="G1065" s="7" cm="1">
        <f t="array" aca="1" ref="G1065" ca="1">INDEX(States!$B:$B,RANDBETWEEN(2,COUNTA(States!$A:$A)),1)</f>
        <v>12</v>
      </c>
      <c r="H1065" s="7" t="str">
        <f ca="1">VLOOKUP($D1065,Name!$A:$C,3,FALSE)</f>
        <v>M</v>
      </c>
      <c r="I1065" s="7" cm="1">
        <f t="array" aca="1" ref="I1065" ca="1">INDEX('Marital status'!$A:$A,RANDBETWEEN(2,COUNTA('Marital status'!$A:$A)),1)</f>
        <v>2</v>
      </c>
      <c r="J1065" s="7">
        <f t="shared" ca="1" si="195"/>
        <v>2</v>
      </c>
      <c r="K1065" s="8">
        <f t="shared" ca="1" si="196"/>
        <v>33345</v>
      </c>
      <c r="L1065" s="6">
        <f t="shared" ca="1" si="197"/>
        <v>5</v>
      </c>
      <c r="M1065" s="7">
        <f ca="1" xml:space="preserve">
  IF(OR($N1065 = 2, $N1065 = 3, $N1065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065" s="6">
        <f t="shared" ca="1" si="198"/>
        <v>8</v>
      </c>
      <c r="O1065" s="6">
        <f t="shared" ca="1" si="199"/>
        <v>3</v>
      </c>
      <c r="P1065" s="8">
        <f t="shared" ca="1" si="200"/>
        <v>42790</v>
      </c>
      <c r="Q1065" s="6">
        <f ca="1">RANDBETWEEN(2,COUNTA('Recruitment source'!$A:$A))</f>
        <v>9</v>
      </c>
      <c r="R1065" s="8" t="e">
        <f t="shared" ca="1" si="201"/>
        <v>#N/A</v>
      </c>
      <c r="S1065" s="6" t="e">
        <f t="shared" ca="1" si="202"/>
        <v>#N/A</v>
      </c>
      <c r="T1065" s="6">
        <f t="shared" ca="1" si="192"/>
        <v>3</v>
      </c>
      <c r="U1065" s="1">
        <f t="shared" ca="1" si="203"/>
        <v>2000</v>
      </c>
    </row>
    <row r="1066" spans="1:21" x14ac:dyDescent="0.2">
      <c r="A1066" s="7" cm="1">
        <f t="array" aca="1" ref="A1066" ca="1">INDEX(Companies!$A:$A,RANDBETWEEN(2,COUNTA(Companies!$A:$A)),1)</f>
        <v>2</v>
      </c>
      <c r="B1066" s="5">
        <f t="shared" si="193"/>
        <v>1065</v>
      </c>
      <c r="C1066" s="6">
        <f t="shared" ca="1" si="194"/>
        <v>1</v>
      </c>
      <c r="D1066" s="7">
        <f ca="1">IF($B1066 = 1 + N("Presidente"),
    127,
    IF($B1066 = 2 + N("Vice-Presidente"),
        72,
        IF($B1066 = 3 + N("Secretária bilíngue"),
            13,
            RANDBETWEEN(5,COUNT(Name!$A:$A) + 1)
        )
    )
)</f>
        <v>309</v>
      </c>
      <c r="E1066" s="7" t="str">
        <f ca="1" xml:space="preserve">
VLOOKUP(
  $D1066,
  Name!$A:$B,
  2,
  FALSE
)
&amp; " " &amp;
IF($B1066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Octávio Ricci Holanda</v>
      </c>
      <c r="F1066" s="7">
        <v>2</v>
      </c>
      <c r="G1066" s="7" cm="1">
        <f t="array" aca="1" ref="G1066" ca="1">INDEX(States!$B:$B,RANDBETWEEN(2,COUNTA(States!$A:$A)),1)</f>
        <v>17</v>
      </c>
      <c r="H1066" s="7" t="str">
        <f ca="1">VLOOKUP($D1066,Name!$A:$C,3,FALSE)</f>
        <v>M</v>
      </c>
      <c r="I1066" s="7" cm="1">
        <f t="array" aca="1" ref="I1066" ca="1">INDEX('Marital status'!$A:$A,RANDBETWEEN(2,COUNTA('Marital status'!$A:$A)),1)</f>
        <v>3</v>
      </c>
      <c r="J1066" s="7">
        <f t="shared" ca="1" si="195"/>
        <v>2</v>
      </c>
      <c r="K1066" s="8">
        <f t="shared" ca="1" si="196"/>
        <v>35786</v>
      </c>
      <c r="L1066" s="6">
        <f t="shared" ca="1" si="197"/>
        <v>4</v>
      </c>
      <c r="M1066" s="7">
        <f ca="1" xml:space="preserve">
  IF(OR($N1066 = 2, $N1066 = 3, $N1066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066" s="6">
        <f t="shared" ca="1" si="198"/>
        <v>7</v>
      </c>
      <c r="O1066" s="6" t="e">
        <f t="shared" ca="1" si="199"/>
        <v>#N/A</v>
      </c>
      <c r="P1066" s="8">
        <f t="shared" ca="1" si="200"/>
        <v>38279</v>
      </c>
      <c r="Q1066" s="6">
        <f ca="1">RANDBETWEEN(2,COUNTA('Recruitment source'!$A:$A))</f>
        <v>7</v>
      </c>
      <c r="R1066" s="8" t="e">
        <f t="shared" ca="1" si="201"/>
        <v>#N/A</v>
      </c>
      <c r="S1066" s="6" t="e">
        <f t="shared" ca="1" si="202"/>
        <v>#N/A</v>
      </c>
      <c r="T1066" s="6">
        <f t="shared" ca="1" si="192"/>
        <v>2</v>
      </c>
      <c r="U1066" s="1">
        <f t="shared" ca="1" si="203"/>
        <v>1005</v>
      </c>
    </row>
    <row r="1067" spans="1:21" x14ac:dyDescent="0.2">
      <c r="A1067" s="7" cm="1">
        <f t="array" aca="1" ref="A1067" ca="1">INDEX(Companies!$A:$A,RANDBETWEEN(2,COUNTA(Companies!$A:$A)),1)</f>
        <v>2</v>
      </c>
      <c r="B1067" s="5">
        <f t="shared" si="193"/>
        <v>1066</v>
      </c>
      <c r="C1067" s="6">
        <f t="shared" ca="1" si="194"/>
        <v>1</v>
      </c>
      <c r="D1067" s="7">
        <f ca="1">IF($B1067 = 1 + N("Presidente"),
    127,
    IF($B1067 = 2 + N("Vice-Presidente"),
        72,
        IF($B1067 = 3 + N("Secretária bilíngue"),
            13,
            RANDBETWEEN(5,COUNT(Name!$A:$A) + 1)
        )
    )
)</f>
        <v>363</v>
      </c>
      <c r="E1067" s="7" t="str">
        <f ca="1" xml:space="preserve">
VLOOKUP(
  $D1067,
  Name!$A:$B,
  2,
  FALSE
)
&amp; " " &amp;
IF($B1067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Yago Barboza Leite</v>
      </c>
      <c r="F1067" s="7">
        <v>2</v>
      </c>
      <c r="G1067" s="7" cm="1">
        <f t="array" aca="1" ref="G1067" ca="1">INDEX(States!$B:$B,RANDBETWEEN(2,COUNTA(States!$A:$A)),1)</f>
        <v>4</v>
      </c>
      <c r="H1067" s="7" t="str">
        <f ca="1">VLOOKUP($D1067,Name!$A:$C,3,FALSE)</f>
        <v>M</v>
      </c>
      <c r="I1067" s="7" cm="1">
        <f t="array" aca="1" ref="I1067" ca="1">INDEX('Marital status'!$A:$A,RANDBETWEEN(2,COUNTA('Marital status'!$A:$A)),1)</f>
        <v>5</v>
      </c>
      <c r="J1067" s="7">
        <f t="shared" ca="1" si="195"/>
        <v>4</v>
      </c>
      <c r="K1067" s="8">
        <f t="shared" ca="1" si="196"/>
        <v>37689</v>
      </c>
      <c r="L1067" s="6">
        <f t="shared" ca="1" si="197"/>
        <v>4</v>
      </c>
      <c r="M1067" s="7">
        <f ca="1" xml:space="preserve">
  IF(OR($N1067 = 2, $N1067 = 3, $N1067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067" s="6">
        <f t="shared" ca="1" si="198"/>
        <v>8</v>
      </c>
      <c r="O1067" s="6">
        <f t="shared" ca="1" si="199"/>
        <v>4</v>
      </c>
      <c r="P1067" s="8">
        <f t="shared" ca="1" si="200"/>
        <v>37604</v>
      </c>
      <c r="Q1067" s="6">
        <f ca="1">RANDBETWEEN(2,COUNTA('Recruitment source'!$A:$A))</f>
        <v>10</v>
      </c>
      <c r="R1067" s="8" t="e">
        <f t="shared" ca="1" si="201"/>
        <v>#N/A</v>
      </c>
      <c r="S1067" s="6" t="e">
        <f t="shared" ca="1" si="202"/>
        <v>#N/A</v>
      </c>
      <c r="T1067" s="6">
        <f t="shared" ca="1" si="192"/>
        <v>5</v>
      </c>
      <c r="U1067" s="1">
        <f t="shared" ca="1" si="203"/>
        <v>2080</v>
      </c>
    </row>
    <row r="1068" spans="1:21" x14ac:dyDescent="0.2">
      <c r="A1068" s="7" cm="1">
        <f t="array" aca="1" ref="A1068" ca="1">INDEX(Companies!$A:$A,RANDBETWEEN(2,COUNTA(Companies!$A:$A)),1)</f>
        <v>2</v>
      </c>
      <c r="B1068" s="5">
        <f t="shared" si="193"/>
        <v>1067</v>
      </c>
      <c r="C1068" s="6">
        <f t="shared" ca="1" si="194"/>
        <v>1</v>
      </c>
      <c r="D1068" s="7">
        <f ca="1">IF($B1068 = 1 + N("Presidente"),
    127,
    IF($B1068 = 2 + N("Vice-Presidente"),
        72,
        IF($B1068 = 3 + N("Secretária bilíngue"),
            13,
            RANDBETWEEN(5,COUNT(Name!$A:$A) + 1)
        )
    )
)</f>
        <v>66</v>
      </c>
      <c r="E1068" s="7" t="str">
        <f ca="1" xml:space="preserve">
VLOOKUP(
  $D1068,
  Name!$A:$B,
  2,
  FALSE
)
&amp; " " &amp;
IF($B1068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Bartolomeo Malafaia Madureira</v>
      </c>
      <c r="F1068" s="7">
        <v>2</v>
      </c>
      <c r="G1068" s="7" cm="1">
        <f t="array" aca="1" ref="G1068" ca="1">INDEX(States!$B:$B,RANDBETWEEN(2,COUNTA(States!$A:$A)),1)</f>
        <v>16</v>
      </c>
      <c r="H1068" s="7" t="str">
        <f ca="1">VLOOKUP($D1068,Name!$A:$C,3,FALSE)</f>
        <v>M</v>
      </c>
      <c r="I1068" s="7" cm="1">
        <f t="array" aca="1" ref="I1068" ca="1">INDEX('Marital status'!$A:$A,RANDBETWEEN(2,COUNTA('Marital status'!$A:$A)),1)</f>
        <v>4</v>
      </c>
      <c r="J1068" s="7">
        <f t="shared" ca="1" si="195"/>
        <v>2</v>
      </c>
      <c r="K1068" s="8">
        <f t="shared" ca="1" si="196"/>
        <v>30314</v>
      </c>
      <c r="L1068" s="6">
        <f t="shared" ca="1" si="197"/>
        <v>4</v>
      </c>
      <c r="M1068" s="7">
        <f ca="1" xml:space="preserve">
  IF(OR($N1068 = 2, $N1068 = 3, $N1068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068" s="6">
        <f t="shared" ca="1" si="198"/>
        <v>7</v>
      </c>
      <c r="O1068" s="6" t="e">
        <f t="shared" ca="1" si="199"/>
        <v>#N/A</v>
      </c>
      <c r="P1068" s="8">
        <f t="shared" ca="1" si="200"/>
        <v>42861</v>
      </c>
      <c r="Q1068" s="6">
        <f ca="1">RANDBETWEEN(2,COUNTA('Recruitment source'!$A:$A))</f>
        <v>2</v>
      </c>
      <c r="R1068" s="8" t="e">
        <f t="shared" ca="1" si="201"/>
        <v>#N/A</v>
      </c>
      <c r="S1068" s="6" t="e">
        <f t="shared" ca="1" si="202"/>
        <v>#N/A</v>
      </c>
      <c r="T1068" s="6">
        <f t="shared" ca="1" si="192"/>
        <v>4</v>
      </c>
      <c r="U1068" s="1">
        <f t="shared" ca="1" si="203"/>
        <v>1005</v>
      </c>
    </row>
    <row r="1069" spans="1:21" x14ac:dyDescent="0.2">
      <c r="A1069" s="7" cm="1">
        <f t="array" aca="1" ref="A1069" ca="1">INDEX(Companies!$A:$A,RANDBETWEEN(2,COUNTA(Companies!$A:$A)),1)</f>
        <v>2</v>
      </c>
      <c r="B1069" s="5">
        <f t="shared" si="193"/>
        <v>1068</v>
      </c>
      <c r="C1069" s="6">
        <f t="shared" ca="1" si="194"/>
        <v>1</v>
      </c>
      <c r="D1069" s="7">
        <f ca="1">IF($B1069 = 1 + N("Presidente"),
    127,
    IF($B1069 = 2 + N("Vice-Presidente"),
        72,
        IF($B1069 = 3 + N("Secretária bilíngue"),
            13,
            RANDBETWEEN(5,COUNT(Name!$A:$A) + 1)
        )
    )
)</f>
        <v>72</v>
      </c>
      <c r="E1069" s="7" t="str">
        <f ca="1" xml:space="preserve">
VLOOKUP(
  $D1069,
  Name!$A:$B,
  2,
  FALSE
)
&amp; " " &amp;
IF($B1069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Bernnardo Pedroso Battaglia</v>
      </c>
      <c r="F1069" s="7">
        <v>2</v>
      </c>
      <c r="G1069" s="7" cm="1">
        <f t="array" aca="1" ref="G1069" ca="1">INDEX(States!$B:$B,RANDBETWEEN(2,COUNTA(States!$A:$A)),1)</f>
        <v>15</v>
      </c>
      <c r="H1069" s="7" t="str">
        <f ca="1">VLOOKUP($D1069,Name!$A:$C,3,FALSE)</f>
        <v>M</v>
      </c>
      <c r="I1069" s="7" cm="1">
        <f t="array" aca="1" ref="I1069" ca="1">INDEX('Marital status'!$A:$A,RANDBETWEEN(2,COUNTA('Marital status'!$A:$A)),1)</f>
        <v>6</v>
      </c>
      <c r="J1069" s="7">
        <f t="shared" ca="1" si="195"/>
        <v>2</v>
      </c>
      <c r="K1069" s="8">
        <f t="shared" ca="1" si="196"/>
        <v>34775</v>
      </c>
      <c r="L1069" s="6">
        <f t="shared" ca="1" si="197"/>
        <v>4</v>
      </c>
      <c r="M1069" s="7">
        <f ca="1" xml:space="preserve">
  IF(OR($N1069 = 2, $N1069 = 3, $N1069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069" s="6">
        <f t="shared" ca="1" si="198"/>
        <v>8</v>
      </c>
      <c r="O1069" s="6">
        <f t="shared" ca="1" si="199"/>
        <v>3</v>
      </c>
      <c r="P1069" s="8">
        <f t="shared" ca="1" si="200"/>
        <v>36753</v>
      </c>
      <c r="Q1069" s="6">
        <f ca="1">RANDBETWEEN(2,COUNTA('Recruitment source'!$A:$A))</f>
        <v>5</v>
      </c>
      <c r="R1069" s="8" t="e">
        <f t="shared" ca="1" si="201"/>
        <v>#N/A</v>
      </c>
      <c r="S1069" s="6" t="e">
        <f t="shared" ca="1" si="202"/>
        <v>#N/A</v>
      </c>
      <c r="T1069" s="6">
        <f t="shared" ca="1" si="192"/>
        <v>4</v>
      </c>
      <c r="U1069" s="1">
        <f t="shared" ca="1" si="203"/>
        <v>2080</v>
      </c>
    </row>
    <row r="1070" spans="1:21" x14ac:dyDescent="0.2">
      <c r="A1070" s="7" cm="1">
        <f t="array" aca="1" ref="A1070" ca="1">INDEX(Companies!$A:$A,RANDBETWEEN(2,COUNTA(Companies!$A:$A)),1)</f>
        <v>2</v>
      </c>
      <c r="B1070" s="5">
        <f t="shared" si="193"/>
        <v>1069</v>
      </c>
      <c r="C1070" s="6">
        <f t="shared" ca="1" si="194"/>
        <v>1</v>
      </c>
      <c r="D1070" s="7">
        <f ca="1">IF($B1070 = 1 + N("Presidente"),
    127,
    IF($B1070 = 2 + N("Vice-Presidente"),
        72,
        IF($B1070 = 3 + N("Secretária bilíngue"),
            13,
            RANDBETWEEN(5,COUNT(Name!$A:$A) + 1)
        )
    )
)</f>
        <v>284</v>
      </c>
      <c r="E1070" s="7" t="str">
        <f ca="1" xml:space="preserve">
VLOOKUP(
  $D1070,
  Name!$A:$B,
  2,
  FALSE
)
&amp; " " &amp;
IF($B1070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Martim Lopes Medeiros</v>
      </c>
      <c r="F1070" s="7">
        <v>2</v>
      </c>
      <c r="G1070" s="7" cm="1">
        <f t="array" aca="1" ref="G1070" ca="1">INDEX(States!$B:$B,RANDBETWEEN(2,COUNTA(States!$A:$A)),1)</f>
        <v>3</v>
      </c>
      <c r="H1070" s="7" t="str">
        <f ca="1">VLOOKUP($D1070,Name!$A:$C,3,FALSE)</f>
        <v>M</v>
      </c>
      <c r="I1070" s="7" cm="1">
        <f t="array" aca="1" ref="I1070" ca="1">INDEX('Marital status'!$A:$A,RANDBETWEEN(2,COUNTA('Marital status'!$A:$A)),1)</f>
        <v>4</v>
      </c>
      <c r="J1070" s="7">
        <f t="shared" ca="1" si="195"/>
        <v>2</v>
      </c>
      <c r="K1070" s="8">
        <f t="shared" ca="1" si="196"/>
        <v>32564</v>
      </c>
      <c r="L1070" s="6">
        <f t="shared" ca="1" si="197"/>
        <v>4</v>
      </c>
      <c r="M1070" s="7">
        <f ca="1" xml:space="preserve">
  IF(OR($N1070 = 2, $N1070 = 3, $N1070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070" s="6">
        <f t="shared" ca="1" si="198"/>
        <v>7</v>
      </c>
      <c r="O1070" s="6" t="e">
        <f t="shared" ca="1" si="199"/>
        <v>#N/A</v>
      </c>
      <c r="P1070" s="8">
        <f t="shared" ca="1" si="200"/>
        <v>41514</v>
      </c>
      <c r="Q1070" s="6">
        <f ca="1">RANDBETWEEN(2,COUNTA('Recruitment source'!$A:$A))</f>
        <v>10</v>
      </c>
      <c r="R1070" s="8" t="e">
        <f t="shared" ca="1" si="201"/>
        <v>#N/A</v>
      </c>
      <c r="S1070" s="6" t="e">
        <f t="shared" ca="1" si="202"/>
        <v>#N/A</v>
      </c>
      <c r="T1070" s="6">
        <f t="shared" ca="1" si="192"/>
        <v>2</v>
      </c>
      <c r="U1070" s="1">
        <f t="shared" ca="1" si="203"/>
        <v>1005</v>
      </c>
    </row>
    <row r="1071" spans="1:21" x14ac:dyDescent="0.2">
      <c r="A1071" s="7" cm="1">
        <f t="array" aca="1" ref="A1071" ca="1">INDEX(Companies!$A:$A,RANDBETWEEN(2,COUNTA(Companies!$A:$A)),1)</f>
        <v>2</v>
      </c>
      <c r="B1071" s="5">
        <f t="shared" si="193"/>
        <v>1070</v>
      </c>
      <c r="C1071" s="6">
        <f t="shared" ca="1" si="194"/>
        <v>1</v>
      </c>
      <c r="D1071" s="7">
        <f ca="1">IF($B1071 = 1 + N("Presidente"),
    127,
    IF($B1071 = 2 + N("Vice-Presidente"),
        72,
        IF($B1071 = 3 + N("Secretária bilíngue"),
            13,
            RANDBETWEEN(5,COUNT(Name!$A:$A) + 1)
        )
    )
)</f>
        <v>360</v>
      </c>
      <c r="E1071" s="7" t="str">
        <f ca="1" xml:space="preserve">
VLOOKUP(
  $D1071,
  Name!$A:$B,
  2,
  FALSE
)
&amp; " " &amp;
IF($B1071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Vitória Bermudes Costatini</v>
      </c>
      <c r="F1071" s="7">
        <v>2</v>
      </c>
      <c r="G1071" s="7" cm="1">
        <f t="array" aca="1" ref="G1071" ca="1">INDEX(States!$B:$B,RANDBETWEEN(2,COUNTA(States!$A:$A)),1)</f>
        <v>17</v>
      </c>
      <c r="H1071" s="7" t="str">
        <f ca="1">VLOOKUP($D1071,Name!$A:$C,3,FALSE)</f>
        <v>F</v>
      </c>
      <c r="I1071" s="7" cm="1">
        <f t="array" aca="1" ref="I1071" ca="1">INDEX('Marital status'!$A:$A,RANDBETWEEN(2,COUNTA('Marital status'!$A:$A)),1)</f>
        <v>4</v>
      </c>
      <c r="J1071" s="7">
        <f t="shared" ca="1" si="195"/>
        <v>3</v>
      </c>
      <c r="K1071" s="8">
        <f t="shared" ca="1" si="196"/>
        <v>33405</v>
      </c>
      <c r="L1071" s="6">
        <f t="shared" ca="1" si="197"/>
        <v>4</v>
      </c>
      <c r="M1071" s="7">
        <f ca="1" xml:space="preserve">
  IF(OR($N1071 = 2, $N1071 = 3, $N1071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071" s="6">
        <f t="shared" ca="1" si="198"/>
        <v>8</v>
      </c>
      <c r="O1071" s="6">
        <f t="shared" ca="1" si="199"/>
        <v>2</v>
      </c>
      <c r="P1071" s="8">
        <f t="shared" ca="1" si="200"/>
        <v>43359</v>
      </c>
      <c r="Q1071" s="6">
        <f ca="1">RANDBETWEEN(2,COUNTA('Recruitment source'!$A:$A))</f>
        <v>10</v>
      </c>
      <c r="R1071" s="8" t="e">
        <f t="shared" ca="1" si="201"/>
        <v>#N/A</v>
      </c>
      <c r="S1071" s="6" t="e">
        <f t="shared" ca="1" si="202"/>
        <v>#N/A</v>
      </c>
      <c r="T1071" s="6">
        <f t="shared" ca="1" si="192"/>
        <v>5</v>
      </c>
      <c r="U1071" s="1">
        <f t="shared" ca="1" si="203"/>
        <v>2000</v>
      </c>
    </row>
    <row r="1072" spans="1:21" x14ac:dyDescent="0.2">
      <c r="A1072" s="7" cm="1">
        <f t="array" aca="1" ref="A1072" ca="1">INDEX(Companies!$A:$A,RANDBETWEEN(2,COUNTA(Companies!$A:$A)),1)</f>
        <v>2</v>
      </c>
      <c r="B1072" s="5">
        <f t="shared" si="193"/>
        <v>1071</v>
      </c>
      <c r="C1072" s="6">
        <f t="shared" ca="1" si="194"/>
        <v>1</v>
      </c>
      <c r="D1072" s="7">
        <f ca="1">IF($B1072 = 1 + N("Presidente"),
    127,
    IF($B1072 = 2 + N("Vice-Presidente"),
        72,
        IF($B1072 = 3 + N("Secretária bilíngue"),
            13,
            RANDBETWEEN(5,COUNT(Name!$A:$A) + 1)
        )
    )
)</f>
        <v>301</v>
      </c>
      <c r="E1072" s="7" t="str">
        <f ca="1" xml:space="preserve">
VLOOKUP(
  $D1072,
  Name!$A:$B,
  2,
  FALSE
)
&amp; " " &amp;
IF($B1072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Murilo Rizzo Azeredo</v>
      </c>
      <c r="F1072" s="7">
        <v>2</v>
      </c>
      <c r="G1072" s="7" cm="1">
        <f t="array" aca="1" ref="G1072" ca="1">INDEX(States!$B:$B,RANDBETWEEN(2,COUNTA(States!$A:$A)),1)</f>
        <v>13</v>
      </c>
      <c r="H1072" s="7" t="str">
        <f ca="1">VLOOKUP($D1072,Name!$A:$C,3,FALSE)</f>
        <v>M</v>
      </c>
      <c r="I1072" s="7" cm="1">
        <f t="array" aca="1" ref="I1072" ca="1">INDEX('Marital status'!$A:$A,RANDBETWEEN(2,COUNTA('Marital status'!$A:$A)),1)</f>
        <v>6</v>
      </c>
      <c r="J1072" s="7">
        <f t="shared" ca="1" si="195"/>
        <v>2</v>
      </c>
      <c r="K1072" s="8">
        <f t="shared" ca="1" si="196"/>
        <v>19284</v>
      </c>
      <c r="L1072" s="6">
        <f t="shared" ca="1" si="197"/>
        <v>4</v>
      </c>
      <c r="M1072" s="7">
        <f ca="1" xml:space="preserve">
  IF(OR($N1072 = 2, $N1072 = 3, $N1072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072" s="6">
        <f t="shared" ca="1" si="198"/>
        <v>6</v>
      </c>
      <c r="O1072" s="6" t="e">
        <f t="shared" ca="1" si="199"/>
        <v>#N/A</v>
      </c>
      <c r="P1072" s="8">
        <f t="shared" ca="1" si="200"/>
        <v>37246</v>
      </c>
      <c r="Q1072" s="6">
        <f ca="1">RANDBETWEEN(2,COUNTA('Recruitment source'!$A:$A))</f>
        <v>2</v>
      </c>
      <c r="R1072" s="8" t="e">
        <f t="shared" ca="1" si="201"/>
        <v>#N/A</v>
      </c>
      <c r="S1072" s="6" t="e">
        <f t="shared" ca="1" si="202"/>
        <v>#N/A</v>
      </c>
      <c r="T1072" s="6">
        <f t="shared" ca="1" si="192"/>
        <v>5</v>
      </c>
      <c r="U1072" s="1">
        <f t="shared" ca="1" si="203"/>
        <v>805</v>
      </c>
    </row>
    <row r="1073" spans="1:21" x14ac:dyDescent="0.2">
      <c r="A1073" s="7" cm="1">
        <f t="array" aca="1" ref="A1073" ca="1">INDEX(Companies!$A:$A,RANDBETWEEN(2,COUNTA(Companies!$A:$A)),1)</f>
        <v>2</v>
      </c>
      <c r="B1073" s="5">
        <f t="shared" si="193"/>
        <v>1072</v>
      </c>
      <c r="C1073" s="6">
        <f t="shared" ca="1" si="194"/>
        <v>1</v>
      </c>
      <c r="D1073" s="7">
        <f ca="1">IF($B1073 = 1 + N("Presidente"),
    127,
    IF($B1073 = 2 + N("Vice-Presidente"),
        72,
        IF($B1073 = 3 + N("Secretária bilíngue"),
            13,
            RANDBETWEEN(5,COUNT(Name!$A:$A) + 1)
        )
    )
)</f>
        <v>29</v>
      </c>
      <c r="E1073" s="7" t="str">
        <f ca="1" xml:space="preserve">
VLOOKUP(
  $D1073,
  Name!$A:$B,
  2,
  FALSE
)
&amp; " " &amp;
IF($B1073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Cecília Tavarez Conti</v>
      </c>
      <c r="F1073" s="7">
        <v>2</v>
      </c>
      <c r="G1073" s="7" cm="1">
        <f t="array" aca="1" ref="G1073" ca="1">INDEX(States!$B:$B,RANDBETWEEN(2,COUNTA(States!$A:$A)),1)</f>
        <v>8</v>
      </c>
      <c r="H1073" s="7" t="str">
        <f ca="1">VLOOKUP($D1073,Name!$A:$C,3,FALSE)</f>
        <v>F</v>
      </c>
      <c r="I1073" s="7" cm="1">
        <f t="array" aca="1" ref="I1073" ca="1">INDEX('Marital status'!$A:$A,RANDBETWEEN(2,COUNTA('Marital status'!$A:$A)),1)</f>
        <v>5</v>
      </c>
      <c r="J1073" s="7">
        <f t="shared" ca="1" si="195"/>
        <v>2</v>
      </c>
      <c r="K1073" s="8">
        <f t="shared" ca="1" si="196"/>
        <v>34465</v>
      </c>
      <c r="L1073" s="6">
        <f t="shared" ca="1" si="197"/>
        <v>4</v>
      </c>
      <c r="M1073" s="7">
        <f ca="1" xml:space="preserve">
  IF(OR($N1073 = 2, $N1073 = 3, $N1073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073" s="6">
        <f t="shared" ca="1" si="198"/>
        <v>8</v>
      </c>
      <c r="O1073" s="6">
        <f t="shared" ca="1" si="199"/>
        <v>2</v>
      </c>
      <c r="P1073" s="8">
        <f t="shared" ca="1" si="200"/>
        <v>44196</v>
      </c>
      <c r="Q1073" s="6">
        <f ca="1">RANDBETWEEN(2,COUNTA('Recruitment source'!$A:$A))</f>
        <v>2</v>
      </c>
      <c r="R1073" s="8" t="e">
        <f t="shared" ca="1" si="201"/>
        <v>#N/A</v>
      </c>
      <c r="S1073" s="6" t="e">
        <f t="shared" ca="1" si="202"/>
        <v>#N/A</v>
      </c>
      <c r="T1073" s="6">
        <f t="shared" ca="1" si="192"/>
        <v>2</v>
      </c>
      <c r="U1073" s="1">
        <f t="shared" ca="1" si="203"/>
        <v>2000</v>
      </c>
    </row>
    <row r="1074" spans="1:21" x14ac:dyDescent="0.2">
      <c r="A1074" s="7" cm="1">
        <f t="array" aca="1" ref="A1074" ca="1">INDEX(Companies!$A:$A,RANDBETWEEN(2,COUNTA(Companies!$A:$A)),1)</f>
        <v>2</v>
      </c>
      <c r="B1074" s="5">
        <f t="shared" si="193"/>
        <v>1073</v>
      </c>
      <c r="C1074" s="6">
        <f t="shared" ca="1" si="194"/>
        <v>1</v>
      </c>
      <c r="D1074" s="7">
        <f ca="1">IF($B1074 = 1 + N("Presidente"),
    127,
    IF($B1074 = 2 + N("Vice-Presidente"),
        72,
        IF($B1074 = 3 + N("Secretária bilíngue"),
            13,
            RANDBETWEEN(5,COUNT(Name!$A:$A) + 1)
        )
    )
)</f>
        <v>128</v>
      </c>
      <c r="E1074" s="7" t="str">
        <f ca="1" xml:space="preserve">
VLOOKUP(
  $D1074,
  Name!$A:$B,
  2,
  FALSE
)
&amp; " " &amp;
IF($B1074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Enzo Gabriel Cardozo Anjos</v>
      </c>
      <c r="F1074" s="7">
        <v>2</v>
      </c>
      <c r="G1074" s="7" cm="1">
        <f t="array" aca="1" ref="G1074" ca="1">INDEX(States!$B:$B,RANDBETWEEN(2,COUNTA(States!$A:$A)),1)</f>
        <v>4</v>
      </c>
      <c r="H1074" s="7" t="str">
        <f ca="1">VLOOKUP($D1074,Name!$A:$C,3,FALSE)</f>
        <v>M</v>
      </c>
      <c r="I1074" s="7" cm="1">
        <f t="array" aca="1" ref="I1074" ca="1">INDEX('Marital status'!$A:$A,RANDBETWEEN(2,COUNTA('Marital status'!$A:$A)),1)</f>
        <v>6</v>
      </c>
      <c r="J1074" s="7">
        <f t="shared" ca="1" si="195"/>
        <v>2</v>
      </c>
      <c r="K1074" s="8">
        <f t="shared" ca="1" si="196"/>
        <v>33744</v>
      </c>
      <c r="L1074" s="6">
        <f t="shared" ca="1" si="197"/>
        <v>4</v>
      </c>
      <c r="M1074" s="7">
        <f ca="1" xml:space="preserve">
  IF(OR($N1074 = 2, $N1074 = 3, $N1074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074" s="6">
        <f t="shared" ca="1" si="198"/>
        <v>6</v>
      </c>
      <c r="O1074" s="6" t="e">
        <f t="shared" ca="1" si="199"/>
        <v>#N/A</v>
      </c>
      <c r="P1074" s="8">
        <f t="shared" ca="1" si="200"/>
        <v>40262</v>
      </c>
      <c r="Q1074" s="6">
        <f ca="1">RANDBETWEEN(2,COUNTA('Recruitment source'!$A:$A))</f>
        <v>9</v>
      </c>
      <c r="R1074" s="8" t="e">
        <f t="shared" ca="1" si="201"/>
        <v>#N/A</v>
      </c>
      <c r="S1074" s="6" t="e">
        <f t="shared" ca="1" si="202"/>
        <v>#N/A</v>
      </c>
      <c r="T1074" s="6">
        <f t="shared" ca="1" si="192"/>
        <v>3</v>
      </c>
      <c r="U1074" s="1">
        <f t="shared" ca="1" si="203"/>
        <v>885</v>
      </c>
    </row>
    <row r="1075" spans="1:21" x14ac:dyDescent="0.2">
      <c r="A1075" s="7" cm="1">
        <f t="array" aca="1" ref="A1075" ca="1">INDEX(Companies!$A:$A,RANDBETWEEN(2,COUNTA(Companies!$A:$A)),1)</f>
        <v>2</v>
      </c>
      <c r="B1075" s="5">
        <f t="shared" si="193"/>
        <v>1074</v>
      </c>
      <c r="C1075" s="6">
        <f t="shared" ca="1" si="194"/>
        <v>1</v>
      </c>
      <c r="D1075" s="7">
        <f ca="1">IF($B1075 = 1 + N("Presidente"),
    127,
    IF($B1075 = 2 + N("Vice-Presidente"),
        72,
        IF($B1075 = 3 + N("Secretária bilíngue"),
            13,
            RANDBETWEEN(5,COUNT(Name!$A:$A) + 1)
        )
    )
)</f>
        <v>291</v>
      </c>
      <c r="E1075" s="7" t="str">
        <f ca="1" xml:space="preserve">
VLOOKUP(
  $D1075,
  Name!$A:$B,
  2,
  FALSE
)
&amp; " " &amp;
IF($B1075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Melyssa Teixeira Barbieri</v>
      </c>
      <c r="F1075" s="7">
        <v>2</v>
      </c>
      <c r="G1075" s="7" cm="1">
        <f t="array" aca="1" ref="G1075" ca="1">INDEX(States!$B:$B,RANDBETWEEN(2,COUNTA(States!$A:$A)),1)</f>
        <v>8</v>
      </c>
      <c r="H1075" s="7" t="str">
        <f ca="1">VLOOKUP($D1075,Name!$A:$C,3,FALSE)</f>
        <v>F</v>
      </c>
      <c r="I1075" s="7" cm="1">
        <f t="array" aca="1" ref="I1075" ca="1">INDEX('Marital status'!$A:$A,RANDBETWEEN(2,COUNTA('Marital status'!$A:$A)),1)</f>
        <v>4</v>
      </c>
      <c r="J1075" s="7">
        <f t="shared" ca="1" si="195"/>
        <v>2</v>
      </c>
      <c r="K1075" s="8">
        <f t="shared" ca="1" si="196"/>
        <v>38031</v>
      </c>
      <c r="L1075" s="6">
        <f t="shared" ca="1" si="197"/>
        <v>4</v>
      </c>
      <c r="M1075" s="7">
        <f ca="1" xml:space="preserve">
  IF(OR($N1075 = 2, $N1075 = 3, $N1075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075" s="6">
        <f t="shared" ca="1" si="198"/>
        <v>8</v>
      </c>
      <c r="O1075" s="6">
        <f t="shared" ca="1" si="199"/>
        <v>2</v>
      </c>
      <c r="P1075" s="8">
        <f t="shared" ca="1" si="200"/>
        <v>44838</v>
      </c>
      <c r="Q1075" s="6">
        <f ca="1">RANDBETWEEN(2,COUNTA('Recruitment source'!$A:$A))</f>
        <v>2</v>
      </c>
      <c r="R1075" s="8" t="e">
        <f t="shared" ca="1" si="201"/>
        <v>#N/A</v>
      </c>
      <c r="S1075" s="6" t="e">
        <f t="shared" ca="1" si="202"/>
        <v>#N/A</v>
      </c>
      <c r="T1075" s="6">
        <f t="shared" ca="1" si="192"/>
        <v>5</v>
      </c>
      <c r="U1075" s="1">
        <f t="shared" ca="1" si="203"/>
        <v>2000</v>
      </c>
    </row>
    <row r="1076" spans="1:21" x14ac:dyDescent="0.2">
      <c r="A1076" s="7" cm="1">
        <f t="array" aca="1" ref="A1076" ca="1">INDEX(Companies!$A:$A,RANDBETWEEN(2,COUNTA(Companies!$A:$A)),1)</f>
        <v>2</v>
      </c>
      <c r="B1076" s="5">
        <f t="shared" si="193"/>
        <v>1075</v>
      </c>
      <c r="C1076" s="6">
        <f t="shared" ca="1" si="194"/>
        <v>1</v>
      </c>
      <c r="D1076" s="7">
        <f ca="1">IF($B1076 = 1 + N("Presidente"),
    127,
    IF($B1076 = 2 + N("Vice-Presidente"),
        72,
        IF($B1076 = 3 + N("Secretária bilíngue"),
            13,
            RANDBETWEEN(5,COUNT(Name!$A:$A) + 1)
        )
    )
)</f>
        <v>318</v>
      </c>
      <c r="E1076" s="7" t="str">
        <f ca="1" xml:space="preserve">
VLOOKUP(
  $D1076,
  Name!$A:$B,
  2,
  FALSE
)
&amp; " " &amp;
IF($B1076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Lucas Martini Borba</v>
      </c>
      <c r="F1076" s="7">
        <v>2</v>
      </c>
      <c r="G1076" s="7" cm="1">
        <f t="array" aca="1" ref="G1076" ca="1">INDEX(States!$B:$B,RANDBETWEEN(2,COUNTA(States!$A:$A)),1)</f>
        <v>21</v>
      </c>
      <c r="H1076" s="7" t="str">
        <f ca="1">VLOOKUP($D1076,Name!$A:$C,3,FALSE)</f>
        <v>M</v>
      </c>
      <c r="I1076" s="7" cm="1">
        <f t="array" aca="1" ref="I1076" ca="1">INDEX('Marital status'!$A:$A,RANDBETWEEN(2,COUNTA('Marital status'!$A:$A)),1)</f>
        <v>3</v>
      </c>
      <c r="J1076" s="7">
        <f t="shared" ca="1" si="195"/>
        <v>2</v>
      </c>
      <c r="K1076" s="8">
        <f t="shared" ca="1" si="196"/>
        <v>31760</v>
      </c>
      <c r="L1076" s="6">
        <f t="shared" ca="1" si="197"/>
        <v>4</v>
      </c>
      <c r="M1076" s="7">
        <f ca="1" xml:space="preserve">
  IF(OR($N1076 = 2, $N1076 = 3, $N1076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076" s="6">
        <f t="shared" ca="1" si="198"/>
        <v>7</v>
      </c>
      <c r="O1076" s="6" t="e">
        <f t="shared" ca="1" si="199"/>
        <v>#N/A</v>
      </c>
      <c r="P1076" s="8">
        <f t="shared" ca="1" si="200"/>
        <v>37591</v>
      </c>
      <c r="Q1076" s="6">
        <f ca="1">RANDBETWEEN(2,COUNTA('Recruitment source'!$A:$A))</f>
        <v>7</v>
      </c>
      <c r="R1076" s="8" t="e">
        <f t="shared" ca="1" si="201"/>
        <v>#N/A</v>
      </c>
      <c r="S1076" s="6" t="e">
        <f t="shared" ca="1" si="202"/>
        <v>#N/A</v>
      </c>
      <c r="T1076" s="6">
        <f t="shared" ca="1" si="192"/>
        <v>4</v>
      </c>
      <c r="U1076" s="1">
        <f t="shared" ca="1" si="203"/>
        <v>1085</v>
      </c>
    </row>
    <row r="1077" spans="1:21" x14ac:dyDescent="0.2">
      <c r="A1077" s="7" cm="1">
        <f t="array" aca="1" ref="A1077" ca="1">INDEX(Companies!$A:$A,RANDBETWEEN(2,COUNTA(Companies!$A:$A)),1)</f>
        <v>2</v>
      </c>
      <c r="B1077" s="5">
        <f t="shared" si="193"/>
        <v>1076</v>
      </c>
      <c r="C1077" s="6">
        <f t="shared" ca="1" si="194"/>
        <v>1</v>
      </c>
      <c r="D1077" s="7">
        <f ca="1">IF($B1077 = 1 + N("Presidente"),
    127,
    IF($B1077 = 2 + N("Vice-Presidente"),
        72,
        IF($B1077 = 3 + N("Secretária bilíngue"),
            13,
            RANDBETWEEN(5,COUNT(Name!$A:$A) + 1)
        )
    )
)</f>
        <v>290</v>
      </c>
      <c r="E1077" s="7" t="str">
        <f ca="1" xml:space="preserve">
VLOOKUP(
  $D1077,
  Name!$A:$B,
  2,
  FALSE
)
&amp; " " &amp;
IF($B1077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Melissa Giordano Moretti</v>
      </c>
      <c r="F1077" s="7">
        <v>2</v>
      </c>
      <c r="G1077" s="7" cm="1">
        <f t="array" aca="1" ref="G1077" ca="1">INDEX(States!$B:$B,RANDBETWEEN(2,COUNTA(States!$A:$A)),1)</f>
        <v>5</v>
      </c>
      <c r="H1077" s="7" t="str">
        <f ca="1">VLOOKUP($D1077,Name!$A:$C,3,FALSE)</f>
        <v>F</v>
      </c>
      <c r="I1077" s="7" cm="1">
        <f t="array" aca="1" ref="I1077" ca="1">INDEX('Marital status'!$A:$A,RANDBETWEEN(2,COUNTA('Marital status'!$A:$A)),1)</f>
        <v>5</v>
      </c>
      <c r="J1077" s="7">
        <f t="shared" ca="1" si="195"/>
        <v>2</v>
      </c>
      <c r="K1077" s="8">
        <f t="shared" ca="1" si="196"/>
        <v>35747</v>
      </c>
      <c r="L1077" s="6">
        <f t="shared" ca="1" si="197"/>
        <v>5</v>
      </c>
      <c r="M1077" s="7">
        <f ca="1" xml:space="preserve">
  IF(OR($N1077 = 2, $N1077 = 3, $N1077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077" s="6">
        <f t="shared" ca="1" si="198"/>
        <v>8</v>
      </c>
      <c r="O1077" s="6">
        <f t="shared" ca="1" si="199"/>
        <v>2</v>
      </c>
      <c r="P1077" s="8">
        <f t="shared" ca="1" si="200"/>
        <v>40983</v>
      </c>
      <c r="Q1077" s="6">
        <f ca="1">RANDBETWEEN(2,COUNTA('Recruitment source'!$A:$A))</f>
        <v>4</v>
      </c>
      <c r="R1077" s="8" t="e">
        <f t="shared" ca="1" si="201"/>
        <v>#N/A</v>
      </c>
      <c r="S1077" s="6" t="e">
        <f t="shared" ca="1" si="202"/>
        <v>#N/A</v>
      </c>
      <c r="T1077" s="6">
        <f t="shared" ca="1" si="192"/>
        <v>2</v>
      </c>
      <c r="U1077" s="1">
        <f t="shared" ca="1" si="203"/>
        <v>2000</v>
      </c>
    </row>
    <row r="1078" spans="1:21" x14ac:dyDescent="0.2">
      <c r="A1078" s="7" cm="1">
        <f t="array" aca="1" ref="A1078" ca="1">INDEX(Companies!$A:$A,RANDBETWEEN(2,COUNTA(Companies!$A:$A)),1)</f>
        <v>2</v>
      </c>
      <c r="B1078" s="5">
        <f t="shared" si="193"/>
        <v>1077</v>
      </c>
      <c r="C1078" s="6">
        <f t="shared" ca="1" si="194"/>
        <v>1</v>
      </c>
      <c r="D1078" s="7">
        <f ca="1">IF($B1078 = 1 + N("Presidente"),
    127,
    IF($B1078 = 2 + N("Vice-Presidente"),
        72,
        IF($B1078 = 3 + N("Secretária bilíngue"),
            13,
            RANDBETWEEN(5,COUNT(Name!$A:$A) + 1)
        )
    )
)</f>
        <v>294</v>
      </c>
      <c r="E1078" s="7" t="str">
        <f ca="1" xml:space="preserve">
VLOOKUP(
  $D1078,
  Name!$A:$B,
  2,
  FALSE
)
&amp; " " &amp;
IF($B1078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Michel Nascimento Tavares</v>
      </c>
      <c r="F1078" s="7">
        <v>2</v>
      </c>
      <c r="G1078" s="7" cm="1">
        <f t="array" aca="1" ref="G1078" ca="1">INDEX(States!$B:$B,RANDBETWEEN(2,COUNTA(States!$A:$A)),1)</f>
        <v>3</v>
      </c>
      <c r="H1078" s="7" t="str">
        <f ca="1">VLOOKUP($D1078,Name!$A:$C,3,FALSE)</f>
        <v>M</v>
      </c>
      <c r="I1078" s="7" cm="1">
        <f t="array" aca="1" ref="I1078" ca="1">INDEX('Marital status'!$A:$A,RANDBETWEEN(2,COUNTA('Marital status'!$A:$A)),1)</f>
        <v>6</v>
      </c>
      <c r="J1078" s="7">
        <f t="shared" ca="1" si="195"/>
        <v>4</v>
      </c>
      <c r="K1078" s="8">
        <f t="shared" ca="1" si="196"/>
        <v>32185</v>
      </c>
      <c r="L1078" s="6">
        <f t="shared" ca="1" si="197"/>
        <v>4</v>
      </c>
      <c r="M1078" s="7">
        <f ca="1" xml:space="preserve">
  IF(OR($N1078 = 2, $N1078 = 3, $N1078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078" s="6">
        <f t="shared" ca="1" si="198"/>
        <v>7</v>
      </c>
      <c r="O1078" s="6" t="e">
        <f t="shared" ca="1" si="199"/>
        <v>#N/A</v>
      </c>
      <c r="P1078" s="8">
        <f t="shared" ca="1" si="200"/>
        <v>38709</v>
      </c>
      <c r="Q1078" s="6">
        <f ca="1">RANDBETWEEN(2,COUNTA('Recruitment source'!$A:$A))</f>
        <v>3</v>
      </c>
      <c r="R1078" s="8" t="e">
        <f t="shared" ca="1" si="201"/>
        <v>#N/A</v>
      </c>
      <c r="S1078" s="6" t="e">
        <f t="shared" ca="1" si="202"/>
        <v>#N/A</v>
      </c>
      <c r="T1078" s="6">
        <f t="shared" ca="1" si="192"/>
        <v>5</v>
      </c>
      <c r="U1078" s="1">
        <f t="shared" ca="1" si="203"/>
        <v>1005</v>
      </c>
    </row>
    <row r="1079" spans="1:21" x14ac:dyDescent="0.2">
      <c r="A1079" s="7" cm="1">
        <f t="array" aca="1" ref="A1079" ca="1">INDEX(Companies!$A:$A,RANDBETWEEN(2,COUNTA(Companies!$A:$A)),1)</f>
        <v>2</v>
      </c>
      <c r="B1079" s="5">
        <f t="shared" si="193"/>
        <v>1078</v>
      </c>
      <c r="C1079" s="6">
        <f t="shared" ca="1" si="194"/>
        <v>1</v>
      </c>
      <c r="D1079" s="7">
        <f ca="1">IF($B1079 = 1 + N("Presidente"),
    127,
    IF($B1079 = 2 + N("Vice-Presidente"),
        72,
        IF($B1079 = 3 + N("Secretária bilíngue"),
            13,
            RANDBETWEEN(5,COUNT(Name!$A:$A) + 1)
        )
    )
)</f>
        <v>120</v>
      </c>
      <c r="E1079" s="7" t="str">
        <f ca="1" xml:space="preserve">
VLOOKUP(
  $D1079,
  Name!$A:$B,
  2,
  FALSE
)
&amp; " " &amp;
IF($B1079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Eliza Bispo Pimentel</v>
      </c>
      <c r="F1079" s="7">
        <v>2</v>
      </c>
      <c r="G1079" s="7" cm="1">
        <f t="array" aca="1" ref="G1079" ca="1">INDEX(States!$B:$B,RANDBETWEEN(2,COUNTA(States!$A:$A)),1)</f>
        <v>10</v>
      </c>
      <c r="H1079" s="7" t="str">
        <f ca="1">VLOOKUP($D1079,Name!$A:$C,3,FALSE)</f>
        <v>F</v>
      </c>
      <c r="I1079" s="7" cm="1">
        <f t="array" aca="1" ref="I1079" ca="1">INDEX('Marital status'!$A:$A,RANDBETWEEN(2,COUNTA('Marital status'!$A:$A)),1)</f>
        <v>3</v>
      </c>
      <c r="J1079" s="7">
        <f t="shared" ca="1" si="195"/>
        <v>2</v>
      </c>
      <c r="K1079" s="8">
        <f t="shared" ca="1" si="196"/>
        <v>36532</v>
      </c>
      <c r="L1079" s="6">
        <f t="shared" ca="1" si="197"/>
        <v>4</v>
      </c>
      <c r="M1079" s="7">
        <f ca="1" xml:space="preserve">
  IF(OR($N1079 = 2, $N1079 = 3, $N1079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079" s="6">
        <f t="shared" ca="1" si="198"/>
        <v>8</v>
      </c>
      <c r="O1079" s="6">
        <f t="shared" ca="1" si="199"/>
        <v>2</v>
      </c>
      <c r="P1079" s="8">
        <f t="shared" ca="1" si="200"/>
        <v>41531</v>
      </c>
      <c r="Q1079" s="6">
        <f ca="1">RANDBETWEEN(2,COUNTA('Recruitment source'!$A:$A))</f>
        <v>3</v>
      </c>
      <c r="R1079" s="8" t="e">
        <f t="shared" ca="1" si="201"/>
        <v>#N/A</v>
      </c>
      <c r="S1079" s="6" t="e">
        <f t="shared" ca="1" si="202"/>
        <v>#N/A</v>
      </c>
      <c r="T1079" s="6">
        <f t="shared" ca="1" si="192"/>
        <v>4</v>
      </c>
      <c r="U1079" s="1">
        <f t="shared" ca="1" si="203"/>
        <v>2050</v>
      </c>
    </row>
    <row r="1080" spans="1:21" x14ac:dyDescent="0.2">
      <c r="A1080" s="7" cm="1">
        <f t="array" aca="1" ref="A1080" ca="1">INDEX(Companies!$A:$A,RANDBETWEEN(2,COUNTA(Companies!$A:$A)),1)</f>
        <v>2</v>
      </c>
      <c r="B1080" s="5">
        <f t="shared" si="193"/>
        <v>1079</v>
      </c>
      <c r="C1080" s="6">
        <f t="shared" ca="1" si="194"/>
        <v>1</v>
      </c>
      <c r="D1080" s="7">
        <f ca="1">IF($B1080 = 1 + N("Presidente"),
    127,
    IF($B1080 = 2 + N("Vice-Presidente"),
        72,
        IF($B1080 = 3 + N("Secretária bilíngue"),
            13,
            RANDBETWEEN(5,COUNT(Name!$A:$A) + 1)
        )
    )
)</f>
        <v>152</v>
      </c>
      <c r="E1080" s="7" t="str">
        <f ca="1" xml:space="preserve">
VLOOKUP(
  $D1080,
  Name!$A:$B,
  2,
  FALSE
)
&amp; " " &amp;
IF($B1080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Gael Sá Rodrigues</v>
      </c>
      <c r="F1080" s="7">
        <v>2</v>
      </c>
      <c r="G1080" s="7" cm="1">
        <f t="array" aca="1" ref="G1080" ca="1">INDEX(States!$B:$B,RANDBETWEEN(2,COUNTA(States!$A:$A)),1)</f>
        <v>20</v>
      </c>
      <c r="H1080" s="7" t="str">
        <f ca="1">VLOOKUP($D1080,Name!$A:$C,3,FALSE)</f>
        <v>M</v>
      </c>
      <c r="I1080" s="7" cm="1">
        <f t="array" aca="1" ref="I1080" ca="1">INDEX('Marital status'!$A:$A,RANDBETWEEN(2,COUNTA('Marital status'!$A:$A)),1)</f>
        <v>6</v>
      </c>
      <c r="J1080" s="7">
        <f t="shared" ca="1" si="195"/>
        <v>2</v>
      </c>
      <c r="K1080" s="8">
        <f t="shared" ca="1" si="196"/>
        <v>24139</v>
      </c>
      <c r="L1080" s="6">
        <f t="shared" ca="1" si="197"/>
        <v>4</v>
      </c>
      <c r="M1080" s="7">
        <f ca="1" xml:space="preserve">
  IF(OR($N1080 = 2, $N1080 = 3, $N1080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080" s="6">
        <f t="shared" ca="1" si="198"/>
        <v>6</v>
      </c>
      <c r="O1080" s="6" t="e">
        <f t="shared" ca="1" si="199"/>
        <v>#N/A</v>
      </c>
      <c r="P1080" s="8">
        <f t="shared" ca="1" si="200"/>
        <v>41904</v>
      </c>
      <c r="Q1080" s="6">
        <f ca="1">RANDBETWEEN(2,COUNTA('Recruitment source'!$A:$A))</f>
        <v>10</v>
      </c>
      <c r="R1080" s="8" t="e">
        <f t="shared" ca="1" si="201"/>
        <v>#N/A</v>
      </c>
      <c r="S1080" s="6" t="e">
        <f t="shared" ca="1" si="202"/>
        <v>#N/A</v>
      </c>
      <c r="T1080" s="6">
        <f t="shared" ca="1" si="192"/>
        <v>4</v>
      </c>
      <c r="U1080" s="1">
        <f t="shared" ca="1" si="203"/>
        <v>885</v>
      </c>
    </row>
    <row r="1081" spans="1:21" x14ac:dyDescent="0.2">
      <c r="A1081" s="7" cm="1">
        <f t="array" aca="1" ref="A1081" ca="1">INDEX(Companies!$A:$A,RANDBETWEEN(2,COUNTA(Companies!$A:$A)),1)</f>
        <v>2</v>
      </c>
      <c r="B1081" s="5">
        <f t="shared" si="193"/>
        <v>1080</v>
      </c>
      <c r="C1081" s="6">
        <f t="shared" ca="1" si="194"/>
        <v>1</v>
      </c>
      <c r="D1081" s="7">
        <f ca="1">IF($B1081 = 1 + N("Presidente"),
    127,
    IF($B1081 = 2 + N("Vice-Presidente"),
        72,
        IF($B1081 = 3 + N("Secretária bilíngue"),
            13,
            RANDBETWEEN(5,COUNT(Name!$A:$A) + 1)
        )
    )
)</f>
        <v>73</v>
      </c>
      <c r="E1081" s="7" t="str">
        <f ca="1" xml:space="preserve">
VLOOKUP(
  $D1081,
  Name!$A:$B,
  2,
  FALSE
)
&amp; " " &amp;
IF($B1081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Bianca Cunha Sá</v>
      </c>
      <c r="F1081" s="7">
        <v>2</v>
      </c>
      <c r="G1081" s="7" cm="1">
        <f t="array" aca="1" ref="G1081" ca="1">INDEX(States!$B:$B,RANDBETWEEN(2,COUNTA(States!$A:$A)),1)</f>
        <v>19</v>
      </c>
      <c r="H1081" s="7" t="str">
        <f ca="1">VLOOKUP($D1081,Name!$A:$C,3,FALSE)</f>
        <v>F</v>
      </c>
      <c r="I1081" s="7" cm="1">
        <f t="array" aca="1" ref="I1081" ca="1">INDEX('Marital status'!$A:$A,RANDBETWEEN(2,COUNTA('Marital status'!$A:$A)),1)</f>
        <v>2</v>
      </c>
      <c r="J1081" s="7">
        <f t="shared" ca="1" si="195"/>
        <v>2</v>
      </c>
      <c r="K1081" s="8">
        <f t="shared" ca="1" si="196"/>
        <v>34334</v>
      </c>
      <c r="L1081" s="6">
        <f t="shared" ca="1" si="197"/>
        <v>4</v>
      </c>
      <c r="M1081" s="7">
        <f ca="1" xml:space="preserve">
  IF(OR($N1081 = 2, $N1081 = 3, $N1081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081" s="6">
        <f t="shared" ca="1" si="198"/>
        <v>8</v>
      </c>
      <c r="O1081" s="6">
        <f t="shared" ca="1" si="199"/>
        <v>2</v>
      </c>
      <c r="P1081" s="8">
        <f t="shared" ca="1" si="200"/>
        <v>38756</v>
      </c>
      <c r="Q1081" s="6">
        <f ca="1">RANDBETWEEN(2,COUNTA('Recruitment source'!$A:$A))</f>
        <v>11</v>
      </c>
      <c r="R1081" s="8" t="e">
        <f t="shared" ca="1" si="201"/>
        <v>#N/A</v>
      </c>
      <c r="S1081" s="6" t="e">
        <f t="shared" ca="1" si="202"/>
        <v>#N/A</v>
      </c>
      <c r="T1081" s="6">
        <f t="shared" ca="1" si="192"/>
        <v>4</v>
      </c>
      <c r="U1081" s="1">
        <f t="shared" ca="1" si="203"/>
        <v>2080</v>
      </c>
    </row>
    <row r="1082" spans="1:21" x14ac:dyDescent="0.2">
      <c r="A1082" s="7" cm="1">
        <f t="array" aca="1" ref="A1082" ca="1">INDEX(Companies!$A:$A,RANDBETWEEN(2,COUNTA(Companies!$A:$A)),1)</f>
        <v>2</v>
      </c>
      <c r="B1082" s="5">
        <f t="shared" si="193"/>
        <v>1081</v>
      </c>
      <c r="C1082" s="6">
        <f t="shared" ca="1" si="194"/>
        <v>1</v>
      </c>
      <c r="D1082" s="7">
        <f ca="1">IF($B1082 = 1 + N("Presidente"),
    127,
    IF($B1082 = 2 + N("Vice-Presidente"),
        72,
        IF($B1082 = 3 + N("Secretária bilíngue"),
            13,
            RANDBETWEEN(5,COUNT(Name!$A:$A) + 1)
        )
    )
)</f>
        <v>82</v>
      </c>
      <c r="E1082" s="7" t="str">
        <f ca="1" xml:space="preserve">
VLOOKUP(
  $D1082,
  Name!$A:$B,
  2,
  FALSE
)
&amp; " " &amp;
IF($B1082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Caleb Alvim Saragoça</v>
      </c>
      <c r="F1082" s="7">
        <v>2</v>
      </c>
      <c r="G1082" s="7" cm="1">
        <f t="array" aca="1" ref="G1082" ca="1">INDEX(States!$B:$B,RANDBETWEEN(2,COUNTA(States!$A:$A)),1)</f>
        <v>7</v>
      </c>
      <c r="H1082" s="7" t="str">
        <f ca="1">VLOOKUP($D1082,Name!$A:$C,3,FALSE)</f>
        <v>M</v>
      </c>
      <c r="I1082" s="7" cm="1">
        <f t="array" aca="1" ref="I1082" ca="1">INDEX('Marital status'!$A:$A,RANDBETWEEN(2,COUNTA('Marital status'!$A:$A)),1)</f>
        <v>6</v>
      </c>
      <c r="J1082" s="7">
        <f t="shared" ca="1" si="195"/>
        <v>2</v>
      </c>
      <c r="K1082" s="8">
        <f t="shared" ca="1" si="196"/>
        <v>24040</v>
      </c>
      <c r="L1082" s="6">
        <f t="shared" ca="1" si="197"/>
        <v>4</v>
      </c>
      <c r="M1082" s="7">
        <f ca="1" xml:space="preserve">
  IF(OR($N1082 = 2, $N1082 = 3, $N1082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082" s="6">
        <f t="shared" ca="1" si="198"/>
        <v>6</v>
      </c>
      <c r="O1082" s="6" t="e">
        <f t="shared" ca="1" si="199"/>
        <v>#N/A</v>
      </c>
      <c r="P1082" s="8">
        <f t="shared" ca="1" si="200"/>
        <v>43879</v>
      </c>
      <c r="Q1082" s="6">
        <f ca="1">RANDBETWEEN(2,COUNTA('Recruitment source'!$A:$A))</f>
        <v>6</v>
      </c>
      <c r="R1082" s="8" t="e">
        <f t="shared" ca="1" si="201"/>
        <v>#N/A</v>
      </c>
      <c r="S1082" s="6" t="e">
        <f t="shared" ca="1" si="202"/>
        <v>#N/A</v>
      </c>
      <c r="T1082" s="6">
        <f t="shared" ca="1" si="192"/>
        <v>4</v>
      </c>
      <c r="U1082" s="1">
        <f t="shared" ca="1" si="203"/>
        <v>805</v>
      </c>
    </row>
    <row r="1083" spans="1:21" x14ac:dyDescent="0.2">
      <c r="A1083" s="7" cm="1">
        <f t="array" aca="1" ref="A1083" ca="1">INDEX(Companies!$A:$A,RANDBETWEEN(2,COUNTA(Companies!$A:$A)),1)</f>
        <v>2</v>
      </c>
      <c r="B1083" s="5">
        <f t="shared" si="193"/>
        <v>1082</v>
      </c>
      <c r="C1083" s="6">
        <f t="shared" ca="1" si="194"/>
        <v>1</v>
      </c>
      <c r="D1083" s="7">
        <f ca="1">IF($B1083 = 1 + N("Presidente"),
    127,
    IF($B1083 = 2 + N("Vice-Presidente"),
        72,
        IF($B1083 = 3 + N("Secretária bilíngue"),
            13,
            RANDBETWEEN(5,COUNT(Name!$A:$A) + 1)
        )
    )
)</f>
        <v>225</v>
      </c>
      <c r="E1083" s="7" t="str">
        <f ca="1" xml:space="preserve">
VLOOKUP(
  $D1083,
  Name!$A:$B,
  2,
  FALSE
)
&amp; " " &amp;
IF($B1083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Levi Russo Gouveia</v>
      </c>
      <c r="F1083" s="7">
        <v>2</v>
      </c>
      <c r="G1083" s="7" cm="1">
        <f t="array" aca="1" ref="G1083" ca="1">INDEX(States!$B:$B,RANDBETWEEN(2,COUNTA(States!$A:$A)),1)</f>
        <v>9</v>
      </c>
      <c r="H1083" s="7" t="str">
        <f ca="1">VLOOKUP($D1083,Name!$A:$C,3,FALSE)</f>
        <v>M</v>
      </c>
      <c r="I1083" s="7" cm="1">
        <f t="array" aca="1" ref="I1083" ca="1">INDEX('Marital status'!$A:$A,RANDBETWEEN(2,COUNTA('Marital status'!$A:$A)),1)</f>
        <v>4</v>
      </c>
      <c r="J1083" s="7">
        <f t="shared" ca="1" si="195"/>
        <v>5</v>
      </c>
      <c r="K1083" s="8">
        <f t="shared" ca="1" si="196"/>
        <v>34710</v>
      </c>
      <c r="L1083" s="6">
        <f t="shared" ca="1" si="197"/>
        <v>5</v>
      </c>
      <c r="M1083" s="7">
        <f ca="1" xml:space="preserve">
  IF(OR($N1083 = 2, $N1083 = 3, $N1083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083" s="6">
        <f t="shared" ca="1" si="198"/>
        <v>8</v>
      </c>
      <c r="O1083" s="6">
        <f t="shared" ca="1" si="199"/>
        <v>2</v>
      </c>
      <c r="P1083" s="8">
        <f t="shared" ca="1" si="200"/>
        <v>43433</v>
      </c>
      <c r="Q1083" s="6">
        <f ca="1">RANDBETWEEN(2,COUNTA('Recruitment source'!$A:$A))</f>
        <v>11</v>
      </c>
      <c r="R1083" s="8" t="e">
        <f t="shared" ca="1" si="201"/>
        <v>#N/A</v>
      </c>
      <c r="S1083" s="6" t="e">
        <f t="shared" ca="1" si="202"/>
        <v>#N/A</v>
      </c>
      <c r="T1083" s="6">
        <f t="shared" ca="1" si="192"/>
        <v>3</v>
      </c>
      <c r="U1083" s="1">
        <f t="shared" ca="1" si="203"/>
        <v>2050</v>
      </c>
    </row>
    <row r="1084" spans="1:21" x14ac:dyDescent="0.2">
      <c r="A1084" s="7" cm="1">
        <f t="array" aca="1" ref="A1084" ca="1">INDEX(Companies!$A:$A,RANDBETWEEN(2,COUNTA(Companies!$A:$A)),1)</f>
        <v>2</v>
      </c>
      <c r="B1084" s="5">
        <f t="shared" si="193"/>
        <v>1083</v>
      </c>
      <c r="C1084" s="6">
        <f t="shared" ca="1" si="194"/>
        <v>1</v>
      </c>
      <c r="D1084" s="7">
        <f ca="1">IF($B1084 = 1 + N("Presidente"),
    127,
    IF($B1084 = 2 + N("Vice-Presidente"),
        72,
        IF($B1084 = 3 + N("Secretária bilíngue"),
            13,
            RANDBETWEEN(5,COUNT(Name!$A:$A) + 1)
        )
    )
)</f>
        <v>33</v>
      </c>
      <c r="E1084" s="7" t="str">
        <f ca="1" xml:space="preserve">
VLOOKUP(
  $D1084,
  Name!$A:$B,
  2,
  FALSE
)
&amp; " " &amp;
IF($B1084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Lívia Leitão Cardozo</v>
      </c>
      <c r="F1084" s="7">
        <v>2</v>
      </c>
      <c r="G1084" s="7" cm="1">
        <f t="array" aca="1" ref="G1084" ca="1">INDEX(States!$B:$B,RANDBETWEEN(2,COUNTA(States!$A:$A)),1)</f>
        <v>5</v>
      </c>
      <c r="H1084" s="7" t="str">
        <f ca="1">VLOOKUP($D1084,Name!$A:$C,3,FALSE)</f>
        <v>F</v>
      </c>
      <c r="I1084" s="7" cm="1">
        <f t="array" aca="1" ref="I1084" ca="1">INDEX('Marital status'!$A:$A,RANDBETWEEN(2,COUNTA('Marital status'!$A:$A)),1)</f>
        <v>6</v>
      </c>
      <c r="J1084" s="7">
        <f t="shared" ca="1" si="195"/>
        <v>2</v>
      </c>
      <c r="K1084" s="8">
        <f t="shared" ca="1" si="196"/>
        <v>34770</v>
      </c>
      <c r="L1084" s="6">
        <f t="shared" ca="1" si="197"/>
        <v>4</v>
      </c>
      <c r="M1084" s="7">
        <f ca="1" xml:space="preserve">
  IF(OR($N1084 = 2, $N1084 = 3, $N1084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084" s="6">
        <f t="shared" ca="1" si="198"/>
        <v>7</v>
      </c>
      <c r="O1084" s="6" t="e">
        <f t="shared" ca="1" si="199"/>
        <v>#N/A</v>
      </c>
      <c r="P1084" s="8">
        <f t="shared" ca="1" si="200"/>
        <v>38203</v>
      </c>
      <c r="Q1084" s="6">
        <f ca="1">RANDBETWEEN(2,COUNTA('Recruitment source'!$A:$A))</f>
        <v>2</v>
      </c>
      <c r="R1084" s="8" t="e">
        <f t="shared" ca="1" si="201"/>
        <v>#N/A</v>
      </c>
      <c r="S1084" s="6" t="e">
        <f t="shared" ca="1" si="202"/>
        <v>#N/A</v>
      </c>
      <c r="T1084" s="6">
        <f t="shared" ca="1" si="192"/>
        <v>3</v>
      </c>
      <c r="U1084" s="1">
        <f t="shared" ca="1" si="203"/>
        <v>1005</v>
      </c>
    </row>
    <row r="1085" spans="1:21" x14ac:dyDescent="0.2">
      <c r="A1085" s="7" cm="1">
        <f t="array" aca="1" ref="A1085" ca="1">INDEX(Companies!$A:$A,RANDBETWEEN(2,COUNTA(Companies!$A:$A)),1)</f>
        <v>2</v>
      </c>
      <c r="B1085" s="5">
        <f t="shared" si="193"/>
        <v>1084</v>
      </c>
      <c r="C1085" s="6">
        <f t="shared" ca="1" si="194"/>
        <v>1</v>
      </c>
      <c r="D1085" s="7">
        <f ca="1">IF($B1085 = 1 + N("Presidente"),
    127,
    IF($B1085 = 2 + N("Vice-Presidente"),
        72,
        IF($B1085 = 3 + N("Secretária bilíngue"),
            13,
            RANDBETWEEN(5,COUNT(Name!$A:$A) + 1)
        )
    )
)</f>
        <v>346</v>
      </c>
      <c r="E1085" s="7" t="str">
        <f ca="1" xml:space="preserve">
VLOOKUP(
  $D1085,
  Name!$A:$B,
  2,
  FALSE
)
&amp; " " &amp;
IF($B1085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Tomas dos Santos Negrão</v>
      </c>
      <c r="F1085" s="7">
        <v>2</v>
      </c>
      <c r="G1085" s="7" cm="1">
        <f t="array" aca="1" ref="G1085" ca="1">INDEX(States!$B:$B,RANDBETWEEN(2,COUNTA(States!$A:$A)),1)</f>
        <v>6</v>
      </c>
      <c r="H1085" s="7" t="str">
        <f ca="1">VLOOKUP($D1085,Name!$A:$C,3,FALSE)</f>
        <v>M</v>
      </c>
      <c r="I1085" s="7" cm="1">
        <f t="array" aca="1" ref="I1085" ca="1">INDEX('Marital status'!$A:$A,RANDBETWEEN(2,COUNTA('Marital status'!$A:$A)),1)</f>
        <v>5</v>
      </c>
      <c r="J1085" s="7">
        <f t="shared" ca="1" si="195"/>
        <v>3</v>
      </c>
      <c r="K1085" s="8">
        <f t="shared" ca="1" si="196"/>
        <v>32922</v>
      </c>
      <c r="L1085" s="6">
        <f t="shared" ca="1" si="197"/>
        <v>5</v>
      </c>
      <c r="M1085" s="7">
        <f ca="1" xml:space="preserve">
  IF(OR($N1085 = 2, $N1085 = 3, $N1085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085" s="6">
        <f t="shared" ca="1" si="198"/>
        <v>8</v>
      </c>
      <c r="O1085" s="6">
        <f t="shared" ca="1" si="199"/>
        <v>4</v>
      </c>
      <c r="P1085" s="8">
        <f t="shared" ca="1" si="200"/>
        <v>37375</v>
      </c>
      <c r="Q1085" s="6">
        <f ca="1">RANDBETWEEN(2,COUNTA('Recruitment source'!$A:$A))</f>
        <v>6</v>
      </c>
      <c r="R1085" s="8" t="e">
        <f t="shared" ca="1" si="201"/>
        <v>#N/A</v>
      </c>
      <c r="S1085" s="6" t="e">
        <f t="shared" ca="1" si="202"/>
        <v>#N/A</v>
      </c>
      <c r="T1085" s="6">
        <f t="shared" ca="1" si="192"/>
        <v>4</v>
      </c>
      <c r="U1085" s="1">
        <f t="shared" ca="1" si="203"/>
        <v>2000</v>
      </c>
    </row>
    <row r="1086" spans="1:21" x14ac:dyDescent="0.2">
      <c r="A1086" s="7" cm="1">
        <f t="array" aca="1" ref="A1086" ca="1">INDEX(Companies!$A:$A,RANDBETWEEN(2,COUNTA(Companies!$A:$A)),1)</f>
        <v>2</v>
      </c>
      <c r="B1086" s="5">
        <f t="shared" si="193"/>
        <v>1085</v>
      </c>
      <c r="C1086" s="6">
        <f t="shared" ca="1" si="194"/>
        <v>1</v>
      </c>
      <c r="D1086" s="7">
        <f ca="1">IF($B1086 = 1 + N("Presidente"),
    127,
    IF($B1086 = 2 + N("Vice-Presidente"),
        72,
        IF($B1086 = 3 + N("Secretária bilíngue"),
            13,
            RANDBETWEEN(5,COUNT(Name!$A:$A) + 1)
        )
    )
)</f>
        <v>267</v>
      </c>
      <c r="E1086" s="7" t="str">
        <f ca="1" xml:space="preserve">
VLOOKUP(
  $D1086,
  Name!$A:$B,
  2,
  FALSE
)
&amp; " " &amp;
IF($B1086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Heloísa Barboza Bragança</v>
      </c>
      <c r="F1086" s="7">
        <v>2</v>
      </c>
      <c r="G1086" s="7" cm="1">
        <f t="array" aca="1" ref="G1086" ca="1">INDEX(States!$B:$B,RANDBETWEEN(2,COUNTA(States!$A:$A)),1)</f>
        <v>12</v>
      </c>
      <c r="H1086" s="7" t="str">
        <f ca="1">VLOOKUP($D1086,Name!$A:$C,3,FALSE)</f>
        <v>F</v>
      </c>
      <c r="I1086" s="7" cm="1">
        <f t="array" aca="1" ref="I1086" ca="1">INDEX('Marital status'!$A:$A,RANDBETWEEN(2,COUNTA('Marital status'!$A:$A)),1)</f>
        <v>3</v>
      </c>
      <c r="J1086" s="7">
        <f t="shared" ca="1" si="195"/>
        <v>2</v>
      </c>
      <c r="K1086" s="8">
        <f t="shared" ca="1" si="196"/>
        <v>23753</v>
      </c>
      <c r="L1086" s="6">
        <f t="shared" ca="1" si="197"/>
        <v>4</v>
      </c>
      <c r="M1086" s="7">
        <f ca="1" xml:space="preserve">
  IF(OR($N1086 = 2, $N1086 = 3, $N1086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086" s="6">
        <f t="shared" ca="1" si="198"/>
        <v>6</v>
      </c>
      <c r="O1086" s="6" t="e">
        <f t="shared" ca="1" si="199"/>
        <v>#N/A</v>
      </c>
      <c r="P1086" s="8">
        <f t="shared" ca="1" si="200"/>
        <v>43865</v>
      </c>
      <c r="Q1086" s="6">
        <f ca="1">RANDBETWEEN(2,COUNTA('Recruitment source'!$A:$A))</f>
        <v>12</v>
      </c>
      <c r="R1086" s="8" t="e">
        <f t="shared" ca="1" si="201"/>
        <v>#N/A</v>
      </c>
      <c r="S1086" s="6" t="e">
        <f t="shared" ca="1" si="202"/>
        <v>#N/A</v>
      </c>
      <c r="T1086" s="6">
        <f t="shared" ca="1" si="192"/>
        <v>3</v>
      </c>
      <c r="U1086" s="1">
        <f t="shared" ca="1" si="203"/>
        <v>805</v>
      </c>
    </row>
    <row r="1087" spans="1:21" x14ac:dyDescent="0.2">
      <c r="A1087" s="7" cm="1">
        <f t="array" aca="1" ref="A1087" ca="1">INDEX(Companies!$A:$A,RANDBETWEEN(2,COUNTA(Companies!$A:$A)),1)</f>
        <v>2</v>
      </c>
      <c r="B1087" s="5">
        <f t="shared" si="193"/>
        <v>1086</v>
      </c>
      <c r="C1087" s="6">
        <f t="shared" ca="1" si="194"/>
        <v>1</v>
      </c>
      <c r="D1087" s="7">
        <f ca="1">IF($B1087 = 1 + N("Presidente"),
    127,
    IF($B1087 = 2 + N("Vice-Presidente"),
        72,
        IF($B1087 = 3 + N("Secretária bilíngue"),
            13,
            RANDBETWEEN(5,COUNT(Name!$A:$A) + 1)
        )
    )
)</f>
        <v>334</v>
      </c>
      <c r="E1087" s="7" t="str">
        <f ca="1" xml:space="preserve">
VLOOKUP(
  $D1087,
  Name!$A:$B,
  2,
  FALSE
)
&amp; " " &amp;
IF($B1087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Ryan Freitas Barroso</v>
      </c>
      <c r="F1087" s="7">
        <v>2</v>
      </c>
      <c r="G1087" s="7" cm="1">
        <f t="array" aca="1" ref="G1087" ca="1">INDEX(States!$B:$B,RANDBETWEEN(2,COUNTA(States!$A:$A)),1)</f>
        <v>11</v>
      </c>
      <c r="H1087" s="7" t="str">
        <f ca="1">VLOOKUP($D1087,Name!$A:$C,3,FALSE)</f>
        <v>M</v>
      </c>
      <c r="I1087" s="7" cm="1">
        <f t="array" aca="1" ref="I1087" ca="1">INDEX('Marital status'!$A:$A,RANDBETWEEN(2,COUNTA('Marital status'!$A:$A)),1)</f>
        <v>4</v>
      </c>
      <c r="J1087" s="7">
        <f t="shared" ca="1" si="195"/>
        <v>2</v>
      </c>
      <c r="K1087" s="8">
        <f t="shared" ca="1" si="196"/>
        <v>33328</v>
      </c>
      <c r="L1087" s="6">
        <f t="shared" ca="1" si="197"/>
        <v>5</v>
      </c>
      <c r="M1087" s="7">
        <f ca="1" xml:space="preserve">
  IF(OR($N1087 = 2, $N1087 = 3, $N1087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087" s="6">
        <f t="shared" ca="1" si="198"/>
        <v>8</v>
      </c>
      <c r="O1087" s="6">
        <f t="shared" ca="1" si="199"/>
        <v>2</v>
      </c>
      <c r="P1087" s="8">
        <f t="shared" ca="1" si="200"/>
        <v>36229</v>
      </c>
      <c r="Q1087" s="6">
        <f ca="1">RANDBETWEEN(2,COUNTA('Recruitment source'!$A:$A))</f>
        <v>2</v>
      </c>
      <c r="R1087" s="8" t="e">
        <f t="shared" ca="1" si="201"/>
        <v>#N/A</v>
      </c>
      <c r="S1087" s="6" t="e">
        <f t="shared" ca="1" si="202"/>
        <v>#N/A</v>
      </c>
      <c r="T1087" s="6">
        <f t="shared" ca="1" si="192"/>
        <v>2</v>
      </c>
      <c r="U1087" s="1">
        <f t="shared" ca="1" si="203"/>
        <v>2080</v>
      </c>
    </row>
    <row r="1088" spans="1:21" x14ac:dyDescent="0.2">
      <c r="A1088" s="7" cm="1">
        <f t="array" aca="1" ref="A1088" ca="1">INDEX(Companies!$A:$A,RANDBETWEEN(2,COUNTA(Companies!$A:$A)),1)</f>
        <v>2</v>
      </c>
      <c r="B1088" s="5">
        <f t="shared" si="193"/>
        <v>1087</v>
      </c>
      <c r="C1088" s="6">
        <f t="shared" ca="1" si="194"/>
        <v>1</v>
      </c>
      <c r="D1088" s="7">
        <f ca="1">IF($B1088 = 1 + N("Presidente"),
    127,
    IF($B1088 = 2 + N("Vice-Presidente"),
        72,
        IF($B1088 = 3 + N("Secretária bilíngue"),
            13,
            RANDBETWEEN(5,COUNT(Name!$A:$A) + 1)
        )
    )
)</f>
        <v>27</v>
      </c>
      <c r="E1088" s="7" t="str">
        <f ca="1" xml:space="preserve">
VLOOKUP(
  $D1088,
  Name!$A:$B,
  2,
  FALSE
)
&amp; " " &amp;
IF($B1088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Carolina Negreiros Cunha</v>
      </c>
      <c r="F1088" s="7">
        <v>2</v>
      </c>
      <c r="G1088" s="7" cm="1">
        <f t="array" aca="1" ref="G1088" ca="1">INDEX(States!$B:$B,RANDBETWEEN(2,COUNTA(States!$A:$A)),1)</f>
        <v>15</v>
      </c>
      <c r="H1088" s="7" t="str">
        <f ca="1">VLOOKUP($D1088,Name!$A:$C,3,FALSE)</f>
        <v>F</v>
      </c>
      <c r="I1088" s="7" cm="1">
        <f t="array" aca="1" ref="I1088" ca="1">INDEX('Marital status'!$A:$A,RANDBETWEEN(2,COUNTA('Marital status'!$A:$A)),1)</f>
        <v>4</v>
      </c>
      <c r="J1088" s="7">
        <f t="shared" ca="1" si="195"/>
        <v>2</v>
      </c>
      <c r="K1088" s="8">
        <f t="shared" ca="1" si="196"/>
        <v>28240</v>
      </c>
      <c r="L1088" s="6">
        <f t="shared" ca="1" si="197"/>
        <v>4</v>
      </c>
      <c r="M1088" s="7">
        <f ca="1" xml:space="preserve">
  IF(OR($N1088 = 2, $N1088 = 3, $N1088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088" s="6">
        <f t="shared" ca="1" si="198"/>
        <v>6</v>
      </c>
      <c r="O1088" s="6" t="e">
        <f t="shared" ca="1" si="199"/>
        <v>#N/A</v>
      </c>
      <c r="P1088" s="8">
        <f t="shared" ca="1" si="200"/>
        <v>41319</v>
      </c>
      <c r="Q1088" s="6">
        <f ca="1">RANDBETWEEN(2,COUNTA('Recruitment source'!$A:$A))</f>
        <v>8</v>
      </c>
      <c r="R1088" s="8" t="e">
        <f t="shared" ca="1" si="201"/>
        <v>#N/A</v>
      </c>
      <c r="S1088" s="6" t="e">
        <f t="shared" ca="1" si="202"/>
        <v>#N/A</v>
      </c>
      <c r="T1088" s="6">
        <f t="shared" ca="1" si="192"/>
        <v>4</v>
      </c>
      <c r="U1088" s="1">
        <f t="shared" ca="1" si="203"/>
        <v>805</v>
      </c>
    </row>
    <row r="1089" spans="1:21" x14ac:dyDescent="0.2">
      <c r="A1089" s="7" cm="1">
        <f t="array" aca="1" ref="A1089" ca="1">INDEX(Companies!$A:$A,RANDBETWEEN(2,COUNTA(Companies!$A:$A)),1)</f>
        <v>2</v>
      </c>
      <c r="B1089" s="5">
        <f t="shared" si="193"/>
        <v>1088</v>
      </c>
      <c r="C1089" s="6">
        <f t="shared" ca="1" si="194"/>
        <v>1</v>
      </c>
      <c r="D1089" s="7">
        <f ca="1">IF($B1089 = 1 + N("Presidente"),
    127,
    IF($B1089 = 2 + N("Vice-Presidente"),
        72,
        IF($B1089 = 3 + N("Secretária bilíngue"),
            13,
            RANDBETWEEN(5,COUNT(Name!$A:$A) + 1)
        )
    )
)</f>
        <v>318</v>
      </c>
      <c r="E1089" s="7" t="str">
        <f ca="1" xml:space="preserve">
VLOOKUP(
  $D1089,
  Name!$A:$B,
  2,
  FALSE
)
&amp; " " &amp;
IF($B1089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Lucas Badu Silva</v>
      </c>
      <c r="F1089" s="7">
        <v>2</v>
      </c>
      <c r="G1089" s="7" cm="1">
        <f t="array" aca="1" ref="G1089" ca="1">INDEX(States!$B:$B,RANDBETWEEN(2,COUNTA(States!$A:$A)),1)</f>
        <v>18</v>
      </c>
      <c r="H1089" s="7" t="str">
        <f ca="1">VLOOKUP($D1089,Name!$A:$C,3,FALSE)</f>
        <v>M</v>
      </c>
      <c r="I1089" s="7" cm="1">
        <f t="array" aca="1" ref="I1089" ca="1">INDEX('Marital status'!$A:$A,RANDBETWEEN(2,COUNTA('Marital status'!$A:$A)),1)</f>
        <v>2</v>
      </c>
      <c r="J1089" s="7">
        <f t="shared" ca="1" si="195"/>
        <v>4</v>
      </c>
      <c r="K1089" s="8">
        <f t="shared" ca="1" si="196"/>
        <v>34636</v>
      </c>
      <c r="L1089" s="6">
        <f t="shared" ca="1" si="197"/>
        <v>4</v>
      </c>
      <c r="M1089" s="7">
        <f ca="1" xml:space="preserve">
  IF(OR($N1089 = 2, $N1089 = 3, $N1089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089" s="6">
        <f t="shared" ca="1" si="198"/>
        <v>8</v>
      </c>
      <c r="O1089" s="6">
        <f t="shared" ca="1" si="199"/>
        <v>3</v>
      </c>
      <c r="P1089" s="8">
        <f t="shared" ca="1" si="200"/>
        <v>39520</v>
      </c>
      <c r="Q1089" s="6">
        <f ca="1">RANDBETWEEN(2,COUNTA('Recruitment source'!$A:$A))</f>
        <v>8</v>
      </c>
      <c r="R1089" s="8" t="e">
        <f t="shared" ca="1" si="201"/>
        <v>#N/A</v>
      </c>
      <c r="S1089" s="6" t="e">
        <f t="shared" ca="1" si="202"/>
        <v>#N/A</v>
      </c>
      <c r="T1089" s="6">
        <f t="shared" ca="1" si="192"/>
        <v>2</v>
      </c>
      <c r="U1089" s="1">
        <f t="shared" ca="1" si="203"/>
        <v>2000</v>
      </c>
    </row>
    <row r="1090" spans="1:21" x14ac:dyDescent="0.2">
      <c r="A1090" s="7" cm="1">
        <f t="array" aca="1" ref="A1090" ca="1">INDEX(Companies!$A:$A,RANDBETWEEN(2,COUNTA(Companies!$A:$A)),1)</f>
        <v>2</v>
      </c>
      <c r="B1090" s="5">
        <f t="shared" si="193"/>
        <v>1089</v>
      </c>
      <c r="C1090" s="6">
        <f t="shared" ca="1" si="194"/>
        <v>1</v>
      </c>
      <c r="D1090" s="7">
        <f ca="1">IF($B1090 = 1 + N("Presidente"),
    127,
    IF($B1090 = 2 + N("Vice-Presidente"),
        72,
        IF($B1090 = 3 + N("Secretária bilíngue"),
            13,
            RANDBETWEEN(5,COUNT(Name!$A:$A) + 1)
        )
    )
)</f>
        <v>72</v>
      </c>
      <c r="E1090" s="7" t="str">
        <f ca="1" xml:space="preserve">
VLOOKUP(
  $D1090,
  Name!$A:$B,
  2,
  FALSE
)
&amp; " " &amp;
IF($B1090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Bernnardo Greco Simões</v>
      </c>
      <c r="F1090" s="7">
        <v>2</v>
      </c>
      <c r="G1090" s="7" cm="1">
        <f t="array" aca="1" ref="G1090" ca="1">INDEX(States!$B:$B,RANDBETWEEN(2,COUNTA(States!$A:$A)),1)</f>
        <v>16</v>
      </c>
      <c r="H1090" s="7" t="str">
        <f ca="1">VLOOKUP($D1090,Name!$A:$C,3,FALSE)</f>
        <v>M</v>
      </c>
      <c r="I1090" s="7" cm="1">
        <f t="array" aca="1" ref="I1090" ca="1">INDEX('Marital status'!$A:$A,RANDBETWEEN(2,COUNTA('Marital status'!$A:$A)),1)</f>
        <v>4</v>
      </c>
      <c r="J1090" s="7">
        <f t="shared" ca="1" si="195"/>
        <v>2</v>
      </c>
      <c r="K1090" s="8">
        <f t="shared" ca="1" si="196"/>
        <v>30746</v>
      </c>
      <c r="L1090" s="6">
        <f t="shared" ca="1" si="197"/>
        <v>4</v>
      </c>
      <c r="M1090" s="7">
        <f ca="1" xml:space="preserve">
  IF(OR($N1090 = 2, $N1090 = 3, $N1090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090" s="6">
        <f t="shared" ca="1" si="198"/>
        <v>6</v>
      </c>
      <c r="O1090" s="6" t="e">
        <f t="shared" ca="1" si="199"/>
        <v>#N/A</v>
      </c>
      <c r="P1090" s="8">
        <f t="shared" ca="1" si="200"/>
        <v>40864</v>
      </c>
      <c r="Q1090" s="6">
        <f ca="1">RANDBETWEEN(2,COUNTA('Recruitment source'!$A:$A))</f>
        <v>9</v>
      </c>
      <c r="R1090" s="8" t="e">
        <f t="shared" ca="1" si="201"/>
        <v>#N/A</v>
      </c>
      <c r="S1090" s="6" t="e">
        <f t="shared" ca="1" si="202"/>
        <v>#N/A</v>
      </c>
      <c r="T1090" s="6">
        <f t="shared" ref="T1090:T1153" ca="1" si="204" xml:space="preserve">
IF(
 ISNA($R1090),
 IF(
   $N1090 = 2,
   5,
   IF(
     OR($N1090=3,$N1090=4,$N1090=5),
     RANDBETWEEN(4,5),
     IF(
       OR($N1090=11,$N1090=12),
       RANDBETWEEN(3,5),
       RANDBETWEEN(2,5)
     )
   )
 ),
 RANDBETWEEN(1,3)
)</f>
        <v>3</v>
      </c>
      <c r="U1090" s="1">
        <f t="shared" ca="1" si="203"/>
        <v>885</v>
      </c>
    </row>
    <row r="1091" spans="1:21" x14ac:dyDescent="0.2">
      <c r="A1091" s="7" cm="1">
        <f t="array" aca="1" ref="A1091" ca="1">INDEX(Companies!$A:$A,RANDBETWEEN(2,COUNTA(Companies!$A:$A)),1)</f>
        <v>2</v>
      </c>
      <c r="B1091" s="5">
        <f t="shared" ref="B1091:B1154" si="205">ROW() - 1</f>
        <v>1090</v>
      </c>
      <c r="C1091" s="6">
        <f t="shared" ref="C1091:C1154" ca="1" si="206">IF(ISNA($R1091),1,0)</f>
        <v>1</v>
      </c>
      <c r="D1091" s="7">
        <f ca="1">IF($B1091 = 1 + N("Presidente"),
    127,
    IF($B1091 = 2 + N("Vice-Presidente"),
        72,
        IF($B1091 = 3 + N("Secretária bilíngue"),
            13,
            RANDBETWEEN(5,COUNT(Name!$A:$A) + 1)
        )
    )
)</f>
        <v>243</v>
      </c>
      <c r="E1091" s="7" t="str">
        <f ca="1" xml:space="preserve">
VLOOKUP(
  $D1091,
  Name!$A:$B,
  2,
  FALSE
)
&amp; " " &amp;
IF($B1091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Felipe Pasquim Andrioli</v>
      </c>
      <c r="F1091" s="7">
        <v>2</v>
      </c>
      <c r="G1091" s="7" cm="1">
        <f t="array" aca="1" ref="G1091" ca="1">INDEX(States!$B:$B,RANDBETWEEN(2,COUNTA(States!$A:$A)),1)</f>
        <v>19</v>
      </c>
      <c r="H1091" s="7" t="str">
        <f ca="1">VLOOKUP($D1091,Name!$A:$C,3,FALSE)</f>
        <v>M</v>
      </c>
      <c r="I1091" s="7" cm="1">
        <f t="array" aca="1" ref="I1091" ca="1">INDEX('Marital status'!$A:$A,RANDBETWEEN(2,COUNTA('Marital status'!$A:$A)),1)</f>
        <v>4</v>
      </c>
      <c r="J1091" s="7">
        <f t="shared" ref="J1091:J1154" ca="1" si="207" xml:space="preserve">
IF(AND($N1091 &gt;= 2, $N1091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1091" s="8">
        <f t="shared" ref="K1091:K1154" ca="1" si="208" xml:space="preserve">
IF($N1091 = 5 + N("CEO"),
    TODAY() - 16340,
    IF($N1091 = 8 + N("Secretary"),
        RANDBETWEEN(TODAY() - 12418.5, TODAY()-6574.5),
        IF(OR($N1091 = 7, $N1091 = 14),
            RANDBETWEEN(TODAY() - 16071, TODAY() - 8766),
            IF(OR($N1091 = 13, $N1091 = 12, $N1091 = 11),
                RANDBETWEEN(TODAY() - 27393.75, TODAY() - 12783.75),
                RANDBETWEEN(TODAY() - 27393.75, TODAY()-10957.5)
            )
        )
    )
)</f>
        <v>32770</v>
      </c>
      <c r="L1091" s="6">
        <f t="shared" ref="L1091:L1154" ca="1" si="209" xml:space="preserve">
IF(OR($N1091 = 2, $N1091 = 3) + N("Se for presidente ou vice-presidente"),
    7 + N("Doutor"),
    IF($N1091 = 4 + N("Se for diretor"),
        RANDBETWEEN(5,7) + N("Graduate school or Master’s degree or Doctorate"),
        IF($N1091 = 11 + N("Se for gerente"),
            RANDBETWEEN(4,6) + N("Undergraduate degree or Graduate school or Master’s degree"),
            IF(AND($N1091 &gt;= 8, $N1091 &lt;= 10) + N("If coordinator or specialist or analyst"),
                RANDBETWEEN(4,5),
                4
            )
        )
    )
)</f>
        <v>4</v>
      </c>
      <c r="M1091" s="7">
        <f ca="1" xml:space="preserve">
  IF(OR($N1091 = 2, $N1091 = 3, $N1091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091" s="6">
        <f t="shared" ref="N1091:N1154" ca="1" si="210" xml:space="preserve">
IF($B1091 = 1 + N("Se matrícula for 1"),
  2 + N("Presidente"),
  IF($B1091 = 2 + N("Se matrícula for 2"),
    3 + N("Vice-presidente"),
    IF($B1091 = 3 + N("Se matrícula for 3"),
      5 + N("Secretária bilíngue"),
      IF(AND($B1091 &gt;= 4, $B1091 &lt;=14),
        4 + N("Diretor"),
        IF(AND($B1091 &gt;= 15, $B1091 &lt;= 25),
          11 + N("Manager"),
          IF(AND($B1091 &gt;= 26, $B1091 &lt;= 36),
            10 + N("Coordinador"),
            IF(AND($B1091 &gt;= 37, $B1091 &lt;= 47),
              9 + N("Especialista"),
                IF(MOD($B1091,2) = 0,
                  8 + N("Analista"),
                  RANDBETWEEN(6,7) + N("Estagiário ou Trainee")
                )
            )
          )
        )
      )
    )
  )
)</f>
        <v>8</v>
      </c>
      <c r="O1091" s="6">
        <f t="shared" ref="O1091:O1154" ca="1" si="211" xml:space="preserve">
IF($N1091 =8 + N("Analyst"),
    RANDBETWEEN(2, 4) + N("Jr, Pleno, Sr"),
    NA()
)</f>
        <v>2</v>
      </c>
      <c r="P1091" s="8">
        <f t="shared" ref="P1091:P1154" ca="1" si="212" xml:space="preserve">
IF(
   $N1091=2 + N("Presidente"),
   36161,
   IF(
       OR(
         $N1091=3 + N("Vice-Presidente"),
         $N1091=4 + N("Diretor"),
         $N1091=5 + N("Secretária bilíngue")
       ),
       RANDBETWEEN(36161,36411),
       IF(
         ((TODAY() - $K1091) / 365) &lt; 19,
         TODAY(),
         RANDBETWEEN(36161,TODAY())
       )
   )
)</f>
        <v>41554</v>
      </c>
      <c r="Q1091" s="6">
        <f ca="1">RANDBETWEEN(2,COUNTA('Recruitment source'!$A:$A))</f>
        <v>7</v>
      </c>
      <c r="R1091" s="8" t="e">
        <f t="shared" ref="R1091:R1154" ca="1" si="213" xml:space="preserve">
IF(MOD(
     ROW(),111
   )=0,
   RANDBETWEEN($P1091 + 1,TODAY() - 1),NA()
)</f>
        <v>#N/A</v>
      </c>
      <c r="S1091" s="6" t="e">
        <f t="shared" ref="S1091:S1154" ca="1" si="214" xml:space="preserve">
IF(
  ISNA(R1091),
  NA(),
  RANDBETWEEN(2,IF($H1091="F",10,9))
)</f>
        <v>#N/A</v>
      </c>
      <c r="T1091" s="6">
        <f t="shared" ca="1" si="204"/>
        <v>3</v>
      </c>
      <c r="U1091" s="1">
        <f t="shared" ref="U1091:U1154" ca="1" si="215" xml:space="preserve">
IF($N1091 = 2 + N("Presidente"),
    25000,
    IF($N1091 = 3 + N("Vice-presidente"),
        23000,
        IF(OR($N1091 = 5, $N1091= 10, $N1091 = 9) + N("Secretária bilíngue ou coordenador ou especialista"),
            8000,
            IF($N1091 = 4 + N("Diretor"),
                15000,
                IF($N1091 = 11 + N("Gerente"),
                    12000,
                    IF($N1091 = 6 + N("Estagiário"),
                        805,
                        IF($N1091 = 7 + N("Trainee"),
                            1005,
                            IF($N1091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IF($L1091 = 7,
  100,
  IF($L1091 = 8,
    200,
    IF($L1091 = 9,
      300,
      IF($L1091 = 10,
        400,
        0
      )
    )
  )
)
+
N("Adicional no salário por área")
+
IF($M1091 = 14 + N("Tecnologia da Informação"),
  120,
  IF($M1091 = 16 + N("Vendas"),
    110,
    IF($M1091 = 15 + N("Jurídico"),
      100,
      IF(OR($M1091 = 8, $M1091 = 9, $M1091 = 11) + N("Recursos humanos ou comercial ou comunicação e marketing"),
        80,
        0
      )
    )
  )
)
+
N("Adicionando pegadinha")
+
IF(AND($M1091 = 13, $N1091 = 8) + N("Se for de vendas e analista"),
  IF($J1091 = 2,
    50,
    0
  )
  +
  IF($H1091 = "M",
    50,
    0
  ),
  0
)</f>
        <v>2100</v>
      </c>
    </row>
    <row r="1092" spans="1:21" x14ac:dyDescent="0.2">
      <c r="A1092" s="7" cm="1">
        <f t="array" aca="1" ref="A1092" ca="1">INDEX(Companies!$A:$A,RANDBETWEEN(2,COUNTA(Companies!$A:$A)),1)</f>
        <v>2</v>
      </c>
      <c r="B1092" s="5">
        <f t="shared" si="205"/>
        <v>1091</v>
      </c>
      <c r="C1092" s="6">
        <f t="shared" ca="1" si="206"/>
        <v>1</v>
      </c>
      <c r="D1092" s="7">
        <f ca="1">IF($B1092 = 1 + N("Presidente"),
    127,
    IF($B1092 = 2 + N("Vice-Presidente"),
        72,
        IF($B1092 = 3 + N("Secretária bilíngue"),
            13,
            RANDBETWEEN(5,COUNT(Name!$A:$A) + 1)
        )
    )
)</f>
        <v>148</v>
      </c>
      <c r="E1092" s="7" t="str">
        <f ca="1" xml:space="preserve">
VLOOKUP(
  $D1092,
  Name!$A:$B,
  2,
  FALSE
)
&amp; " " &amp;
IF($B1092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Frankin Esteves Moreira</v>
      </c>
      <c r="F1092" s="7">
        <v>2</v>
      </c>
      <c r="G1092" s="7" cm="1">
        <f t="array" aca="1" ref="G1092" ca="1">INDEX(States!$B:$B,RANDBETWEEN(2,COUNTA(States!$A:$A)),1)</f>
        <v>18</v>
      </c>
      <c r="H1092" s="7" t="str">
        <f ca="1">VLOOKUP($D1092,Name!$A:$C,3,FALSE)</f>
        <v>M</v>
      </c>
      <c r="I1092" s="7" cm="1">
        <f t="array" aca="1" ref="I1092" ca="1">INDEX('Marital status'!$A:$A,RANDBETWEEN(2,COUNTA('Marital status'!$A:$A)),1)</f>
        <v>5</v>
      </c>
      <c r="J1092" s="7">
        <f t="shared" ca="1" si="207"/>
        <v>3</v>
      </c>
      <c r="K1092" s="8">
        <f t="shared" ca="1" si="208"/>
        <v>31600</v>
      </c>
      <c r="L1092" s="6">
        <f t="shared" ca="1" si="209"/>
        <v>4</v>
      </c>
      <c r="M1092" s="7">
        <f ca="1" xml:space="preserve">
  IF(OR($N1092 = 2, $N1092 = 3, $N1092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092" s="6">
        <f t="shared" ca="1" si="210"/>
        <v>7</v>
      </c>
      <c r="O1092" s="6" t="e">
        <f t="shared" ca="1" si="211"/>
        <v>#N/A</v>
      </c>
      <c r="P1092" s="8">
        <f t="shared" ca="1" si="212"/>
        <v>41532</v>
      </c>
      <c r="Q1092" s="6">
        <f ca="1">RANDBETWEEN(2,COUNTA('Recruitment source'!$A:$A))</f>
        <v>3</v>
      </c>
      <c r="R1092" s="8" t="e">
        <f t="shared" ca="1" si="213"/>
        <v>#N/A</v>
      </c>
      <c r="S1092" s="6" t="e">
        <f t="shared" ca="1" si="214"/>
        <v>#N/A</v>
      </c>
      <c r="T1092" s="6">
        <f t="shared" ca="1" si="204"/>
        <v>4</v>
      </c>
      <c r="U1092" s="1">
        <f t="shared" ca="1" si="215"/>
        <v>1005</v>
      </c>
    </row>
    <row r="1093" spans="1:21" x14ac:dyDescent="0.2">
      <c r="A1093" s="7" cm="1">
        <f t="array" aca="1" ref="A1093" ca="1">INDEX(Companies!$A:$A,RANDBETWEEN(2,COUNTA(Companies!$A:$A)),1)</f>
        <v>2</v>
      </c>
      <c r="B1093" s="5">
        <f t="shared" si="205"/>
        <v>1092</v>
      </c>
      <c r="C1093" s="6">
        <f t="shared" ca="1" si="206"/>
        <v>1</v>
      </c>
      <c r="D1093" s="7">
        <f ca="1">IF($B1093 = 1 + N("Presidente"),
    127,
    IF($B1093 = 2 + N("Vice-Presidente"),
        72,
        IF($B1093 = 3 + N("Secretária bilíngue"),
            13,
            RANDBETWEEN(5,COUNT(Name!$A:$A) + 1)
        )
    )
)</f>
        <v>361</v>
      </c>
      <c r="E1093" s="7" t="str">
        <f ca="1" xml:space="preserve">
VLOOKUP(
  $D1093,
  Name!$A:$B,
  2,
  FALSE
)
&amp; " " &amp;
IF($B1093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Wagner Aguiar Santoro</v>
      </c>
      <c r="F1093" s="7">
        <v>2</v>
      </c>
      <c r="G1093" s="7" cm="1">
        <f t="array" aca="1" ref="G1093" ca="1">INDEX(States!$B:$B,RANDBETWEEN(2,COUNTA(States!$A:$A)),1)</f>
        <v>9</v>
      </c>
      <c r="H1093" s="7" t="str">
        <f ca="1">VLOOKUP($D1093,Name!$A:$C,3,FALSE)</f>
        <v>M</v>
      </c>
      <c r="I1093" s="7" cm="1">
        <f t="array" aca="1" ref="I1093" ca="1">INDEX('Marital status'!$A:$A,RANDBETWEEN(2,COUNTA('Marital status'!$A:$A)),1)</f>
        <v>4</v>
      </c>
      <c r="J1093" s="7">
        <f t="shared" ca="1" si="207"/>
        <v>2</v>
      </c>
      <c r="K1093" s="8">
        <f t="shared" ca="1" si="208"/>
        <v>34147</v>
      </c>
      <c r="L1093" s="6">
        <f t="shared" ca="1" si="209"/>
        <v>4</v>
      </c>
      <c r="M1093" s="7">
        <f ca="1" xml:space="preserve">
  IF(OR($N1093 = 2, $N1093 = 3, $N1093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093" s="6">
        <f t="shared" ca="1" si="210"/>
        <v>8</v>
      </c>
      <c r="O1093" s="6">
        <f t="shared" ca="1" si="211"/>
        <v>4</v>
      </c>
      <c r="P1093" s="8">
        <f t="shared" ca="1" si="212"/>
        <v>41228</v>
      </c>
      <c r="Q1093" s="6">
        <f ca="1">RANDBETWEEN(2,COUNTA('Recruitment source'!$A:$A))</f>
        <v>8</v>
      </c>
      <c r="R1093" s="8" t="e">
        <f t="shared" ca="1" si="213"/>
        <v>#N/A</v>
      </c>
      <c r="S1093" s="6" t="e">
        <f t="shared" ca="1" si="214"/>
        <v>#N/A</v>
      </c>
      <c r="T1093" s="6">
        <f t="shared" ca="1" si="204"/>
        <v>5</v>
      </c>
      <c r="U1093" s="1">
        <f t="shared" ca="1" si="215"/>
        <v>2000</v>
      </c>
    </row>
    <row r="1094" spans="1:21" x14ac:dyDescent="0.2">
      <c r="A1094" s="7" cm="1">
        <f t="array" aca="1" ref="A1094" ca="1">INDEX(Companies!$A:$A,RANDBETWEEN(2,COUNTA(Companies!$A:$A)),1)</f>
        <v>2</v>
      </c>
      <c r="B1094" s="5">
        <f t="shared" si="205"/>
        <v>1093</v>
      </c>
      <c r="C1094" s="6">
        <f t="shared" ca="1" si="206"/>
        <v>1</v>
      </c>
      <c r="D1094" s="7">
        <f ca="1">IF($B1094 = 1 + N("Presidente"),
    127,
    IF($B1094 = 2 + N("Vice-Presidente"),
        72,
        IF($B1094 = 3 + N("Secretária bilíngue"),
            13,
            RANDBETWEEN(5,COUNT(Name!$A:$A) + 1)
        )
    )
)</f>
        <v>311</v>
      </c>
      <c r="E1094" s="7" t="str">
        <f ca="1" xml:space="preserve">
VLOOKUP(
  $D1094,
  Name!$A:$B,
  2,
  FALSE
)
&amp; " " &amp;
IF($B1094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Olívia Farina Barboza</v>
      </c>
      <c r="F1094" s="7">
        <v>2</v>
      </c>
      <c r="G1094" s="7" cm="1">
        <f t="array" aca="1" ref="G1094" ca="1">INDEX(States!$B:$B,RANDBETWEEN(2,COUNTA(States!$A:$A)),1)</f>
        <v>2</v>
      </c>
      <c r="H1094" s="7" t="str">
        <f ca="1">VLOOKUP($D1094,Name!$A:$C,3,FALSE)</f>
        <v>F</v>
      </c>
      <c r="I1094" s="7" cm="1">
        <f t="array" aca="1" ref="I1094" ca="1">INDEX('Marital status'!$A:$A,RANDBETWEEN(2,COUNTA('Marital status'!$A:$A)),1)</f>
        <v>5</v>
      </c>
      <c r="J1094" s="7">
        <f t="shared" ca="1" si="207"/>
        <v>2</v>
      </c>
      <c r="K1094" s="8">
        <f t="shared" ca="1" si="208"/>
        <v>23237</v>
      </c>
      <c r="L1094" s="6">
        <f t="shared" ca="1" si="209"/>
        <v>4</v>
      </c>
      <c r="M1094" s="7">
        <f ca="1" xml:space="preserve">
  IF(OR($N1094 = 2, $N1094 = 3, $N1094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094" s="6">
        <f t="shared" ca="1" si="210"/>
        <v>6</v>
      </c>
      <c r="O1094" s="6" t="e">
        <f t="shared" ca="1" si="211"/>
        <v>#N/A</v>
      </c>
      <c r="P1094" s="8">
        <f t="shared" ca="1" si="212"/>
        <v>36921</v>
      </c>
      <c r="Q1094" s="6">
        <f ca="1">RANDBETWEEN(2,COUNTA('Recruitment source'!$A:$A))</f>
        <v>10</v>
      </c>
      <c r="R1094" s="8" t="e">
        <f t="shared" ca="1" si="213"/>
        <v>#N/A</v>
      </c>
      <c r="S1094" s="6" t="e">
        <f t="shared" ca="1" si="214"/>
        <v>#N/A</v>
      </c>
      <c r="T1094" s="6">
        <f t="shared" ca="1" si="204"/>
        <v>4</v>
      </c>
      <c r="U1094" s="1">
        <f t="shared" ca="1" si="215"/>
        <v>805</v>
      </c>
    </row>
    <row r="1095" spans="1:21" x14ac:dyDescent="0.2">
      <c r="A1095" s="7" cm="1">
        <f t="array" aca="1" ref="A1095" ca="1">INDEX(Companies!$A:$A,RANDBETWEEN(2,COUNTA(Companies!$A:$A)),1)</f>
        <v>2</v>
      </c>
      <c r="B1095" s="5">
        <f t="shared" si="205"/>
        <v>1094</v>
      </c>
      <c r="C1095" s="6">
        <f t="shared" ca="1" si="206"/>
        <v>1</v>
      </c>
      <c r="D1095" s="7">
        <f ca="1">IF($B1095 = 1 + N("Presidente"),
    127,
    IF($B1095 = 2 + N("Vice-Presidente"),
        72,
        IF($B1095 = 3 + N("Secretária bilíngue"),
            13,
            RANDBETWEEN(5,COUNT(Name!$A:$A) + 1)
        )
    )
)</f>
        <v>36</v>
      </c>
      <c r="E1095" s="7" t="str">
        <f ca="1" xml:space="preserve">
VLOOKUP(
  $D1095,
  Name!$A:$B,
  2,
  FALSE
)
&amp; " " &amp;
IF($B1095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Sophia Coelho Ricci</v>
      </c>
      <c r="F1095" s="7">
        <v>2</v>
      </c>
      <c r="G1095" s="7" cm="1">
        <f t="array" aca="1" ref="G1095" ca="1">INDEX(States!$B:$B,RANDBETWEEN(2,COUNTA(States!$A:$A)),1)</f>
        <v>7</v>
      </c>
      <c r="H1095" s="7" t="str">
        <f ca="1">VLOOKUP($D1095,Name!$A:$C,3,FALSE)</f>
        <v>F</v>
      </c>
      <c r="I1095" s="7" cm="1">
        <f t="array" aca="1" ref="I1095" ca="1">INDEX('Marital status'!$A:$A,RANDBETWEEN(2,COUNTA('Marital status'!$A:$A)),1)</f>
        <v>3</v>
      </c>
      <c r="J1095" s="7">
        <f t="shared" ca="1" si="207"/>
        <v>2</v>
      </c>
      <c r="K1095" s="8">
        <f t="shared" ca="1" si="208"/>
        <v>36601</v>
      </c>
      <c r="L1095" s="6">
        <f t="shared" ca="1" si="209"/>
        <v>5</v>
      </c>
      <c r="M1095" s="7">
        <f ca="1" xml:space="preserve">
  IF(OR($N1095 = 2, $N1095 = 3, $N1095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095" s="6">
        <f t="shared" ca="1" si="210"/>
        <v>8</v>
      </c>
      <c r="O1095" s="6">
        <f t="shared" ca="1" si="211"/>
        <v>4</v>
      </c>
      <c r="P1095" s="8">
        <f t="shared" ca="1" si="212"/>
        <v>38360</v>
      </c>
      <c r="Q1095" s="6">
        <f ca="1">RANDBETWEEN(2,COUNTA('Recruitment source'!$A:$A))</f>
        <v>5</v>
      </c>
      <c r="R1095" s="8" t="e">
        <f t="shared" ca="1" si="213"/>
        <v>#N/A</v>
      </c>
      <c r="S1095" s="6" t="e">
        <f t="shared" ca="1" si="214"/>
        <v>#N/A</v>
      </c>
      <c r="T1095" s="6">
        <f t="shared" ca="1" si="204"/>
        <v>4</v>
      </c>
      <c r="U1095" s="1">
        <f t="shared" ca="1" si="215"/>
        <v>2080</v>
      </c>
    </row>
    <row r="1096" spans="1:21" x14ac:dyDescent="0.2">
      <c r="A1096" s="7" cm="1">
        <f t="array" aca="1" ref="A1096" ca="1">INDEX(Companies!$A:$A,RANDBETWEEN(2,COUNTA(Companies!$A:$A)),1)</f>
        <v>2</v>
      </c>
      <c r="B1096" s="5">
        <f t="shared" si="205"/>
        <v>1095</v>
      </c>
      <c r="C1096" s="6">
        <f t="shared" ca="1" si="206"/>
        <v>1</v>
      </c>
      <c r="D1096" s="7">
        <f ca="1">IF($B1096 = 1 + N("Presidente"),
    127,
    IF($B1096 = 2 + N("Vice-Presidente"),
        72,
        IF($B1096 = 3 + N("Secretária bilíngue"),
            13,
            RANDBETWEEN(5,COUNT(Name!$A:$A) + 1)
        )
    )
)</f>
        <v>275</v>
      </c>
      <c r="E1096" s="7" t="str">
        <f ca="1" xml:space="preserve">
VLOOKUP(
  $D1096,
  Name!$A:$B,
  2,
  FALSE
)
&amp; " " &amp;
IF($B1096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Vitória de Oliveira Battaglia</v>
      </c>
      <c r="F1096" s="7">
        <v>2</v>
      </c>
      <c r="G1096" s="7" cm="1">
        <f t="array" aca="1" ref="G1096" ca="1">INDEX(States!$B:$B,RANDBETWEEN(2,COUNTA(States!$A:$A)),1)</f>
        <v>14</v>
      </c>
      <c r="H1096" s="7" t="str">
        <f ca="1">VLOOKUP($D1096,Name!$A:$C,3,FALSE)</f>
        <v>F</v>
      </c>
      <c r="I1096" s="7" cm="1">
        <f t="array" aca="1" ref="I1096" ca="1">INDEX('Marital status'!$A:$A,RANDBETWEEN(2,COUNTA('Marital status'!$A:$A)),1)</f>
        <v>4</v>
      </c>
      <c r="J1096" s="7">
        <f t="shared" ca="1" si="207"/>
        <v>2</v>
      </c>
      <c r="K1096" s="8">
        <f t="shared" ca="1" si="208"/>
        <v>34899</v>
      </c>
      <c r="L1096" s="6">
        <f t="shared" ca="1" si="209"/>
        <v>4</v>
      </c>
      <c r="M1096" s="7">
        <f ca="1" xml:space="preserve">
  IF(OR($N1096 = 2, $N1096 = 3, $N1096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096" s="6">
        <f t="shared" ca="1" si="210"/>
        <v>7</v>
      </c>
      <c r="O1096" s="6" t="e">
        <f t="shared" ca="1" si="211"/>
        <v>#N/A</v>
      </c>
      <c r="P1096" s="8">
        <f t="shared" ca="1" si="212"/>
        <v>44590</v>
      </c>
      <c r="Q1096" s="6">
        <f ca="1">RANDBETWEEN(2,COUNTA('Recruitment source'!$A:$A))</f>
        <v>3</v>
      </c>
      <c r="R1096" s="8" t="e">
        <f t="shared" ca="1" si="213"/>
        <v>#N/A</v>
      </c>
      <c r="S1096" s="6" t="e">
        <f t="shared" ca="1" si="214"/>
        <v>#N/A</v>
      </c>
      <c r="T1096" s="6">
        <f t="shared" ca="1" si="204"/>
        <v>2</v>
      </c>
      <c r="U1096" s="1">
        <f t="shared" ca="1" si="215"/>
        <v>1085</v>
      </c>
    </row>
    <row r="1097" spans="1:21" x14ac:dyDescent="0.2">
      <c r="A1097" s="7" cm="1">
        <f t="array" aca="1" ref="A1097" ca="1">INDEX(Companies!$A:$A,RANDBETWEEN(2,COUNTA(Companies!$A:$A)),1)</f>
        <v>2</v>
      </c>
      <c r="B1097" s="5">
        <f t="shared" si="205"/>
        <v>1096</v>
      </c>
      <c r="C1097" s="6">
        <f t="shared" ca="1" si="206"/>
        <v>1</v>
      </c>
      <c r="D1097" s="7">
        <f ca="1">IF($B1097 = 1 + N("Presidente"),
    127,
    IF($B1097 = 2 + N("Vice-Presidente"),
        72,
        IF($B1097 = 3 + N("Secretária bilíngue"),
            13,
            RANDBETWEEN(5,COUNT(Name!$A:$A) + 1)
        )
    )
)</f>
        <v>152</v>
      </c>
      <c r="E1097" s="7" t="str">
        <f ca="1" xml:space="preserve">
VLOOKUP(
  $D1097,
  Name!$A:$B,
  2,
  FALSE
)
&amp; " " &amp;
IF($B1097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Gael Reis Frasão</v>
      </c>
      <c r="F1097" s="7">
        <v>2</v>
      </c>
      <c r="G1097" s="7" cm="1">
        <f t="array" aca="1" ref="G1097" ca="1">INDEX(States!$B:$B,RANDBETWEEN(2,COUNTA(States!$A:$A)),1)</f>
        <v>8</v>
      </c>
      <c r="H1097" s="7" t="str">
        <f ca="1">VLOOKUP($D1097,Name!$A:$C,3,FALSE)</f>
        <v>M</v>
      </c>
      <c r="I1097" s="7" cm="1">
        <f t="array" aca="1" ref="I1097" ca="1">INDEX('Marital status'!$A:$A,RANDBETWEEN(2,COUNTA('Marital status'!$A:$A)),1)</f>
        <v>3</v>
      </c>
      <c r="J1097" s="7">
        <f t="shared" ca="1" si="207"/>
        <v>2</v>
      </c>
      <c r="K1097" s="8">
        <f t="shared" ca="1" si="208"/>
        <v>35616</v>
      </c>
      <c r="L1097" s="6">
        <f t="shared" ca="1" si="209"/>
        <v>4</v>
      </c>
      <c r="M1097" s="7">
        <f ca="1" xml:space="preserve">
  IF(OR($N1097 = 2, $N1097 = 3, $N1097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097" s="6">
        <f t="shared" ca="1" si="210"/>
        <v>8</v>
      </c>
      <c r="O1097" s="6">
        <f t="shared" ca="1" si="211"/>
        <v>3</v>
      </c>
      <c r="P1097" s="8">
        <f t="shared" ca="1" si="212"/>
        <v>41171</v>
      </c>
      <c r="Q1097" s="6">
        <f ca="1">RANDBETWEEN(2,COUNTA('Recruitment source'!$A:$A))</f>
        <v>7</v>
      </c>
      <c r="R1097" s="8" t="e">
        <f t="shared" ca="1" si="213"/>
        <v>#N/A</v>
      </c>
      <c r="S1097" s="6" t="e">
        <f t="shared" ca="1" si="214"/>
        <v>#N/A</v>
      </c>
      <c r="T1097" s="6">
        <f t="shared" ca="1" si="204"/>
        <v>5</v>
      </c>
      <c r="U1097" s="1">
        <f t="shared" ca="1" si="215"/>
        <v>2000</v>
      </c>
    </row>
    <row r="1098" spans="1:21" x14ac:dyDescent="0.2">
      <c r="A1098" s="7" cm="1">
        <f t="array" aca="1" ref="A1098" ca="1">INDEX(Companies!$A:$A,RANDBETWEEN(2,COUNTA(Companies!$A:$A)),1)</f>
        <v>2</v>
      </c>
      <c r="B1098" s="5">
        <f t="shared" si="205"/>
        <v>1097</v>
      </c>
      <c r="C1098" s="6">
        <f t="shared" ca="1" si="206"/>
        <v>1</v>
      </c>
      <c r="D1098" s="7">
        <f ca="1">IF($B1098 = 1 + N("Presidente"),
    127,
    IF($B1098 = 2 + N("Vice-Presidente"),
        72,
        IF($B1098 = 3 + N("Secretária bilíngue"),
            13,
            RANDBETWEEN(5,COUNT(Name!$A:$A) + 1)
        )
    )
)</f>
        <v>336</v>
      </c>
      <c r="E1098" s="7" t="str">
        <f ca="1" xml:space="preserve">
VLOOKUP(
  $D1098,
  Name!$A:$B,
  2,
  FALSE
)
&amp; " " &amp;
IF($B1098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Samuel Teixeira Reis</v>
      </c>
      <c r="F1098" s="7">
        <v>2</v>
      </c>
      <c r="G1098" s="7" cm="1">
        <f t="array" aca="1" ref="G1098" ca="1">INDEX(States!$B:$B,RANDBETWEEN(2,COUNTA(States!$A:$A)),1)</f>
        <v>6</v>
      </c>
      <c r="H1098" s="7" t="str">
        <f ca="1">VLOOKUP($D1098,Name!$A:$C,3,FALSE)</f>
        <v>M</v>
      </c>
      <c r="I1098" s="7" cm="1">
        <f t="array" aca="1" ref="I1098" ca="1">INDEX('Marital status'!$A:$A,RANDBETWEEN(2,COUNTA('Marital status'!$A:$A)),1)</f>
        <v>4</v>
      </c>
      <c r="J1098" s="7">
        <f t="shared" ca="1" si="207"/>
        <v>2</v>
      </c>
      <c r="K1098" s="8">
        <f t="shared" ca="1" si="208"/>
        <v>30080</v>
      </c>
      <c r="L1098" s="6">
        <f t="shared" ca="1" si="209"/>
        <v>4</v>
      </c>
      <c r="M1098" s="7">
        <f ca="1" xml:space="preserve">
  IF(OR($N1098 = 2, $N1098 = 3, $N1098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098" s="6">
        <f t="shared" ca="1" si="210"/>
        <v>7</v>
      </c>
      <c r="O1098" s="6" t="e">
        <f t="shared" ca="1" si="211"/>
        <v>#N/A</v>
      </c>
      <c r="P1098" s="8">
        <f t="shared" ca="1" si="212"/>
        <v>39505</v>
      </c>
      <c r="Q1098" s="6">
        <f ca="1">RANDBETWEEN(2,COUNTA('Recruitment source'!$A:$A))</f>
        <v>10</v>
      </c>
      <c r="R1098" s="8" t="e">
        <f t="shared" ca="1" si="213"/>
        <v>#N/A</v>
      </c>
      <c r="S1098" s="6" t="e">
        <f t="shared" ca="1" si="214"/>
        <v>#N/A</v>
      </c>
      <c r="T1098" s="6">
        <f t="shared" ca="1" si="204"/>
        <v>3</v>
      </c>
      <c r="U1098" s="1">
        <f t="shared" ca="1" si="215"/>
        <v>1085</v>
      </c>
    </row>
    <row r="1099" spans="1:21" x14ac:dyDescent="0.2">
      <c r="A1099" s="7" cm="1">
        <f t="array" aca="1" ref="A1099" ca="1">INDEX(Companies!$A:$A,RANDBETWEEN(2,COUNTA(Companies!$A:$A)),1)</f>
        <v>2</v>
      </c>
      <c r="B1099" s="5">
        <f t="shared" si="205"/>
        <v>1098</v>
      </c>
      <c r="C1099" s="6">
        <f t="shared" ca="1" si="206"/>
        <v>1</v>
      </c>
      <c r="D1099" s="7">
        <f ca="1">IF($B1099 = 1 + N("Presidente"),
    127,
    IF($B1099 = 2 + N("Vice-Presidente"),
        72,
        IF($B1099 = 3 + N("Secretária bilíngue"),
            13,
            RANDBETWEEN(5,COUNT(Name!$A:$A) + 1)
        )
    )
)</f>
        <v>276</v>
      </c>
      <c r="E1099" s="7" t="str">
        <f ca="1" xml:space="preserve">
VLOOKUP(
  $D1099,
  Name!$A:$B,
  2,
  FALSE
)
&amp; " " &amp;
IF($B1099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Mariah Moreira Serra</v>
      </c>
      <c r="F1099" s="7">
        <v>2</v>
      </c>
      <c r="G1099" s="7" cm="1">
        <f t="array" aca="1" ref="G1099" ca="1">INDEX(States!$B:$B,RANDBETWEEN(2,COUNTA(States!$A:$A)),1)</f>
        <v>20</v>
      </c>
      <c r="H1099" s="7" t="str">
        <f ca="1">VLOOKUP($D1099,Name!$A:$C,3,FALSE)</f>
        <v>F</v>
      </c>
      <c r="I1099" s="7" cm="1">
        <f t="array" aca="1" ref="I1099" ca="1">INDEX('Marital status'!$A:$A,RANDBETWEEN(2,COUNTA('Marital status'!$A:$A)),1)</f>
        <v>2</v>
      </c>
      <c r="J1099" s="7">
        <f t="shared" ca="1" si="207"/>
        <v>3</v>
      </c>
      <c r="K1099" s="8">
        <f t="shared" ca="1" si="208"/>
        <v>34802</v>
      </c>
      <c r="L1099" s="6">
        <f t="shared" ca="1" si="209"/>
        <v>5</v>
      </c>
      <c r="M1099" s="7">
        <f ca="1" xml:space="preserve">
  IF(OR($N1099 = 2, $N1099 = 3, $N1099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099" s="6">
        <f t="shared" ca="1" si="210"/>
        <v>8</v>
      </c>
      <c r="O1099" s="6">
        <f t="shared" ca="1" si="211"/>
        <v>4</v>
      </c>
      <c r="P1099" s="8">
        <f t="shared" ca="1" si="212"/>
        <v>43074</v>
      </c>
      <c r="Q1099" s="6">
        <f ca="1">RANDBETWEEN(2,COUNTA('Recruitment source'!$A:$A))</f>
        <v>9</v>
      </c>
      <c r="R1099" s="8" t="e">
        <f t="shared" ca="1" si="213"/>
        <v>#N/A</v>
      </c>
      <c r="S1099" s="6" t="e">
        <f t="shared" ca="1" si="214"/>
        <v>#N/A</v>
      </c>
      <c r="T1099" s="6">
        <f t="shared" ca="1" si="204"/>
        <v>5</v>
      </c>
      <c r="U1099" s="1">
        <f t="shared" ca="1" si="215"/>
        <v>2000</v>
      </c>
    </row>
    <row r="1100" spans="1:21" x14ac:dyDescent="0.2">
      <c r="A1100" s="7" cm="1">
        <f t="array" aca="1" ref="A1100" ca="1">INDEX(Companies!$A:$A,RANDBETWEEN(2,COUNTA(Companies!$A:$A)),1)</f>
        <v>2</v>
      </c>
      <c r="B1100" s="5">
        <f t="shared" si="205"/>
        <v>1099</v>
      </c>
      <c r="C1100" s="6">
        <f t="shared" ca="1" si="206"/>
        <v>1</v>
      </c>
      <c r="D1100" s="7">
        <f ca="1">IF($B1100 = 1 + N("Presidente"),
    127,
    IF($B1100 = 2 + N("Vice-Presidente"),
        72,
        IF($B1100 = 3 + N("Secretária bilíngue"),
            13,
            RANDBETWEEN(5,COUNT(Name!$A:$A) + 1)
        )
    )
)</f>
        <v>52</v>
      </c>
      <c r="E1100" s="7" t="str">
        <f ca="1" xml:space="preserve">
VLOOKUP(
  $D1100,
  Name!$A:$B,
  2,
  FALSE
)
&amp; " " &amp;
IF($B1100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Antônio Gomes Dantas</v>
      </c>
      <c r="F1100" s="7">
        <v>2</v>
      </c>
      <c r="G1100" s="7" cm="1">
        <f t="array" aca="1" ref="G1100" ca="1">INDEX(States!$B:$B,RANDBETWEEN(2,COUNTA(States!$A:$A)),1)</f>
        <v>20</v>
      </c>
      <c r="H1100" s="7" t="str">
        <f ca="1">VLOOKUP($D1100,Name!$A:$C,3,FALSE)</f>
        <v>M</v>
      </c>
      <c r="I1100" s="7" cm="1">
        <f t="array" aca="1" ref="I1100" ca="1">INDEX('Marital status'!$A:$A,RANDBETWEEN(2,COUNTA('Marital status'!$A:$A)),1)</f>
        <v>6</v>
      </c>
      <c r="J1100" s="7">
        <f t="shared" ca="1" si="207"/>
        <v>4</v>
      </c>
      <c r="K1100" s="8">
        <f t="shared" ca="1" si="208"/>
        <v>28992</v>
      </c>
      <c r="L1100" s="6">
        <f t="shared" ca="1" si="209"/>
        <v>4</v>
      </c>
      <c r="M1100" s="7">
        <f ca="1" xml:space="preserve">
  IF(OR($N1100 = 2, $N1100 = 3, $N1100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100" s="6">
        <f t="shared" ca="1" si="210"/>
        <v>7</v>
      </c>
      <c r="O1100" s="6" t="e">
        <f t="shared" ca="1" si="211"/>
        <v>#N/A</v>
      </c>
      <c r="P1100" s="8">
        <f t="shared" ca="1" si="212"/>
        <v>39181</v>
      </c>
      <c r="Q1100" s="6">
        <f ca="1">RANDBETWEEN(2,COUNTA('Recruitment source'!$A:$A))</f>
        <v>8</v>
      </c>
      <c r="R1100" s="8" t="e">
        <f t="shared" ca="1" si="213"/>
        <v>#N/A</v>
      </c>
      <c r="S1100" s="6" t="e">
        <f t="shared" ca="1" si="214"/>
        <v>#N/A</v>
      </c>
      <c r="T1100" s="6">
        <f t="shared" ca="1" si="204"/>
        <v>3</v>
      </c>
      <c r="U1100" s="1">
        <f t="shared" ca="1" si="215"/>
        <v>1005</v>
      </c>
    </row>
    <row r="1101" spans="1:21" x14ac:dyDescent="0.2">
      <c r="A1101" s="7" cm="1">
        <f t="array" aca="1" ref="A1101" ca="1">INDEX(Companies!$A:$A,RANDBETWEEN(2,COUNTA(Companies!$A:$A)),1)</f>
        <v>2</v>
      </c>
      <c r="B1101" s="5">
        <f t="shared" si="205"/>
        <v>1100</v>
      </c>
      <c r="C1101" s="6">
        <f t="shared" ca="1" si="206"/>
        <v>1</v>
      </c>
      <c r="D1101" s="7">
        <f ca="1">IF($B1101 = 1 + N("Presidente"),
    127,
    IF($B1101 = 2 + N("Vice-Presidente"),
        72,
        IF($B1101 = 3 + N("Secretária bilíngue"),
            13,
            RANDBETWEEN(5,COUNT(Name!$A:$A) + 1)
        )
    )
)</f>
        <v>260</v>
      </c>
      <c r="E1101" s="7" t="str">
        <f ca="1" xml:space="preserve">
VLOOKUP(
  $D1101,
  Name!$A:$B,
  2,
  FALSE
)
&amp; " " &amp;
IF($B1101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Cecília Pasquim Pimentel</v>
      </c>
      <c r="F1101" s="7">
        <v>2</v>
      </c>
      <c r="G1101" s="7" cm="1">
        <f t="array" aca="1" ref="G1101" ca="1">INDEX(States!$B:$B,RANDBETWEEN(2,COUNTA(States!$A:$A)),1)</f>
        <v>6</v>
      </c>
      <c r="H1101" s="7" t="str">
        <f ca="1">VLOOKUP($D1101,Name!$A:$C,3,FALSE)</f>
        <v>F</v>
      </c>
      <c r="I1101" s="7" cm="1">
        <f t="array" aca="1" ref="I1101" ca="1">INDEX('Marital status'!$A:$A,RANDBETWEEN(2,COUNTA('Marital status'!$A:$A)),1)</f>
        <v>6</v>
      </c>
      <c r="J1101" s="7">
        <f t="shared" ca="1" si="207"/>
        <v>2</v>
      </c>
      <c r="K1101" s="8">
        <f t="shared" ca="1" si="208"/>
        <v>36630</v>
      </c>
      <c r="L1101" s="6">
        <f t="shared" ca="1" si="209"/>
        <v>5</v>
      </c>
      <c r="M1101" s="7">
        <f ca="1" xml:space="preserve">
  IF(OR($N1101 = 2, $N1101 = 3, $N1101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101" s="6">
        <f t="shared" ca="1" si="210"/>
        <v>8</v>
      </c>
      <c r="O1101" s="6">
        <f t="shared" ca="1" si="211"/>
        <v>4</v>
      </c>
      <c r="P1101" s="8">
        <f t="shared" ca="1" si="212"/>
        <v>41814</v>
      </c>
      <c r="Q1101" s="6">
        <f ca="1">RANDBETWEEN(2,COUNTA('Recruitment source'!$A:$A))</f>
        <v>5</v>
      </c>
      <c r="R1101" s="8" t="e">
        <f t="shared" ca="1" si="213"/>
        <v>#N/A</v>
      </c>
      <c r="S1101" s="6" t="e">
        <f t="shared" ca="1" si="214"/>
        <v>#N/A</v>
      </c>
      <c r="T1101" s="6">
        <f t="shared" ca="1" si="204"/>
        <v>4</v>
      </c>
      <c r="U1101" s="1">
        <f t="shared" ca="1" si="215"/>
        <v>2050</v>
      </c>
    </row>
    <row r="1102" spans="1:21" x14ac:dyDescent="0.2">
      <c r="A1102" s="7" cm="1">
        <f t="array" aca="1" ref="A1102" ca="1">INDEX(Companies!$A:$A,RANDBETWEEN(2,COUNTA(Companies!$A:$A)),1)</f>
        <v>2</v>
      </c>
      <c r="B1102" s="5">
        <f t="shared" si="205"/>
        <v>1101</v>
      </c>
      <c r="C1102" s="6">
        <f t="shared" ca="1" si="206"/>
        <v>1</v>
      </c>
      <c r="D1102" s="7">
        <f ca="1">IF($B1102 = 1 + N("Presidente"),
    127,
    IF($B1102 = 2 + N("Vice-Presidente"),
        72,
        IF($B1102 = 3 + N("Secretária bilíngue"),
            13,
            RANDBETWEEN(5,COUNT(Name!$A:$A) + 1)
        )
    )
)</f>
        <v>320</v>
      </c>
      <c r="E1102" s="7" t="str">
        <f ca="1" xml:space="preserve">
VLOOKUP(
  $D1102,
  Name!$A:$B,
  2,
  FALSE
)
&amp; " " &amp;
IF($B1102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Péricles dos Santos Albuquerque</v>
      </c>
      <c r="F1102" s="7">
        <v>2</v>
      </c>
      <c r="G1102" s="7" cm="1">
        <f t="array" aca="1" ref="G1102" ca="1">INDEX(States!$B:$B,RANDBETWEEN(2,COUNTA(States!$A:$A)),1)</f>
        <v>5</v>
      </c>
      <c r="H1102" s="7" t="str">
        <f ca="1">VLOOKUP($D1102,Name!$A:$C,3,FALSE)</f>
        <v>M</v>
      </c>
      <c r="I1102" s="7" cm="1">
        <f t="array" aca="1" ref="I1102" ca="1">INDEX('Marital status'!$A:$A,RANDBETWEEN(2,COUNTA('Marital status'!$A:$A)),1)</f>
        <v>2</v>
      </c>
      <c r="J1102" s="7">
        <f t="shared" ca="1" si="207"/>
        <v>5</v>
      </c>
      <c r="K1102" s="8">
        <f t="shared" ca="1" si="208"/>
        <v>31313</v>
      </c>
      <c r="L1102" s="6">
        <f t="shared" ca="1" si="209"/>
        <v>4</v>
      </c>
      <c r="M1102" s="7">
        <f ca="1" xml:space="preserve">
  IF(OR($N1102 = 2, $N1102 = 3, $N1102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102" s="6">
        <f t="shared" ca="1" si="210"/>
        <v>6</v>
      </c>
      <c r="O1102" s="6" t="e">
        <f t="shared" ca="1" si="211"/>
        <v>#N/A</v>
      </c>
      <c r="P1102" s="8">
        <f t="shared" ca="1" si="212"/>
        <v>38157</v>
      </c>
      <c r="Q1102" s="6">
        <f ca="1">RANDBETWEEN(2,COUNTA('Recruitment source'!$A:$A))</f>
        <v>3</v>
      </c>
      <c r="R1102" s="8" t="e">
        <f t="shared" ca="1" si="213"/>
        <v>#N/A</v>
      </c>
      <c r="S1102" s="6" t="e">
        <f t="shared" ca="1" si="214"/>
        <v>#N/A</v>
      </c>
      <c r="T1102" s="6">
        <f t="shared" ca="1" si="204"/>
        <v>3</v>
      </c>
      <c r="U1102" s="1">
        <f t="shared" ca="1" si="215"/>
        <v>805</v>
      </c>
    </row>
    <row r="1103" spans="1:21" x14ac:dyDescent="0.2">
      <c r="A1103" s="7" cm="1">
        <f t="array" aca="1" ref="A1103" ca="1">INDEX(Companies!$A:$A,RANDBETWEEN(2,COUNTA(Companies!$A:$A)),1)</f>
        <v>2</v>
      </c>
      <c r="B1103" s="5">
        <f t="shared" si="205"/>
        <v>1102</v>
      </c>
      <c r="C1103" s="6">
        <f t="shared" ca="1" si="206"/>
        <v>1</v>
      </c>
      <c r="D1103" s="7">
        <f ca="1">IF($B1103 = 1 + N("Presidente"),
    127,
    IF($B1103 = 2 + N("Vice-Presidente"),
        72,
        IF($B1103 = 3 + N("Secretária bilíngue"),
            13,
            RANDBETWEEN(5,COUNT(Name!$A:$A) + 1)
        )
    )
)</f>
        <v>216</v>
      </c>
      <c r="E1103" s="7" t="str">
        <f ca="1" xml:space="preserve">
VLOOKUP(
  $D1103,
  Name!$A:$B,
  2,
  FALSE
)
&amp; " " &amp;
IF($B1103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Laís Barroso Camões</v>
      </c>
      <c r="F1103" s="7">
        <v>2</v>
      </c>
      <c r="G1103" s="7" cm="1">
        <f t="array" aca="1" ref="G1103" ca="1">INDEX(States!$B:$B,RANDBETWEEN(2,COUNTA(States!$A:$A)),1)</f>
        <v>2</v>
      </c>
      <c r="H1103" s="7" t="str">
        <f ca="1">VLOOKUP($D1103,Name!$A:$C,3,FALSE)</f>
        <v>F</v>
      </c>
      <c r="I1103" s="7" cm="1">
        <f t="array" aca="1" ref="I1103" ca="1">INDEX('Marital status'!$A:$A,RANDBETWEEN(2,COUNTA('Marital status'!$A:$A)),1)</f>
        <v>3</v>
      </c>
      <c r="J1103" s="7">
        <f t="shared" ca="1" si="207"/>
        <v>2</v>
      </c>
      <c r="K1103" s="8">
        <f t="shared" ca="1" si="208"/>
        <v>36337</v>
      </c>
      <c r="L1103" s="6">
        <f t="shared" ca="1" si="209"/>
        <v>5</v>
      </c>
      <c r="M1103" s="7">
        <f ca="1" xml:space="preserve">
  IF(OR($N1103 = 2, $N1103 = 3, $N1103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103" s="6">
        <f t="shared" ca="1" si="210"/>
        <v>8</v>
      </c>
      <c r="O1103" s="6">
        <f t="shared" ca="1" si="211"/>
        <v>2</v>
      </c>
      <c r="P1103" s="8">
        <f t="shared" ca="1" si="212"/>
        <v>37214</v>
      </c>
      <c r="Q1103" s="6">
        <f ca="1">RANDBETWEEN(2,COUNTA('Recruitment source'!$A:$A))</f>
        <v>2</v>
      </c>
      <c r="R1103" s="8" t="e">
        <f t="shared" ca="1" si="213"/>
        <v>#N/A</v>
      </c>
      <c r="S1103" s="6" t="e">
        <f t="shared" ca="1" si="214"/>
        <v>#N/A</v>
      </c>
      <c r="T1103" s="6">
        <f t="shared" ca="1" si="204"/>
        <v>3</v>
      </c>
      <c r="U1103" s="1">
        <f t="shared" ca="1" si="215"/>
        <v>2000</v>
      </c>
    </row>
    <row r="1104" spans="1:21" x14ac:dyDescent="0.2">
      <c r="A1104" s="7" cm="1">
        <f t="array" aca="1" ref="A1104" ca="1">INDEX(Companies!$A:$A,RANDBETWEEN(2,COUNTA(Companies!$A:$A)),1)</f>
        <v>2</v>
      </c>
      <c r="B1104" s="5">
        <f t="shared" si="205"/>
        <v>1103</v>
      </c>
      <c r="C1104" s="6">
        <f t="shared" ca="1" si="206"/>
        <v>1</v>
      </c>
      <c r="D1104" s="7">
        <f ca="1">IF($B1104 = 1 + N("Presidente"),
    127,
    IF($B1104 = 2 + N("Vice-Presidente"),
        72,
        IF($B1104 = 3 + N("Secretária bilíngue"),
            13,
            RANDBETWEEN(5,COUNT(Name!$A:$A) + 1)
        )
    )
)</f>
        <v>81</v>
      </c>
      <c r="E1104" s="7" t="str">
        <f ca="1" xml:space="preserve">
VLOOKUP(
  $D1104,
  Name!$A:$B,
  2,
  FALSE
)
&amp; " " &amp;
IF($B1104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Caio Duarte Negreiros</v>
      </c>
      <c r="F1104" s="7">
        <v>2</v>
      </c>
      <c r="G1104" s="7" cm="1">
        <f t="array" aca="1" ref="G1104" ca="1">INDEX(States!$B:$B,RANDBETWEEN(2,COUNTA(States!$A:$A)),1)</f>
        <v>8</v>
      </c>
      <c r="H1104" s="7" t="str">
        <f ca="1">VLOOKUP($D1104,Name!$A:$C,3,FALSE)</f>
        <v>M</v>
      </c>
      <c r="I1104" s="7" cm="1">
        <f t="array" aca="1" ref="I1104" ca="1">INDEX('Marital status'!$A:$A,RANDBETWEEN(2,COUNTA('Marital status'!$A:$A)),1)</f>
        <v>4</v>
      </c>
      <c r="J1104" s="7">
        <f t="shared" ca="1" si="207"/>
        <v>2</v>
      </c>
      <c r="K1104" s="8">
        <f t="shared" ca="1" si="208"/>
        <v>19858</v>
      </c>
      <c r="L1104" s="6">
        <f t="shared" ca="1" si="209"/>
        <v>4</v>
      </c>
      <c r="M1104" s="7">
        <f ca="1" xml:space="preserve">
  IF(OR($N1104 = 2, $N1104 = 3, $N1104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104" s="6">
        <f t="shared" ca="1" si="210"/>
        <v>6</v>
      </c>
      <c r="O1104" s="6" t="e">
        <f t="shared" ca="1" si="211"/>
        <v>#N/A</v>
      </c>
      <c r="P1104" s="8">
        <f t="shared" ca="1" si="212"/>
        <v>36199</v>
      </c>
      <c r="Q1104" s="6">
        <f ca="1">RANDBETWEEN(2,COUNTA('Recruitment source'!$A:$A))</f>
        <v>10</v>
      </c>
      <c r="R1104" s="8" t="e">
        <f t="shared" ca="1" si="213"/>
        <v>#N/A</v>
      </c>
      <c r="S1104" s="6" t="e">
        <f t="shared" ca="1" si="214"/>
        <v>#N/A</v>
      </c>
      <c r="T1104" s="6">
        <f t="shared" ca="1" si="204"/>
        <v>3</v>
      </c>
      <c r="U1104" s="1">
        <f t="shared" ca="1" si="215"/>
        <v>805</v>
      </c>
    </row>
    <row r="1105" spans="1:21" x14ac:dyDescent="0.2">
      <c r="A1105" s="7" cm="1">
        <f t="array" aca="1" ref="A1105" ca="1">INDEX(Companies!$A:$A,RANDBETWEEN(2,COUNTA(Companies!$A:$A)),1)</f>
        <v>2</v>
      </c>
      <c r="B1105" s="5">
        <f t="shared" si="205"/>
        <v>1104</v>
      </c>
      <c r="C1105" s="6">
        <f t="shared" ca="1" si="206"/>
        <v>1</v>
      </c>
      <c r="D1105" s="7">
        <f ca="1">IF($B1105 = 1 + N("Presidente"),
    127,
    IF($B1105 = 2 + N("Vice-Presidente"),
        72,
        IF($B1105 = 3 + N("Secretária bilíngue"),
            13,
            RANDBETWEEN(5,COUNT(Name!$A:$A) + 1)
        )
    )
)</f>
        <v>268</v>
      </c>
      <c r="E1105" s="7" t="str">
        <f ca="1" xml:space="preserve">
VLOOKUP(
  $D1105,
  Name!$A:$B,
  2,
  FALSE
)
&amp; " " &amp;
IF($B1105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Isis Barros Frois</v>
      </c>
      <c r="F1105" s="7">
        <v>2</v>
      </c>
      <c r="G1105" s="7" cm="1">
        <f t="array" aca="1" ref="G1105" ca="1">INDEX(States!$B:$B,RANDBETWEEN(2,COUNTA(States!$A:$A)),1)</f>
        <v>16</v>
      </c>
      <c r="H1105" s="7" t="str">
        <f ca="1">VLOOKUP($D1105,Name!$A:$C,3,FALSE)</f>
        <v>F</v>
      </c>
      <c r="I1105" s="7" cm="1">
        <f t="array" aca="1" ref="I1105" ca="1">INDEX('Marital status'!$A:$A,RANDBETWEEN(2,COUNTA('Marital status'!$A:$A)),1)</f>
        <v>3</v>
      </c>
      <c r="J1105" s="7">
        <f t="shared" ca="1" si="207"/>
        <v>2</v>
      </c>
      <c r="K1105" s="8">
        <f t="shared" ca="1" si="208"/>
        <v>32901</v>
      </c>
      <c r="L1105" s="6">
        <f t="shared" ca="1" si="209"/>
        <v>5</v>
      </c>
      <c r="M1105" s="7">
        <f ca="1" xml:space="preserve">
  IF(OR($N1105 = 2, $N1105 = 3, $N1105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105" s="6">
        <f t="shared" ca="1" si="210"/>
        <v>8</v>
      </c>
      <c r="O1105" s="6">
        <f t="shared" ca="1" si="211"/>
        <v>4</v>
      </c>
      <c r="P1105" s="8">
        <f t="shared" ca="1" si="212"/>
        <v>41691</v>
      </c>
      <c r="Q1105" s="6">
        <f ca="1">RANDBETWEEN(2,COUNTA('Recruitment source'!$A:$A))</f>
        <v>9</v>
      </c>
      <c r="R1105" s="8" t="e">
        <f t="shared" ca="1" si="213"/>
        <v>#N/A</v>
      </c>
      <c r="S1105" s="6" t="e">
        <f t="shared" ca="1" si="214"/>
        <v>#N/A</v>
      </c>
      <c r="T1105" s="6">
        <f t="shared" ca="1" si="204"/>
        <v>5</v>
      </c>
      <c r="U1105" s="1">
        <f t="shared" ca="1" si="215"/>
        <v>2050</v>
      </c>
    </row>
    <row r="1106" spans="1:21" x14ac:dyDescent="0.2">
      <c r="A1106" s="7" cm="1">
        <f t="array" aca="1" ref="A1106" ca="1">INDEX(Companies!$A:$A,RANDBETWEEN(2,COUNTA(Companies!$A:$A)),1)</f>
        <v>2</v>
      </c>
      <c r="B1106" s="5">
        <f t="shared" si="205"/>
        <v>1105</v>
      </c>
      <c r="C1106" s="6">
        <f t="shared" ca="1" si="206"/>
        <v>1</v>
      </c>
      <c r="D1106" s="7">
        <f ca="1">IF($B1106 = 1 + N("Presidente"),
    127,
    IF($B1106 = 2 + N("Vice-Presidente"),
        72,
        IF($B1106 = 3 + N("Secretária bilíngue"),
            13,
            RANDBETWEEN(5,COUNT(Name!$A:$A) + 1)
        )
    )
)</f>
        <v>64</v>
      </c>
      <c r="E1106" s="7" t="str">
        <f ca="1" xml:space="preserve">
VLOOKUP(
  $D1106,
  Name!$A:$B,
  2,
  FALSE
)
&amp; " " &amp;
IF($B1106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Ayla Dantas Santos</v>
      </c>
      <c r="F1106" s="7">
        <v>2</v>
      </c>
      <c r="G1106" s="7" cm="1">
        <f t="array" aca="1" ref="G1106" ca="1">INDEX(States!$B:$B,RANDBETWEEN(2,COUNTA(States!$A:$A)),1)</f>
        <v>16</v>
      </c>
      <c r="H1106" s="7" t="str">
        <f ca="1">VLOOKUP($D1106,Name!$A:$C,3,FALSE)</f>
        <v>F</v>
      </c>
      <c r="I1106" s="7" cm="1">
        <f t="array" aca="1" ref="I1106" ca="1">INDEX('Marital status'!$A:$A,RANDBETWEEN(2,COUNTA('Marital status'!$A:$A)),1)</f>
        <v>2</v>
      </c>
      <c r="J1106" s="7">
        <f t="shared" ca="1" si="207"/>
        <v>3</v>
      </c>
      <c r="K1106" s="8">
        <f t="shared" ca="1" si="208"/>
        <v>32942</v>
      </c>
      <c r="L1106" s="6">
        <f t="shared" ca="1" si="209"/>
        <v>4</v>
      </c>
      <c r="M1106" s="7">
        <f ca="1" xml:space="preserve">
  IF(OR($N1106 = 2, $N1106 = 3, $N1106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106" s="6">
        <f t="shared" ca="1" si="210"/>
        <v>7</v>
      </c>
      <c r="O1106" s="6" t="e">
        <f t="shared" ca="1" si="211"/>
        <v>#N/A</v>
      </c>
      <c r="P1106" s="8">
        <f t="shared" ca="1" si="212"/>
        <v>37770</v>
      </c>
      <c r="Q1106" s="6">
        <f ca="1">RANDBETWEEN(2,COUNTA('Recruitment source'!$A:$A))</f>
        <v>8</v>
      </c>
      <c r="R1106" s="8" t="e">
        <f t="shared" ca="1" si="213"/>
        <v>#N/A</v>
      </c>
      <c r="S1106" s="6" t="e">
        <f t="shared" ca="1" si="214"/>
        <v>#N/A</v>
      </c>
      <c r="T1106" s="6">
        <f t="shared" ca="1" si="204"/>
        <v>5</v>
      </c>
      <c r="U1106" s="1">
        <f t="shared" ca="1" si="215"/>
        <v>1005</v>
      </c>
    </row>
    <row r="1107" spans="1:21" x14ac:dyDescent="0.2">
      <c r="A1107" s="7" cm="1">
        <f t="array" aca="1" ref="A1107" ca="1">INDEX(Companies!$A:$A,RANDBETWEEN(2,COUNTA(Companies!$A:$A)),1)</f>
        <v>2</v>
      </c>
      <c r="B1107" s="5">
        <f t="shared" si="205"/>
        <v>1106</v>
      </c>
      <c r="C1107" s="6">
        <f t="shared" ca="1" si="206"/>
        <v>1</v>
      </c>
      <c r="D1107" s="7">
        <f ca="1">IF($B1107 = 1 + N("Presidente"),
    127,
    IF($B1107 = 2 + N("Vice-Presidente"),
        72,
        IF($B1107 = 3 + N("Secretária bilíngue"),
            13,
            RANDBETWEEN(5,COUNT(Name!$A:$A) + 1)
        )
    )
)</f>
        <v>200</v>
      </c>
      <c r="E1107" s="7" t="str">
        <f ca="1" xml:space="preserve">
VLOOKUP(
  $D1107,
  Name!$A:$B,
  2,
  FALSE
)
&amp; " " &amp;
IF($B1107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Heleno Morais Cândido</v>
      </c>
      <c r="F1107" s="7">
        <v>2</v>
      </c>
      <c r="G1107" s="7" cm="1">
        <f t="array" aca="1" ref="G1107" ca="1">INDEX(States!$B:$B,RANDBETWEEN(2,COUNTA(States!$A:$A)),1)</f>
        <v>15</v>
      </c>
      <c r="H1107" s="7" t="str">
        <f ca="1">VLOOKUP($D1107,Name!$A:$C,3,FALSE)</f>
        <v>M</v>
      </c>
      <c r="I1107" s="7" cm="1">
        <f t="array" aca="1" ref="I1107" ca="1">INDEX('Marital status'!$A:$A,RANDBETWEEN(2,COUNTA('Marital status'!$A:$A)),1)</f>
        <v>2</v>
      </c>
      <c r="J1107" s="7">
        <f t="shared" ca="1" si="207"/>
        <v>2</v>
      </c>
      <c r="K1107" s="8">
        <f t="shared" ca="1" si="208"/>
        <v>37161</v>
      </c>
      <c r="L1107" s="6">
        <f t="shared" ca="1" si="209"/>
        <v>4</v>
      </c>
      <c r="M1107" s="7">
        <f ca="1" xml:space="preserve">
  IF(OR($N1107 = 2, $N1107 = 3, $N1107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107" s="6">
        <f t="shared" ca="1" si="210"/>
        <v>8</v>
      </c>
      <c r="O1107" s="6">
        <f t="shared" ca="1" si="211"/>
        <v>3</v>
      </c>
      <c r="P1107" s="8">
        <f t="shared" ca="1" si="212"/>
        <v>41708</v>
      </c>
      <c r="Q1107" s="6">
        <f ca="1">RANDBETWEEN(2,COUNTA('Recruitment source'!$A:$A))</f>
        <v>6</v>
      </c>
      <c r="R1107" s="8" t="e">
        <f t="shared" ca="1" si="213"/>
        <v>#N/A</v>
      </c>
      <c r="S1107" s="6" t="e">
        <f t="shared" ca="1" si="214"/>
        <v>#N/A</v>
      </c>
      <c r="T1107" s="6">
        <f t="shared" ca="1" si="204"/>
        <v>5</v>
      </c>
      <c r="U1107" s="1">
        <f t="shared" ca="1" si="215"/>
        <v>2080</v>
      </c>
    </row>
    <row r="1108" spans="1:21" x14ac:dyDescent="0.2">
      <c r="A1108" s="7" cm="1">
        <f t="array" aca="1" ref="A1108" ca="1">INDEX(Companies!$A:$A,RANDBETWEEN(2,COUNTA(Companies!$A:$A)),1)</f>
        <v>2</v>
      </c>
      <c r="B1108" s="5">
        <f t="shared" si="205"/>
        <v>1107</v>
      </c>
      <c r="C1108" s="6">
        <f t="shared" ca="1" si="206"/>
        <v>1</v>
      </c>
      <c r="D1108" s="7">
        <f ca="1">IF($B1108 = 1 + N("Presidente"),
    127,
    IF($B1108 = 2 + N("Vice-Presidente"),
        72,
        IF($B1108 = 3 + N("Secretária bilíngue"),
            13,
            RANDBETWEEN(5,COUNT(Name!$A:$A) + 1)
        )
    )
)</f>
        <v>281</v>
      </c>
      <c r="E1108" s="7" t="str">
        <f ca="1" xml:space="preserve">
VLOOKUP(
  $D1108,
  Name!$A:$B,
  2,
  FALSE
)
&amp; " " &amp;
IF($B1108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Marina Amor Cardoso</v>
      </c>
      <c r="F1108" s="7">
        <v>2</v>
      </c>
      <c r="G1108" s="7" cm="1">
        <f t="array" aca="1" ref="G1108" ca="1">INDEX(States!$B:$B,RANDBETWEEN(2,COUNTA(States!$A:$A)),1)</f>
        <v>21</v>
      </c>
      <c r="H1108" s="7" t="str">
        <f ca="1">VLOOKUP($D1108,Name!$A:$C,3,FALSE)</f>
        <v>F</v>
      </c>
      <c r="I1108" s="7" cm="1">
        <f t="array" aca="1" ref="I1108" ca="1">INDEX('Marital status'!$A:$A,RANDBETWEEN(2,COUNTA('Marital status'!$A:$A)),1)</f>
        <v>4</v>
      </c>
      <c r="J1108" s="7">
        <f t="shared" ca="1" si="207"/>
        <v>2</v>
      </c>
      <c r="K1108" s="8">
        <f t="shared" ca="1" si="208"/>
        <v>30791</v>
      </c>
      <c r="L1108" s="6">
        <f t="shared" ca="1" si="209"/>
        <v>4</v>
      </c>
      <c r="M1108" s="7">
        <f ca="1" xml:space="preserve">
  IF(OR($N1108 = 2, $N1108 = 3, $N1108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108" s="6">
        <f t="shared" ca="1" si="210"/>
        <v>6</v>
      </c>
      <c r="O1108" s="6" t="e">
        <f t="shared" ca="1" si="211"/>
        <v>#N/A</v>
      </c>
      <c r="P1108" s="8">
        <f t="shared" ca="1" si="212"/>
        <v>38198</v>
      </c>
      <c r="Q1108" s="6">
        <f ca="1">RANDBETWEEN(2,COUNTA('Recruitment source'!$A:$A))</f>
        <v>3</v>
      </c>
      <c r="R1108" s="8" t="e">
        <f t="shared" ca="1" si="213"/>
        <v>#N/A</v>
      </c>
      <c r="S1108" s="6" t="e">
        <f t="shared" ca="1" si="214"/>
        <v>#N/A</v>
      </c>
      <c r="T1108" s="6">
        <f t="shared" ca="1" si="204"/>
        <v>4</v>
      </c>
      <c r="U1108" s="1">
        <f t="shared" ca="1" si="215"/>
        <v>885</v>
      </c>
    </row>
    <row r="1109" spans="1:21" x14ac:dyDescent="0.2">
      <c r="A1109" s="7" cm="1">
        <f t="array" aca="1" ref="A1109" ca="1">INDEX(Companies!$A:$A,RANDBETWEEN(2,COUNTA(Companies!$A:$A)),1)</f>
        <v>2</v>
      </c>
      <c r="B1109" s="5">
        <f t="shared" si="205"/>
        <v>1108</v>
      </c>
      <c r="C1109" s="6">
        <f t="shared" ca="1" si="206"/>
        <v>1</v>
      </c>
      <c r="D1109" s="7">
        <f ca="1">IF($B1109 = 1 + N("Presidente"),
    127,
    IF($B1109 = 2 + N("Vice-Presidente"),
        72,
        IF($B1109 = 3 + N("Secretária bilíngue"),
            13,
            RANDBETWEEN(5,COUNT(Name!$A:$A) + 1)
        )
    )
)</f>
        <v>220</v>
      </c>
      <c r="E1109" s="7" t="str">
        <f ca="1" xml:space="preserve">
VLOOKUP(
  $D1109,
  Name!$A:$B,
  2,
  FALSE
)
&amp; " " &amp;
IF($B1109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Laura Faria Silva</v>
      </c>
      <c r="F1109" s="7">
        <v>2</v>
      </c>
      <c r="G1109" s="7" cm="1">
        <f t="array" aca="1" ref="G1109" ca="1">INDEX(States!$B:$B,RANDBETWEEN(2,COUNTA(States!$A:$A)),1)</f>
        <v>10</v>
      </c>
      <c r="H1109" s="7" t="str">
        <f ca="1">VLOOKUP($D1109,Name!$A:$C,3,FALSE)</f>
        <v>F</v>
      </c>
      <c r="I1109" s="7" cm="1">
        <f t="array" aca="1" ref="I1109" ca="1">INDEX('Marital status'!$A:$A,RANDBETWEEN(2,COUNTA('Marital status'!$A:$A)),1)</f>
        <v>2</v>
      </c>
      <c r="J1109" s="7">
        <f t="shared" ca="1" si="207"/>
        <v>2</v>
      </c>
      <c r="K1109" s="8">
        <f t="shared" ca="1" si="208"/>
        <v>33800</v>
      </c>
      <c r="L1109" s="6">
        <f t="shared" ca="1" si="209"/>
        <v>4</v>
      </c>
      <c r="M1109" s="7">
        <f ca="1" xml:space="preserve">
  IF(OR($N1109 = 2, $N1109 = 3, $N1109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109" s="6">
        <f t="shared" ca="1" si="210"/>
        <v>8</v>
      </c>
      <c r="O1109" s="6">
        <f t="shared" ca="1" si="211"/>
        <v>3</v>
      </c>
      <c r="P1109" s="8">
        <f t="shared" ca="1" si="212"/>
        <v>38200</v>
      </c>
      <c r="Q1109" s="6">
        <f ca="1">RANDBETWEEN(2,COUNTA('Recruitment source'!$A:$A))</f>
        <v>9</v>
      </c>
      <c r="R1109" s="8" t="e">
        <f t="shared" ca="1" si="213"/>
        <v>#N/A</v>
      </c>
      <c r="S1109" s="6" t="e">
        <f t="shared" ca="1" si="214"/>
        <v>#N/A</v>
      </c>
      <c r="T1109" s="6">
        <f t="shared" ca="1" si="204"/>
        <v>3</v>
      </c>
      <c r="U1109" s="1">
        <f t="shared" ca="1" si="215"/>
        <v>2000</v>
      </c>
    </row>
    <row r="1110" spans="1:21" x14ac:dyDescent="0.2">
      <c r="A1110" s="7" cm="1">
        <f t="array" aca="1" ref="A1110" ca="1">INDEX(Companies!$A:$A,RANDBETWEEN(2,COUNTA(Companies!$A:$A)),1)</f>
        <v>2</v>
      </c>
      <c r="B1110" s="5">
        <f t="shared" si="205"/>
        <v>1109</v>
      </c>
      <c r="C1110" s="6">
        <f t="shared" ca="1" si="206"/>
        <v>0</v>
      </c>
      <c r="D1110" s="7">
        <f ca="1">IF($B1110 = 1 + N("Presidente"),
    127,
    IF($B1110 = 2 + N("Vice-Presidente"),
        72,
        IF($B1110 = 3 + N("Secretária bilíngue"),
            13,
            RANDBETWEEN(5,COUNT(Name!$A:$A) + 1)
        )
    )
)</f>
        <v>267</v>
      </c>
      <c r="E1110" s="7" t="str">
        <f ca="1" xml:space="preserve">
VLOOKUP(
  $D1110,
  Name!$A:$B,
  2,
  FALSE
)
&amp; " " &amp;
IF($B1110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Heloísa Greco Duarte</v>
      </c>
      <c r="F1110" s="7">
        <v>2</v>
      </c>
      <c r="G1110" s="7" cm="1">
        <f t="array" aca="1" ref="G1110" ca="1">INDEX(States!$B:$B,RANDBETWEEN(2,COUNTA(States!$A:$A)),1)</f>
        <v>10</v>
      </c>
      <c r="H1110" s="7" t="str">
        <f ca="1">VLOOKUP($D1110,Name!$A:$C,3,FALSE)</f>
        <v>F</v>
      </c>
      <c r="I1110" s="7" cm="1">
        <f t="array" aca="1" ref="I1110" ca="1">INDEX('Marital status'!$A:$A,RANDBETWEEN(2,COUNTA('Marital status'!$A:$A)),1)</f>
        <v>6</v>
      </c>
      <c r="J1110" s="7">
        <f t="shared" ca="1" si="207"/>
        <v>2</v>
      </c>
      <c r="K1110" s="8">
        <f t="shared" ca="1" si="208"/>
        <v>34504</v>
      </c>
      <c r="L1110" s="6">
        <f t="shared" ca="1" si="209"/>
        <v>4</v>
      </c>
      <c r="M1110" s="7">
        <f ca="1" xml:space="preserve">
  IF(OR($N1110 = 2, $N1110 = 3, $N1110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110" s="6">
        <f t="shared" ca="1" si="210"/>
        <v>7</v>
      </c>
      <c r="O1110" s="6" t="e">
        <f t="shared" ca="1" si="211"/>
        <v>#N/A</v>
      </c>
      <c r="P1110" s="8">
        <f t="shared" ca="1" si="212"/>
        <v>37635</v>
      </c>
      <c r="Q1110" s="6">
        <f ca="1">RANDBETWEEN(2,COUNTA('Recruitment source'!$A:$A))</f>
        <v>12</v>
      </c>
      <c r="R1110" s="8">
        <f t="shared" ca="1" si="213"/>
        <v>41392</v>
      </c>
      <c r="S1110" s="6">
        <f t="shared" ca="1" si="214"/>
        <v>7</v>
      </c>
      <c r="T1110" s="6">
        <f t="shared" ca="1" si="204"/>
        <v>2</v>
      </c>
      <c r="U1110" s="1">
        <f t="shared" ca="1" si="215"/>
        <v>1005</v>
      </c>
    </row>
    <row r="1111" spans="1:21" x14ac:dyDescent="0.2">
      <c r="A1111" s="7" cm="1">
        <f t="array" aca="1" ref="A1111" ca="1">INDEX(Companies!$A:$A,RANDBETWEEN(2,COUNTA(Companies!$A:$A)),1)</f>
        <v>2</v>
      </c>
      <c r="B1111" s="5">
        <f t="shared" si="205"/>
        <v>1110</v>
      </c>
      <c r="C1111" s="6">
        <f t="shared" ca="1" si="206"/>
        <v>1</v>
      </c>
      <c r="D1111" s="7">
        <f ca="1">IF($B1111 = 1 + N("Presidente"),
    127,
    IF($B1111 = 2 + N("Vice-Presidente"),
        72,
        IF($B1111 = 3 + N("Secretária bilíngue"),
            13,
            RANDBETWEEN(5,COUNT(Name!$A:$A) + 1)
        )
    )
)</f>
        <v>135</v>
      </c>
      <c r="E1111" s="7" t="str">
        <f ca="1" xml:space="preserve">
VLOOKUP(
  $D1111,
  Name!$A:$B,
  2,
  FALSE
)
&amp; " " &amp;
IF($B1111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Felipe Coelho Reis</v>
      </c>
      <c r="F1111" s="7">
        <v>2</v>
      </c>
      <c r="G1111" s="7" cm="1">
        <f t="array" aca="1" ref="G1111" ca="1">INDEX(States!$B:$B,RANDBETWEEN(2,COUNTA(States!$A:$A)),1)</f>
        <v>8</v>
      </c>
      <c r="H1111" s="7" t="str">
        <f ca="1">VLOOKUP($D1111,Name!$A:$C,3,FALSE)</f>
        <v>M</v>
      </c>
      <c r="I1111" s="7" cm="1">
        <f t="array" aca="1" ref="I1111" ca="1">INDEX('Marital status'!$A:$A,RANDBETWEEN(2,COUNTA('Marital status'!$A:$A)),1)</f>
        <v>3</v>
      </c>
      <c r="J1111" s="7">
        <f t="shared" ca="1" si="207"/>
        <v>4</v>
      </c>
      <c r="K1111" s="8">
        <f t="shared" ca="1" si="208"/>
        <v>34562</v>
      </c>
      <c r="L1111" s="6">
        <f t="shared" ca="1" si="209"/>
        <v>4</v>
      </c>
      <c r="M1111" s="7">
        <f ca="1" xml:space="preserve">
  IF(OR($N1111 = 2, $N1111 = 3, $N1111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111" s="6">
        <f t="shared" ca="1" si="210"/>
        <v>8</v>
      </c>
      <c r="O1111" s="6">
        <f t="shared" ca="1" si="211"/>
        <v>3</v>
      </c>
      <c r="P1111" s="8">
        <f t="shared" ca="1" si="212"/>
        <v>41123</v>
      </c>
      <c r="Q1111" s="6">
        <f ca="1">RANDBETWEEN(2,COUNTA('Recruitment source'!$A:$A))</f>
        <v>10</v>
      </c>
      <c r="R1111" s="8" t="e">
        <f t="shared" ca="1" si="213"/>
        <v>#N/A</v>
      </c>
      <c r="S1111" s="6" t="e">
        <f t="shared" ca="1" si="214"/>
        <v>#N/A</v>
      </c>
      <c r="T1111" s="6">
        <f t="shared" ca="1" si="204"/>
        <v>3</v>
      </c>
      <c r="U1111" s="1">
        <f t="shared" ca="1" si="215"/>
        <v>2000</v>
      </c>
    </row>
    <row r="1112" spans="1:21" x14ac:dyDescent="0.2">
      <c r="A1112" s="7" cm="1">
        <f t="array" aca="1" ref="A1112" ca="1">INDEX(Companies!$A:$A,RANDBETWEEN(2,COUNTA(Companies!$A:$A)),1)</f>
        <v>2</v>
      </c>
      <c r="B1112" s="5">
        <f t="shared" si="205"/>
        <v>1111</v>
      </c>
      <c r="C1112" s="6">
        <f t="shared" ca="1" si="206"/>
        <v>1</v>
      </c>
      <c r="D1112" s="7">
        <f ca="1">IF($B1112 = 1 + N("Presidente"),
    127,
    IF($B1112 = 2 + N("Vice-Presidente"),
        72,
        IF($B1112 = 3 + N("Secretária bilíngue"),
            13,
            RANDBETWEEN(5,COUNT(Name!$A:$A) + 1)
        )
    )
)</f>
        <v>251</v>
      </c>
      <c r="E1112" s="7" t="str">
        <f ca="1" xml:space="preserve">
VLOOKUP(
  $D1112,
  Name!$A:$B,
  2,
  FALSE
)
&amp; " " &amp;
IF($B1112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Maitê Garcia Colombo</v>
      </c>
      <c r="F1112" s="7">
        <v>2</v>
      </c>
      <c r="G1112" s="7" cm="1">
        <f t="array" aca="1" ref="G1112" ca="1">INDEX(States!$B:$B,RANDBETWEEN(2,COUNTA(States!$A:$A)),1)</f>
        <v>17</v>
      </c>
      <c r="H1112" s="7" t="str">
        <f ca="1">VLOOKUP($D1112,Name!$A:$C,3,FALSE)</f>
        <v>F</v>
      </c>
      <c r="I1112" s="7" cm="1">
        <f t="array" aca="1" ref="I1112" ca="1">INDEX('Marital status'!$A:$A,RANDBETWEEN(2,COUNTA('Marital status'!$A:$A)),1)</f>
        <v>4</v>
      </c>
      <c r="J1112" s="7">
        <f t="shared" ca="1" si="207"/>
        <v>2</v>
      </c>
      <c r="K1112" s="8">
        <f t="shared" ca="1" si="208"/>
        <v>32778</v>
      </c>
      <c r="L1112" s="6">
        <f t="shared" ca="1" si="209"/>
        <v>4</v>
      </c>
      <c r="M1112" s="7">
        <f ca="1" xml:space="preserve">
  IF(OR($N1112 = 2, $N1112 = 3, $N1112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112" s="6">
        <f t="shared" ca="1" si="210"/>
        <v>7</v>
      </c>
      <c r="O1112" s="6" t="e">
        <f t="shared" ca="1" si="211"/>
        <v>#N/A</v>
      </c>
      <c r="P1112" s="8">
        <f t="shared" ca="1" si="212"/>
        <v>37203</v>
      </c>
      <c r="Q1112" s="6">
        <f ca="1">RANDBETWEEN(2,COUNTA('Recruitment source'!$A:$A))</f>
        <v>9</v>
      </c>
      <c r="R1112" s="8" t="e">
        <f t="shared" ca="1" si="213"/>
        <v>#N/A</v>
      </c>
      <c r="S1112" s="6" t="e">
        <f t="shared" ca="1" si="214"/>
        <v>#N/A</v>
      </c>
      <c r="T1112" s="6">
        <f t="shared" ca="1" si="204"/>
        <v>5</v>
      </c>
      <c r="U1112" s="1">
        <f t="shared" ca="1" si="215"/>
        <v>1085</v>
      </c>
    </row>
    <row r="1113" spans="1:21" x14ac:dyDescent="0.2">
      <c r="A1113" s="7" cm="1">
        <f t="array" aca="1" ref="A1113" ca="1">INDEX(Companies!$A:$A,RANDBETWEEN(2,COUNTA(Companies!$A:$A)),1)</f>
        <v>2</v>
      </c>
      <c r="B1113" s="5">
        <f t="shared" si="205"/>
        <v>1112</v>
      </c>
      <c r="C1113" s="6">
        <f t="shared" ca="1" si="206"/>
        <v>1</v>
      </c>
      <c r="D1113" s="7">
        <f ca="1">IF($B1113 = 1 + N("Presidente"),
    127,
    IF($B1113 = 2 + N("Vice-Presidente"),
        72,
        IF($B1113 = 3 + N("Secretária bilíngue"),
            13,
            RANDBETWEEN(5,COUNT(Name!$A:$A) + 1)
        )
    )
)</f>
        <v>47</v>
      </c>
      <c r="E1113" s="7" t="str">
        <f ca="1" xml:space="preserve">
VLOOKUP(
  $D1113,
  Name!$A:$B,
  2,
  FALSE
)
&amp; " " &amp;
IF($B1113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Anne Caroline Carvalho Bandeira</v>
      </c>
      <c r="F1113" s="7">
        <v>2</v>
      </c>
      <c r="G1113" s="7" cm="1">
        <f t="array" aca="1" ref="G1113" ca="1">INDEX(States!$B:$B,RANDBETWEEN(2,COUNTA(States!$A:$A)),1)</f>
        <v>16</v>
      </c>
      <c r="H1113" s="7" t="str">
        <f ca="1">VLOOKUP($D1113,Name!$A:$C,3,FALSE)</f>
        <v>F</v>
      </c>
      <c r="I1113" s="7" cm="1">
        <f t="array" aca="1" ref="I1113" ca="1">INDEX('Marital status'!$A:$A,RANDBETWEEN(2,COUNTA('Marital status'!$A:$A)),1)</f>
        <v>5</v>
      </c>
      <c r="J1113" s="7">
        <f t="shared" ca="1" si="207"/>
        <v>3</v>
      </c>
      <c r="K1113" s="8">
        <f t="shared" ca="1" si="208"/>
        <v>37925</v>
      </c>
      <c r="L1113" s="6">
        <f t="shared" ca="1" si="209"/>
        <v>4</v>
      </c>
      <c r="M1113" s="7">
        <f ca="1" xml:space="preserve">
  IF(OR($N1113 = 2, $N1113 = 3, $N1113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113" s="6">
        <f t="shared" ca="1" si="210"/>
        <v>8</v>
      </c>
      <c r="O1113" s="6">
        <f t="shared" ca="1" si="211"/>
        <v>3</v>
      </c>
      <c r="P1113" s="8">
        <f t="shared" ca="1" si="212"/>
        <v>44838</v>
      </c>
      <c r="Q1113" s="6">
        <f ca="1">RANDBETWEEN(2,COUNTA('Recruitment source'!$A:$A))</f>
        <v>9</v>
      </c>
      <c r="R1113" s="8" t="e">
        <f t="shared" ca="1" si="213"/>
        <v>#N/A</v>
      </c>
      <c r="S1113" s="6" t="e">
        <f t="shared" ca="1" si="214"/>
        <v>#N/A</v>
      </c>
      <c r="T1113" s="6">
        <f t="shared" ca="1" si="204"/>
        <v>5</v>
      </c>
      <c r="U1113" s="1">
        <f t="shared" ca="1" si="215"/>
        <v>2000</v>
      </c>
    </row>
    <row r="1114" spans="1:21" x14ac:dyDescent="0.2">
      <c r="A1114" s="7" cm="1">
        <f t="array" aca="1" ref="A1114" ca="1">INDEX(Companies!$A:$A,RANDBETWEEN(2,COUNTA(Companies!$A:$A)),1)</f>
        <v>2</v>
      </c>
      <c r="B1114" s="5">
        <f t="shared" si="205"/>
        <v>1113</v>
      </c>
      <c r="C1114" s="6">
        <f t="shared" ca="1" si="206"/>
        <v>1</v>
      </c>
      <c r="D1114" s="7">
        <f ca="1">IF($B1114 = 1 + N("Presidente"),
    127,
    IF($B1114 = 2 + N("Vice-Presidente"),
        72,
        IF($B1114 = 3 + N("Secretária bilíngue"),
            13,
            RANDBETWEEN(5,COUNT(Name!$A:$A) + 1)
        )
    )
)</f>
        <v>116</v>
      </c>
      <c r="E1114" s="7" t="str">
        <f ca="1" xml:space="preserve">
VLOOKUP(
  $D1114,
  Name!$A:$B,
  2,
  FALSE
)
&amp; " " &amp;
IF($B1114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Eduarda Alves Cardozo</v>
      </c>
      <c r="F1114" s="7">
        <v>2</v>
      </c>
      <c r="G1114" s="7" cm="1">
        <f t="array" aca="1" ref="G1114" ca="1">INDEX(States!$B:$B,RANDBETWEEN(2,COUNTA(States!$A:$A)),1)</f>
        <v>3</v>
      </c>
      <c r="H1114" s="7" t="str">
        <f ca="1">VLOOKUP($D1114,Name!$A:$C,3,FALSE)</f>
        <v>F</v>
      </c>
      <c r="I1114" s="7" cm="1">
        <f t="array" aca="1" ref="I1114" ca="1">INDEX('Marital status'!$A:$A,RANDBETWEEN(2,COUNTA('Marital status'!$A:$A)),1)</f>
        <v>6</v>
      </c>
      <c r="J1114" s="7">
        <f t="shared" ca="1" si="207"/>
        <v>2</v>
      </c>
      <c r="K1114" s="8">
        <f t="shared" ca="1" si="208"/>
        <v>33765</v>
      </c>
      <c r="L1114" s="6">
        <f t="shared" ca="1" si="209"/>
        <v>4</v>
      </c>
      <c r="M1114" s="7">
        <f ca="1" xml:space="preserve">
  IF(OR($N1114 = 2, $N1114 = 3, $N1114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114" s="6">
        <f t="shared" ca="1" si="210"/>
        <v>6</v>
      </c>
      <c r="O1114" s="6" t="e">
        <f t="shared" ca="1" si="211"/>
        <v>#N/A</v>
      </c>
      <c r="P1114" s="8">
        <f t="shared" ca="1" si="212"/>
        <v>40334</v>
      </c>
      <c r="Q1114" s="6">
        <f ca="1">RANDBETWEEN(2,COUNTA('Recruitment source'!$A:$A))</f>
        <v>4</v>
      </c>
      <c r="R1114" s="8" t="e">
        <f t="shared" ca="1" si="213"/>
        <v>#N/A</v>
      </c>
      <c r="S1114" s="6" t="e">
        <f t="shared" ca="1" si="214"/>
        <v>#N/A</v>
      </c>
      <c r="T1114" s="6">
        <f t="shared" ca="1" si="204"/>
        <v>4</v>
      </c>
      <c r="U1114" s="1">
        <f t="shared" ca="1" si="215"/>
        <v>805</v>
      </c>
    </row>
    <row r="1115" spans="1:21" x14ac:dyDescent="0.2">
      <c r="A1115" s="7" cm="1">
        <f t="array" aca="1" ref="A1115" ca="1">INDEX(Companies!$A:$A,RANDBETWEEN(2,COUNTA(Companies!$A:$A)),1)</f>
        <v>2</v>
      </c>
      <c r="B1115" s="5">
        <f t="shared" si="205"/>
        <v>1114</v>
      </c>
      <c r="C1115" s="6">
        <f t="shared" ca="1" si="206"/>
        <v>1</v>
      </c>
      <c r="D1115" s="7">
        <f ca="1">IF($B1115 = 1 + N("Presidente"),
    127,
    IF($B1115 = 2 + N("Vice-Presidente"),
        72,
        IF($B1115 = 3 + N("Secretária bilíngue"),
            13,
            RANDBETWEEN(5,COUNT(Name!$A:$A) + 1)
        )
    )
)</f>
        <v>298</v>
      </c>
      <c r="E1115" s="7" t="str">
        <f ca="1" xml:space="preserve">
VLOOKUP(
  $D1115,
  Name!$A:$B,
  2,
  FALSE
)
&amp; " " &amp;
IF($B1115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Milena Moura Cardoso</v>
      </c>
      <c r="F1115" s="7">
        <v>2</v>
      </c>
      <c r="G1115" s="7" cm="1">
        <f t="array" aca="1" ref="G1115" ca="1">INDEX(States!$B:$B,RANDBETWEEN(2,COUNTA(States!$A:$A)),1)</f>
        <v>14</v>
      </c>
      <c r="H1115" s="7" t="str">
        <f ca="1">VLOOKUP($D1115,Name!$A:$C,3,FALSE)</f>
        <v>F</v>
      </c>
      <c r="I1115" s="7" cm="1">
        <f t="array" aca="1" ref="I1115" ca="1">INDEX('Marital status'!$A:$A,RANDBETWEEN(2,COUNTA('Marital status'!$A:$A)),1)</f>
        <v>3</v>
      </c>
      <c r="J1115" s="7">
        <f t="shared" ca="1" si="207"/>
        <v>2</v>
      </c>
      <c r="K1115" s="8">
        <f t="shared" ca="1" si="208"/>
        <v>36930</v>
      </c>
      <c r="L1115" s="6">
        <f t="shared" ca="1" si="209"/>
        <v>4</v>
      </c>
      <c r="M1115" s="7">
        <f ca="1" xml:space="preserve">
  IF(OR($N1115 = 2, $N1115 = 3, $N1115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115" s="6">
        <f t="shared" ca="1" si="210"/>
        <v>8</v>
      </c>
      <c r="O1115" s="6">
        <f t="shared" ca="1" si="211"/>
        <v>2</v>
      </c>
      <c r="P1115" s="8">
        <f t="shared" ca="1" si="212"/>
        <v>37145</v>
      </c>
      <c r="Q1115" s="6">
        <f ca="1">RANDBETWEEN(2,COUNTA('Recruitment source'!$A:$A))</f>
        <v>12</v>
      </c>
      <c r="R1115" s="8" t="e">
        <f t="shared" ca="1" si="213"/>
        <v>#N/A</v>
      </c>
      <c r="S1115" s="6" t="e">
        <f t="shared" ca="1" si="214"/>
        <v>#N/A</v>
      </c>
      <c r="T1115" s="6">
        <f t="shared" ca="1" si="204"/>
        <v>5</v>
      </c>
      <c r="U1115" s="1">
        <f t="shared" ca="1" si="215"/>
        <v>2000</v>
      </c>
    </row>
    <row r="1116" spans="1:21" x14ac:dyDescent="0.2">
      <c r="A1116" s="7" cm="1">
        <f t="array" aca="1" ref="A1116" ca="1">INDEX(Companies!$A:$A,RANDBETWEEN(2,COUNTA(Companies!$A:$A)),1)</f>
        <v>2</v>
      </c>
      <c r="B1116" s="5">
        <f t="shared" si="205"/>
        <v>1115</v>
      </c>
      <c r="C1116" s="6">
        <f t="shared" ca="1" si="206"/>
        <v>1</v>
      </c>
      <c r="D1116" s="7">
        <f ca="1">IF($B1116 = 1 + N("Presidente"),
    127,
    IF($B1116 = 2 + N("Vice-Presidente"),
        72,
        IF($B1116 = 3 + N("Secretária bilíngue"),
            13,
            RANDBETWEEN(5,COUNT(Name!$A:$A) + 1)
        )
    )
)</f>
        <v>286</v>
      </c>
      <c r="E1116" s="7" t="str">
        <f ca="1" xml:space="preserve">
VLOOKUP(
  $D1116,
  Name!$A:$B,
  2,
  FALSE
)
&amp; " " &amp;
IF($B1116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Mateus Gallo Santana</v>
      </c>
      <c r="F1116" s="7">
        <v>2</v>
      </c>
      <c r="G1116" s="7" cm="1">
        <f t="array" aca="1" ref="G1116" ca="1">INDEX(States!$B:$B,RANDBETWEEN(2,COUNTA(States!$A:$A)),1)</f>
        <v>4</v>
      </c>
      <c r="H1116" s="7" t="str">
        <f ca="1">VLOOKUP($D1116,Name!$A:$C,3,FALSE)</f>
        <v>M</v>
      </c>
      <c r="I1116" s="7" cm="1">
        <f t="array" aca="1" ref="I1116" ca="1">INDEX('Marital status'!$A:$A,RANDBETWEEN(2,COUNTA('Marital status'!$A:$A)),1)</f>
        <v>2</v>
      </c>
      <c r="J1116" s="7">
        <f t="shared" ca="1" si="207"/>
        <v>2</v>
      </c>
      <c r="K1116" s="8">
        <f t="shared" ca="1" si="208"/>
        <v>30308</v>
      </c>
      <c r="L1116" s="6">
        <f t="shared" ca="1" si="209"/>
        <v>4</v>
      </c>
      <c r="M1116" s="7">
        <f ca="1" xml:space="preserve">
  IF(OR($N1116 = 2, $N1116 = 3, $N1116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116" s="6">
        <f t="shared" ca="1" si="210"/>
        <v>7</v>
      </c>
      <c r="O1116" s="6" t="e">
        <f t="shared" ca="1" si="211"/>
        <v>#N/A</v>
      </c>
      <c r="P1116" s="8">
        <f t="shared" ca="1" si="212"/>
        <v>44593</v>
      </c>
      <c r="Q1116" s="6">
        <f ca="1">RANDBETWEEN(2,COUNTA('Recruitment source'!$A:$A))</f>
        <v>5</v>
      </c>
      <c r="R1116" s="8" t="e">
        <f t="shared" ca="1" si="213"/>
        <v>#N/A</v>
      </c>
      <c r="S1116" s="6" t="e">
        <f t="shared" ca="1" si="214"/>
        <v>#N/A</v>
      </c>
      <c r="T1116" s="6">
        <f t="shared" ca="1" si="204"/>
        <v>5</v>
      </c>
      <c r="U1116" s="1">
        <f t="shared" ca="1" si="215"/>
        <v>1005</v>
      </c>
    </row>
    <row r="1117" spans="1:21" x14ac:dyDescent="0.2">
      <c r="A1117" s="7" cm="1">
        <f t="array" aca="1" ref="A1117" ca="1">INDEX(Companies!$A:$A,RANDBETWEEN(2,COUNTA(Companies!$A:$A)),1)</f>
        <v>2</v>
      </c>
      <c r="B1117" s="5">
        <f t="shared" si="205"/>
        <v>1116</v>
      </c>
      <c r="C1117" s="6">
        <f t="shared" ca="1" si="206"/>
        <v>1</v>
      </c>
      <c r="D1117" s="7">
        <f ca="1">IF($B1117 = 1 + N("Presidente"),
    127,
    IF($B1117 = 2 + N("Vice-Presidente"),
        72,
        IF($B1117 = 3 + N("Secretária bilíngue"),
            13,
            RANDBETWEEN(5,COUNT(Name!$A:$A) + 1)
        )
    )
)</f>
        <v>108</v>
      </c>
      <c r="E1117" s="7" t="str">
        <f ca="1" xml:space="preserve">
VLOOKUP(
  $D1117,
  Name!$A:$B,
  2,
  FALSE
)
&amp; " " &amp;
IF($B1117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Luccas Anjos Miranda</v>
      </c>
      <c r="F1117" s="7">
        <v>2</v>
      </c>
      <c r="G1117" s="7" cm="1">
        <f t="array" aca="1" ref="G1117" ca="1">INDEX(States!$B:$B,RANDBETWEEN(2,COUNTA(States!$A:$A)),1)</f>
        <v>7</v>
      </c>
      <c r="H1117" s="7" t="str">
        <f ca="1">VLOOKUP($D1117,Name!$A:$C,3,FALSE)</f>
        <v>M</v>
      </c>
      <c r="I1117" s="7" cm="1">
        <f t="array" aca="1" ref="I1117" ca="1">INDEX('Marital status'!$A:$A,RANDBETWEEN(2,COUNTA('Marital status'!$A:$A)),1)</f>
        <v>2</v>
      </c>
      <c r="J1117" s="7">
        <f t="shared" ca="1" si="207"/>
        <v>2</v>
      </c>
      <c r="K1117" s="8">
        <f t="shared" ca="1" si="208"/>
        <v>37615</v>
      </c>
      <c r="L1117" s="6">
        <f t="shared" ca="1" si="209"/>
        <v>4</v>
      </c>
      <c r="M1117" s="7">
        <f ca="1" xml:space="preserve">
  IF(OR($N1117 = 2, $N1117 = 3, $N1117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117" s="6">
        <f t="shared" ca="1" si="210"/>
        <v>8</v>
      </c>
      <c r="O1117" s="6">
        <f t="shared" ca="1" si="211"/>
        <v>4</v>
      </c>
      <c r="P1117" s="8">
        <f t="shared" ca="1" si="212"/>
        <v>40156</v>
      </c>
      <c r="Q1117" s="6">
        <f ca="1">RANDBETWEEN(2,COUNTA('Recruitment source'!$A:$A))</f>
        <v>2</v>
      </c>
      <c r="R1117" s="8" t="e">
        <f t="shared" ca="1" si="213"/>
        <v>#N/A</v>
      </c>
      <c r="S1117" s="6" t="e">
        <f t="shared" ca="1" si="214"/>
        <v>#N/A</v>
      </c>
      <c r="T1117" s="6">
        <f t="shared" ca="1" si="204"/>
        <v>3</v>
      </c>
      <c r="U1117" s="1">
        <f t="shared" ca="1" si="215"/>
        <v>2000</v>
      </c>
    </row>
    <row r="1118" spans="1:21" x14ac:dyDescent="0.2">
      <c r="A1118" s="7" cm="1">
        <f t="array" aca="1" ref="A1118" ca="1">INDEX(Companies!$A:$A,RANDBETWEEN(2,COUNTA(Companies!$A:$A)),1)</f>
        <v>2</v>
      </c>
      <c r="B1118" s="5">
        <f t="shared" si="205"/>
        <v>1117</v>
      </c>
      <c r="C1118" s="6">
        <f t="shared" ca="1" si="206"/>
        <v>1</v>
      </c>
      <c r="D1118" s="7">
        <f ca="1">IF($B1118 = 1 + N("Presidente"),
    127,
    IF($B1118 = 2 + N("Vice-Presidente"),
        72,
        IF($B1118 = 3 + N("Secretária bilíngue"),
            13,
            RANDBETWEEN(5,COUNT(Name!$A:$A) + 1)
        )
    )
)</f>
        <v>354</v>
      </c>
      <c r="E1118" s="7" t="str">
        <f ca="1" xml:space="preserve">
VLOOKUP(
  $D1118,
  Name!$A:$B,
  2,
  FALSE
)
&amp; " " &amp;
IF($B1118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Victor Sousa Peçanha</v>
      </c>
      <c r="F1118" s="7">
        <v>2</v>
      </c>
      <c r="G1118" s="7" cm="1">
        <f t="array" aca="1" ref="G1118" ca="1">INDEX(States!$B:$B,RANDBETWEEN(2,COUNTA(States!$A:$A)),1)</f>
        <v>15</v>
      </c>
      <c r="H1118" s="7" t="str">
        <f ca="1">VLOOKUP($D1118,Name!$A:$C,3,FALSE)</f>
        <v>M</v>
      </c>
      <c r="I1118" s="7" cm="1">
        <f t="array" aca="1" ref="I1118" ca="1">INDEX('Marital status'!$A:$A,RANDBETWEEN(2,COUNTA('Marital status'!$A:$A)),1)</f>
        <v>3</v>
      </c>
      <c r="J1118" s="7">
        <f t="shared" ca="1" si="207"/>
        <v>2</v>
      </c>
      <c r="K1118" s="8">
        <f t="shared" ca="1" si="208"/>
        <v>29525</v>
      </c>
      <c r="L1118" s="6">
        <f t="shared" ca="1" si="209"/>
        <v>4</v>
      </c>
      <c r="M1118" s="7">
        <f ca="1" xml:space="preserve">
  IF(OR($N1118 = 2, $N1118 = 3, $N1118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118" s="6">
        <f t="shared" ca="1" si="210"/>
        <v>6</v>
      </c>
      <c r="O1118" s="6" t="e">
        <f t="shared" ca="1" si="211"/>
        <v>#N/A</v>
      </c>
      <c r="P1118" s="8">
        <f t="shared" ca="1" si="212"/>
        <v>39594</v>
      </c>
      <c r="Q1118" s="6">
        <f ca="1">RANDBETWEEN(2,COUNTA('Recruitment source'!$A:$A))</f>
        <v>5</v>
      </c>
      <c r="R1118" s="8" t="e">
        <f t="shared" ca="1" si="213"/>
        <v>#N/A</v>
      </c>
      <c r="S1118" s="6" t="e">
        <f t="shared" ca="1" si="214"/>
        <v>#N/A</v>
      </c>
      <c r="T1118" s="6">
        <f t="shared" ca="1" si="204"/>
        <v>5</v>
      </c>
      <c r="U1118" s="1">
        <f t="shared" ca="1" si="215"/>
        <v>805</v>
      </c>
    </row>
    <row r="1119" spans="1:21" x14ac:dyDescent="0.2">
      <c r="A1119" s="7" cm="1">
        <f t="array" aca="1" ref="A1119" ca="1">INDEX(Companies!$A:$A,RANDBETWEEN(2,COUNTA(Companies!$A:$A)),1)</f>
        <v>2</v>
      </c>
      <c r="B1119" s="5">
        <f t="shared" si="205"/>
        <v>1118</v>
      </c>
      <c r="C1119" s="6">
        <f t="shared" ca="1" si="206"/>
        <v>1</v>
      </c>
      <c r="D1119" s="7">
        <f ca="1">IF($B1119 = 1 + N("Presidente"),
    127,
    IF($B1119 = 2 + N("Vice-Presidente"),
        72,
        IF($B1119 = 3 + N("Secretária bilíngue"),
            13,
            RANDBETWEEN(5,COUNT(Name!$A:$A) + 1)
        )
    )
)</f>
        <v>119</v>
      </c>
      <c r="E1119" s="7" t="str">
        <f ca="1" xml:space="preserve">
VLOOKUP(
  $D1119,
  Name!$A:$B,
  2,
  FALSE
)
&amp; " " &amp;
IF($B1119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Elisa Borges Longo</v>
      </c>
      <c r="F1119" s="7">
        <v>2</v>
      </c>
      <c r="G1119" s="7" cm="1">
        <f t="array" aca="1" ref="G1119" ca="1">INDEX(States!$B:$B,RANDBETWEEN(2,COUNTA(States!$A:$A)),1)</f>
        <v>14</v>
      </c>
      <c r="H1119" s="7" t="str">
        <f ca="1">VLOOKUP($D1119,Name!$A:$C,3,FALSE)</f>
        <v>F</v>
      </c>
      <c r="I1119" s="7" cm="1">
        <f t="array" aca="1" ref="I1119" ca="1">INDEX('Marital status'!$A:$A,RANDBETWEEN(2,COUNTA('Marital status'!$A:$A)),1)</f>
        <v>6</v>
      </c>
      <c r="J1119" s="7">
        <f t="shared" ca="1" si="207"/>
        <v>2</v>
      </c>
      <c r="K1119" s="8">
        <f t="shared" ca="1" si="208"/>
        <v>36641</v>
      </c>
      <c r="L1119" s="6">
        <f t="shared" ca="1" si="209"/>
        <v>4</v>
      </c>
      <c r="M1119" s="7">
        <f ca="1" xml:space="preserve">
  IF(OR($N1119 = 2, $N1119 = 3, $N1119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119" s="6">
        <f t="shared" ca="1" si="210"/>
        <v>8</v>
      </c>
      <c r="O1119" s="6">
        <f t="shared" ca="1" si="211"/>
        <v>2</v>
      </c>
      <c r="P1119" s="8">
        <f t="shared" ca="1" si="212"/>
        <v>40787</v>
      </c>
      <c r="Q1119" s="6">
        <f ca="1">RANDBETWEEN(2,COUNTA('Recruitment source'!$A:$A))</f>
        <v>8</v>
      </c>
      <c r="R1119" s="8" t="e">
        <f t="shared" ca="1" si="213"/>
        <v>#N/A</v>
      </c>
      <c r="S1119" s="6" t="e">
        <f t="shared" ca="1" si="214"/>
        <v>#N/A</v>
      </c>
      <c r="T1119" s="6">
        <f t="shared" ca="1" si="204"/>
        <v>3</v>
      </c>
      <c r="U1119" s="1">
        <f t="shared" ca="1" si="215"/>
        <v>2000</v>
      </c>
    </row>
    <row r="1120" spans="1:21" x14ac:dyDescent="0.2">
      <c r="A1120" s="7" cm="1">
        <f t="array" aca="1" ref="A1120" ca="1">INDEX(Companies!$A:$A,RANDBETWEEN(2,COUNTA(Companies!$A:$A)),1)</f>
        <v>2</v>
      </c>
      <c r="B1120" s="5">
        <f t="shared" si="205"/>
        <v>1119</v>
      </c>
      <c r="C1120" s="6">
        <f t="shared" ca="1" si="206"/>
        <v>1</v>
      </c>
      <c r="D1120" s="7">
        <f ca="1">IF($B1120 = 1 + N("Presidente"),
    127,
    IF($B1120 = 2 + N("Vice-Presidente"),
        72,
        IF($B1120 = 3 + N("Secretária bilíngue"),
            13,
            RANDBETWEEN(5,COUNT(Name!$A:$A) + 1)
        )
    )
)</f>
        <v>58</v>
      </c>
      <c r="E1120" s="7" t="str">
        <f ca="1" xml:space="preserve">
VLOOKUP(
  $D1120,
  Name!$A:$B,
  2,
  FALSE
)
&amp; " " &amp;
IF($B1120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Miguel Rossi Silva</v>
      </c>
      <c r="F1120" s="7">
        <v>2</v>
      </c>
      <c r="G1120" s="7" cm="1">
        <f t="array" aca="1" ref="G1120" ca="1">INDEX(States!$B:$B,RANDBETWEEN(2,COUNTA(States!$A:$A)),1)</f>
        <v>16</v>
      </c>
      <c r="H1120" s="7" t="str">
        <f ca="1">VLOOKUP($D1120,Name!$A:$C,3,FALSE)</f>
        <v>M</v>
      </c>
      <c r="I1120" s="7" cm="1">
        <f t="array" aca="1" ref="I1120" ca="1">INDEX('Marital status'!$A:$A,RANDBETWEEN(2,COUNTA('Marital status'!$A:$A)),1)</f>
        <v>4</v>
      </c>
      <c r="J1120" s="7">
        <f t="shared" ca="1" si="207"/>
        <v>3</v>
      </c>
      <c r="K1120" s="8">
        <f t="shared" ca="1" si="208"/>
        <v>32428</v>
      </c>
      <c r="L1120" s="6">
        <f t="shared" ca="1" si="209"/>
        <v>4</v>
      </c>
      <c r="M1120" s="7">
        <f ca="1" xml:space="preserve">
  IF(OR($N1120 = 2, $N1120 = 3, $N1120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120" s="6">
        <f t="shared" ca="1" si="210"/>
        <v>7</v>
      </c>
      <c r="O1120" s="6" t="e">
        <f t="shared" ca="1" si="211"/>
        <v>#N/A</v>
      </c>
      <c r="P1120" s="8">
        <f t="shared" ca="1" si="212"/>
        <v>36583</v>
      </c>
      <c r="Q1120" s="6">
        <f ca="1">RANDBETWEEN(2,COUNTA('Recruitment source'!$A:$A))</f>
        <v>5</v>
      </c>
      <c r="R1120" s="8" t="e">
        <f t="shared" ca="1" si="213"/>
        <v>#N/A</v>
      </c>
      <c r="S1120" s="6" t="e">
        <f t="shared" ca="1" si="214"/>
        <v>#N/A</v>
      </c>
      <c r="T1120" s="6">
        <f t="shared" ca="1" si="204"/>
        <v>4</v>
      </c>
      <c r="U1120" s="1">
        <f t="shared" ca="1" si="215"/>
        <v>1005</v>
      </c>
    </row>
    <row r="1121" spans="1:21" x14ac:dyDescent="0.2">
      <c r="A1121" s="7" cm="1">
        <f t="array" aca="1" ref="A1121" ca="1">INDEX(Companies!$A:$A,RANDBETWEEN(2,COUNTA(Companies!$A:$A)),1)</f>
        <v>2</v>
      </c>
      <c r="B1121" s="5">
        <f t="shared" si="205"/>
        <v>1120</v>
      </c>
      <c r="C1121" s="6">
        <f t="shared" ca="1" si="206"/>
        <v>1</v>
      </c>
      <c r="D1121" s="7">
        <f ca="1">IF($B1121 = 1 + N("Presidente"),
    127,
    IF($B1121 = 2 + N("Vice-Presidente"),
        72,
        IF($B1121 = 3 + N("Secretária bilíngue"),
            13,
            RANDBETWEEN(5,COUNT(Name!$A:$A) + 1)
        )
    )
)</f>
        <v>263</v>
      </c>
      <c r="E1121" s="7" t="str">
        <f ca="1" xml:space="preserve">
VLOOKUP(
  $D1121,
  Name!$A:$B,
  2,
  FALSE
)
&amp; " " &amp;
IF($B1121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Fernanda Leone Barroso</v>
      </c>
      <c r="F1121" s="7">
        <v>2</v>
      </c>
      <c r="G1121" s="7" cm="1">
        <f t="array" aca="1" ref="G1121" ca="1">INDEX(States!$B:$B,RANDBETWEEN(2,COUNTA(States!$A:$A)),1)</f>
        <v>5</v>
      </c>
      <c r="H1121" s="7" t="str">
        <f ca="1">VLOOKUP($D1121,Name!$A:$C,3,FALSE)</f>
        <v>F</v>
      </c>
      <c r="I1121" s="7" cm="1">
        <f t="array" aca="1" ref="I1121" ca="1">INDEX('Marital status'!$A:$A,RANDBETWEEN(2,COUNTA('Marital status'!$A:$A)),1)</f>
        <v>6</v>
      </c>
      <c r="J1121" s="7">
        <f t="shared" ca="1" si="207"/>
        <v>5</v>
      </c>
      <c r="K1121" s="8">
        <f t="shared" ca="1" si="208"/>
        <v>36260</v>
      </c>
      <c r="L1121" s="6">
        <f t="shared" ca="1" si="209"/>
        <v>4</v>
      </c>
      <c r="M1121" s="7">
        <f ca="1" xml:space="preserve">
  IF(OR($N1121 = 2, $N1121 = 3, $N1121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121" s="6">
        <f t="shared" ca="1" si="210"/>
        <v>8</v>
      </c>
      <c r="O1121" s="6">
        <f t="shared" ca="1" si="211"/>
        <v>4</v>
      </c>
      <c r="P1121" s="8">
        <f t="shared" ca="1" si="212"/>
        <v>41666</v>
      </c>
      <c r="Q1121" s="6">
        <f ca="1">RANDBETWEEN(2,COUNTA('Recruitment source'!$A:$A))</f>
        <v>12</v>
      </c>
      <c r="R1121" s="8" t="e">
        <f t="shared" ca="1" si="213"/>
        <v>#N/A</v>
      </c>
      <c r="S1121" s="6" t="e">
        <f t="shared" ca="1" si="214"/>
        <v>#N/A</v>
      </c>
      <c r="T1121" s="6">
        <f t="shared" ca="1" si="204"/>
        <v>2</v>
      </c>
      <c r="U1121" s="1">
        <f t="shared" ca="1" si="215"/>
        <v>2000</v>
      </c>
    </row>
    <row r="1122" spans="1:21" x14ac:dyDescent="0.2">
      <c r="A1122" s="7" cm="1">
        <f t="array" aca="1" ref="A1122" ca="1">INDEX(Companies!$A:$A,RANDBETWEEN(2,COUNTA(Companies!$A:$A)),1)</f>
        <v>2</v>
      </c>
      <c r="B1122" s="5">
        <f t="shared" si="205"/>
        <v>1121</v>
      </c>
      <c r="C1122" s="6">
        <f t="shared" ca="1" si="206"/>
        <v>1</v>
      </c>
      <c r="D1122" s="7">
        <f ca="1">IF($B1122 = 1 + N("Presidente"),
    127,
    IF($B1122 = 2 + N("Vice-Presidente"),
        72,
        IF($B1122 = 3 + N("Secretária bilíngue"),
            13,
            RANDBETWEEN(5,COUNT(Name!$A:$A) + 1)
        )
    )
)</f>
        <v>271</v>
      </c>
      <c r="E1122" s="7" t="str">
        <f ca="1" xml:space="preserve">
VLOOKUP(
  $D1122,
  Name!$A:$B,
  2,
  FALSE
)
&amp; " " &amp;
IF($B1122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Luiza Almeida dos Santos</v>
      </c>
      <c r="F1122" s="7">
        <v>2</v>
      </c>
      <c r="G1122" s="7" cm="1">
        <f t="array" aca="1" ref="G1122" ca="1">INDEX(States!$B:$B,RANDBETWEEN(2,COUNTA(States!$A:$A)),1)</f>
        <v>21</v>
      </c>
      <c r="H1122" s="7" t="str">
        <f ca="1">VLOOKUP($D1122,Name!$A:$C,3,FALSE)</f>
        <v>F</v>
      </c>
      <c r="I1122" s="7" cm="1">
        <f t="array" aca="1" ref="I1122" ca="1">INDEX('Marital status'!$A:$A,RANDBETWEEN(2,COUNTA('Marital status'!$A:$A)),1)</f>
        <v>2</v>
      </c>
      <c r="J1122" s="7">
        <f t="shared" ca="1" si="207"/>
        <v>4</v>
      </c>
      <c r="K1122" s="8">
        <f t="shared" ca="1" si="208"/>
        <v>29967</v>
      </c>
      <c r="L1122" s="6">
        <f t="shared" ca="1" si="209"/>
        <v>4</v>
      </c>
      <c r="M1122" s="7">
        <f ca="1" xml:space="preserve">
  IF(OR($N1122 = 2, $N1122 = 3, $N1122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122" s="6">
        <f t="shared" ca="1" si="210"/>
        <v>7</v>
      </c>
      <c r="O1122" s="6" t="e">
        <f t="shared" ca="1" si="211"/>
        <v>#N/A</v>
      </c>
      <c r="P1122" s="8">
        <f t="shared" ca="1" si="212"/>
        <v>36195</v>
      </c>
      <c r="Q1122" s="6">
        <f ca="1">RANDBETWEEN(2,COUNTA('Recruitment source'!$A:$A))</f>
        <v>9</v>
      </c>
      <c r="R1122" s="8" t="e">
        <f t="shared" ca="1" si="213"/>
        <v>#N/A</v>
      </c>
      <c r="S1122" s="6" t="e">
        <f t="shared" ca="1" si="214"/>
        <v>#N/A</v>
      </c>
      <c r="T1122" s="6">
        <f t="shared" ca="1" si="204"/>
        <v>2</v>
      </c>
      <c r="U1122" s="1">
        <f t="shared" ca="1" si="215"/>
        <v>1005</v>
      </c>
    </row>
    <row r="1123" spans="1:21" x14ac:dyDescent="0.2">
      <c r="A1123" s="7" cm="1">
        <f t="array" aca="1" ref="A1123" ca="1">INDEX(Companies!$A:$A,RANDBETWEEN(2,COUNTA(Companies!$A:$A)),1)</f>
        <v>2</v>
      </c>
      <c r="B1123" s="5">
        <f t="shared" si="205"/>
        <v>1122</v>
      </c>
      <c r="C1123" s="6">
        <f t="shared" ca="1" si="206"/>
        <v>1</v>
      </c>
      <c r="D1123" s="7">
        <f ca="1">IF($B1123 = 1 + N("Presidente"),
    127,
    IF($B1123 = 2 + N("Vice-Presidente"),
        72,
        IF($B1123 = 3 + N("Secretária bilíngue"),
            13,
            RANDBETWEEN(5,COUNT(Name!$A:$A) + 1)
        )
    )
)</f>
        <v>241</v>
      </c>
      <c r="E1123" s="7" t="str">
        <f ca="1" xml:space="preserve">
VLOOKUP(
  $D1123,
  Name!$A:$B,
  2,
  FALSE
)
&amp; " " &amp;
IF($B1123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Luccas Mello Braga</v>
      </c>
      <c r="F1123" s="7">
        <v>2</v>
      </c>
      <c r="G1123" s="7" cm="1">
        <f t="array" aca="1" ref="G1123" ca="1">INDEX(States!$B:$B,RANDBETWEEN(2,COUNTA(States!$A:$A)),1)</f>
        <v>21</v>
      </c>
      <c r="H1123" s="7" t="str">
        <f ca="1">VLOOKUP($D1123,Name!$A:$C,3,FALSE)</f>
        <v>M</v>
      </c>
      <c r="I1123" s="7" cm="1">
        <f t="array" aca="1" ref="I1123" ca="1">INDEX('Marital status'!$A:$A,RANDBETWEEN(2,COUNTA('Marital status'!$A:$A)),1)</f>
        <v>4</v>
      </c>
      <c r="J1123" s="7">
        <f t="shared" ca="1" si="207"/>
        <v>2</v>
      </c>
      <c r="K1123" s="8">
        <f t="shared" ca="1" si="208"/>
        <v>36771</v>
      </c>
      <c r="L1123" s="6">
        <f t="shared" ca="1" si="209"/>
        <v>5</v>
      </c>
      <c r="M1123" s="7">
        <f ca="1" xml:space="preserve">
  IF(OR($N1123 = 2, $N1123 = 3, $N1123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123" s="6">
        <f t="shared" ca="1" si="210"/>
        <v>8</v>
      </c>
      <c r="O1123" s="6">
        <f t="shared" ca="1" si="211"/>
        <v>2</v>
      </c>
      <c r="P1123" s="8">
        <f t="shared" ca="1" si="212"/>
        <v>43135</v>
      </c>
      <c r="Q1123" s="6">
        <f ca="1">RANDBETWEEN(2,COUNTA('Recruitment source'!$A:$A))</f>
        <v>11</v>
      </c>
      <c r="R1123" s="8" t="e">
        <f t="shared" ca="1" si="213"/>
        <v>#N/A</v>
      </c>
      <c r="S1123" s="6" t="e">
        <f t="shared" ca="1" si="214"/>
        <v>#N/A</v>
      </c>
      <c r="T1123" s="6">
        <f t="shared" ca="1" si="204"/>
        <v>5</v>
      </c>
      <c r="U1123" s="1">
        <f t="shared" ca="1" si="215"/>
        <v>2080</v>
      </c>
    </row>
    <row r="1124" spans="1:21" x14ac:dyDescent="0.2">
      <c r="A1124" s="7" cm="1">
        <f t="array" aca="1" ref="A1124" ca="1">INDEX(Companies!$A:$A,RANDBETWEEN(2,COUNTA(Companies!$A:$A)),1)</f>
        <v>2</v>
      </c>
      <c r="B1124" s="5">
        <f t="shared" si="205"/>
        <v>1123</v>
      </c>
      <c r="C1124" s="6">
        <f t="shared" ca="1" si="206"/>
        <v>1</v>
      </c>
      <c r="D1124" s="7">
        <f ca="1">IF($B1124 = 1 + N("Presidente"),
    127,
    IF($B1124 = 2 + N("Vice-Presidente"),
        72,
        IF($B1124 = 3 + N("Secretária bilíngue"),
            13,
            RANDBETWEEN(5,COUNT(Name!$A:$A) + 1)
        )
    )
)</f>
        <v>238</v>
      </c>
      <c r="E1124" s="7" t="str">
        <f ca="1" xml:space="preserve">
VLOOKUP(
  $D1124,
  Name!$A:$B,
  2,
  FALSE
)
&amp; " " &amp;
IF($B1124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Lucas Ramos Madureira</v>
      </c>
      <c r="F1124" s="7">
        <v>2</v>
      </c>
      <c r="G1124" s="7" cm="1">
        <f t="array" aca="1" ref="G1124" ca="1">INDEX(States!$B:$B,RANDBETWEEN(2,COUNTA(States!$A:$A)),1)</f>
        <v>18</v>
      </c>
      <c r="H1124" s="7" t="str">
        <f ca="1">VLOOKUP($D1124,Name!$A:$C,3,FALSE)</f>
        <v>M</v>
      </c>
      <c r="I1124" s="7" cm="1">
        <f t="array" aca="1" ref="I1124" ca="1">INDEX('Marital status'!$A:$A,RANDBETWEEN(2,COUNTA('Marital status'!$A:$A)),1)</f>
        <v>5</v>
      </c>
      <c r="J1124" s="7">
        <f t="shared" ca="1" si="207"/>
        <v>2</v>
      </c>
      <c r="K1124" s="8">
        <f t="shared" ca="1" si="208"/>
        <v>26779</v>
      </c>
      <c r="L1124" s="6">
        <f t="shared" ca="1" si="209"/>
        <v>4</v>
      </c>
      <c r="M1124" s="7">
        <f ca="1" xml:space="preserve">
  IF(OR($N1124 = 2, $N1124 = 3, $N1124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124" s="6">
        <f t="shared" ca="1" si="210"/>
        <v>6</v>
      </c>
      <c r="O1124" s="6" t="e">
        <f t="shared" ca="1" si="211"/>
        <v>#N/A</v>
      </c>
      <c r="P1124" s="8">
        <f t="shared" ca="1" si="212"/>
        <v>42030</v>
      </c>
      <c r="Q1124" s="6">
        <f ca="1">RANDBETWEEN(2,COUNTA('Recruitment source'!$A:$A))</f>
        <v>5</v>
      </c>
      <c r="R1124" s="8" t="e">
        <f t="shared" ca="1" si="213"/>
        <v>#N/A</v>
      </c>
      <c r="S1124" s="6" t="e">
        <f t="shared" ca="1" si="214"/>
        <v>#N/A</v>
      </c>
      <c r="T1124" s="6">
        <f t="shared" ca="1" si="204"/>
        <v>2</v>
      </c>
      <c r="U1124" s="1">
        <f t="shared" ca="1" si="215"/>
        <v>885</v>
      </c>
    </row>
    <row r="1125" spans="1:21" x14ac:dyDescent="0.2">
      <c r="A1125" s="7" cm="1">
        <f t="array" aca="1" ref="A1125" ca="1">INDEX(Companies!$A:$A,RANDBETWEEN(2,COUNTA(Companies!$A:$A)),1)</f>
        <v>2</v>
      </c>
      <c r="B1125" s="5">
        <f t="shared" si="205"/>
        <v>1124</v>
      </c>
      <c r="C1125" s="6">
        <f t="shared" ca="1" si="206"/>
        <v>1</v>
      </c>
      <c r="D1125" s="7">
        <f ca="1">IF($B1125 = 1 + N("Presidente"),
    127,
    IF($B1125 = 2 + N("Vice-Presidente"),
        72,
        IF($B1125 = 3 + N("Secretária bilíngue"),
            13,
            RANDBETWEEN(5,COUNT(Name!$A:$A) + 1)
        )
    )
)</f>
        <v>333</v>
      </c>
      <c r="E1125" s="7" t="str">
        <f ca="1" xml:space="preserve">
VLOOKUP(
  $D1125,
  Name!$A:$B,
  2,
  FALSE
)
&amp; " " &amp;
IF($B1125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Ruan Bispo Barboza</v>
      </c>
      <c r="F1125" s="7">
        <v>2</v>
      </c>
      <c r="G1125" s="7" cm="1">
        <f t="array" aca="1" ref="G1125" ca="1">INDEX(States!$B:$B,RANDBETWEEN(2,COUNTA(States!$A:$A)),1)</f>
        <v>6</v>
      </c>
      <c r="H1125" s="7" t="str">
        <f ca="1">VLOOKUP($D1125,Name!$A:$C,3,FALSE)</f>
        <v>M</v>
      </c>
      <c r="I1125" s="7" cm="1">
        <f t="array" aca="1" ref="I1125" ca="1">INDEX('Marital status'!$A:$A,RANDBETWEEN(2,COUNTA('Marital status'!$A:$A)),1)</f>
        <v>5</v>
      </c>
      <c r="J1125" s="7">
        <f t="shared" ca="1" si="207"/>
        <v>2</v>
      </c>
      <c r="K1125" s="8">
        <f t="shared" ca="1" si="208"/>
        <v>37005</v>
      </c>
      <c r="L1125" s="6">
        <f t="shared" ca="1" si="209"/>
        <v>5</v>
      </c>
      <c r="M1125" s="7">
        <f ca="1" xml:space="preserve">
  IF(OR($N1125 = 2, $N1125 = 3, $N1125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125" s="6">
        <f t="shared" ca="1" si="210"/>
        <v>8</v>
      </c>
      <c r="O1125" s="6">
        <f t="shared" ca="1" si="211"/>
        <v>2</v>
      </c>
      <c r="P1125" s="8">
        <f t="shared" ca="1" si="212"/>
        <v>44491</v>
      </c>
      <c r="Q1125" s="6">
        <f ca="1">RANDBETWEEN(2,COUNTA('Recruitment source'!$A:$A))</f>
        <v>9</v>
      </c>
      <c r="R1125" s="8" t="e">
        <f t="shared" ca="1" si="213"/>
        <v>#N/A</v>
      </c>
      <c r="S1125" s="6" t="e">
        <f t="shared" ca="1" si="214"/>
        <v>#N/A</v>
      </c>
      <c r="T1125" s="6">
        <f t="shared" ca="1" si="204"/>
        <v>4</v>
      </c>
      <c r="U1125" s="1">
        <f t="shared" ca="1" si="215"/>
        <v>2100</v>
      </c>
    </row>
    <row r="1126" spans="1:21" x14ac:dyDescent="0.2">
      <c r="A1126" s="7" cm="1">
        <f t="array" aca="1" ref="A1126" ca="1">INDEX(Companies!$A:$A,RANDBETWEEN(2,COUNTA(Companies!$A:$A)),1)</f>
        <v>2</v>
      </c>
      <c r="B1126" s="5">
        <f t="shared" si="205"/>
        <v>1125</v>
      </c>
      <c r="C1126" s="6">
        <f t="shared" ca="1" si="206"/>
        <v>1</v>
      </c>
      <c r="D1126" s="7">
        <f ca="1">IF($B1126 = 1 + N("Presidente"),
    127,
    IF($B1126 = 2 + N("Vice-Presidente"),
        72,
        IF($B1126 = 3 + N("Secretária bilíngue"),
            13,
            RANDBETWEEN(5,COUNT(Name!$A:$A) + 1)
        )
    )
)</f>
        <v>123</v>
      </c>
      <c r="E1126" s="7" t="str">
        <f ca="1" xml:space="preserve">
VLOOKUP(
  $D1126,
  Name!$A:$B,
  2,
  FALSE
)
&amp; " " &amp;
IF($B1126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Emanuelly Esposito Botelho</v>
      </c>
      <c r="F1126" s="7">
        <v>2</v>
      </c>
      <c r="G1126" s="7" cm="1">
        <f t="array" aca="1" ref="G1126" ca="1">INDEX(States!$B:$B,RANDBETWEEN(2,COUNTA(States!$A:$A)),1)</f>
        <v>19</v>
      </c>
      <c r="H1126" s="7" t="str">
        <f ca="1">VLOOKUP($D1126,Name!$A:$C,3,FALSE)</f>
        <v>F</v>
      </c>
      <c r="I1126" s="7" cm="1">
        <f t="array" aca="1" ref="I1126" ca="1">INDEX('Marital status'!$A:$A,RANDBETWEEN(2,COUNTA('Marital status'!$A:$A)),1)</f>
        <v>5</v>
      </c>
      <c r="J1126" s="7">
        <f t="shared" ca="1" si="207"/>
        <v>2</v>
      </c>
      <c r="K1126" s="8">
        <f t="shared" ca="1" si="208"/>
        <v>22972</v>
      </c>
      <c r="L1126" s="6">
        <f t="shared" ca="1" si="209"/>
        <v>4</v>
      </c>
      <c r="M1126" s="7">
        <f ca="1" xml:space="preserve">
  IF(OR($N1126 = 2, $N1126 = 3, $N1126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126" s="6">
        <f t="shared" ca="1" si="210"/>
        <v>6</v>
      </c>
      <c r="O1126" s="6" t="e">
        <f t="shared" ca="1" si="211"/>
        <v>#N/A</v>
      </c>
      <c r="P1126" s="8">
        <f t="shared" ca="1" si="212"/>
        <v>43548</v>
      </c>
      <c r="Q1126" s="6">
        <f ca="1">RANDBETWEEN(2,COUNTA('Recruitment source'!$A:$A))</f>
        <v>2</v>
      </c>
      <c r="R1126" s="8" t="e">
        <f t="shared" ca="1" si="213"/>
        <v>#N/A</v>
      </c>
      <c r="S1126" s="6" t="e">
        <f t="shared" ca="1" si="214"/>
        <v>#N/A</v>
      </c>
      <c r="T1126" s="6">
        <f t="shared" ca="1" si="204"/>
        <v>4</v>
      </c>
      <c r="U1126" s="1">
        <f t="shared" ca="1" si="215"/>
        <v>885</v>
      </c>
    </row>
    <row r="1127" spans="1:21" x14ac:dyDescent="0.2">
      <c r="A1127" s="7" cm="1">
        <f t="array" aca="1" ref="A1127" ca="1">INDEX(Companies!$A:$A,RANDBETWEEN(2,COUNTA(Companies!$A:$A)),1)</f>
        <v>2</v>
      </c>
      <c r="B1127" s="5">
        <f t="shared" si="205"/>
        <v>1126</v>
      </c>
      <c r="C1127" s="6">
        <f t="shared" ca="1" si="206"/>
        <v>1</v>
      </c>
      <c r="D1127" s="7">
        <f ca="1">IF($B1127 = 1 + N("Presidente"),
    127,
    IF($B1127 = 2 + N("Vice-Presidente"),
        72,
        IF($B1127 = 3 + N("Secretária bilíngue"),
            13,
            RANDBETWEEN(5,COUNT(Name!$A:$A) + 1)
        )
    )
)</f>
        <v>246</v>
      </c>
      <c r="E1127" s="7" t="str">
        <f ca="1" xml:space="preserve">
VLOOKUP(
  $D1127,
  Name!$A:$B,
  2,
  FALSE
)
&amp; " " &amp;
IF($B1127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Miguel Barroso Rizzo</v>
      </c>
      <c r="F1127" s="7">
        <v>2</v>
      </c>
      <c r="G1127" s="7" cm="1">
        <f t="array" aca="1" ref="G1127" ca="1">INDEX(States!$B:$B,RANDBETWEEN(2,COUNTA(States!$A:$A)),1)</f>
        <v>4</v>
      </c>
      <c r="H1127" s="7" t="str">
        <f ca="1">VLOOKUP($D1127,Name!$A:$C,3,FALSE)</f>
        <v>M</v>
      </c>
      <c r="I1127" s="7" cm="1">
        <f t="array" aca="1" ref="I1127" ca="1">INDEX('Marital status'!$A:$A,RANDBETWEEN(2,COUNTA('Marital status'!$A:$A)),1)</f>
        <v>4</v>
      </c>
      <c r="J1127" s="7">
        <f t="shared" ca="1" si="207"/>
        <v>3</v>
      </c>
      <c r="K1127" s="8">
        <f t="shared" ca="1" si="208"/>
        <v>33682</v>
      </c>
      <c r="L1127" s="6">
        <f t="shared" ca="1" si="209"/>
        <v>4</v>
      </c>
      <c r="M1127" s="7">
        <f ca="1" xml:space="preserve">
  IF(OR($N1127 = 2, $N1127 = 3, $N1127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127" s="6">
        <f t="shared" ca="1" si="210"/>
        <v>8</v>
      </c>
      <c r="O1127" s="6">
        <f t="shared" ca="1" si="211"/>
        <v>3</v>
      </c>
      <c r="P1127" s="8">
        <f t="shared" ca="1" si="212"/>
        <v>39953</v>
      </c>
      <c r="Q1127" s="6">
        <f ca="1">RANDBETWEEN(2,COUNTA('Recruitment source'!$A:$A))</f>
        <v>12</v>
      </c>
      <c r="R1127" s="8" t="e">
        <f t="shared" ca="1" si="213"/>
        <v>#N/A</v>
      </c>
      <c r="S1127" s="6" t="e">
        <f t="shared" ca="1" si="214"/>
        <v>#N/A</v>
      </c>
      <c r="T1127" s="6">
        <f t="shared" ca="1" si="204"/>
        <v>3</v>
      </c>
      <c r="U1127" s="1">
        <f t="shared" ca="1" si="215"/>
        <v>2000</v>
      </c>
    </row>
    <row r="1128" spans="1:21" x14ac:dyDescent="0.2">
      <c r="A1128" s="7" cm="1">
        <f t="array" aca="1" ref="A1128" ca="1">INDEX(Companies!$A:$A,RANDBETWEEN(2,COUNTA(Companies!$A:$A)),1)</f>
        <v>2</v>
      </c>
      <c r="B1128" s="5">
        <f t="shared" si="205"/>
        <v>1127</v>
      </c>
      <c r="C1128" s="6">
        <f t="shared" ca="1" si="206"/>
        <v>1</v>
      </c>
      <c r="D1128" s="7">
        <f ca="1">IF($B1128 = 1 + N("Presidente"),
    127,
    IF($B1128 = 2 + N("Vice-Presidente"),
        72,
        IF($B1128 = 3 + N("Secretária bilíngue"),
            13,
            RANDBETWEEN(5,COUNT(Name!$A:$A) + 1)
        )
    )
)</f>
        <v>268</v>
      </c>
      <c r="E1128" s="7" t="str">
        <f ca="1" xml:space="preserve">
VLOOKUP(
  $D1128,
  Name!$A:$B,
  2,
  FALSE
)
&amp; " " &amp;
IF($B1128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Isis Barroso Caruso</v>
      </c>
      <c r="F1128" s="7">
        <v>2</v>
      </c>
      <c r="G1128" s="7" cm="1">
        <f t="array" aca="1" ref="G1128" ca="1">INDEX(States!$B:$B,RANDBETWEEN(2,COUNTA(States!$A:$A)),1)</f>
        <v>17</v>
      </c>
      <c r="H1128" s="7" t="str">
        <f ca="1">VLOOKUP($D1128,Name!$A:$C,3,FALSE)</f>
        <v>F</v>
      </c>
      <c r="I1128" s="7" cm="1">
        <f t="array" aca="1" ref="I1128" ca="1">INDEX('Marital status'!$A:$A,RANDBETWEEN(2,COUNTA('Marital status'!$A:$A)),1)</f>
        <v>3</v>
      </c>
      <c r="J1128" s="7">
        <f t="shared" ca="1" si="207"/>
        <v>2</v>
      </c>
      <c r="K1128" s="8">
        <f t="shared" ca="1" si="208"/>
        <v>22705</v>
      </c>
      <c r="L1128" s="6">
        <f t="shared" ca="1" si="209"/>
        <v>4</v>
      </c>
      <c r="M1128" s="7">
        <f ca="1" xml:space="preserve">
  IF(OR($N1128 = 2, $N1128 = 3, $N1128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128" s="6">
        <f t="shared" ca="1" si="210"/>
        <v>6</v>
      </c>
      <c r="O1128" s="6" t="e">
        <f t="shared" ca="1" si="211"/>
        <v>#N/A</v>
      </c>
      <c r="P1128" s="8">
        <f t="shared" ca="1" si="212"/>
        <v>37570</v>
      </c>
      <c r="Q1128" s="6">
        <f ca="1">RANDBETWEEN(2,COUNTA('Recruitment source'!$A:$A))</f>
        <v>5</v>
      </c>
      <c r="R1128" s="8" t="e">
        <f t="shared" ca="1" si="213"/>
        <v>#N/A</v>
      </c>
      <c r="S1128" s="6" t="e">
        <f t="shared" ca="1" si="214"/>
        <v>#N/A</v>
      </c>
      <c r="T1128" s="6">
        <f t="shared" ca="1" si="204"/>
        <v>5</v>
      </c>
      <c r="U1128" s="1">
        <f t="shared" ca="1" si="215"/>
        <v>885</v>
      </c>
    </row>
    <row r="1129" spans="1:21" x14ac:dyDescent="0.2">
      <c r="A1129" s="7" cm="1">
        <f t="array" aca="1" ref="A1129" ca="1">INDEX(Companies!$A:$A,RANDBETWEEN(2,COUNTA(Companies!$A:$A)),1)</f>
        <v>2</v>
      </c>
      <c r="B1129" s="5">
        <f t="shared" si="205"/>
        <v>1128</v>
      </c>
      <c r="C1129" s="6">
        <f t="shared" ca="1" si="206"/>
        <v>1</v>
      </c>
      <c r="D1129" s="7">
        <f ca="1">IF($B1129 = 1 + N("Presidente"),
    127,
    IF($B1129 = 2 + N("Vice-Presidente"),
        72,
        IF($B1129 = 3 + N("Secretária bilíngue"),
            13,
            RANDBETWEEN(5,COUNT(Name!$A:$A) + 1)
        )
    )
)</f>
        <v>211</v>
      </c>
      <c r="E1129" s="7" t="str">
        <f ca="1" xml:space="preserve">
VLOOKUP(
  $D1129,
  Name!$A:$B,
  2,
  FALSE
)
&amp; " " &amp;
IF($B1129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Kauê Barroso Rinaldi</v>
      </c>
      <c r="F1129" s="7">
        <v>2</v>
      </c>
      <c r="G1129" s="7" cm="1">
        <f t="array" aca="1" ref="G1129" ca="1">INDEX(States!$B:$B,RANDBETWEEN(2,COUNTA(States!$A:$A)),1)</f>
        <v>14</v>
      </c>
      <c r="H1129" s="7" t="str">
        <f ca="1">VLOOKUP($D1129,Name!$A:$C,3,FALSE)</f>
        <v>M</v>
      </c>
      <c r="I1129" s="7" cm="1">
        <f t="array" aca="1" ref="I1129" ca="1">INDEX('Marital status'!$A:$A,RANDBETWEEN(2,COUNTA('Marital status'!$A:$A)),1)</f>
        <v>6</v>
      </c>
      <c r="J1129" s="7">
        <f t="shared" ca="1" si="207"/>
        <v>2</v>
      </c>
      <c r="K1129" s="8">
        <f t="shared" ca="1" si="208"/>
        <v>34017</v>
      </c>
      <c r="L1129" s="6">
        <f t="shared" ca="1" si="209"/>
        <v>5</v>
      </c>
      <c r="M1129" s="7">
        <f ca="1" xml:space="preserve">
  IF(OR($N1129 = 2, $N1129 = 3, $N1129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129" s="6">
        <f t="shared" ca="1" si="210"/>
        <v>8</v>
      </c>
      <c r="O1129" s="6">
        <f t="shared" ca="1" si="211"/>
        <v>2</v>
      </c>
      <c r="P1129" s="8">
        <f t="shared" ca="1" si="212"/>
        <v>44336</v>
      </c>
      <c r="Q1129" s="6">
        <f ca="1">RANDBETWEEN(2,COUNTA('Recruitment source'!$A:$A))</f>
        <v>3</v>
      </c>
      <c r="R1129" s="8" t="e">
        <f t="shared" ca="1" si="213"/>
        <v>#N/A</v>
      </c>
      <c r="S1129" s="6" t="e">
        <f t="shared" ca="1" si="214"/>
        <v>#N/A</v>
      </c>
      <c r="T1129" s="6">
        <f t="shared" ca="1" si="204"/>
        <v>5</v>
      </c>
      <c r="U1129" s="1">
        <f t="shared" ca="1" si="215"/>
        <v>2080</v>
      </c>
    </row>
    <row r="1130" spans="1:21" x14ac:dyDescent="0.2">
      <c r="A1130" s="7" cm="1">
        <f t="array" aca="1" ref="A1130" ca="1">INDEX(Companies!$A:$A,RANDBETWEEN(2,COUNTA(Companies!$A:$A)),1)</f>
        <v>2</v>
      </c>
      <c r="B1130" s="5">
        <f t="shared" si="205"/>
        <v>1129</v>
      </c>
      <c r="C1130" s="6">
        <f t="shared" ca="1" si="206"/>
        <v>1</v>
      </c>
      <c r="D1130" s="7">
        <f ca="1">IF($B1130 = 1 + N("Presidente"),
    127,
    IF($B1130 = 2 + N("Vice-Presidente"),
        72,
        IF($B1130 = 3 + N("Secretária bilíngue"),
            13,
            RANDBETWEEN(5,COUNT(Name!$A:$A) + 1)
        )
    )
)</f>
        <v>267</v>
      </c>
      <c r="E1130" s="7" t="str">
        <f ca="1" xml:space="preserve">
VLOOKUP(
  $D1130,
  Name!$A:$B,
  2,
  FALSE
)
&amp; " " &amp;
IF($B1130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Heloísa Andrioli Café</v>
      </c>
      <c r="F1130" s="7">
        <v>2</v>
      </c>
      <c r="G1130" s="7" cm="1">
        <f t="array" aca="1" ref="G1130" ca="1">INDEX(States!$B:$B,RANDBETWEEN(2,COUNTA(States!$A:$A)),1)</f>
        <v>6</v>
      </c>
      <c r="H1130" s="7" t="str">
        <f ca="1">VLOOKUP($D1130,Name!$A:$C,3,FALSE)</f>
        <v>F</v>
      </c>
      <c r="I1130" s="7" cm="1">
        <f t="array" aca="1" ref="I1130" ca="1">INDEX('Marital status'!$A:$A,RANDBETWEEN(2,COUNTA('Marital status'!$A:$A)),1)</f>
        <v>2</v>
      </c>
      <c r="J1130" s="7">
        <f t="shared" ca="1" si="207"/>
        <v>2</v>
      </c>
      <c r="K1130" s="8">
        <f t="shared" ca="1" si="208"/>
        <v>31547</v>
      </c>
      <c r="L1130" s="6">
        <f t="shared" ca="1" si="209"/>
        <v>4</v>
      </c>
      <c r="M1130" s="7">
        <f ca="1" xml:space="preserve">
  IF(OR($N1130 = 2, $N1130 = 3, $N1130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130" s="6">
        <f t="shared" ca="1" si="210"/>
        <v>7</v>
      </c>
      <c r="O1130" s="6" t="e">
        <f t="shared" ca="1" si="211"/>
        <v>#N/A</v>
      </c>
      <c r="P1130" s="8">
        <f t="shared" ca="1" si="212"/>
        <v>37986</v>
      </c>
      <c r="Q1130" s="6">
        <f ca="1">RANDBETWEEN(2,COUNTA('Recruitment source'!$A:$A))</f>
        <v>7</v>
      </c>
      <c r="R1130" s="8" t="e">
        <f t="shared" ca="1" si="213"/>
        <v>#N/A</v>
      </c>
      <c r="S1130" s="6" t="e">
        <f t="shared" ca="1" si="214"/>
        <v>#N/A</v>
      </c>
      <c r="T1130" s="6">
        <f t="shared" ca="1" si="204"/>
        <v>2</v>
      </c>
      <c r="U1130" s="1">
        <f t="shared" ca="1" si="215"/>
        <v>1005</v>
      </c>
    </row>
    <row r="1131" spans="1:21" x14ac:dyDescent="0.2">
      <c r="A1131" s="7" cm="1">
        <f t="array" aca="1" ref="A1131" ca="1">INDEX(Companies!$A:$A,RANDBETWEEN(2,COUNTA(Companies!$A:$A)),1)</f>
        <v>2</v>
      </c>
      <c r="B1131" s="5">
        <f t="shared" si="205"/>
        <v>1130</v>
      </c>
      <c r="C1131" s="6">
        <f t="shared" ca="1" si="206"/>
        <v>1</v>
      </c>
      <c r="D1131" s="7">
        <f ca="1">IF($B1131 = 1 + N("Presidente"),
    127,
    IF($B1131 = 2 + N("Vice-Presidente"),
        72,
        IF($B1131 = 3 + N("Secretária bilíngue"),
            13,
            RANDBETWEEN(5,COUNT(Name!$A:$A) + 1)
        )
    )
)</f>
        <v>247</v>
      </c>
      <c r="E1131" s="7" t="str">
        <f ca="1" xml:space="preserve">
VLOOKUP(
  $D1131,
  Name!$A:$B,
  2,
  FALSE
)
&amp; " " &amp;
IF($B1131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Otávio Almeida Galli</v>
      </c>
      <c r="F1131" s="7">
        <v>2</v>
      </c>
      <c r="G1131" s="7" cm="1">
        <f t="array" aca="1" ref="G1131" ca="1">INDEX(States!$B:$B,RANDBETWEEN(2,COUNTA(States!$A:$A)),1)</f>
        <v>20</v>
      </c>
      <c r="H1131" s="7" t="str">
        <f ca="1">VLOOKUP($D1131,Name!$A:$C,3,FALSE)</f>
        <v>M</v>
      </c>
      <c r="I1131" s="7" cm="1">
        <f t="array" aca="1" ref="I1131" ca="1">INDEX('Marital status'!$A:$A,RANDBETWEEN(2,COUNTA('Marital status'!$A:$A)),1)</f>
        <v>6</v>
      </c>
      <c r="J1131" s="7">
        <f t="shared" ca="1" si="207"/>
        <v>2</v>
      </c>
      <c r="K1131" s="8">
        <f t="shared" ca="1" si="208"/>
        <v>32921</v>
      </c>
      <c r="L1131" s="6">
        <f t="shared" ca="1" si="209"/>
        <v>5</v>
      </c>
      <c r="M1131" s="7">
        <f ca="1" xml:space="preserve">
  IF(OR($N1131 = 2, $N1131 = 3, $N1131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131" s="6">
        <f t="shared" ca="1" si="210"/>
        <v>8</v>
      </c>
      <c r="O1131" s="6">
        <f t="shared" ca="1" si="211"/>
        <v>2</v>
      </c>
      <c r="P1131" s="8">
        <f t="shared" ca="1" si="212"/>
        <v>39853</v>
      </c>
      <c r="Q1131" s="6">
        <f ca="1">RANDBETWEEN(2,COUNTA('Recruitment source'!$A:$A))</f>
        <v>5</v>
      </c>
      <c r="R1131" s="8" t="e">
        <f t="shared" ca="1" si="213"/>
        <v>#N/A</v>
      </c>
      <c r="S1131" s="6" t="e">
        <f t="shared" ca="1" si="214"/>
        <v>#N/A</v>
      </c>
      <c r="T1131" s="6">
        <f t="shared" ca="1" si="204"/>
        <v>4</v>
      </c>
      <c r="U1131" s="1">
        <f t="shared" ca="1" si="215"/>
        <v>2080</v>
      </c>
    </row>
    <row r="1132" spans="1:21" x14ac:dyDescent="0.2">
      <c r="A1132" s="7" cm="1">
        <f t="array" aca="1" ref="A1132" ca="1">INDEX(Companies!$A:$A,RANDBETWEEN(2,COUNTA(Companies!$A:$A)),1)</f>
        <v>2</v>
      </c>
      <c r="B1132" s="5">
        <f t="shared" si="205"/>
        <v>1131</v>
      </c>
      <c r="C1132" s="6">
        <f t="shared" ca="1" si="206"/>
        <v>1</v>
      </c>
      <c r="D1132" s="7">
        <f ca="1">IF($B1132 = 1 + N("Presidente"),
    127,
    IF($B1132 = 2 + N("Vice-Presidente"),
        72,
        IF($B1132 = 3 + N("Secretária bilíngue"),
            13,
            RANDBETWEEN(5,COUNT(Name!$A:$A) + 1)
        )
    )
)</f>
        <v>62</v>
      </c>
      <c r="E1132" s="7" t="str">
        <f ca="1" xml:space="preserve">
VLOOKUP(
  $D1132,
  Name!$A:$B,
  2,
  FALSE
)
&amp; " " &amp;
IF($B1132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Aurora Pereira Peçanha</v>
      </c>
      <c r="F1132" s="7">
        <v>2</v>
      </c>
      <c r="G1132" s="7" cm="1">
        <f t="array" aca="1" ref="G1132" ca="1">INDEX(States!$B:$B,RANDBETWEEN(2,COUNTA(States!$A:$A)),1)</f>
        <v>8</v>
      </c>
      <c r="H1132" s="7" t="str">
        <f ca="1">VLOOKUP($D1132,Name!$A:$C,3,FALSE)</f>
        <v>F</v>
      </c>
      <c r="I1132" s="7" cm="1">
        <f t="array" aca="1" ref="I1132" ca="1">INDEX('Marital status'!$A:$A,RANDBETWEEN(2,COUNTA('Marital status'!$A:$A)),1)</f>
        <v>4</v>
      </c>
      <c r="J1132" s="7">
        <f t="shared" ca="1" si="207"/>
        <v>2</v>
      </c>
      <c r="K1132" s="8">
        <f t="shared" ca="1" si="208"/>
        <v>35995</v>
      </c>
      <c r="L1132" s="6">
        <f t="shared" ca="1" si="209"/>
        <v>4</v>
      </c>
      <c r="M1132" s="7">
        <f ca="1" xml:space="preserve">
  IF(OR($N1132 = 2, $N1132 = 3, $N1132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132" s="6">
        <f t="shared" ca="1" si="210"/>
        <v>7</v>
      </c>
      <c r="O1132" s="6" t="e">
        <f t="shared" ca="1" si="211"/>
        <v>#N/A</v>
      </c>
      <c r="P1132" s="8">
        <f t="shared" ca="1" si="212"/>
        <v>40945</v>
      </c>
      <c r="Q1132" s="6">
        <f ca="1">RANDBETWEEN(2,COUNTA('Recruitment source'!$A:$A))</f>
        <v>5</v>
      </c>
      <c r="R1132" s="8" t="e">
        <f t="shared" ca="1" si="213"/>
        <v>#N/A</v>
      </c>
      <c r="S1132" s="6" t="e">
        <f t="shared" ca="1" si="214"/>
        <v>#N/A</v>
      </c>
      <c r="T1132" s="6">
        <f t="shared" ca="1" si="204"/>
        <v>4</v>
      </c>
      <c r="U1132" s="1">
        <f t="shared" ca="1" si="215"/>
        <v>1005</v>
      </c>
    </row>
    <row r="1133" spans="1:21" x14ac:dyDescent="0.2">
      <c r="A1133" s="7" cm="1">
        <f t="array" aca="1" ref="A1133" ca="1">INDEX(Companies!$A:$A,RANDBETWEEN(2,COUNTA(Companies!$A:$A)),1)</f>
        <v>2</v>
      </c>
      <c r="B1133" s="5">
        <f t="shared" si="205"/>
        <v>1132</v>
      </c>
      <c r="C1133" s="6">
        <f t="shared" ca="1" si="206"/>
        <v>1</v>
      </c>
      <c r="D1133" s="7">
        <f ca="1">IF($B1133 = 1 + N("Presidente"),
    127,
    IF($B1133 = 2 + N("Vice-Presidente"),
        72,
        IF($B1133 = 3 + N("Secretária bilíngue"),
            13,
            RANDBETWEEN(5,COUNT(Name!$A:$A) + 1)
        )
    )
)</f>
        <v>42</v>
      </c>
      <c r="E1133" s="7" t="str">
        <f ca="1" xml:space="preserve">
VLOOKUP(
  $D1133,
  Name!$A:$B,
  2,
  FALSE
)
&amp; " " &amp;
IF($B1133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Ângelo Brasão Trindade</v>
      </c>
      <c r="F1133" s="7">
        <v>2</v>
      </c>
      <c r="G1133" s="7" cm="1">
        <f t="array" aca="1" ref="G1133" ca="1">INDEX(States!$B:$B,RANDBETWEEN(2,COUNTA(States!$A:$A)),1)</f>
        <v>5</v>
      </c>
      <c r="H1133" s="7" t="str">
        <f ca="1">VLOOKUP($D1133,Name!$A:$C,3,FALSE)</f>
        <v>M</v>
      </c>
      <c r="I1133" s="7" cm="1">
        <f t="array" aca="1" ref="I1133" ca="1">INDEX('Marital status'!$A:$A,RANDBETWEEN(2,COUNTA('Marital status'!$A:$A)),1)</f>
        <v>3</v>
      </c>
      <c r="J1133" s="7">
        <f t="shared" ca="1" si="207"/>
        <v>4</v>
      </c>
      <c r="K1133" s="8">
        <f t="shared" ca="1" si="208"/>
        <v>32961</v>
      </c>
      <c r="L1133" s="6">
        <f t="shared" ca="1" si="209"/>
        <v>5</v>
      </c>
      <c r="M1133" s="7">
        <f ca="1" xml:space="preserve">
  IF(OR($N1133 = 2, $N1133 = 3, $N1133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133" s="6">
        <f t="shared" ca="1" si="210"/>
        <v>8</v>
      </c>
      <c r="O1133" s="6">
        <f t="shared" ca="1" si="211"/>
        <v>3</v>
      </c>
      <c r="P1133" s="8">
        <f t="shared" ca="1" si="212"/>
        <v>40255</v>
      </c>
      <c r="Q1133" s="6">
        <f ca="1">RANDBETWEEN(2,COUNTA('Recruitment source'!$A:$A))</f>
        <v>8</v>
      </c>
      <c r="R1133" s="8" t="e">
        <f t="shared" ca="1" si="213"/>
        <v>#N/A</v>
      </c>
      <c r="S1133" s="6" t="e">
        <f t="shared" ca="1" si="214"/>
        <v>#N/A</v>
      </c>
      <c r="T1133" s="6">
        <f t="shared" ca="1" si="204"/>
        <v>5</v>
      </c>
      <c r="U1133" s="1">
        <f t="shared" ca="1" si="215"/>
        <v>2000</v>
      </c>
    </row>
    <row r="1134" spans="1:21" x14ac:dyDescent="0.2">
      <c r="A1134" s="7" cm="1">
        <f t="array" aca="1" ref="A1134" ca="1">INDEX(Companies!$A:$A,RANDBETWEEN(2,COUNTA(Companies!$A:$A)),1)</f>
        <v>2</v>
      </c>
      <c r="B1134" s="5">
        <f t="shared" si="205"/>
        <v>1133</v>
      </c>
      <c r="C1134" s="6">
        <f t="shared" ca="1" si="206"/>
        <v>1</v>
      </c>
      <c r="D1134" s="7">
        <f ca="1">IF($B1134 = 1 + N("Presidente"),
    127,
    IF($B1134 = 2 + N("Vice-Presidente"),
        72,
        IF($B1134 = 3 + N("Secretária bilíngue"),
            13,
            RANDBETWEEN(5,COUNT(Name!$A:$A) + 1)
        )
    )
)</f>
        <v>6</v>
      </c>
      <c r="E1134" s="7" t="str">
        <f ca="1" xml:space="preserve">
VLOOKUP(
  $D1134,
  Name!$A:$B,
  2,
  FALSE
)
&amp; " " &amp;
IF($B1134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Abigail Padrão Cunha</v>
      </c>
      <c r="F1134" s="7">
        <v>2</v>
      </c>
      <c r="G1134" s="7" cm="1">
        <f t="array" aca="1" ref="G1134" ca="1">INDEX(States!$B:$B,RANDBETWEEN(2,COUNTA(States!$A:$A)),1)</f>
        <v>6</v>
      </c>
      <c r="H1134" s="7" t="str">
        <f ca="1">VLOOKUP($D1134,Name!$A:$C,3,FALSE)</f>
        <v>F</v>
      </c>
      <c r="I1134" s="7" cm="1">
        <f t="array" aca="1" ref="I1134" ca="1">INDEX('Marital status'!$A:$A,RANDBETWEEN(2,COUNTA('Marital status'!$A:$A)),1)</f>
        <v>6</v>
      </c>
      <c r="J1134" s="7">
        <f t="shared" ca="1" si="207"/>
        <v>3</v>
      </c>
      <c r="K1134" s="8">
        <f t="shared" ca="1" si="208"/>
        <v>20199</v>
      </c>
      <c r="L1134" s="6">
        <f t="shared" ca="1" si="209"/>
        <v>4</v>
      </c>
      <c r="M1134" s="7">
        <f ca="1" xml:space="preserve">
  IF(OR($N1134 = 2, $N1134 = 3, $N1134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134" s="6">
        <f t="shared" ca="1" si="210"/>
        <v>6</v>
      </c>
      <c r="O1134" s="6" t="e">
        <f t="shared" ca="1" si="211"/>
        <v>#N/A</v>
      </c>
      <c r="P1134" s="8">
        <f t="shared" ca="1" si="212"/>
        <v>38609</v>
      </c>
      <c r="Q1134" s="6">
        <f ca="1">RANDBETWEEN(2,COUNTA('Recruitment source'!$A:$A))</f>
        <v>2</v>
      </c>
      <c r="R1134" s="8" t="e">
        <f t="shared" ca="1" si="213"/>
        <v>#N/A</v>
      </c>
      <c r="S1134" s="6" t="e">
        <f t="shared" ca="1" si="214"/>
        <v>#N/A</v>
      </c>
      <c r="T1134" s="6">
        <f t="shared" ca="1" si="204"/>
        <v>2</v>
      </c>
      <c r="U1134" s="1">
        <f t="shared" ca="1" si="215"/>
        <v>805</v>
      </c>
    </row>
    <row r="1135" spans="1:21" x14ac:dyDescent="0.2">
      <c r="A1135" s="7" cm="1">
        <f t="array" aca="1" ref="A1135" ca="1">INDEX(Companies!$A:$A,RANDBETWEEN(2,COUNTA(Companies!$A:$A)),1)</f>
        <v>2</v>
      </c>
      <c r="B1135" s="5">
        <f t="shared" si="205"/>
        <v>1134</v>
      </c>
      <c r="C1135" s="6">
        <f t="shared" ca="1" si="206"/>
        <v>1</v>
      </c>
      <c r="D1135" s="7">
        <f ca="1">IF($B1135 = 1 + N("Presidente"),
    127,
    IF($B1135 = 2 + N("Vice-Presidente"),
        72,
        IF($B1135 = 3 + N("Secretária bilíngue"),
            13,
            RANDBETWEEN(5,COUNT(Name!$A:$A) + 1)
        )
    )
)</f>
        <v>22</v>
      </c>
      <c r="E1135" s="7" t="str">
        <f ca="1" xml:space="preserve">
VLOOKUP(
  $D1135,
  Name!$A:$B,
  2,
  FALSE
)
&amp; " " &amp;
IF($B1135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Álvaro Bandeira Veiga</v>
      </c>
      <c r="F1135" s="7">
        <v>2</v>
      </c>
      <c r="G1135" s="7" cm="1">
        <f t="array" aca="1" ref="G1135" ca="1">INDEX(States!$B:$B,RANDBETWEEN(2,COUNTA(States!$A:$A)),1)</f>
        <v>7</v>
      </c>
      <c r="H1135" s="7" t="str">
        <f ca="1">VLOOKUP($D1135,Name!$A:$C,3,FALSE)</f>
        <v>M</v>
      </c>
      <c r="I1135" s="7" cm="1">
        <f t="array" aca="1" ref="I1135" ca="1">INDEX('Marital status'!$A:$A,RANDBETWEEN(2,COUNTA('Marital status'!$A:$A)),1)</f>
        <v>6</v>
      </c>
      <c r="J1135" s="7">
        <f t="shared" ca="1" si="207"/>
        <v>2</v>
      </c>
      <c r="K1135" s="8">
        <f t="shared" ca="1" si="208"/>
        <v>35967</v>
      </c>
      <c r="L1135" s="6">
        <f t="shared" ca="1" si="209"/>
        <v>5</v>
      </c>
      <c r="M1135" s="7">
        <f ca="1" xml:space="preserve">
  IF(OR($N1135 = 2, $N1135 = 3, $N1135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135" s="6">
        <f t="shared" ca="1" si="210"/>
        <v>8</v>
      </c>
      <c r="O1135" s="6">
        <f t="shared" ca="1" si="211"/>
        <v>4</v>
      </c>
      <c r="P1135" s="8">
        <f t="shared" ca="1" si="212"/>
        <v>38535</v>
      </c>
      <c r="Q1135" s="6">
        <f ca="1">RANDBETWEEN(2,COUNTA('Recruitment source'!$A:$A))</f>
        <v>8</v>
      </c>
      <c r="R1135" s="8" t="e">
        <f t="shared" ca="1" si="213"/>
        <v>#N/A</v>
      </c>
      <c r="S1135" s="6" t="e">
        <f t="shared" ca="1" si="214"/>
        <v>#N/A</v>
      </c>
      <c r="T1135" s="6">
        <f t="shared" ca="1" si="204"/>
        <v>3</v>
      </c>
      <c r="U1135" s="1">
        <f t="shared" ca="1" si="215"/>
        <v>2080</v>
      </c>
    </row>
    <row r="1136" spans="1:21" x14ac:dyDescent="0.2">
      <c r="A1136" s="7" cm="1">
        <f t="array" aca="1" ref="A1136" ca="1">INDEX(Companies!$A:$A,RANDBETWEEN(2,COUNTA(Companies!$A:$A)),1)</f>
        <v>2</v>
      </c>
      <c r="B1136" s="5">
        <f t="shared" si="205"/>
        <v>1135</v>
      </c>
      <c r="C1136" s="6">
        <f t="shared" ca="1" si="206"/>
        <v>1</v>
      </c>
      <c r="D1136" s="7">
        <f ca="1">IF($B1136 = 1 + N("Presidente"),
    127,
    IF($B1136 = 2 + N("Vice-Presidente"),
        72,
        IF($B1136 = 3 + N("Secretária bilíngue"),
            13,
            RANDBETWEEN(5,COUNT(Name!$A:$A) + 1)
        )
    )
)</f>
        <v>68</v>
      </c>
      <c r="E1136" s="7" t="str">
        <f ca="1" xml:space="preserve">
VLOOKUP(
  $D1136,
  Name!$A:$B,
  2,
  FALSE
)
&amp; " " &amp;
IF($B1136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Benício Faria Ferrara</v>
      </c>
      <c r="F1136" s="7">
        <v>2</v>
      </c>
      <c r="G1136" s="7" cm="1">
        <f t="array" aca="1" ref="G1136" ca="1">INDEX(States!$B:$B,RANDBETWEEN(2,COUNTA(States!$A:$A)),1)</f>
        <v>21</v>
      </c>
      <c r="H1136" s="7" t="str">
        <f ca="1">VLOOKUP($D1136,Name!$A:$C,3,FALSE)</f>
        <v>M</v>
      </c>
      <c r="I1136" s="7" cm="1">
        <f t="array" aca="1" ref="I1136" ca="1">INDEX('Marital status'!$A:$A,RANDBETWEEN(2,COUNTA('Marital status'!$A:$A)),1)</f>
        <v>3</v>
      </c>
      <c r="J1136" s="7">
        <f t="shared" ca="1" si="207"/>
        <v>2</v>
      </c>
      <c r="K1136" s="8">
        <f t="shared" ca="1" si="208"/>
        <v>35854</v>
      </c>
      <c r="L1136" s="6">
        <f t="shared" ca="1" si="209"/>
        <v>4</v>
      </c>
      <c r="M1136" s="7">
        <f ca="1" xml:space="preserve">
  IF(OR($N1136 = 2, $N1136 = 3, $N1136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136" s="6">
        <f t="shared" ca="1" si="210"/>
        <v>7</v>
      </c>
      <c r="O1136" s="6" t="e">
        <f t="shared" ca="1" si="211"/>
        <v>#N/A</v>
      </c>
      <c r="P1136" s="8">
        <f t="shared" ca="1" si="212"/>
        <v>37102</v>
      </c>
      <c r="Q1136" s="6">
        <f ca="1">RANDBETWEEN(2,COUNTA('Recruitment source'!$A:$A))</f>
        <v>4</v>
      </c>
      <c r="R1136" s="8" t="e">
        <f t="shared" ca="1" si="213"/>
        <v>#N/A</v>
      </c>
      <c r="S1136" s="6" t="e">
        <f t="shared" ca="1" si="214"/>
        <v>#N/A</v>
      </c>
      <c r="T1136" s="6">
        <f t="shared" ca="1" si="204"/>
        <v>3</v>
      </c>
      <c r="U1136" s="1">
        <f t="shared" ca="1" si="215"/>
        <v>1085</v>
      </c>
    </row>
    <row r="1137" spans="1:21" x14ac:dyDescent="0.2">
      <c r="A1137" s="7" cm="1">
        <f t="array" aca="1" ref="A1137" ca="1">INDEX(Companies!$A:$A,RANDBETWEEN(2,COUNTA(Companies!$A:$A)),1)</f>
        <v>2</v>
      </c>
      <c r="B1137" s="5">
        <f t="shared" si="205"/>
        <v>1136</v>
      </c>
      <c r="C1137" s="6">
        <f t="shared" ca="1" si="206"/>
        <v>1</v>
      </c>
      <c r="D1137" s="7">
        <f ca="1">IF($B1137 = 1 + N("Presidente"),
    127,
    IF($B1137 = 2 + N("Vice-Presidente"),
        72,
        IF($B1137 = 3 + N("Secretária bilíngue"),
            13,
            RANDBETWEEN(5,COUNT(Name!$A:$A) + 1)
        )
    )
)</f>
        <v>222</v>
      </c>
      <c r="E1137" s="7" t="str">
        <f ca="1" xml:space="preserve">
VLOOKUP(
  $D1137,
  Name!$A:$B,
  2,
  FALSE
)
&amp; " " &amp;
IF($B1137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Lavignia Morato Braga</v>
      </c>
      <c r="F1137" s="7">
        <v>2</v>
      </c>
      <c r="G1137" s="7" cm="1">
        <f t="array" aca="1" ref="G1137" ca="1">INDEX(States!$B:$B,RANDBETWEEN(2,COUNTA(States!$A:$A)),1)</f>
        <v>13</v>
      </c>
      <c r="H1137" s="7" t="str">
        <f ca="1">VLOOKUP($D1137,Name!$A:$C,3,FALSE)</f>
        <v>F</v>
      </c>
      <c r="I1137" s="7" cm="1">
        <f t="array" aca="1" ref="I1137" ca="1">INDEX('Marital status'!$A:$A,RANDBETWEEN(2,COUNTA('Marital status'!$A:$A)),1)</f>
        <v>4</v>
      </c>
      <c r="J1137" s="7">
        <f t="shared" ca="1" si="207"/>
        <v>2</v>
      </c>
      <c r="K1137" s="8">
        <f t="shared" ca="1" si="208"/>
        <v>33527</v>
      </c>
      <c r="L1137" s="6">
        <f t="shared" ca="1" si="209"/>
        <v>5</v>
      </c>
      <c r="M1137" s="7">
        <f ca="1" xml:space="preserve">
  IF(OR($N1137 = 2, $N1137 = 3, $N1137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137" s="6">
        <f t="shared" ca="1" si="210"/>
        <v>8</v>
      </c>
      <c r="O1137" s="6">
        <f t="shared" ca="1" si="211"/>
        <v>3</v>
      </c>
      <c r="P1137" s="8">
        <f t="shared" ca="1" si="212"/>
        <v>44275</v>
      </c>
      <c r="Q1137" s="6">
        <f ca="1">RANDBETWEEN(2,COUNTA('Recruitment source'!$A:$A))</f>
        <v>9</v>
      </c>
      <c r="R1137" s="8" t="e">
        <f t="shared" ca="1" si="213"/>
        <v>#N/A</v>
      </c>
      <c r="S1137" s="6" t="e">
        <f t="shared" ca="1" si="214"/>
        <v>#N/A</v>
      </c>
      <c r="T1137" s="6">
        <f t="shared" ca="1" si="204"/>
        <v>3</v>
      </c>
      <c r="U1137" s="1">
        <f t="shared" ca="1" si="215"/>
        <v>2000</v>
      </c>
    </row>
    <row r="1138" spans="1:21" x14ac:dyDescent="0.2">
      <c r="A1138" s="7" cm="1">
        <f t="array" aca="1" ref="A1138" ca="1">INDEX(Companies!$A:$A,RANDBETWEEN(2,COUNTA(Companies!$A:$A)),1)</f>
        <v>2</v>
      </c>
      <c r="B1138" s="5">
        <f t="shared" si="205"/>
        <v>1137</v>
      </c>
      <c r="C1138" s="6">
        <f t="shared" ca="1" si="206"/>
        <v>1</v>
      </c>
      <c r="D1138" s="7">
        <f ca="1">IF($B1138 = 1 + N("Presidente"),
    127,
    IF($B1138 = 2 + N("Vice-Presidente"),
        72,
        IF($B1138 = 3 + N("Secretária bilíngue"),
            13,
            RANDBETWEEN(5,COUNT(Name!$A:$A) + 1)
        )
    )
)</f>
        <v>206</v>
      </c>
      <c r="E1138" s="7" t="str">
        <f ca="1" xml:space="preserve">
VLOOKUP(
  $D1138,
  Name!$A:$B,
  2,
  FALSE
)
&amp; " " &amp;
IF($B1138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Kamilla Carvalho Frois</v>
      </c>
      <c r="F1138" s="7">
        <v>2</v>
      </c>
      <c r="G1138" s="7" cm="1">
        <f t="array" aca="1" ref="G1138" ca="1">INDEX(States!$B:$B,RANDBETWEEN(2,COUNTA(States!$A:$A)),1)</f>
        <v>8</v>
      </c>
      <c r="H1138" s="7" t="str">
        <f ca="1">VLOOKUP($D1138,Name!$A:$C,3,FALSE)</f>
        <v>F</v>
      </c>
      <c r="I1138" s="7" cm="1">
        <f t="array" aca="1" ref="I1138" ca="1">INDEX('Marital status'!$A:$A,RANDBETWEEN(2,COUNTA('Marital status'!$A:$A)),1)</f>
        <v>6</v>
      </c>
      <c r="J1138" s="7">
        <f t="shared" ca="1" si="207"/>
        <v>2</v>
      </c>
      <c r="K1138" s="8">
        <f t="shared" ca="1" si="208"/>
        <v>32843</v>
      </c>
      <c r="L1138" s="6">
        <f t="shared" ca="1" si="209"/>
        <v>4</v>
      </c>
      <c r="M1138" s="7">
        <f ca="1" xml:space="preserve">
  IF(OR($N1138 = 2, $N1138 = 3, $N1138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138" s="6">
        <f t="shared" ca="1" si="210"/>
        <v>7</v>
      </c>
      <c r="O1138" s="6" t="e">
        <f t="shared" ca="1" si="211"/>
        <v>#N/A</v>
      </c>
      <c r="P1138" s="8">
        <f t="shared" ca="1" si="212"/>
        <v>39331</v>
      </c>
      <c r="Q1138" s="6">
        <f ca="1">RANDBETWEEN(2,COUNTA('Recruitment source'!$A:$A))</f>
        <v>6</v>
      </c>
      <c r="R1138" s="8" t="e">
        <f t="shared" ca="1" si="213"/>
        <v>#N/A</v>
      </c>
      <c r="S1138" s="6" t="e">
        <f t="shared" ca="1" si="214"/>
        <v>#N/A</v>
      </c>
      <c r="T1138" s="6">
        <f t="shared" ca="1" si="204"/>
        <v>4</v>
      </c>
      <c r="U1138" s="1">
        <f t="shared" ca="1" si="215"/>
        <v>1005</v>
      </c>
    </row>
    <row r="1139" spans="1:21" x14ac:dyDescent="0.2">
      <c r="A1139" s="7" cm="1">
        <f t="array" aca="1" ref="A1139" ca="1">INDEX(Companies!$A:$A,RANDBETWEEN(2,COUNTA(Companies!$A:$A)),1)</f>
        <v>2</v>
      </c>
      <c r="B1139" s="5">
        <f t="shared" si="205"/>
        <v>1138</v>
      </c>
      <c r="C1139" s="6">
        <f t="shared" ca="1" si="206"/>
        <v>1</v>
      </c>
      <c r="D1139" s="7">
        <f ca="1">IF($B1139 = 1 + N("Presidente"),
    127,
    IF($B1139 = 2 + N("Vice-Presidente"),
        72,
        IF($B1139 = 3 + N("Secretária bilíngue"),
            13,
            RANDBETWEEN(5,COUNT(Name!$A:$A) + 1)
        )
    )
)</f>
        <v>47</v>
      </c>
      <c r="E1139" s="7" t="str">
        <f ca="1" xml:space="preserve">
VLOOKUP(
  $D1139,
  Name!$A:$B,
  2,
  FALSE
)
&amp; " " &amp;
IF($B1139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Anne Caroline Fernandes Martini</v>
      </c>
      <c r="F1139" s="7">
        <v>2</v>
      </c>
      <c r="G1139" s="7" cm="1">
        <f t="array" aca="1" ref="G1139" ca="1">INDEX(States!$B:$B,RANDBETWEEN(2,COUNTA(States!$A:$A)),1)</f>
        <v>6</v>
      </c>
      <c r="H1139" s="7" t="str">
        <f ca="1">VLOOKUP($D1139,Name!$A:$C,3,FALSE)</f>
        <v>F</v>
      </c>
      <c r="I1139" s="7" cm="1">
        <f t="array" aca="1" ref="I1139" ca="1">INDEX('Marital status'!$A:$A,RANDBETWEEN(2,COUNTA('Marital status'!$A:$A)),1)</f>
        <v>6</v>
      </c>
      <c r="J1139" s="7">
        <f t="shared" ca="1" si="207"/>
        <v>2</v>
      </c>
      <c r="K1139" s="8">
        <f t="shared" ca="1" si="208"/>
        <v>34133</v>
      </c>
      <c r="L1139" s="6">
        <f t="shared" ca="1" si="209"/>
        <v>4</v>
      </c>
      <c r="M1139" s="7">
        <f ca="1" xml:space="preserve">
  IF(OR($N1139 = 2, $N1139 = 3, $N1139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139" s="6">
        <f t="shared" ca="1" si="210"/>
        <v>8</v>
      </c>
      <c r="O1139" s="6">
        <f t="shared" ca="1" si="211"/>
        <v>3</v>
      </c>
      <c r="P1139" s="8">
        <f t="shared" ca="1" si="212"/>
        <v>44538</v>
      </c>
      <c r="Q1139" s="6">
        <f ca="1">RANDBETWEEN(2,COUNTA('Recruitment source'!$A:$A))</f>
        <v>11</v>
      </c>
      <c r="R1139" s="8" t="e">
        <f t="shared" ca="1" si="213"/>
        <v>#N/A</v>
      </c>
      <c r="S1139" s="6" t="e">
        <f t="shared" ca="1" si="214"/>
        <v>#N/A</v>
      </c>
      <c r="T1139" s="6">
        <f t="shared" ca="1" si="204"/>
        <v>4</v>
      </c>
      <c r="U1139" s="1">
        <f t="shared" ca="1" si="215"/>
        <v>2000</v>
      </c>
    </row>
    <row r="1140" spans="1:21" x14ac:dyDescent="0.2">
      <c r="A1140" s="7" cm="1">
        <f t="array" aca="1" ref="A1140" ca="1">INDEX(Companies!$A:$A,RANDBETWEEN(2,COUNTA(Companies!$A:$A)),1)</f>
        <v>2</v>
      </c>
      <c r="B1140" s="5">
        <f t="shared" si="205"/>
        <v>1139</v>
      </c>
      <c r="C1140" s="6">
        <f t="shared" ca="1" si="206"/>
        <v>1</v>
      </c>
      <c r="D1140" s="7">
        <f ca="1">IF($B1140 = 1 + N("Presidente"),
    127,
    IF($B1140 = 2 + N("Vice-Presidente"),
        72,
        IF($B1140 = 3 + N("Secretária bilíngue"),
            13,
            RANDBETWEEN(5,COUNT(Name!$A:$A) + 1)
        )
    )
)</f>
        <v>329</v>
      </c>
      <c r="E1140" s="7" t="str">
        <f ca="1" xml:space="preserve">
VLOOKUP(
  $D1140,
  Name!$A:$B,
  2,
  FALSE
)
&amp; " " &amp;
IF($B1140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Rebeca Negrão Siqueira</v>
      </c>
      <c r="F1140" s="7">
        <v>2</v>
      </c>
      <c r="G1140" s="7" cm="1">
        <f t="array" aca="1" ref="G1140" ca="1">INDEX(States!$B:$B,RANDBETWEEN(2,COUNTA(States!$A:$A)),1)</f>
        <v>9</v>
      </c>
      <c r="H1140" s="7" t="str">
        <f ca="1">VLOOKUP($D1140,Name!$A:$C,3,FALSE)</f>
        <v>F</v>
      </c>
      <c r="I1140" s="7" cm="1">
        <f t="array" aca="1" ref="I1140" ca="1">INDEX('Marital status'!$A:$A,RANDBETWEEN(2,COUNTA('Marital status'!$A:$A)),1)</f>
        <v>5</v>
      </c>
      <c r="J1140" s="7">
        <f t="shared" ca="1" si="207"/>
        <v>5</v>
      </c>
      <c r="K1140" s="8">
        <f t="shared" ca="1" si="208"/>
        <v>31282</v>
      </c>
      <c r="L1140" s="6">
        <f t="shared" ca="1" si="209"/>
        <v>4</v>
      </c>
      <c r="M1140" s="7">
        <f ca="1" xml:space="preserve">
  IF(OR($N1140 = 2, $N1140 = 3, $N1140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140" s="6">
        <f t="shared" ca="1" si="210"/>
        <v>7</v>
      </c>
      <c r="O1140" s="6" t="e">
        <f t="shared" ca="1" si="211"/>
        <v>#N/A</v>
      </c>
      <c r="P1140" s="8">
        <f t="shared" ca="1" si="212"/>
        <v>42424</v>
      </c>
      <c r="Q1140" s="6">
        <f ca="1">RANDBETWEEN(2,COUNTA('Recruitment source'!$A:$A))</f>
        <v>6</v>
      </c>
      <c r="R1140" s="8" t="e">
        <f t="shared" ca="1" si="213"/>
        <v>#N/A</v>
      </c>
      <c r="S1140" s="6" t="e">
        <f t="shared" ca="1" si="214"/>
        <v>#N/A</v>
      </c>
      <c r="T1140" s="6">
        <f t="shared" ca="1" si="204"/>
        <v>4</v>
      </c>
      <c r="U1140" s="1">
        <f t="shared" ca="1" si="215"/>
        <v>1005</v>
      </c>
    </row>
    <row r="1141" spans="1:21" x14ac:dyDescent="0.2">
      <c r="A1141" s="7" cm="1">
        <f t="array" aca="1" ref="A1141" ca="1">INDEX(Companies!$A:$A,RANDBETWEEN(2,COUNTA(Companies!$A:$A)),1)</f>
        <v>2</v>
      </c>
      <c r="B1141" s="5">
        <f t="shared" si="205"/>
        <v>1140</v>
      </c>
      <c r="C1141" s="6">
        <f t="shared" ca="1" si="206"/>
        <v>1</v>
      </c>
      <c r="D1141" s="7">
        <f ca="1">IF($B1141 = 1 + N("Presidente"),
    127,
    IF($B1141 = 2 + N("Vice-Presidente"),
        72,
        IF($B1141 = 3 + N("Secretária bilíngue"),
            13,
            RANDBETWEEN(5,COUNT(Name!$A:$A) + 1)
        )
    )
)</f>
        <v>239</v>
      </c>
      <c r="E1141" s="7" t="str">
        <f ca="1" xml:space="preserve">
VLOOKUP(
  $D1141,
  Name!$A:$B,
  2,
  FALSE
)
&amp; " " &amp;
IF($B1141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Lucas Gabriel Monti Caminha</v>
      </c>
      <c r="F1141" s="7">
        <v>2</v>
      </c>
      <c r="G1141" s="7" cm="1">
        <f t="array" aca="1" ref="G1141" ca="1">INDEX(States!$B:$B,RANDBETWEEN(2,COUNTA(States!$A:$A)),1)</f>
        <v>13</v>
      </c>
      <c r="H1141" s="7" t="str">
        <f ca="1">VLOOKUP($D1141,Name!$A:$C,3,FALSE)</f>
        <v>M</v>
      </c>
      <c r="I1141" s="7" cm="1">
        <f t="array" aca="1" ref="I1141" ca="1">INDEX('Marital status'!$A:$A,RANDBETWEEN(2,COUNTA('Marital status'!$A:$A)),1)</f>
        <v>2</v>
      </c>
      <c r="J1141" s="7">
        <f t="shared" ca="1" si="207"/>
        <v>3</v>
      </c>
      <c r="K1141" s="8">
        <f t="shared" ca="1" si="208"/>
        <v>32978</v>
      </c>
      <c r="L1141" s="6">
        <f t="shared" ca="1" si="209"/>
        <v>4</v>
      </c>
      <c r="M1141" s="7">
        <f ca="1" xml:space="preserve">
  IF(OR($N1141 = 2, $N1141 = 3, $N1141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141" s="6">
        <f t="shared" ca="1" si="210"/>
        <v>8</v>
      </c>
      <c r="O1141" s="6">
        <f t="shared" ca="1" si="211"/>
        <v>4</v>
      </c>
      <c r="P1141" s="8">
        <f t="shared" ca="1" si="212"/>
        <v>39187</v>
      </c>
      <c r="Q1141" s="6">
        <f ca="1">RANDBETWEEN(2,COUNTA('Recruitment source'!$A:$A))</f>
        <v>2</v>
      </c>
      <c r="R1141" s="8" t="e">
        <f t="shared" ca="1" si="213"/>
        <v>#N/A</v>
      </c>
      <c r="S1141" s="6" t="e">
        <f t="shared" ca="1" si="214"/>
        <v>#N/A</v>
      </c>
      <c r="T1141" s="6">
        <f t="shared" ca="1" si="204"/>
        <v>3</v>
      </c>
      <c r="U1141" s="1">
        <f t="shared" ca="1" si="215"/>
        <v>2000</v>
      </c>
    </row>
    <row r="1142" spans="1:21" x14ac:dyDescent="0.2">
      <c r="A1142" s="7" cm="1">
        <f t="array" aca="1" ref="A1142" ca="1">INDEX(Companies!$A:$A,RANDBETWEEN(2,COUNTA(Companies!$A:$A)),1)</f>
        <v>2</v>
      </c>
      <c r="B1142" s="5">
        <f t="shared" si="205"/>
        <v>1141</v>
      </c>
      <c r="C1142" s="6">
        <f t="shared" ca="1" si="206"/>
        <v>1</v>
      </c>
      <c r="D1142" s="7">
        <f ca="1">IF($B1142 = 1 + N("Presidente"),
    127,
    IF($B1142 = 2 + N("Vice-Presidente"),
        72,
        IF($B1142 = 3 + N("Secretária bilíngue"),
            13,
            RANDBETWEEN(5,COUNT(Name!$A:$A) + 1)
        )
    )
)</f>
        <v>245</v>
      </c>
      <c r="E1142" s="7" t="str">
        <f ca="1" xml:space="preserve">
VLOOKUP(
  $D1142,
  Name!$A:$B,
  2,
  FALSE
)
&amp; " " &amp;
IF($B1142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Henrique Barboza Oliveira</v>
      </c>
      <c r="F1142" s="7">
        <v>2</v>
      </c>
      <c r="G1142" s="7" cm="1">
        <f t="array" aca="1" ref="G1142" ca="1">INDEX(States!$B:$B,RANDBETWEEN(2,COUNTA(States!$A:$A)),1)</f>
        <v>16</v>
      </c>
      <c r="H1142" s="7" t="str">
        <f ca="1">VLOOKUP($D1142,Name!$A:$C,3,FALSE)</f>
        <v>M</v>
      </c>
      <c r="I1142" s="7" cm="1">
        <f t="array" aca="1" ref="I1142" ca="1">INDEX('Marital status'!$A:$A,RANDBETWEEN(2,COUNTA('Marital status'!$A:$A)),1)</f>
        <v>4</v>
      </c>
      <c r="J1142" s="7">
        <f t="shared" ca="1" si="207"/>
        <v>2</v>
      </c>
      <c r="K1142" s="8">
        <f t="shared" ca="1" si="208"/>
        <v>34315</v>
      </c>
      <c r="L1142" s="6">
        <f t="shared" ca="1" si="209"/>
        <v>4</v>
      </c>
      <c r="M1142" s="7">
        <f ca="1" xml:space="preserve">
  IF(OR($N1142 = 2, $N1142 = 3, $N1142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142" s="6">
        <f t="shared" ca="1" si="210"/>
        <v>7</v>
      </c>
      <c r="O1142" s="6" t="e">
        <f t="shared" ca="1" si="211"/>
        <v>#N/A</v>
      </c>
      <c r="P1142" s="8">
        <f t="shared" ca="1" si="212"/>
        <v>36835</v>
      </c>
      <c r="Q1142" s="6">
        <f ca="1">RANDBETWEEN(2,COUNTA('Recruitment source'!$A:$A))</f>
        <v>8</v>
      </c>
      <c r="R1142" s="8" t="e">
        <f t="shared" ca="1" si="213"/>
        <v>#N/A</v>
      </c>
      <c r="S1142" s="6" t="e">
        <f t="shared" ca="1" si="214"/>
        <v>#N/A</v>
      </c>
      <c r="T1142" s="6">
        <f t="shared" ca="1" si="204"/>
        <v>3</v>
      </c>
      <c r="U1142" s="1">
        <f t="shared" ca="1" si="215"/>
        <v>1005</v>
      </c>
    </row>
    <row r="1143" spans="1:21" x14ac:dyDescent="0.2">
      <c r="A1143" s="7" cm="1">
        <f t="array" aca="1" ref="A1143" ca="1">INDEX(Companies!$A:$A,RANDBETWEEN(2,COUNTA(Companies!$A:$A)),1)</f>
        <v>2</v>
      </c>
      <c r="B1143" s="5">
        <f t="shared" si="205"/>
        <v>1142</v>
      </c>
      <c r="C1143" s="6">
        <f t="shared" ca="1" si="206"/>
        <v>1</v>
      </c>
      <c r="D1143" s="7">
        <f ca="1">IF($B1143 = 1 + N("Presidente"),
    127,
    IF($B1143 = 2 + N("Vice-Presidente"),
        72,
        IF($B1143 = 3 + N("Secretária bilíngue"),
            13,
            RANDBETWEEN(5,COUNT(Name!$A:$A) + 1)
        )
    )
)</f>
        <v>150</v>
      </c>
      <c r="E1143" s="7" t="str">
        <f ca="1" xml:space="preserve">
VLOOKUP(
  $D1143,
  Name!$A:$B,
  2,
  FALSE
)
&amp; " " &amp;
IF($B1143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Gabriela Faria Frasão</v>
      </c>
      <c r="F1143" s="7">
        <v>2</v>
      </c>
      <c r="G1143" s="7" cm="1">
        <f t="array" aca="1" ref="G1143" ca="1">INDEX(States!$B:$B,RANDBETWEEN(2,COUNTA(States!$A:$A)),1)</f>
        <v>3</v>
      </c>
      <c r="H1143" s="7" t="str">
        <f ca="1">VLOOKUP($D1143,Name!$A:$C,3,FALSE)</f>
        <v>F</v>
      </c>
      <c r="I1143" s="7" cm="1">
        <f t="array" aca="1" ref="I1143" ca="1">INDEX('Marital status'!$A:$A,RANDBETWEEN(2,COUNTA('Marital status'!$A:$A)),1)</f>
        <v>3</v>
      </c>
      <c r="J1143" s="7">
        <f t="shared" ca="1" si="207"/>
        <v>2</v>
      </c>
      <c r="K1143" s="8">
        <f t="shared" ca="1" si="208"/>
        <v>35765</v>
      </c>
      <c r="L1143" s="6">
        <f t="shared" ca="1" si="209"/>
        <v>4</v>
      </c>
      <c r="M1143" s="7">
        <f ca="1" xml:space="preserve">
  IF(OR($N1143 = 2, $N1143 = 3, $N1143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143" s="6">
        <f t="shared" ca="1" si="210"/>
        <v>8</v>
      </c>
      <c r="O1143" s="6">
        <f t="shared" ca="1" si="211"/>
        <v>3</v>
      </c>
      <c r="P1143" s="8">
        <f t="shared" ca="1" si="212"/>
        <v>36382</v>
      </c>
      <c r="Q1143" s="6">
        <f ca="1">RANDBETWEEN(2,COUNTA('Recruitment source'!$A:$A))</f>
        <v>12</v>
      </c>
      <c r="R1143" s="8" t="e">
        <f t="shared" ca="1" si="213"/>
        <v>#N/A</v>
      </c>
      <c r="S1143" s="6" t="e">
        <f t="shared" ca="1" si="214"/>
        <v>#N/A</v>
      </c>
      <c r="T1143" s="6">
        <f t="shared" ca="1" si="204"/>
        <v>5</v>
      </c>
      <c r="U1143" s="1">
        <f t="shared" ca="1" si="215"/>
        <v>2000</v>
      </c>
    </row>
    <row r="1144" spans="1:21" x14ac:dyDescent="0.2">
      <c r="A1144" s="7" cm="1">
        <f t="array" aca="1" ref="A1144" ca="1">INDEX(Companies!$A:$A,RANDBETWEEN(2,COUNTA(Companies!$A:$A)),1)</f>
        <v>2</v>
      </c>
      <c r="B1144" s="5">
        <f t="shared" si="205"/>
        <v>1143</v>
      </c>
      <c r="C1144" s="6">
        <f t="shared" ca="1" si="206"/>
        <v>1</v>
      </c>
      <c r="D1144" s="7">
        <f ca="1">IF($B1144 = 1 + N("Presidente"),
    127,
    IF($B1144 = 2 + N("Vice-Presidente"),
        72,
        IF($B1144 = 3 + N("Secretária bilíngue"),
            13,
            RANDBETWEEN(5,COUNT(Name!$A:$A) + 1)
        )
    )
)</f>
        <v>340</v>
      </c>
      <c r="E1144" s="7" t="str">
        <f ca="1" xml:space="preserve">
VLOOKUP(
  $D1144,
  Name!$A:$B,
  2,
  FALSE
)
&amp; " " &amp;
IF($B1144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Stella Camacho Lima</v>
      </c>
      <c r="F1144" s="7">
        <v>2</v>
      </c>
      <c r="G1144" s="7" cm="1">
        <f t="array" aca="1" ref="G1144" ca="1">INDEX(States!$B:$B,RANDBETWEEN(2,COUNTA(States!$A:$A)),1)</f>
        <v>5</v>
      </c>
      <c r="H1144" s="7" t="str">
        <f ca="1">VLOOKUP($D1144,Name!$A:$C,3,FALSE)</f>
        <v>F</v>
      </c>
      <c r="I1144" s="7" cm="1">
        <f t="array" aca="1" ref="I1144" ca="1">INDEX('Marital status'!$A:$A,RANDBETWEEN(2,COUNTA('Marital status'!$A:$A)),1)</f>
        <v>3</v>
      </c>
      <c r="J1144" s="7">
        <f t="shared" ca="1" si="207"/>
        <v>4</v>
      </c>
      <c r="K1144" s="8">
        <f t="shared" ca="1" si="208"/>
        <v>33975</v>
      </c>
      <c r="L1144" s="6">
        <f t="shared" ca="1" si="209"/>
        <v>4</v>
      </c>
      <c r="M1144" s="7">
        <f ca="1" xml:space="preserve">
  IF(OR($N1144 = 2, $N1144 = 3, $N1144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144" s="6">
        <f t="shared" ca="1" si="210"/>
        <v>7</v>
      </c>
      <c r="O1144" s="6" t="e">
        <f t="shared" ca="1" si="211"/>
        <v>#N/A</v>
      </c>
      <c r="P1144" s="8">
        <f t="shared" ca="1" si="212"/>
        <v>40452</v>
      </c>
      <c r="Q1144" s="6">
        <f ca="1">RANDBETWEEN(2,COUNTA('Recruitment source'!$A:$A))</f>
        <v>7</v>
      </c>
      <c r="R1144" s="8" t="e">
        <f t="shared" ca="1" si="213"/>
        <v>#N/A</v>
      </c>
      <c r="S1144" s="6" t="e">
        <f t="shared" ca="1" si="214"/>
        <v>#N/A</v>
      </c>
      <c r="T1144" s="6">
        <f t="shared" ca="1" si="204"/>
        <v>2</v>
      </c>
      <c r="U1144" s="1">
        <f t="shared" ca="1" si="215"/>
        <v>1005</v>
      </c>
    </row>
    <row r="1145" spans="1:21" x14ac:dyDescent="0.2">
      <c r="A1145" s="7" cm="1">
        <f t="array" aca="1" ref="A1145" ca="1">INDEX(Companies!$A:$A,RANDBETWEEN(2,COUNTA(Companies!$A:$A)),1)</f>
        <v>2</v>
      </c>
      <c r="B1145" s="5">
        <f t="shared" si="205"/>
        <v>1144</v>
      </c>
      <c r="C1145" s="6">
        <f t="shared" ca="1" si="206"/>
        <v>1</v>
      </c>
      <c r="D1145" s="7">
        <f ca="1">IF($B1145 = 1 + N("Presidente"),
    127,
    IF($B1145 = 2 + N("Vice-Presidente"),
        72,
        IF($B1145 = 3 + N("Secretária bilíngue"),
            13,
            RANDBETWEEN(5,COUNT(Name!$A:$A) + 1)
        )
    )
)</f>
        <v>96</v>
      </c>
      <c r="E1145" s="7" t="str">
        <f ca="1" xml:space="preserve">
VLOOKUP(
  $D1145,
  Name!$A:$B,
  2,
  FALSE
)
&amp; " " &amp;
IF($B1145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Clarisse Dantas Moreira</v>
      </c>
      <c r="F1145" s="7">
        <v>2</v>
      </c>
      <c r="G1145" s="7" cm="1">
        <f t="array" aca="1" ref="G1145" ca="1">INDEX(States!$B:$B,RANDBETWEEN(2,COUNTA(States!$A:$A)),1)</f>
        <v>6</v>
      </c>
      <c r="H1145" s="7" t="str">
        <f ca="1">VLOOKUP($D1145,Name!$A:$C,3,FALSE)</f>
        <v>F</v>
      </c>
      <c r="I1145" s="7" cm="1">
        <f t="array" aca="1" ref="I1145" ca="1">INDEX('Marital status'!$A:$A,RANDBETWEEN(2,COUNTA('Marital status'!$A:$A)),1)</f>
        <v>2</v>
      </c>
      <c r="J1145" s="7">
        <f t="shared" ca="1" si="207"/>
        <v>2</v>
      </c>
      <c r="K1145" s="8">
        <f t="shared" ca="1" si="208"/>
        <v>32931</v>
      </c>
      <c r="L1145" s="6">
        <f t="shared" ca="1" si="209"/>
        <v>4</v>
      </c>
      <c r="M1145" s="7">
        <f ca="1" xml:space="preserve">
  IF(OR($N1145 = 2, $N1145 = 3, $N1145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145" s="6">
        <f t="shared" ca="1" si="210"/>
        <v>8</v>
      </c>
      <c r="O1145" s="6">
        <f t="shared" ca="1" si="211"/>
        <v>3</v>
      </c>
      <c r="P1145" s="8">
        <f t="shared" ca="1" si="212"/>
        <v>40918</v>
      </c>
      <c r="Q1145" s="6">
        <f ca="1">RANDBETWEEN(2,COUNTA('Recruitment source'!$A:$A))</f>
        <v>5</v>
      </c>
      <c r="R1145" s="8" t="e">
        <f t="shared" ca="1" si="213"/>
        <v>#N/A</v>
      </c>
      <c r="S1145" s="6" t="e">
        <f t="shared" ca="1" si="214"/>
        <v>#N/A</v>
      </c>
      <c r="T1145" s="6">
        <f t="shared" ca="1" si="204"/>
        <v>5</v>
      </c>
      <c r="U1145" s="1">
        <f t="shared" ca="1" si="215"/>
        <v>2000</v>
      </c>
    </row>
    <row r="1146" spans="1:21" x14ac:dyDescent="0.2">
      <c r="A1146" s="7" cm="1">
        <f t="array" aca="1" ref="A1146" ca="1">INDEX(Companies!$A:$A,RANDBETWEEN(2,COUNTA(Companies!$A:$A)),1)</f>
        <v>2</v>
      </c>
      <c r="B1146" s="5">
        <f t="shared" si="205"/>
        <v>1145</v>
      </c>
      <c r="C1146" s="6">
        <f t="shared" ca="1" si="206"/>
        <v>1</v>
      </c>
      <c r="D1146" s="7">
        <f ca="1">IF($B1146 = 1 + N("Presidente"),
    127,
    IF($B1146 = 2 + N("Vice-Presidente"),
        72,
        IF($B1146 = 3 + N("Secretária bilíngue"),
            13,
            RANDBETWEEN(5,COUNT(Name!$A:$A) + 1)
        )
    )
)</f>
        <v>240</v>
      </c>
      <c r="E1146" s="7" t="str">
        <f ca="1" xml:space="preserve">
VLOOKUP(
  $D1146,
  Name!$A:$B,
  2,
  FALSE
)
&amp; " " &amp;
IF($B1146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Lucca Azeredo Romano</v>
      </c>
      <c r="F1146" s="7">
        <v>2</v>
      </c>
      <c r="G1146" s="7" cm="1">
        <f t="array" aca="1" ref="G1146" ca="1">INDEX(States!$B:$B,RANDBETWEEN(2,COUNTA(States!$A:$A)),1)</f>
        <v>10</v>
      </c>
      <c r="H1146" s="7" t="str">
        <f ca="1">VLOOKUP($D1146,Name!$A:$C,3,FALSE)</f>
        <v>M</v>
      </c>
      <c r="I1146" s="7" cm="1">
        <f t="array" aca="1" ref="I1146" ca="1">INDEX('Marital status'!$A:$A,RANDBETWEEN(2,COUNTA('Marital status'!$A:$A)),1)</f>
        <v>3</v>
      </c>
      <c r="J1146" s="7">
        <f t="shared" ca="1" si="207"/>
        <v>2</v>
      </c>
      <c r="K1146" s="8">
        <f t="shared" ca="1" si="208"/>
        <v>26568</v>
      </c>
      <c r="L1146" s="6">
        <f t="shared" ca="1" si="209"/>
        <v>4</v>
      </c>
      <c r="M1146" s="7">
        <f ca="1" xml:space="preserve">
  IF(OR($N1146 = 2, $N1146 = 3, $N1146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146" s="6">
        <f t="shared" ca="1" si="210"/>
        <v>6</v>
      </c>
      <c r="O1146" s="6" t="e">
        <f t="shared" ca="1" si="211"/>
        <v>#N/A</v>
      </c>
      <c r="P1146" s="8">
        <f t="shared" ca="1" si="212"/>
        <v>43831</v>
      </c>
      <c r="Q1146" s="6">
        <f ca="1">RANDBETWEEN(2,COUNTA('Recruitment source'!$A:$A))</f>
        <v>6</v>
      </c>
      <c r="R1146" s="8" t="e">
        <f t="shared" ca="1" si="213"/>
        <v>#N/A</v>
      </c>
      <c r="S1146" s="6" t="e">
        <f t="shared" ca="1" si="214"/>
        <v>#N/A</v>
      </c>
      <c r="T1146" s="6">
        <f t="shared" ca="1" si="204"/>
        <v>5</v>
      </c>
      <c r="U1146" s="1">
        <f t="shared" ca="1" si="215"/>
        <v>885</v>
      </c>
    </row>
    <row r="1147" spans="1:21" x14ac:dyDescent="0.2">
      <c r="A1147" s="7" cm="1">
        <f t="array" aca="1" ref="A1147" ca="1">INDEX(Companies!$A:$A,RANDBETWEEN(2,COUNTA(Companies!$A:$A)),1)</f>
        <v>2</v>
      </c>
      <c r="B1147" s="5">
        <f t="shared" si="205"/>
        <v>1146</v>
      </c>
      <c r="C1147" s="6">
        <f t="shared" ca="1" si="206"/>
        <v>1</v>
      </c>
      <c r="D1147" s="7">
        <f ca="1">IF($B1147 = 1 + N("Presidente"),
    127,
    IF($B1147 = 2 + N("Vice-Presidente"),
        72,
        IF($B1147 = 3 + N("Secretária bilíngue"),
            13,
            RANDBETWEEN(5,COUNT(Name!$A:$A) + 1)
        )
    )
)</f>
        <v>103</v>
      </c>
      <c r="E1147" s="7" t="str">
        <f ca="1" xml:space="preserve">
VLOOKUP(
  $D1147,
  Name!$A:$B,
  2,
  FALSE
)
&amp; " " &amp;
IF($B1147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Danniel Rangel Rinaldi</v>
      </c>
      <c r="F1147" s="7">
        <v>2</v>
      </c>
      <c r="G1147" s="7" cm="1">
        <f t="array" aca="1" ref="G1147" ca="1">INDEX(States!$B:$B,RANDBETWEEN(2,COUNTA(States!$A:$A)),1)</f>
        <v>20</v>
      </c>
      <c r="H1147" s="7" t="str">
        <f ca="1">VLOOKUP($D1147,Name!$A:$C,3,FALSE)</f>
        <v>M</v>
      </c>
      <c r="I1147" s="7" cm="1">
        <f t="array" aca="1" ref="I1147" ca="1">INDEX('Marital status'!$A:$A,RANDBETWEEN(2,COUNTA('Marital status'!$A:$A)),1)</f>
        <v>6</v>
      </c>
      <c r="J1147" s="7">
        <f t="shared" ca="1" si="207"/>
        <v>2</v>
      </c>
      <c r="K1147" s="8">
        <f t="shared" ca="1" si="208"/>
        <v>38076</v>
      </c>
      <c r="L1147" s="6">
        <f t="shared" ca="1" si="209"/>
        <v>5</v>
      </c>
      <c r="M1147" s="7">
        <f ca="1" xml:space="preserve">
  IF(OR($N1147 = 2, $N1147 = 3, $N1147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147" s="6">
        <f t="shared" ca="1" si="210"/>
        <v>8</v>
      </c>
      <c r="O1147" s="6">
        <f t="shared" ca="1" si="211"/>
        <v>4</v>
      </c>
      <c r="P1147" s="8">
        <f t="shared" ca="1" si="212"/>
        <v>44838</v>
      </c>
      <c r="Q1147" s="6">
        <f ca="1">RANDBETWEEN(2,COUNTA('Recruitment source'!$A:$A))</f>
        <v>2</v>
      </c>
      <c r="R1147" s="8" t="e">
        <f t="shared" ca="1" si="213"/>
        <v>#N/A</v>
      </c>
      <c r="S1147" s="6" t="e">
        <f t="shared" ca="1" si="214"/>
        <v>#N/A</v>
      </c>
      <c r="T1147" s="6">
        <f t="shared" ca="1" si="204"/>
        <v>3</v>
      </c>
      <c r="U1147" s="1">
        <f t="shared" ca="1" si="215"/>
        <v>2000</v>
      </c>
    </row>
    <row r="1148" spans="1:21" x14ac:dyDescent="0.2">
      <c r="A1148" s="7" cm="1">
        <f t="array" aca="1" ref="A1148" ca="1">INDEX(Companies!$A:$A,RANDBETWEEN(2,COUNTA(Companies!$A:$A)),1)</f>
        <v>2</v>
      </c>
      <c r="B1148" s="5">
        <f t="shared" si="205"/>
        <v>1147</v>
      </c>
      <c r="C1148" s="6">
        <f t="shared" ca="1" si="206"/>
        <v>1</v>
      </c>
      <c r="D1148" s="7">
        <f ca="1">IF($B1148 = 1 + N("Presidente"),
    127,
    IF($B1148 = 2 + N("Vice-Presidente"),
        72,
        IF($B1148 = 3 + N("Secretária bilíngue"),
            13,
            RANDBETWEEN(5,COUNT(Name!$A:$A) + 1)
        )
    )
)</f>
        <v>133</v>
      </c>
      <c r="E1148" s="7" t="str">
        <f ca="1" xml:space="preserve">
VLOOKUP(
  $D1148,
  Name!$A:$B,
  2,
  FALSE
)
&amp; " " &amp;
IF($B1148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Esther Santacruz Zil</v>
      </c>
      <c r="F1148" s="7">
        <v>2</v>
      </c>
      <c r="G1148" s="7" cm="1">
        <f t="array" aca="1" ref="G1148" ca="1">INDEX(States!$B:$B,RANDBETWEEN(2,COUNTA(States!$A:$A)),1)</f>
        <v>16</v>
      </c>
      <c r="H1148" s="7" t="str">
        <f ca="1">VLOOKUP($D1148,Name!$A:$C,3,FALSE)</f>
        <v>F</v>
      </c>
      <c r="I1148" s="7" cm="1">
        <f t="array" aca="1" ref="I1148" ca="1">INDEX('Marital status'!$A:$A,RANDBETWEEN(2,COUNTA('Marital status'!$A:$A)),1)</f>
        <v>2</v>
      </c>
      <c r="J1148" s="7">
        <f t="shared" ca="1" si="207"/>
        <v>3</v>
      </c>
      <c r="K1148" s="8">
        <f t="shared" ca="1" si="208"/>
        <v>29411</v>
      </c>
      <c r="L1148" s="6">
        <f t="shared" ca="1" si="209"/>
        <v>4</v>
      </c>
      <c r="M1148" s="7">
        <f ca="1" xml:space="preserve">
  IF(OR($N1148 = 2, $N1148 = 3, $N1148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148" s="6">
        <f t="shared" ca="1" si="210"/>
        <v>7</v>
      </c>
      <c r="O1148" s="6" t="e">
        <f t="shared" ca="1" si="211"/>
        <v>#N/A</v>
      </c>
      <c r="P1148" s="8">
        <f t="shared" ca="1" si="212"/>
        <v>42542</v>
      </c>
      <c r="Q1148" s="6">
        <f ca="1">RANDBETWEEN(2,COUNTA('Recruitment source'!$A:$A))</f>
        <v>2</v>
      </c>
      <c r="R1148" s="8" t="e">
        <f t="shared" ca="1" si="213"/>
        <v>#N/A</v>
      </c>
      <c r="S1148" s="6" t="e">
        <f t="shared" ca="1" si="214"/>
        <v>#N/A</v>
      </c>
      <c r="T1148" s="6">
        <f t="shared" ca="1" si="204"/>
        <v>3</v>
      </c>
      <c r="U1148" s="1">
        <f t="shared" ca="1" si="215"/>
        <v>1005</v>
      </c>
    </row>
    <row r="1149" spans="1:21" x14ac:dyDescent="0.2">
      <c r="A1149" s="7" cm="1">
        <f t="array" aca="1" ref="A1149" ca="1">INDEX(Companies!$A:$A,RANDBETWEEN(2,COUNTA(Companies!$A:$A)),1)</f>
        <v>2</v>
      </c>
      <c r="B1149" s="5">
        <f t="shared" si="205"/>
        <v>1148</v>
      </c>
      <c r="C1149" s="6">
        <f t="shared" ca="1" si="206"/>
        <v>1</v>
      </c>
      <c r="D1149" s="7">
        <f ca="1">IF($B1149 = 1 + N("Presidente"),
    127,
    IF($B1149 = 2 + N("Vice-Presidente"),
        72,
        IF($B1149 = 3 + N("Secretária bilíngue"),
            13,
            RANDBETWEEN(5,COUNT(Name!$A:$A) + 1)
        )
    )
)</f>
        <v>319</v>
      </c>
      <c r="E1149" s="7" t="str">
        <f ca="1" xml:space="preserve">
VLOOKUP(
  $D1149,
  Name!$A:$B,
  2,
  FALSE
)
&amp; " " &amp;
IF($B1149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Miguel Auth Mazza</v>
      </c>
      <c r="F1149" s="7">
        <v>2</v>
      </c>
      <c r="G1149" s="7" cm="1">
        <f t="array" aca="1" ref="G1149" ca="1">INDEX(States!$B:$B,RANDBETWEEN(2,COUNTA(States!$A:$A)),1)</f>
        <v>14</v>
      </c>
      <c r="H1149" s="7" t="str">
        <f ca="1">VLOOKUP($D1149,Name!$A:$C,3,FALSE)</f>
        <v>M</v>
      </c>
      <c r="I1149" s="7" cm="1">
        <f t="array" aca="1" ref="I1149" ca="1">INDEX('Marital status'!$A:$A,RANDBETWEEN(2,COUNTA('Marital status'!$A:$A)),1)</f>
        <v>6</v>
      </c>
      <c r="J1149" s="7">
        <f t="shared" ca="1" si="207"/>
        <v>7</v>
      </c>
      <c r="K1149" s="8">
        <f t="shared" ca="1" si="208"/>
        <v>35438</v>
      </c>
      <c r="L1149" s="6">
        <f t="shared" ca="1" si="209"/>
        <v>4</v>
      </c>
      <c r="M1149" s="7">
        <f ca="1" xml:space="preserve">
  IF(OR($N1149 = 2, $N1149 = 3, $N1149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149" s="6">
        <f t="shared" ca="1" si="210"/>
        <v>8</v>
      </c>
      <c r="O1149" s="6">
        <f t="shared" ca="1" si="211"/>
        <v>2</v>
      </c>
      <c r="P1149" s="8">
        <f t="shared" ca="1" si="212"/>
        <v>39526</v>
      </c>
      <c r="Q1149" s="6">
        <f ca="1">RANDBETWEEN(2,COUNTA('Recruitment source'!$A:$A))</f>
        <v>2</v>
      </c>
      <c r="R1149" s="8" t="e">
        <f t="shared" ca="1" si="213"/>
        <v>#N/A</v>
      </c>
      <c r="S1149" s="6" t="e">
        <f t="shared" ca="1" si="214"/>
        <v>#N/A</v>
      </c>
      <c r="T1149" s="6">
        <f t="shared" ca="1" si="204"/>
        <v>5</v>
      </c>
      <c r="U1149" s="1">
        <f t="shared" ca="1" si="215"/>
        <v>2000</v>
      </c>
    </row>
    <row r="1150" spans="1:21" x14ac:dyDescent="0.2">
      <c r="A1150" s="7" cm="1">
        <f t="array" aca="1" ref="A1150" ca="1">INDEX(Companies!$A:$A,RANDBETWEEN(2,COUNTA(Companies!$A:$A)),1)</f>
        <v>2</v>
      </c>
      <c r="B1150" s="5">
        <f t="shared" si="205"/>
        <v>1149</v>
      </c>
      <c r="C1150" s="6">
        <f t="shared" ca="1" si="206"/>
        <v>1</v>
      </c>
      <c r="D1150" s="7">
        <f ca="1">IF($B1150 = 1 + N("Presidente"),
    127,
    IF($B1150 = 2 + N("Vice-Presidente"),
        72,
        IF($B1150 = 3 + N("Secretária bilíngue"),
            13,
            RANDBETWEEN(5,COUNT(Name!$A:$A) + 1)
        )
    )
)</f>
        <v>358</v>
      </c>
      <c r="E1150" s="7" t="str">
        <f ca="1" xml:space="preserve">
VLOOKUP(
  $D1150,
  Name!$A:$B,
  2,
  FALSE
)
&amp; " " &amp;
IF($B1150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Vinícius Cardozo Gouveia</v>
      </c>
      <c r="F1150" s="7">
        <v>2</v>
      </c>
      <c r="G1150" s="7" cm="1">
        <f t="array" aca="1" ref="G1150" ca="1">INDEX(States!$B:$B,RANDBETWEEN(2,COUNTA(States!$A:$A)),1)</f>
        <v>7</v>
      </c>
      <c r="H1150" s="7" t="str">
        <f ca="1">VLOOKUP($D1150,Name!$A:$C,3,FALSE)</f>
        <v>M</v>
      </c>
      <c r="I1150" s="7" cm="1">
        <f t="array" aca="1" ref="I1150" ca="1">INDEX('Marital status'!$A:$A,RANDBETWEEN(2,COUNTA('Marital status'!$A:$A)),1)</f>
        <v>5</v>
      </c>
      <c r="J1150" s="7">
        <f t="shared" ca="1" si="207"/>
        <v>2</v>
      </c>
      <c r="K1150" s="8">
        <f t="shared" ca="1" si="208"/>
        <v>29123</v>
      </c>
      <c r="L1150" s="6">
        <f t="shared" ca="1" si="209"/>
        <v>4</v>
      </c>
      <c r="M1150" s="7">
        <f ca="1" xml:space="preserve">
  IF(OR($N1150 = 2, $N1150 = 3, $N1150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150" s="6">
        <f t="shared" ca="1" si="210"/>
        <v>7</v>
      </c>
      <c r="O1150" s="6" t="e">
        <f t="shared" ca="1" si="211"/>
        <v>#N/A</v>
      </c>
      <c r="P1150" s="8">
        <f t="shared" ca="1" si="212"/>
        <v>44767</v>
      </c>
      <c r="Q1150" s="6">
        <f ca="1">RANDBETWEEN(2,COUNTA('Recruitment source'!$A:$A))</f>
        <v>4</v>
      </c>
      <c r="R1150" s="8" t="e">
        <f t="shared" ca="1" si="213"/>
        <v>#N/A</v>
      </c>
      <c r="S1150" s="6" t="e">
        <f t="shared" ca="1" si="214"/>
        <v>#N/A</v>
      </c>
      <c r="T1150" s="6">
        <f t="shared" ca="1" si="204"/>
        <v>2</v>
      </c>
      <c r="U1150" s="1">
        <f t="shared" ca="1" si="215"/>
        <v>1005</v>
      </c>
    </row>
    <row r="1151" spans="1:21" x14ac:dyDescent="0.2">
      <c r="A1151" s="7" cm="1">
        <f t="array" aca="1" ref="A1151" ca="1">INDEX(Companies!$A:$A,RANDBETWEEN(2,COUNTA(Companies!$A:$A)),1)</f>
        <v>2</v>
      </c>
      <c r="B1151" s="5">
        <f t="shared" si="205"/>
        <v>1150</v>
      </c>
      <c r="C1151" s="6">
        <f t="shared" ca="1" si="206"/>
        <v>1</v>
      </c>
      <c r="D1151" s="7">
        <f ca="1">IF($B1151 = 1 + N("Presidente"),
    127,
    IF($B1151 = 2 + N("Vice-Presidente"),
        72,
        IF($B1151 = 3 + N("Secretária bilíngue"),
            13,
            RANDBETWEEN(5,COUNT(Name!$A:$A) + 1)
        )
    )
)</f>
        <v>68</v>
      </c>
      <c r="E1151" s="7" t="str">
        <f ca="1" xml:space="preserve">
VLOOKUP(
  $D1151,
  Name!$A:$B,
  2,
  FALSE
)
&amp; " " &amp;
IF($B1151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Benício Leone Freitas</v>
      </c>
      <c r="F1151" s="7">
        <v>2</v>
      </c>
      <c r="G1151" s="7" cm="1">
        <f t="array" aca="1" ref="G1151" ca="1">INDEX(States!$B:$B,RANDBETWEEN(2,COUNTA(States!$A:$A)),1)</f>
        <v>17</v>
      </c>
      <c r="H1151" s="7" t="str">
        <f ca="1">VLOOKUP($D1151,Name!$A:$C,3,FALSE)</f>
        <v>M</v>
      </c>
      <c r="I1151" s="7" cm="1">
        <f t="array" aca="1" ref="I1151" ca="1">INDEX('Marital status'!$A:$A,RANDBETWEEN(2,COUNTA('Marital status'!$A:$A)),1)</f>
        <v>2</v>
      </c>
      <c r="J1151" s="7">
        <f t="shared" ca="1" si="207"/>
        <v>2</v>
      </c>
      <c r="K1151" s="8">
        <f t="shared" ca="1" si="208"/>
        <v>32864</v>
      </c>
      <c r="L1151" s="6">
        <f t="shared" ca="1" si="209"/>
        <v>5</v>
      </c>
      <c r="M1151" s="7">
        <f ca="1" xml:space="preserve">
  IF(OR($N1151 = 2, $N1151 = 3, $N1151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151" s="6">
        <f t="shared" ca="1" si="210"/>
        <v>8</v>
      </c>
      <c r="O1151" s="6">
        <f t="shared" ca="1" si="211"/>
        <v>3</v>
      </c>
      <c r="P1151" s="8">
        <f t="shared" ca="1" si="212"/>
        <v>37148</v>
      </c>
      <c r="Q1151" s="6">
        <f ca="1">RANDBETWEEN(2,COUNTA('Recruitment source'!$A:$A))</f>
        <v>6</v>
      </c>
      <c r="R1151" s="8" t="e">
        <f t="shared" ca="1" si="213"/>
        <v>#N/A</v>
      </c>
      <c r="S1151" s="6" t="e">
        <f t="shared" ca="1" si="214"/>
        <v>#N/A</v>
      </c>
      <c r="T1151" s="6">
        <f t="shared" ca="1" si="204"/>
        <v>3</v>
      </c>
      <c r="U1151" s="1">
        <f t="shared" ca="1" si="215"/>
        <v>2000</v>
      </c>
    </row>
    <row r="1152" spans="1:21" x14ac:dyDescent="0.2">
      <c r="A1152" s="7" cm="1">
        <f t="array" aca="1" ref="A1152" ca="1">INDEX(Companies!$A:$A,RANDBETWEEN(2,COUNTA(Companies!$A:$A)),1)</f>
        <v>2</v>
      </c>
      <c r="B1152" s="5">
        <f t="shared" si="205"/>
        <v>1151</v>
      </c>
      <c r="C1152" s="6">
        <f t="shared" ca="1" si="206"/>
        <v>1</v>
      </c>
      <c r="D1152" s="7">
        <f ca="1">IF($B1152 = 1 + N("Presidente"),
    127,
    IF($B1152 = 2 + N("Vice-Presidente"),
        72,
        IF($B1152 = 3 + N("Secretária bilíngue"),
            13,
            RANDBETWEEN(5,COUNT(Name!$A:$A) + 1)
        )
    )
)</f>
        <v>280</v>
      </c>
      <c r="E1152" s="7" t="str">
        <f ca="1" xml:space="preserve">
VLOOKUP(
  $D1152,
  Name!$A:$B,
  2,
  FALSE
)
&amp; " " &amp;
IF($B1152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Marianna Russo Martins</v>
      </c>
      <c r="F1152" s="7">
        <v>2</v>
      </c>
      <c r="G1152" s="7" cm="1">
        <f t="array" aca="1" ref="G1152" ca="1">INDEX(States!$B:$B,RANDBETWEEN(2,COUNTA(States!$A:$A)),1)</f>
        <v>20</v>
      </c>
      <c r="H1152" s="7" t="str">
        <f ca="1">VLOOKUP($D1152,Name!$A:$C,3,FALSE)</f>
        <v>F</v>
      </c>
      <c r="I1152" s="7" cm="1">
        <f t="array" aca="1" ref="I1152" ca="1">INDEX('Marital status'!$A:$A,RANDBETWEEN(2,COUNTA('Marital status'!$A:$A)),1)</f>
        <v>6</v>
      </c>
      <c r="J1152" s="7">
        <f t="shared" ca="1" si="207"/>
        <v>2</v>
      </c>
      <c r="K1152" s="8">
        <f t="shared" ca="1" si="208"/>
        <v>28898</v>
      </c>
      <c r="L1152" s="6">
        <f t="shared" ca="1" si="209"/>
        <v>4</v>
      </c>
      <c r="M1152" s="7">
        <f ca="1" xml:space="preserve">
  IF(OR($N1152 = 2, $N1152 = 3, $N1152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152" s="6">
        <f t="shared" ca="1" si="210"/>
        <v>6</v>
      </c>
      <c r="O1152" s="6" t="e">
        <f t="shared" ca="1" si="211"/>
        <v>#N/A</v>
      </c>
      <c r="P1152" s="8">
        <f t="shared" ca="1" si="212"/>
        <v>41369</v>
      </c>
      <c r="Q1152" s="6">
        <f ca="1">RANDBETWEEN(2,COUNTA('Recruitment source'!$A:$A))</f>
        <v>7</v>
      </c>
      <c r="R1152" s="8" t="e">
        <f t="shared" ca="1" si="213"/>
        <v>#N/A</v>
      </c>
      <c r="S1152" s="6" t="e">
        <f t="shared" ca="1" si="214"/>
        <v>#N/A</v>
      </c>
      <c r="T1152" s="6">
        <f t="shared" ca="1" si="204"/>
        <v>2</v>
      </c>
      <c r="U1152" s="1">
        <f t="shared" ca="1" si="215"/>
        <v>885</v>
      </c>
    </row>
    <row r="1153" spans="1:21" x14ac:dyDescent="0.2">
      <c r="A1153" s="7" cm="1">
        <f t="array" aca="1" ref="A1153" ca="1">INDEX(Companies!$A:$A,RANDBETWEEN(2,COUNTA(Companies!$A:$A)),1)</f>
        <v>2</v>
      </c>
      <c r="B1153" s="5">
        <f t="shared" si="205"/>
        <v>1152</v>
      </c>
      <c r="C1153" s="6">
        <f t="shared" ca="1" si="206"/>
        <v>1</v>
      </c>
      <c r="D1153" s="7">
        <f ca="1">IF($B1153 = 1 + N("Presidente"),
    127,
    IF($B1153 = 2 + N("Vice-Presidente"),
        72,
        IF($B1153 = 3 + N("Secretária bilíngue"),
            13,
            RANDBETWEEN(5,COUNT(Name!$A:$A) + 1)
        )
    )
)</f>
        <v>314</v>
      </c>
      <c r="E1153" s="7" t="str">
        <f ca="1" xml:space="preserve">
VLOOKUP(
  $D1153,
  Name!$A:$B,
  2,
  FALSE
)
&amp; " " &amp;
IF($B1153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Paloma Campos Almeida</v>
      </c>
      <c r="F1153" s="7">
        <v>2</v>
      </c>
      <c r="G1153" s="7" cm="1">
        <f t="array" aca="1" ref="G1153" ca="1">INDEX(States!$B:$B,RANDBETWEEN(2,COUNTA(States!$A:$A)),1)</f>
        <v>4</v>
      </c>
      <c r="H1153" s="7" t="str">
        <f ca="1">VLOOKUP($D1153,Name!$A:$C,3,FALSE)</f>
        <v>F</v>
      </c>
      <c r="I1153" s="7" cm="1">
        <f t="array" aca="1" ref="I1153" ca="1">INDEX('Marital status'!$A:$A,RANDBETWEEN(2,COUNTA('Marital status'!$A:$A)),1)</f>
        <v>4</v>
      </c>
      <c r="J1153" s="7">
        <f t="shared" ca="1" si="207"/>
        <v>2</v>
      </c>
      <c r="K1153" s="8">
        <f t="shared" ca="1" si="208"/>
        <v>36791</v>
      </c>
      <c r="L1153" s="6">
        <f t="shared" ca="1" si="209"/>
        <v>4</v>
      </c>
      <c r="M1153" s="7">
        <f ca="1" xml:space="preserve">
  IF(OR($N1153 = 2, $N1153 = 3, $N1153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153" s="6">
        <f t="shared" ca="1" si="210"/>
        <v>8</v>
      </c>
      <c r="O1153" s="6">
        <f t="shared" ca="1" si="211"/>
        <v>3</v>
      </c>
      <c r="P1153" s="8">
        <f t="shared" ca="1" si="212"/>
        <v>44362</v>
      </c>
      <c r="Q1153" s="6">
        <f ca="1">RANDBETWEEN(2,COUNTA('Recruitment source'!$A:$A))</f>
        <v>6</v>
      </c>
      <c r="R1153" s="8" t="e">
        <f t="shared" ca="1" si="213"/>
        <v>#N/A</v>
      </c>
      <c r="S1153" s="6" t="e">
        <f t="shared" ca="1" si="214"/>
        <v>#N/A</v>
      </c>
      <c r="T1153" s="6">
        <f t="shared" ca="1" si="204"/>
        <v>3</v>
      </c>
      <c r="U1153" s="1">
        <f t="shared" ca="1" si="215"/>
        <v>2000</v>
      </c>
    </row>
    <row r="1154" spans="1:21" x14ac:dyDescent="0.2">
      <c r="A1154" s="7" cm="1">
        <f t="array" aca="1" ref="A1154" ca="1">INDEX(Companies!$A:$A,RANDBETWEEN(2,COUNTA(Companies!$A:$A)),1)</f>
        <v>2</v>
      </c>
      <c r="B1154" s="5">
        <f t="shared" si="205"/>
        <v>1153</v>
      </c>
      <c r="C1154" s="6">
        <f t="shared" ca="1" si="206"/>
        <v>1</v>
      </c>
      <c r="D1154" s="7">
        <f ca="1">IF($B1154 = 1 + N("Presidente"),
    127,
    IF($B1154 = 2 + N("Vice-Presidente"),
        72,
        IF($B1154 = 3 + N("Secretária bilíngue"),
            13,
            RANDBETWEEN(5,COUNT(Name!$A:$A) + 1)
        )
    )
)</f>
        <v>364</v>
      </c>
      <c r="E1154" s="7" t="str">
        <f ca="1" xml:space="preserve">
VLOOKUP(
  $D1154,
  Name!$A:$B,
  2,
  FALSE
)
&amp; " " &amp;
IF($B1154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Yasmin Mazza Ricci</v>
      </c>
      <c r="F1154" s="7">
        <v>2</v>
      </c>
      <c r="G1154" s="7" cm="1">
        <f t="array" aca="1" ref="G1154" ca="1">INDEX(States!$B:$B,RANDBETWEEN(2,COUNTA(States!$A:$A)),1)</f>
        <v>12</v>
      </c>
      <c r="H1154" s="7" t="str">
        <f ca="1">VLOOKUP($D1154,Name!$A:$C,3,FALSE)</f>
        <v>F</v>
      </c>
      <c r="I1154" s="7" cm="1">
        <f t="array" aca="1" ref="I1154" ca="1">INDEX('Marital status'!$A:$A,RANDBETWEEN(2,COUNTA('Marital status'!$A:$A)),1)</f>
        <v>3</v>
      </c>
      <c r="J1154" s="7">
        <f t="shared" ca="1" si="207"/>
        <v>2</v>
      </c>
      <c r="K1154" s="8">
        <f t="shared" ca="1" si="208"/>
        <v>29899</v>
      </c>
      <c r="L1154" s="6">
        <f t="shared" ca="1" si="209"/>
        <v>4</v>
      </c>
      <c r="M1154" s="7">
        <f ca="1" xml:space="preserve">
  IF(OR($N1154 = 2, $N1154 = 3, $N1154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154" s="6">
        <f t="shared" ca="1" si="210"/>
        <v>7</v>
      </c>
      <c r="O1154" s="6" t="e">
        <f t="shared" ca="1" si="211"/>
        <v>#N/A</v>
      </c>
      <c r="P1154" s="8">
        <f t="shared" ca="1" si="212"/>
        <v>39537</v>
      </c>
      <c r="Q1154" s="6">
        <f ca="1">RANDBETWEEN(2,COUNTA('Recruitment source'!$A:$A))</f>
        <v>12</v>
      </c>
      <c r="R1154" s="8" t="e">
        <f t="shared" ca="1" si="213"/>
        <v>#N/A</v>
      </c>
      <c r="S1154" s="6" t="e">
        <f t="shared" ca="1" si="214"/>
        <v>#N/A</v>
      </c>
      <c r="T1154" s="6">
        <f t="shared" ref="T1154:T1217" ca="1" si="216" xml:space="preserve">
IF(
 ISNA($R1154),
 IF(
   $N1154 = 2,
   5,
   IF(
     OR($N1154=3,$N1154=4,$N1154=5),
     RANDBETWEEN(4,5),
     IF(
       OR($N1154=11,$N1154=12),
       RANDBETWEEN(3,5),
       RANDBETWEEN(2,5)
     )
   )
 ),
 RANDBETWEEN(1,3)
)</f>
        <v>5</v>
      </c>
      <c r="U1154" s="1">
        <f t="shared" ca="1" si="215"/>
        <v>1005</v>
      </c>
    </row>
    <row r="1155" spans="1:21" x14ac:dyDescent="0.2">
      <c r="A1155" s="7" cm="1">
        <f t="array" aca="1" ref="A1155" ca="1">INDEX(Companies!$A:$A,RANDBETWEEN(2,COUNTA(Companies!$A:$A)),1)</f>
        <v>2</v>
      </c>
      <c r="B1155" s="5">
        <f t="shared" ref="B1155:B1218" si="217">ROW() - 1</f>
        <v>1154</v>
      </c>
      <c r="C1155" s="6">
        <f t="shared" ref="C1155:C1218" ca="1" si="218">IF(ISNA($R1155),1,0)</f>
        <v>1</v>
      </c>
      <c r="D1155" s="7">
        <f ca="1">IF($B1155 = 1 + N("Presidente"),
    127,
    IF($B1155 = 2 + N("Vice-Presidente"),
        72,
        IF($B1155 = 3 + N("Secretária bilíngue"),
            13,
            RANDBETWEEN(5,COUNT(Name!$A:$A) + 1)
        )
    )
)</f>
        <v>336</v>
      </c>
      <c r="E1155" s="7" t="str">
        <f ca="1" xml:space="preserve">
VLOOKUP(
  $D1155,
  Name!$A:$B,
  2,
  FALSE
)
&amp; " " &amp;
IF($B1155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Samuel Barreto Santos</v>
      </c>
      <c r="F1155" s="7">
        <v>2</v>
      </c>
      <c r="G1155" s="7" cm="1">
        <f t="array" aca="1" ref="G1155" ca="1">INDEX(States!$B:$B,RANDBETWEEN(2,COUNTA(States!$A:$A)),1)</f>
        <v>16</v>
      </c>
      <c r="H1155" s="7" t="str">
        <f ca="1">VLOOKUP($D1155,Name!$A:$C,3,FALSE)</f>
        <v>M</v>
      </c>
      <c r="I1155" s="7" cm="1">
        <f t="array" aca="1" ref="I1155" ca="1">INDEX('Marital status'!$A:$A,RANDBETWEEN(2,COUNTA('Marital status'!$A:$A)),1)</f>
        <v>5</v>
      </c>
      <c r="J1155" s="7">
        <f t="shared" ref="J1155:J1218" ca="1" si="219" xml:space="preserve">
IF(AND($N1155 &gt;= 2, $N1155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4</v>
      </c>
      <c r="K1155" s="8">
        <f t="shared" ref="K1155:K1218" ca="1" si="220" xml:space="preserve">
IF($N1155 = 5 + N("CEO"),
    TODAY() - 16340,
    IF($N1155 = 8 + N("Secretary"),
        RANDBETWEEN(TODAY() - 12418.5, TODAY()-6574.5),
        IF(OR($N1155 = 7, $N1155 = 14),
            RANDBETWEEN(TODAY() - 16071, TODAY() - 8766),
            IF(OR($N1155 = 13, $N1155 = 12, $N1155 = 11),
                RANDBETWEEN(TODAY() - 27393.75, TODAY() - 12783.75),
                RANDBETWEEN(TODAY() - 27393.75, TODAY()-10957.5)
            )
        )
    )
)</f>
        <v>34427</v>
      </c>
      <c r="L1155" s="6">
        <f t="shared" ref="L1155:L1218" ca="1" si="221" xml:space="preserve">
IF(OR($N1155 = 2, $N1155 = 3) + N("Se for presidente ou vice-presidente"),
    7 + N("Doutor"),
    IF($N1155 = 4 + N("Se for diretor"),
        RANDBETWEEN(5,7) + N("Graduate school or Master’s degree or Doctorate"),
        IF($N1155 = 11 + N("Se for gerente"),
            RANDBETWEEN(4,6) + N("Undergraduate degree or Graduate school or Master’s degree"),
            IF(AND($N1155 &gt;= 8, $N1155 &lt;= 10) + N("If coordinator or specialist or analyst"),
                RANDBETWEEN(4,5),
                4
            )
        )
    )
)</f>
        <v>5</v>
      </c>
      <c r="M1155" s="7">
        <f ca="1" xml:space="preserve">
  IF(OR($N1155 = 2, $N1155 = 3, $N1155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155" s="6">
        <f t="shared" ref="N1155:N1218" ca="1" si="222" xml:space="preserve">
IF($B1155 = 1 + N("Se matrícula for 1"),
  2 + N("Presidente"),
  IF($B1155 = 2 + N("Se matrícula for 2"),
    3 + N("Vice-presidente"),
    IF($B1155 = 3 + N("Se matrícula for 3"),
      5 + N("Secretária bilíngue"),
      IF(AND($B1155 &gt;= 4, $B1155 &lt;=14),
        4 + N("Diretor"),
        IF(AND($B1155 &gt;= 15, $B1155 &lt;= 25),
          11 + N("Manager"),
          IF(AND($B1155 &gt;= 26, $B1155 &lt;= 36),
            10 + N("Coordinador"),
            IF(AND($B1155 &gt;= 37, $B1155 &lt;= 47),
              9 + N("Especialista"),
                IF(MOD($B1155,2) = 0,
                  8 + N("Analista"),
                  RANDBETWEEN(6,7) + N("Estagiário ou Trainee")
                )
            )
          )
        )
      )
    )
  )
)</f>
        <v>8</v>
      </c>
      <c r="O1155" s="6">
        <f t="shared" ref="O1155:O1218" ca="1" si="223" xml:space="preserve">
IF($N1155 =8 + N("Analyst"),
    RANDBETWEEN(2, 4) + N("Jr, Pleno, Sr"),
    NA()
)</f>
        <v>2</v>
      </c>
      <c r="P1155" s="8">
        <f t="shared" ref="P1155:P1218" ca="1" si="224" xml:space="preserve">
IF(
   $N1155=2 + N("Presidente"),
   36161,
   IF(
       OR(
         $N1155=3 + N("Vice-Presidente"),
         $N1155=4 + N("Diretor"),
         $N1155=5 + N("Secretária bilíngue")
       ),
       RANDBETWEEN(36161,36411),
       IF(
         ((TODAY() - $K1155) / 365) &lt; 19,
         TODAY(),
         RANDBETWEEN(36161,TODAY())
       )
   )
)</f>
        <v>39723</v>
      </c>
      <c r="Q1155" s="6">
        <f ca="1">RANDBETWEEN(2,COUNTA('Recruitment source'!$A:$A))</f>
        <v>5</v>
      </c>
      <c r="R1155" s="8" t="e">
        <f t="shared" ref="R1155:R1218" ca="1" si="225" xml:space="preserve">
IF(MOD(
     ROW(),111
   )=0,
   RANDBETWEEN($P1155 + 1,TODAY() - 1),NA()
)</f>
        <v>#N/A</v>
      </c>
      <c r="S1155" s="6" t="e">
        <f t="shared" ref="S1155:S1218" ca="1" si="226" xml:space="preserve">
IF(
  ISNA(R1155),
  NA(),
  RANDBETWEEN(2,IF($H1155="F",10,9))
)</f>
        <v>#N/A</v>
      </c>
      <c r="T1155" s="6">
        <f t="shared" ca="1" si="216"/>
        <v>2</v>
      </c>
      <c r="U1155" s="1">
        <f t="shared" ref="U1155:U1218" ca="1" si="227" xml:space="preserve">
IF($N1155 = 2 + N("Presidente"),
    25000,
    IF($N1155 = 3 + N("Vice-presidente"),
        23000,
        IF(OR($N1155 = 5, $N1155= 10, $N1155 = 9) + N("Secretária bilíngue ou coordenador ou especialista"),
            8000,
            IF($N1155 = 4 + N("Diretor"),
                15000,
                IF($N1155 = 11 + N("Gerente"),
                    12000,
                    IF($N1155 = 6 + N("Estagiário"),
                        805,
                        IF($N1155 = 7 + N("Trainee"),
                            1005,
                            IF($N1155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IF($L1155 = 7,
  100,
  IF($L1155 = 8,
    200,
    IF($L1155 = 9,
      300,
      IF($L1155 = 10,
        400,
        0
      )
    )
  )
)
+
N("Adicional no salário por área")
+
IF($M1155 = 14 + N("Tecnologia da Informação"),
  120,
  IF($M1155 = 16 + N("Vendas"),
    110,
    IF($M1155 = 15 + N("Jurídico"),
      100,
      IF(OR($M1155 = 8, $M1155 = 9, $M1155 = 11) + N("Recursos humanos ou comercial ou comunicação e marketing"),
        80,
        0
      )
    )
  )
)
+
N("Adicionando pegadinha")
+
IF(AND($M1155 = 13, $N1155 = 8) + N("Se for de vendas e analista"),
  IF($J1155 = 2,
    50,
    0
  )
  +
  IF($H1155 = "M",
    50,
    0
  ),
  0
)</f>
        <v>2000</v>
      </c>
    </row>
    <row r="1156" spans="1:21" x14ac:dyDescent="0.2">
      <c r="A1156" s="7" cm="1">
        <f t="array" aca="1" ref="A1156" ca="1">INDEX(Companies!$A:$A,RANDBETWEEN(2,COUNTA(Companies!$A:$A)),1)</f>
        <v>2</v>
      </c>
      <c r="B1156" s="5">
        <f t="shared" si="217"/>
        <v>1155</v>
      </c>
      <c r="C1156" s="6">
        <f t="shared" ca="1" si="218"/>
        <v>1</v>
      </c>
      <c r="D1156" s="7">
        <f ca="1">IF($B1156 = 1 + N("Presidente"),
    127,
    IF($B1156 = 2 + N("Vice-Presidente"),
        72,
        IF($B1156 = 3 + N("Secretária bilíngue"),
            13,
            RANDBETWEEN(5,COUNT(Name!$A:$A) + 1)
        )
    )
)</f>
        <v>32</v>
      </c>
      <c r="E1156" s="7" t="str">
        <f ca="1" xml:space="preserve">
VLOOKUP(
  $D1156,
  Name!$A:$B,
  2,
  FALSE
)
&amp; " " &amp;
IF($B1156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Laura Café Pimenta</v>
      </c>
      <c r="F1156" s="7">
        <v>2</v>
      </c>
      <c r="G1156" s="7" cm="1">
        <f t="array" aca="1" ref="G1156" ca="1">INDEX(States!$B:$B,RANDBETWEEN(2,COUNTA(States!$A:$A)),1)</f>
        <v>17</v>
      </c>
      <c r="H1156" s="7" t="str">
        <f ca="1">VLOOKUP($D1156,Name!$A:$C,3,FALSE)</f>
        <v>F</v>
      </c>
      <c r="I1156" s="7" cm="1">
        <f t="array" aca="1" ref="I1156" ca="1">INDEX('Marital status'!$A:$A,RANDBETWEEN(2,COUNTA('Marital status'!$A:$A)),1)</f>
        <v>3</v>
      </c>
      <c r="J1156" s="7">
        <f t="shared" ca="1" si="219"/>
        <v>2</v>
      </c>
      <c r="K1156" s="8">
        <f t="shared" ca="1" si="220"/>
        <v>34508</v>
      </c>
      <c r="L1156" s="6">
        <f t="shared" ca="1" si="221"/>
        <v>4</v>
      </c>
      <c r="M1156" s="7">
        <f ca="1" xml:space="preserve">
  IF(OR($N1156 = 2, $N1156 = 3, $N1156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156" s="6">
        <f t="shared" ca="1" si="222"/>
        <v>7</v>
      </c>
      <c r="O1156" s="6" t="e">
        <f t="shared" ca="1" si="223"/>
        <v>#N/A</v>
      </c>
      <c r="P1156" s="8">
        <f t="shared" ca="1" si="224"/>
        <v>43698</v>
      </c>
      <c r="Q1156" s="6">
        <f ca="1">RANDBETWEEN(2,COUNTA('Recruitment source'!$A:$A))</f>
        <v>10</v>
      </c>
      <c r="R1156" s="8" t="e">
        <f t="shared" ca="1" si="225"/>
        <v>#N/A</v>
      </c>
      <c r="S1156" s="6" t="e">
        <f t="shared" ca="1" si="226"/>
        <v>#N/A</v>
      </c>
      <c r="T1156" s="6">
        <f t="shared" ca="1" si="216"/>
        <v>3</v>
      </c>
      <c r="U1156" s="1">
        <f t="shared" ca="1" si="227"/>
        <v>1005</v>
      </c>
    </row>
    <row r="1157" spans="1:21" x14ac:dyDescent="0.2">
      <c r="A1157" s="7" cm="1">
        <f t="array" aca="1" ref="A1157" ca="1">INDEX(Companies!$A:$A,RANDBETWEEN(2,COUNTA(Companies!$A:$A)),1)</f>
        <v>2</v>
      </c>
      <c r="B1157" s="5">
        <f t="shared" si="217"/>
        <v>1156</v>
      </c>
      <c r="C1157" s="6">
        <f t="shared" ca="1" si="218"/>
        <v>1</v>
      </c>
      <c r="D1157" s="7">
        <f ca="1">IF($B1157 = 1 + N("Presidente"),
    127,
    IF($B1157 = 2 + N("Vice-Presidente"),
        72,
        IF($B1157 = 3 + N("Secretária bilíngue"),
            13,
            RANDBETWEEN(5,COUNT(Name!$A:$A) + 1)
        )
    )
)</f>
        <v>102</v>
      </c>
      <c r="E1157" s="7" t="str">
        <f ca="1" xml:space="preserve">
VLOOKUP(
  $D1157,
  Name!$A:$B,
  2,
  FALSE
)
&amp; " " &amp;
IF($B1157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Danilo Lopes Junqueira</v>
      </c>
      <c r="F1157" s="7">
        <v>2</v>
      </c>
      <c r="G1157" s="7" cm="1">
        <f t="array" aca="1" ref="G1157" ca="1">INDEX(States!$B:$B,RANDBETWEEN(2,COUNTA(States!$A:$A)),1)</f>
        <v>13</v>
      </c>
      <c r="H1157" s="7" t="str">
        <f ca="1">VLOOKUP($D1157,Name!$A:$C,3,FALSE)</f>
        <v>M</v>
      </c>
      <c r="I1157" s="7" cm="1">
        <f t="array" aca="1" ref="I1157" ca="1">INDEX('Marital status'!$A:$A,RANDBETWEEN(2,COUNTA('Marital status'!$A:$A)),1)</f>
        <v>3</v>
      </c>
      <c r="J1157" s="7">
        <f t="shared" ca="1" si="219"/>
        <v>2</v>
      </c>
      <c r="K1157" s="8">
        <f t="shared" ca="1" si="220"/>
        <v>36251</v>
      </c>
      <c r="L1157" s="6">
        <f t="shared" ca="1" si="221"/>
        <v>5</v>
      </c>
      <c r="M1157" s="7">
        <f ca="1" xml:space="preserve">
  IF(OR($N1157 = 2, $N1157 = 3, $N1157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157" s="6">
        <f t="shared" ca="1" si="222"/>
        <v>8</v>
      </c>
      <c r="O1157" s="6">
        <f t="shared" ca="1" si="223"/>
        <v>4</v>
      </c>
      <c r="P1157" s="8">
        <f t="shared" ca="1" si="224"/>
        <v>44180</v>
      </c>
      <c r="Q1157" s="6">
        <f ca="1">RANDBETWEEN(2,COUNTA('Recruitment source'!$A:$A))</f>
        <v>8</v>
      </c>
      <c r="R1157" s="8" t="e">
        <f t="shared" ca="1" si="225"/>
        <v>#N/A</v>
      </c>
      <c r="S1157" s="6" t="e">
        <f t="shared" ca="1" si="226"/>
        <v>#N/A</v>
      </c>
      <c r="T1157" s="6">
        <f t="shared" ca="1" si="216"/>
        <v>5</v>
      </c>
      <c r="U1157" s="1">
        <f t="shared" ca="1" si="227"/>
        <v>2100</v>
      </c>
    </row>
    <row r="1158" spans="1:21" x14ac:dyDescent="0.2">
      <c r="A1158" s="7" cm="1">
        <f t="array" aca="1" ref="A1158" ca="1">INDEX(Companies!$A:$A,RANDBETWEEN(2,COUNTA(Companies!$A:$A)),1)</f>
        <v>2</v>
      </c>
      <c r="B1158" s="5">
        <f t="shared" si="217"/>
        <v>1157</v>
      </c>
      <c r="C1158" s="6">
        <f t="shared" ca="1" si="218"/>
        <v>1</v>
      </c>
      <c r="D1158" s="7">
        <f ca="1">IF($B1158 = 1 + N("Presidente"),
    127,
    IF($B1158 = 2 + N("Vice-Presidente"),
        72,
        IF($B1158 = 3 + N("Secretária bilíngue"),
            13,
            RANDBETWEEN(5,COUNT(Name!$A:$A) + 1)
        )
    )
)</f>
        <v>337</v>
      </c>
      <c r="E1158" s="7" t="str">
        <f ca="1" xml:space="preserve">
VLOOKUP(
  $D1158,
  Name!$A:$B,
  2,
  FALSE
)
&amp; " " &amp;
IF($B1158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Sarah Reis Madureira</v>
      </c>
      <c r="F1158" s="7">
        <v>2</v>
      </c>
      <c r="G1158" s="7" cm="1">
        <f t="array" aca="1" ref="G1158" ca="1">INDEX(States!$B:$B,RANDBETWEEN(2,COUNTA(States!$A:$A)),1)</f>
        <v>15</v>
      </c>
      <c r="H1158" s="7" t="str">
        <f ca="1">VLOOKUP($D1158,Name!$A:$C,3,FALSE)</f>
        <v>F</v>
      </c>
      <c r="I1158" s="7" cm="1">
        <f t="array" aca="1" ref="I1158" ca="1">INDEX('Marital status'!$A:$A,RANDBETWEEN(2,COUNTA('Marital status'!$A:$A)),1)</f>
        <v>2</v>
      </c>
      <c r="J1158" s="7">
        <f t="shared" ca="1" si="219"/>
        <v>2</v>
      </c>
      <c r="K1158" s="8">
        <f t="shared" ca="1" si="220"/>
        <v>30634</v>
      </c>
      <c r="L1158" s="6">
        <f t="shared" ca="1" si="221"/>
        <v>4</v>
      </c>
      <c r="M1158" s="7">
        <f ca="1" xml:space="preserve">
  IF(OR($N1158 = 2, $N1158 = 3, $N1158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158" s="6">
        <f t="shared" ca="1" si="222"/>
        <v>6</v>
      </c>
      <c r="O1158" s="6" t="e">
        <f t="shared" ca="1" si="223"/>
        <v>#N/A</v>
      </c>
      <c r="P1158" s="8">
        <f t="shared" ca="1" si="224"/>
        <v>41706</v>
      </c>
      <c r="Q1158" s="6">
        <f ca="1">RANDBETWEEN(2,COUNTA('Recruitment source'!$A:$A))</f>
        <v>4</v>
      </c>
      <c r="R1158" s="8" t="e">
        <f t="shared" ca="1" si="225"/>
        <v>#N/A</v>
      </c>
      <c r="S1158" s="6" t="e">
        <f t="shared" ca="1" si="226"/>
        <v>#N/A</v>
      </c>
      <c r="T1158" s="6">
        <f t="shared" ca="1" si="216"/>
        <v>2</v>
      </c>
      <c r="U1158" s="1">
        <f t="shared" ca="1" si="227"/>
        <v>805</v>
      </c>
    </row>
    <row r="1159" spans="1:21" x14ac:dyDescent="0.2">
      <c r="A1159" s="7" cm="1">
        <f t="array" aca="1" ref="A1159" ca="1">INDEX(Companies!$A:$A,RANDBETWEEN(2,COUNTA(Companies!$A:$A)),1)</f>
        <v>2</v>
      </c>
      <c r="B1159" s="5">
        <f t="shared" si="217"/>
        <v>1158</v>
      </c>
      <c r="C1159" s="6">
        <f t="shared" ca="1" si="218"/>
        <v>1</v>
      </c>
      <c r="D1159" s="7">
        <f ca="1">IF($B1159 = 1 + N("Presidente"),
    127,
    IF($B1159 = 2 + N("Vice-Presidente"),
        72,
        IF($B1159 = 3 + N("Secretária bilíngue"),
            13,
            RANDBETWEEN(5,COUNT(Name!$A:$A) + 1)
        )
    )
)</f>
        <v>337</v>
      </c>
      <c r="E1159" s="7" t="str">
        <f ca="1" xml:space="preserve">
VLOOKUP(
  $D1159,
  Name!$A:$B,
  2,
  FALSE
)
&amp; " " &amp;
IF($B1159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Sarah Santacruz Esposito</v>
      </c>
      <c r="F1159" s="7">
        <v>2</v>
      </c>
      <c r="G1159" s="7" cm="1">
        <f t="array" aca="1" ref="G1159" ca="1">INDEX(States!$B:$B,RANDBETWEEN(2,COUNTA(States!$A:$A)),1)</f>
        <v>18</v>
      </c>
      <c r="H1159" s="7" t="str">
        <f ca="1">VLOOKUP($D1159,Name!$A:$C,3,FALSE)</f>
        <v>F</v>
      </c>
      <c r="I1159" s="7" cm="1">
        <f t="array" aca="1" ref="I1159" ca="1">INDEX('Marital status'!$A:$A,RANDBETWEEN(2,COUNTA('Marital status'!$A:$A)),1)</f>
        <v>2</v>
      </c>
      <c r="J1159" s="7">
        <f t="shared" ca="1" si="219"/>
        <v>5</v>
      </c>
      <c r="K1159" s="8">
        <f t="shared" ca="1" si="220"/>
        <v>37210</v>
      </c>
      <c r="L1159" s="6">
        <f t="shared" ca="1" si="221"/>
        <v>4</v>
      </c>
      <c r="M1159" s="7">
        <f ca="1" xml:space="preserve">
  IF(OR($N1159 = 2, $N1159 = 3, $N1159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159" s="6">
        <f t="shared" ca="1" si="222"/>
        <v>8</v>
      </c>
      <c r="O1159" s="6">
        <f t="shared" ca="1" si="223"/>
        <v>2</v>
      </c>
      <c r="P1159" s="8">
        <f t="shared" ca="1" si="224"/>
        <v>37840</v>
      </c>
      <c r="Q1159" s="6">
        <f ca="1">RANDBETWEEN(2,COUNTA('Recruitment source'!$A:$A))</f>
        <v>11</v>
      </c>
      <c r="R1159" s="8" t="e">
        <f t="shared" ca="1" si="225"/>
        <v>#N/A</v>
      </c>
      <c r="S1159" s="6" t="e">
        <f t="shared" ca="1" si="226"/>
        <v>#N/A</v>
      </c>
      <c r="T1159" s="6">
        <f t="shared" ca="1" si="216"/>
        <v>2</v>
      </c>
      <c r="U1159" s="1">
        <f t="shared" ca="1" si="227"/>
        <v>2000</v>
      </c>
    </row>
    <row r="1160" spans="1:21" x14ac:dyDescent="0.2">
      <c r="A1160" s="7" cm="1">
        <f t="array" aca="1" ref="A1160" ca="1">INDEX(Companies!$A:$A,RANDBETWEEN(2,COUNTA(Companies!$A:$A)),1)</f>
        <v>2</v>
      </c>
      <c r="B1160" s="5">
        <f t="shared" si="217"/>
        <v>1159</v>
      </c>
      <c r="C1160" s="6">
        <f t="shared" ca="1" si="218"/>
        <v>1</v>
      </c>
      <c r="D1160" s="7">
        <f ca="1">IF($B1160 = 1 + N("Presidente"),
    127,
    IF($B1160 = 2 + N("Vice-Presidente"),
        72,
        IF($B1160 = 3 + N("Secretária bilíngue"),
            13,
            RANDBETWEEN(5,COUNT(Name!$A:$A) + 1)
        )
    )
)</f>
        <v>297</v>
      </c>
      <c r="E1160" s="7" t="str">
        <f ca="1" xml:space="preserve">
VLOOKUP(
  $D1160,
  Name!$A:$B,
  2,
  FALSE
)
&amp; " " &amp;
IF($B1160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Miguelito Rangel Farina</v>
      </c>
      <c r="F1160" s="7">
        <v>2</v>
      </c>
      <c r="G1160" s="7" cm="1">
        <f t="array" aca="1" ref="G1160" ca="1">INDEX(States!$B:$B,RANDBETWEEN(2,COUNTA(States!$A:$A)),1)</f>
        <v>10</v>
      </c>
      <c r="H1160" s="7" t="str">
        <f ca="1">VLOOKUP($D1160,Name!$A:$C,3,FALSE)</f>
        <v>M</v>
      </c>
      <c r="I1160" s="7" cm="1">
        <f t="array" aca="1" ref="I1160" ca="1">INDEX('Marital status'!$A:$A,RANDBETWEEN(2,COUNTA('Marital status'!$A:$A)),1)</f>
        <v>2</v>
      </c>
      <c r="J1160" s="7">
        <f t="shared" ca="1" si="219"/>
        <v>2</v>
      </c>
      <c r="K1160" s="8">
        <f t="shared" ca="1" si="220"/>
        <v>35673</v>
      </c>
      <c r="L1160" s="6">
        <f t="shared" ca="1" si="221"/>
        <v>4</v>
      </c>
      <c r="M1160" s="7">
        <f ca="1" xml:space="preserve">
  IF(OR($N1160 = 2, $N1160 = 3, $N1160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160" s="6">
        <f t="shared" ca="1" si="222"/>
        <v>7</v>
      </c>
      <c r="O1160" s="6" t="e">
        <f t="shared" ca="1" si="223"/>
        <v>#N/A</v>
      </c>
      <c r="P1160" s="8">
        <f t="shared" ca="1" si="224"/>
        <v>37843</v>
      </c>
      <c r="Q1160" s="6">
        <f ca="1">RANDBETWEEN(2,COUNTA('Recruitment source'!$A:$A))</f>
        <v>12</v>
      </c>
      <c r="R1160" s="8" t="e">
        <f t="shared" ca="1" si="225"/>
        <v>#N/A</v>
      </c>
      <c r="S1160" s="6" t="e">
        <f t="shared" ca="1" si="226"/>
        <v>#N/A</v>
      </c>
      <c r="T1160" s="6">
        <f t="shared" ca="1" si="216"/>
        <v>4</v>
      </c>
      <c r="U1160" s="1">
        <f t="shared" ca="1" si="227"/>
        <v>1005</v>
      </c>
    </row>
    <row r="1161" spans="1:21" x14ac:dyDescent="0.2">
      <c r="A1161" s="7" cm="1">
        <f t="array" aca="1" ref="A1161" ca="1">INDEX(Companies!$A:$A,RANDBETWEEN(2,COUNTA(Companies!$A:$A)),1)</f>
        <v>2</v>
      </c>
      <c r="B1161" s="5">
        <f t="shared" si="217"/>
        <v>1160</v>
      </c>
      <c r="C1161" s="6">
        <f t="shared" ca="1" si="218"/>
        <v>1</v>
      </c>
      <c r="D1161" s="7">
        <f ca="1">IF($B1161 = 1 + N("Presidente"),
    127,
    IF($B1161 = 2 + N("Vice-Presidente"),
        72,
        IF($B1161 = 3 + N("Secretária bilíngue"),
            13,
            RANDBETWEEN(5,COUNT(Name!$A:$A) + 1)
        )
    )
)</f>
        <v>173</v>
      </c>
      <c r="E1161" s="7" t="str">
        <f ca="1" xml:space="preserve">
VLOOKUP(
  $D1161,
  Name!$A:$B,
  2,
  FALSE
)
&amp; " " &amp;
IF($B1161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Isaac Freitas Figo</v>
      </c>
      <c r="F1161" s="7">
        <v>2</v>
      </c>
      <c r="G1161" s="7" cm="1">
        <f t="array" aca="1" ref="G1161" ca="1">INDEX(States!$B:$B,RANDBETWEEN(2,COUNTA(States!$A:$A)),1)</f>
        <v>5</v>
      </c>
      <c r="H1161" s="7" t="str">
        <f ca="1">VLOOKUP($D1161,Name!$A:$C,3,FALSE)</f>
        <v>M</v>
      </c>
      <c r="I1161" s="7" cm="1">
        <f t="array" aca="1" ref="I1161" ca="1">INDEX('Marital status'!$A:$A,RANDBETWEEN(2,COUNTA('Marital status'!$A:$A)),1)</f>
        <v>3</v>
      </c>
      <c r="J1161" s="7">
        <f t="shared" ca="1" si="219"/>
        <v>2</v>
      </c>
      <c r="K1161" s="8">
        <f t="shared" ca="1" si="220"/>
        <v>35423</v>
      </c>
      <c r="L1161" s="6">
        <f t="shared" ca="1" si="221"/>
        <v>5</v>
      </c>
      <c r="M1161" s="7">
        <f ca="1" xml:space="preserve">
  IF(OR($N1161 = 2, $N1161 = 3, $N1161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161" s="6">
        <f t="shared" ca="1" si="222"/>
        <v>8</v>
      </c>
      <c r="O1161" s="6">
        <f t="shared" ca="1" si="223"/>
        <v>3</v>
      </c>
      <c r="P1161" s="8">
        <f t="shared" ca="1" si="224"/>
        <v>44157</v>
      </c>
      <c r="Q1161" s="6">
        <f ca="1">RANDBETWEEN(2,COUNTA('Recruitment source'!$A:$A))</f>
        <v>8</v>
      </c>
      <c r="R1161" s="8" t="e">
        <f t="shared" ca="1" si="225"/>
        <v>#N/A</v>
      </c>
      <c r="S1161" s="6" t="e">
        <f t="shared" ca="1" si="226"/>
        <v>#N/A</v>
      </c>
      <c r="T1161" s="6">
        <f t="shared" ca="1" si="216"/>
        <v>2</v>
      </c>
      <c r="U1161" s="1">
        <f t="shared" ca="1" si="227"/>
        <v>2100</v>
      </c>
    </row>
    <row r="1162" spans="1:21" x14ac:dyDescent="0.2">
      <c r="A1162" s="7" cm="1">
        <f t="array" aca="1" ref="A1162" ca="1">INDEX(Companies!$A:$A,RANDBETWEEN(2,COUNTA(Companies!$A:$A)),1)</f>
        <v>2</v>
      </c>
      <c r="B1162" s="5">
        <f t="shared" si="217"/>
        <v>1161</v>
      </c>
      <c r="C1162" s="6">
        <f t="shared" ca="1" si="218"/>
        <v>1</v>
      </c>
      <c r="D1162" s="7">
        <f ca="1">IF($B1162 = 1 + N("Presidente"),
    127,
    IF($B1162 = 2 + N("Vice-Presidente"),
        72,
        IF($B1162 = 3 + N("Secretária bilíngue"),
            13,
            RANDBETWEEN(5,COUNT(Name!$A:$A) + 1)
        )
    )
)</f>
        <v>358</v>
      </c>
      <c r="E1162" s="7" t="str">
        <f ca="1" xml:space="preserve">
VLOOKUP(
  $D1162,
  Name!$A:$B,
  2,
  FALSE
)
&amp; " " &amp;
IF($B1162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Vinícius Borges Sacramento</v>
      </c>
      <c r="F1162" s="7">
        <v>2</v>
      </c>
      <c r="G1162" s="7" cm="1">
        <f t="array" aca="1" ref="G1162" ca="1">INDEX(States!$B:$B,RANDBETWEEN(2,COUNTA(States!$A:$A)),1)</f>
        <v>21</v>
      </c>
      <c r="H1162" s="7" t="str">
        <f ca="1">VLOOKUP($D1162,Name!$A:$C,3,FALSE)</f>
        <v>M</v>
      </c>
      <c r="I1162" s="7" cm="1">
        <f t="array" aca="1" ref="I1162" ca="1">INDEX('Marital status'!$A:$A,RANDBETWEEN(2,COUNTA('Marital status'!$A:$A)),1)</f>
        <v>3</v>
      </c>
      <c r="J1162" s="7">
        <f t="shared" ca="1" si="219"/>
        <v>3</v>
      </c>
      <c r="K1162" s="8">
        <f t="shared" ca="1" si="220"/>
        <v>29041</v>
      </c>
      <c r="L1162" s="6">
        <f t="shared" ca="1" si="221"/>
        <v>4</v>
      </c>
      <c r="M1162" s="7">
        <f ca="1" xml:space="preserve">
  IF(OR($N1162 = 2, $N1162 = 3, $N1162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162" s="6">
        <f t="shared" ca="1" si="222"/>
        <v>7</v>
      </c>
      <c r="O1162" s="6" t="e">
        <f t="shared" ca="1" si="223"/>
        <v>#N/A</v>
      </c>
      <c r="P1162" s="8">
        <f t="shared" ca="1" si="224"/>
        <v>44558</v>
      </c>
      <c r="Q1162" s="6">
        <f ca="1">RANDBETWEEN(2,COUNTA('Recruitment source'!$A:$A))</f>
        <v>8</v>
      </c>
      <c r="R1162" s="8" t="e">
        <f t="shared" ca="1" si="225"/>
        <v>#N/A</v>
      </c>
      <c r="S1162" s="6" t="e">
        <f t="shared" ca="1" si="226"/>
        <v>#N/A</v>
      </c>
      <c r="T1162" s="6">
        <f t="shared" ca="1" si="216"/>
        <v>2</v>
      </c>
      <c r="U1162" s="1">
        <f t="shared" ca="1" si="227"/>
        <v>1085</v>
      </c>
    </row>
    <row r="1163" spans="1:21" x14ac:dyDescent="0.2">
      <c r="A1163" s="7" cm="1">
        <f t="array" aca="1" ref="A1163" ca="1">INDEX(Companies!$A:$A,RANDBETWEEN(2,COUNTA(Companies!$A:$A)),1)</f>
        <v>2</v>
      </c>
      <c r="B1163" s="5">
        <f t="shared" si="217"/>
        <v>1162</v>
      </c>
      <c r="C1163" s="6">
        <f t="shared" ca="1" si="218"/>
        <v>1</v>
      </c>
      <c r="D1163" s="7">
        <f ca="1">IF($B1163 = 1 + N("Presidente"),
    127,
    IF($B1163 = 2 + N("Vice-Presidente"),
        72,
        IF($B1163 = 3 + N("Secretária bilíngue"),
            13,
            RANDBETWEEN(5,COUNT(Name!$A:$A) + 1)
        )
    )
)</f>
        <v>20</v>
      </c>
      <c r="E1163" s="7" t="str">
        <f ca="1" xml:space="preserve">
VLOOKUP(
  $D1163,
  Name!$A:$B,
  2,
  FALSE
)
&amp; " " &amp;
IF($B1163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Alini Andrade Fontana</v>
      </c>
      <c r="F1163" s="7">
        <v>2</v>
      </c>
      <c r="G1163" s="7" cm="1">
        <f t="array" aca="1" ref="G1163" ca="1">INDEX(States!$B:$B,RANDBETWEEN(2,COUNTA(States!$A:$A)),1)</f>
        <v>14</v>
      </c>
      <c r="H1163" s="7" t="str">
        <f ca="1">VLOOKUP($D1163,Name!$A:$C,3,FALSE)</f>
        <v>F</v>
      </c>
      <c r="I1163" s="7" cm="1">
        <f t="array" aca="1" ref="I1163" ca="1">INDEX('Marital status'!$A:$A,RANDBETWEEN(2,COUNTA('Marital status'!$A:$A)),1)</f>
        <v>6</v>
      </c>
      <c r="J1163" s="7">
        <f t="shared" ca="1" si="219"/>
        <v>2</v>
      </c>
      <c r="K1163" s="8">
        <f t="shared" ca="1" si="220"/>
        <v>36428</v>
      </c>
      <c r="L1163" s="6">
        <f t="shared" ca="1" si="221"/>
        <v>5</v>
      </c>
      <c r="M1163" s="7">
        <f ca="1" xml:space="preserve">
  IF(OR($N1163 = 2, $N1163 = 3, $N1163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163" s="6">
        <f t="shared" ca="1" si="222"/>
        <v>8</v>
      </c>
      <c r="O1163" s="6">
        <f t="shared" ca="1" si="223"/>
        <v>3</v>
      </c>
      <c r="P1163" s="8">
        <f t="shared" ca="1" si="224"/>
        <v>39598</v>
      </c>
      <c r="Q1163" s="6">
        <f ca="1">RANDBETWEEN(2,COUNTA('Recruitment source'!$A:$A))</f>
        <v>10</v>
      </c>
      <c r="R1163" s="8" t="e">
        <f t="shared" ca="1" si="225"/>
        <v>#N/A</v>
      </c>
      <c r="S1163" s="6" t="e">
        <f t="shared" ca="1" si="226"/>
        <v>#N/A</v>
      </c>
      <c r="T1163" s="6">
        <f t="shared" ca="1" si="216"/>
        <v>3</v>
      </c>
      <c r="U1163" s="1">
        <f t="shared" ca="1" si="227"/>
        <v>2000</v>
      </c>
    </row>
    <row r="1164" spans="1:21" x14ac:dyDescent="0.2">
      <c r="A1164" s="7" cm="1">
        <f t="array" aca="1" ref="A1164" ca="1">INDEX(Companies!$A:$A,RANDBETWEEN(2,COUNTA(Companies!$A:$A)),1)</f>
        <v>2</v>
      </c>
      <c r="B1164" s="5">
        <f t="shared" si="217"/>
        <v>1163</v>
      </c>
      <c r="C1164" s="6">
        <f t="shared" ca="1" si="218"/>
        <v>1</v>
      </c>
      <c r="D1164" s="7">
        <f ca="1">IF($B1164 = 1 + N("Presidente"),
    127,
    IF($B1164 = 2 + N("Vice-Presidente"),
        72,
        IF($B1164 = 3 + N("Secretária bilíngue"),
            13,
            RANDBETWEEN(5,COUNT(Name!$A:$A) + 1)
        )
    )
)</f>
        <v>183</v>
      </c>
      <c r="E1164" s="7" t="str">
        <f ca="1" xml:space="preserve">
VLOOKUP(
  $D1164,
  Name!$A:$B,
  2,
  FALSE
)
&amp; " " &amp;
IF($B1164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Joanah Leone Gonçalves</v>
      </c>
      <c r="F1164" s="7">
        <v>2</v>
      </c>
      <c r="G1164" s="7" cm="1">
        <f t="array" aca="1" ref="G1164" ca="1">INDEX(States!$B:$B,RANDBETWEEN(2,COUNTA(States!$A:$A)),1)</f>
        <v>8</v>
      </c>
      <c r="H1164" s="7" t="str">
        <f ca="1">VLOOKUP($D1164,Name!$A:$C,3,FALSE)</f>
        <v>F</v>
      </c>
      <c r="I1164" s="7" cm="1">
        <f t="array" aca="1" ref="I1164" ca="1">INDEX('Marital status'!$A:$A,RANDBETWEEN(2,COUNTA('Marital status'!$A:$A)),1)</f>
        <v>3</v>
      </c>
      <c r="J1164" s="7">
        <f t="shared" ca="1" si="219"/>
        <v>2</v>
      </c>
      <c r="K1164" s="8">
        <f t="shared" ca="1" si="220"/>
        <v>31266</v>
      </c>
      <c r="L1164" s="6">
        <f t="shared" ca="1" si="221"/>
        <v>4</v>
      </c>
      <c r="M1164" s="7">
        <f ca="1" xml:space="preserve">
  IF(OR($N1164 = 2, $N1164 = 3, $N1164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164" s="6">
        <f t="shared" ca="1" si="222"/>
        <v>7</v>
      </c>
      <c r="O1164" s="6" t="e">
        <f t="shared" ca="1" si="223"/>
        <v>#N/A</v>
      </c>
      <c r="P1164" s="8">
        <f t="shared" ca="1" si="224"/>
        <v>38198</v>
      </c>
      <c r="Q1164" s="6">
        <f ca="1">RANDBETWEEN(2,COUNTA('Recruitment source'!$A:$A))</f>
        <v>8</v>
      </c>
      <c r="R1164" s="8" t="e">
        <f t="shared" ca="1" si="225"/>
        <v>#N/A</v>
      </c>
      <c r="S1164" s="6" t="e">
        <f t="shared" ca="1" si="226"/>
        <v>#N/A</v>
      </c>
      <c r="T1164" s="6">
        <f t="shared" ca="1" si="216"/>
        <v>4</v>
      </c>
      <c r="U1164" s="1">
        <f t="shared" ca="1" si="227"/>
        <v>1085</v>
      </c>
    </row>
    <row r="1165" spans="1:21" x14ac:dyDescent="0.2">
      <c r="A1165" s="7" cm="1">
        <f t="array" aca="1" ref="A1165" ca="1">INDEX(Companies!$A:$A,RANDBETWEEN(2,COUNTA(Companies!$A:$A)),1)</f>
        <v>2</v>
      </c>
      <c r="B1165" s="5">
        <f t="shared" si="217"/>
        <v>1164</v>
      </c>
      <c r="C1165" s="6">
        <f t="shared" ca="1" si="218"/>
        <v>1</v>
      </c>
      <c r="D1165" s="7">
        <f ca="1">IF($B1165 = 1 + N("Presidente"),
    127,
    IF($B1165 = 2 + N("Vice-Presidente"),
        72,
        IF($B1165 = 3 + N("Secretária bilíngue"),
            13,
            RANDBETWEEN(5,COUNT(Name!$A:$A) + 1)
        )
    )
)</f>
        <v>126</v>
      </c>
      <c r="E1165" s="7" t="str">
        <f ca="1" xml:space="preserve">
VLOOKUP(
  $D1165,
  Name!$A:$B,
  2,
  FALSE
)
&amp; " " &amp;
IF($B1165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Enrico Serra Albuquerque</v>
      </c>
      <c r="F1165" s="7">
        <v>2</v>
      </c>
      <c r="G1165" s="7" cm="1">
        <f t="array" aca="1" ref="G1165" ca="1">INDEX(States!$B:$B,RANDBETWEEN(2,COUNTA(States!$A:$A)),1)</f>
        <v>5</v>
      </c>
      <c r="H1165" s="7" t="str">
        <f ca="1">VLOOKUP($D1165,Name!$A:$C,3,FALSE)</f>
        <v>M</v>
      </c>
      <c r="I1165" s="7" cm="1">
        <f t="array" aca="1" ref="I1165" ca="1">INDEX('Marital status'!$A:$A,RANDBETWEEN(2,COUNTA('Marital status'!$A:$A)),1)</f>
        <v>5</v>
      </c>
      <c r="J1165" s="7">
        <f t="shared" ca="1" si="219"/>
        <v>2</v>
      </c>
      <c r="K1165" s="8">
        <f t="shared" ca="1" si="220"/>
        <v>35996</v>
      </c>
      <c r="L1165" s="6">
        <f t="shared" ca="1" si="221"/>
        <v>5</v>
      </c>
      <c r="M1165" s="7">
        <f ca="1" xml:space="preserve">
  IF(OR($N1165 = 2, $N1165 = 3, $N1165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165" s="6">
        <f t="shared" ca="1" si="222"/>
        <v>8</v>
      </c>
      <c r="O1165" s="6">
        <f t="shared" ca="1" si="223"/>
        <v>2</v>
      </c>
      <c r="P1165" s="8">
        <f t="shared" ca="1" si="224"/>
        <v>42097</v>
      </c>
      <c r="Q1165" s="6">
        <f ca="1">RANDBETWEEN(2,COUNTA('Recruitment source'!$A:$A))</f>
        <v>12</v>
      </c>
      <c r="R1165" s="8" t="e">
        <f t="shared" ca="1" si="225"/>
        <v>#N/A</v>
      </c>
      <c r="S1165" s="6" t="e">
        <f t="shared" ca="1" si="226"/>
        <v>#N/A</v>
      </c>
      <c r="T1165" s="6">
        <f t="shared" ca="1" si="216"/>
        <v>3</v>
      </c>
      <c r="U1165" s="1">
        <f t="shared" ca="1" si="227"/>
        <v>2000</v>
      </c>
    </row>
    <row r="1166" spans="1:21" x14ac:dyDescent="0.2">
      <c r="A1166" s="7" cm="1">
        <f t="array" aca="1" ref="A1166" ca="1">INDEX(Companies!$A:$A,RANDBETWEEN(2,COUNTA(Companies!$A:$A)),1)</f>
        <v>2</v>
      </c>
      <c r="B1166" s="5">
        <f t="shared" si="217"/>
        <v>1165</v>
      </c>
      <c r="C1166" s="6">
        <f t="shared" ca="1" si="218"/>
        <v>1</v>
      </c>
      <c r="D1166" s="7">
        <f ca="1">IF($B1166 = 1 + N("Presidente"),
    127,
    IF($B1166 = 2 + N("Vice-Presidente"),
        72,
        IF($B1166 = 3 + N("Secretária bilíngue"),
            13,
            RANDBETWEEN(5,COUNT(Name!$A:$A) + 1)
        )
    )
)</f>
        <v>48</v>
      </c>
      <c r="E1166" s="7" t="str">
        <f ca="1" xml:space="preserve">
VLOOKUP(
  $D1166,
  Name!$A:$B,
  2,
  FALSE
)
&amp; " " &amp;
IF($B1166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Anthony Vaz Alvaregna</v>
      </c>
      <c r="F1166" s="7">
        <v>2</v>
      </c>
      <c r="G1166" s="7" cm="1">
        <f t="array" aca="1" ref="G1166" ca="1">INDEX(States!$B:$B,RANDBETWEEN(2,COUNTA(States!$A:$A)),1)</f>
        <v>8</v>
      </c>
      <c r="H1166" s="7" t="str">
        <f ca="1">VLOOKUP($D1166,Name!$A:$C,3,FALSE)</f>
        <v>M</v>
      </c>
      <c r="I1166" s="7" cm="1">
        <f t="array" aca="1" ref="I1166" ca="1">INDEX('Marital status'!$A:$A,RANDBETWEEN(2,COUNTA('Marital status'!$A:$A)),1)</f>
        <v>2</v>
      </c>
      <c r="J1166" s="7">
        <f t="shared" ca="1" si="219"/>
        <v>4</v>
      </c>
      <c r="K1166" s="8">
        <f t="shared" ca="1" si="220"/>
        <v>22154</v>
      </c>
      <c r="L1166" s="6">
        <f t="shared" ca="1" si="221"/>
        <v>4</v>
      </c>
      <c r="M1166" s="7">
        <f ca="1" xml:space="preserve">
  IF(OR($N1166 = 2, $N1166 = 3, $N1166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166" s="6">
        <f t="shared" ca="1" si="222"/>
        <v>6</v>
      </c>
      <c r="O1166" s="6" t="e">
        <f t="shared" ca="1" si="223"/>
        <v>#N/A</v>
      </c>
      <c r="P1166" s="8">
        <f t="shared" ca="1" si="224"/>
        <v>43454</v>
      </c>
      <c r="Q1166" s="6">
        <f ca="1">RANDBETWEEN(2,COUNTA('Recruitment source'!$A:$A))</f>
        <v>11</v>
      </c>
      <c r="R1166" s="8" t="e">
        <f t="shared" ca="1" si="225"/>
        <v>#N/A</v>
      </c>
      <c r="S1166" s="6" t="e">
        <f t="shared" ca="1" si="226"/>
        <v>#N/A</v>
      </c>
      <c r="T1166" s="6">
        <f t="shared" ca="1" si="216"/>
        <v>5</v>
      </c>
      <c r="U1166" s="1">
        <f t="shared" ca="1" si="227"/>
        <v>805</v>
      </c>
    </row>
    <row r="1167" spans="1:21" x14ac:dyDescent="0.2">
      <c r="A1167" s="7" cm="1">
        <f t="array" aca="1" ref="A1167" ca="1">INDEX(Companies!$A:$A,RANDBETWEEN(2,COUNTA(Companies!$A:$A)),1)</f>
        <v>2</v>
      </c>
      <c r="B1167" s="5">
        <f t="shared" si="217"/>
        <v>1166</v>
      </c>
      <c r="C1167" s="6">
        <f t="shared" ca="1" si="218"/>
        <v>1</v>
      </c>
      <c r="D1167" s="7">
        <f ca="1">IF($B1167 = 1 + N("Presidente"),
    127,
    IF($B1167 = 2 + N("Vice-Presidente"),
        72,
        IF($B1167 = 3 + N("Secretária bilíngue"),
            13,
            RANDBETWEEN(5,COUNT(Name!$A:$A) + 1)
        )
    )
)</f>
        <v>8</v>
      </c>
      <c r="E1167" s="7" t="str">
        <f ca="1" xml:space="preserve">
VLOOKUP(
  $D1167,
  Name!$A:$B,
  2,
  FALSE
)
&amp; " " &amp;
IF($B1167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Adélia de Oliveira Bicalho</v>
      </c>
      <c r="F1167" s="7">
        <v>2</v>
      </c>
      <c r="G1167" s="7" cm="1">
        <f t="array" aca="1" ref="G1167" ca="1">INDEX(States!$B:$B,RANDBETWEEN(2,COUNTA(States!$A:$A)),1)</f>
        <v>13</v>
      </c>
      <c r="H1167" s="7" t="str">
        <f ca="1">VLOOKUP($D1167,Name!$A:$C,3,FALSE)</f>
        <v>F</v>
      </c>
      <c r="I1167" s="7" cm="1">
        <f t="array" aca="1" ref="I1167" ca="1">INDEX('Marital status'!$A:$A,RANDBETWEEN(2,COUNTA('Marital status'!$A:$A)),1)</f>
        <v>4</v>
      </c>
      <c r="J1167" s="7">
        <f t="shared" ca="1" si="219"/>
        <v>2</v>
      </c>
      <c r="K1167" s="8">
        <f t="shared" ca="1" si="220"/>
        <v>34484</v>
      </c>
      <c r="L1167" s="6">
        <f t="shared" ca="1" si="221"/>
        <v>5</v>
      </c>
      <c r="M1167" s="7">
        <f ca="1" xml:space="preserve">
  IF(OR($N1167 = 2, $N1167 = 3, $N1167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167" s="6">
        <f t="shared" ca="1" si="222"/>
        <v>8</v>
      </c>
      <c r="O1167" s="6">
        <f t="shared" ca="1" si="223"/>
        <v>3</v>
      </c>
      <c r="P1167" s="8">
        <f t="shared" ca="1" si="224"/>
        <v>44811</v>
      </c>
      <c r="Q1167" s="6">
        <f ca="1">RANDBETWEEN(2,COUNTA('Recruitment source'!$A:$A))</f>
        <v>4</v>
      </c>
      <c r="R1167" s="8" t="e">
        <f t="shared" ca="1" si="225"/>
        <v>#N/A</v>
      </c>
      <c r="S1167" s="6" t="e">
        <f t="shared" ca="1" si="226"/>
        <v>#N/A</v>
      </c>
      <c r="T1167" s="6">
        <f t="shared" ca="1" si="216"/>
        <v>4</v>
      </c>
      <c r="U1167" s="1">
        <f t="shared" ca="1" si="227"/>
        <v>2000</v>
      </c>
    </row>
    <row r="1168" spans="1:21" x14ac:dyDescent="0.2">
      <c r="A1168" s="7" cm="1">
        <f t="array" aca="1" ref="A1168" ca="1">INDEX(Companies!$A:$A,RANDBETWEEN(2,COUNTA(Companies!$A:$A)),1)</f>
        <v>2</v>
      </c>
      <c r="B1168" s="5">
        <f t="shared" si="217"/>
        <v>1167</v>
      </c>
      <c r="C1168" s="6">
        <f t="shared" ca="1" si="218"/>
        <v>1</v>
      </c>
      <c r="D1168" s="7">
        <f ca="1">IF($B1168 = 1 + N("Presidente"),
    127,
    IF($B1168 = 2 + N("Vice-Presidente"),
        72,
        IF($B1168 = 3 + N("Secretária bilíngue"),
            13,
            RANDBETWEEN(5,COUNT(Name!$A:$A) + 1)
        )
    )
)</f>
        <v>324</v>
      </c>
      <c r="E1168" s="7" t="str">
        <f ca="1" xml:space="preserve">
VLOOKUP(
  $D1168,
  Name!$A:$B,
  2,
  FALSE
)
&amp; " " &amp;
IF($B1168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Rafael Pasquim Cardoso</v>
      </c>
      <c r="F1168" s="7">
        <v>2</v>
      </c>
      <c r="G1168" s="7" cm="1">
        <f t="array" aca="1" ref="G1168" ca="1">INDEX(States!$B:$B,RANDBETWEEN(2,COUNTA(States!$A:$A)),1)</f>
        <v>9</v>
      </c>
      <c r="H1168" s="7" t="str">
        <f ca="1">VLOOKUP($D1168,Name!$A:$C,3,FALSE)</f>
        <v>M</v>
      </c>
      <c r="I1168" s="7" cm="1">
        <f t="array" aca="1" ref="I1168" ca="1">INDEX('Marital status'!$A:$A,RANDBETWEEN(2,COUNTA('Marital status'!$A:$A)),1)</f>
        <v>3</v>
      </c>
      <c r="J1168" s="7">
        <f t="shared" ca="1" si="219"/>
        <v>2</v>
      </c>
      <c r="K1168" s="8">
        <f t="shared" ca="1" si="220"/>
        <v>31560</v>
      </c>
      <c r="L1168" s="6">
        <f t="shared" ca="1" si="221"/>
        <v>4</v>
      </c>
      <c r="M1168" s="7">
        <f ca="1" xml:space="preserve">
  IF(OR($N1168 = 2, $N1168 = 3, $N1168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168" s="6">
        <f t="shared" ca="1" si="222"/>
        <v>7</v>
      </c>
      <c r="O1168" s="6" t="e">
        <f t="shared" ca="1" si="223"/>
        <v>#N/A</v>
      </c>
      <c r="P1168" s="8">
        <f t="shared" ca="1" si="224"/>
        <v>36924</v>
      </c>
      <c r="Q1168" s="6">
        <f ca="1">RANDBETWEEN(2,COUNTA('Recruitment source'!$A:$A))</f>
        <v>4</v>
      </c>
      <c r="R1168" s="8" t="e">
        <f t="shared" ca="1" si="225"/>
        <v>#N/A</v>
      </c>
      <c r="S1168" s="6" t="e">
        <f t="shared" ca="1" si="226"/>
        <v>#N/A</v>
      </c>
      <c r="T1168" s="6">
        <f t="shared" ca="1" si="216"/>
        <v>3</v>
      </c>
      <c r="U1168" s="1">
        <f t="shared" ca="1" si="227"/>
        <v>1005</v>
      </c>
    </row>
    <row r="1169" spans="1:21" x14ac:dyDescent="0.2">
      <c r="A1169" s="7" cm="1">
        <f t="array" aca="1" ref="A1169" ca="1">INDEX(Companies!$A:$A,RANDBETWEEN(2,COUNTA(Companies!$A:$A)),1)</f>
        <v>2</v>
      </c>
      <c r="B1169" s="5">
        <f t="shared" si="217"/>
        <v>1168</v>
      </c>
      <c r="C1169" s="6">
        <f t="shared" ca="1" si="218"/>
        <v>1</v>
      </c>
      <c r="D1169" s="7">
        <f ca="1">IF($B1169 = 1 + N("Presidente"),
    127,
    IF($B1169 = 2 + N("Vice-Presidente"),
        72,
        IF($B1169 = 3 + N("Secretária bilíngue"),
            13,
            RANDBETWEEN(5,COUNT(Name!$A:$A) + 1)
        )
    )
)</f>
        <v>243</v>
      </c>
      <c r="E1169" s="7" t="str">
        <f ca="1" xml:space="preserve">
VLOOKUP(
  $D1169,
  Name!$A:$B,
  2,
  FALSE
)
&amp; " " &amp;
IF($B1169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Felipe Moraes Ildelfonso</v>
      </c>
      <c r="F1169" s="7">
        <v>2</v>
      </c>
      <c r="G1169" s="7" cm="1">
        <f t="array" aca="1" ref="G1169" ca="1">INDEX(States!$B:$B,RANDBETWEEN(2,COUNTA(States!$A:$A)),1)</f>
        <v>15</v>
      </c>
      <c r="H1169" s="7" t="str">
        <f ca="1">VLOOKUP($D1169,Name!$A:$C,3,FALSE)</f>
        <v>M</v>
      </c>
      <c r="I1169" s="7" cm="1">
        <f t="array" aca="1" ref="I1169" ca="1">INDEX('Marital status'!$A:$A,RANDBETWEEN(2,COUNTA('Marital status'!$A:$A)),1)</f>
        <v>5</v>
      </c>
      <c r="J1169" s="7">
        <f t="shared" ca="1" si="219"/>
        <v>3</v>
      </c>
      <c r="K1169" s="8">
        <f t="shared" ca="1" si="220"/>
        <v>32696</v>
      </c>
      <c r="L1169" s="6">
        <f t="shared" ca="1" si="221"/>
        <v>5</v>
      </c>
      <c r="M1169" s="7">
        <f ca="1" xml:space="preserve">
  IF(OR($N1169 = 2, $N1169 = 3, $N1169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169" s="6">
        <f t="shared" ca="1" si="222"/>
        <v>8</v>
      </c>
      <c r="O1169" s="6">
        <f t="shared" ca="1" si="223"/>
        <v>3</v>
      </c>
      <c r="P1169" s="8">
        <f t="shared" ca="1" si="224"/>
        <v>38626</v>
      </c>
      <c r="Q1169" s="6">
        <f ca="1">RANDBETWEEN(2,COUNTA('Recruitment source'!$A:$A))</f>
        <v>10</v>
      </c>
      <c r="R1169" s="8" t="e">
        <f t="shared" ca="1" si="225"/>
        <v>#N/A</v>
      </c>
      <c r="S1169" s="6" t="e">
        <f t="shared" ca="1" si="226"/>
        <v>#N/A</v>
      </c>
      <c r="T1169" s="6">
        <f t="shared" ca="1" si="216"/>
        <v>4</v>
      </c>
      <c r="U1169" s="1">
        <f t="shared" ca="1" si="227"/>
        <v>2000</v>
      </c>
    </row>
    <row r="1170" spans="1:21" x14ac:dyDescent="0.2">
      <c r="A1170" s="7" cm="1">
        <f t="array" aca="1" ref="A1170" ca="1">INDEX(Companies!$A:$A,RANDBETWEEN(2,COUNTA(Companies!$A:$A)),1)</f>
        <v>2</v>
      </c>
      <c r="B1170" s="5">
        <f t="shared" si="217"/>
        <v>1169</v>
      </c>
      <c r="C1170" s="6">
        <f t="shared" ca="1" si="218"/>
        <v>1</v>
      </c>
      <c r="D1170" s="7">
        <f ca="1">IF($B1170 = 1 + N("Presidente"),
    127,
    IF($B1170 = 2 + N("Vice-Presidente"),
        72,
        IF($B1170 = 3 + N("Secretária bilíngue"),
            13,
            RANDBETWEEN(5,COUNT(Name!$A:$A) + 1)
        )
    )
)</f>
        <v>57</v>
      </c>
      <c r="E1170" s="7" t="str">
        <f ca="1" xml:space="preserve">
VLOOKUP(
  $D1170,
  Name!$A:$B,
  2,
  FALSE
)
&amp; " " &amp;
IF($B1170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Henrique Longo Araújo</v>
      </c>
      <c r="F1170" s="7">
        <v>2</v>
      </c>
      <c r="G1170" s="7" cm="1">
        <f t="array" aca="1" ref="G1170" ca="1">INDEX(States!$B:$B,RANDBETWEEN(2,COUNTA(States!$A:$A)),1)</f>
        <v>16</v>
      </c>
      <c r="H1170" s="7" t="str">
        <f ca="1">VLOOKUP($D1170,Name!$A:$C,3,FALSE)</f>
        <v>M</v>
      </c>
      <c r="I1170" s="7" cm="1">
        <f t="array" aca="1" ref="I1170" ca="1">INDEX('Marital status'!$A:$A,RANDBETWEEN(2,COUNTA('Marital status'!$A:$A)),1)</f>
        <v>4</v>
      </c>
      <c r="J1170" s="7">
        <f t="shared" ca="1" si="219"/>
        <v>2</v>
      </c>
      <c r="K1170" s="8">
        <f t="shared" ca="1" si="220"/>
        <v>32546</v>
      </c>
      <c r="L1170" s="6">
        <f t="shared" ca="1" si="221"/>
        <v>4</v>
      </c>
      <c r="M1170" s="7">
        <f ca="1" xml:space="preserve">
  IF(OR($N1170 = 2, $N1170 = 3, $N1170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170" s="6">
        <f t="shared" ca="1" si="222"/>
        <v>7</v>
      </c>
      <c r="O1170" s="6" t="e">
        <f t="shared" ca="1" si="223"/>
        <v>#N/A</v>
      </c>
      <c r="P1170" s="8">
        <f t="shared" ca="1" si="224"/>
        <v>40388</v>
      </c>
      <c r="Q1170" s="6">
        <f ca="1">RANDBETWEEN(2,COUNTA('Recruitment source'!$A:$A))</f>
        <v>4</v>
      </c>
      <c r="R1170" s="8" t="e">
        <f t="shared" ca="1" si="225"/>
        <v>#N/A</v>
      </c>
      <c r="S1170" s="6" t="e">
        <f t="shared" ca="1" si="226"/>
        <v>#N/A</v>
      </c>
      <c r="T1170" s="6">
        <f t="shared" ca="1" si="216"/>
        <v>4</v>
      </c>
      <c r="U1170" s="1">
        <f t="shared" ca="1" si="227"/>
        <v>1005</v>
      </c>
    </row>
    <row r="1171" spans="1:21" x14ac:dyDescent="0.2">
      <c r="A1171" s="7" cm="1">
        <f t="array" aca="1" ref="A1171" ca="1">INDEX(Companies!$A:$A,RANDBETWEEN(2,COUNTA(Companies!$A:$A)),1)</f>
        <v>2</v>
      </c>
      <c r="B1171" s="5">
        <f t="shared" si="217"/>
        <v>1170</v>
      </c>
      <c r="C1171" s="6">
        <f t="shared" ca="1" si="218"/>
        <v>1</v>
      </c>
      <c r="D1171" s="7">
        <f ca="1">IF($B1171 = 1 + N("Presidente"),
    127,
    IF($B1171 = 2 + N("Vice-Presidente"),
        72,
        IF($B1171 = 3 + N("Secretária bilíngue"),
            13,
            RANDBETWEEN(5,COUNT(Name!$A:$A) + 1)
        )
    )
)</f>
        <v>361</v>
      </c>
      <c r="E1171" s="7" t="str">
        <f ca="1" xml:space="preserve">
VLOOKUP(
  $D1171,
  Name!$A:$B,
  2,
  FALSE
)
&amp; " " &amp;
IF($B1171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Wagner Café Pedroso</v>
      </c>
      <c r="F1171" s="7">
        <v>2</v>
      </c>
      <c r="G1171" s="7" cm="1">
        <f t="array" aca="1" ref="G1171" ca="1">INDEX(States!$B:$B,RANDBETWEEN(2,COUNTA(States!$A:$A)),1)</f>
        <v>10</v>
      </c>
      <c r="H1171" s="7" t="str">
        <f ca="1">VLOOKUP($D1171,Name!$A:$C,3,FALSE)</f>
        <v>M</v>
      </c>
      <c r="I1171" s="7" cm="1">
        <f t="array" aca="1" ref="I1171" ca="1">INDEX('Marital status'!$A:$A,RANDBETWEEN(2,COUNTA('Marital status'!$A:$A)),1)</f>
        <v>5</v>
      </c>
      <c r="J1171" s="7">
        <f t="shared" ca="1" si="219"/>
        <v>2</v>
      </c>
      <c r="K1171" s="8">
        <f t="shared" ca="1" si="220"/>
        <v>32870</v>
      </c>
      <c r="L1171" s="6">
        <f t="shared" ca="1" si="221"/>
        <v>4</v>
      </c>
      <c r="M1171" s="7">
        <f ca="1" xml:space="preserve">
  IF(OR($N1171 = 2, $N1171 = 3, $N1171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171" s="6">
        <f t="shared" ca="1" si="222"/>
        <v>8</v>
      </c>
      <c r="O1171" s="6">
        <f t="shared" ca="1" si="223"/>
        <v>3</v>
      </c>
      <c r="P1171" s="8">
        <f t="shared" ca="1" si="224"/>
        <v>44629</v>
      </c>
      <c r="Q1171" s="6">
        <f ca="1">RANDBETWEEN(2,COUNTA('Recruitment source'!$A:$A))</f>
        <v>11</v>
      </c>
      <c r="R1171" s="8" t="e">
        <f t="shared" ca="1" si="225"/>
        <v>#N/A</v>
      </c>
      <c r="S1171" s="6" t="e">
        <f t="shared" ca="1" si="226"/>
        <v>#N/A</v>
      </c>
      <c r="T1171" s="6">
        <f t="shared" ca="1" si="216"/>
        <v>5</v>
      </c>
      <c r="U1171" s="1">
        <f t="shared" ca="1" si="227"/>
        <v>2100</v>
      </c>
    </row>
    <row r="1172" spans="1:21" x14ac:dyDescent="0.2">
      <c r="A1172" s="7" cm="1">
        <f t="array" aca="1" ref="A1172" ca="1">INDEX(Companies!$A:$A,RANDBETWEEN(2,COUNTA(Companies!$A:$A)),1)</f>
        <v>2</v>
      </c>
      <c r="B1172" s="5">
        <f t="shared" si="217"/>
        <v>1171</v>
      </c>
      <c r="C1172" s="6">
        <f t="shared" ca="1" si="218"/>
        <v>1</v>
      </c>
      <c r="D1172" s="7">
        <f ca="1">IF($B1172 = 1 + N("Presidente"),
    127,
    IF($B1172 = 2 + N("Vice-Presidente"),
        72,
        IF($B1172 = 3 + N("Secretária bilíngue"),
            13,
            RANDBETWEEN(5,COUNT(Name!$A:$A) + 1)
        )
    )
)</f>
        <v>77</v>
      </c>
      <c r="E1172" s="7" t="str">
        <f ca="1" xml:space="preserve">
VLOOKUP(
  $D1172,
  Name!$A:$B,
  2,
  FALSE
)
&amp; " " &amp;
IF($B1172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Bruno Saragoça Siqueira</v>
      </c>
      <c r="F1172" s="7">
        <v>2</v>
      </c>
      <c r="G1172" s="7" cm="1">
        <f t="array" aca="1" ref="G1172" ca="1">INDEX(States!$B:$B,RANDBETWEEN(2,COUNTA(States!$A:$A)),1)</f>
        <v>16</v>
      </c>
      <c r="H1172" s="7" t="str">
        <f ca="1">VLOOKUP($D1172,Name!$A:$C,3,FALSE)</f>
        <v>M</v>
      </c>
      <c r="I1172" s="7" cm="1">
        <f t="array" aca="1" ref="I1172" ca="1">INDEX('Marital status'!$A:$A,RANDBETWEEN(2,COUNTA('Marital status'!$A:$A)),1)</f>
        <v>2</v>
      </c>
      <c r="J1172" s="7">
        <f t="shared" ca="1" si="219"/>
        <v>2</v>
      </c>
      <c r="K1172" s="8">
        <f t="shared" ca="1" si="220"/>
        <v>24449</v>
      </c>
      <c r="L1172" s="6">
        <f t="shared" ca="1" si="221"/>
        <v>4</v>
      </c>
      <c r="M1172" s="7">
        <f ca="1" xml:space="preserve">
  IF(OR($N1172 = 2, $N1172 = 3, $N1172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172" s="6">
        <f t="shared" ca="1" si="222"/>
        <v>6</v>
      </c>
      <c r="O1172" s="6" t="e">
        <f t="shared" ca="1" si="223"/>
        <v>#N/A</v>
      </c>
      <c r="P1172" s="8">
        <f t="shared" ca="1" si="224"/>
        <v>41004</v>
      </c>
      <c r="Q1172" s="6">
        <f ca="1">RANDBETWEEN(2,COUNTA('Recruitment source'!$A:$A))</f>
        <v>12</v>
      </c>
      <c r="R1172" s="8" t="e">
        <f t="shared" ca="1" si="225"/>
        <v>#N/A</v>
      </c>
      <c r="S1172" s="6" t="e">
        <f t="shared" ca="1" si="226"/>
        <v>#N/A</v>
      </c>
      <c r="T1172" s="6">
        <f t="shared" ca="1" si="216"/>
        <v>2</v>
      </c>
      <c r="U1172" s="1">
        <f t="shared" ca="1" si="227"/>
        <v>805</v>
      </c>
    </row>
    <row r="1173" spans="1:21" x14ac:dyDescent="0.2">
      <c r="A1173" s="7" cm="1">
        <f t="array" aca="1" ref="A1173" ca="1">INDEX(Companies!$A:$A,RANDBETWEEN(2,COUNTA(Companies!$A:$A)),1)</f>
        <v>2</v>
      </c>
      <c r="B1173" s="5">
        <f t="shared" si="217"/>
        <v>1172</v>
      </c>
      <c r="C1173" s="6">
        <f t="shared" ca="1" si="218"/>
        <v>1</v>
      </c>
      <c r="D1173" s="7">
        <f ca="1">IF($B1173 = 1 + N("Presidente"),
    127,
    IF($B1173 = 2 + N("Vice-Presidente"),
        72,
        IF($B1173 = 3 + N("Secretária bilíngue"),
            13,
            RANDBETWEEN(5,COUNT(Name!$A:$A) + 1)
        )
    )
)</f>
        <v>77</v>
      </c>
      <c r="E1173" s="7" t="str">
        <f ca="1" xml:space="preserve">
VLOOKUP(
  $D1173,
  Name!$A:$B,
  2,
  FALSE
)
&amp; " " &amp;
IF($B1173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Bruno Bispo Battaglia</v>
      </c>
      <c r="F1173" s="7">
        <v>2</v>
      </c>
      <c r="G1173" s="7" cm="1">
        <f t="array" aca="1" ref="G1173" ca="1">INDEX(States!$B:$B,RANDBETWEEN(2,COUNTA(States!$A:$A)),1)</f>
        <v>21</v>
      </c>
      <c r="H1173" s="7" t="str">
        <f ca="1">VLOOKUP($D1173,Name!$A:$C,3,FALSE)</f>
        <v>M</v>
      </c>
      <c r="I1173" s="7" cm="1">
        <f t="array" aca="1" ref="I1173" ca="1">INDEX('Marital status'!$A:$A,RANDBETWEEN(2,COUNTA('Marital status'!$A:$A)),1)</f>
        <v>6</v>
      </c>
      <c r="J1173" s="7">
        <f t="shared" ca="1" si="219"/>
        <v>2</v>
      </c>
      <c r="K1173" s="8">
        <f t="shared" ca="1" si="220"/>
        <v>33216</v>
      </c>
      <c r="L1173" s="6">
        <f t="shared" ca="1" si="221"/>
        <v>4</v>
      </c>
      <c r="M1173" s="7">
        <f ca="1" xml:space="preserve">
  IF(OR($N1173 = 2, $N1173 = 3, $N1173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173" s="6">
        <f t="shared" ca="1" si="222"/>
        <v>8</v>
      </c>
      <c r="O1173" s="6">
        <f t="shared" ca="1" si="223"/>
        <v>2</v>
      </c>
      <c r="P1173" s="8">
        <f t="shared" ca="1" si="224"/>
        <v>44399</v>
      </c>
      <c r="Q1173" s="6">
        <f ca="1">RANDBETWEEN(2,COUNTA('Recruitment source'!$A:$A))</f>
        <v>9</v>
      </c>
      <c r="R1173" s="8" t="e">
        <f t="shared" ca="1" si="225"/>
        <v>#N/A</v>
      </c>
      <c r="S1173" s="6" t="e">
        <f t="shared" ca="1" si="226"/>
        <v>#N/A</v>
      </c>
      <c r="T1173" s="6">
        <f t="shared" ca="1" si="216"/>
        <v>4</v>
      </c>
      <c r="U1173" s="1">
        <f t="shared" ca="1" si="227"/>
        <v>2000</v>
      </c>
    </row>
    <row r="1174" spans="1:21" x14ac:dyDescent="0.2">
      <c r="A1174" s="7" cm="1">
        <f t="array" aca="1" ref="A1174" ca="1">INDEX(Companies!$A:$A,RANDBETWEEN(2,COUNTA(Companies!$A:$A)),1)</f>
        <v>2</v>
      </c>
      <c r="B1174" s="5">
        <f t="shared" si="217"/>
        <v>1173</v>
      </c>
      <c r="C1174" s="6">
        <f t="shared" ca="1" si="218"/>
        <v>1</v>
      </c>
      <c r="D1174" s="7">
        <f ca="1">IF($B1174 = 1 + N("Presidente"),
    127,
    IF($B1174 = 2 + N("Vice-Presidente"),
        72,
        IF($B1174 = 3 + N("Secretária bilíngue"),
            13,
            RANDBETWEEN(5,COUNT(Name!$A:$A) + 1)
        )
    )
)</f>
        <v>309</v>
      </c>
      <c r="E1174" s="7" t="str">
        <f ca="1" xml:space="preserve">
VLOOKUP(
  $D1174,
  Name!$A:$B,
  2,
  FALSE
)
&amp; " " &amp;
IF($B1174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Octávio Leitão Alvarenga</v>
      </c>
      <c r="F1174" s="7">
        <v>2</v>
      </c>
      <c r="G1174" s="7" cm="1">
        <f t="array" aca="1" ref="G1174" ca="1">INDEX(States!$B:$B,RANDBETWEEN(2,COUNTA(States!$A:$A)),1)</f>
        <v>8</v>
      </c>
      <c r="H1174" s="7" t="str">
        <f ca="1">VLOOKUP($D1174,Name!$A:$C,3,FALSE)</f>
        <v>M</v>
      </c>
      <c r="I1174" s="7" cm="1">
        <f t="array" aca="1" ref="I1174" ca="1">INDEX('Marital status'!$A:$A,RANDBETWEEN(2,COUNTA('Marital status'!$A:$A)),1)</f>
        <v>4</v>
      </c>
      <c r="J1174" s="7">
        <f t="shared" ca="1" si="219"/>
        <v>2</v>
      </c>
      <c r="K1174" s="8">
        <f t="shared" ca="1" si="220"/>
        <v>23530</v>
      </c>
      <c r="L1174" s="6">
        <f t="shared" ca="1" si="221"/>
        <v>4</v>
      </c>
      <c r="M1174" s="7">
        <f ca="1" xml:space="preserve">
  IF(OR($N1174 = 2, $N1174 = 3, $N1174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174" s="6">
        <f t="shared" ca="1" si="222"/>
        <v>6</v>
      </c>
      <c r="O1174" s="6" t="e">
        <f t="shared" ca="1" si="223"/>
        <v>#N/A</v>
      </c>
      <c r="P1174" s="8">
        <f t="shared" ca="1" si="224"/>
        <v>37754</v>
      </c>
      <c r="Q1174" s="6">
        <f ca="1">RANDBETWEEN(2,COUNTA('Recruitment source'!$A:$A))</f>
        <v>10</v>
      </c>
      <c r="R1174" s="8" t="e">
        <f t="shared" ca="1" si="225"/>
        <v>#N/A</v>
      </c>
      <c r="S1174" s="6" t="e">
        <f t="shared" ca="1" si="226"/>
        <v>#N/A</v>
      </c>
      <c r="T1174" s="6">
        <f t="shared" ca="1" si="216"/>
        <v>3</v>
      </c>
      <c r="U1174" s="1">
        <f t="shared" ca="1" si="227"/>
        <v>805</v>
      </c>
    </row>
    <row r="1175" spans="1:21" x14ac:dyDescent="0.2">
      <c r="A1175" s="7" cm="1">
        <f t="array" aca="1" ref="A1175" ca="1">INDEX(Companies!$A:$A,RANDBETWEEN(2,COUNTA(Companies!$A:$A)),1)</f>
        <v>2</v>
      </c>
      <c r="B1175" s="5">
        <f t="shared" si="217"/>
        <v>1174</v>
      </c>
      <c r="C1175" s="6">
        <f t="shared" ca="1" si="218"/>
        <v>1</v>
      </c>
      <c r="D1175" s="7">
        <f ca="1">IF($B1175 = 1 + N("Presidente"),
    127,
    IF($B1175 = 2 + N("Vice-Presidente"),
        72,
        IF($B1175 = 3 + N("Secretária bilíngue"),
            13,
            RANDBETWEEN(5,COUNT(Name!$A:$A) + 1)
        )
    )
)</f>
        <v>189</v>
      </c>
      <c r="E1175" s="7" t="str">
        <f ca="1" xml:space="preserve">
VLOOKUP(
  $D1175,
  Name!$A:$B,
  2,
  FALSE
)
&amp; " " &amp;
IF($B1175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Luccas Nunes Serra</v>
      </c>
      <c r="F1175" s="7">
        <v>2</v>
      </c>
      <c r="G1175" s="7" cm="1">
        <f t="array" aca="1" ref="G1175" ca="1">INDEX(States!$B:$B,RANDBETWEEN(2,COUNTA(States!$A:$A)),1)</f>
        <v>4</v>
      </c>
      <c r="H1175" s="7" t="str">
        <f ca="1">VLOOKUP($D1175,Name!$A:$C,3,FALSE)</f>
        <v>M</v>
      </c>
      <c r="I1175" s="7" cm="1">
        <f t="array" aca="1" ref="I1175" ca="1">INDEX('Marital status'!$A:$A,RANDBETWEEN(2,COUNTA('Marital status'!$A:$A)),1)</f>
        <v>3</v>
      </c>
      <c r="J1175" s="7">
        <f t="shared" ca="1" si="219"/>
        <v>2</v>
      </c>
      <c r="K1175" s="8">
        <f t="shared" ca="1" si="220"/>
        <v>35859</v>
      </c>
      <c r="L1175" s="6">
        <f t="shared" ca="1" si="221"/>
        <v>4</v>
      </c>
      <c r="M1175" s="7">
        <f ca="1" xml:space="preserve">
  IF(OR($N1175 = 2, $N1175 = 3, $N1175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175" s="6">
        <f t="shared" ca="1" si="222"/>
        <v>8</v>
      </c>
      <c r="O1175" s="6">
        <f t="shared" ca="1" si="223"/>
        <v>4</v>
      </c>
      <c r="P1175" s="8">
        <f t="shared" ca="1" si="224"/>
        <v>37849</v>
      </c>
      <c r="Q1175" s="6">
        <f ca="1">RANDBETWEEN(2,COUNTA('Recruitment source'!$A:$A))</f>
        <v>3</v>
      </c>
      <c r="R1175" s="8" t="e">
        <f t="shared" ca="1" si="225"/>
        <v>#N/A</v>
      </c>
      <c r="S1175" s="6" t="e">
        <f t="shared" ca="1" si="226"/>
        <v>#N/A</v>
      </c>
      <c r="T1175" s="6">
        <f t="shared" ca="1" si="216"/>
        <v>2</v>
      </c>
      <c r="U1175" s="1">
        <f t="shared" ca="1" si="227"/>
        <v>2000</v>
      </c>
    </row>
    <row r="1176" spans="1:21" x14ac:dyDescent="0.2">
      <c r="A1176" s="7" cm="1">
        <f t="array" aca="1" ref="A1176" ca="1">INDEX(Companies!$A:$A,RANDBETWEEN(2,COUNTA(Companies!$A:$A)),1)</f>
        <v>2</v>
      </c>
      <c r="B1176" s="5">
        <f t="shared" si="217"/>
        <v>1175</v>
      </c>
      <c r="C1176" s="6">
        <f t="shared" ca="1" si="218"/>
        <v>1</v>
      </c>
      <c r="D1176" s="7">
        <f ca="1">IF($B1176 = 1 + N("Presidente"),
    127,
    IF($B1176 = 2 + N("Vice-Presidente"),
        72,
        IF($B1176 = 3 + N("Secretária bilíngue"),
            13,
            RANDBETWEEN(5,COUNT(Name!$A:$A) + 1)
        )
    )
)</f>
        <v>334</v>
      </c>
      <c r="E1176" s="7" t="str">
        <f ca="1" xml:space="preserve">
VLOOKUP(
  $D1176,
  Name!$A:$B,
  2,
  FALSE
)
&amp; " " &amp;
IF($B1176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Ryan Botelho Nascimento</v>
      </c>
      <c r="F1176" s="7">
        <v>2</v>
      </c>
      <c r="G1176" s="7" cm="1">
        <f t="array" aca="1" ref="G1176" ca="1">INDEX(States!$B:$B,RANDBETWEEN(2,COUNTA(States!$A:$A)),1)</f>
        <v>17</v>
      </c>
      <c r="H1176" s="7" t="str">
        <f ca="1">VLOOKUP($D1176,Name!$A:$C,3,FALSE)</f>
        <v>M</v>
      </c>
      <c r="I1176" s="7" cm="1">
        <f t="array" aca="1" ref="I1176" ca="1">INDEX('Marital status'!$A:$A,RANDBETWEEN(2,COUNTA('Marital status'!$A:$A)),1)</f>
        <v>3</v>
      </c>
      <c r="J1176" s="7">
        <f t="shared" ca="1" si="219"/>
        <v>3</v>
      </c>
      <c r="K1176" s="8">
        <f t="shared" ca="1" si="220"/>
        <v>18545</v>
      </c>
      <c r="L1176" s="6">
        <f t="shared" ca="1" si="221"/>
        <v>4</v>
      </c>
      <c r="M1176" s="7">
        <f ca="1" xml:space="preserve">
  IF(OR($N1176 = 2, $N1176 = 3, $N1176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176" s="6">
        <f t="shared" ca="1" si="222"/>
        <v>6</v>
      </c>
      <c r="O1176" s="6" t="e">
        <f t="shared" ca="1" si="223"/>
        <v>#N/A</v>
      </c>
      <c r="P1176" s="8">
        <f t="shared" ca="1" si="224"/>
        <v>43227</v>
      </c>
      <c r="Q1176" s="6">
        <f ca="1">RANDBETWEEN(2,COUNTA('Recruitment source'!$A:$A))</f>
        <v>8</v>
      </c>
      <c r="R1176" s="8" t="e">
        <f t="shared" ca="1" si="225"/>
        <v>#N/A</v>
      </c>
      <c r="S1176" s="6" t="e">
        <f t="shared" ca="1" si="226"/>
        <v>#N/A</v>
      </c>
      <c r="T1176" s="6">
        <f t="shared" ca="1" si="216"/>
        <v>2</v>
      </c>
      <c r="U1176" s="1">
        <f t="shared" ca="1" si="227"/>
        <v>885</v>
      </c>
    </row>
    <row r="1177" spans="1:21" x14ac:dyDescent="0.2">
      <c r="A1177" s="7" cm="1">
        <f t="array" aca="1" ref="A1177" ca="1">INDEX(Companies!$A:$A,RANDBETWEEN(2,COUNTA(Companies!$A:$A)),1)</f>
        <v>2</v>
      </c>
      <c r="B1177" s="5">
        <f t="shared" si="217"/>
        <v>1176</v>
      </c>
      <c r="C1177" s="6">
        <f t="shared" ca="1" si="218"/>
        <v>1</v>
      </c>
      <c r="D1177" s="7">
        <f ca="1">IF($B1177 = 1 + N("Presidente"),
    127,
    IF($B1177 = 2 + N("Vice-Presidente"),
        72,
        IF($B1177 = 3 + N("Secretária bilíngue"),
            13,
            RANDBETWEEN(5,COUNT(Name!$A:$A) + 1)
        )
    )
)</f>
        <v>86</v>
      </c>
      <c r="E1177" s="7" t="str">
        <f ca="1" xml:space="preserve">
VLOOKUP(
  $D1177,
  Name!$A:$B,
  2,
  FALSE
)
&amp; " " &amp;
IF($B1177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Carolina Caruso Pasquim</v>
      </c>
      <c r="F1177" s="7">
        <v>2</v>
      </c>
      <c r="G1177" s="7" cm="1">
        <f t="array" aca="1" ref="G1177" ca="1">INDEX(States!$B:$B,RANDBETWEEN(2,COUNTA(States!$A:$A)),1)</f>
        <v>8</v>
      </c>
      <c r="H1177" s="7" t="str">
        <f ca="1">VLOOKUP($D1177,Name!$A:$C,3,FALSE)</f>
        <v>F</v>
      </c>
      <c r="I1177" s="7" cm="1">
        <f t="array" aca="1" ref="I1177" ca="1">INDEX('Marital status'!$A:$A,RANDBETWEEN(2,COUNTA('Marital status'!$A:$A)),1)</f>
        <v>3</v>
      </c>
      <c r="J1177" s="7">
        <f t="shared" ca="1" si="219"/>
        <v>4</v>
      </c>
      <c r="K1177" s="8">
        <f t="shared" ca="1" si="220"/>
        <v>34930</v>
      </c>
      <c r="L1177" s="6">
        <f t="shared" ca="1" si="221"/>
        <v>5</v>
      </c>
      <c r="M1177" s="7">
        <f ca="1" xml:space="preserve">
  IF(OR($N1177 = 2, $N1177 = 3, $N1177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177" s="6">
        <f t="shared" ca="1" si="222"/>
        <v>8</v>
      </c>
      <c r="O1177" s="6">
        <f t="shared" ca="1" si="223"/>
        <v>3</v>
      </c>
      <c r="P1177" s="8">
        <f t="shared" ca="1" si="224"/>
        <v>44597</v>
      </c>
      <c r="Q1177" s="6">
        <f ca="1">RANDBETWEEN(2,COUNTA('Recruitment source'!$A:$A))</f>
        <v>10</v>
      </c>
      <c r="R1177" s="8" t="e">
        <f t="shared" ca="1" si="225"/>
        <v>#N/A</v>
      </c>
      <c r="S1177" s="6" t="e">
        <f t="shared" ca="1" si="226"/>
        <v>#N/A</v>
      </c>
      <c r="T1177" s="6">
        <f t="shared" ca="1" si="216"/>
        <v>3</v>
      </c>
      <c r="U1177" s="1">
        <f t="shared" ca="1" si="227"/>
        <v>2000</v>
      </c>
    </row>
    <row r="1178" spans="1:21" x14ac:dyDescent="0.2">
      <c r="A1178" s="7" cm="1">
        <f t="array" aca="1" ref="A1178" ca="1">INDEX(Companies!$A:$A,RANDBETWEEN(2,COUNTA(Companies!$A:$A)),1)</f>
        <v>2</v>
      </c>
      <c r="B1178" s="5">
        <f t="shared" si="217"/>
        <v>1177</v>
      </c>
      <c r="C1178" s="6">
        <f t="shared" ca="1" si="218"/>
        <v>1</v>
      </c>
      <c r="D1178" s="7">
        <f ca="1">IF($B1178 = 1 + N("Presidente"),
    127,
    IF($B1178 = 2 + N("Vice-Presidente"),
        72,
        IF($B1178 = 3 + N("Secretária bilíngue"),
            13,
            RANDBETWEEN(5,COUNT(Name!$A:$A) + 1)
        )
    )
)</f>
        <v>278</v>
      </c>
      <c r="E1178" s="7" t="str">
        <f ca="1" xml:space="preserve">
VLOOKUP(
  $D1178,
  Name!$A:$B,
  2,
  FALSE
)
&amp; " " &amp;
IF($B1178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Mariana Gonçalves Freitas</v>
      </c>
      <c r="F1178" s="7">
        <v>2</v>
      </c>
      <c r="G1178" s="7" cm="1">
        <f t="array" aca="1" ref="G1178" ca="1">INDEX(States!$B:$B,RANDBETWEEN(2,COUNTA(States!$A:$A)),1)</f>
        <v>5</v>
      </c>
      <c r="H1178" s="7" t="str">
        <f ca="1">VLOOKUP($D1178,Name!$A:$C,3,FALSE)</f>
        <v>F</v>
      </c>
      <c r="I1178" s="7" cm="1">
        <f t="array" aca="1" ref="I1178" ca="1">INDEX('Marital status'!$A:$A,RANDBETWEEN(2,COUNTA('Marital status'!$A:$A)),1)</f>
        <v>6</v>
      </c>
      <c r="J1178" s="7">
        <f t="shared" ca="1" si="219"/>
        <v>5</v>
      </c>
      <c r="K1178" s="8">
        <f t="shared" ca="1" si="220"/>
        <v>30806</v>
      </c>
      <c r="L1178" s="6">
        <f t="shared" ca="1" si="221"/>
        <v>4</v>
      </c>
      <c r="M1178" s="7">
        <f ca="1" xml:space="preserve">
  IF(OR($N1178 = 2, $N1178 = 3, $N1178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178" s="6">
        <f t="shared" ca="1" si="222"/>
        <v>7</v>
      </c>
      <c r="O1178" s="6" t="e">
        <f t="shared" ca="1" si="223"/>
        <v>#N/A</v>
      </c>
      <c r="P1178" s="8">
        <f t="shared" ca="1" si="224"/>
        <v>39739</v>
      </c>
      <c r="Q1178" s="6">
        <f ca="1">RANDBETWEEN(2,COUNTA('Recruitment source'!$A:$A))</f>
        <v>7</v>
      </c>
      <c r="R1178" s="8" t="e">
        <f t="shared" ca="1" si="225"/>
        <v>#N/A</v>
      </c>
      <c r="S1178" s="6" t="e">
        <f t="shared" ca="1" si="226"/>
        <v>#N/A</v>
      </c>
      <c r="T1178" s="6">
        <f t="shared" ca="1" si="216"/>
        <v>5</v>
      </c>
      <c r="U1178" s="1">
        <f t="shared" ca="1" si="227"/>
        <v>1005</v>
      </c>
    </row>
    <row r="1179" spans="1:21" x14ac:dyDescent="0.2">
      <c r="A1179" s="7" cm="1">
        <f t="array" aca="1" ref="A1179" ca="1">INDEX(Companies!$A:$A,RANDBETWEEN(2,COUNTA(Companies!$A:$A)),1)</f>
        <v>2</v>
      </c>
      <c r="B1179" s="5">
        <f t="shared" si="217"/>
        <v>1178</v>
      </c>
      <c r="C1179" s="6">
        <f t="shared" ca="1" si="218"/>
        <v>1</v>
      </c>
      <c r="D1179" s="7">
        <f ca="1">IF($B1179 = 1 + N("Presidente"),
    127,
    IF($B1179 = 2 + N("Vice-Presidente"),
        72,
        IF($B1179 = 3 + N("Secretária bilíngue"),
            13,
            RANDBETWEEN(5,COUNT(Name!$A:$A) + 1)
        )
    )
)</f>
        <v>64</v>
      </c>
      <c r="E1179" s="7" t="str">
        <f ca="1" xml:space="preserve">
VLOOKUP(
  $D1179,
  Name!$A:$B,
  2,
  FALSE
)
&amp; " " &amp;
IF($B1179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Ayla Pinheiro Teixeira</v>
      </c>
      <c r="F1179" s="7">
        <v>2</v>
      </c>
      <c r="G1179" s="7" cm="1">
        <f t="array" aca="1" ref="G1179" ca="1">INDEX(States!$B:$B,RANDBETWEEN(2,COUNTA(States!$A:$A)),1)</f>
        <v>16</v>
      </c>
      <c r="H1179" s="7" t="str">
        <f ca="1">VLOOKUP($D1179,Name!$A:$C,3,FALSE)</f>
        <v>F</v>
      </c>
      <c r="I1179" s="7" cm="1">
        <f t="array" aca="1" ref="I1179" ca="1">INDEX('Marital status'!$A:$A,RANDBETWEEN(2,COUNTA('Marital status'!$A:$A)),1)</f>
        <v>5</v>
      </c>
      <c r="J1179" s="7">
        <f t="shared" ca="1" si="219"/>
        <v>2</v>
      </c>
      <c r="K1179" s="8">
        <f t="shared" ca="1" si="220"/>
        <v>32528</v>
      </c>
      <c r="L1179" s="6">
        <f t="shared" ca="1" si="221"/>
        <v>5</v>
      </c>
      <c r="M1179" s="7">
        <f ca="1" xml:space="preserve">
  IF(OR($N1179 = 2, $N1179 = 3, $N1179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179" s="6">
        <f t="shared" ca="1" si="222"/>
        <v>8</v>
      </c>
      <c r="O1179" s="6">
        <f t="shared" ca="1" si="223"/>
        <v>4</v>
      </c>
      <c r="P1179" s="8">
        <f t="shared" ca="1" si="224"/>
        <v>41629</v>
      </c>
      <c r="Q1179" s="6">
        <f ca="1">RANDBETWEEN(2,COUNTA('Recruitment source'!$A:$A))</f>
        <v>12</v>
      </c>
      <c r="R1179" s="8" t="e">
        <f t="shared" ca="1" si="225"/>
        <v>#N/A</v>
      </c>
      <c r="S1179" s="6" t="e">
        <f t="shared" ca="1" si="226"/>
        <v>#N/A</v>
      </c>
      <c r="T1179" s="6">
        <f t="shared" ca="1" si="216"/>
        <v>4</v>
      </c>
      <c r="U1179" s="1">
        <f t="shared" ca="1" si="227"/>
        <v>2000</v>
      </c>
    </row>
    <row r="1180" spans="1:21" x14ac:dyDescent="0.2">
      <c r="A1180" s="7" cm="1">
        <f t="array" aca="1" ref="A1180" ca="1">INDEX(Companies!$A:$A,RANDBETWEEN(2,COUNTA(Companies!$A:$A)),1)</f>
        <v>2</v>
      </c>
      <c r="B1180" s="5">
        <f t="shared" si="217"/>
        <v>1179</v>
      </c>
      <c r="C1180" s="6">
        <f t="shared" ca="1" si="218"/>
        <v>1</v>
      </c>
      <c r="D1180" s="7">
        <f ca="1">IF($B1180 = 1 + N("Presidente"),
    127,
    IF($B1180 = 2 + N("Vice-Presidente"),
        72,
        IF($B1180 = 3 + N("Secretária bilíngue"),
            13,
            RANDBETWEEN(5,COUNT(Name!$A:$A) + 1)
        )
    )
)</f>
        <v>166</v>
      </c>
      <c r="E1180" s="7" t="str">
        <f ca="1" xml:space="preserve">
VLOOKUP(
  $D1180,
  Name!$A:$B,
  2,
  FALSE
)
&amp; " " &amp;
IF($B1180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Henrico Cardoso Conti</v>
      </c>
      <c r="F1180" s="7">
        <v>2</v>
      </c>
      <c r="G1180" s="7" cm="1">
        <f t="array" aca="1" ref="G1180" ca="1">INDEX(States!$B:$B,RANDBETWEEN(2,COUNTA(States!$A:$A)),1)</f>
        <v>13</v>
      </c>
      <c r="H1180" s="7" t="str">
        <f ca="1">VLOOKUP($D1180,Name!$A:$C,3,FALSE)</f>
        <v>M</v>
      </c>
      <c r="I1180" s="7" cm="1">
        <f t="array" aca="1" ref="I1180" ca="1">INDEX('Marital status'!$A:$A,RANDBETWEEN(2,COUNTA('Marital status'!$A:$A)),1)</f>
        <v>2</v>
      </c>
      <c r="J1180" s="7">
        <f t="shared" ca="1" si="219"/>
        <v>2</v>
      </c>
      <c r="K1180" s="8">
        <f t="shared" ca="1" si="220"/>
        <v>36070</v>
      </c>
      <c r="L1180" s="6">
        <f t="shared" ca="1" si="221"/>
        <v>4</v>
      </c>
      <c r="M1180" s="7">
        <f ca="1" xml:space="preserve">
  IF(OR($N1180 = 2, $N1180 = 3, $N1180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180" s="6">
        <f t="shared" ca="1" si="222"/>
        <v>7</v>
      </c>
      <c r="O1180" s="6" t="e">
        <f t="shared" ca="1" si="223"/>
        <v>#N/A</v>
      </c>
      <c r="P1180" s="8">
        <f t="shared" ca="1" si="224"/>
        <v>38676</v>
      </c>
      <c r="Q1180" s="6">
        <f ca="1">RANDBETWEEN(2,COUNTA('Recruitment source'!$A:$A))</f>
        <v>6</v>
      </c>
      <c r="R1180" s="8" t="e">
        <f t="shared" ca="1" si="225"/>
        <v>#N/A</v>
      </c>
      <c r="S1180" s="6" t="e">
        <f t="shared" ca="1" si="226"/>
        <v>#N/A</v>
      </c>
      <c r="T1180" s="6">
        <f t="shared" ca="1" si="216"/>
        <v>5</v>
      </c>
      <c r="U1180" s="1">
        <f t="shared" ca="1" si="227"/>
        <v>1085</v>
      </c>
    </row>
    <row r="1181" spans="1:21" x14ac:dyDescent="0.2">
      <c r="A1181" s="7" cm="1">
        <f t="array" aca="1" ref="A1181" ca="1">INDEX(Companies!$A:$A,RANDBETWEEN(2,COUNTA(Companies!$A:$A)),1)</f>
        <v>2</v>
      </c>
      <c r="B1181" s="5">
        <f t="shared" si="217"/>
        <v>1180</v>
      </c>
      <c r="C1181" s="6">
        <f t="shared" ca="1" si="218"/>
        <v>1</v>
      </c>
      <c r="D1181" s="7">
        <f ca="1">IF($B1181 = 1 + N("Presidente"),
    127,
    IF($B1181 = 2 + N("Vice-Presidente"),
        72,
        IF($B1181 = 3 + N("Secretária bilíngue"),
            13,
            RANDBETWEEN(5,COUNT(Name!$A:$A) + 1)
        )
    )
)</f>
        <v>164</v>
      </c>
      <c r="E1181" s="7" t="str">
        <f ca="1" xml:space="preserve">
VLOOKUP(
  $D1181,
  Name!$A:$B,
  2,
  FALSE
)
&amp; " " &amp;
IF($B1181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Heloísa Helena Frasão Giordano</v>
      </c>
      <c r="F1181" s="7">
        <v>2</v>
      </c>
      <c r="G1181" s="7" cm="1">
        <f t="array" aca="1" ref="G1181" ca="1">INDEX(States!$B:$B,RANDBETWEEN(2,COUNTA(States!$A:$A)),1)</f>
        <v>4</v>
      </c>
      <c r="H1181" s="7" t="str">
        <f ca="1">VLOOKUP($D1181,Name!$A:$C,3,FALSE)</f>
        <v>F</v>
      </c>
      <c r="I1181" s="7" cm="1">
        <f t="array" aca="1" ref="I1181" ca="1">INDEX('Marital status'!$A:$A,RANDBETWEEN(2,COUNTA('Marital status'!$A:$A)),1)</f>
        <v>3</v>
      </c>
      <c r="J1181" s="7">
        <f t="shared" ca="1" si="219"/>
        <v>2</v>
      </c>
      <c r="K1181" s="8">
        <f t="shared" ca="1" si="220"/>
        <v>37775</v>
      </c>
      <c r="L1181" s="6">
        <f t="shared" ca="1" si="221"/>
        <v>5</v>
      </c>
      <c r="M1181" s="7">
        <f ca="1" xml:space="preserve">
  IF(OR($N1181 = 2, $N1181 = 3, $N1181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181" s="6">
        <f t="shared" ca="1" si="222"/>
        <v>8</v>
      </c>
      <c r="O1181" s="6">
        <f t="shared" ca="1" si="223"/>
        <v>4</v>
      </c>
      <c r="P1181" s="8">
        <f t="shared" ca="1" si="224"/>
        <v>42880</v>
      </c>
      <c r="Q1181" s="6">
        <f ca="1">RANDBETWEEN(2,COUNTA('Recruitment source'!$A:$A))</f>
        <v>12</v>
      </c>
      <c r="R1181" s="8" t="e">
        <f t="shared" ca="1" si="225"/>
        <v>#N/A</v>
      </c>
      <c r="S1181" s="6" t="e">
        <f t="shared" ca="1" si="226"/>
        <v>#N/A</v>
      </c>
      <c r="T1181" s="6">
        <f t="shared" ca="1" si="216"/>
        <v>5</v>
      </c>
      <c r="U1181" s="1">
        <f t="shared" ca="1" si="227"/>
        <v>2080</v>
      </c>
    </row>
    <row r="1182" spans="1:21" x14ac:dyDescent="0.2">
      <c r="A1182" s="7" cm="1">
        <f t="array" aca="1" ref="A1182" ca="1">INDEX(Companies!$A:$A,RANDBETWEEN(2,COUNTA(Companies!$A:$A)),1)</f>
        <v>2</v>
      </c>
      <c r="B1182" s="5">
        <f t="shared" si="217"/>
        <v>1181</v>
      </c>
      <c r="C1182" s="6">
        <f t="shared" ca="1" si="218"/>
        <v>1</v>
      </c>
      <c r="D1182" s="7">
        <f ca="1">IF($B1182 = 1 + N("Presidente"),
    127,
    IF($B1182 = 2 + N("Vice-Presidente"),
        72,
        IF($B1182 = 3 + N("Secretária bilíngue"),
            13,
            RANDBETWEEN(5,COUNT(Name!$A:$A) + 1)
        )
    )
)</f>
        <v>108</v>
      </c>
      <c r="E1182" s="7" t="str">
        <f ca="1" xml:space="preserve">
VLOOKUP(
  $D1182,
  Name!$A:$B,
  2,
  FALSE
)
&amp; " " &amp;
IF($B1182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Luccas Barroso Ricci</v>
      </c>
      <c r="F1182" s="7">
        <v>2</v>
      </c>
      <c r="G1182" s="7" cm="1">
        <f t="array" aca="1" ref="G1182" ca="1">INDEX(States!$B:$B,RANDBETWEEN(2,COUNTA(States!$A:$A)),1)</f>
        <v>21</v>
      </c>
      <c r="H1182" s="7" t="str">
        <f ca="1">VLOOKUP($D1182,Name!$A:$C,3,FALSE)</f>
        <v>M</v>
      </c>
      <c r="I1182" s="7" cm="1">
        <f t="array" aca="1" ref="I1182" ca="1">INDEX('Marital status'!$A:$A,RANDBETWEEN(2,COUNTA('Marital status'!$A:$A)),1)</f>
        <v>3</v>
      </c>
      <c r="J1182" s="7">
        <f t="shared" ca="1" si="219"/>
        <v>2</v>
      </c>
      <c r="K1182" s="8">
        <f t="shared" ca="1" si="220"/>
        <v>23307</v>
      </c>
      <c r="L1182" s="6">
        <f t="shared" ca="1" si="221"/>
        <v>4</v>
      </c>
      <c r="M1182" s="7">
        <f ca="1" xml:space="preserve">
  IF(OR($N1182 = 2, $N1182 = 3, $N1182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182" s="6">
        <f t="shared" ca="1" si="222"/>
        <v>6</v>
      </c>
      <c r="O1182" s="6" t="e">
        <f t="shared" ca="1" si="223"/>
        <v>#N/A</v>
      </c>
      <c r="P1182" s="8">
        <f t="shared" ca="1" si="224"/>
        <v>42845</v>
      </c>
      <c r="Q1182" s="6">
        <f ca="1">RANDBETWEEN(2,COUNTA('Recruitment source'!$A:$A))</f>
        <v>2</v>
      </c>
      <c r="R1182" s="8" t="e">
        <f t="shared" ca="1" si="225"/>
        <v>#N/A</v>
      </c>
      <c r="S1182" s="6" t="e">
        <f t="shared" ca="1" si="226"/>
        <v>#N/A</v>
      </c>
      <c r="T1182" s="6">
        <f t="shared" ca="1" si="216"/>
        <v>3</v>
      </c>
      <c r="U1182" s="1">
        <f t="shared" ca="1" si="227"/>
        <v>805</v>
      </c>
    </row>
    <row r="1183" spans="1:21" x14ac:dyDescent="0.2">
      <c r="A1183" s="7" cm="1">
        <f t="array" aca="1" ref="A1183" ca="1">INDEX(Companies!$A:$A,RANDBETWEEN(2,COUNTA(Companies!$A:$A)),1)</f>
        <v>2</v>
      </c>
      <c r="B1183" s="5">
        <f t="shared" si="217"/>
        <v>1182</v>
      </c>
      <c r="C1183" s="6">
        <f t="shared" ca="1" si="218"/>
        <v>1</v>
      </c>
      <c r="D1183" s="7">
        <f ca="1">IF($B1183 = 1 + N("Presidente"),
    127,
    IF($B1183 = 2 + N("Vice-Presidente"),
        72,
        IF($B1183 = 3 + N("Secretária bilíngue"),
            13,
            RANDBETWEEN(5,COUNT(Name!$A:$A) + 1)
        )
    )
)</f>
        <v>125</v>
      </c>
      <c r="E1183" s="7" t="str">
        <f ca="1" xml:space="preserve">
VLOOKUP(
  $D1183,
  Name!$A:$B,
  2,
  FALSE
)
&amp; " " &amp;
IF($B1183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Emmanuel Rossi Evangelista</v>
      </c>
      <c r="F1183" s="7">
        <v>2</v>
      </c>
      <c r="G1183" s="7" cm="1">
        <f t="array" aca="1" ref="G1183" ca="1">INDEX(States!$B:$B,RANDBETWEEN(2,COUNTA(States!$A:$A)),1)</f>
        <v>19</v>
      </c>
      <c r="H1183" s="7" t="str">
        <f ca="1">VLOOKUP($D1183,Name!$A:$C,3,FALSE)</f>
        <v>M</v>
      </c>
      <c r="I1183" s="7" cm="1">
        <f t="array" aca="1" ref="I1183" ca="1">INDEX('Marital status'!$A:$A,RANDBETWEEN(2,COUNTA('Marital status'!$A:$A)),1)</f>
        <v>3</v>
      </c>
      <c r="J1183" s="7">
        <f t="shared" ca="1" si="219"/>
        <v>3</v>
      </c>
      <c r="K1183" s="8">
        <f t="shared" ca="1" si="220"/>
        <v>35254</v>
      </c>
      <c r="L1183" s="6">
        <f t="shared" ca="1" si="221"/>
        <v>5</v>
      </c>
      <c r="M1183" s="7">
        <f ca="1" xml:space="preserve">
  IF(OR($N1183 = 2, $N1183 = 3, $N1183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183" s="6">
        <f t="shared" ca="1" si="222"/>
        <v>8</v>
      </c>
      <c r="O1183" s="6">
        <f t="shared" ca="1" si="223"/>
        <v>3</v>
      </c>
      <c r="P1183" s="8">
        <f t="shared" ca="1" si="224"/>
        <v>43834</v>
      </c>
      <c r="Q1183" s="6">
        <f ca="1">RANDBETWEEN(2,COUNTA('Recruitment source'!$A:$A))</f>
        <v>9</v>
      </c>
      <c r="R1183" s="8" t="e">
        <f t="shared" ca="1" si="225"/>
        <v>#N/A</v>
      </c>
      <c r="S1183" s="6" t="e">
        <f t="shared" ca="1" si="226"/>
        <v>#N/A</v>
      </c>
      <c r="T1183" s="6">
        <f t="shared" ca="1" si="216"/>
        <v>3</v>
      </c>
      <c r="U1183" s="1">
        <f t="shared" ca="1" si="227"/>
        <v>2000</v>
      </c>
    </row>
    <row r="1184" spans="1:21" x14ac:dyDescent="0.2">
      <c r="A1184" s="7" cm="1">
        <f t="array" aca="1" ref="A1184" ca="1">INDEX(Companies!$A:$A,RANDBETWEEN(2,COUNTA(Companies!$A:$A)),1)</f>
        <v>2</v>
      </c>
      <c r="B1184" s="5">
        <f t="shared" si="217"/>
        <v>1183</v>
      </c>
      <c r="C1184" s="6">
        <f t="shared" ca="1" si="218"/>
        <v>1</v>
      </c>
      <c r="D1184" s="7">
        <f ca="1">IF($B1184 = 1 + N("Presidente"),
    127,
    IF($B1184 = 2 + N("Vice-Presidente"),
        72,
        IF($B1184 = 3 + N("Secretária bilíngue"),
            13,
            RANDBETWEEN(5,COUNT(Name!$A:$A) + 1)
        )
    )
)</f>
        <v>356</v>
      </c>
      <c r="E1184" s="7" t="str">
        <f ca="1" xml:space="preserve">
VLOOKUP(
  $D1184,
  Name!$A:$B,
  2,
  FALSE
)
&amp; " " &amp;
IF($B1184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Victória Alvim Bactista</v>
      </c>
      <c r="F1184" s="7">
        <v>2</v>
      </c>
      <c r="G1184" s="7" cm="1">
        <f t="array" aca="1" ref="G1184" ca="1">INDEX(States!$B:$B,RANDBETWEEN(2,COUNTA(States!$A:$A)),1)</f>
        <v>9</v>
      </c>
      <c r="H1184" s="7" t="str">
        <f ca="1">VLOOKUP($D1184,Name!$A:$C,3,FALSE)</f>
        <v>F</v>
      </c>
      <c r="I1184" s="7" cm="1">
        <f t="array" aca="1" ref="I1184" ca="1">INDEX('Marital status'!$A:$A,RANDBETWEEN(2,COUNTA('Marital status'!$A:$A)),1)</f>
        <v>5</v>
      </c>
      <c r="J1184" s="7">
        <f t="shared" ca="1" si="219"/>
        <v>2</v>
      </c>
      <c r="K1184" s="8">
        <f t="shared" ca="1" si="220"/>
        <v>34441</v>
      </c>
      <c r="L1184" s="6">
        <f t="shared" ca="1" si="221"/>
        <v>4</v>
      </c>
      <c r="M1184" s="7">
        <f ca="1" xml:space="preserve">
  IF(OR($N1184 = 2, $N1184 = 3, $N1184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184" s="6">
        <f t="shared" ca="1" si="222"/>
        <v>7</v>
      </c>
      <c r="O1184" s="6" t="e">
        <f t="shared" ca="1" si="223"/>
        <v>#N/A</v>
      </c>
      <c r="P1184" s="8">
        <f t="shared" ca="1" si="224"/>
        <v>37830</v>
      </c>
      <c r="Q1184" s="6">
        <f ca="1">RANDBETWEEN(2,COUNTA('Recruitment source'!$A:$A))</f>
        <v>10</v>
      </c>
      <c r="R1184" s="8" t="e">
        <f t="shared" ca="1" si="225"/>
        <v>#N/A</v>
      </c>
      <c r="S1184" s="6" t="e">
        <f t="shared" ca="1" si="226"/>
        <v>#N/A</v>
      </c>
      <c r="T1184" s="6">
        <f t="shared" ca="1" si="216"/>
        <v>5</v>
      </c>
      <c r="U1184" s="1">
        <f t="shared" ca="1" si="227"/>
        <v>1005</v>
      </c>
    </row>
    <row r="1185" spans="1:21" x14ac:dyDescent="0.2">
      <c r="A1185" s="7" cm="1">
        <f t="array" aca="1" ref="A1185" ca="1">INDEX(Companies!$A:$A,RANDBETWEEN(2,COUNTA(Companies!$A:$A)),1)</f>
        <v>2</v>
      </c>
      <c r="B1185" s="5">
        <f t="shared" si="217"/>
        <v>1184</v>
      </c>
      <c r="C1185" s="6">
        <f t="shared" ca="1" si="218"/>
        <v>1</v>
      </c>
      <c r="D1185" s="7">
        <f ca="1">IF($B1185 = 1 + N("Presidente"),
    127,
    IF($B1185 = 2 + N("Vice-Presidente"),
        72,
        IF($B1185 = 3 + N("Secretária bilíngue"),
            13,
            RANDBETWEEN(5,COUNT(Name!$A:$A) + 1)
        )
    )
)</f>
        <v>141</v>
      </c>
      <c r="E1185" s="7" t="str">
        <f ca="1" xml:space="preserve">
VLOOKUP(
  $D1185,
  Name!$A:$B,
  2,
  FALSE
)
&amp; " " &amp;
IF($B1185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Filipe Chaves Resende</v>
      </c>
      <c r="F1185" s="7">
        <v>2</v>
      </c>
      <c r="G1185" s="7" cm="1">
        <f t="array" aca="1" ref="G1185" ca="1">INDEX(States!$B:$B,RANDBETWEEN(2,COUNTA(States!$A:$A)),1)</f>
        <v>7</v>
      </c>
      <c r="H1185" s="7" t="str">
        <f ca="1">VLOOKUP($D1185,Name!$A:$C,3,FALSE)</f>
        <v>M</v>
      </c>
      <c r="I1185" s="7" cm="1">
        <f t="array" aca="1" ref="I1185" ca="1">INDEX('Marital status'!$A:$A,RANDBETWEEN(2,COUNTA('Marital status'!$A:$A)),1)</f>
        <v>2</v>
      </c>
      <c r="J1185" s="7">
        <f t="shared" ca="1" si="219"/>
        <v>2</v>
      </c>
      <c r="K1185" s="8">
        <f t="shared" ca="1" si="220"/>
        <v>36941</v>
      </c>
      <c r="L1185" s="6">
        <f t="shared" ca="1" si="221"/>
        <v>4</v>
      </c>
      <c r="M1185" s="7">
        <f ca="1" xml:space="preserve">
  IF(OR($N1185 = 2, $N1185 = 3, $N1185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185" s="6">
        <f t="shared" ca="1" si="222"/>
        <v>8</v>
      </c>
      <c r="O1185" s="6">
        <f t="shared" ca="1" si="223"/>
        <v>4</v>
      </c>
      <c r="P1185" s="8">
        <f t="shared" ca="1" si="224"/>
        <v>40484</v>
      </c>
      <c r="Q1185" s="6">
        <f ca="1">RANDBETWEEN(2,COUNTA('Recruitment source'!$A:$A))</f>
        <v>4</v>
      </c>
      <c r="R1185" s="8" t="e">
        <f t="shared" ca="1" si="225"/>
        <v>#N/A</v>
      </c>
      <c r="S1185" s="6" t="e">
        <f t="shared" ca="1" si="226"/>
        <v>#N/A</v>
      </c>
      <c r="T1185" s="6">
        <f t="shared" ca="1" si="216"/>
        <v>4</v>
      </c>
      <c r="U1185" s="1">
        <f t="shared" ca="1" si="227"/>
        <v>2000</v>
      </c>
    </row>
    <row r="1186" spans="1:21" x14ac:dyDescent="0.2">
      <c r="A1186" s="7" cm="1">
        <f t="array" aca="1" ref="A1186" ca="1">INDEX(Companies!$A:$A,RANDBETWEEN(2,COUNTA(Companies!$A:$A)),1)</f>
        <v>2</v>
      </c>
      <c r="B1186" s="5">
        <f t="shared" si="217"/>
        <v>1185</v>
      </c>
      <c r="C1186" s="6">
        <f t="shared" ca="1" si="218"/>
        <v>1</v>
      </c>
      <c r="D1186" s="7">
        <f ca="1">IF($B1186 = 1 + N("Presidente"),
    127,
    IF($B1186 = 2 + N("Vice-Presidente"),
        72,
        IF($B1186 = 3 + N("Secretária bilíngue"),
            13,
            RANDBETWEEN(5,COUNT(Name!$A:$A) + 1)
        )
    )
)</f>
        <v>195</v>
      </c>
      <c r="E1186" s="7" t="str">
        <f ca="1" xml:space="preserve">
VLOOKUP(
  $D1186,
  Name!$A:$B,
  2,
  FALSE
)
&amp; " " &amp;
IF($B1186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Joaquim Monteiro Romano</v>
      </c>
      <c r="F1186" s="7">
        <v>2</v>
      </c>
      <c r="G1186" s="7" cm="1">
        <f t="array" aca="1" ref="G1186" ca="1">INDEX(States!$B:$B,RANDBETWEEN(2,COUNTA(States!$A:$A)),1)</f>
        <v>17</v>
      </c>
      <c r="H1186" s="7" t="str">
        <f ca="1">VLOOKUP($D1186,Name!$A:$C,3,FALSE)</f>
        <v>M</v>
      </c>
      <c r="I1186" s="7" cm="1">
        <f t="array" aca="1" ref="I1186" ca="1">INDEX('Marital status'!$A:$A,RANDBETWEEN(2,COUNTA('Marital status'!$A:$A)),1)</f>
        <v>2</v>
      </c>
      <c r="J1186" s="7">
        <f t="shared" ca="1" si="219"/>
        <v>2</v>
      </c>
      <c r="K1186" s="8">
        <f t="shared" ca="1" si="220"/>
        <v>28205</v>
      </c>
      <c r="L1186" s="6">
        <f t="shared" ca="1" si="221"/>
        <v>4</v>
      </c>
      <c r="M1186" s="7">
        <f ca="1" xml:space="preserve">
  IF(OR($N1186 = 2, $N1186 = 3, $N1186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186" s="6">
        <f t="shared" ca="1" si="222"/>
        <v>6</v>
      </c>
      <c r="O1186" s="6" t="e">
        <f t="shared" ca="1" si="223"/>
        <v>#N/A</v>
      </c>
      <c r="P1186" s="8">
        <f t="shared" ca="1" si="224"/>
        <v>44744</v>
      </c>
      <c r="Q1186" s="6">
        <f ca="1">RANDBETWEEN(2,COUNTA('Recruitment source'!$A:$A))</f>
        <v>8</v>
      </c>
      <c r="R1186" s="8" t="e">
        <f t="shared" ca="1" si="225"/>
        <v>#N/A</v>
      </c>
      <c r="S1186" s="6" t="e">
        <f t="shared" ca="1" si="226"/>
        <v>#N/A</v>
      </c>
      <c r="T1186" s="6">
        <f t="shared" ca="1" si="216"/>
        <v>4</v>
      </c>
      <c r="U1186" s="1">
        <f t="shared" ca="1" si="227"/>
        <v>885</v>
      </c>
    </row>
    <row r="1187" spans="1:21" x14ac:dyDescent="0.2">
      <c r="A1187" s="7" cm="1">
        <f t="array" aca="1" ref="A1187" ca="1">INDEX(Companies!$A:$A,RANDBETWEEN(2,COUNTA(Companies!$A:$A)),1)</f>
        <v>2</v>
      </c>
      <c r="B1187" s="5">
        <f t="shared" si="217"/>
        <v>1186</v>
      </c>
      <c r="C1187" s="6">
        <f t="shared" ca="1" si="218"/>
        <v>1</v>
      </c>
      <c r="D1187" s="7">
        <f ca="1">IF($B1187 = 1 + N("Presidente"),
    127,
    IF($B1187 = 2 + N("Vice-Presidente"),
        72,
        IF($B1187 = 3 + N("Secretária bilíngue"),
            13,
            RANDBETWEEN(5,COUNT(Name!$A:$A) + 1)
        )
    )
)</f>
        <v>73</v>
      </c>
      <c r="E1187" s="7" t="str">
        <f ca="1" xml:space="preserve">
VLOOKUP(
  $D1187,
  Name!$A:$B,
  2,
  FALSE
)
&amp; " " &amp;
IF($B1187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Bianca Machado Campos</v>
      </c>
      <c r="F1187" s="7">
        <v>2</v>
      </c>
      <c r="G1187" s="7" cm="1">
        <f t="array" aca="1" ref="G1187" ca="1">INDEX(States!$B:$B,RANDBETWEEN(2,COUNTA(States!$A:$A)),1)</f>
        <v>12</v>
      </c>
      <c r="H1187" s="7" t="str">
        <f ca="1">VLOOKUP($D1187,Name!$A:$C,3,FALSE)</f>
        <v>F</v>
      </c>
      <c r="I1187" s="7" cm="1">
        <f t="array" aca="1" ref="I1187" ca="1">INDEX('Marital status'!$A:$A,RANDBETWEEN(2,COUNTA('Marital status'!$A:$A)),1)</f>
        <v>3</v>
      </c>
      <c r="J1187" s="7">
        <f t="shared" ca="1" si="219"/>
        <v>2</v>
      </c>
      <c r="K1187" s="8">
        <f t="shared" ca="1" si="220"/>
        <v>37554</v>
      </c>
      <c r="L1187" s="6">
        <f t="shared" ca="1" si="221"/>
        <v>5</v>
      </c>
      <c r="M1187" s="7">
        <f ca="1" xml:space="preserve">
  IF(OR($N1187 = 2, $N1187 = 3, $N1187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187" s="6">
        <f t="shared" ca="1" si="222"/>
        <v>8</v>
      </c>
      <c r="O1187" s="6">
        <f t="shared" ca="1" si="223"/>
        <v>3</v>
      </c>
      <c r="P1187" s="8">
        <f t="shared" ca="1" si="224"/>
        <v>37362</v>
      </c>
      <c r="Q1187" s="6">
        <f ca="1">RANDBETWEEN(2,COUNTA('Recruitment source'!$A:$A))</f>
        <v>4</v>
      </c>
      <c r="R1187" s="8" t="e">
        <f t="shared" ca="1" si="225"/>
        <v>#N/A</v>
      </c>
      <c r="S1187" s="6" t="e">
        <f t="shared" ca="1" si="226"/>
        <v>#N/A</v>
      </c>
      <c r="T1187" s="6">
        <f t="shared" ca="1" si="216"/>
        <v>3</v>
      </c>
      <c r="U1187" s="1">
        <f t="shared" ca="1" si="227"/>
        <v>2080</v>
      </c>
    </row>
    <row r="1188" spans="1:21" x14ac:dyDescent="0.2">
      <c r="A1188" s="7" cm="1">
        <f t="array" aca="1" ref="A1188" ca="1">INDEX(Companies!$A:$A,RANDBETWEEN(2,COUNTA(Companies!$A:$A)),1)</f>
        <v>2</v>
      </c>
      <c r="B1188" s="5">
        <f t="shared" si="217"/>
        <v>1187</v>
      </c>
      <c r="C1188" s="6">
        <f t="shared" ca="1" si="218"/>
        <v>1</v>
      </c>
      <c r="D1188" s="7">
        <f ca="1">IF($B1188 = 1 + N("Presidente"),
    127,
    IF($B1188 = 2 + N("Vice-Presidente"),
        72,
        IF($B1188 = 3 + N("Secretária bilíngue"),
            13,
            RANDBETWEEN(5,COUNT(Name!$A:$A) + 1)
        )
    )
)</f>
        <v>245</v>
      </c>
      <c r="E1188" s="7" t="str">
        <f ca="1" xml:space="preserve">
VLOOKUP(
  $D1188,
  Name!$A:$B,
  2,
  FALSE
)
&amp; " " &amp;
IF($B1188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Henrique Almeida Café</v>
      </c>
      <c r="F1188" s="7">
        <v>2</v>
      </c>
      <c r="G1188" s="7" cm="1">
        <f t="array" aca="1" ref="G1188" ca="1">INDEX(States!$B:$B,RANDBETWEEN(2,COUNTA(States!$A:$A)),1)</f>
        <v>9</v>
      </c>
      <c r="H1188" s="7" t="str">
        <f ca="1">VLOOKUP($D1188,Name!$A:$C,3,FALSE)</f>
        <v>M</v>
      </c>
      <c r="I1188" s="7" cm="1">
        <f t="array" aca="1" ref="I1188" ca="1">INDEX('Marital status'!$A:$A,RANDBETWEEN(2,COUNTA('Marital status'!$A:$A)),1)</f>
        <v>3</v>
      </c>
      <c r="J1188" s="7">
        <f t="shared" ca="1" si="219"/>
        <v>4</v>
      </c>
      <c r="K1188" s="8">
        <f t="shared" ca="1" si="220"/>
        <v>30221</v>
      </c>
      <c r="L1188" s="6">
        <f t="shared" ca="1" si="221"/>
        <v>4</v>
      </c>
      <c r="M1188" s="7">
        <f ca="1" xml:space="preserve">
  IF(OR($N1188 = 2, $N1188 = 3, $N1188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188" s="6">
        <f t="shared" ca="1" si="222"/>
        <v>7</v>
      </c>
      <c r="O1188" s="6" t="e">
        <f t="shared" ca="1" si="223"/>
        <v>#N/A</v>
      </c>
      <c r="P1188" s="8">
        <f t="shared" ca="1" si="224"/>
        <v>43393</v>
      </c>
      <c r="Q1188" s="6">
        <f ca="1">RANDBETWEEN(2,COUNTA('Recruitment source'!$A:$A))</f>
        <v>2</v>
      </c>
      <c r="R1188" s="8" t="e">
        <f t="shared" ca="1" si="225"/>
        <v>#N/A</v>
      </c>
      <c r="S1188" s="6" t="e">
        <f t="shared" ca="1" si="226"/>
        <v>#N/A</v>
      </c>
      <c r="T1188" s="6">
        <f t="shared" ca="1" si="216"/>
        <v>5</v>
      </c>
      <c r="U1188" s="1">
        <f t="shared" ca="1" si="227"/>
        <v>1085</v>
      </c>
    </row>
    <row r="1189" spans="1:21" x14ac:dyDescent="0.2">
      <c r="A1189" s="7" cm="1">
        <f t="array" aca="1" ref="A1189" ca="1">INDEX(Companies!$A:$A,RANDBETWEEN(2,COUNTA(Companies!$A:$A)),1)</f>
        <v>2</v>
      </c>
      <c r="B1189" s="5">
        <f t="shared" si="217"/>
        <v>1188</v>
      </c>
      <c r="C1189" s="6">
        <f t="shared" ca="1" si="218"/>
        <v>1</v>
      </c>
      <c r="D1189" s="7">
        <f ca="1">IF($B1189 = 1 + N("Presidente"),
    127,
    IF($B1189 = 2 + N("Vice-Presidente"),
        72,
        IF($B1189 = 3 + N("Secretária bilíngue"),
            13,
            RANDBETWEEN(5,COUNT(Name!$A:$A) + 1)
        )
    )
)</f>
        <v>28</v>
      </c>
      <c r="E1189" s="7" t="str">
        <f ca="1" xml:space="preserve">
VLOOKUP(
  $D1189,
  Name!$A:$B,
  2,
  FALSE
)
&amp; " " &amp;
IF($B1189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Caroline Cândido Bermudes</v>
      </c>
      <c r="F1189" s="7">
        <v>2</v>
      </c>
      <c r="G1189" s="7" cm="1">
        <f t="array" aca="1" ref="G1189" ca="1">INDEX(States!$B:$B,RANDBETWEEN(2,COUNTA(States!$A:$A)),1)</f>
        <v>15</v>
      </c>
      <c r="H1189" s="7" t="str">
        <f ca="1">VLOOKUP($D1189,Name!$A:$C,3,FALSE)</f>
        <v>F</v>
      </c>
      <c r="I1189" s="7" cm="1">
        <f t="array" aca="1" ref="I1189" ca="1">INDEX('Marital status'!$A:$A,RANDBETWEEN(2,COUNTA('Marital status'!$A:$A)),1)</f>
        <v>4</v>
      </c>
      <c r="J1189" s="7">
        <f t="shared" ca="1" si="219"/>
        <v>2</v>
      </c>
      <c r="K1189" s="8">
        <f t="shared" ca="1" si="220"/>
        <v>33489</v>
      </c>
      <c r="L1189" s="6">
        <f t="shared" ca="1" si="221"/>
        <v>5</v>
      </c>
      <c r="M1189" s="7">
        <f ca="1" xml:space="preserve">
  IF(OR($N1189 = 2, $N1189 = 3, $N1189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189" s="6">
        <f t="shared" ca="1" si="222"/>
        <v>8</v>
      </c>
      <c r="O1189" s="6">
        <f t="shared" ca="1" si="223"/>
        <v>3</v>
      </c>
      <c r="P1189" s="8">
        <f t="shared" ca="1" si="224"/>
        <v>42957</v>
      </c>
      <c r="Q1189" s="6">
        <f ca="1">RANDBETWEEN(2,COUNTA('Recruitment source'!$A:$A))</f>
        <v>2</v>
      </c>
      <c r="R1189" s="8" t="e">
        <f t="shared" ca="1" si="225"/>
        <v>#N/A</v>
      </c>
      <c r="S1189" s="6" t="e">
        <f t="shared" ca="1" si="226"/>
        <v>#N/A</v>
      </c>
      <c r="T1189" s="6">
        <f t="shared" ca="1" si="216"/>
        <v>3</v>
      </c>
      <c r="U1189" s="1">
        <f t="shared" ca="1" si="227"/>
        <v>2080</v>
      </c>
    </row>
    <row r="1190" spans="1:21" x14ac:dyDescent="0.2">
      <c r="A1190" s="7" cm="1">
        <f t="array" aca="1" ref="A1190" ca="1">INDEX(Companies!$A:$A,RANDBETWEEN(2,COUNTA(Companies!$A:$A)),1)</f>
        <v>2</v>
      </c>
      <c r="B1190" s="5">
        <f t="shared" si="217"/>
        <v>1189</v>
      </c>
      <c r="C1190" s="6">
        <f t="shared" ca="1" si="218"/>
        <v>1</v>
      </c>
      <c r="D1190" s="7">
        <f ca="1">IF($B1190 = 1 + N("Presidente"),
    127,
    IF($B1190 = 2 + N("Vice-Presidente"),
        72,
        IF($B1190 = 3 + N("Secretária bilíngue"),
            13,
            RANDBETWEEN(5,COUNT(Name!$A:$A) + 1)
        )
    )
)</f>
        <v>358</v>
      </c>
      <c r="E1190" s="7" t="str">
        <f ca="1" xml:space="preserve">
VLOOKUP(
  $D1190,
  Name!$A:$B,
  2,
  FALSE
)
&amp; " " &amp;
IF($B1190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Vinícius Frois Chaves</v>
      </c>
      <c r="F1190" s="7">
        <v>2</v>
      </c>
      <c r="G1190" s="7" cm="1">
        <f t="array" aca="1" ref="G1190" ca="1">INDEX(States!$B:$B,RANDBETWEEN(2,COUNTA(States!$A:$A)),1)</f>
        <v>3</v>
      </c>
      <c r="H1190" s="7" t="str">
        <f ca="1">VLOOKUP($D1190,Name!$A:$C,3,FALSE)</f>
        <v>M</v>
      </c>
      <c r="I1190" s="7" cm="1">
        <f t="array" aca="1" ref="I1190" ca="1">INDEX('Marital status'!$A:$A,RANDBETWEEN(2,COUNTA('Marital status'!$A:$A)),1)</f>
        <v>3</v>
      </c>
      <c r="J1190" s="7">
        <f t="shared" ca="1" si="219"/>
        <v>3</v>
      </c>
      <c r="K1190" s="8">
        <f t="shared" ca="1" si="220"/>
        <v>33171</v>
      </c>
      <c r="L1190" s="6">
        <f t="shared" ca="1" si="221"/>
        <v>4</v>
      </c>
      <c r="M1190" s="7">
        <f ca="1" xml:space="preserve">
  IF(OR($N1190 = 2, $N1190 = 3, $N1190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190" s="6">
        <f t="shared" ca="1" si="222"/>
        <v>6</v>
      </c>
      <c r="O1190" s="6" t="e">
        <f t="shared" ca="1" si="223"/>
        <v>#N/A</v>
      </c>
      <c r="P1190" s="8">
        <f t="shared" ca="1" si="224"/>
        <v>41405</v>
      </c>
      <c r="Q1190" s="6">
        <f ca="1">RANDBETWEEN(2,COUNTA('Recruitment source'!$A:$A))</f>
        <v>10</v>
      </c>
      <c r="R1190" s="8" t="e">
        <f t="shared" ca="1" si="225"/>
        <v>#N/A</v>
      </c>
      <c r="S1190" s="6" t="e">
        <f t="shared" ca="1" si="226"/>
        <v>#N/A</v>
      </c>
      <c r="T1190" s="6">
        <f t="shared" ca="1" si="216"/>
        <v>3</v>
      </c>
      <c r="U1190" s="1">
        <f t="shared" ca="1" si="227"/>
        <v>885</v>
      </c>
    </row>
    <row r="1191" spans="1:21" x14ac:dyDescent="0.2">
      <c r="A1191" s="7" cm="1">
        <f t="array" aca="1" ref="A1191" ca="1">INDEX(Companies!$A:$A,RANDBETWEEN(2,COUNTA(Companies!$A:$A)),1)</f>
        <v>2</v>
      </c>
      <c r="B1191" s="5">
        <f t="shared" si="217"/>
        <v>1190</v>
      </c>
      <c r="C1191" s="6">
        <f t="shared" ca="1" si="218"/>
        <v>1</v>
      </c>
      <c r="D1191" s="7">
        <f ca="1">IF($B1191 = 1 + N("Presidente"),
    127,
    IF($B1191 = 2 + N("Vice-Presidente"),
        72,
        IF($B1191 = 3 + N("Secretária bilíngue"),
            13,
            RANDBETWEEN(5,COUNT(Name!$A:$A) + 1)
        )
    )
)</f>
        <v>180</v>
      </c>
      <c r="E1191" s="7" t="str">
        <f ca="1" xml:space="preserve">
VLOOKUP(
  $D1191,
  Name!$A:$B,
  2,
  FALSE
)
&amp; " " &amp;
IF($B1191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Isis Giordano Gomes</v>
      </c>
      <c r="F1191" s="7">
        <v>2</v>
      </c>
      <c r="G1191" s="7" cm="1">
        <f t="array" aca="1" ref="G1191" ca="1">INDEX(States!$B:$B,RANDBETWEEN(2,COUNTA(States!$A:$A)),1)</f>
        <v>6</v>
      </c>
      <c r="H1191" s="7" t="str">
        <f ca="1">VLOOKUP($D1191,Name!$A:$C,3,FALSE)</f>
        <v>F</v>
      </c>
      <c r="I1191" s="7" cm="1">
        <f t="array" aca="1" ref="I1191" ca="1">INDEX('Marital status'!$A:$A,RANDBETWEEN(2,COUNTA('Marital status'!$A:$A)),1)</f>
        <v>4</v>
      </c>
      <c r="J1191" s="7">
        <f t="shared" ca="1" si="219"/>
        <v>2</v>
      </c>
      <c r="K1191" s="8">
        <f t="shared" ca="1" si="220"/>
        <v>37204</v>
      </c>
      <c r="L1191" s="6">
        <f t="shared" ca="1" si="221"/>
        <v>4</v>
      </c>
      <c r="M1191" s="7">
        <f ca="1" xml:space="preserve">
  IF(OR($N1191 = 2, $N1191 = 3, $N1191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191" s="6">
        <f t="shared" ca="1" si="222"/>
        <v>8</v>
      </c>
      <c r="O1191" s="6">
        <f t="shared" ca="1" si="223"/>
        <v>4</v>
      </c>
      <c r="P1191" s="8">
        <f t="shared" ca="1" si="224"/>
        <v>38926</v>
      </c>
      <c r="Q1191" s="6">
        <f ca="1">RANDBETWEEN(2,COUNTA('Recruitment source'!$A:$A))</f>
        <v>12</v>
      </c>
      <c r="R1191" s="8" t="e">
        <f t="shared" ca="1" si="225"/>
        <v>#N/A</v>
      </c>
      <c r="S1191" s="6" t="e">
        <f t="shared" ca="1" si="226"/>
        <v>#N/A</v>
      </c>
      <c r="T1191" s="6">
        <f t="shared" ca="1" si="216"/>
        <v>5</v>
      </c>
      <c r="U1191" s="1">
        <f t="shared" ca="1" si="227"/>
        <v>2000</v>
      </c>
    </row>
    <row r="1192" spans="1:21" x14ac:dyDescent="0.2">
      <c r="A1192" s="7" cm="1">
        <f t="array" aca="1" ref="A1192" ca="1">INDEX(Companies!$A:$A,RANDBETWEEN(2,COUNTA(Companies!$A:$A)),1)</f>
        <v>2</v>
      </c>
      <c r="B1192" s="5">
        <f t="shared" si="217"/>
        <v>1191</v>
      </c>
      <c r="C1192" s="6">
        <f t="shared" ca="1" si="218"/>
        <v>1</v>
      </c>
      <c r="D1192" s="7">
        <f ca="1">IF($B1192 = 1 + N("Presidente"),
    127,
    IF($B1192 = 2 + N("Vice-Presidente"),
        72,
        IF($B1192 = 3 + N("Secretária bilíngue"),
            13,
            RANDBETWEEN(5,COUNT(Name!$A:$A) + 1)
        )
    )
)</f>
        <v>150</v>
      </c>
      <c r="E1192" s="7" t="str">
        <f ca="1" xml:space="preserve">
VLOOKUP(
  $D1192,
  Name!$A:$B,
  2,
  FALSE
)
&amp; " " &amp;
IF($B1192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Gabriela Pinto Negrão</v>
      </c>
      <c r="F1192" s="7">
        <v>2</v>
      </c>
      <c r="G1192" s="7" cm="1">
        <f t="array" aca="1" ref="G1192" ca="1">INDEX(States!$B:$B,RANDBETWEEN(2,COUNTA(States!$A:$A)),1)</f>
        <v>14</v>
      </c>
      <c r="H1192" s="7" t="str">
        <f ca="1">VLOOKUP($D1192,Name!$A:$C,3,FALSE)</f>
        <v>F</v>
      </c>
      <c r="I1192" s="7" cm="1">
        <f t="array" aca="1" ref="I1192" ca="1">INDEX('Marital status'!$A:$A,RANDBETWEEN(2,COUNTA('Marital status'!$A:$A)),1)</f>
        <v>4</v>
      </c>
      <c r="J1192" s="7">
        <f t="shared" ca="1" si="219"/>
        <v>2</v>
      </c>
      <c r="K1192" s="8">
        <f t="shared" ca="1" si="220"/>
        <v>33745</v>
      </c>
      <c r="L1192" s="6">
        <f t="shared" ca="1" si="221"/>
        <v>4</v>
      </c>
      <c r="M1192" s="7">
        <f ca="1" xml:space="preserve">
  IF(OR($N1192 = 2, $N1192 = 3, $N1192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192" s="6">
        <f t="shared" ca="1" si="222"/>
        <v>6</v>
      </c>
      <c r="O1192" s="6" t="e">
        <f t="shared" ca="1" si="223"/>
        <v>#N/A</v>
      </c>
      <c r="P1192" s="8">
        <f t="shared" ca="1" si="224"/>
        <v>41440</v>
      </c>
      <c r="Q1192" s="6">
        <f ca="1">RANDBETWEEN(2,COUNTA('Recruitment source'!$A:$A))</f>
        <v>7</v>
      </c>
      <c r="R1192" s="8" t="e">
        <f t="shared" ca="1" si="225"/>
        <v>#N/A</v>
      </c>
      <c r="S1192" s="6" t="e">
        <f t="shared" ca="1" si="226"/>
        <v>#N/A</v>
      </c>
      <c r="T1192" s="6">
        <f t="shared" ca="1" si="216"/>
        <v>4</v>
      </c>
      <c r="U1192" s="1">
        <f t="shared" ca="1" si="227"/>
        <v>805</v>
      </c>
    </row>
    <row r="1193" spans="1:21" x14ac:dyDescent="0.2">
      <c r="A1193" s="7" cm="1">
        <f t="array" aca="1" ref="A1193" ca="1">INDEX(Companies!$A:$A,RANDBETWEEN(2,COUNTA(Companies!$A:$A)),1)</f>
        <v>2</v>
      </c>
      <c r="B1193" s="5">
        <f t="shared" si="217"/>
        <v>1192</v>
      </c>
      <c r="C1193" s="6">
        <f t="shared" ca="1" si="218"/>
        <v>1</v>
      </c>
      <c r="D1193" s="7">
        <f ca="1">IF($B1193 = 1 + N("Presidente"),
    127,
    IF($B1193 = 2 + N("Vice-Presidente"),
        72,
        IF($B1193 = 3 + N("Secretária bilíngue"),
            13,
            RANDBETWEEN(5,COUNT(Name!$A:$A) + 1)
        )
    )
)</f>
        <v>11</v>
      </c>
      <c r="E1193" s="7" t="str">
        <f ca="1" xml:space="preserve">
VLOOKUP(
  $D1193,
  Name!$A:$B,
  2,
  FALSE
)
&amp; " " &amp;
IF($B1193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Agatha Auth Pedroso</v>
      </c>
      <c r="F1193" s="7">
        <v>2</v>
      </c>
      <c r="G1193" s="7" cm="1">
        <f t="array" aca="1" ref="G1193" ca="1">INDEX(States!$B:$B,RANDBETWEEN(2,COUNTA(States!$A:$A)),1)</f>
        <v>8</v>
      </c>
      <c r="H1193" s="7" t="str">
        <f ca="1">VLOOKUP($D1193,Name!$A:$C,3,FALSE)</f>
        <v>F</v>
      </c>
      <c r="I1193" s="7" cm="1">
        <f t="array" aca="1" ref="I1193" ca="1">INDEX('Marital status'!$A:$A,RANDBETWEEN(2,COUNTA('Marital status'!$A:$A)),1)</f>
        <v>3</v>
      </c>
      <c r="J1193" s="7">
        <f t="shared" ca="1" si="219"/>
        <v>2</v>
      </c>
      <c r="K1193" s="8">
        <f t="shared" ca="1" si="220"/>
        <v>37072</v>
      </c>
      <c r="L1193" s="6">
        <f t="shared" ca="1" si="221"/>
        <v>4</v>
      </c>
      <c r="M1193" s="7">
        <f ca="1" xml:space="preserve">
  IF(OR($N1193 = 2, $N1193 = 3, $N1193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193" s="6">
        <f t="shared" ca="1" si="222"/>
        <v>8</v>
      </c>
      <c r="O1193" s="6">
        <f t="shared" ca="1" si="223"/>
        <v>3</v>
      </c>
      <c r="P1193" s="8">
        <f t="shared" ca="1" si="224"/>
        <v>37836</v>
      </c>
      <c r="Q1193" s="6">
        <f ca="1">RANDBETWEEN(2,COUNTA('Recruitment source'!$A:$A))</f>
        <v>11</v>
      </c>
      <c r="R1193" s="8" t="e">
        <f t="shared" ca="1" si="225"/>
        <v>#N/A</v>
      </c>
      <c r="S1193" s="6" t="e">
        <f t="shared" ca="1" si="226"/>
        <v>#N/A</v>
      </c>
      <c r="T1193" s="6">
        <f t="shared" ca="1" si="216"/>
        <v>5</v>
      </c>
      <c r="U1193" s="1">
        <f t="shared" ca="1" si="227"/>
        <v>2000</v>
      </c>
    </row>
    <row r="1194" spans="1:21" x14ac:dyDescent="0.2">
      <c r="A1194" s="7" cm="1">
        <f t="array" aca="1" ref="A1194" ca="1">INDEX(Companies!$A:$A,RANDBETWEEN(2,COUNTA(Companies!$A:$A)),1)</f>
        <v>2</v>
      </c>
      <c r="B1194" s="5">
        <f t="shared" si="217"/>
        <v>1193</v>
      </c>
      <c r="C1194" s="6">
        <f t="shared" ca="1" si="218"/>
        <v>1</v>
      </c>
      <c r="D1194" s="7">
        <f ca="1">IF($B1194 = 1 + N("Presidente"),
    127,
    IF($B1194 = 2 + N("Vice-Presidente"),
        72,
        IF($B1194 = 3 + N("Secretária bilíngue"),
            13,
            RANDBETWEEN(5,COUNT(Name!$A:$A) + 1)
        )
    )
)</f>
        <v>255</v>
      </c>
      <c r="E1194" s="7" t="str">
        <f ca="1" xml:space="preserve">
VLOOKUP(
  $D1194,
  Name!$A:$B,
  2,
  FALSE
)
&amp; " " &amp;
IF($B1194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Manuela Veiga Gomes</v>
      </c>
      <c r="F1194" s="7">
        <v>2</v>
      </c>
      <c r="G1194" s="7" cm="1">
        <f t="array" aca="1" ref="G1194" ca="1">INDEX(States!$B:$B,RANDBETWEEN(2,COUNTA(States!$A:$A)),1)</f>
        <v>20</v>
      </c>
      <c r="H1194" s="7" t="str">
        <f ca="1">VLOOKUP($D1194,Name!$A:$C,3,FALSE)</f>
        <v>F</v>
      </c>
      <c r="I1194" s="7" cm="1">
        <f t="array" aca="1" ref="I1194" ca="1">INDEX('Marital status'!$A:$A,RANDBETWEEN(2,COUNTA('Marital status'!$A:$A)),1)</f>
        <v>6</v>
      </c>
      <c r="J1194" s="7">
        <f t="shared" ca="1" si="219"/>
        <v>2</v>
      </c>
      <c r="K1194" s="8">
        <f t="shared" ca="1" si="220"/>
        <v>29761</v>
      </c>
      <c r="L1194" s="6">
        <f t="shared" ca="1" si="221"/>
        <v>4</v>
      </c>
      <c r="M1194" s="7">
        <f ca="1" xml:space="preserve">
  IF(OR($N1194 = 2, $N1194 = 3, $N1194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194" s="6">
        <f t="shared" ca="1" si="222"/>
        <v>6</v>
      </c>
      <c r="O1194" s="6" t="e">
        <f t="shared" ca="1" si="223"/>
        <v>#N/A</v>
      </c>
      <c r="P1194" s="8">
        <f t="shared" ca="1" si="224"/>
        <v>43408</v>
      </c>
      <c r="Q1194" s="6">
        <f ca="1">RANDBETWEEN(2,COUNTA('Recruitment source'!$A:$A))</f>
        <v>9</v>
      </c>
      <c r="R1194" s="8" t="e">
        <f t="shared" ca="1" si="225"/>
        <v>#N/A</v>
      </c>
      <c r="S1194" s="6" t="e">
        <f t="shared" ca="1" si="226"/>
        <v>#N/A</v>
      </c>
      <c r="T1194" s="6">
        <f t="shared" ca="1" si="216"/>
        <v>3</v>
      </c>
      <c r="U1194" s="1">
        <f t="shared" ca="1" si="227"/>
        <v>885</v>
      </c>
    </row>
    <row r="1195" spans="1:21" x14ac:dyDescent="0.2">
      <c r="A1195" s="7" cm="1">
        <f t="array" aca="1" ref="A1195" ca="1">INDEX(Companies!$A:$A,RANDBETWEEN(2,COUNTA(Companies!$A:$A)),1)</f>
        <v>2</v>
      </c>
      <c r="B1195" s="5">
        <f t="shared" si="217"/>
        <v>1194</v>
      </c>
      <c r="C1195" s="6">
        <f t="shared" ca="1" si="218"/>
        <v>1</v>
      </c>
      <c r="D1195" s="7">
        <f ca="1">IF($B1195 = 1 + N("Presidente"),
    127,
    IF($B1195 = 2 + N("Vice-Presidente"),
        72,
        IF($B1195 = 3 + N("Secretária bilíngue"),
            13,
            RANDBETWEEN(5,COUNT(Name!$A:$A) + 1)
        )
    )
)</f>
        <v>73</v>
      </c>
      <c r="E1195" s="7" t="str">
        <f ca="1" xml:space="preserve">
VLOOKUP(
  $D1195,
  Name!$A:$B,
  2,
  FALSE
)
&amp; " " &amp;
IF($B1195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Bianca Melo Frasão</v>
      </c>
      <c r="F1195" s="7">
        <v>2</v>
      </c>
      <c r="G1195" s="7" cm="1">
        <f t="array" aca="1" ref="G1195" ca="1">INDEX(States!$B:$B,RANDBETWEEN(2,COUNTA(States!$A:$A)),1)</f>
        <v>21</v>
      </c>
      <c r="H1195" s="7" t="str">
        <f ca="1">VLOOKUP($D1195,Name!$A:$C,3,FALSE)</f>
        <v>F</v>
      </c>
      <c r="I1195" s="7" cm="1">
        <f t="array" aca="1" ref="I1195" ca="1">INDEX('Marital status'!$A:$A,RANDBETWEEN(2,COUNTA('Marital status'!$A:$A)),1)</f>
        <v>2</v>
      </c>
      <c r="J1195" s="7">
        <f t="shared" ca="1" si="219"/>
        <v>2</v>
      </c>
      <c r="K1195" s="8">
        <f t="shared" ca="1" si="220"/>
        <v>34716</v>
      </c>
      <c r="L1195" s="6">
        <f t="shared" ca="1" si="221"/>
        <v>5</v>
      </c>
      <c r="M1195" s="7">
        <f ca="1" xml:space="preserve">
  IF(OR($N1195 = 2, $N1195 = 3, $N1195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195" s="6">
        <f t="shared" ca="1" si="222"/>
        <v>8</v>
      </c>
      <c r="O1195" s="6">
        <f t="shared" ca="1" si="223"/>
        <v>3</v>
      </c>
      <c r="P1195" s="8">
        <f t="shared" ca="1" si="224"/>
        <v>37111</v>
      </c>
      <c r="Q1195" s="6">
        <f ca="1">RANDBETWEEN(2,COUNTA('Recruitment source'!$A:$A))</f>
        <v>5</v>
      </c>
      <c r="R1195" s="8" t="e">
        <f t="shared" ca="1" si="225"/>
        <v>#N/A</v>
      </c>
      <c r="S1195" s="6" t="e">
        <f t="shared" ca="1" si="226"/>
        <v>#N/A</v>
      </c>
      <c r="T1195" s="6">
        <f t="shared" ca="1" si="216"/>
        <v>5</v>
      </c>
      <c r="U1195" s="1">
        <f t="shared" ca="1" si="227"/>
        <v>2000</v>
      </c>
    </row>
    <row r="1196" spans="1:21" x14ac:dyDescent="0.2">
      <c r="A1196" s="7" cm="1">
        <f t="array" aca="1" ref="A1196" ca="1">INDEX(Companies!$A:$A,RANDBETWEEN(2,COUNTA(Companies!$A:$A)),1)</f>
        <v>2</v>
      </c>
      <c r="B1196" s="5">
        <f t="shared" si="217"/>
        <v>1195</v>
      </c>
      <c r="C1196" s="6">
        <f t="shared" ca="1" si="218"/>
        <v>1</v>
      </c>
      <c r="D1196" s="7">
        <f ca="1">IF($B1196 = 1 + N("Presidente"),
    127,
    IF($B1196 = 2 + N("Vice-Presidente"),
        72,
        IF($B1196 = 3 + N("Secretária bilíngue"),
            13,
            RANDBETWEEN(5,COUNT(Name!$A:$A) + 1)
        )
    )
)</f>
        <v>157</v>
      </c>
      <c r="E1196" s="7" t="str">
        <f ca="1" xml:space="preserve">
VLOOKUP(
  $D1196,
  Name!$A:$B,
  2,
  FALSE
)
&amp; " " &amp;
IF($B1196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Guilherme Peçanha Cabral</v>
      </c>
      <c r="F1196" s="7">
        <v>2</v>
      </c>
      <c r="G1196" s="7" cm="1">
        <f t="array" aca="1" ref="G1196" ca="1">INDEX(States!$B:$B,RANDBETWEEN(2,COUNTA(States!$A:$A)),1)</f>
        <v>12</v>
      </c>
      <c r="H1196" s="7" t="str">
        <f ca="1">VLOOKUP($D1196,Name!$A:$C,3,FALSE)</f>
        <v>M</v>
      </c>
      <c r="I1196" s="7" cm="1">
        <f t="array" aca="1" ref="I1196" ca="1">INDEX('Marital status'!$A:$A,RANDBETWEEN(2,COUNTA('Marital status'!$A:$A)),1)</f>
        <v>4</v>
      </c>
      <c r="J1196" s="7">
        <f t="shared" ca="1" si="219"/>
        <v>2</v>
      </c>
      <c r="K1196" s="8">
        <f t="shared" ca="1" si="220"/>
        <v>31827</v>
      </c>
      <c r="L1196" s="6">
        <f t="shared" ca="1" si="221"/>
        <v>4</v>
      </c>
      <c r="M1196" s="7">
        <f ca="1" xml:space="preserve">
  IF(OR($N1196 = 2, $N1196 = 3, $N1196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196" s="6">
        <f t="shared" ca="1" si="222"/>
        <v>7</v>
      </c>
      <c r="O1196" s="6" t="e">
        <f t="shared" ca="1" si="223"/>
        <v>#N/A</v>
      </c>
      <c r="P1196" s="8">
        <f t="shared" ca="1" si="224"/>
        <v>44321</v>
      </c>
      <c r="Q1196" s="6">
        <f ca="1">RANDBETWEEN(2,COUNTA('Recruitment source'!$A:$A))</f>
        <v>2</v>
      </c>
      <c r="R1196" s="8" t="e">
        <f t="shared" ca="1" si="225"/>
        <v>#N/A</v>
      </c>
      <c r="S1196" s="6" t="e">
        <f t="shared" ca="1" si="226"/>
        <v>#N/A</v>
      </c>
      <c r="T1196" s="6">
        <f t="shared" ca="1" si="216"/>
        <v>4</v>
      </c>
      <c r="U1196" s="1">
        <f t="shared" ca="1" si="227"/>
        <v>1085</v>
      </c>
    </row>
    <row r="1197" spans="1:21" x14ac:dyDescent="0.2">
      <c r="A1197" s="7" cm="1">
        <f t="array" aca="1" ref="A1197" ca="1">INDEX(Companies!$A:$A,RANDBETWEEN(2,COUNTA(Companies!$A:$A)),1)</f>
        <v>2</v>
      </c>
      <c r="B1197" s="5">
        <f t="shared" si="217"/>
        <v>1196</v>
      </c>
      <c r="C1197" s="6">
        <f t="shared" ca="1" si="218"/>
        <v>1</v>
      </c>
      <c r="D1197" s="7">
        <f ca="1">IF($B1197 = 1 + N("Presidente"),
    127,
    IF($B1197 = 2 + N("Vice-Presidente"),
        72,
        IF($B1197 = 3 + N("Secretária bilíngue"),
            13,
            RANDBETWEEN(5,COUNT(Name!$A:$A) + 1)
        )
    )
)</f>
        <v>135</v>
      </c>
      <c r="E1197" s="7" t="str">
        <f ca="1" xml:space="preserve">
VLOOKUP(
  $D1197,
  Name!$A:$B,
  2,
  FALSE
)
&amp; " " &amp;
IF($B1197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Felipe Giordano Albuquerque</v>
      </c>
      <c r="F1197" s="7">
        <v>2</v>
      </c>
      <c r="G1197" s="7" cm="1">
        <f t="array" aca="1" ref="G1197" ca="1">INDEX(States!$B:$B,RANDBETWEEN(2,COUNTA(States!$A:$A)),1)</f>
        <v>21</v>
      </c>
      <c r="H1197" s="7" t="str">
        <f ca="1">VLOOKUP($D1197,Name!$A:$C,3,FALSE)</f>
        <v>M</v>
      </c>
      <c r="I1197" s="7" cm="1">
        <f t="array" aca="1" ref="I1197" ca="1">INDEX('Marital status'!$A:$A,RANDBETWEEN(2,COUNTA('Marital status'!$A:$A)),1)</f>
        <v>5</v>
      </c>
      <c r="J1197" s="7">
        <f t="shared" ca="1" si="219"/>
        <v>5</v>
      </c>
      <c r="K1197" s="8">
        <f t="shared" ca="1" si="220"/>
        <v>35156</v>
      </c>
      <c r="L1197" s="6">
        <f t="shared" ca="1" si="221"/>
        <v>4</v>
      </c>
      <c r="M1197" s="7">
        <f ca="1" xml:space="preserve">
  IF(OR($N1197 = 2, $N1197 = 3, $N1197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197" s="6">
        <f t="shared" ca="1" si="222"/>
        <v>8</v>
      </c>
      <c r="O1197" s="6">
        <f t="shared" ca="1" si="223"/>
        <v>3</v>
      </c>
      <c r="P1197" s="8">
        <f t="shared" ca="1" si="224"/>
        <v>40036</v>
      </c>
      <c r="Q1197" s="6">
        <f ca="1">RANDBETWEEN(2,COUNTA('Recruitment source'!$A:$A))</f>
        <v>12</v>
      </c>
      <c r="R1197" s="8" t="e">
        <f t="shared" ca="1" si="225"/>
        <v>#N/A</v>
      </c>
      <c r="S1197" s="6" t="e">
        <f t="shared" ca="1" si="226"/>
        <v>#N/A</v>
      </c>
      <c r="T1197" s="6">
        <f t="shared" ca="1" si="216"/>
        <v>3</v>
      </c>
      <c r="U1197" s="1">
        <f t="shared" ca="1" si="227"/>
        <v>2080</v>
      </c>
    </row>
    <row r="1198" spans="1:21" x14ac:dyDescent="0.2">
      <c r="A1198" s="7" cm="1">
        <f t="array" aca="1" ref="A1198" ca="1">INDEX(Companies!$A:$A,RANDBETWEEN(2,COUNTA(Companies!$A:$A)),1)</f>
        <v>2</v>
      </c>
      <c r="B1198" s="5">
        <f t="shared" si="217"/>
        <v>1197</v>
      </c>
      <c r="C1198" s="6">
        <f t="shared" ca="1" si="218"/>
        <v>1</v>
      </c>
      <c r="D1198" s="7">
        <f ca="1">IF($B1198 = 1 + N("Presidente"),
    127,
    IF($B1198 = 2 + N("Vice-Presidente"),
        72,
        IF($B1198 = 3 + N("Secretária bilíngue"),
            13,
            RANDBETWEEN(5,COUNT(Name!$A:$A) + 1)
        )
    )
)</f>
        <v>117</v>
      </c>
      <c r="E1198" s="7" t="str">
        <f ca="1" xml:space="preserve">
VLOOKUP(
  $D1198,
  Name!$A:$B,
  2,
  FALSE
)
&amp; " " &amp;
IF($B1198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Eduardo Teixeira Moretti</v>
      </c>
      <c r="F1198" s="7">
        <v>2</v>
      </c>
      <c r="G1198" s="7" cm="1">
        <f t="array" aca="1" ref="G1198" ca="1">INDEX(States!$B:$B,RANDBETWEEN(2,COUNTA(States!$A:$A)),1)</f>
        <v>7</v>
      </c>
      <c r="H1198" s="7" t="str">
        <f ca="1">VLOOKUP($D1198,Name!$A:$C,3,FALSE)</f>
        <v>M</v>
      </c>
      <c r="I1198" s="7" cm="1">
        <f t="array" aca="1" ref="I1198" ca="1">INDEX('Marital status'!$A:$A,RANDBETWEEN(2,COUNTA('Marital status'!$A:$A)),1)</f>
        <v>5</v>
      </c>
      <c r="J1198" s="7">
        <f t="shared" ca="1" si="219"/>
        <v>2</v>
      </c>
      <c r="K1198" s="8">
        <f t="shared" ca="1" si="220"/>
        <v>34137</v>
      </c>
      <c r="L1198" s="6">
        <f t="shared" ca="1" si="221"/>
        <v>4</v>
      </c>
      <c r="M1198" s="7">
        <f ca="1" xml:space="preserve">
  IF(OR($N1198 = 2, $N1198 = 3, $N1198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198" s="6">
        <f t="shared" ca="1" si="222"/>
        <v>7</v>
      </c>
      <c r="O1198" s="6" t="e">
        <f t="shared" ca="1" si="223"/>
        <v>#N/A</v>
      </c>
      <c r="P1198" s="8">
        <f t="shared" ca="1" si="224"/>
        <v>37949</v>
      </c>
      <c r="Q1198" s="6">
        <f ca="1">RANDBETWEEN(2,COUNTA('Recruitment source'!$A:$A))</f>
        <v>10</v>
      </c>
      <c r="R1198" s="8" t="e">
        <f t="shared" ca="1" si="225"/>
        <v>#N/A</v>
      </c>
      <c r="S1198" s="6" t="e">
        <f t="shared" ca="1" si="226"/>
        <v>#N/A</v>
      </c>
      <c r="T1198" s="6">
        <f t="shared" ca="1" si="216"/>
        <v>5</v>
      </c>
      <c r="U1198" s="1">
        <f t="shared" ca="1" si="227"/>
        <v>1085</v>
      </c>
    </row>
    <row r="1199" spans="1:21" x14ac:dyDescent="0.2">
      <c r="A1199" s="7" cm="1">
        <f t="array" aca="1" ref="A1199" ca="1">INDEX(Companies!$A:$A,RANDBETWEEN(2,COUNTA(Companies!$A:$A)),1)</f>
        <v>2</v>
      </c>
      <c r="B1199" s="5">
        <f t="shared" si="217"/>
        <v>1198</v>
      </c>
      <c r="C1199" s="6">
        <f t="shared" ca="1" si="218"/>
        <v>1</v>
      </c>
      <c r="D1199" s="7">
        <f ca="1">IF($B1199 = 1 + N("Presidente"),
    127,
    IF($B1199 = 2 + N("Vice-Presidente"),
        72,
        IF($B1199 = 3 + N("Secretária bilíngue"),
            13,
            RANDBETWEEN(5,COUNT(Name!$A:$A) + 1)
        )
    )
)</f>
        <v>242</v>
      </c>
      <c r="E1199" s="7" t="str">
        <f ca="1" xml:space="preserve">
VLOOKUP(
  $D1199,
  Name!$A:$B,
  2,
  FALSE
)
&amp; " " &amp;
IF($B1199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Luisa Caruso Bactista</v>
      </c>
      <c r="F1199" s="7">
        <v>2</v>
      </c>
      <c r="G1199" s="7" cm="1">
        <f t="array" aca="1" ref="G1199" ca="1">INDEX(States!$B:$B,RANDBETWEEN(2,COUNTA(States!$A:$A)),1)</f>
        <v>9</v>
      </c>
      <c r="H1199" s="7" t="str">
        <f ca="1">VLOOKUP($D1199,Name!$A:$C,3,FALSE)</f>
        <v>F</v>
      </c>
      <c r="I1199" s="7" cm="1">
        <f t="array" aca="1" ref="I1199" ca="1">INDEX('Marital status'!$A:$A,RANDBETWEEN(2,COUNTA('Marital status'!$A:$A)),1)</f>
        <v>6</v>
      </c>
      <c r="J1199" s="7">
        <f t="shared" ca="1" si="219"/>
        <v>4</v>
      </c>
      <c r="K1199" s="8">
        <f t="shared" ca="1" si="220"/>
        <v>34698</v>
      </c>
      <c r="L1199" s="6">
        <f t="shared" ca="1" si="221"/>
        <v>5</v>
      </c>
      <c r="M1199" s="7">
        <f ca="1" xml:space="preserve">
  IF(OR($N1199 = 2, $N1199 = 3, $N1199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199" s="6">
        <f t="shared" ca="1" si="222"/>
        <v>8</v>
      </c>
      <c r="O1199" s="6">
        <f t="shared" ca="1" si="223"/>
        <v>2</v>
      </c>
      <c r="P1199" s="8">
        <f t="shared" ca="1" si="224"/>
        <v>42783</v>
      </c>
      <c r="Q1199" s="6">
        <f ca="1">RANDBETWEEN(2,COUNTA('Recruitment source'!$A:$A))</f>
        <v>4</v>
      </c>
      <c r="R1199" s="8" t="e">
        <f t="shared" ca="1" si="225"/>
        <v>#N/A</v>
      </c>
      <c r="S1199" s="6" t="e">
        <f t="shared" ca="1" si="226"/>
        <v>#N/A</v>
      </c>
      <c r="T1199" s="6">
        <f t="shared" ca="1" si="216"/>
        <v>2</v>
      </c>
      <c r="U1199" s="1">
        <f t="shared" ca="1" si="227"/>
        <v>2000</v>
      </c>
    </row>
    <row r="1200" spans="1:21" x14ac:dyDescent="0.2">
      <c r="A1200" s="7" cm="1">
        <f t="array" aca="1" ref="A1200" ca="1">INDEX(Companies!$A:$A,RANDBETWEEN(2,COUNTA(Companies!$A:$A)),1)</f>
        <v>2</v>
      </c>
      <c r="B1200" s="5">
        <f t="shared" si="217"/>
        <v>1199</v>
      </c>
      <c r="C1200" s="6">
        <f t="shared" ca="1" si="218"/>
        <v>1</v>
      </c>
      <c r="D1200" s="7">
        <f ca="1">IF($B1200 = 1 + N("Presidente"),
    127,
    IF($B1200 = 2 + N("Vice-Presidente"),
        72,
        IF($B1200 = 3 + N("Secretária bilíngue"),
            13,
            RANDBETWEEN(5,COUNT(Name!$A:$A) + 1)
        )
    )
)</f>
        <v>102</v>
      </c>
      <c r="E1200" s="7" t="str">
        <f ca="1" xml:space="preserve">
VLOOKUP(
  $D1200,
  Name!$A:$B,
  2,
  FALSE
)
&amp; " " &amp;
IF($B1200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Danilo sobrenome Alvaregna</v>
      </c>
      <c r="F1200" s="7">
        <v>2</v>
      </c>
      <c r="G1200" s="7" cm="1">
        <f t="array" aca="1" ref="G1200" ca="1">INDEX(States!$B:$B,RANDBETWEEN(2,COUNTA(States!$A:$A)),1)</f>
        <v>15</v>
      </c>
      <c r="H1200" s="7" t="str">
        <f ca="1">VLOOKUP($D1200,Name!$A:$C,3,FALSE)</f>
        <v>M</v>
      </c>
      <c r="I1200" s="7" cm="1">
        <f t="array" aca="1" ref="I1200" ca="1">INDEX('Marital status'!$A:$A,RANDBETWEEN(2,COUNTA('Marital status'!$A:$A)),1)</f>
        <v>4</v>
      </c>
      <c r="J1200" s="7">
        <f t="shared" ca="1" si="219"/>
        <v>2</v>
      </c>
      <c r="K1200" s="8">
        <f t="shared" ca="1" si="220"/>
        <v>17856</v>
      </c>
      <c r="L1200" s="6">
        <f t="shared" ca="1" si="221"/>
        <v>4</v>
      </c>
      <c r="M1200" s="7">
        <f ca="1" xml:space="preserve">
  IF(OR($N1200 = 2, $N1200 = 3, $N1200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200" s="6">
        <f t="shared" ca="1" si="222"/>
        <v>6</v>
      </c>
      <c r="O1200" s="6" t="e">
        <f t="shared" ca="1" si="223"/>
        <v>#N/A</v>
      </c>
      <c r="P1200" s="8">
        <f t="shared" ca="1" si="224"/>
        <v>41697</v>
      </c>
      <c r="Q1200" s="6">
        <f ca="1">RANDBETWEEN(2,COUNTA('Recruitment source'!$A:$A))</f>
        <v>12</v>
      </c>
      <c r="R1200" s="8" t="e">
        <f t="shared" ca="1" si="225"/>
        <v>#N/A</v>
      </c>
      <c r="S1200" s="6" t="e">
        <f t="shared" ca="1" si="226"/>
        <v>#N/A</v>
      </c>
      <c r="T1200" s="6">
        <f t="shared" ca="1" si="216"/>
        <v>5</v>
      </c>
      <c r="U1200" s="1">
        <f t="shared" ca="1" si="227"/>
        <v>805</v>
      </c>
    </row>
    <row r="1201" spans="1:21" x14ac:dyDescent="0.2">
      <c r="A1201" s="7" cm="1">
        <f t="array" aca="1" ref="A1201" ca="1">INDEX(Companies!$A:$A,RANDBETWEEN(2,COUNTA(Companies!$A:$A)),1)</f>
        <v>2</v>
      </c>
      <c r="B1201" s="5">
        <f t="shared" si="217"/>
        <v>1200</v>
      </c>
      <c r="C1201" s="6">
        <f t="shared" ca="1" si="218"/>
        <v>1</v>
      </c>
      <c r="D1201" s="7">
        <f ca="1">IF($B1201 = 1 + N("Presidente"),
    127,
    IF($B1201 = 2 + N("Vice-Presidente"),
        72,
        IF($B1201 = 3 + N("Secretária bilíngue"),
            13,
            RANDBETWEEN(5,COUNT(Name!$A:$A) + 1)
        )
    )
)</f>
        <v>265</v>
      </c>
      <c r="E1201" s="7" t="str">
        <f ca="1" xml:space="preserve">
VLOOKUP(
  $D1201,
  Name!$A:$B,
  2,
  FALSE
)
&amp; " " &amp;
IF($B1201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Glória Sousa Luz</v>
      </c>
      <c r="F1201" s="7">
        <v>2</v>
      </c>
      <c r="G1201" s="7" cm="1">
        <f t="array" aca="1" ref="G1201" ca="1">INDEX(States!$B:$B,RANDBETWEEN(2,COUNTA(States!$A:$A)),1)</f>
        <v>10</v>
      </c>
      <c r="H1201" s="7" t="str">
        <f ca="1">VLOOKUP($D1201,Name!$A:$C,3,FALSE)</f>
        <v>F</v>
      </c>
      <c r="I1201" s="7" cm="1">
        <f t="array" aca="1" ref="I1201" ca="1">INDEX('Marital status'!$A:$A,RANDBETWEEN(2,COUNTA('Marital status'!$A:$A)),1)</f>
        <v>5</v>
      </c>
      <c r="J1201" s="7">
        <f t="shared" ca="1" si="219"/>
        <v>2</v>
      </c>
      <c r="K1201" s="8">
        <f t="shared" ca="1" si="220"/>
        <v>36668</v>
      </c>
      <c r="L1201" s="6">
        <f t="shared" ca="1" si="221"/>
        <v>5</v>
      </c>
      <c r="M1201" s="7">
        <f ca="1" xml:space="preserve">
  IF(OR($N1201 = 2, $N1201 = 3, $N1201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201" s="6">
        <f t="shared" ca="1" si="222"/>
        <v>8</v>
      </c>
      <c r="O1201" s="6">
        <f t="shared" ca="1" si="223"/>
        <v>4</v>
      </c>
      <c r="P1201" s="8">
        <f t="shared" ca="1" si="224"/>
        <v>41111</v>
      </c>
      <c r="Q1201" s="6">
        <f ca="1">RANDBETWEEN(2,COUNTA('Recruitment source'!$A:$A))</f>
        <v>4</v>
      </c>
      <c r="R1201" s="8" t="e">
        <f t="shared" ca="1" si="225"/>
        <v>#N/A</v>
      </c>
      <c r="S1201" s="6" t="e">
        <f t="shared" ca="1" si="226"/>
        <v>#N/A</v>
      </c>
      <c r="T1201" s="6">
        <f t="shared" ca="1" si="216"/>
        <v>2</v>
      </c>
      <c r="U1201" s="1">
        <f t="shared" ca="1" si="227"/>
        <v>2000</v>
      </c>
    </row>
    <row r="1202" spans="1:21" x14ac:dyDescent="0.2">
      <c r="A1202" s="7" cm="1">
        <f t="array" aca="1" ref="A1202" ca="1">INDEX(Companies!$A:$A,RANDBETWEEN(2,COUNTA(Companies!$A:$A)),1)</f>
        <v>2</v>
      </c>
      <c r="B1202" s="5">
        <f t="shared" si="217"/>
        <v>1201</v>
      </c>
      <c r="C1202" s="6">
        <f t="shared" ca="1" si="218"/>
        <v>1</v>
      </c>
      <c r="D1202" s="7">
        <f ca="1">IF($B1202 = 1 + N("Presidente"),
    127,
    IF($B1202 = 2 + N("Vice-Presidente"),
        72,
        IF($B1202 = 3 + N("Secretária bilíngue"),
            13,
            RANDBETWEEN(5,COUNT(Name!$A:$A) + 1)
        )
    )
)</f>
        <v>209</v>
      </c>
      <c r="E1202" s="7" t="str">
        <f ca="1" xml:space="preserve">
VLOOKUP(
  $D1202,
  Name!$A:$B,
  2,
  FALSE
)
&amp; " " &amp;
IF($B1202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Katerine Silva Rizzo</v>
      </c>
      <c r="F1202" s="7">
        <v>2</v>
      </c>
      <c r="G1202" s="7" cm="1">
        <f t="array" aca="1" ref="G1202" ca="1">INDEX(States!$B:$B,RANDBETWEEN(2,COUNTA(States!$A:$A)),1)</f>
        <v>11</v>
      </c>
      <c r="H1202" s="7" t="str">
        <f ca="1">VLOOKUP($D1202,Name!$A:$C,3,FALSE)</f>
        <v>F</v>
      </c>
      <c r="I1202" s="7" cm="1">
        <f t="array" aca="1" ref="I1202" ca="1">INDEX('Marital status'!$A:$A,RANDBETWEEN(2,COUNTA('Marital status'!$A:$A)),1)</f>
        <v>4</v>
      </c>
      <c r="J1202" s="7">
        <f t="shared" ca="1" si="219"/>
        <v>2</v>
      </c>
      <c r="K1202" s="8">
        <f t="shared" ca="1" si="220"/>
        <v>21812</v>
      </c>
      <c r="L1202" s="6">
        <f t="shared" ca="1" si="221"/>
        <v>4</v>
      </c>
      <c r="M1202" s="7">
        <f ca="1" xml:space="preserve">
  IF(OR($N1202 = 2, $N1202 = 3, $N1202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202" s="6">
        <f t="shared" ca="1" si="222"/>
        <v>6</v>
      </c>
      <c r="O1202" s="6" t="e">
        <f t="shared" ca="1" si="223"/>
        <v>#N/A</v>
      </c>
      <c r="P1202" s="8">
        <f t="shared" ca="1" si="224"/>
        <v>41678</v>
      </c>
      <c r="Q1202" s="6">
        <f ca="1">RANDBETWEEN(2,COUNTA('Recruitment source'!$A:$A))</f>
        <v>12</v>
      </c>
      <c r="R1202" s="8" t="e">
        <f t="shared" ca="1" si="225"/>
        <v>#N/A</v>
      </c>
      <c r="S1202" s="6" t="e">
        <f t="shared" ca="1" si="226"/>
        <v>#N/A</v>
      </c>
      <c r="T1202" s="6">
        <f t="shared" ca="1" si="216"/>
        <v>5</v>
      </c>
      <c r="U1202" s="1">
        <f t="shared" ca="1" si="227"/>
        <v>805</v>
      </c>
    </row>
    <row r="1203" spans="1:21" x14ac:dyDescent="0.2">
      <c r="A1203" s="7" cm="1">
        <f t="array" aca="1" ref="A1203" ca="1">INDEX(Companies!$A:$A,RANDBETWEEN(2,COUNTA(Companies!$A:$A)),1)</f>
        <v>2</v>
      </c>
      <c r="B1203" s="5">
        <f t="shared" si="217"/>
        <v>1202</v>
      </c>
      <c r="C1203" s="6">
        <f t="shared" ca="1" si="218"/>
        <v>1</v>
      </c>
      <c r="D1203" s="7">
        <f ca="1">IF($B1203 = 1 + N("Presidente"),
    127,
    IF($B1203 = 2 + N("Vice-Presidente"),
        72,
        IF($B1203 = 3 + N("Secretária bilíngue"),
            13,
            RANDBETWEEN(5,COUNT(Name!$A:$A) + 1)
        )
    )
)</f>
        <v>143</v>
      </c>
      <c r="E1203" s="7" t="str">
        <f ca="1" xml:space="preserve">
VLOOKUP(
  $D1203,
  Name!$A:$B,
  2,
  FALSE
)
&amp; " " &amp;
IF($B1203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Flavio Frois Albuquerque</v>
      </c>
      <c r="F1203" s="7">
        <v>2</v>
      </c>
      <c r="G1203" s="7" cm="1">
        <f t="array" aca="1" ref="G1203" ca="1">INDEX(States!$B:$B,RANDBETWEEN(2,COUNTA(States!$A:$A)),1)</f>
        <v>13</v>
      </c>
      <c r="H1203" s="7" t="str">
        <f ca="1">VLOOKUP($D1203,Name!$A:$C,3,FALSE)</f>
        <v>M</v>
      </c>
      <c r="I1203" s="7" cm="1">
        <f t="array" aca="1" ref="I1203" ca="1">INDEX('Marital status'!$A:$A,RANDBETWEEN(2,COUNTA('Marital status'!$A:$A)),1)</f>
        <v>4</v>
      </c>
      <c r="J1203" s="7">
        <f t="shared" ca="1" si="219"/>
        <v>2</v>
      </c>
      <c r="K1203" s="8">
        <f t="shared" ca="1" si="220"/>
        <v>37666</v>
      </c>
      <c r="L1203" s="6">
        <f t="shared" ca="1" si="221"/>
        <v>4</v>
      </c>
      <c r="M1203" s="7">
        <f ca="1" xml:space="preserve">
  IF(OR($N1203 = 2, $N1203 = 3, $N1203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203" s="6">
        <f t="shared" ca="1" si="222"/>
        <v>8</v>
      </c>
      <c r="O1203" s="6">
        <f t="shared" ca="1" si="223"/>
        <v>2</v>
      </c>
      <c r="P1203" s="8">
        <f t="shared" ca="1" si="224"/>
        <v>40309</v>
      </c>
      <c r="Q1203" s="6">
        <f ca="1">RANDBETWEEN(2,COUNTA('Recruitment source'!$A:$A))</f>
        <v>5</v>
      </c>
      <c r="R1203" s="8" t="e">
        <f t="shared" ca="1" si="225"/>
        <v>#N/A</v>
      </c>
      <c r="S1203" s="6" t="e">
        <f t="shared" ca="1" si="226"/>
        <v>#N/A</v>
      </c>
      <c r="T1203" s="6">
        <f t="shared" ca="1" si="216"/>
        <v>4</v>
      </c>
      <c r="U1203" s="1">
        <f t="shared" ca="1" si="227"/>
        <v>2100</v>
      </c>
    </row>
    <row r="1204" spans="1:21" x14ac:dyDescent="0.2">
      <c r="A1204" s="7" cm="1">
        <f t="array" aca="1" ref="A1204" ca="1">INDEX(Companies!$A:$A,RANDBETWEEN(2,COUNTA(Companies!$A:$A)),1)</f>
        <v>2</v>
      </c>
      <c r="B1204" s="5">
        <f t="shared" si="217"/>
        <v>1203</v>
      </c>
      <c r="C1204" s="6">
        <f t="shared" ca="1" si="218"/>
        <v>1</v>
      </c>
      <c r="D1204" s="7">
        <f ca="1">IF($B1204 = 1 + N("Presidente"),
    127,
    IF($B1204 = 2 + N("Vice-Presidente"),
        72,
        IF($B1204 = 3 + N("Secretária bilíngue"),
            13,
            RANDBETWEEN(5,COUNT(Name!$A:$A) + 1)
        )
    )
)</f>
        <v>301</v>
      </c>
      <c r="E1204" s="7" t="str">
        <f ca="1" xml:space="preserve">
VLOOKUP(
  $D1204,
  Name!$A:$B,
  2,
  FALSE
)
&amp; " " &amp;
IF($B1204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Murilo Fernandes Faro</v>
      </c>
      <c r="F1204" s="7">
        <v>2</v>
      </c>
      <c r="G1204" s="7" cm="1">
        <f t="array" aca="1" ref="G1204" ca="1">INDEX(States!$B:$B,RANDBETWEEN(2,COUNTA(States!$A:$A)),1)</f>
        <v>6</v>
      </c>
      <c r="H1204" s="7" t="str">
        <f ca="1">VLOOKUP($D1204,Name!$A:$C,3,FALSE)</f>
        <v>M</v>
      </c>
      <c r="I1204" s="7" cm="1">
        <f t="array" aca="1" ref="I1204" ca="1">INDEX('Marital status'!$A:$A,RANDBETWEEN(2,COUNTA('Marital status'!$A:$A)),1)</f>
        <v>4</v>
      </c>
      <c r="J1204" s="7">
        <f t="shared" ca="1" si="219"/>
        <v>3</v>
      </c>
      <c r="K1204" s="8">
        <f t="shared" ca="1" si="220"/>
        <v>30728</v>
      </c>
      <c r="L1204" s="6">
        <f t="shared" ca="1" si="221"/>
        <v>4</v>
      </c>
      <c r="M1204" s="7">
        <f ca="1" xml:space="preserve">
  IF(OR($N1204 = 2, $N1204 = 3, $N1204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204" s="6">
        <f t="shared" ca="1" si="222"/>
        <v>7</v>
      </c>
      <c r="O1204" s="6" t="e">
        <f t="shared" ca="1" si="223"/>
        <v>#N/A</v>
      </c>
      <c r="P1204" s="8">
        <f t="shared" ca="1" si="224"/>
        <v>36935</v>
      </c>
      <c r="Q1204" s="6">
        <f ca="1">RANDBETWEEN(2,COUNTA('Recruitment source'!$A:$A))</f>
        <v>3</v>
      </c>
      <c r="R1204" s="8" t="e">
        <f t="shared" ca="1" si="225"/>
        <v>#N/A</v>
      </c>
      <c r="S1204" s="6" t="e">
        <f t="shared" ca="1" si="226"/>
        <v>#N/A</v>
      </c>
      <c r="T1204" s="6">
        <f t="shared" ca="1" si="216"/>
        <v>5</v>
      </c>
      <c r="U1204" s="1">
        <f t="shared" ca="1" si="227"/>
        <v>1005</v>
      </c>
    </row>
    <row r="1205" spans="1:21" x14ac:dyDescent="0.2">
      <c r="A1205" s="7" cm="1">
        <f t="array" aca="1" ref="A1205" ca="1">INDEX(Companies!$A:$A,RANDBETWEEN(2,COUNTA(Companies!$A:$A)),1)</f>
        <v>2</v>
      </c>
      <c r="B1205" s="5">
        <f t="shared" si="217"/>
        <v>1204</v>
      </c>
      <c r="C1205" s="6">
        <f t="shared" ca="1" si="218"/>
        <v>1</v>
      </c>
      <c r="D1205" s="7">
        <f ca="1">IF($B1205 = 1 + N("Presidente"),
    127,
    IF($B1205 = 2 + N("Vice-Presidente"),
        72,
        IF($B1205 = 3 + N("Secretária bilíngue"),
            13,
            RANDBETWEEN(5,COUNT(Name!$A:$A) + 1)
        )
    )
)</f>
        <v>327</v>
      </c>
      <c r="E1205" s="7" t="str">
        <f ca="1" xml:space="preserve">
VLOOKUP(
  $D1205,
  Name!$A:$B,
  2,
  FALSE
)
&amp; " " &amp;
IF($B1205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Raquel Frois Coelho</v>
      </c>
      <c r="F1205" s="7">
        <v>2</v>
      </c>
      <c r="G1205" s="7" cm="1">
        <f t="array" aca="1" ref="G1205" ca="1">INDEX(States!$B:$B,RANDBETWEEN(2,COUNTA(States!$A:$A)),1)</f>
        <v>19</v>
      </c>
      <c r="H1205" s="7" t="str">
        <f ca="1">VLOOKUP($D1205,Name!$A:$C,3,FALSE)</f>
        <v>F</v>
      </c>
      <c r="I1205" s="7" cm="1">
        <f t="array" aca="1" ref="I1205" ca="1">INDEX('Marital status'!$A:$A,RANDBETWEEN(2,COUNTA('Marital status'!$A:$A)),1)</f>
        <v>4</v>
      </c>
      <c r="J1205" s="7">
        <f t="shared" ca="1" si="219"/>
        <v>2</v>
      </c>
      <c r="K1205" s="8">
        <f t="shared" ca="1" si="220"/>
        <v>33882</v>
      </c>
      <c r="L1205" s="6">
        <f t="shared" ca="1" si="221"/>
        <v>4</v>
      </c>
      <c r="M1205" s="7">
        <f ca="1" xml:space="preserve">
  IF(OR($N1205 = 2, $N1205 = 3, $N1205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205" s="6">
        <f t="shared" ca="1" si="222"/>
        <v>8</v>
      </c>
      <c r="O1205" s="6">
        <f t="shared" ca="1" si="223"/>
        <v>3</v>
      </c>
      <c r="P1205" s="8">
        <f t="shared" ca="1" si="224"/>
        <v>40070</v>
      </c>
      <c r="Q1205" s="6">
        <f ca="1">RANDBETWEEN(2,COUNTA('Recruitment source'!$A:$A))</f>
        <v>5</v>
      </c>
      <c r="R1205" s="8" t="e">
        <f t="shared" ca="1" si="225"/>
        <v>#N/A</v>
      </c>
      <c r="S1205" s="6" t="e">
        <f t="shared" ca="1" si="226"/>
        <v>#N/A</v>
      </c>
      <c r="T1205" s="6">
        <f t="shared" ca="1" si="216"/>
        <v>5</v>
      </c>
      <c r="U1205" s="1">
        <f t="shared" ca="1" si="227"/>
        <v>2080</v>
      </c>
    </row>
    <row r="1206" spans="1:21" x14ac:dyDescent="0.2">
      <c r="A1206" s="7" cm="1">
        <f t="array" aca="1" ref="A1206" ca="1">INDEX(Companies!$A:$A,RANDBETWEEN(2,COUNTA(Companies!$A:$A)),1)</f>
        <v>2</v>
      </c>
      <c r="B1206" s="5">
        <f t="shared" si="217"/>
        <v>1205</v>
      </c>
      <c r="C1206" s="6">
        <f t="shared" ca="1" si="218"/>
        <v>1</v>
      </c>
      <c r="D1206" s="7">
        <f ca="1">IF($B1206 = 1 + N("Presidente"),
    127,
    IF($B1206 = 2 + N("Vice-Presidente"),
        72,
        IF($B1206 = 3 + N("Secretária bilíngue"),
            13,
            RANDBETWEEN(5,COUNT(Name!$A:$A) + 1)
        )
    )
)</f>
        <v>363</v>
      </c>
      <c r="E1206" s="7" t="str">
        <f ca="1" xml:space="preserve">
VLOOKUP(
  $D1206,
  Name!$A:$B,
  2,
  FALSE
)
&amp; " " &amp;
IF($B1206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Yago Ricci Bermudes</v>
      </c>
      <c r="F1206" s="7">
        <v>2</v>
      </c>
      <c r="G1206" s="7" cm="1">
        <f t="array" aca="1" ref="G1206" ca="1">INDEX(States!$B:$B,RANDBETWEEN(2,COUNTA(States!$A:$A)),1)</f>
        <v>11</v>
      </c>
      <c r="H1206" s="7" t="str">
        <f ca="1">VLOOKUP($D1206,Name!$A:$C,3,FALSE)</f>
        <v>M</v>
      </c>
      <c r="I1206" s="7" cm="1">
        <f t="array" aca="1" ref="I1206" ca="1">INDEX('Marital status'!$A:$A,RANDBETWEEN(2,COUNTA('Marital status'!$A:$A)),1)</f>
        <v>6</v>
      </c>
      <c r="J1206" s="7">
        <f t="shared" ca="1" si="219"/>
        <v>2</v>
      </c>
      <c r="K1206" s="8">
        <f t="shared" ca="1" si="220"/>
        <v>31249</v>
      </c>
      <c r="L1206" s="6">
        <f t="shared" ca="1" si="221"/>
        <v>4</v>
      </c>
      <c r="M1206" s="7">
        <f ca="1" xml:space="preserve">
  IF(OR($N1206 = 2, $N1206 = 3, $N1206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206" s="6">
        <f t="shared" ca="1" si="222"/>
        <v>6</v>
      </c>
      <c r="O1206" s="6" t="e">
        <f t="shared" ca="1" si="223"/>
        <v>#N/A</v>
      </c>
      <c r="P1206" s="8">
        <f t="shared" ca="1" si="224"/>
        <v>43093</v>
      </c>
      <c r="Q1206" s="6">
        <f ca="1">RANDBETWEEN(2,COUNTA('Recruitment source'!$A:$A))</f>
        <v>9</v>
      </c>
      <c r="R1206" s="8" t="e">
        <f t="shared" ca="1" si="225"/>
        <v>#N/A</v>
      </c>
      <c r="S1206" s="6" t="e">
        <f t="shared" ca="1" si="226"/>
        <v>#N/A</v>
      </c>
      <c r="T1206" s="6">
        <f t="shared" ca="1" si="216"/>
        <v>3</v>
      </c>
      <c r="U1206" s="1">
        <f t="shared" ca="1" si="227"/>
        <v>805</v>
      </c>
    </row>
    <row r="1207" spans="1:21" x14ac:dyDescent="0.2">
      <c r="A1207" s="7" cm="1">
        <f t="array" aca="1" ref="A1207" ca="1">INDEX(Companies!$A:$A,RANDBETWEEN(2,COUNTA(Companies!$A:$A)),1)</f>
        <v>2</v>
      </c>
      <c r="B1207" s="5">
        <f t="shared" si="217"/>
        <v>1206</v>
      </c>
      <c r="C1207" s="6">
        <f t="shared" ca="1" si="218"/>
        <v>1</v>
      </c>
      <c r="D1207" s="7">
        <f ca="1">IF($B1207 = 1 + N("Presidente"),
    127,
    IF($B1207 = 2 + N("Vice-Presidente"),
        72,
        IF($B1207 = 3 + N("Secretária bilíngue"),
            13,
            RANDBETWEEN(5,COUNT(Name!$A:$A) + 1)
        )
    )
)</f>
        <v>82</v>
      </c>
      <c r="E1207" s="7" t="str">
        <f ca="1" xml:space="preserve">
VLOOKUP(
  $D1207,
  Name!$A:$B,
  2,
  FALSE
)
&amp; " " &amp;
IF($B1207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Caleb Furtado Evangelista</v>
      </c>
      <c r="F1207" s="7">
        <v>2</v>
      </c>
      <c r="G1207" s="7" cm="1">
        <f t="array" aca="1" ref="G1207" ca="1">INDEX(States!$B:$B,RANDBETWEEN(2,COUNTA(States!$A:$A)),1)</f>
        <v>8</v>
      </c>
      <c r="H1207" s="7" t="str">
        <f ca="1">VLOOKUP($D1207,Name!$A:$C,3,FALSE)</f>
        <v>M</v>
      </c>
      <c r="I1207" s="7" cm="1">
        <f t="array" aca="1" ref="I1207" ca="1">INDEX('Marital status'!$A:$A,RANDBETWEEN(2,COUNTA('Marital status'!$A:$A)),1)</f>
        <v>6</v>
      </c>
      <c r="J1207" s="7">
        <f t="shared" ca="1" si="219"/>
        <v>2</v>
      </c>
      <c r="K1207" s="8">
        <f t="shared" ca="1" si="220"/>
        <v>35325</v>
      </c>
      <c r="L1207" s="6">
        <f t="shared" ca="1" si="221"/>
        <v>4</v>
      </c>
      <c r="M1207" s="7">
        <f ca="1" xml:space="preserve">
  IF(OR($N1207 = 2, $N1207 = 3, $N1207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207" s="6">
        <f t="shared" ca="1" si="222"/>
        <v>8</v>
      </c>
      <c r="O1207" s="6">
        <f t="shared" ca="1" si="223"/>
        <v>2</v>
      </c>
      <c r="P1207" s="8">
        <f t="shared" ca="1" si="224"/>
        <v>42190</v>
      </c>
      <c r="Q1207" s="6">
        <f ca="1">RANDBETWEEN(2,COUNTA('Recruitment source'!$A:$A))</f>
        <v>2</v>
      </c>
      <c r="R1207" s="8" t="e">
        <f t="shared" ca="1" si="225"/>
        <v>#N/A</v>
      </c>
      <c r="S1207" s="6" t="e">
        <f t="shared" ca="1" si="226"/>
        <v>#N/A</v>
      </c>
      <c r="T1207" s="6">
        <f t="shared" ca="1" si="216"/>
        <v>5</v>
      </c>
      <c r="U1207" s="1">
        <f t="shared" ca="1" si="227"/>
        <v>2080</v>
      </c>
    </row>
    <row r="1208" spans="1:21" x14ac:dyDescent="0.2">
      <c r="A1208" s="7" cm="1">
        <f t="array" aca="1" ref="A1208" ca="1">INDEX(Companies!$A:$A,RANDBETWEEN(2,COUNTA(Companies!$A:$A)),1)</f>
        <v>2</v>
      </c>
      <c r="B1208" s="5">
        <f t="shared" si="217"/>
        <v>1207</v>
      </c>
      <c r="C1208" s="6">
        <f t="shared" ca="1" si="218"/>
        <v>1</v>
      </c>
      <c r="D1208" s="7">
        <f ca="1">IF($B1208 = 1 + N("Presidente"),
    127,
    IF($B1208 = 2 + N("Vice-Presidente"),
        72,
        IF($B1208 = 3 + N("Secretária bilíngue"),
            13,
            RANDBETWEEN(5,COUNT(Name!$A:$A) + 1)
        )
    )
)</f>
        <v>353</v>
      </c>
      <c r="E1208" s="7" t="str">
        <f ca="1" xml:space="preserve">
VLOOKUP(
  $D1208,
  Name!$A:$B,
  2,
  FALSE
)
&amp; " " &amp;
IF($B1208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Vicente Barreto Monteiro</v>
      </c>
      <c r="F1208" s="7">
        <v>2</v>
      </c>
      <c r="G1208" s="7" cm="1">
        <f t="array" aca="1" ref="G1208" ca="1">INDEX(States!$B:$B,RANDBETWEEN(2,COUNTA(States!$A:$A)),1)</f>
        <v>3</v>
      </c>
      <c r="H1208" s="7" t="str">
        <f ca="1">VLOOKUP($D1208,Name!$A:$C,3,FALSE)</f>
        <v>M</v>
      </c>
      <c r="I1208" s="7" cm="1">
        <f t="array" aca="1" ref="I1208" ca="1">INDEX('Marital status'!$A:$A,RANDBETWEEN(2,COUNTA('Marital status'!$A:$A)),1)</f>
        <v>3</v>
      </c>
      <c r="J1208" s="7">
        <f t="shared" ca="1" si="219"/>
        <v>2</v>
      </c>
      <c r="K1208" s="8">
        <f t="shared" ca="1" si="220"/>
        <v>30452</v>
      </c>
      <c r="L1208" s="6">
        <f t="shared" ca="1" si="221"/>
        <v>4</v>
      </c>
      <c r="M1208" s="7">
        <f ca="1" xml:space="preserve">
  IF(OR($N1208 = 2, $N1208 = 3, $N1208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208" s="6">
        <f t="shared" ca="1" si="222"/>
        <v>7</v>
      </c>
      <c r="O1208" s="6" t="e">
        <f t="shared" ca="1" si="223"/>
        <v>#N/A</v>
      </c>
      <c r="P1208" s="8">
        <f t="shared" ca="1" si="224"/>
        <v>39718</v>
      </c>
      <c r="Q1208" s="6">
        <f ca="1">RANDBETWEEN(2,COUNTA('Recruitment source'!$A:$A))</f>
        <v>7</v>
      </c>
      <c r="R1208" s="8" t="e">
        <f t="shared" ca="1" si="225"/>
        <v>#N/A</v>
      </c>
      <c r="S1208" s="6" t="e">
        <f t="shared" ca="1" si="226"/>
        <v>#N/A</v>
      </c>
      <c r="T1208" s="6">
        <f t="shared" ca="1" si="216"/>
        <v>4</v>
      </c>
      <c r="U1208" s="1">
        <f t="shared" ca="1" si="227"/>
        <v>1085</v>
      </c>
    </row>
    <row r="1209" spans="1:21" x14ac:dyDescent="0.2">
      <c r="A1209" s="7" cm="1">
        <f t="array" aca="1" ref="A1209" ca="1">INDEX(Companies!$A:$A,RANDBETWEEN(2,COUNTA(Companies!$A:$A)),1)</f>
        <v>2</v>
      </c>
      <c r="B1209" s="5">
        <f t="shared" si="217"/>
        <v>1208</v>
      </c>
      <c r="C1209" s="6">
        <f t="shared" ca="1" si="218"/>
        <v>1</v>
      </c>
      <c r="D1209" s="7">
        <f ca="1">IF($B1209 = 1 + N("Presidente"),
    127,
    IF($B1209 = 2 + N("Vice-Presidente"),
        72,
        IF($B1209 = 3 + N("Secretária bilíngue"),
            13,
            RANDBETWEEN(5,COUNT(Name!$A:$A) + 1)
        )
    )
)</f>
        <v>67</v>
      </c>
      <c r="E1209" s="7" t="str">
        <f ca="1" xml:space="preserve">
VLOOKUP(
  $D1209,
  Name!$A:$B,
  2,
  FALSE
)
&amp; " " &amp;
IF($B1209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Beatriz Ramos Frasão</v>
      </c>
      <c r="F1209" s="7">
        <v>2</v>
      </c>
      <c r="G1209" s="7" cm="1">
        <f t="array" aca="1" ref="G1209" ca="1">INDEX(States!$B:$B,RANDBETWEEN(2,COUNTA(States!$A:$A)),1)</f>
        <v>14</v>
      </c>
      <c r="H1209" s="7" t="str">
        <f ca="1">VLOOKUP($D1209,Name!$A:$C,3,FALSE)</f>
        <v>F</v>
      </c>
      <c r="I1209" s="7" cm="1">
        <f t="array" aca="1" ref="I1209" ca="1">INDEX('Marital status'!$A:$A,RANDBETWEEN(2,COUNTA('Marital status'!$A:$A)),1)</f>
        <v>2</v>
      </c>
      <c r="J1209" s="7">
        <f t="shared" ca="1" si="219"/>
        <v>2</v>
      </c>
      <c r="K1209" s="8">
        <f t="shared" ca="1" si="220"/>
        <v>32917</v>
      </c>
      <c r="L1209" s="6">
        <f t="shared" ca="1" si="221"/>
        <v>5</v>
      </c>
      <c r="M1209" s="7">
        <f ca="1" xml:space="preserve">
  IF(OR($N1209 = 2, $N1209 = 3, $N1209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209" s="6">
        <f t="shared" ca="1" si="222"/>
        <v>8</v>
      </c>
      <c r="O1209" s="6">
        <f t="shared" ca="1" si="223"/>
        <v>3</v>
      </c>
      <c r="P1209" s="8">
        <f t="shared" ca="1" si="224"/>
        <v>40067</v>
      </c>
      <c r="Q1209" s="6">
        <f ca="1">RANDBETWEEN(2,COUNTA('Recruitment source'!$A:$A))</f>
        <v>2</v>
      </c>
      <c r="R1209" s="8" t="e">
        <f t="shared" ca="1" si="225"/>
        <v>#N/A</v>
      </c>
      <c r="S1209" s="6" t="e">
        <f t="shared" ca="1" si="226"/>
        <v>#N/A</v>
      </c>
      <c r="T1209" s="6">
        <f t="shared" ca="1" si="216"/>
        <v>2</v>
      </c>
      <c r="U1209" s="1">
        <f t="shared" ca="1" si="227"/>
        <v>2000</v>
      </c>
    </row>
    <row r="1210" spans="1:21" x14ac:dyDescent="0.2">
      <c r="A1210" s="7" cm="1">
        <f t="array" aca="1" ref="A1210" ca="1">INDEX(Companies!$A:$A,RANDBETWEEN(2,COUNTA(Companies!$A:$A)),1)</f>
        <v>2</v>
      </c>
      <c r="B1210" s="5">
        <f t="shared" si="217"/>
        <v>1209</v>
      </c>
      <c r="C1210" s="6">
        <f t="shared" ca="1" si="218"/>
        <v>1</v>
      </c>
      <c r="D1210" s="7">
        <f ca="1">IF($B1210 = 1 + N("Presidente"),
    127,
    IF($B1210 = 2 + N("Vice-Presidente"),
        72,
        IF($B1210 = 3 + N("Secretária bilíngue"),
            13,
            RANDBETWEEN(5,COUNT(Name!$A:$A) + 1)
        )
    )
)</f>
        <v>20</v>
      </c>
      <c r="E1210" s="7" t="str">
        <f ca="1" xml:space="preserve">
VLOOKUP(
  $D1210,
  Name!$A:$B,
  2,
  FALSE
)
&amp; " " &amp;
IF($B1210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Alini Faria Lopes</v>
      </c>
      <c r="F1210" s="7">
        <v>2</v>
      </c>
      <c r="G1210" s="7" cm="1">
        <f t="array" aca="1" ref="G1210" ca="1">INDEX(States!$B:$B,RANDBETWEEN(2,COUNTA(States!$A:$A)),1)</f>
        <v>2</v>
      </c>
      <c r="H1210" s="7" t="str">
        <f ca="1">VLOOKUP($D1210,Name!$A:$C,3,FALSE)</f>
        <v>F</v>
      </c>
      <c r="I1210" s="7" cm="1">
        <f t="array" aca="1" ref="I1210" ca="1">INDEX('Marital status'!$A:$A,RANDBETWEEN(2,COUNTA('Marital status'!$A:$A)),1)</f>
        <v>5</v>
      </c>
      <c r="J1210" s="7">
        <f t="shared" ca="1" si="219"/>
        <v>4</v>
      </c>
      <c r="K1210" s="8">
        <f t="shared" ca="1" si="220"/>
        <v>27640</v>
      </c>
      <c r="L1210" s="6">
        <f t="shared" ca="1" si="221"/>
        <v>4</v>
      </c>
      <c r="M1210" s="7">
        <f ca="1" xml:space="preserve">
  IF(OR($N1210 = 2, $N1210 = 3, $N1210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210" s="6">
        <f t="shared" ca="1" si="222"/>
        <v>6</v>
      </c>
      <c r="O1210" s="6" t="e">
        <f t="shared" ca="1" si="223"/>
        <v>#N/A</v>
      </c>
      <c r="P1210" s="8">
        <f t="shared" ca="1" si="224"/>
        <v>42152</v>
      </c>
      <c r="Q1210" s="6">
        <f ca="1">RANDBETWEEN(2,COUNTA('Recruitment source'!$A:$A))</f>
        <v>11</v>
      </c>
      <c r="R1210" s="8" t="e">
        <f t="shared" ca="1" si="225"/>
        <v>#N/A</v>
      </c>
      <c r="S1210" s="6" t="e">
        <f t="shared" ca="1" si="226"/>
        <v>#N/A</v>
      </c>
      <c r="T1210" s="6">
        <f t="shared" ca="1" si="216"/>
        <v>4</v>
      </c>
      <c r="U1210" s="1">
        <f t="shared" ca="1" si="227"/>
        <v>805</v>
      </c>
    </row>
    <row r="1211" spans="1:21" x14ac:dyDescent="0.2">
      <c r="A1211" s="7" cm="1">
        <f t="array" aca="1" ref="A1211" ca="1">INDEX(Companies!$A:$A,RANDBETWEEN(2,COUNTA(Companies!$A:$A)),1)</f>
        <v>2</v>
      </c>
      <c r="B1211" s="5">
        <f t="shared" si="217"/>
        <v>1210</v>
      </c>
      <c r="C1211" s="6">
        <f t="shared" ca="1" si="218"/>
        <v>1</v>
      </c>
      <c r="D1211" s="7">
        <f ca="1">IF($B1211 = 1 + N("Presidente"),
    127,
    IF($B1211 = 2 + N("Vice-Presidente"),
        72,
        IF($B1211 = 3 + N("Secretária bilíngue"),
            13,
            RANDBETWEEN(5,COUNT(Name!$A:$A) + 1)
        )
    )
)</f>
        <v>259</v>
      </c>
      <c r="E1211" s="7" t="str">
        <f ca="1" xml:space="preserve">
VLOOKUP(
  $D1211,
  Name!$A:$B,
  2,
  FALSE
)
&amp; " " &amp;
IF($B1211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Carolina Camacho Asvilla</v>
      </c>
      <c r="F1211" s="7">
        <v>2</v>
      </c>
      <c r="G1211" s="7" cm="1">
        <f t="array" aca="1" ref="G1211" ca="1">INDEX(States!$B:$B,RANDBETWEEN(2,COUNTA(States!$A:$A)),1)</f>
        <v>17</v>
      </c>
      <c r="H1211" s="7" t="str">
        <f ca="1">VLOOKUP($D1211,Name!$A:$C,3,FALSE)</f>
        <v>F</v>
      </c>
      <c r="I1211" s="7" cm="1">
        <f t="array" aca="1" ref="I1211" ca="1">INDEX('Marital status'!$A:$A,RANDBETWEEN(2,COUNTA('Marital status'!$A:$A)),1)</f>
        <v>5</v>
      </c>
      <c r="J1211" s="7">
        <f t="shared" ca="1" si="219"/>
        <v>3</v>
      </c>
      <c r="K1211" s="8">
        <f t="shared" ca="1" si="220"/>
        <v>36135</v>
      </c>
      <c r="L1211" s="6">
        <f t="shared" ca="1" si="221"/>
        <v>5</v>
      </c>
      <c r="M1211" s="7">
        <f ca="1" xml:space="preserve">
  IF(OR($N1211 = 2, $N1211 = 3, $N1211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211" s="6">
        <f t="shared" ca="1" si="222"/>
        <v>8</v>
      </c>
      <c r="O1211" s="6">
        <f t="shared" ca="1" si="223"/>
        <v>3</v>
      </c>
      <c r="P1211" s="8">
        <f t="shared" ca="1" si="224"/>
        <v>42918</v>
      </c>
      <c r="Q1211" s="6">
        <f ca="1">RANDBETWEEN(2,COUNTA('Recruitment source'!$A:$A))</f>
        <v>11</v>
      </c>
      <c r="R1211" s="8" t="e">
        <f t="shared" ca="1" si="225"/>
        <v>#N/A</v>
      </c>
      <c r="S1211" s="6" t="e">
        <f t="shared" ca="1" si="226"/>
        <v>#N/A</v>
      </c>
      <c r="T1211" s="6">
        <f t="shared" ca="1" si="216"/>
        <v>5</v>
      </c>
      <c r="U1211" s="1">
        <f t="shared" ca="1" si="227"/>
        <v>2000</v>
      </c>
    </row>
    <row r="1212" spans="1:21" x14ac:dyDescent="0.2">
      <c r="A1212" s="7" cm="1">
        <f t="array" aca="1" ref="A1212" ca="1">INDEX(Companies!$A:$A,RANDBETWEEN(2,COUNTA(Companies!$A:$A)),1)</f>
        <v>2</v>
      </c>
      <c r="B1212" s="5">
        <f t="shared" si="217"/>
        <v>1211</v>
      </c>
      <c r="C1212" s="6">
        <f t="shared" ca="1" si="218"/>
        <v>1</v>
      </c>
      <c r="D1212" s="7">
        <f ca="1">IF($B1212 = 1 + N("Presidente"),
    127,
    IF($B1212 = 2 + N("Vice-Presidente"),
        72,
        IF($B1212 = 3 + N("Secretária bilíngue"),
            13,
            RANDBETWEEN(5,COUNT(Name!$A:$A) + 1)
        )
    )
)</f>
        <v>43</v>
      </c>
      <c r="E1212" s="7" t="str">
        <f ca="1" xml:space="preserve">
VLOOKUP(
  $D1212,
  Name!$A:$B,
  2,
  FALSE
)
&amp; " " &amp;
IF($B1212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Anita Leite Ferreira</v>
      </c>
      <c r="F1212" s="7">
        <v>2</v>
      </c>
      <c r="G1212" s="7" cm="1">
        <f t="array" aca="1" ref="G1212" ca="1">INDEX(States!$B:$B,RANDBETWEEN(2,COUNTA(States!$A:$A)),1)</f>
        <v>13</v>
      </c>
      <c r="H1212" s="7" t="str">
        <f ca="1">VLOOKUP($D1212,Name!$A:$C,3,FALSE)</f>
        <v>F</v>
      </c>
      <c r="I1212" s="7" cm="1">
        <f t="array" aca="1" ref="I1212" ca="1">INDEX('Marital status'!$A:$A,RANDBETWEEN(2,COUNTA('Marital status'!$A:$A)),1)</f>
        <v>3</v>
      </c>
      <c r="J1212" s="7">
        <f t="shared" ca="1" si="219"/>
        <v>2</v>
      </c>
      <c r="K1212" s="8">
        <f t="shared" ca="1" si="220"/>
        <v>34824</v>
      </c>
      <c r="L1212" s="6">
        <f t="shared" ca="1" si="221"/>
        <v>4</v>
      </c>
      <c r="M1212" s="7">
        <f ca="1" xml:space="preserve">
  IF(OR($N1212 = 2, $N1212 = 3, $N1212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212" s="6">
        <f t="shared" ca="1" si="222"/>
        <v>7</v>
      </c>
      <c r="O1212" s="6" t="e">
        <f t="shared" ca="1" si="223"/>
        <v>#N/A</v>
      </c>
      <c r="P1212" s="8">
        <f t="shared" ca="1" si="224"/>
        <v>36458</v>
      </c>
      <c r="Q1212" s="6">
        <f ca="1">RANDBETWEEN(2,COUNTA('Recruitment source'!$A:$A))</f>
        <v>2</v>
      </c>
      <c r="R1212" s="8" t="e">
        <f t="shared" ca="1" si="225"/>
        <v>#N/A</v>
      </c>
      <c r="S1212" s="6" t="e">
        <f t="shared" ca="1" si="226"/>
        <v>#N/A</v>
      </c>
      <c r="T1212" s="6">
        <f t="shared" ca="1" si="216"/>
        <v>4</v>
      </c>
      <c r="U1212" s="1">
        <f t="shared" ca="1" si="227"/>
        <v>1005</v>
      </c>
    </row>
    <row r="1213" spans="1:21" x14ac:dyDescent="0.2">
      <c r="A1213" s="7" cm="1">
        <f t="array" aca="1" ref="A1213" ca="1">INDEX(Companies!$A:$A,RANDBETWEEN(2,COUNTA(Companies!$A:$A)),1)</f>
        <v>2</v>
      </c>
      <c r="B1213" s="5">
        <f t="shared" si="217"/>
        <v>1212</v>
      </c>
      <c r="C1213" s="6">
        <f t="shared" ca="1" si="218"/>
        <v>1</v>
      </c>
      <c r="D1213" s="7">
        <f ca="1">IF($B1213 = 1 + N("Presidente"),
    127,
    IF($B1213 = 2 + N("Vice-Presidente"),
        72,
        IF($B1213 = 3 + N("Secretária bilíngue"),
            13,
            RANDBETWEEN(5,COUNT(Name!$A:$A) + 1)
        )
    )
)</f>
        <v>110</v>
      </c>
      <c r="E1213" s="7" t="str">
        <f ca="1" xml:space="preserve">
VLOOKUP(
  $D1213,
  Name!$A:$B,
  2,
  FALSE
)
&amp; " " &amp;
IF($B1213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Miguel Leone Pimenta</v>
      </c>
      <c r="F1213" s="7">
        <v>2</v>
      </c>
      <c r="G1213" s="7" cm="1">
        <f t="array" aca="1" ref="G1213" ca="1">INDEX(States!$B:$B,RANDBETWEEN(2,COUNTA(States!$A:$A)),1)</f>
        <v>12</v>
      </c>
      <c r="H1213" s="7" t="str">
        <f ca="1">VLOOKUP($D1213,Name!$A:$C,3,FALSE)</f>
        <v>M</v>
      </c>
      <c r="I1213" s="7" cm="1">
        <f t="array" aca="1" ref="I1213" ca="1">INDEX('Marital status'!$A:$A,RANDBETWEEN(2,COUNTA('Marital status'!$A:$A)),1)</f>
        <v>4</v>
      </c>
      <c r="J1213" s="7">
        <f t="shared" ca="1" si="219"/>
        <v>2</v>
      </c>
      <c r="K1213" s="8">
        <f t="shared" ca="1" si="220"/>
        <v>37725</v>
      </c>
      <c r="L1213" s="6">
        <f t="shared" ca="1" si="221"/>
        <v>5</v>
      </c>
      <c r="M1213" s="7">
        <f ca="1" xml:space="preserve">
  IF(OR($N1213 = 2, $N1213 = 3, $N1213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213" s="6">
        <f t="shared" ca="1" si="222"/>
        <v>8</v>
      </c>
      <c r="O1213" s="6">
        <f t="shared" ca="1" si="223"/>
        <v>4</v>
      </c>
      <c r="P1213" s="8">
        <f t="shared" ca="1" si="224"/>
        <v>38395</v>
      </c>
      <c r="Q1213" s="6">
        <f ca="1">RANDBETWEEN(2,COUNTA('Recruitment source'!$A:$A))</f>
        <v>7</v>
      </c>
      <c r="R1213" s="8" t="e">
        <f t="shared" ca="1" si="225"/>
        <v>#N/A</v>
      </c>
      <c r="S1213" s="6" t="e">
        <f t="shared" ca="1" si="226"/>
        <v>#N/A</v>
      </c>
      <c r="T1213" s="6">
        <f t="shared" ca="1" si="216"/>
        <v>3</v>
      </c>
      <c r="U1213" s="1">
        <f t="shared" ca="1" si="227"/>
        <v>2000</v>
      </c>
    </row>
    <row r="1214" spans="1:21" x14ac:dyDescent="0.2">
      <c r="A1214" s="7" cm="1">
        <f t="array" aca="1" ref="A1214" ca="1">INDEX(Companies!$A:$A,RANDBETWEEN(2,COUNTA(Companies!$A:$A)),1)</f>
        <v>2</v>
      </c>
      <c r="B1214" s="5">
        <f t="shared" si="217"/>
        <v>1213</v>
      </c>
      <c r="C1214" s="6">
        <f t="shared" ca="1" si="218"/>
        <v>1</v>
      </c>
      <c r="D1214" s="7">
        <f ca="1">IF($B1214 = 1 + N("Presidente"),
    127,
    IF($B1214 = 2 + N("Vice-Presidente"),
        72,
        IF($B1214 = 3 + N("Secretária bilíngue"),
            13,
            RANDBETWEEN(5,COUNT(Name!$A:$A) + 1)
        )
    )
)</f>
        <v>20</v>
      </c>
      <c r="E1214" s="7" t="str">
        <f ca="1" xml:space="preserve">
VLOOKUP(
  $D1214,
  Name!$A:$B,
  2,
  FALSE
)
&amp; " " &amp;
IF($B1214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Alini Pimenta Santoro</v>
      </c>
      <c r="F1214" s="7">
        <v>2</v>
      </c>
      <c r="G1214" s="7" cm="1">
        <f t="array" aca="1" ref="G1214" ca="1">INDEX(States!$B:$B,RANDBETWEEN(2,COUNTA(States!$A:$A)),1)</f>
        <v>3</v>
      </c>
      <c r="H1214" s="7" t="str">
        <f ca="1">VLOOKUP($D1214,Name!$A:$C,3,FALSE)</f>
        <v>F</v>
      </c>
      <c r="I1214" s="7" cm="1">
        <f t="array" aca="1" ref="I1214" ca="1">INDEX('Marital status'!$A:$A,RANDBETWEEN(2,COUNTA('Marital status'!$A:$A)),1)</f>
        <v>6</v>
      </c>
      <c r="J1214" s="7">
        <f t="shared" ca="1" si="219"/>
        <v>2</v>
      </c>
      <c r="K1214" s="8">
        <f t="shared" ca="1" si="220"/>
        <v>33536</v>
      </c>
      <c r="L1214" s="6">
        <f t="shared" ca="1" si="221"/>
        <v>4</v>
      </c>
      <c r="M1214" s="7">
        <f ca="1" xml:space="preserve">
  IF(OR($N1214 = 2, $N1214 = 3, $N1214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214" s="6">
        <f t="shared" ca="1" si="222"/>
        <v>6</v>
      </c>
      <c r="O1214" s="6" t="e">
        <f t="shared" ca="1" si="223"/>
        <v>#N/A</v>
      </c>
      <c r="P1214" s="8">
        <f t="shared" ca="1" si="224"/>
        <v>36619</v>
      </c>
      <c r="Q1214" s="6">
        <f ca="1">RANDBETWEEN(2,COUNTA('Recruitment source'!$A:$A))</f>
        <v>7</v>
      </c>
      <c r="R1214" s="8" t="e">
        <f t="shared" ca="1" si="225"/>
        <v>#N/A</v>
      </c>
      <c r="S1214" s="6" t="e">
        <f t="shared" ca="1" si="226"/>
        <v>#N/A</v>
      </c>
      <c r="T1214" s="6">
        <f t="shared" ca="1" si="216"/>
        <v>5</v>
      </c>
      <c r="U1214" s="1">
        <f t="shared" ca="1" si="227"/>
        <v>885</v>
      </c>
    </row>
    <row r="1215" spans="1:21" x14ac:dyDescent="0.2">
      <c r="A1215" s="7" cm="1">
        <f t="array" aca="1" ref="A1215" ca="1">INDEX(Companies!$A:$A,RANDBETWEEN(2,COUNTA(Companies!$A:$A)),1)</f>
        <v>2</v>
      </c>
      <c r="B1215" s="5">
        <f t="shared" si="217"/>
        <v>1214</v>
      </c>
      <c r="C1215" s="6">
        <f t="shared" ca="1" si="218"/>
        <v>1</v>
      </c>
      <c r="D1215" s="7">
        <f ca="1">IF($B1215 = 1 + N("Presidente"),
    127,
    IF($B1215 = 2 + N("Vice-Presidente"),
        72,
        IF($B1215 = 3 + N("Secretária bilíngue"),
            13,
            RANDBETWEEN(5,COUNT(Name!$A:$A) + 1)
        )
    )
)</f>
        <v>176</v>
      </c>
      <c r="E1215" s="7" t="str">
        <f ca="1" xml:space="preserve">
VLOOKUP(
  $D1215,
  Name!$A:$B,
  2,
  FALSE
)
&amp; " " &amp;
IF($B1215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Isabelle Pimentel Leitão</v>
      </c>
      <c r="F1215" s="7">
        <v>2</v>
      </c>
      <c r="G1215" s="7" cm="1">
        <f t="array" aca="1" ref="G1215" ca="1">INDEX(States!$B:$B,RANDBETWEEN(2,COUNTA(States!$A:$A)),1)</f>
        <v>13</v>
      </c>
      <c r="H1215" s="7" t="str">
        <f ca="1">VLOOKUP($D1215,Name!$A:$C,3,FALSE)</f>
        <v>F</v>
      </c>
      <c r="I1215" s="7" cm="1">
        <f t="array" aca="1" ref="I1215" ca="1">INDEX('Marital status'!$A:$A,RANDBETWEEN(2,COUNTA('Marital status'!$A:$A)),1)</f>
        <v>2</v>
      </c>
      <c r="J1215" s="7">
        <f t="shared" ca="1" si="219"/>
        <v>2</v>
      </c>
      <c r="K1215" s="8">
        <f t="shared" ca="1" si="220"/>
        <v>34233</v>
      </c>
      <c r="L1215" s="6">
        <f t="shared" ca="1" si="221"/>
        <v>4</v>
      </c>
      <c r="M1215" s="7">
        <f ca="1" xml:space="preserve">
  IF(OR($N1215 = 2, $N1215 = 3, $N1215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215" s="6">
        <f t="shared" ca="1" si="222"/>
        <v>8</v>
      </c>
      <c r="O1215" s="6">
        <f t="shared" ca="1" si="223"/>
        <v>4</v>
      </c>
      <c r="P1215" s="8">
        <f t="shared" ca="1" si="224"/>
        <v>36805</v>
      </c>
      <c r="Q1215" s="6">
        <f ca="1">RANDBETWEEN(2,COUNTA('Recruitment source'!$A:$A))</f>
        <v>3</v>
      </c>
      <c r="R1215" s="8" t="e">
        <f t="shared" ca="1" si="225"/>
        <v>#N/A</v>
      </c>
      <c r="S1215" s="6" t="e">
        <f t="shared" ca="1" si="226"/>
        <v>#N/A</v>
      </c>
      <c r="T1215" s="6">
        <f t="shared" ca="1" si="216"/>
        <v>5</v>
      </c>
      <c r="U1215" s="1">
        <f t="shared" ca="1" si="227"/>
        <v>2000</v>
      </c>
    </row>
    <row r="1216" spans="1:21" x14ac:dyDescent="0.2">
      <c r="A1216" s="7" cm="1">
        <f t="array" aca="1" ref="A1216" ca="1">INDEX(Companies!$A:$A,RANDBETWEEN(2,COUNTA(Companies!$A:$A)),1)</f>
        <v>2</v>
      </c>
      <c r="B1216" s="5">
        <f t="shared" si="217"/>
        <v>1215</v>
      </c>
      <c r="C1216" s="6">
        <f t="shared" ca="1" si="218"/>
        <v>1</v>
      </c>
      <c r="D1216" s="7">
        <f ca="1">IF($B1216 = 1 + N("Presidente"),
    127,
    IF($B1216 = 2 + N("Vice-Presidente"),
        72,
        IF($B1216 = 3 + N("Secretária bilíngue"),
            13,
            RANDBETWEEN(5,COUNT(Name!$A:$A) + 1)
        )
    )
)</f>
        <v>181</v>
      </c>
      <c r="E1216" s="7" t="str">
        <f ca="1" xml:space="preserve">
VLOOKUP(
  $D1216,
  Name!$A:$B,
  2,
  FALSE
)
&amp; " " &amp;
IF($B1216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Isys Castro Caruso</v>
      </c>
      <c r="F1216" s="7">
        <v>2</v>
      </c>
      <c r="G1216" s="7" cm="1">
        <f t="array" aca="1" ref="G1216" ca="1">INDEX(States!$B:$B,RANDBETWEEN(2,COUNTA(States!$A:$A)),1)</f>
        <v>7</v>
      </c>
      <c r="H1216" s="7" t="str">
        <f ca="1">VLOOKUP($D1216,Name!$A:$C,3,FALSE)</f>
        <v>F</v>
      </c>
      <c r="I1216" s="7" cm="1">
        <f t="array" aca="1" ref="I1216" ca="1">INDEX('Marital status'!$A:$A,RANDBETWEEN(2,COUNTA('Marital status'!$A:$A)),1)</f>
        <v>3</v>
      </c>
      <c r="J1216" s="7">
        <f t="shared" ca="1" si="219"/>
        <v>5</v>
      </c>
      <c r="K1216" s="8">
        <f t="shared" ca="1" si="220"/>
        <v>29979</v>
      </c>
      <c r="L1216" s="6">
        <f t="shared" ca="1" si="221"/>
        <v>4</v>
      </c>
      <c r="M1216" s="7">
        <f ca="1" xml:space="preserve">
  IF(OR($N1216 = 2, $N1216 = 3, $N1216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216" s="6">
        <f t="shared" ca="1" si="222"/>
        <v>7</v>
      </c>
      <c r="O1216" s="6" t="e">
        <f t="shared" ca="1" si="223"/>
        <v>#N/A</v>
      </c>
      <c r="P1216" s="8">
        <f t="shared" ca="1" si="224"/>
        <v>37591</v>
      </c>
      <c r="Q1216" s="6">
        <f ca="1">RANDBETWEEN(2,COUNTA('Recruitment source'!$A:$A))</f>
        <v>5</v>
      </c>
      <c r="R1216" s="8" t="e">
        <f t="shared" ca="1" si="225"/>
        <v>#N/A</v>
      </c>
      <c r="S1216" s="6" t="e">
        <f t="shared" ca="1" si="226"/>
        <v>#N/A</v>
      </c>
      <c r="T1216" s="6">
        <f t="shared" ca="1" si="216"/>
        <v>5</v>
      </c>
      <c r="U1216" s="1">
        <f t="shared" ca="1" si="227"/>
        <v>1005</v>
      </c>
    </row>
    <row r="1217" spans="1:21" x14ac:dyDescent="0.2">
      <c r="A1217" s="7" cm="1">
        <f t="array" aca="1" ref="A1217" ca="1">INDEX(Companies!$A:$A,RANDBETWEEN(2,COUNTA(Companies!$A:$A)),1)</f>
        <v>2</v>
      </c>
      <c r="B1217" s="5">
        <f t="shared" si="217"/>
        <v>1216</v>
      </c>
      <c r="C1217" s="6">
        <f t="shared" ca="1" si="218"/>
        <v>1</v>
      </c>
      <c r="D1217" s="7">
        <f ca="1">IF($B1217 = 1 + N("Presidente"),
    127,
    IF($B1217 = 2 + N("Vice-Presidente"),
        72,
        IF($B1217 = 3 + N("Secretária bilíngue"),
            13,
            RANDBETWEEN(5,COUNT(Name!$A:$A) + 1)
        )
    )
)</f>
        <v>70</v>
      </c>
      <c r="E1217" s="7" t="str">
        <f ca="1" xml:space="preserve">
VLOOKUP(
  $D1217,
  Name!$A:$B,
  2,
  FALSE
)
&amp; " " &amp;
IF($B1217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Bento Frasão Andrioli</v>
      </c>
      <c r="F1217" s="7">
        <v>2</v>
      </c>
      <c r="G1217" s="7" cm="1">
        <f t="array" aca="1" ref="G1217" ca="1">INDEX(States!$B:$B,RANDBETWEEN(2,COUNTA(States!$A:$A)),1)</f>
        <v>12</v>
      </c>
      <c r="H1217" s="7" t="str">
        <f ca="1">VLOOKUP($D1217,Name!$A:$C,3,FALSE)</f>
        <v>M</v>
      </c>
      <c r="I1217" s="7" cm="1">
        <f t="array" aca="1" ref="I1217" ca="1">INDEX('Marital status'!$A:$A,RANDBETWEEN(2,COUNTA('Marital status'!$A:$A)),1)</f>
        <v>3</v>
      </c>
      <c r="J1217" s="7">
        <f t="shared" ca="1" si="219"/>
        <v>2</v>
      </c>
      <c r="K1217" s="8">
        <f t="shared" ca="1" si="220"/>
        <v>33426</v>
      </c>
      <c r="L1217" s="6">
        <f t="shared" ca="1" si="221"/>
        <v>4</v>
      </c>
      <c r="M1217" s="7">
        <f ca="1" xml:space="preserve">
  IF(OR($N1217 = 2, $N1217 = 3, $N1217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217" s="6">
        <f t="shared" ca="1" si="222"/>
        <v>8</v>
      </c>
      <c r="O1217" s="6">
        <f t="shared" ca="1" si="223"/>
        <v>4</v>
      </c>
      <c r="P1217" s="8">
        <f t="shared" ca="1" si="224"/>
        <v>39651</v>
      </c>
      <c r="Q1217" s="6">
        <f ca="1">RANDBETWEEN(2,COUNTA('Recruitment source'!$A:$A))</f>
        <v>10</v>
      </c>
      <c r="R1217" s="8" t="e">
        <f t="shared" ca="1" si="225"/>
        <v>#N/A</v>
      </c>
      <c r="S1217" s="6" t="e">
        <f t="shared" ca="1" si="226"/>
        <v>#N/A</v>
      </c>
      <c r="T1217" s="6">
        <f t="shared" ca="1" si="216"/>
        <v>2</v>
      </c>
      <c r="U1217" s="1">
        <f t="shared" ca="1" si="227"/>
        <v>2000</v>
      </c>
    </row>
    <row r="1218" spans="1:21" x14ac:dyDescent="0.2">
      <c r="A1218" s="7" cm="1">
        <f t="array" aca="1" ref="A1218" ca="1">INDEX(Companies!$A:$A,RANDBETWEEN(2,COUNTA(Companies!$A:$A)),1)</f>
        <v>2</v>
      </c>
      <c r="B1218" s="5">
        <f t="shared" si="217"/>
        <v>1217</v>
      </c>
      <c r="C1218" s="6">
        <f t="shared" ca="1" si="218"/>
        <v>1</v>
      </c>
      <c r="D1218" s="7">
        <f ca="1">IF($B1218 = 1 + N("Presidente"),
    127,
    IF($B1218 = 2 + N("Vice-Presidente"),
        72,
        IF($B1218 = 3 + N("Secretária bilíngue"),
            13,
            RANDBETWEEN(5,COUNT(Name!$A:$A) + 1)
        )
    )
)</f>
        <v>8</v>
      </c>
      <c r="E1218" s="7" t="str">
        <f ca="1" xml:space="preserve">
VLOOKUP(
  $D1218,
  Name!$A:$B,
  2,
  FALSE
)
&amp; " " &amp;
IF($B1218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Adélia Chaves Frasão</v>
      </c>
      <c r="F1218" s="7">
        <v>2</v>
      </c>
      <c r="G1218" s="7" cm="1">
        <f t="array" aca="1" ref="G1218" ca="1">INDEX(States!$B:$B,RANDBETWEEN(2,COUNTA(States!$A:$A)),1)</f>
        <v>10</v>
      </c>
      <c r="H1218" s="7" t="str">
        <f ca="1">VLOOKUP($D1218,Name!$A:$C,3,FALSE)</f>
        <v>F</v>
      </c>
      <c r="I1218" s="7" cm="1">
        <f t="array" aca="1" ref="I1218" ca="1">INDEX('Marital status'!$A:$A,RANDBETWEEN(2,COUNTA('Marital status'!$A:$A)),1)</f>
        <v>5</v>
      </c>
      <c r="J1218" s="7">
        <f t="shared" ca="1" si="219"/>
        <v>3</v>
      </c>
      <c r="K1218" s="8">
        <f t="shared" ca="1" si="220"/>
        <v>29438</v>
      </c>
      <c r="L1218" s="6">
        <f t="shared" ca="1" si="221"/>
        <v>4</v>
      </c>
      <c r="M1218" s="7">
        <f ca="1" xml:space="preserve">
  IF(OR($N1218 = 2, $N1218 = 3, $N1218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218" s="6">
        <f t="shared" ca="1" si="222"/>
        <v>7</v>
      </c>
      <c r="O1218" s="6" t="e">
        <f t="shared" ca="1" si="223"/>
        <v>#N/A</v>
      </c>
      <c r="P1218" s="8">
        <f t="shared" ca="1" si="224"/>
        <v>40459</v>
      </c>
      <c r="Q1218" s="6">
        <f ca="1">RANDBETWEEN(2,COUNTA('Recruitment source'!$A:$A))</f>
        <v>7</v>
      </c>
      <c r="R1218" s="8" t="e">
        <f t="shared" ca="1" si="225"/>
        <v>#N/A</v>
      </c>
      <c r="S1218" s="6" t="e">
        <f t="shared" ca="1" si="226"/>
        <v>#N/A</v>
      </c>
      <c r="T1218" s="6">
        <f t="shared" ref="T1218:T1281" ca="1" si="228" xml:space="preserve">
IF(
 ISNA($R1218),
 IF(
   $N1218 = 2,
   5,
   IF(
     OR($N1218=3,$N1218=4,$N1218=5),
     RANDBETWEEN(4,5),
     IF(
       OR($N1218=11,$N1218=12),
       RANDBETWEEN(3,5),
       RANDBETWEEN(2,5)
     )
   )
 ),
 RANDBETWEEN(1,3)
)</f>
        <v>4</v>
      </c>
      <c r="U1218" s="1">
        <f t="shared" ca="1" si="227"/>
        <v>1005</v>
      </c>
    </row>
    <row r="1219" spans="1:21" x14ac:dyDescent="0.2">
      <c r="A1219" s="7" cm="1">
        <f t="array" aca="1" ref="A1219" ca="1">INDEX(Companies!$A:$A,RANDBETWEEN(2,COUNTA(Companies!$A:$A)),1)</f>
        <v>2</v>
      </c>
      <c r="B1219" s="5">
        <f t="shared" ref="B1219:B1282" si="229">ROW() - 1</f>
        <v>1218</v>
      </c>
      <c r="C1219" s="6">
        <f t="shared" ref="C1219:C1282" ca="1" si="230">IF(ISNA($R1219),1,0)</f>
        <v>1</v>
      </c>
      <c r="D1219" s="7">
        <f ca="1">IF($B1219 = 1 + N("Presidente"),
    127,
    IF($B1219 = 2 + N("Vice-Presidente"),
        72,
        IF($B1219 = 3 + N("Secretária bilíngue"),
            13,
            RANDBETWEEN(5,COUNT(Name!$A:$A) + 1)
        )
    )
)</f>
        <v>285</v>
      </c>
      <c r="E1219" s="7" t="str">
        <f ca="1" xml:space="preserve">
VLOOKUP(
  $D1219,
  Name!$A:$B,
  2,
  FALSE
)
&amp; " " &amp;
IF($B1219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Martin Ferreira Fontana</v>
      </c>
      <c r="F1219" s="7">
        <v>2</v>
      </c>
      <c r="G1219" s="7" cm="1">
        <f t="array" aca="1" ref="G1219" ca="1">INDEX(States!$B:$B,RANDBETWEEN(2,COUNTA(States!$A:$A)),1)</f>
        <v>15</v>
      </c>
      <c r="H1219" s="7" t="str">
        <f ca="1">VLOOKUP($D1219,Name!$A:$C,3,FALSE)</f>
        <v>M</v>
      </c>
      <c r="I1219" s="7" cm="1">
        <f t="array" aca="1" ref="I1219" ca="1">INDEX('Marital status'!$A:$A,RANDBETWEEN(2,COUNTA('Marital status'!$A:$A)),1)</f>
        <v>3</v>
      </c>
      <c r="J1219" s="7">
        <f t="shared" ref="J1219:J1282" ca="1" si="231" xml:space="preserve">
IF(AND($N1219 &gt;= 2, $N1219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1219" s="8">
        <f t="shared" ref="K1219:K1282" ca="1" si="232" xml:space="preserve">
IF($N1219 = 5 + N("CEO"),
    TODAY() - 16340,
    IF($N1219 = 8 + N("Secretary"),
        RANDBETWEEN(TODAY() - 12418.5, TODAY()-6574.5),
        IF(OR($N1219 = 7, $N1219 = 14),
            RANDBETWEEN(TODAY() - 16071, TODAY() - 8766),
            IF(OR($N1219 = 13, $N1219 = 12, $N1219 = 11),
                RANDBETWEEN(TODAY() - 27393.75, TODAY() - 12783.75),
                RANDBETWEEN(TODAY() - 27393.75, TODAY()-10957.5)
            )
        )
    )
)</f>
        <v>36839</v>
      </c>
      <c r="L1219" s="6">
        <f t="shared" ref="L1219:L1282" ca="1" si="233" xml:space="preserve">
IF(OR($N1219 = 2, $N1219 = 3) + N("Se for presidente ou vice-presidente"),
    7 + N("Doutor"),
    IF($N1219 = 4 + N("Se for diretor"),
        RANDBETWEEN(5,7) + N("Graduate school or Master’s degree or Doctorate"),
        IF($N1219 = 11 + N("Se for gerente"),
            RANDBETWEEN(4,6) + N("Undergraduate degree or Graduate school or Master’s degree"),
            IF(AND($N1219 &gt;= 8, $N1219 &lt;= 10) + N("If coordinator or specialist or analyst"),
                RANDBETWEEN(4,5),
                4
            )
        )
    )
)</f>
        <v>5</v>
      </c>
      <c r="M1219" s="7">
        <f ca="1" xml:space="preserve">
  IF(OR($N1219 = 2, $N1219 = 3, $N1219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219" s="6">
        <f t="shared" ref="N1219:N1282" ca="1" si="234" xml:space="preserve">
IF($B1219 = 1 + N("Se matrícula for 1"),
  2 + N("Presidente"),
  IF($B1219 = 2 + N("Se matrícula for 2"),
    3 + N("Vice-presidente"),
    IF($B1219 = 3 + N("Se matrícula for 3"),
      5 + N("Secretária bilíngue"),
      IF(AND($B1219 &gt;= 4, $B1219 &lt;=14),
        4 + N("Diretor"),
        IF(AND($B1219 &gt;= 15, $B1219 &lt;= 25),
          11 + N("Manager"),
          IF(AND($B1219 &gt;= 26, $B1219 &lt;= 36),
            10 + N("Coordinador"),
            IF(AND($B1219 &gt;= 37, $B1219 &lt;= 47),
              9 + N("Especialista"),
                IF(MOD($B1219,2) = 0,
                  8 + N("Analista"),
                  RANDBETWEEN(6,7) + N("Estagiário ou Trainee")
                )
            )
          )
        )
      )
    )
  )
)</f>
        <v>8</v>
      </c>
      <c r="O1219" s="6">
        <f t="shared" ref="O1219:O1282" ca="1" si="235" xml:space="preserve">
IF($N1219 =8 + N("Analyst"),
    RANDBETWEEN(2, 4) + N("Jr, Pleno, Sr"),
    NA()
)</f>
        <v>2</v>
      </c>
      <c r="P1219" s="8">
        <f t="shared" ref="P1219:P1282" ca="1" si="236" xml:space="preserve">
IF(
   $N1219=2 + N("Presidente"),
   36161,
   IF(
       OR(
         $N1219=3 + N("Vice-Presidente"),
         $N1219=4 + N("Diretor"),
         $N1219=5 + N("Secretária bilíngue")
       ),
       RANDBETWEEN(36161,36411),
       IF(
         ((TODAY() - $K1219) / 365) &lt; 19,
         TODAY(),
         RANDBETWEEN(36161,TODAY())
       )
   )
)</f>
        <v>36879</v>
      </c>
      <c r="Q1219" s="6">
        <f ca="1">RANDBETWEEN(2,COUNTA('Recruitment source'!$A:$A))</f>
        <v>10</v>
      </c>
      <c r="R1219" s="8" t="e">
        <f t="shared" ref="R1219:R1282" ca="1" si="237" xml:space="preserve">
IF(MOD(
     ROW(),111
   )=0,
   RANDBETWEEN($P1219 + 1,TODAY() - 1),NA()
)</f>
        <v>#N/A</v>
      </c>
      <c r="S1219" s="6" t="e">
        <f t="shared" ref="S1219:S1282" ca="1" si="238" xml:space="preserve">
IF(
  ISNA(R1219),
  NA(),
  RANDBETWEEN(2,IF($H1219="F",10,9))
)</f>
        <v>#N/A</v>
      </c>
      <c r="T1219" s="6">
        <f t="shared" ca="1" si="228"/>
        <v>4</v>
      </c>
      <c r="U1219" s="1">
        <f t="shared" ref="U1219:U1282" ca="1" si="239" xml:space="preserve">
IF($N1219 = 2 + N("Presidente"),
    25000,
    IF($N1219 = 3 + N("Vice-presidente"),
        23000,
        IF(OR($N1219 = 5, $N1219= 10, $N1219 = 9) + N("Secretária bilíngue ou coordenador ou especialista"),
            8000,
            IF($N1219 = 4 + N("Diretor"),
                15000,
                IF($N1219 = 11 + N("Gerente"),
                    12000,
                    IF($N1219 = 6 + N("Estagiário"),
                        805,
                        IF($N1219 = 7 + N("Trainee"),
                            1005,
                            IF($N1219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IF($L1219 = 7,
  100,
  IF($L1219 = 8,
    200,
    IF($L1219 = 9,
      300,
      IF($L1219 = 10,
        400,
        0
      )
    )
  )
)
+
N("Adicional no salário por área")
+
IF($M1219 = 14 + N("Tecnologia da Informação"),
  120,
  IF($M1219 = 16 + N("Vendas"),
    110,
    IF($M1219 = 15 + N("Jurídico"),
      100,
      IF(OR($M1219 = 8, $M1219 = 9, $M1219 = 11) + N("Recursos humanos ou comercial ou comunicação e marketing"),
        80,
        0
      )
    )
  )
)
+
N("Adicionando pegadinha")
+
IF(AND($M1219 = 13, $N1219 = 8) + N("Se for de vendas e analista"),
  IF($J1219 = 2,
    50,
    0
  )
  +
  IF($H1219 = "M",
    50,
    0
  ),
  0
)</f>
        <v>2080</v>
      </c>
    </row>
    <row r="1220" spans="1:21" x14ac:dyDescent="0.2">
      <c r="A1220" s="7" cm="1">
        <f t="array" aca="1" ref="A1220" ca="1">INDEX(Companies!$A:$A,RANDBETWEEN(2,COUNTA(Companies!$A:$A)),1)</f>
        <v>2</v>
      </c>
      <c r="B1220" s="5">
        <f t="shared" si="229"/>
        <v>1219</v>
      </c>
      <c r="C1220" s="6">
        <f t="shared" ca="1" si="230"/>
        <v>1</v>
      </c>
      <c r="D1220" s="7">
        <f ca="1">IF($B1220 = 1 + N("Presidente"),
    127,
    IF($B1220 = 2 + N("Vice-Presidente"),
        72,
        IF($B1220 = 3 + N("Secretária bilíngue"),
            13,
            RANDBETWEEN(5,COUNT(Name!$A:$A) + 1)
        )
    )
)</f>
        <v>168</v>
      </c>
      <c r="E1220" s="7" t="str">
        <f ca="1" xml:space="preserve">
VLOOKUP(
  $D1220,
  Name!$A:$B,
  2,
  FALSE
)
&amp; " " &amp;
IF($B1220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Henry Trindade Esteves</v>
      </c>
      <c r="F1220" s="7">
        <v>2</v>
      </c>
      <c r="G1220" s="7" cm="1">
        <f t="array" aca="1" ref="G1220" ca="1">INDEX(States!$B:$B,RANDBETWEEN(2,COUNTA(States!$A:$A)),1)</f>
        <v>12</v>
      </c>
      <c r="H1220" s="7" t="str">
        <f ca="1">VLOOKUP($D1220,Name!$A:$C,3,FALSE)</f>
        <v>M</v>
      </c>
      <c r="I1220" s="7" cm="1">
        <f t="array" aca="1" ref="I1220" ca="1">INDEX('Marital status'!$A:$A,RANDBETWEEN(2,COUNTA('Marital status'!$A:$A)),1)</f>
        <v>2</v>
      </c>
      <c r="J1220" s="7">
        <f t="shared" ca="1" si="231"/>
        <v>2</v>
      </c>
      <c r="K1220" s="8">
        <f t="shared" ca="1" si="232"/>
        <v>19651</v>
      </c>
      <c r="L1220" s="6">
        <f t="shared" ca="1" si="233"/>
        <v>4</v>
      </c>
      <c r="M1220" s="7">
        <f ca="1" xml:space="preserve">
  IF(OR($N1220 = 2, $N1220 = 3, $N1220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220" s="6">
        <f t="shared" ca="1" si="234"/>
        <v>6</v>
      </c>
      <c r="O1220" s="6" t="e">
        <f t="shared" ca="1" si="235"/>
        <v>#N/A</v>
      </c>
      <c r="P1220" s="8">
        <f t="shared" ca="1" si="236"/>
        <v>42960</v>
      </c>
      <c r="Q1220" s="6">
        <f ca="1">RANDBETWEEN(2,COUNTA('Recruitment source'!$A:$A))</f>
        <v>9</v>
      </c>
      <c r="R1220" s="8" t="e">
        <f t="shared" ca="1" si="237"/>
        <v>#N/A</v>
      </c>
      <c r="S1220" s="6" t="e">
        <f t="shared" ca="1" si="238"/>
        <v>#N/A</v>
      </c>
      <c r="T1220" s="6">
        <f t="shared" ca="1" si="228"/>
        <v>3</v>
      </c>
      <c r="U1220" s="1">
        <f t="shared" ca="1" si="239"/>
        <v>805</v>
      </c>
    </row>
    <row r="1221" spans="1:21" x14ac:dyDescent="0.2">
      <c r="A1221" s="7" cm="1">
        <f t="array" aca="1" ref="A1221" ca="1">INDEX(Companies!$A:$A,RANDBETWEEN(2,COUNTA(Companies!$A:$A)),1)</f>
        <v>2</v>
      </c>
      <c r="B1221" s="5">
        <f t="shared" si="229"/>
        <v>1220</v>
      </c>
      <c r="C1221" s="6">
        <f t="shared" ca="1" si="230"/>
        <v>0</v>
      </c>
      <c r="D1221" s="7">
        <f ca="1">IF($B1221 = 1 + N("Presidente"),
    127,
    IF($B1221 = 2 + N("Vice-Presidente"),
        72,
        IF($B1221 = 3 + N("Secretária bilíngue"),
            13,
            RANDBETWEEN(5,COUNT(Name!$A:$A) + 1)
        )
    )
)</f>
        <v>254</v>
      </c>
      <c r="E1221" s="7" t="str">
        <f ca="1" xml:space="preserve">
VLOOKUP(
  $D1221,
  Name!$A:$B,
  2,
  FALSE
)
&amp; " " &amp;
IF($B1221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Manuel Seixas Peçanha</v>
      </c>
      <c r="F1221" s="7">
        <v>2</v>
      </c>
      <c r="G1221" s="7" cm="1">
        <f t="array" aca="1" ref="G1221" ca="1">INDEX(States!$B:$B,RANDBETWEEN(2,COUNTA(States!$A:$A)),1)</f>
        <v>2</v>
      </c>
      <c r="H1221" s="7" t="str">
        <f ca="1">VLOOKUP($D1221,Name!$A:$C,3,FALSE)</f>
        <v>M</v>
      </c>
      <c r="I1221" s="7" cm="1">
        <f t="array" aca="1" ref="I1221" ca="1">INDEX('Marital status'!$A:$A,RANDBETWEEN(2,COUNTA('Marital status'!$A:$A)),1)</f>
        <v>4</v>
      </c>
      <c r="J1221" s="7">
        <f t="shared" ca="1" si="231"/>
        <v>4</v>
      </c>
      <c r="K1221" s="8">
        <f t="shared" ca="1" si="232"/>
        <v>32585</v>
      </c>
      <c r="L1221" s="6">
        <f t="shared" ca="1" si="233"/>
        <v>5</v>
      </c>
      <c r="M1221" s="7">
        <f ca="1" xml:space="preserve">
  IF(OR($N1221 = 2, $N1221 = 3, $N1221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221" s="6">
        <f t="shared" ca="1" si="234"/>
        <v>8</v>
      </c>
      <c r="O1221" s="6">
        <f t="shared" ca="1" si="235"/>
        <v>4</v>
      </c>
      <c r="P1221" s="8">
        <f t="shared" ca="1" si="236"/>
        <v>39902</v>
      </c>
      <c r="Q1221" s="6">
        <f ca="1">RANDBETWEEN(2,COUNTA('Recruitment source'!$A:$A))</f>
        <v>7</v>
      </c>
      <c r="R1221" s="8">
        <f t="shared" ca="1" si="237"/>
        <v>39929</v>
      </c>
      <c r="S1221" s="6">
        <f t="shared" ca="1" si="238"/>
        <v>8</v>
      </c>
      <c r="T1221" s="6">
        <f t="shared" ca="1" si="228"/>
        <v>3</v>
      </c>
      <c r="U1221" s="1">
        <f t="shared" ca="1" si="239"/>
        <v>2080</v>
      </c>
    </row>
    <row r="1222" spans="1:21" x14ac:dyDescent="0.2">
      <c r="A1222" s="7" cm="1">
        <f t="array" aca="1" ref="A1222" ca="1">INDEX(Companies!$A:$A,RANDBETWEEN(2,COUNTA(Companies!$A:$A)),1)</f>
        <v>2</v>
      </c>
      <c r="B1222" s="5">
        <f t="shared" si="229"/>
        <v>1221</v>
      </c>
      <c r="C1222" s="6">
        <f t="shared" ca="1" si="230"/>
        <v>1</v>
      </c>
      <c r="D1222" s="7">
        <f ca="1">IF($B1222 = 1 + N("Presidente"),
    127,
    IF($B1222 = 2 + N("Vice-Presidente"),
        72,
        IF($B1222 = 3 + N("Secretária bilíngue"),
            13,
            RANDBETWEEN(5,COUNT(Name!$A:$A) + 1)
        )
    )
)</f>
        <v>274</v>
      </c>
      <c r="E1222" s="7" t="str">
        <f ca="1" xml:space="preserve">
VLOOKUP(
  $D1222,
  Name!$A:$B,
  2,
  FALSE
)
&amp; " " &amp;
IF($B1222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Valentina Mancini Sá</v>
      </c>
      <c r="F1222" s="7">
        <v>2</v>
      </c>
      <c r="G1222" s="7" cm="1">
        <f t="array" aca="1" ref="G1222" ca="1">INDEX(States!$B:$B,RANDBETWEEN(2,COUNTA(States!$A:$A)),1)</f>
        <v>15</v>
      </c>
      <c r="H1222" s="7" t="str">
        <f ca="1">VLOOKUP($D1222,Name!$A:$C,3,FALSE)</f>
        <v>F</v>
      </c>
      <c r="I1222" s="7" cm="1">
        <f t="array" aca="1" ref="I1222" ca="1">INDEX('Marital status'!$A:$A,RANDBETWEEN(2,COUNTA('Marital status'!$A:$A)),1)</f>
        <v>4</v>
      </c>
      <c r="J1222" s="7">
        <f t="shared" ca="1" si="231"/>
        <v>2</v>
      </c>
      <c r="K1222" s="8">
        <f t="shared" ca="1" si="232"/>
        <v>27463</v>
      </c>
      <c r="L1222" s="6">
        <f t="shared" ca="1" si="233"/>
        <v>4</v>
      </c>
      <c r="M1222" s="7">
        <f ca="1" xml:space="preserve">
  IF(OR($N1222 = 2, $N1222 = 3, $N1222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222" s="6">
        <f t="shared" ca="1" si="234"/>
        <v>6</v>
      </c>
      <c r="O1222" s="6" t="e">
        <f t="shared" ca="1" si="235"/>
        <v>#N/A</v>
      </c>
      <c r="P1222" s="8">
        <f t="shared" ca="1" si="236"/>
        <v>43539</v>
      </c>
      <c r="Q1222" s="6">
        <f ca="1">RANDBETWEEN(2,COUNTA('Recruitment source'!$A:$A))</f>
        <v>2</v>
      </c>
      <c r="R1222" s="8" t="e">
        <f t="shared" ca="1" si="237"/>
        <v>#N/A</v>
      </c>
      <c r="S1222" s="6" t="e">
        <f t="shared" ca="1" si="238"/>
        <v>#N/A</v>
      </c>
      <c r="T1222" s="6">
        <f t="shared" ca="1" si="228"/>
        <v>4</v>
      </c>
      <c r="U1222" s="1">
        <f t="shared" ca="1" si="239"/>
        <v>885</v>
      </c>
    </row>
    <row r="1223" spans="1:21" x14ac:dyDescent="0.2">
      <c r="A1223" s="7" cm="1">
        <f t="array" aca="1" ref="A1223" ca="1">INDEX(Companies!$A:$A,RANDBETWEEN(2,COUNTA(Companies!$A:$A)),1)</f>
        <v>2</v>
      </c>
      <c r="B1223" s="5">
        <f t="shared" si="229"/>
        <v>1222</v>
      </c>
      <c r="C1223" s="6">
        <f t="shared" ca="1" si="230"/>
        <v>1</v>
      </c>
      <c r="D1223" s="7">
        <f ca="1">IF($B1223 = 1 + N("Presidente"),
    127,
    IF($B1223 = 2 + N("Vice-Presidente"),
        72,
        IF($B1223 = 3 + N("Secretária bilíngue"),
            13,
            RANDBETWEEN(5,COUNT(Name!$A:$A) + 1)
        )
    )
)</f>
        <v>98</v>
      </c>
      <c r="E1223" s="7" t="str">
        <f ca="1" xml:space="preserve">
VLOOKUP(
  $D1223,
  Name!$A:$B,
  2,
  FALSE
)
&amp; " " &amp;
IF($B1223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Claudio Azeredo Tavarez</v>
      </c>
      <c r="F1223" s="7">
        <v>2</v>
      </c>
      <c r="G1223" s="7" cm="1">
        <f t="array" aca="1" ref="G1223" ca="1">INDEX(States!$B:$B,RANDBETWEEN(2,COUNTA(States!$A:$A)),1)</f>
        <v>21</v>
      </c>
      <c r="H1223" s="7" t="str">
        <f ca="1">VLOOKUP($D1223,Name!$A:$C,3,FALSE)</f>
        <v>M</v>
      </c>
      <c r="I1223" s="7" cm="1">
        <f t="array" aca="1" ref="I1223" ca="1">INDEX('Marital status'!$A:$A,RANDBETWEEN(2,COUNTA('Marital status'!$A:$A)),1)</f>
        <v>2</v>
      </c>
      <c r="J1223" s="7">
        <f t="shared" ca="1" si="231"/>
        <v>2</v>
      </c>
      <c r="K1223" s="8">
        <f t="shared" ca="1" si="232"/>
        <v>34873</v>
      </c>
      <c r="L1223" s="6">
        <f t="shared" ca="1" si="233"/>
        <v>5</v>
      </c>
      <c r="M1223" s="7">
        <f ca="1" xml:space="preserve">
  IF(OR($N1223 = 2, $N1223 = 3, $N1223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223" s="6">
        <f t="shared" ca="1" si="234"/>
        <v>8</v>
      </c>
      <c r="O1223" s="6">
        <f t="shared" ca="1" si="235"/>
        <v>3</v>
      </c>
      <c r="P1223" s="8">
        <f t="shared" ca="1" si="236"/>
        <v>41110</v>
      </c>
      <c r="Q1223" s="6">
        <f ca="1">RANDBETWEEN(2,COUNTA('Recruitment source'!$A:$A))</f>
        <v>4</v>
      </c>
      <c r="R1223" s="8" t="e">
        <f t="shared" ca="1" si="237"/>
        <v>#N/A</v>
      </c>
      <c r="S1223" s="6" t="e">
        <f t="shared" ca="1" si="238"/>
        <v>#N/A</v>
      </c>
      <c r="T1223" s="6">
        <f t="shared" ca="1" si="228"/>
        <v>3</v>
      </c>
      <c r="U1223" s="1">
        <f t="shared" ca="1" si="239"/>
        <v>2000</v>
      </c>
    </row>
    <row r="1224" spans="1:21" x14ac:dyDescent="0.2">
      <c r="A1224" s="7" cm="1">
        <f t="array" aca="1" ref="A1224" ca="1">INDEX(Companies!$A:$A,RANDBETWEEN(2,COUNTA(Companies!$A:$A)),1)</f>
        <v>2</v>
      </c>
      <c r="B1224" s="5">
        <f t="shared" si="229"/>
        <v>1223</v>
      </c>
      <c r="C1224" s="6">
        <f t="shared" ca="1" si="230"/>
        <v>1</v>
      </c>
      <c r="D1224" s="7">
        <f ca="1">IF($B1224 = 1 + N("Presidente"),
    127,
    IF($B1224 = 2 + N("Vice-Presidente"),
        72,
        IF($B1224 = 3 + N("Secretária bilíngue"),
            13,
            RANDBETWEEN(5,COUNT(Name!$A:$A) + 1)
        )
    )
)</f>
        <v>319</v>
      </c>
      <c r="E1224" s="7" t="str">
        <f ca="1" xml:space="preserve">
VLOOKUP(
  $D1224,
  Name!$A:$B,
  2,
  FALSE
)
&amp; " " &amp;
IF($B1224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Miguel Pimenta Teixeira</v>
      </c>
      <c r="F1224" s="7">
        <v>2</v>
      </c>
      <c r="G1224" s="7" cm="1">
        <f t="array" aca="1" ref="G1224" ca="1">INDEX(States!$B:$B,RANDBETWEEN(2,COUNTA(States!$A:$A)),1)</f>
        <v>6</v>
      </c>
      <c r="H1224" s="7" t="str">
        <f ca="1">VLOOKUP($D1224,Name!$A:$C,3,FALSE)</f>
        <v>M</v>
      </c>
      <c r="I1224" s="7" cm="1">
        <f t="array" aca="1" ref="I1224" ca="1">INDEX('Marital status'!$A:$A,RANDBETWEEN(2,COUNTA('Marital status'!$A:$A)),1)</f>
        <v>4</v>
      </c>
      <c r="J1224" s="7">
        <f t="shared" ca="1" si="231"/>
        <v>2</v>
      </c>
      <c r="K1224" s="8">
        <f t="shared" ca="1" si="232"/>
        <v>19586</v>
      </c>
      <c r="L1224" s="6">
        <f t="shared" ca="1" si="233"/>
        <v>4</v>
      </c>
      <c r="M1224" s="7">
        <f ca="1" xml:space="preserve">
  IF(OR($N1224 = 2, $N1224 = 3, $N1224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224" s="6">
        <f t="shared" ca="1" si="234"/>
        <v>6</v>
      </c>
      <c r="O1224" s="6" t="e">
        <f t="shared" ca="1" si="235"/>
        <v>#N/A</v>
      </c>
      <c r="P1224" s="8">
        <f t="shared" ca="1" si="236"/>
        <v>42693</v>
      </c>
      <c r="Q1224" s="6">
        <f ca="1">RANDBETWEEN(2,COUNTA('Recruitment source'!$A:$A))</f>
        <v>6</v>
      </c>
      <c r="R1224" s="8" t="e">
        <f t="shared" ca="1" si="237"/>
        <v>#N/A</v>
      </c>
      <c r="S1224" s="6" t="e">
        <f t="shared" ca="1" si="238"/>
        <v>#N/A</v>
      </c>
      <c r="T1224" s="6">
        <f t="shared" ca="1" si="228"/>
        <v>3</v>
      </c>
      <c r="U1224" s="1">
        <f t="shared" ca="1" si="239"/>
        <v>805</v>
      </c>
    </row>
    <row r="1225" spans="1:21" x14ac:dyDescent="0.2">
      <c r="A1225" s="7" cm="1">
        <f t="array" aca="1" ref="A1225" ca="1">INDEX(Companies!$A:$A,RANDBETWEEN(2,COUNTA(Companies!$A:$A)),1)</f>
        <v>2</v>
      </c>
      <c r="B1225" s="5">
        <f t="shared" si="229"/>
        <v>1224</v>
      </c>
      <c r="C1225" s="6">
        <f t="shared" ca="1" si="230"/>
        <v>1</v>
      </c>
      <c r="D1225" s="7">
        <f ca="1">IF($B1225 = 1 + N("Presidente"),
    127,
    IF($B1225 = 2 + N("Vice-Presidente"),
        72,
        IF($B1225 = 3 + N("Secretária bilíngue"),
            13,
            RANDBETWEEN(5,COUNT(Name!$A:$A) + 1)
        )
    )
)</f>
        <v>131</v>
      </c>
      <c r="E1225" s="7" t="str">
        <f ca="1" xml:space="preserve">
VLOOKUP(
  $D1225,
  Name!$A:$B,
  2,
  FALSE
)
&amp; " " &amp;
IF($B1225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Erick Soares Pedroso</v>
      </c>
      <c r="F1225" s="7">
        <v>2</v>
      </c>
      <c r="G1225" s="7" cm="1">
        <f t="array" aca="1" ref="G1225" ca="1">INDEX(States!$B:$B,RANDBETWEEN(2,COUNTA(States!$A:$A)),1)</f>
        <v>21</v>
      </c>
      <c r="H1225" s="7" t="str">
        <f ca="1">VLOOKUP($D1225,Name!$A:$C,3,FALSE)</f>
        <v>M</v>
      </c>
      <c r="I1225" s="7" cm="1">
        <f t="array" aca="1" ref="I1225" ca="1">INDEX('Marital status'!$A:$A,RANDBETWEEN(2,COUNTA('Marital status'!$A:$A)),1)</f>
        <v>5</v>
      </c>
      <c r="J1225" s="7">
        <f t="shared" ca="1" si="231"/>
        <v>3</v>
      </c>
      <c r="K1225" s="8">
        <f t="shared" ca="1" si="232"/>
        <v>38065</v>
      </c>
      <c r="L1225" s="6">
        <f t="shared" ca="1" si="233"/>
        <v>4</v>
      </c>
      <c r="M1225" s="7">
        <f ca="1" xml:space="preserve">
  IF(OR($N1225 = 2, $N1225 = 3, $N1225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225" s="6">
        <f t="shared" ca="1" si="234"/>
        <v>8</v>
      </c>
      <c r="O1225" s="6">
        <f t="shared" ca="1" si="235"/>
        <v>4</v>
      </c>
      <c r="P1225" s="8">
        <f t="shared" ca="1" si="236"/>
        <v>44838</v>
      </c>
      <c r="Q1225" s="6">
        <f ca="1">RANDBETWEEN(2,COUNTA('Recruitment source'!$A:$A))</f>
        <v>10</v>
      </c>
      <c r="R1225" s="8" t="e">
        <f t="shared" ca="1" si="237"/>
        <v>#N/A</v>
      </c>
      <c r="S1225" s="6" t="e">
        <f t="shared" ca="1" si="238"/>
        <v>#N/A</v>
      </c>
      <c r="T1225" s="6">
        <f t="shared" ca="1" si="228"/>
        <v>2</v>
      </c>
      <c r="U1225" s="1">
        <f t="shared" ca="1" si="239"/>
        <v>2000</v>
      </c>
    </row>
    <row r="1226" spans="1:21" x14ac:dyDescent="0.2">
      <c r="A1226" s="7" cm="1">
        <f t="array" aca="1" ref="A1226" ca="1">INDEX(Companies!$A:$A,RANDBETWEEN(2,COUNTA(Companies!$A:$A)),1)</f>
        <v>2</v>
      </c>
      <c r="B1226" s="5">
        <f t="shared" si="229"/>
        <v>1225</v>
      </c>
      <c r="C1226" s="6">
        <f t="shared" ca="1" si="230"/>
        <v>1</v>
      </c>
      <c r="D1226" s="7">
        <f ca="1">IF($B1226 = 1 + N("Presidente"),
    127,
    IF($B1226 = 2 + N("Vice-Presidente"),
        72,
        IF($B1226 = 3 + N("Secretária bilíngue"),
            13,
            RANDBETWEEN(5,COUNT(Name!$A:$A) + 1)
        )
    )
)</f>
        <v>207</v>
      </c>
      <c r="E1226" s="7" t="str">
        <f ca="1" xml:space="preserve">
VLOOKUP(
  $D1226,
  Name!$A:$B,
  2,
  FALSE
)
&amp; " " &amp;
IF($B1226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Kamille Faro Luz</v>
      </c>
      <c r="F1226" s="7">
        <v>2</v>
      </c>
      <c r="G1226" s="7" cm="1">
        <f t="array" aca="1" ref="G1226" ca="1">INDEX(States!$B:$B,RANDBETWEEN(2,COUNTA(States!$A:$A)),1)</f>
        <v>18</v>
      </c>
      <c r="H1226" s="7" t="str">
        <f ca="1">VLOOKUP($D1226,Name!$A:$C,3,FALSE)</f>
        <v>F</v>
      </c>
      <c r="I1226" s="7" cm="1">
        <f t="array" aca="1" ref="I1226" ca="1">INDEX('Marital status'!$A:$A,RANDBETWEEN(2,COUNTA('Marital status'!$A:$A)),1)</f>
        <v>6</v>
      </c>
      <c r="J1226" s="7">
        <f t="shared" ca="1" si="231"/>
        <v>2</v>
      </c>
      <c r="K1226" s="8">
        <f t="shared" ca="1" si="232"/>
        <v>23131</v>
      </c>
      <c r="L1226" s="6">
        <f t="shared" ca="1" si="233"/>
        <v>4</v>
      </c>
      <c r="M1226" s="7">
        <f ca="1" xml:space="preserve">
  IF(OR($N1226 = 2, $N1226 = 3, $N1226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226" s="6">
        <f t="shared" ca="1" si="234"/>
        <v>6</v>
      </c>
      <c r="O1226" s="6" t="e">
        <f t="shared" ca="1" si="235"/>
        <v>#N/A</v>
      </c>
      <c r="P1226" s="8">
        <f t="shared" ca="1" si="236"/>
        <v>38583</v>
      </c>
      <c r="Q1226" s="6">
        <f ca="1">RANDBETWEEN(2,COUNTA('Recruitment source'!$A:$A))</f>
        <v>12</v>
      </c>
      <c r="R1226" s="8" t="e">
        <f t="shared" ca="1" si="237"/>
        <v>#N/A</v>
      </c>
      <c r="S1226" s="6" t="e">
        <f t="shared" ca="1" si="238"/>
        <v>#N/A</v>
      </c>
      <c r="T1226" s="6">
        <f t="shared" ca="1" si="228"/>
        <v>5</v>
      </c>
      <c r="U1226" s="1">
        <f t="shared" ca="1" si="239"/>
        <v>805</v>
      </c>
    </row>
    <row r="1227" spans="1:21" x14ac:dyDescent="0.2">
      <c r="A1227" s="7" cm="1">
        <f t="array" aca="1" ref="A1227" ca="1">INDEX(Companies!$A:$A,RANDBETWEEN(2,COUNTA(Companies!$A:$A)),1)</f>
        <v>2</v>
      </c>
      <c r="B1227" s="5">
        <f t="shared" si="229"/>
        <v>1226</v>
      </c>
      <c r="C1227" s="6">
        <f t="shared" ca="1" si="230"/>
        <v>1</v>
      </c>
      <c r="D1227" s="7">
        <f ca="1">IF($B1227 = 1 + N("Presidente"),
    127,
    IF($B1227 = 2 + N("Vice-Presidente"),
        72,
        IF($B1227 = 3 + N("Secretária bilíngue"),
            13,
            RANDBETWEEN(5,COUNT(Name!$A:$A) + 1)
        )
    )
)</f>
        <v>53</v>
      </c>
      <c r="E1227" s="7" t="str">
        <f ca="1" xml:space="preserve">
VLOOKUP(
  $D1227,
  Name!$A:$B,
  2,
  FALSE
)
&amp; " " &amp;
IF($B1227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Aquiles Brito Negreiros</v>
      </c>
      <c r="F1227" s="7">
        <v>2</v>
      </c>
      <c r="G1227" s="7" cm="1">
        <f t="array" aca="1" ref="G1227" ca="1">INDEX(States!$B:$B,RANDBETWEEN(2,COUNTA(States!$A:$A)),1)</f>
        <v>2</v>
      </c>
      <c r="H1227" s="7" t="str">
        <f ca="1">VLOOKUP($D1227,Name!$A:$C,3,FALSE)</f>
        <v>M</v>
      </c>
      <c r="I1227" s="7" cm="1">
        <f t="array" aca="1" ref="I1227" ca="1">INDEX('Marital status'!$A:$A,RANDBETWEEN(2,COUNTA('Marital status'!$A:$A)),1)</f>
        <v>5</v>
      </c>
      <c r="J1227" s="7">
        <f t="shared" ca="1" si="231"/>
        <v>2</v>
      </c>
      <c r="K1227" s="8">
        <f t="shared" ca="1" si="232"/>
        <v>36181</v>
      </c>
      <c r="L1227" s="6">
        <f t="shared" ca="1" si="233"/>
        <v>5</v>
      </c>
      <c r="M1227" s="7">
        <f ca="1" xml:space="preserve">
  IF(OR($N1227 = 2, $N1227 = 3, $N1227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227" s="6">
        <f t="shared" ca="1" si="234"/>
        <v>8</v>
      </c>
      <c r="O1227" s="6">
        <f t="shared" ca="1" si="235"/>
        <v>4</v>
      </c>
      <c r="P1227" s="8">
        <f t="shared" ca="1" si="236"/>
        <v>38586</v>
      </c>
      <c r="Q1227" s="6">
        <f ca="1">RANDBETWEEN(2,COUNTA('Recruitment source'!$A:$A))</f>
        <v>5</v>
      </c>
      <c r="R1227" s="8" t="e">
        <f t="shared" ca="1" si="237"/>
        <v>#N/A</v>
      </c>
      <c r="S1227" s="6" t="e">
        <f t="shared" ca="1" si="238"/>
        <v>#N/A</v>
      </c>
      <c r="T1227" s="6">
        <f t="shared" ca="1" si="228"/>
        <v>5</v>
      </c>
      <c r="U1227" s="1">
        <f t="shared" ca="1" si="239"/>
        <v>2000</v>
      </c>
    </row>
    <row r="1228" spans="1:21" x14ac:dyDescent="0.2">
      <c r="A1228" s="7" cm="1">
        <f t="array" aca="1" ref="A1228" ca="1">INDEX(Companies!$A:$A,RANDBETWEEN(2,COUNTA(Companies!$A:$A)),1)</f>
        <v>2</v>
      </c>
      <c r="B1228" s="5">
        <f t="shared" si="229"/>
        <v>1227</v>
      </c>
      <c r="C1228" s="6">
        <f t="shared" ca="1" si="230"/>
        <v>1</v>
      </c>
      <c r="D1228" s="7">
        <f ca="1">IF($B1228 = 1 + N("Presidente"),
    127,
    IF($B1228 = 2 + N("Vice-Presidente"),
        72,
        IF($B1228 = 3 + N("Secretária bilíngue"),
            13,
            RANDBETWEEN(5,COUNT(Name!$A:$A) + 1)
        )
    )
)</f>
        <v>283</v>
      </c>
      <c r="E1228" s="7" t="str">
        <f ca="1" xml:space="preserve">
VLOOKUP(
  $D1228,
  Name!$A:$B,
  2,
  FALSE
)
&amp; " " &amp;
IF($B1228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Marta Saragoça Azeredo</v>
      </c>
      <c r="F1228" s="7">
        <v>2</v>
      </c>
      <c r="G1228" s="7" cm="1">
        <f t="array" aca="1" ref="G1228" ca="1">INDEX(States!$B:$B,RANDBETWEEN(2,COUNTA(States!$A:$A)),1)</f>
        <v>11</v>
      </c>
      <c r="H1228" s="7" t="str">
        <f ca="1">VLOOKUP($D1228,Name!$A:$C,3,FALSE)</f>
        <v>F</v>
      </c>
      <c r="I1228" s="7" cm="1">
        <f t="array" aca="1" ref="I1228" ca="1">INDEX('Marital status'!$A:$A,RANDBETWEEN(2,COUNTA('Marital status'!$A:$A)),1)</f>
        <v>4</v>
      </c>
      <c r="J1228" s="7">
        <f t="shared" ca="1" si="231"/>
        <v>2</v>
      </c>
      <c r="K1228" s="8">
        <f t="shared" ca="1" si="232"/>
        <v>23684</v>
      </c>
      <c r="L1228" s="6">
        <f t="shared" ca="1" si="233"/>
        <v>4</v>
      </c>
      <c r="M1228" s="7">
        <f ca="1" xml:space="preserve">
  IF(OR($N1228 = 2, $N1228 = 3, $N1228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228" s="6">
        <f t="shared" ca="1" si="234"/>
        <v>6</v>
      </c>
      <c r="O1228" s="6" t="e">
        <f t="shared" ca="1" si="235"/>
        <v>#N/A</v>
      </c>
      <c r="P1228" s="8">
        <f t="shared" ca="1" si="236"/>
        <v>39034</v>
      </c>
      <c r="Q1228" s="6">
        <f ca="1">RANDBETWEEN(2,COUNTA('Recruitment source'!$A:$A))</f>
        <v>6</v>
      </c>
      <c r="R1228" s="8" t="e">
        <f t="shared" ca="1" si="237"/>
        <v>#N/A</v>
      </c>
      <c r="S1228" s="6" t="e">
        <f t="shared" ca="1" si="238"/>
        <v>#N/A</v>
      </c>
      <c r="T1228" s="6">
        <f t="shared" ca="1" si="228"/>
        <v>2</v>
      </c>
      <c r="U1228" s="1">
        <f t="shared" ca="1" si="239"/>
        <v>805</v>
      </c>
    </row>
    <row r="1229" spans="1:21" x14ac:dyDescent="0.2">
      <c r="A1229" s="7" cm="1">
        <f t="array" aca="1" ref="A1229" ca="1">INDEX(Companies!$A:$A,RANDBETWEEN(2,COUNTA(Companies!$A:$A)),1)</f>
        <v>2</v>
      </c>
      <c r="B1229" s="5">
        <f t="shared" si="229"/>
        <v>1228</v>
      </c>
      <c r="C1229" s="6">
        <f t="shared" ca="1" si="230"/>
        <v>1</v>
      </c>
      <c r="D1229" s="7">
        <f ca="1">IF($B1229 = 1 + N("Presidente"),
    127,
    IF($B1229 = 2 + N("Vice-Presidente"),
        72,
        IF($B1229 = 3 + N("Secretária bilíngue"),
            13,
            RANDBETWEEN(5,COUNT(Name!$A:$A) + 1)
        )
    )
)</f>
        <v>362</v>
      </c>
      <c r="E1229" s="7" t="str">
        <f ca="1" xml:space="preserve">
VLOOKUP(
  $D1229,
  Name!$A:$B,
  2,
  FALSE
)
&amp; " " &amp;
IF($B1229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Wilian Carvalho Caminha</v>
      </c>
      <c r="F1229" s="7">
        <v>2</v>
      </c>
      <c r="G1229" s="7" cm="1">
        <f t="array" aca="1" ref="G1229" ca="1">INDEX(States!$B:$B,RANDBETWEEN(2,COUNTA(States!$A:$A)),1)</f>
        <v>6</v>
      </c>
      <c r="H1229" s="7" t="str">
        <f ca="1">VLOOKUP($D1229,Name!$A:$C,3,FALSE)</f>
        <v>M</v>
      </c>
      <c r="I1229" s="7" cm="1">
        <f t="array" aca="1" ref="I1229" ca="1">INDEX('Marital status'!$A:$A,RANDBETWEEN(2,COUNTA('Marital status'!$A:$A)),1)</f>
        <v>4</v>
      </c>
      <c r="J1229" s="7">
        <f t="shared" ca="1" si="231"/>
        <v>2</v>
      </c>
      <c r="K1229" s="8">
        <f t="shared" ca="1" si="232"/>
        <v>35187</v>
      </c>
      <c r="L1229" s="6">
        <f t="shared" ca="1" si="233"/>
        <v>5</v>
      </c>
      <c r="M1229" s="7">
        <f ca="1" xml:space="preserve">
  IF(OR($N1229 = 2, $N1229 = 3, $N1229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229" s="6">
        <f t="shared" ca="1" si="234"/>
        <v>8</v>
      </c>
      <c r="O1229" s="6">
        <f t="shared" ca="1" si="235"/>
        <v>3</v>
      </c>
      <c r="P1229" s="8">
        <f t="shared" ca="1" si="236"/>
        <v>37110</v>
      </c>
      <c r="Q1229" s="6">
        <f ca="1">RANDBETWEEN(2,COUNTA('Recruitment source'!$A:$A))</f>
        <v>6</v>
      </c>
      <c r="R1229" s="8" t="e">
        <f t="shared" ca="1" si="237"/>
        <v>#N/A</v>
      </c>
      <c r="S1229" s="6" t="e">
        <f t="shared" ca="1" si="238"/>
        <v>#N/A</v>
      </c>
      <c r="T1229" s="6">
        <f t="shared" ca="1" si="228"/>
        <v>2</v>
      </c>
      <c r="U1229" s="1">
        <f t="shared" ca="1" si="239"/>
        <v>2080</v>
      </c>
    </row>
    <row r="1230" spans="1:21" x14ac:dyDescent="0.2">
      <c r="A1230" s="7" cm="1">
        <f t="array" aca="1" ref="A1230" ca="1">INDEX(Companies!$A:$A,RANDBETWEEN(2,COUNTA(Companies!$A:$A)),1)</f>
        <v>2</v>
      </c>
      <c r="B1230" s="5">
        <f t="shared" si="229"/>
        <v>1229</v>
      </c>
      <c r="C1230" s="6">
        <f t="shared" ca="1" si="230"/>
        <v>1</v>
      </c>
      <c r="D1230" s="7">
        <f ca="1">IF($B1230 = 1 + N("Presidente"),
    127,
    IF($B1230 = 2 + N("Vice-Presidente"),
        72,
        IF($B1230 = 3 + N("Secretária bilíngue"),
            13,
            RANDBETWEEN(5,COUNT(Name!$A:$A) + 1)
        )
    )
)</f>
        <v>183</v>
      </c>
      <c r="E1230" s="7" t="str">
        <f ca="1" xml:space="preserve">
VLOOKUP(
  $D1230,
  Name!$A:$B,
  2,
  FALSE
)
&amp; " " &amp;
IF($B1230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Joanah Bianchi Alcantara</v>
      </c>
      <c r="F1230" s="7">
        <v>2</v>
      </c>
      <c r="G1230" s="7" cm="1">
        <f t="array" aca="1" ref="G1230" ca="1">INDEX(States!$B:$B,RANDBETWEEN(2,COUNTA(States!$A:$A)),1)</f>
        <v>13</v>
      </c>
      <c r="H1230" s="7" t="str">
        <f ca="1">VLOOKUP($D1230,Name!$A:$C,3,FALSE)</f>
        <v>F</v>
      </c>
      <c r="I1230" s="7" cm="1">
        <f t="array" aca="1" ref="I1230" ca="1">INDEX('Marital status'!$A:$A,RANDBETWEEN(2,COUNTA('Marital status'!$A:$A)),1)</f>
        <v>6</v>
      </c>
      <c r="J1230" s="7">
        <f t="shared" ca="1" si="231"/>
        <v>2</v>
      </c>
      <c r="K1230" s="8">
        <f t="shared" ca="1" si="232"/>
        <v>34693</v>
      </c>
      <c r="L1230" s="6">
        <f t="shared" ca="1" si="233"/>
        <v>4</v>
      </c>
      <c r="M1230" s="7">
        <f ca="1" xml:space="preserve">
  IF(OR($N1230 = 2, $N1230 = 3, $N1230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230" s="6">
        <f t="shared" ca="1" si="234"/>
        <v>7</v>
      </c>
      <c r="O1230" s="6" t="e">
        <f t="shared" ca="1" si="235"/>
        <v>#N/A</v>
      </c>
      <c r="P1230" s="8">
        <f t="shared" ca="1" si="236"/>
        <v>44210</v>
      </c>
      <c r="Q1230" s="6">
        <f ca="1">RANDBETWEEN(2,COUNTA('Recruitment source'!$A:$A))</f>
        <v>11</v>
      </c>
      <c r="R1230" s="8" t="e">
        <f t="shared" ca="1" si="237"/>
        <v>#N/A</v>
      </c>
      <c r="S1230" s="6" t="e">
        <f t="shared" ca="1" si="238"/>
        <v>#N/A</v>
      </c>
      <c r="T1230" s="6">
        <f t="shared" ca="1" si="228"/>
        <v>2</v>
      </c>
      <c r="U1230" s="1">
        <f t="shared" ca="1" si="239"/>
        <v>1005</v>
      </c>
    </row>
    <row r="1231" spans="1:21" x14ac:dyDescent="0.2">
      <c r="A1231" s="7" cm="1">
        <f t="array" aca="1" ref="A1231" ca="1">INDEX(Companies!$A:$A,RANDBETWEEN(2,COUNTA(Companies!$A:$A)),1)</f>
        <v>2</v>
      </c>
      <c r="B1231" s="5">
        <f t="shared" si="229"/>
        <v>1230</v>
      </c>
      <c r="C1231" s="6">
        <f t="shared" ca="1" si="230"/>
        <v>1</v>
      </c>
      <c r="D1231" s="7">
        <f ca="1">IF($B1231 = 1 + N("Presidente"),
    127,
    IF($B1231 = 2 + N("Vice-Presidente"),
        72,
        IF($B1231 = 3 + N("Secretária bilíngue"),
            13,
            RANDBETWEEN(5,COUNT(Name!$A:$A) + 1)
        )
    )
)</f>
        <v>23</v>
      </c>
      <c r="E1231" s="7" t="str">
        <f ca="1" xml:space="preserve">
VLOOKUP(
  $D1231,
  Name!$A:$B,
  2,
  FALSE
)
&amp; " " &amp;
IF($B1231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Amanda Negrão Peçanha</v>
      </c>
      <c r="F1231" s="7">
        <v>2</v>
      </c>
      <c r="G1231" s="7" cm="1">
        <f t="array" aca="1" ref="G1231" ca="1">INDEX(States!$B:$B,RANDBETWEEN(2,COUNTA(States!$A:$A)),1)</f>
        <v>11</v>
      </c>
      <c r="H1231" s="7" t="str">
        <f ca="1">VLOOKUP($D1231,Name!$A:$C,3,FALSE)</f>
        <v>F</v>
      </c>
      <c r="I1231" s="7" cm="1">
        <f t="array" aca="1" ref="I1231" ca="1">INDEX('Marital status'!$A:$A,RANDBETWEEN(2,COUNTA('Marital status'!$A:$A)),1)</f>
        <v>4</v>
      </c>
      <c r="J1231" s="7">
        <f t="shared" ca="1" si="231"/>
        <v>2</v>
      </c>
      <c r="K1231" s="8">
        <f t="shared" ca="1" si="232"/>
        <v>35619</v>
      </c>
      <c r="L1231" s="6">
        <f t="shared" ca="1" si="233"/>
        <v>5</v>
      </c>
      <c r="M1231" s="7">
        <f ca="1" xml:space="preserve">
  IF(OR($N1231 = 2, $N1231 = 3, $N1231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231" s="6">
        <f t="shared" ca="1" si="234"/>
        <v>8</v>
      </c>
      <c r="O1231" s="6">
        <f t="shared" ca="1" si="235"/>
        <v>3</v>
      </c>
      <c r="P1231" s="8">
        <f t="shared" ca="1" si="236"/>
        <v>38863</v>
      </c>
      <c r="Q1231" s="6">
        <f ca="1">RANDBETWEEN(2,COUNTA('Recruitment source'!$A:$A))</f>
        <v>2</v>
      </c>
      <c r="R1231" s="8" t="e">
        <f t="shared" ca="1" si="237"/>
        <v>#N/A</v>
      </c>
      <c r="S1231" s="6" t="e">
        <f t="shared" ca="1" si="238"/>
        <v>#N/A</v>
      </c>
      <c r="T1231" s="6">
        <f t="shared" ca="1" si="228"/>
        <v>3</v>
      </c>
      <c r="U1231" s="1">
        <f t="shared" ca="1" si="239"/>
        <v>2000</v>
      </c>
    </row>
    <row r="1232" spans="1:21" x14ac:dyDescent="0.2">
      <c r="A1232" s="7" cm="1">
        <f t="array" aca="1" ref="A1232" ca="1">INDEX(Companies!$A:$A,RANDBETWEEN(2,COUNTA(Companies!$A:$A)),1)</f>
        <v>2</v>
      </c>
      <c r="B1232" s="5">
        <f t="shared" si="229"/>
        <v>1231</v>
      </c>
      <c r="C1232" s="6">
        <f t="shared" ca="1" si="230"/>
        <v>1</v>
      </c>
      <c r="D1232" s="7">
        <f ca="1">IF($B1232 = 1 + N("Presidente"),
    127,
    IF($B1232 = 2 + N("Vice-Presidente"),
        72,
        IF($B1232 = 3 + N("Secretária bilíngue"),
            13,
            RANDBETWEEN(5,COUNT(Name!$A:$A) + 1)
        )
    )
)</f>
        <v>262</v>
      </c>
      <c r="E1232" s="7" t="str">
        <f ca="1" xml:space="preserve">
VLOOKUP(
  $D1232,
  Name!$A:$B,
  2,
  FALSE
)
&amp; " " &amp;
IF($B1232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Eduarda Negreiros Vaz</v>
      </c>
      <c r="F1232" s="7">
        <v>2</v>
      </c>
      <c r="G1232" s="7" cm="1">
        <f t="array" aca="1" ref="G1232" ca="1">INDEX(States!$B:$B,RANDBETWEEN(2,COUNTA(States!$A:$A)),1)</f>
        <v>15</v>
      </c>
      <c r="H1232" s="7" t="str">
        <f ca="1">VLOOKUP($D1232,Name!$A:$C,3,FALSE)</f>
        <v>F</v>
      </c>
      <c r="I1232" s="7" cm="1">
        <f t="array" aca="1" ref="I1232" ca="1">INDEX('Marital status'!$A:$A,RANDBETWEEN(2,COUNTA('Marital status'!$A:$A)),1)</f>
        <v>3</v>
      </c>
      <c r="J1232" s="7">
        <f t="shared" ca="1" si="231"/>
        <v>4</v>
      </c>
      <c r="K1232" s="8">
        <f t="shared" ca="1" si="232"/>
        <v>26593</v>
      </c>
      <c r="L1232" s="6">
        <f t="shared" ca="1" si="233"/>
        <v>4</v>
      </c>
      <c r="M1232" s="7">
        <f ca="1" xml:space="preserve">
  IF(OR($N1232 = 2, $N1232 = 3, $N1232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232" s="6">
        <f t="shared" ca="1" si="234"/>
        <v>6</v>
      </c>
      <c r="O1232" s="6" t="e">
        <f t="shared" ca="1" si="235"/>
        <v>#N/A</v>
      </c>
      <c r="P1232" s="8">
        <f t="shared" ca="1" si="236"/>
        <v>43449</v>
      </c>
      <c r="Q1232" s="6">
        <f ca="1">RANDBETWEEN(2,COUNTA('Recruitment source'!$A:$A))</f>
        <v>12</v>
      </c>
      <c r="R1232" s="8" t="e">
        <f t="shared" ca="1" si="237"/>
        <v>#N/A</v>
      </c>
      <c r="S1232" s="6" t="e">
        <f t="shared" ca="1" si="238"/>
        <v>#N/A</v>
      </c>
      <c r="T1232" s="6">
        <f t="shared" ca="1" si="228"/>
        <v>4</v>
      </c>
      <c r="U1232" s="1">
        <f t="shared" ca="1" si="239"/>
        <v>805</v>
      </c>
    </row>
    <row r="1233" spans="1:21" x14ac:dyDescent="0.2">
      <c r="A1233" s="7" cm="1">
        <f t="array" aca="1" ref="A1233" ca="1">INDEX(Companies!$A:$A,RANDBETWEEN(2,COUNTA(Companies!$A:$A)),1)</f>
        <v>2</v>
      </c>
      <c r="B1233" s="5">
        <f t="shared" si="229"/>
        <v>1232</v>
      </c>
      <c r="C1233" s="6">
        <f t="shared" ca="1" si="230"/>
        <v>1</v>
      </c>
      <c r="D1233" s="7">
        <f ca="1">IF($B1233 = 1 + N("Presidente"),
    127,
    IF($B1233 = 2 + N("Vice-Presidente"),
        72,
        IF($B1233 = 3 + N("Secretária bilíngue"),
            13,
            RANDBETWEEN(5,COUNT(Name!$A:$A) + 1)
        )
    )
)</f>
        <v>89</v>
      </c>
      <c r="E1233" s="7" t="str">
        <f ca="1" xml:space="preserve">
VLOOKUP(
  $D1233,
  Name!$A:$B,
  2,
  FALSE
)
&amp; " " &amp;
IF($B1233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Cauã Giordano Ricci</v>
      </c>
      <c r="F1233" s="7">
        <v>2</v>
      </c>
      <c r="G1233" s="7" cm="1">
        <f t="array" aca="1" ref="G1233" ca="1">INDEX(States!$B:$B,RANDBETWEEN(2,COUNTA(States!$A:$A)),1)</f>
        <v>19</v>
      </c>
      <c r="H1233" s="7" t="str">
        <f ca="1">VLOOKUP($D1233,Name!$A:$C,3,FALSE)</f>
        <v>M</v>
      </c>
      <c r="I1233" s="7" cm="1">
        <f t="array" aca="1" ref="I1233" ca="1">INDEX('Marital status'!$A:$A,RANDBETWEEN(2,COUNTA('Marital status'!$A:$A)),1)</f>
        <v>6</v>
      </c>
      <c r="J1233" s="7">
        <f t="shared" ca="1" si="231"/>
        <v>2</v>
      </c>
      <c r="K1233" s="8">
        <f t="shared" ca="1" si="232"/>
        <v>36062</v>
      </c>
      <c r="L1233" s="6">
        <f t="shared" ca="1" si="233"/>
        <v>5</v>
      </c>
      <c r="M1233" s="7">
        <f ca="1" xml:space="preserve">
  IF(OR($N1233 = 2, $N1233 = 3, $N1233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233" s="6">
        <f t="shared" ca="1" si="234"/>
        <v>8</v>
      </c>
      <c r="O1233" s="6">
        <f t="shared" ca="1" si="235"/>
        <v>3</v>
      </c>
      <c r="P1233" s="8">
        <f t="shared" ca="1" si="236"/>
        <v>41298</v>
      </c>
      <c r="Q1233" s="6">
        <f ca="1">RANDBETWEEN(2,COUNTA('Recruitment source'!$A:$A))</f>
        <v>12</v>
      </c>
      <c r="R1233" s="8" t="e">
        <f t="shared" ca="1" si="237"/>
        <v>#N/A</v>
      </c>
      <c r="S1233" s="6" t="e">
        <f t="shared" ca="1" si="238"/>
        <v>#N/A</v>
      </c>
      <c r="T1233" s="6">
        <f t="shared" ca="1" si="228"/>
        <v>4</v>
      </c>
      <c r="U1233" s="1">
        <f t="shared" ca="1" si="239"/>
        <v>2000</v>
      </c>
    </row>
    <row r="1234" spans="1:21" x14ac:dyDescent="0.2">
      <c r="A1234" s="7" cm="1">
        <f t="array" aca="1" ref="A1234" ca="1">INDEX(Companies!$A:$A,RANDBETWEEN(2,COUNTA(Companies!$A:$A)),1)</f>
        <v>2</v>
      </c>
      <c r="B1234" s="5">
        <f t="shared" si="229"/>
        <v>1233</v>
      </c>
      <c r="C1234" s="6">
        <f t="shared" ca="1" si="230"/>
        <v>1</v>
      </c>
      <c r="D1234" s="7">
        <f ca="1">IF($B1234 = 1 + N("Presidente"),
    127,
    IF($B1234 = 2 + N("Vice-Presidente"),
        72,
        IF($B1234 = 3 + N("Secretária bilíngue"),
            13,
            RANDBETWEEN(5,COUNT(Name!$A:$A) + 1)
        )
    )
)</f>
        <v>138</v>
      </c>
      <c r="E1234" s="7" t="str">
        <f ca="1" xml:space="preserve">
VLOOKUP(
  $D1234,
  Name!$A:$B,
  2,
  FALSE
)
&amp; " " &amp;
IF($B1234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Chaves Pinto</v>
      </c>
      <c r="F1234" s="7">
        <v>2</v>
      </c>
      <c r="G1234" s="7" cm="1">
        <f t="array" aca="1" ref="G1234" ca="1">INDEX(States!$B:$B,RANDBETWEEN(2,COUNTA(States!$A:$A)),1)</f>
        <v>11</v>
      </c>
      <c r="H1234" s="7" t="str">
        <f ca="1">VLOOKUP($D1234,Name!$A:$C,3,FALSE)</f>
        <v>M</v>
      </c>
      <c r="I1234" s="7" cm="1">
        <f t="array" aca="1" ref="I1234" ca="1">INDEX('Marital status'!$A:$A,RANDBETWEEN(2,COUNTA('Marital status'!$A:$A)),1)</f>
        <v>4</v>
      </c>
      <c r="J1234" s="7">
        <f t="shared" ca="1" si="231"/>
        <v>2</v>
      </c>
      <c r="K1234" s="8">
        <f t="shared" ca="1" si="232"/>
        <v>35495</v>
      </c>
      <c r="L1234" s="6">
        <f t="shared" ca="1" si="233"/>
        <v>4</v>
      </c>
      <c r="M1234" s="7">
        <f ca="1" xml:space="preserve">
  IF(OR($N1234 = 2, $N1234 = 3, $N1234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234" s="6">
        <f t="shared" ca="1" si="234"/>
        <v>7</v>
      </c>
      <c r="O1234" s="6" t="e">
        <f t="shared" ca="1" si="235"/>
        <v>#N/A</v>
      </c>
      <c r="P1234" s="8">
        <f t="shared" ca="1" si="236"/>
        <v>36430</v>
      </c>
      <c r="Q1234" s="6">
        <f ca="1">RANDBETWEEN(2,COUNTA('Recruitment source'!$A:$A))</f>
        <v>3</v>
      </c>
      <c r="R1234" s="8" t="e">
        <f t="shared" ca="1" si="237"/>
        <v>#N/A</v>
      </c>
      <c r="S1234" s="6" t="e">
        <f t="shared" ca="1" si="238"/>
        <v>#N/A</v>
      </c>
      <c r="T1234" s="6">
        <f t="shared" ca="1" si="228"/>
        <v>4</v>
      </c>
      <c r="U1234" s="1">
        <f t="shared" ca="1" si="239"/>
        <v>1005</v>
      </c>
    </row>
    <row r="1235" spans="1:21" x14ac:dyDescent="0.2">
      <c r="A1235" s="7" cm="1">
        <f t="array" aca="1" ref="A1235" ca="1">INDEX(Companies!$A:$A,RANDBETWEEN(2,COUNTA(Companies!$A:$A)),1)</f>
        <v>2</v>
      </c>
      <c r="B1235" s="5">
        <f t="shared" si="229"/>
        <v>1234</v>
      </c>
      <c r="C1235" s="6">
        <f t="shared" ca="1" si="230"/>
        <v>1</v>
      </c>
      <c r="D1235" s="7">
        <f ca="1">IF($B1235 = 1 + N("Presidente"),
    127,
    IF($B1235 = 2 + N("Vice-Presidente"),
        72,
        IF($B1235 = 3 + N("Secretária bilíngue"),
            13,
            RANDBETWEEN(5,COUNT(Name!$A:$A) + 1)
        )
    )
)</f>
        <v>58</v>
      </c>
      <c r="E1235" s="7" t="str">
        <f ca="1" xml:space="preserve">
VLOOKUP(
  $D1235,
  Name!$A:$B,
  2,
  FALSE
)
&amp; " " &amp;
IF($B1235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Miguel Pellegrini Camargo</v>
      </c>
      <c r="F1235" s="7">
        <v>2</v>
      </c>
      <c r="G1235" s="7" cm="1">
        <f t="array" aca="1" ref="G1235" ca="1">INDEX(States!$B:$B,RANDBETWEEN(2,COUNTA(States!$A:$A)),1)</f>
        <v>5</v>
      </c>
      <c r="H1235" s="7" t="str">
        <f ca="1">VLOOKUP($D1235,Name!$A:$C,3,FALSE)</f>
        <v>M</v>
      </c>
      <c r="I1235" s="7" cm="1">
        <f t="array" aca="1" ref="I1235" ca="1">INDEX('Marital status'!$A:$A,RANDBETWEEN(2,COUNTA('Marital status'!$A:$A)),1)</f>
        <v>4</v>
      </c>
      <c r="J1235" s="7">
        <f t="shared" ca="1" si="231"/>
        <v>5</v>
      </c>
      <c r="K1235" s="8">
        <f t="shared" ca="1" si="232"/>
        <v>36171</v>
      </c>
      <c r="L1235" s="6">
        <f t="shared" ca="1" si="233"/>
        <v>4</v>
      </c>
      <c r="M1235" s="7">
        <f ca="1" xml:space="preserve">
  IF(OR($N1235 = 2, $N1235 = 3, $N1235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235" s="6">
        <f t="shared" ca="1" si="234"/>
        <v>8</v>
      </c>
      <c r="O1235" s="6">
        <f t="shared" ca="1" si="235"/>
        <v>3</v>
      </c>
      <c r="P1235" s="8">
        <f t="shared" ca="1" si="236"/>
        <v>41902</v>
      </c>
      <c r="Q1235" s="6">
        <f ca="1">RANDBETWEEN(2,COUNTA('Recruitment source'!$A:$A))</f>
        <v>2</v>
      </c>
      <c r="R1235" s="8" t="e">
        <f t="shared" ca="1" si="237"/>
        <v>#N/A</v>
      </c>
      <c r="S1235" s="6" t="e">
        <f t="shared" ca="1" si="238"/>
        <v>#N/A</v>
      </c>
      <c r="T1235" s="6">
        <f t="shared" ca="1" si="228"/>
        <v>4</v>
      </c>
      <c r="U1235" s="1">
        <f t="shared" ca="1" si="239"/>
        <v>2000</v>
      </c>
    </row>
    <row r="1236" spans="1:21" x14ac:dyDescent="0.2">
      <c r="A1236" s="7" cm="1">
        <f t="array" aca="1" ref="A1236" ca="1">INDEX(Companies!$A:$A,RANDBETWEEN(2,COUNTA(Companies!$A:$A)),1)</f>
        <v>2</v>
      </c>
      <c r="B1236" s="5">
        <f t="shared" si="229"/>
        <v>1235</v>
      </c>
      <c r="C1236" s="6">
        <f t="shared" ca="1" si="230"/>
        <v>1</v>
      </c>
      <c r="D1236" s="7">
        <f ca="1">IF($B1236 = 1 + N("Presidente"),
    127,
    IF($B1236 = 2 + N("Vice-Presidente"),
        72,
        IF($B1236 = 3 + N("Secretária bilíngue"),
            13,
            RANDBETWEEN(5,COUNT(Name!$A:$A) + 1)
        )
    )
)</f>
        <v>263</v>
      </c>
      <c r="E1236" s="7" t="str">
        <f ca="1" xml:space="preserve">
VLOOKUP(
  $D1236,
  Name!$A:$B,
  2,
  FALSE
)
&amp; " " &amp;
IF($B1236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Fernanda Garcia Machado</v>
      </c>
      <c r="F1236" s="7">
        <v>2</v>
      </c>
      <c r="G1236" s="7" cm="1">
        <f t="array" aca="1" ref="G1236" ca="1">INDEX(States!$B:$B,RANDBETWEEN(2,COUNTA(States!$A:$A)),1)</f>
        <v>18</v>
      </c>
      <c r="H1236" s="7" t="str">
        <f ca="1">VLOOKUP($D1236,Name!$A:$C,3,FALSE)</f>
        <v>F</v>
      </c>
      <c r="I1236" s="7" cm="1">
        <f t="array" aca="1" ref="I1236" ca="1">INDEX('Marital status'!$A:$A,RANDBETWEEN(2,COUNTA('Marital status'!$A:$A)),1)</f>
        <v>3</v>
      </c>
      <c r="J1236" s="7">
        <f t="shared" ca="1" si="231"/>
        <v>2</v>
      </c>
      <c r="K1236" s="8">
        <f t="shared" ca="1" si="232"/>
        <v>29975</v>
      </c>
      <c r="L1236" s="6">
        <f t="shared" ca="1" si="233"/>
        <v>4</v>
      </c>
      <c r="M1236" s="7">
        <f ca="1" xml:space="preserve">
  IF(OR($N1236 = 2, $N1236 = 3, $N1236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236" s="6">
        <f t="shared" ca="1" si="234"/>
        <v>7</v>
      </c>
      <c r="O1236" s="6" t="e">
        <f t="shared" ca="1" si="235"/>
        <v>#N/A</v>
      </c>
      <c r="P1236" s="8">
        <f t="shared" ca="1" si="236"/>
        <v>38647</v>
      </c>
      <c r="Q1236" s="6">
        <f ca="1">RANDBETWEEN(2,COUNTA('Recruitment source'!$A:$A))</f>
        <v>5</v>
      </c>
      <c r="R1236" s="8" t="e">
        <f t="shared" ca="1" si="237"/>
        <v>#N/A</v>
      </c>
      <c r="S1236" s="6" t="e">
        <f t="shared" ca="1" si="238"/>
        <v>#N/A</v>
      </c>
      <c r="T1236" s="6">
        <f t="shared" ca="1" si="228"/>
        <v>5</v>
      </c>
      <c r="U1236" s="1">
        <f t="shared" ca="1" si="239"/>
        <v>1005</v>
      </c>
    </row>
    <row r="1237" spans="1:21" x14ac:dyDescent="0.2">
      <c r="A1237" s="7" cm="1">
        <f t="array" aca="1" ref="A1237" ca="1">INDEX(Companies!$A:$A,RANDBETWEEN(2,COUNTA(Companies!$A:$A)),1)</f>
        <v>2</v>
      </c>
      <c r="B1237" s="5">
        <f t="shared" si="229"/>
        <v>1236</v>
      </c>
      <c r="C1237" s="6">
        <f t="shared" ca="1" si="230"/>
        <v>1</v>
      </c>
      <c r="D1237" s="7">
        <f ca="1">IF($B1237 = 1 + N("Presidente"),
    127,
    IF($B1237 = 2 + N("Vice-Presidente"),
        72,
        IF($B1237 = 3 + N("Secretária bilíngue"),
            13,
            RANDBETWEEN(5,COUNT(Name!$A:$A) + 1)
        )
    )
)</f>
        <v>246</v>
      </c>
      <c r="E1237" s="7" t="str">
        <f ca="1" xml:space="preserve">
VLOOKUP(
  $D1237,
  Name!$A:$B,
  2,
  FALSE
)
&amp; " " &amp;
IF($B1237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Miguel Figo Farina</v>
      </c>
      <c r="F1237" s="7">
        <v>2</v>
      </c>
      <c r="G1237" s="7" cm="1">
        <f t="array" aca="1" ref="G1237" ca="1">INDEX(States!$B:$B,RANDBETWEEN(2,COUNTA(States!$A:$A)),1)</f>
        <v>9</v>
      </c>
      <c r="H1237" s="7" t="str">
        <f ca="1">VLOOKUP($D1237,Name!$A:$C,3,FALSE)</f>
        <v>M</v>
      </c>
      <c r="I1237" s="7" cm="1">
        <f t="array" aca="1" ref="I1237" ca="1">INDEX('Marital status'!$A:$A,RANDBETWEEN(2,COUNTA('Marital status'!$A:$A)),1)</f>
        <v>6</v>
      </c>
      <c r="J1237" s="7">
        <f t="shared" ca="1" si="231"/>
        <v>2</v>
      </c>
      <c r="K1237" s="8">
        <f t="shared" ca="1" si="232"/>
        <v>36734</v>
      </c>
      <c r="L1237" s="6">
        <f t="shared" ca="1" si="233"/>
        <v>4</v>
      </c>
      <c r="M1237" s="7">
        <f ca="1" xml:space="preserve">
  IF(OR($N1237 = 2, $N1237 = 3, $N1237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237" s="6">
        <f t="shared" ca="1" si="234"/>
        <v>8</v>
      </c>
      <c r="O1237" s="6">
        <f t="shared" ca="1" si="235"/>
        <v>2</v>
      </c>
      <c r="P1237" s="8">
        <f t="shared" ca="1" si="236"/>
        <v>39045</v>
      </c>
      <c r="Q1237" s="6">
        <f ca="1">RANDBETWEEN(2,COUNTA('Recruitment source'!$A:$A))</f>
        <v>11</v>
      </c>
      <c r="R1237" s="8" t="e">
        <f t="shared" ca="1" si="237"/>
        <v>#N/A</v>
      </c>
      <c r="S1237" s="6" t="e">
        <f t="shared" ca="1" si="238"/>
        <v>#N/A</v>
      </c>
      <c r="T1237" s="6">
        <f t="shared" ca="1" si="228"/>
        <v>5</v>
      </c>
      <c r="U1237" s="1">
        <f t="shared" ca="1" si="239"/>
        <v>2080</v>
      </c>
    </row>
    <row r="1238" spans="1:21" x14ac:dyDescent="0.2">
      <c r="A1238" s="7" cm="1">
        <f t="array" aca="1" ref="A1238" ca="1">INDEX(Companies!$A:$A,RANDBETWEEN(2,COUNTA(Companies!$A:$A)),1)</f>
        <v>2</v>
      </c>
      <c r="B1238" s="5">
        <f t="shared" si="229"/>
        <v>1237</v>
      </c>
      <c r="C1238" s="6">
        <f t="shared" ca="1" si="230"/>
        <v>1</v>
      </c>
      <c r="D1238" s="7">
        <f ca="1">IF($B1238 = 1 + N("Presidente"),
    127,
    IF($B1238 = 2 + N("Vice-Presidente"),
        72,
        IF($B1238 = 3 + N("Secretária bilíngue"),
            13,
            RANDBETWEEN(5,COUNT(Name!$A:$A) + 1)
        )
    )
)</f>
        <v>305</v>
      </c>
      <c r="E1238" s="7" t="str">
        <f ca="1" xml:space="preserve">
VLOOKUP(
  $D1238,
  Name!$A:$B,
  2,
  FALSE
)
&amp; " " &amp;
IF($B1238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Nathan Simões Barbieri</v>
      </c>
      <c r="F1238" s="7">
        <v>2</v>
      </c>
      <c r="G1238" s="7" cm="1">
        <f t="array" aca="1" ref="G1238" ca="1">INDEX(States!$B:$B,RANDBETWEEN(2,COUNTA(States!$A:$A)),1)</f>
        <v>8</v>
      </c>
      <c r="H1238" s="7" t="str">
        <f ca="1">VLOOKUP($D1238,Name!$A:$C,3,FALSE)</f>
        <v>M</v>
      </c>
      <c r="I1238" s="7" cm="1">
        <f t="array" aca="1" ref="I1238" ca="1">INDEX('Marital status'!$A:$A,RANDBETWEEN(2,COUNTA('Marital status'!$A:$A)),1)</f>
        <v>2</v>
      </c>
      <c r="J1238" s="7">
        <f t="shared" ca="1" si="231"/>
        <v>2</v>
      </c>
      <c r="K1238" s="8">
        <f t="shared" ca="1" si="232"/>
        <v>29392</v>
      </c>
      <c r="L1238" s="6">
        <f t="shared" ca="1" si="233"/>
        <v>4</v>
      </c>
      <c r="M1238" s="7">
        <f ca="1" xml:space="preserve">
  IF(OR($N1238 = 2, $N1238 = 3, $N1238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238" s="6">
        <f t="shared" ca="1" si="234"/>
        <v>7</v>
      </c>
      <c r="O1238" s="6" t="e">
        <f t="shared" ca="1" si="235"/>
        <v>#N/A</v>
      </c>
      <c r="P1238" s="8">
        <f t="shared" ca="1" si="236"/>
        <v>43414</v>
      </c>
      <c r="Q1238" s="6">
        <f ca="1">RANDBETWEEN(2,COUNTA('Recruitment source'!$A:$A))</f>
        <v>9</v>
      </c>
      <c r="R1238" s="8" t="e">
        <f t="shared" ca="1" si="237"/>
        <v>#N/A</v>
      </c>
      <c r="S1238" s="6" t="e">
        <f t="shared" ca="1" si="238"/>
        <v>#N/A</v>
      </c>
      <c r="T1238" s="6">
        <f t="shared" ca="1" si="228"/>
        <v>5</v>
      </c>
      <c r="U1238" s="1">
        <f t="shared" ca="1" si="239"/>
        <v>1005</v>
      </c>
    </row>
    <row r="1239" spans="1:21" x14ac:dyDescent="0.2">
      <c r="A1239" s="7" cm="1">
        <f t="array" aca="1" ref="A1239" ca="1">INDEX(Companies!$A:$A,RANDBETWEEN(2,COUNTA(Companies!$A:$A)),1)</f>
        <v>2</v>
      </c>
      <c r="B1239" s="5">
        <f t="shared" si="229"/>
        <v>1238</v>
      </c>
      <c r="C1239" s="6">
        <f t="shared" ca="1" si="230"/>
        <v>1</v>
      </c>
      <c r="D1239" s="7">
        <f ca="1">IF($B1239 = 1 + N("Presidente"),
    127,
    IF($B1239 = 2 + N("Vice-Presidente"),
        72,
        IF($B1239 = 3 + N("Secretária bilíngue"),
            13,
            RANDBETWEEN(5,COUNT(Name!$A:$A) + 1)
        )
    )
)</f>
        <v>56</v>
      </c>
      <c r="E1239" s="7" t="str">
        <f ca="1" xml:space="preserve">
VLOOKUP(
  $D1239,
  Name!$A:$B,
  2,
  FALSE
)
&amp; " " &amp;
IF($B1239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Gabriel Alcantara Pasquim</v>
      </c>
      <c r="F1239" s="7">
        <v>2</v>
      </c>
      <c r="G1239" s="7" cm="1">
        <f t="array" aca="1" ref="G1239" ca="1">INDEX(States!$B:$B,RANDBETWEEN(2,COUNTA(States!$A:$A)),1)</f>
        <v>18</v>
      </c>
      <c r="H1239" s="7" t="str">
        <f ca="1">VLOOKUP($D1239,Name!$A:$C,3,FALSE)</f>
        <v>M</v>
      </c>
      <c r="I1239" s="7" cm="1">
        <f t="array" aca="1" ref="I1239" ca="1">INDEX('Marital status'!$A:$A,RANDBETWEEN(2,COUNTA('Marital status'!$A:$A)),1)</f>
        <v>5</v>
      </c>
      <c r="J1239" s="7">
        <f t="shared" ca="1" si="231"/>
        <v>3</v>
      </c>
      <c r="K1239" s="8">
        <f t="shared" ca="1" si="232"/>
        <v>37262</v>
      </c>
      <c r="L1239" s="6">
        <f t="shared" ca="1" si="233"/>
        <v>5</v>
      </c>
      <c r="M1239" s="7">
        <f ca="1" xml:space="preserve">
  IF(OR($N1239 = 2, $N1239 = 3, $N1239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239" s="6">
        <f t="shared" ca="1" si="234"/>
        <v>8</v>
      </c>
      <c r="O1239" s="6">
        <f t="shared" ca="1" si="235"/>
        <v>2</v>
      </c>
      <c r="P1239" s="8">
        <f t="shared" ca="1" si="236"/>
        <v>38798</v>
      </c>
      <c r="Q1239" s="6">
        <f ca="1">RANDBETWEEN(2,COUNTA('Recruitment source'!$A:$A))</f>
        <v>9</v>
      </c>
      <c r="R1239" s="8" t="e">
        <f t="shared" ca="1" si="237"/>
        <v>#N/A</v>
      </c>
      <c r="S1239" s="6" t="e">
        <f t="shared" ca="1" si="238"/>
        <v>#N/A</v>
      </c>
      <c r="T1239" s="6">
        <f t="shared" ca="1" si="228"/>
        <v>3</v>
      </c>
      <c r="U1239" s="1">
        <f t="shared" ca="1" si="239"/>
        <v>2080</v>
      </c>
    </row>
    <row r="1240" spans="1:21" x14ac:dyDescent="0.2">
      <c r="A1240" s="7" cm="1">
        <f t="array" aca="1" ref="A1240" ca="1">INDEX(Companies!$A:$A,RANDBETWEEN(2,COUNTA(Companies!$A:$A)),1)</f>
        <v>2</v>
      </c>
      <c r="B1240" s="5">
        <f t="shared" si="229"/>
        <v>1239</v>
      </c>
      <c r="C1240" s="6">
        <f t="shared" ca="1" si="230"/>
        <v>1</v>
      </c>
      <c r="D1240" s="7">
        <f ca="1">IF($B1240 = 1 + N("Presidente"),
    127,
    IF($B1240 = 2 + N("Vice-Presidente"),
        72,
        IF($B1240 = 3 + N("Secretária bilíngue"),
            13,
            RANDBETWEEN(5,COUNT(Name!$A:$A) + 1)
        )
    )
)</f>
        <v>293</v>
      </c>
      <c r="E1240" s="7" t="str">
        <f ca="1" xml:space="preserve">
VLOOKUP(
  $D1240,
  Name!$A:$B,
  2,
  FALSE
)
&amp; " " &amp;
IF($B1240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Michael Battaglia Gallo</v>
      </c>
      <c r="F1240" s="7">
        <v>2</v>
      </c>
      <c r="G1240" s="7" cm="1">
        <f t="array" aca="1" ref="G1240" ca="1">INDEX(States!$B:$B,RANDBETWEEN(2,COUNTA(States!$A:$A)),1)</f>
        <v>10</v>
      </c>
      <c r="H1240" s="7" t="str">
        <f ca="1">VLOOKUP($D1240,Name!$A:$C,3,FALSE)</f>
        <v>M</v>
      </c>
      <c r="I1240" s="7" cm="1">
        <f t="array" aca="1" ref="I1240" ca="1">INDEX('Marital status'!$A:$A,RANDBETWEEN(2,COUNTA('Marital status'!$A:$A)),1)</f>
        <v>6</v>
      </c>
      <c r="J1240" s="7">
        <f t="shared" ca="1" si="231"/>
        <v>2</v>
      </c>
      <c r="K1240" s="8">
        <f t="shared" ca="1" si="232"/>
        <v>18315</v>
      </c>
      <c r="L1240" s="6">
        <f t="shared" ca="1" si="233"/>
        <v>4</v>
      </c>
      <c r="M1240" s="7">
        <f ca="1" xml:space="preserve">
  IF(OR($N1240 = 2, $N1240 = 3, $N1240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240" s="6">
        <f t="shared" ca="1" si="234"/>
        <v>6</v>
      </c>
      <c r="O1240" s="6" t="e">
        <f t="shared" ca="1" si="235"/>
        <v>#N/A</v>
      </c>
      <c r="P1240" s="8">
        <f t="shared" ca="1" si="236"/>
        <v>42630</v>
      </c>
      <c r="Q1240" s="6">
        <f ca="1">RANDBETWEEN(2,COUNTA('Recruitment source'!$A:$A))</f>
        <v>4</v>
      </c>
      <c r="R1240" s="8" t="e">
        <f t="shared" ca="1" si="237"/>
        <v>#N/A</v>
      </c>
      <c r="S1240" s="6" t="e">
        <f t="shared" ca="1" si="238"/>
        <v>#N/A</v>
      </c>
      <c r="T1240" s="6">
        <f t="shared" ca="1" si="228"/>
        <v>4</v>
      </c>
      <c r="U1240" s="1">
        <f t="shared" ca="1" si="239"/>
        <v>805</v>
      </c>
    </row>
    <row r="1241" spans="1:21" x14ac:dyDescent="0.2">
      <c r="A1241" s="7" cm="1">
        <f t="array" aca="1" ref="A1241" ca="1">INDEX(Companies!$A:$A,RANDBETWEEN(2,COUNTA(Companies!$A:$A)),1)</f>
        <v>2</v>
      </c>
      <c r="B1241" s="5">
        <f t="shared" si="229"/>
        <v>1240</v>
      </c>
      <c r="C1241" s="6">
        <f t="shared" ca="1" si="230"/>
        <v>1</v>
      </c>
      <c r="D1241" s="7">
        <f ca="1">IF($B1241 = 1 + N("Presidente"),
    127,
    IF($B1241 = 2 + N("Vice-Presidente"),
        72,
        IF($B1241 = 3 + N("Secretária bilíngue"),
            13,
            RANDBETWEEN(5,COUNT(Name!$A:$A) + 1)
        )
    )
)</f>
        <v>38</v>
      </c>
      <c r="E1241" s="7" t="str">
        <f ca="1" xml:space="preserve">
VLOOKUP(
  $D1241,
  Name!$A:$B,
  2,
  FALSE
)
&amp; " " &amp;
IF($B1241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Analu Bactista Santana</v>
      </c>
      <c r="F1241" s="7">
        <v>2</v>
      </c>
      <c r="G1241" s="7" cm="1">
        <f t="array" aca="1" ref="G1241" ca="1">INDEX(States!$B:$B,RANDBETWEEN(2,COUNTA(States!$A:$A)),1)</f>
        <v>13</v>
      </c>
      <c r="H1241" s="7" t="str">
        <f ca="1">VLOOKUP($D1241,Name!$A:$C,3,FALSE)</f>
        <v>F</v>
      </c>
      <c r="I1241" s="7" cm="1">
        <f t="array" aca="1" ref="I1241" ca="1">INDEX('Marital status'!$A:$A,RANDBETWEEN(2,COUNTA('Marital status'!$A:$A)),1)</f>
        <v>6</v>
      </c>
      <c r="J1241" s="7">
        <f t="shared" ca="1" si="231"/>
        <v>2</v>
      </c>
      <c r="K1241" s="8">
        <f t="shared" ca="1" si="232"/>
        <v>35676</v>
      </c>
      <c r="L1241" s="6">
        <f t="shared" ca="1" si="233"/>
        <v>5</v>
      </c>
      <c r="M1241" s="7">
        <f ca="1" xml:space="preserve">
  IF(OR($N1241 = 2, $N1241 = 3, $N1241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241" s="6">
        <f t="shared" ca="1" si="234"/>
        <v>8</v>
      </c>
      <c r="O1241" s="6">
        <f t="shared" ca="1" si="235"/>
        <v>2</v>
      </c>
      <c r="P1241" s="8">
        <f t="shared" ca="1" si="236"/>
        <v>44296</v>
      </c>
      <c r="Q1241" s="6">
        <f ca="1">RANDBETWEEN(2,COUNTA('Recruitment source'!$A:$A))</f>
        <v>10</v>
      </c>
      <c r="R1241" s="8" t="e">
        <f t="shared" ca="1" si="237"/>
        <v>#N/A</v>
      </c>
      <c r="S1241" s="6" t="e">
        <f t="shared" ca="1" si="238"/>
        <v>#N/A</v>
      </c>
      <c r="T1241" s="6">
        <f t="shared" ca="1" si="228"/>
        <v>3</v>
      </c>
      <c r="U1241" s="1">
        <f t="shared" ca="1" si="239"/>
        <v>2080</v>
      </c>
    </row>
    <row r="1242" spans="1:21" x14ac:dyDescent="0.2">
      <c r="A1242" s="7" cm="1">
        <f t="array" aca="1" ref="A1242" ca="1">INDEX(Companies!$A:$A,RANDBETWEEN(2,COUNTA(Companies!$A:$A)),1)</f>
        <v>2</v>
      </c>
      <c r="B1242" s="5">
        <f t="shared" si="229"/>
        <v>1241</v>
      </c>
      <c r="C1242" s="6">
        <f t="shared" ca="1" si="230"/>
        <v>1</v>
      </c>
      <c r="D1242" s="7">
        <f ca="1">IF($B1242 = 1 + N("Presidente"),
    127,
    IF($B1242 = 2 + N("Vice-Presidente"),
        72,
        IF($B1242 = 3 + N("Secretária bilíngue"),
            13,
            RANDBETWEEN(5,COUNT(Name!$A:$A) + 1)
        )
    )
)</f>
        <v>120</v>
      </c>
      <c r="E1242" s="7" t="str">
        <f ca="1" xml:space="preserve">
VLOOKUP(
  $D1242,
  Name!$A:$B,
  2,
  FALSE
)
&amp; " " &amp;
IF($B1242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Eliza Silva Pinheiro</v>
      </c>
      <c r="F1242" s="7">
        <v>2</v>
      </c>
      <c r="G1242" s="7" cm="1">
        <f t="array" aca="1" ref="G1242" ca="1">INDEX(States!$B:$B,RANDBETWEEN(2,COUNTA(States!$A:$A)),1)</f>
        <v>3</v>
      </c>
      <c r="H1242" s="7" t="str">
        <f ca="1">VLOOKUP($D1242,Name!$A:$C,3,FALSE)</f>
        <v>F</v>
      </c>
      <c r="I1242" s="7" cm="1">
        <f t="array" aca="1" ref="I1242" ca="1">INDEX('Marital status'!$A:$A,RANDBETWEEN(2,COUNTA('Marital status'!$A:$A)),1)</f>
        <v>2</v>
      </c>
      <c r="J1242" s="7">
        <f t="shared" ca="1" si="231"/>
        <v>2</v>
      </c>
      <c r="K1242" s="8">
        <f t="shared" ca="1" si="232"/>
        <v>29253</v>
      </c>
      <c r="L1242" s="6">
        <f t="shared" ca="1" si="233"/>
        <v>4</v>
      </c>
      <c r="M1242" s="7">
        <f ca="1" xml:space="preserve">
  IF(OR($N1242 = 2, $N1242 = 3, $N1242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242" s="6">
        <f t="shared" ca="1" si="234"/>
        <v>7</v>
      </c>
      <c r="O1242" s="6" t="e">
        <f t="shared" ca="1" si="235"/>
        <v>#N/A</v>
      </c>
      <c r="P1242" s="8">
        <f t="shared" ca="1" si="236"/>
        <v>38124</v>
      </c>
      <c r="Q1242" s="6">
        <f ca="1">RANDBETWEEN(2,COUNTA('Recruitment source'!$A:$A))</f>
        <v>11</v>
      </c>
      <c r="R1242" s="8" t="e">
        <f t="shared" ca="1" si="237"/>
        <v>#N/A</v>
      </c>
      <c r="S1242" s="6" t="e">
        <f t="shared" ca="1" si="238"/>
        <v>#N/A</v>
      </c>
      <c r="T1242" s="6">
        <f t="shared" ca="1" si="228"/>
        <v>5</v>
      </c>
      <c r="U1242" s="1">
        <f t="shared" ca="1" si="239"/>
        <v>1005</v>
      </c>
    </row>
    <row r="1243" spans="1:21" x14ac:dyDescent="0.2">
      <c r="A1243" s="7" cm="1">
        <f t="array" aca="1" ref="A1243" ca="1">INDEX(Companies!$A:$A,RANDBETWEEN(2,COUNTA(Companies!$A:$A)),1)</f>
        <v>2</v>
      </c>
      <c r="B1243" s="5">
        <f t="shared" si="229"/>
        <v>1242</v>
      </c>
      <c r="C1243" s="6">
        <f t="shared" ca="1" si="230"/>
        <v>1</v>
      </c>
      <c r="D1243" s="7">
        <f ca="1">IF($B1243 = 1 + N("Presidente"),
    127,
    IF($B1243 = 2 + N("Vice-Presidente"),
        72,
        IF($B1243 = 3 + N("Secretária bilíngue"),
            13,
            RANDBETWEEN(5,COUNT(Name!$A:$A) + 1)
        )
    )
)</f>
        <v>121</v>
      </c>
      <c r="E1243" s="7" t="str">
        <f ca="1" xml:space="preserve">
VLOOKUP(
  $D1243,
  Name!$A:$B,
  2,
  FALSE
)
&amp; " " &amp;
IF($B1243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Eloá Alves Siqueira</v>
      </c>
      <c r="F1243" s="7">
        <v>2</v>
      </c>
      <c r="G1243" s="7" cm="1">
        <f t="array" aca="1" ref="G1243" ca="1">INDEX(States!$B:$B,RANDBETWEEN(2,COUNTA(States!$A:$A)),1)</f>
        <v>6</v>
      </c>
      <c r="H1243" s="7" t="str">
        <f ca="1">VLOOKUP($D1243,Name!$A:$C,3,FALSE)</f>
        <v>F</v>
      </c>
      <c r="I1243" s="7" cm="1">
        <f t="array" aca="1" ref="I1243" ca="1">INDEX('Marital status'!$A:$A,RANDBETWEEN(2,COUNTA('Marital status'!$A:$A)),1)</f>
        <v>5</v>
      </c>
      <c r="J1243" s="7">
        <f t="shared" ca="1" si="231"/>
        <v>4</v>
      </c>
      <c r="K1243" s="8">
        <f t="shared" ca="1" si="232"/>
        <v>36633</v>
      </c>
      <c r="L1243" s="6">
        <f t="shared" ca="1" si="233"/>
        <v>4</v>
      </c>
      <c r="M1243" s="7">
        <f ca="1" xml:space="preserve">
  IF(OR($N1243 = 2, $N1243 = 3, $N1243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243" s="6">
        <f t="shared" ca="1" si="234"/>
        <v>8</v>
      </c>
      <c r="O1243" s="6">
        <f t="shared" ca="1" si="235"/>
        <v>2</v>
      </c>
      <c r="P1243" s="8">
        <f t="shared" ca="1" si="236"/>
        <v>40267</v>
      </c>
      <c r="Q1243" s="6">
        <f ca="1">RANDBETWEEN(2,COUNTA('Recruitment source'!$A:$A))</f>
        <v>2</v>
      </c>
      <c r="R1243" s="8" t="e">
        <f t="shared" ca="1" si="237"/>
        <v>#N/A</v>
      </c>
      <c r="S1243" s="6" t="e">
        <f t="shared" ca="1" si="238"/>
        <v>#N/A</v>
      </c>
      <c r="T1243" s="6">
        <f t="shared" ca="1" si="228"/>
        <v>2</v>
      </c>
      <c r="U1243" s="1">
        <f t="shared" ca="1" si="239"/>
        <v>2080</v>
      </c>
    </row>
    <row r="1244" spans="1:21" x14ac:dyDescent="0.2">
      <c r="A1244" s="7" cm="1">
        <f t="array" aca="1" ref="A1244" ca="1">INDEX(Companies!$A:$A,RANDBETWEEN(2,COUNTA(Companies!$A:$A)),1)</f>
        <v>2</v>
      </c>
      <c r="B1244" s="5">
        <f t="shared" si="229"/>
        <v>1243</v>
      </c>
      <c r="C1244" s="6">
        <f t="shared" ca="1" si="230"/>
        <v>1</v>
      </c>
      <c r="D1244" s="7">
        <f ca="1">IF($B1244 = 1 + N("Presidente"),
    127,
    IF($B1244 = 2 + N("Vice-Presidente"),
        72,
        IF($B1244 = 3 + N("Secretária bilíngue"),
            13,
            RANDBETWEEN(5,COUNT(Name!$A:$A) + 1)
        )
    )
)</f>
        <v>303</v>
      </c>
      <c r="E1244" s="7" t="str">
        <f ca="1" xml:space="preserve">
VLOOKUP(
  $D1244,
  Name!$A:$B,
  2,
  FALSE
)
&amp; " " &amp;
IF($B1244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Nathália Seixas Colombo</v>
      </c>
      <c r="F1244" s="7">
        <v>2</v>
      </c>
      <c r="G1244" s="7" cm="1">
        <f t="array" aca="1" ref="G1244" ca="1">INDEX(States!$B:$B,RANDBETWEEN(2,COUNTA(States!$A:$A)),1)</f>
        <v>9</v>
      </c>
      <c r="H1244" s="7" t="str">
        <f ca="1">VLOOKUP($D1244,Name!$A:$C,3,FALSE)</f>
        <v>F</v>
      </c>
      <c r="I1244" s="7" cm="1">
        <f t="array" aca="1" ref="I1244" ca="1">INDEX('Marital status'!$A:$A,RANDBETWEEN(2,COUNTA('Marital status'!$A:$A)),1)</f>
        <v>6</v>
      </c>
      <c r="J1244" s="7">
        <f t="shared" ca="1" si="231"/>
        <v>2</v>
      </c>
      <c r="K1244" s="8">
        <f t="shared" ca="1" si="232"/>
        <v>33516</v>
      </c>
      <c r="L1244" s="6">
        <f t="shared" ca="1" si="233"/>
        <v>4</v>
      </c>
      <c r="M1244" s="7">
        <f ca="1" xml:space="preserve">
  IF(OR($N1244 = 2, $N1244 = 3, $N1244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244" s="6">
        <f t="shared" ca="1" si="234"/>
        <v>7</v>
      </c>
      <c r="O1244" s="6" t="e">
        <f t="shared" ca="1" si="235"/>
        <v>#N/A</v>
      </c>
      <c r="P1244" s="8">
        <f t="shared" ca="1" si="236"/>
        <v>43619</v>
      </c>
      <c r="Q1244" s="6">
        <f ca="1">RANDBETWEEN(2,COUNTA('Recruitment source'!$A:$A))</f>
        <v>10</v>
      </c>
      <c r="R1244" s="8" t="e">
        <f t="shared" ca="1" si="237"/>
        <v>#N/A</v>
      </c>
      <c r="S1244" s="6" t="e">
        <f t="shared" ca="1" si="238"/>
        <v>#N/A</v>
      </c>
      <c r="T1244" s="6">
        <f t="shared" ca="1" si="228"/>
        <v>3</v>
      </c>
      <c r="U1244" s="1">
        <f t="shared" ca="1" si="239"/>
        <v>1085</v>
      </c>
    </row>
    <row r="1245" spans="1:21" x14ac:dyDescent="0.2">
      <c r="A1245" s="7" cm="1">
        <f t="array" aca="1" ref="A1245" ca="1">INDEX(Companies!$A:$A,RANDBETWEEN(2,COUNTA(Companies!$A:$A)),1)</f>
        <v>2</v>
      </c>
      <c r="B1245" s="5">
        <f t="shared" si="229"/>
        <v>1244</v>
      </c>
      <c r="C1245" s="6">
        <f t="shared" ca="1" si="230"/>
        <v>1</v>
      </c>
      <c r="D1245" s="7">
        <f ca="1">IF($B1245 = 1 + N("Presidente"),
    127,
    IF($B1245 = 2 + N("Vice-Presidente"),
        72,
        IF($B1245 = 3 + N("Secretária bilíngue"),
            13,
            RANDBETWEEN(5,COUNT(Name!$A:$A) + 1)
        )
    )
)</f>
        <v>221</v>
      </c>
      <c r="E1245" s="7" t="str">
        <f ca="1" xml:space="preserve">
VLOOKUP(
  $D1245,
  Name!$A:$B,
  2,
  FALSE
)
&amp; " " &amp;
IF($B1245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Lavínia Camargo Badu</v>
      </c>
      <c r="F1245" s="7">
        <v>2</v>
      </c>
      <c r="G1245" s="7" cm="1">
        <f t="array" aca="1" ref="G1245" ca="1">INDEX(States!$B:$B,RANDBETWEEN(2,COUNTA(States!$A:$A)),1)</f>
        <v>17</v>
      </c>
      <c r="H1245" s="7" t="str">
        <f ca="1">VLOOKUP($D1245,Name!$A:$C,3,FALSE)</f>
        <v>F</v>
      </c>
      <c r="I1245" s="7" cm="1">
        <f t="array" aca="1" ref="I1245" ca="1">INDEX('Marital status'!$A:$A,RANDBETWEEN(2,COUNTA('Marital status'!$A:$A)),1)</f>
        <v>2</v>
      </c>
      <c r="J1245" s="7">
        <f t="shared" ca="1" si="231"/>
        <v>2</v>
      </c>
      <c r="K1245" s="8">
        <f t="shared" ca="1" si="232"/>
        <v>33513</v>
      </c>
      <c r="L1245" s="6">
        <f t="shared" ca="1" si="233"/>
        <v>4</v>
      </c>
      <c r="M1245" s="7">
        <f ca="1" xml:space="preserve">
  IF(OR($N1245 = 2, $N1245 = 3, $N1245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245" s="6">
        <f t="shared" ca="1" si="234"/>
        <v>8</v>
      </c>
      <c r="O1245" s="6">
        <f t="shared" ca="1" si="235"/>
        <v>4</v>
      </c>
      <c r="P1245" s="8">
        <f t="shared" ca="1" si="236"/>
        <v>43875</v>
      </c>
      <c r="Q1245" s="6">
        <f ca="1">RANDBETWEEN(2,COUNTA('Recruitment source'!$A:$A))</f>
        <v>2</v>
      </c>
      <c r="R1245" s="8" t="e">
        <f t="shared" ca="1" si="237"/>
        <v>#N/A</v>
      </c>
      <c r="S1245" s="6" t="e">
        <f t="shared" ca="1" si="238"/>
        <v>#N/A</v>
      </c>
      <c r="T1245" s="6">
        <f t="shared" ca="1" si="228"/>
        <v>5</v>
      </c>
      <c r="U1245" s="1">
        <f t="shared" ca="1" si="239"/>
        <v>2000</v>
      </c>
    </row>
    <row r="1246" spans="1:21" x14ac:dyDescent="0.2">
      <c r="A1246" s="7" cm="1">
        <f t="array" aca="1" ref="A1246" ca="1">INDEX(Companies!$A:$A,RANDBETWEEN(2,COUNTA(Companies!$A:$A)),1)</f>
        <v>2</v>
      </c>
      <c r="B1246" s="5">
        <f t="shared" si="229"/>
        <v>1245</v>
      </c>
      <c r="C1246" s="6">
        <f t="shared" ca="1" si="230"/>
        <v>1</v>
      </c>
      <c r="D1246" s="7">
        <f ca="1">IF($B1246 = 1 + N("Presidente"),
    127,
    IF($B1246 = 2 + N("Vice-Presidente"),
        72,
        IF($B1246 = 3 + N("Secretária bilíngue"),
            13,
            RANDBETWEEN(5,COUNT(Name!$A:$A) + 1)
        )
    )
)</f>
        <v>49</v>
      </c>
      <c r="E1246" s="7" t="str">
        <f ca="1" xml:space="preserve">
VLOOKUP(
  $D1246,
  Name!$A:$B,
  2,
  FALSE
)
&amp; " " &amp;
IF($B1246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Anthony Gabriel Caminha Café</v>
      </c>
      <c r="F1246" s="7">
        <v>2</v>
      </c>
      <c r="G1246" s="7" cm="1">
        <f t="array" aca="1" ref="G1246" ca="1">INDEX(States!$B:$B,RANDBETWEEN(2,COUNTA(States!$A:$A)),1)</f>
        <v>12</v>
      </c>
      <c r="H1246" s="7" t="str">
        <f ca="1">VLOOKUP($D1246,Name!$A:$C,3,FALSE)</f>
        <v>M</v>
      </c>
      <c r="I1246" s="7" cm="1">
        <f t="array" aca="1" ref="I1246" ca="1">INDEX('Marital status'!$A:$A,RANDBETWEEN(2,COUNTA('Marital status'!$A:$A)),1)</f>
        <v>3</v>
      </c>
      <c r="J1246" s="7">
        <f t="shared" ca="1" si="231"/>
        <v>3</v>
      </c>
      <c r="K1246" s="8">
        <f t="shared" ca="1" si="232"/>
        <v>28879</v>
      </c>
      <c r="L1246" s="6">
        <f t="shared" ca="1" si="233"/>
        <v>4</v>
      </c>
      <c r="M1246" s="7">
        <f ca="1" xml:space="preserve">
  IF(OR($N1246 = 2, $N1246 = 3, $N1246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246" s="6">
        <f t="shared" ca="1" si="234"/>
        <v>6</v>
      </c>
      <c r="O1246" s="6" t="e">
        <f t="shared" ca="1" si="235"/>
        <v>#N/A</v>
      </c>
      <c r="P1246" s="8">
        <f t="shared" ca="1" si="236"/>
        <v>43352</v>
      </c>
      <c r="Q1246" s="6">
        <f ca="1">RANDBETWEEN(2,COUNTA('Recruitment source'!$A:$A))</f>
        <v>4</v>
      </c>
      <c r="R1246" s="8" t="e">
        <f t="shared" ca="1" si="237"/>
        <v>#N/A</v>
      </c>
      <c r="S1246" s="6" t="e">
        <f t="shared" ca="1" si="238"/>
        <v>#N/A</v>
      </c>
      <c r="T1246" s="6">
        <f t="shared" ca="1" si="228"/>
        <v>2</v>
      </c>
      <c r="U1246" s="1">
        <f t="shared" ca="1" si="239"/>
        <v>885</v>
      </c>
    </row>
    <row r="1247" spans="1:21" x14ac:dyDescent="0.2">
      <c r="A1247" s="7" cm="1">
        <f t="array" aca="1" ref="A1247" ca="1">INDEX(Companies!$A:$A,RANDBETWEEN(2,COUNTA(Companies!$A:$A)),1)</f>
        <v>2</v>
      </c>
      <c r="B1247" s="5">
        <f t="shared" si="229"/>
        <v>1246</v>
      </c>
      <c r="C1247" s="6">
        <f t="shared" ca="1" si="230"/>
        <v>1</v>
      </c>
      <c r="D1247" s="7">
        <f ca="1">IF($B1247 = 1 + N("Presidente"),
    127,
    IF($B1247 = 2 + N("Vice-Presidente"),
        72,
        IF($B1247 = 3 + N("Secretária bilíngue"),
            13,
            RANDBETWEEN(5,COUNT(Name!$A:$A) + 1)
        )
    )
)</f>
        <v>69</v>
      </c>
      <c r="E1247" s="7" t="str">
        <f ca="1" xml:space="preserve">
VLOOKUP(
  $D1247,
  Name!$A:$B,
  2,
  FALSE
)
&amp; " " &amp;
IF($B1247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Benjamin Melo Pellegrini</v>
      </c>
      <c r="F1247" s="7">
        <v>2</v>
      </c>
      <c r="G1247" s="7" cm="1">
        <f t="array" aca="1" ref="G1247" ca="1">INDEX(States!$B:$B,RANDBETWEEN(2,COUNTA(States!$A:$A)),1)</f>
        <v>10</v>
      </c>
      <c r="H1247" s="7" t="str">
        <f ca="1">VLOOKUP($D1247,Name!$A:$C,3,FALSE)</f>
        <v>M</v>
      </c>
      <c r="I1247" s="7" cm="1">
        <f t="array" aca="1" ref="I1247" ca="1">INDEX('Marital status'!$A:$A,RANDBETWEEN(2,COUNTA('Marital status'!$A:$A)),1)</f>
        <v>5</v>
      </c>
      <c r="J1247" s="7">
        <f t="shared" ca="1" si="231"/>
        <v>2</v>
      </c>
      <c r="K1247" s="8">
        <f t="shared" ca="1" si="232"/>
        <v>33778</v>
      </c>
      <c r="L1247" s="6">
        <f t="shared" ca="1" si="233"/>
        <v>4</v>
      </c>
      <c r="M1247" s="7">
        <f ca="1" xml:space="preserve">
  IF(OR($N1247 = 2, $N1247 = 3, $N1247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247" s="6">
        <f t="shared" ca="1" si="234"/>
        <v>8</v>
      </c>
      <c r="O1247" s="6">
        <f t="shared" ca="1" si="235"/>
        <v>3</v>
      </c>
      <c r="P1247" s="8">
        <f t="shared" ca="1" si="236"/>
        <v>44337</v>
      </c>
      <c r="Q1247" s="6">
        <f ca="1">RANDBETWEEN(2,COUNTA('Recruitment source'!$A:$A))</f>
        <v>8</v>
      </c>
      <c r="R1247" s="8" t="e">
        <f t="shared" ca="1" si="237"/>
        <v>#N/A</v>
      </c>
      <c r="S1247" s="6" t="e">
        <f t="shared" ca="1" si="238"/>
        <v>#N/A</v>
      </c>
      <c r="T1247" s="6">
        <f t="shared" ca="1" si="228"/>
        <v>5</v>
      </c>
      <c r="U1247" s="1">
        <f t="shared" ca="1" si="239"/>
        <v>2000</v>
      </c>
    </row>
    <row r="1248" spans="1:21" x14ac:dyDescent="0.2">
      <c r="A1248" s="7" cm="1">
        <f t="array" aca="1" ref="A1248" ca="1">INDEX(Companies!$A:$A,RANDBETWEEN(2,COUNTA(Companies!$A:$A)),1)</f>
        <v>2</v>
      </c>
      <c r="B1248" s="5">
        <f t="shared" si="229"/>
        <v>1247</v>
      </c>
      <c r="C1248" s="6">
        <f t="shared" ca="1" si="230"/>
        <v>1</v>
      </c>
      <c r="D1248" s="7">
        <f ca="1">IF($B1248 = 1 + N("Presidente"),
    127,
    IF($B1248 = 2 + N("Vice-Presidente"),
        72,
        IF($B1248 = 3 + N("Secretária bilíngue"),
            13,
            RANDBETWEEN(5,COUNT(Name!$A:$A) + 1)
        )
    )
)</f>
        <v>7</v>
      </c>
      <c r="E1248" s="7" t="str">
        <f ca="1" xml:space="preserve">
VLOOKUP(
  $D1248,
  Name!$A:$B,
  2,
  FALSE
)
&amp; " " &amp;
IF($B1248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Adelaide Alcantara Padrão</v>
      </c>
      <c r="F1248" s="7">
        <v>2</v>
      </c>
      <c r="G1248" s="7" cm="1">
        <f t="array" aca="1" ref="G1248" ca="1">INDEX(States!$B:$B,RANDBETWEEN(2,COUNTA(States!$A:$A)),1)</f>
        <v>11</v>
      </c>
      <c r="H1248" s="7" t="str">
        <f ca="1">VLOOKUP($D1248,Name!$A:$C,3,FALSE)</f>
        <v>F</v>
      </c>
      <c r="I1248" s="7" cm="1">
        <f t="array" aca="1" ref="I1248" ca="1">INDEX('Marital status'!$A:$A,RANDBETWEEN(2,COUNTA('Marital status'!$A:$A)),1)</f>
        <v>2</v>
      </c>
      <c r="J1248" s="7">
        <f t="shared" ca="1" si="231"/>
        <v>2</v>
      </c>
      <c r="K1248" s="8">
        <f t="shared" ca="1" si="232"/>
        <v>32415</v>
      </c>
      <c r="L1248" s="6">
        <f t="shared" ca="1" si="233"/>
        <v>4</v>
      </c>
      <c r="M1248" s="7">
        <f ca="1" xml:space="preserve">
  IF(OR($N1248 = 2, $N1248 = 3, $N1248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248" s="6">
        <f t="shared" ca="1" si="234"/>
        <v>6</v>
      </c>
      <c r="O1248" s="6" t="e">
        <f t="shared" ca="1" si="235"/>
        <v>#N/A</v>
      </c>
      <c r="P1248" s="8">
        <f t="shared" ca="1" si="236"/>
        <v>37381</v>
      </c>
      <c r="Q1248" s="6">
        <f ca="1">RANDBETWEEN(2,COUNTA('Recruitment source'!$A:$A))</f>
        <v>2</v>
      </c>
      <c r="R1248" s="8" t="e">
        <f t="shared" ca="1" si="237"/>
        <v>#N/A</v>
      </c>
      <c r="S1248" s="6" t="e">
        <f t="shared" ca="1" si="238"/>
        <v>#N/A</v>
      </c>
      <c r="T1248" s="6">
        <f t="shared" ca="1" si="228"/>
        <v>3</v>
      </c>
      <c r="U1248" s="1">
        <f t="shared" ca="1" si="239"/>
        <v>885</v>
      </c>
    </row>
    <row r="1249" spans="1:21" x14ac:dyDescent="0.2">
      <c r="A1249" s="7" cm="1">
        <f t="array" aca="1" ref="A1249" ca="1">INDEX(Companies!$A:$A,RANDBETWEEN(2,COUNTA(Companies!$A:$A)),1)</f>
        <v>2</v>
      </c>
      <c r="B1249" s="5">
        <f t="shared" si="229"/>
        <v>1248</v>
      </c>
      <c r="C1249" s="6">
        <f t="shared" ca="1" si="230"/>
        <v>1</v>
      </c>
      <c r="D1249" s="7">
        <f ca="1">IF($B1249 = 1 + N("Presidente"),
    127,
    IF($B1249 = 2 + N("Vice-Presidente"),
        72,
        IF($B1249 = 3 + N("Secretária bilíngue"),
            13,
            RANDBETWEEN(5,COUNT(Name!$A:$A) + 1)
        )
    )
)</f>
        <v>42</v>
      </c>
      <c r="E1249" s="7" t="str">
        <f ca="1" xml:space="preserve">
VLOOKUP(
  $D1249,
  Name!$A:$B,
  2,
  FALSE
)
&amp; " " &amp;
IF($B1249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Ângelo Rinaldi Pinto</v>
      </c>
      <c r="F1249" s="7">
        <v>2</v>
      </c>
      <c r="G1249" s="7" cm="1">
        <f t="array" aca="1" ref="G1249" ca="1">INDEX(States!$B:$B,RANDBETWEEN(2,COUNTA(States!$A:$A)),1)</f>
        <v>17</v>
      </c>
      <c r="H1249" s="7" t="str">
        <f ca="1">VLOOKUP($D1249,Name!$A:$C,3,FALSE)</f>
        <v>M</v>
      </c>
      <c r="I1249" s="7" cm="1">
        <f t="array" aca="1" ref="I1249" ca="1">INDEX('Marital status'!$A:$A,RANDBETWEEN(2,COUNTA('Marital status'!$A:$A)),1)</f>
        <v>6</v>
      </c>
      <c r="J1249" s="7">
        <f t="shared" ca="1" si="231"/>
        <v>2</v>
      </c>
      <c r="K1249" s="8">
        <f t="shared" ca="1" si="232"/>
        <v>34145</v>
      </c>
      <c r="L1249" s="6">
        <f t="shared" ca="1" si="233"/>
        <v>5</v>
      </c>
      <c r="M1249" s="7">
        <f ca="1" xml:space="preserve">
  IF(OR($N1249 = 2, $N1249 = 3, $N1249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249" s="6">
        <f t="shared" ca="1" si="234"/>
        <v>8</v>
      </c>
      <c r="O1249" s="6">
        <f t="shared" ca="1" si="235"/>
        <v>3</v>
      </c>
      <c r="P1249" s="8">
        <f t="shared" ca="1" si="236"/>
        <v>37299</v>
      </c>
      <c r="Q1249" s="6">
        <f ca="1">RANDBETWEEN(2,COUNTA('Recruitment source'!$A:$A))</f>
        <v>4</v>
      </c>
      <c r="R1249" s="8" t="e">
        <f t="shared" ca="1" si="237"/>
        <v>#N/A</v>
      </c>
      <c r="S1249" s="6" t="e">
        <f t="shared" ca="1" si="238"/>
        <v>#N/A</v>
      </c>
      <c r="T1249" s="6">
        <f t="shared" ca="1" si="228"/>
        <v>2</v>
      </c>
      <c r="U1249" s="1">
        <f t="shared" ca="1" si="239"/>
        <v>2000</v>
      </c>
    </row>
    <row r="1250" spans="1:21" x14ac:dyDescent="0.2">
      <c r="A1250" s="7" cm="1">
        <f t="array" aca="1" ref="A1250" ca="1">INDEX(Companies!$A:$A,RANDBETWEEN(2,COUNTA(Companies!$A:$A)),1)</f>
        <v>2</v>
      </c>
      <c r="B1250" s="5">
        <f t="shared" si="229"/>
        <v>1249</v>
      </c>
      <c r="C1250" s="6">
        <f t="shared" ca="1" si="230"/>
        <v>1</v>
      </c>
      <c r="D1250" s="7">
        <f ca="1">IF($B1250 = 1 + N("Presidente"),
    127,
    IF($B1250 = 2 + N("Vice-Presidente"),
        72,
        IF($B1250 = 3 + N("Secretária bilíngue"),
            13,
            RANDBETWEEN(5,COUNT(Name!$A:$A) + 1)
        )
    )
)</f>
        <v>191</v>
      </c>
      <c r="E1250" s="7" t="str">
        <f ca="1" xml:space="preserve">
VLOOKUP(
  $D1250,
  Name!$A:$B,
  2,
  FALSE
)
&amp; " " &amp;
IF($B1250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Paulo Moraes Aguiar</v>
      </c>
      <c r="F1250" s="7">
        <v>2</v>
      </c>
      <c r="G1250" s="7" cm="1">
        <f t="array" aca="1" ref="G1250" ca="1">INDEX(States!$B:$B,RANDBETWEEN(2,COUNTA(States!$A:$A)),1)</f>
        <v>2</v>
      </c>
      <c r="H1250" s="7" t="str">
        <f ca="1">VLOOKUP($D1250,Name!$A:$C,3,FALSE)</f>
        <v>M</v>
      </c>
      <c r="I1250" s="7" cm="1">
        <f t="array" aca="1" ref="I1250" ca="1">INDEX('Marital status'!$A:$A,RANDBETWEEN(2,COUNTA('Marital status'!$A:$A)),1)</f>
        <v>2</v>
      </c>
      <c r="J1250" s="7">
        <f t="shared" ca="1" si="231"/>
        <v>2</v>
      </c>
      <c r="K1250" s="8">
        <f t="shared" ca="1" si="232"/>
        <v>28790</v>
      </c>
      <c r="L1250" s="6">
        <f t="shared" ca="1" si="233"/>
        <v>4</v>
      </c>
      <c r="M1250" s="7">
        <f ca="1" xml:space="preserve">
  IF(OR($N1250 = 2, $N1250 = 3, $N1250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250" s="6">
        <f t="shared" ca="1" si="234"/>
        <v>7</v>
      </c>
      <c r="O1250" s="6" t="e">
        <f t="shared" ca="1" si="235"/>
        <v>#N/A</v>
      </c>
      <c r="P1250" s="8">
        <f t="shared" ca="1" si="236"/>
        <v>37256</v>
      </c>
      <c r="Q1250" s="6">
        <f ca="1">RANDBETWEEN(2,COUNTA('Recruitment source'!$A:$A))</f>
        <v>5</v>
      </c>
      <c r="R1250" s="8" t="e">
        <f t="shared" ca="1" si="237"/>
        <v>#N/A</v>
      </c>
      <c r="S1250" s="6" t="e">
        <f t="shared" ca="1" si="238"/>
        <v>#N/A</v>
      </c>
      <c r="T1250" s="6">
        <f t="shared" ca="1" si="228"/>
        <v>5</v>
      </c>
      <c r="U1250" s="1">
        <f t="shared" ca="1" si="239"/>
        <v>1085</v>
      </c>
    </row>
    <row r="1251" spans="1:21" x14ac:dyDescent="0.2">
      <c r="A1251" s="7" cm="1">
        <f t="array" aca="1" ref="A1251" ca="1">INDEX(Companies!$A:$A,RANDBETWEEN(2,COUNTA(Companies!$A:$A)),1)</f>
        <v>2</v>
      </c>
      <c r="B1251" s="5">
        <f t="shared" si="229"/>
        <v>1250</v>
      </c>
      <c r="C1251" s="6">
        <f t="shared" ca="1" si="230"/>
        <v>1</v>
      </c>
      <c r="D1251" s="7">
        <f ca="1">IF($B1251 = 1 + N("Presidente"),
    127,
    IF($B1251 = 2 + N("Vice-Presidente"),
        72,
        IF($B1251 = 3 + N("Secretária bilíngue"),
            13,
            RANDBETWEEN(5,COUNT(Name!$A:$A) + 1)
        )
    )
)</f>
        <v>119</v>
      </c>
      <c r="E1251" s="7" t="str">
        <f ca="1" xml:space="preserve">
VLOOKUP(
  $D1251,
  Name!$A:$B,
  2,
  FALSE
)
&amp; " " &amp;
IF($B1251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Elisa Fontana Paulista</v>
      </c>
      <c r="F1251" s="7">
        <v>2</v>
      </c>
      <c r="G1251" s="7" cm="1">
        <f t="array" aca="1" ref="G1251" ca="1">INDEX(States!$B:$B,RANDBETWEEN(2,COUNTA(States!$A:$A)),1)</f>
        <v>18</v>
      </c>
      <c r="H1251" s="7" t="str">
        <f ca="1">VLOOKUP($D1251,Name!$A:$C,3,FALSE)</f>
        <v>F</v>
      </c>
      <c r="I1251" s="7" cm="1">
        <f t="array" aca="1" ref="I1251" ca="1">INDEX('Marital status'!$A:$A,RANDBETWEEN(2,COUNTA('Marital status'!$A:$A)),1)</f>
        <v>2</v>
      </c>
      <c r="J1251" s="7">
        <f t="shared" ca="1" si="231"/>
        <v>2</v>
      </c>
      <c r="K1251" s="8">
        <f t="shared" ca="1" si="232"/>
        <v>37212</v>
      </c>
      <c r="L1251" s="6">
        <f t="shared" ca="1" si="233"/>
        <v>4</v>
      </c>
      <c r="M1251" s="7">
        <f ca="1" xml:space="preserve">
  IF(OR($N1251 = 2, $N1251 = 3, $N1251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251" s="6">
        <f t="shared" ca="1" si="234"/>
        <v>8</v>
      </c>
      <c r="O1251" s="6">
        <f t="shared" ca="1" si="235"/>
        <v>2</v>
      </c>
      <c r="P1251" s="8">
        <f t="shared" ca="1" si="236"/>
        <v>44747</v>
      </c>
      <c r="Q1251" s="6">
        <f ca="1">RANDBETWEEN(2,COUNTA('Recruitment source'!$A:$A))</f>
        <v>7</v>
      </c>
      <c r="R1251" s="8" t="e">
        <f t="shared" ca="1" si="237"/>
        <v>#N/A</v>
      </c>
      <c r="S1251" s="6" t="e">
        <f t="shared" ca="1" si="238"/>
        <v>#N/A</v>
      </c>
      <c r="T1251" s="6">
        <f t="shared" ca="1" si="228"/>
        <v>5</v>
      </c>
      <c r="U1251" s="1">
        <f t="shared" ca="1" si="239"/>
        <v>2000</v>
      </c>
    </row>
    <row r="1252" spans="1:21" x14ac:dyDescent="0.2">
      <c r="A1252" s="7" cm="1">
        <f t="array" aca="1" ref="A1252" ca="1">INDEX(Companies!$A:$A,RANDBETWEEN(2,COUNTA(Companies!$A:$A)),1)</f>
        <v>2</v>
      </c>
      <c r="B1252" s="5">
        <f t="shared" si="229"/>
        <v>1251</v>
      </c>
      <c r="C1252" s="6">
        <f t="shared" ca="1" si="230"/>
        <v>1</v>
      </c>
      <c r="D1252" s="7">
        <f ca="1">IF($B1252 = 1 + N("Presidente"),
    127,
    IF($B1252 = 2 + N("Vice-Presidente"),
        72,
        IF($B1252 = 3 + N("Secretária bilíngue"),
            13,
            RANDBETWEEN(5,COUNT(Name!$A:$A) + 1)
        )
    )
)</f>
        <v>149</v>
      </c>
      <c r="E1252" s="7" t="str">
        <f ca="1" xml:space="preserve">
VLOOKUP(
  $D1252,
  Name!$A:$B,
  2,
  FALSE
)
&amp; " " &amp;
IF($B1252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Gabriel Miranda Sacramento</v>
      </c>
      <c r="F1252" s="7">
        <v>2</v>
      </c>
      <c r="G1252" s="7" cm="1">
        <f t="array" aca="1" ref="G1252" ca="1">INDEX(States!$B:$B,RANDBETWEEN(2,COUNTA(States!$A:$A)),1)</f>
        <v>16</v>
      </c>
      <c r="H1252" s="7" t="str">
        <f ca="1">VLOOKUP($D1252,Name!$A:$C,3,FALSE)</f>
        <v>M</v>
      </c>
      <c r="I1252" s="7" cm="1">
        <f t="array" aca="1" ref="I1252" ca="1">INDEX('Marital status'!$A:$A,RANDBETWEEN(2,COUNTA('Marital status'!$A:$A)),1)</f>
        <v>5</v>
      </c>
      <c r="J1252" s="7">
        <f t="shared" ca="1" si="231"/>
        <v>2</v>
      </c>
      <c r="K1252" s="8">
        <f t="shared" ca="1" si="232"/>
        <v>31858</v>
      </c>
      <c r="L1252" s="6">
        <f t="shared" ca="1" si="233"/>
        <v>4</v>
      </c>
      <c r="M1252" s="7">
        <f ca="1" xml:space="preserve">
  IF(OR($N1252 = 2, $N1252 = 3, $N1252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252" s="6">
        <f t="shared" ca="1" si="234"/>
        <v>6</v>
      </c>
      <c r="O1252" s="6" t="e">
        <f t="shared" ca="1" si="235"/>
        <v>#N/A</v>
      </c>
      <c r="P1252" s="8">
        <f t="shared" ca="1" si="236"/>
        <v>42325</v>
      </c>
      <c r="Q1252" s="6">
        <f ca="1">RANDBETWEEN(2,COUNTA('Recruitment source'!$A:$A))</f>
        <v>10</v>
      </c>
      <c r="R1252" s="8" t="e">
        <f t="shared" ca="1" si="237"/>
        <v>#N/A</v>
      </c>
      <c r="S1252" s="6" t="e">
        <f t="shared" ca="1" si="238"/>
        <v>#N/A</v>
      </c>
      <c r="T1252" s="6">
        <f t="shared" ca="1" si="228"/>
        <v>5</v>
      </c>
      <c r="U1252" s="1">
        <f t="shared" ca="1" si="239"/>
        <v>805</v>
      </c>
    </row>
    <row r="1253" spans="1:21" x14ac:dyDescent="0.2">
      <c r="A1253" s="7" cm="1">
        <f t="array" aca="1" ref="A1253" ca="1">INDEX(Companies!$A:$A,RANDBETWEEN(2,COUNTA(Companies!$A:$A)),1)</f>
        <v>2</v>
      </c>
      <c r="B1253" s="5">
        <f t="shared" si="229"/>
        <v>1252</v>
      </c>
      <c r="C1253" s="6">
        <f t="shared" ca="1" si="230"/>
        <v>1</v>
      </c>
      <c r="D1253" s="7">
        <f ca="1">IF($B1253 = 1 + N("Presidente"),
    127,
    IF($B1253 = 2 + N("Vice-Presidente"),
        72,
        IF($B1253 = 3 + N("Secretária bilíngue"),
            13,
            RANDBETWEEN(5,COUNT(Name!$A:$A) + 1)
        )
    )
)</f>
        <v>363</v>
      </c>
      <c r="E1253" s="7" t="str">
        <f ca="1" xml:space="preserve">
VLOOKUP(
  $D1253,
  Name!$A:$B,
  2,
  FALSE
)
&amp; " " &amp;
IF($B1253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Yago Sá Pasquim</v>
      </c>
      <c r="F1253" s="7">
        <v>2</v>
      </c>
      <c r="G1253" s="7" cm="1">
        <f t="array" aca="1" ref="G1253" ca="1">INDEX(States!$B:$B,RANDBETWEEN(2,COUNTA(States!$A:$A)),1)</f>
        <v>21</v>
      </c>
      <c r="H1253" s="7" t="str">
        <f ca="1">VLOOKUP($D1253,Name!$A:$C,3,FALSE)</f>
        <v>M</v>
      </c>
      <c r="I1253" s="7" cm="1">
        <f t="array" aca="1" ref="I1253" ca="1">INDEX('Marital status'!$A:$A,RANDBETWEEN(2,COUNTA('Marital status'!$A:$A)),1)</f>
        <v>3</v>
      </c>
      <c r="J1253" s="7">
        <f t="shared" ca="1" si="231"/>
        <v>3</v>
      </c>
      <c r="K1253" s="8">
        <f t="shared" ca="1" si="232"/>
        <v>32839</v>
      </c>
      <c r="L1253" s="6">
        <f t="shared" ca="1" si="233"/>
        <v>4</v>
      </c>
      <c r="M1253" s="7">
        <f ca="1" xml:space="preserve">
  IF(OR($N1253 = 2, $N1253 = 3, $N1253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253" s="6">
        <f t="shared" ca="1" si="234"/>
        <v>8</v>
      </c>
      <c r="O1253" s="6">
        <f t="shared" ca="1" si="235"/>
        <v>4</v>
      </c>
      <c r="P1253" s="8">
        <f t="shared" ca="1" si="236"/>
        <v>42152</v>
      </c>
      <c r="Q1253" s="6">
        <f ca="1">RANDBETWEEN(2,COUNTA('Recruitment source'!$A:$A))</f>
        <v>8</v>
      </c>
      <c r="R1253" s="8" t="e">
        <f t="shared" ca="1" si="237"/>
        <v>#N/A</v>
      </c>
      <c r="S1253" s="6" t="e">
        <f t="shared" ca="1" si="238"/>
        <v>#N/A</v>
      </c>
      <c r="T1253" s="6">
        <f t="shared" ca="1" si="228"/>
        <v>5</v>
      </c>
      <c r="U1253" s="1">
        <f t="shared" ca="1" si="239"/>
        <v>2000</v>
      </c>
    </row>
    <row r="1254" spans="1:21" x14ac:dyDescent="0.2">
      <c r="A1254" s="7" cm="1">
        <f t="array" aca="1" ref="A1254" ca="1">INDEX(Companies!$A:$A,RANDBETWEEN(2,COUNTA(Companies!$A:$A)),1)</f>
        <v>2</v>
      </c>
      <c r="B1254" s="5">
        <f t="shared" si="229"/>
        <v>1253</v>
      </c>
      <c r="C1254" s="6">
        <f t="shared" ca="1" si="230"/>
        <v>1</v>
      </c>
      <c r="D1254" s="7">
        <f ca="1">IF($B1254 = 1 + N("Presidente"),
    127,
    IF($B1254 = 2 + N("Vice-Presidente"),
        72,
        IF($B1254 = 3 + N("Secretária bilíngue"),
            13,
            RANDBETWEEN(5,COUNT(Name!$A:$A) + 1)
        )
    )
)</f>
        <v>298</v>
      </c>
      <c r="E1254" s="7" t="str">
        <f ca="1" xml:space="preserve">
VLOOKUP(
  $D1254,
  Name!$A:$B,
  2,
  FALSE
)
&amp; " " &amp;
IF($B1254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Milena Borba Brasil</v>
      </c>
      <c r="F1254" s="7">
        <v>2</v>
      </c>
      <c r="G1254" s="7" cm="1">
        <f t="array" aca="1" ref="G1254" ca="1">INDEX(States!$B:$B,RANDBETWEEN(2,COUNTA(States!$A:$A)),1)</f>
        <v>21</v>
      </c>
      <c r="H1254" s="7" t="str">
        <f ca="1">VLOOKUP($D1254,Name!$A:$C,3,FALSE)</f>
        <v>F</v>
      </c>
      <c r="I1254" s="7" cm="1">
        <f t="array" aca="1" ref="I1254" ca="1">INDEX('Marital status'!$A:$A,RANDBETWEEN(2,COUNTA('Marital status'!$A:$A)),1)</f>
        <v>3</v>
      </c>
      <c r="J1254" s="7">
        <f t="shared" ca="1" si="231"/>
        <v>5</v>
      </c>
      <c r="K1254" s="8">
        <f t="shared" ca="1" si="232"/>
        <v>32415</v>
      </c>
      <c r="L1254" s="6">
        <f t="shared" ca="1" si="233"/>
        <v>4</v>
      </c>
      <c r="M1254" s="7">
        <f ca="1" xml:space="preserve">
  IF(OR($N1254 = 2, $N1254 = 3, $N1254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254" s="6">
        <f t="shared" ca="1" si="234"/>
        <v>7</v>
      </c>
      <c r="O1254" s="6" t="e">
        <f t="shared" ca="1" si="235"/>
        <v>#N/A</v>
      </c>
      <c r="P1254" s="8">
        <f t="shared" ca="1" si="236"/>
        <v>38984</v>
      </c>
      <c r="Q1254" s="6">
        <f ca="1">RANDBETWEEN(2,COUNTA('Recruitment source'!$A:$A))</f>
        <v>7</v>
      </c>
      <c r="R1254" s="8" t="e">
        <f t="shared" ca="1" si="237"/>
        <v>#N/A</v>
      </c>
      <c r="S1254" s="6" t="e">
        <f t="shared" ca="1" si="238"/>
        <v>#N/A</v>
      </c>
      <c r="T1254" s="6">
        <f t="shared" ca="1" si="228"/>
        <v>5</v>
      </c>
      <c r="U1254" s="1">
        <f t="shared" ca="1" si="239"/>
        <v>1005</v>
      </c>
    </row>
    <row r="1255" spans="1:21" x14ac:dyDescent="0.2">
      <c r="A1255" s="7" cm="1">
        <f t="array" aca="1" ref="A1255" ca="1">INDEX(Companies!$A:$A,RANDBETWEEN(2,COUNTA(Companies!$A:$A)),1)</f>
        <v>2</v>
      </c>
      <c r="B1255" s="5">
        <f t="shared" si="229"/>
        <v>1254</v>
      </c>
      <c r="C1255" s="6">
        <f t="shared" ca="1" si="230"/>
        <v>1</v>
      </c>
      <c r="D1255" s="7">
        <f ca="1">IF($B1255 = 1 + N("Presidente"),
    127,
    IF($B1255 = 2 + N("Vice-Presidente"),
        72,
        IF($B1255 = 3 + N("Secretária bilíngue"),
            13,
            RANDBETWEEN(5,COUNT(Name!$A:$A) + 1)
        )
    )
)</f>
        <v>250</v>
      </c>
      <c r="E1255" s="7" t="str">
        <f ca="1" xml:space="preserve">
VLOOKUP(
  $D1255,
  Name!$A:$B,
  2,
  FALSE
)
&amp; " " &amp;
IF($B1255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Madalena Soares Furtado</v>
      </c>
      <c r="F1255" s="7">
        <v>2</v>
      </c>
      <c r="G1255" s="7" cm="1">
        <f t="array" aca="1" ref="G1255" ca="1">INDEX(States!$B:$B,RANDBETWEEN(2,COUNTA(States!$A:$A)),1)</f>
        <v>13</v>
      </c>
      <c r="H1255" s="7" t="str">
        <f ca="1">VLOOKUP($D1255,Name!$A:$C,3,FALSE)</f>
        <v>F</v>
      </c>
      <c r="I1255" s="7" cm="1">
        <f t="array" aca="1" ref="I1255" ca="1">INDEX('Marital status'!$A:$A,RANDBETWEEN(2,COUNTA('Marital status'!$A:$A)),1)</f>
        <v>2</v>
      </c>
      <c r="J1255" s="7">
        <f t="shared" ca="1" si="231"/>
        <v>2</v>
      </c>
      <c r="K1255" s="8">
        <f t="shared" ca="1" si="232"/>
        <v>34401</v>
      </c>
      <c r="L1255" s="6">
        <f t="shared" ca="1" si="233"/>
        <v>5</v>
      </c>
      <c r="M1255" s="7">
        <f ca="1" xml:space="preserve">
  IF(OR($N1255 = 2, $N1255 = 3, $N1255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255" s="6">
        <f t="shared" ca="1" si="234"/>
        <v>8</v>
      </c>
      <c r="O1255" s="6">
        <f t="shared" ca="1" si="235"/>
        <v>2</v>
      </c>
      <c r="P1255" s="8">
        <f t="shared" ca="1" si="236"/>
        <v>41651</v>
      </c>
      <c r="Q1255" s="6">
        <f ca="1">RANDBETWEEN(2,COUNTA('Recruitment source'!$A:$A))</f>
        <v>4</v>
      </c>
      <c r="R1255" s="8" t="e">
        <f t="shared" ca="1" si="237"/>
        <v>#N/A</v>
      </c>
      <c r="S1255" s="6" t="e">
        <f t="shared" ca="1" si="238"/>
        <v>#N/A</v>
      </c>
      <c r="T1255" s="6">
        <f t="shared" ca="1" si="228"/>
        <v>4</v>
      </c>
      <c r="U1255" s="1">
        <f t="shared" ca="1" si="239"/>
        <v>2080</v>
      </c>
    </row>
    <row r="1256" spans="1:21" x14ac:dyDescent="0.2">
      <c r="A1256" s="7" cm="1">
        <f t="array" aca="1" ref="A1256" ca="1">INDEX(Companies!$A:$A,RANDBETWEEN(2,COUNTA(Companies!$A:$A)),1)</f>
        <v>2</v>
      </c>
      <c r="B1256" s="5">
        <f t="shared" si="229"/>
        <v>1255</v>
      </c>
      <c r="C1256" s="6">
        <f t="shared" ca="1" si="230"/>
        <v>1</v>
      </c>
      <c r="D1256" s="7">
        <f ca="1">IF($B1256 = 1 + N("Presidente"),
    127,
    IF($B1256 = 2 + N("Vice-Presidente"),
        72,
        IF($B1256 = 3 + N("Secretária bilíngue"),
            13,
            RANDBETWEEN(5,COUNT(Name!$A:$A) + 1)
        )
    )
)</f>
        <v>167</v>
      </c>
      <c r="E1256" s="7" t="str">
        <f ca="1" xml:space="preserve">
VLOOKUP(
  $D1256,
  Name!$A:$B,
  2,
  FALSE
)
&amp; " " &amp;
IF($B1256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Henrique Barroso Azeredo</v>
      </c>
      <c r="F1256" s="7">
        <v>2</v>
      </c>
      <c r="G1256" s="7" cm="1">
        <f t="array" aca="1" ref="G1256" ca="1">INDEX(States!$B:$B,RANDBETWEEN(2,COUNTA(States!$A:$A)),1)</f>
        <v>18</v>
      </c>
      <c r="H1256" s="7" t="str">
        <f ca="1">VLOOKUP($D1256,Name!$A:$C,3,FALSE)</f>
        <v>M</v>
      </c>
      <c r="I1256" s="7" cm="1">
        <f t="array" aca="1" ref="I1256" ca="1">INDEX('Marital status'!$A:$A,RANDBETWEEN(2,COUNTA('Marital status'!$A:$A)),1)</f>
        <v>6</v>
      </c>
      <c r="J1256" s="7">
        <f t="shared" ca="1" si="231"/>
        <v>2</v>
      </c>
      <c r="K1256" s="8">
        <f t="shared" ca="1" si="232"/>
        <v>31055</v>
      </c>
      <c r="L1256" s="6">
        <f t="shared" ca="1" si="233"/>
        <v>4</v>
      </c>
      <c r="M1256" s="7">
        <f ca="1" xml:space="preserve">
  IF(OR($N1256 = 2, $N1256 = 3, $N1256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256" s="6">
        <f t="shared" ca="1" si="234"/>
        <v>6</v>
      </c>
      <c r="O1256" s="6" t="e">
        <f t="shared" ca="1" si="235"/>
        <v>#N/A</v>
      </c>
      <c r="P1256" s="8">
        <f t="shared" ca="1" si="236"/>
        <v>41033</v>
      </c>
      <c r="Q1256" s="6">
        <f ca="1">RANDBETWEEN(2,COUNTA('Recruitment source'!$A:$A))</f>
        <v>10</v>
      </c>
      <c r="R1256" s="8" t="e">
        <f t="shared" ca="1" si="237"/>
        <v>#N/A</v>
      </c>
      <c r="S1256" s="6" t="e">
        <f t="shared" ca="1" si="238"/>
        <v>#N/A</v>
      </c>
      <c r="T1256" s="6">
        <f t="shared" ca="1" si="228"/>
        <v>3</v>
      </c>
      <c r="U1256" s="1">
        <f t="shared" ca="1" si="239"/>
        <v>805</v>
      </c>
    </row>
    <row r="1257" spans="1:21" x14ac:dyDescent="0.2">
      <c r="A1257" s="7" cm="1">
        <f t="array" aca="1" ref="A1257" ca="1">INDEX(Companies!$A:$A,RANDBETWEEN(2,COUNTA(Companies!$A:$A)),1)</f>
        <v>2</v>
      </c>
      <c r="B1257" s="5">
        <f t="shared" si="229"/>
        <v>1256</v>
      </c>
      <c r="C1257" s="6">
        <f t="shared" ca="1" si="230"/>
        <v>1</v>
      </c>
      <c r="D1257" s="7">
        <f ca="1">IF($B1257 = 1 + N("Presidente"),
    127,
    IF($B1257 = 2 + N("Vice-Presidente"),
        72,
        IF($B1257 = 3 + N("Secretária bilíngue"),
            13,
            RANDBETWEEN(5,COUNT(Name!$A:$A) + 1)
        )
    )
)</f>
        <v>192</v>
      </c>
      <c r="E1257" s="7" t="str">
        <f ca="1" xml:space="preserve">
VLOOKUP(
  $D1257,
  Name!$A:$B,
  2,
  FALSE
)
&amp; " " &amp;
IF($B1257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Pedro Coelho Veiga</v>
      </c>
      <c r="F1257" s="7">
        <v>2</v>
      </c>
      <c r="G1257" s="7" cm="1">
        <f t="array" aca="1" ref="G1257" ca="1">INDEX(States!$B:$B,RANDBETWEEN(2,COUNTA(States!$A:$A)),1)</f>
        <v>5</v>
      </c>
      <c r="H1257" s="7" t="str">
        <f ca="1">VLOOKUP($D1257,Name!$A:$C,3,FALSE)</f>
        <v>M</v>
      </c>
      <c r="I1257" s="7" cm="1">
        <f t="array" aca="1" ref="I1257" ca="1">INDEX('Marital status'!$A:$A,RANDBETWEEN(2,COUNTA('Marital status'!$A:$A)),1)</f>
        <v>3</v>
      </c>
      <c r="J1257" s="7">
        <f t="shared" ca="1" si="231"/>
        <v>2</v>
      </c>
      <c r="K1257" s="8">
        <f t="shared" ca="1" si="232"/>
        <v>35402</v>
      </c>
      <c r="L1257" s="6">
        <f t="shared" ca="1" si="233"/>
        <v>4</v>
      </c>
      <c r="M1257" s="7">
        <f ca="1" xml:space="preserve">
  IF(OR($N1257 = 2, $N1257 = 3, $N1257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257" s="6">
        <f t="shared" ca="1" si="234"/>
        <v>8</v>
      </c>
      <c r="O1257" s="6">
        <f t="shared" ca="1" si="235"/>
        <v>4</v>
      </c>
      <c r="P1257" s="8">
        <f t="shared" ca="1" si="236"/>
        <v>36459</v>
      </c>
      <c r="Q1257" s="6">
        <f ca="1">RANDBETWEEN(2,COUNTA('Recruitment source'!$A:$A))</f>
        <v>4</v>
      </c>
      <c r="R1257" s="8" t="e">
        <f t="shared" ca="1" si="237"/>
        <v>#N/A</v>
      </c>
      <c r="S1257" s="6" t="e">
        <f t="shared" ca="1" si="238"/>
        <v>#N/A</v>
      </c>
      <c r="T1257" s="6">
        <f t="shared" ca="1" si="228"/>
        <v>4</v>
      </c>
      <c r="U1257" s="1">
        <f t="shared" ca="1" si="239"/>
        <v>2000</v>
      </c>
    </row>
    <row r="1258" spans="1:21" x14ac:dyDescent="0.2">
      <c r="A1258" s="7" cm="1">
        <f t="array" aca="1" ref="A1258" ca="1">INDEX(Companies!$A:$A,RANDBETWEEN(2,COUNTA(Companies!$A:$A)),1)</f>
        <v>2</v>
      </c>
      <c r="B1258" s="5">
        <f t="shared" si="229"/>
        <v>1257</v>
      </c>
      <c r="C1258" s="6">
        <f t="shared" ca="1" si="230"/>
        <v>1</v>
      </c>
      <c r="D1258" s="7">
        <f ca="1">IF($B1258 = 1 + N("Presidente"),
    127,
    IF($B1258 = 2 + N("Vice-Presidente"),
        72,
        IF($B1258 = 3 + N("Secretária bilíngue"),
            13,
            RANDBETWEEN(5,COUNT(Name!$A:$A) + 1)
        )
    )
)</f>
        <v>185</v>
      </c>
      <c r="E1258" s="7" t="str">
        <f ca="1" xml:space="preserve">
VLOOKUP(
  $D1258,
  Name!$A:$B,
  2,
  FALSE
)
&amp; " " &amp;
IF($B1258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Anjos Andrioli</v>
      </c>
      <c r="F1258" s="7">
        <v>2</v>
      </c>
      <c r="G1258" s="7" cm="1">
        <f t="array" aca="1" ref="G1258" ca="1">INDEX(States!$B:$B,RANDBETWEEN(2,COUNTA(States!$A:$A)),1)</f>
        <v>5</v>
      </c>
      <c r="H1258" s="7" t="str">
        <f ca="1">VLOOKUP($D1258,Name!$A:$C,3,FALSE)</f>
        <v>M</v>
      </c>
      <c r="I1258" s="7" cm="1">
        <f t="array" aca="1" ref="I1258" ca="1">INDEX('Marital status'!$A:$A,RANDBETWEEN(2,COUNTA('Marital status'!$A:$A)),1)</f>
        <v>6</v>
      </c>
      <c r="J1258" s="7">
        <f t="shared" ca="1" si="231"/>
        <v>2</v>
      </c>
      <c r="K1258" s="8">
        <f t="shared" ca="1" si="232"/>
        <v>29238</v>
      </c>
      <c r="L1258" s="6">
        <f t="shared" ca="1" si="233"/>
        <v>4</v>
      </c>
      <c r="M1258" s="7">
        <f ca="1" xml:space="preserve">
  IF(OR($N1258 = 2, $N1258 = 3, $N1258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258" s="6">
        <f t="shared" ca="1" si="234"/>
        <v>7</v>
      </c>
      <c r="O1258" s="6" t="e">
        <f t="shared" ca="1" si="235"/>
        <v>#N/A</v>
      </c>
      <c r="P1258" s="8">
        <f t="shared" ca="1" si="236"/>
        <v>42657</v>
      </c>
      <c r="Q1258" s="6">
        <f ca="1">RANDBETWEEN(2,COUNTA('Recruitment source'!$A:$A))</f>
        <v>10</v>
      </c>
      <c r="R1258" s="8" t="e">
        <f t="shared" ca="1" si="237"/>
        <v>#N/A</v>
      </c>
      <c r="S1258" s="6" t="e">
        <f t="shared" ca="1" si="238"/>
        <v>#N/A</v>
      </c>
      <c r="T1258" s="6">
        <f t="shared" ca="1" si="228"/>
        <v>3</v>
      </c>
      <c r="U1258" s="1">
        <f t="shared" ca="1" si="239"/>
        <v>1005</v>
      </c>
    </row>
    <row r="1259" spans="1:21" x14ac:dyDescent="0.2">
      <c r="A1259" s="7" cm="1">
        <f t="array" aca="1" ref="A1259" ca="1">INDEX(Companies!$A:$A,RANDBETWEEN(2,COUNTA(Companies!$A:$A)),1)</f>
        <v>2</v>
      </c>
      <c r="B1259" s="5">
        <f t="shared" si="229"/>
        <v>1258</v>
      </c>
      <c r="C1259" s="6">
        <f t="shared" ca="1" si="230"/>
        <v>1</v>
      </c>
      <c r="D1259" s="7">
        <f ca="1">IF($B1259 = 1 + N("Presidente"),
    127,
    IF($B1259 = 2 + N("Vice-Presidente"),
        72,
        IF($B1259 = 3 + N("Secretária bilíngue"),
            13,
            RANDBETWEEN(5,COUNT(Name!$A:$A) + 1)
        )
    )
)</f>
        <v>356</v>
      </c>
      <c r="E1259" s="7" t="str">
        <f ca="1" xml:space="preserve">
VLOOKUP(
  $D1259,
  Name!$A:$B,
  2,
  FALSE
)
&amp; " " &amp;
IF($B1259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Victória Veiga Pimentel</v>
      </c>
      <c r="F1259" s="7">
        <v>2</v>
      </c>
      <c r="G1259" s="7" cm="1">
        <f t="array" aca="1" ref="G1259" ca="1">INDEX(States!$B:$B,RANDBETWEEN(2,COUNTA(States!$A:$A)),1)</f>
        <v>17</v>
      </c>
      <c r="H1259" s="7" t="str">
        <f ca="1">VLOOKUP($D1259,Name!$A:$C,3,FALSE)</f>
        <v>F</v>
      </c>
      <c r="I1259" s="7" cm="1">
        <f t="array" aca="1" ref="I1259" ca="1">INDEX('Marital status'!$A:$A,RANDBETWEEN(2,COUNTA('Marital status'!$A:$A)),1)</f>
        <v>2</v>
      </c>
      <c r="J1259" s="7">
        <f t="shared" ca="1" si="231"/>
        <v>2</v>
      </c>
      <c r="K1259" s="8">
        <f t="shared" ca="1" si="232"/>
        <v>34893</v>
      </c>
      <c r="L1259" s="6">
        <f t="shared" ca="1" si="233"/>
        <v>4</v>
      </c>
      <c r="M1259" s="7">
        <f ca="1" xml:space="preserve">
  IF(OR($N1259 = 2, $N1259 = 3, $N1259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259" s="6">
        <f t="shared" ca="1" si="234"/>
        <v>8</v>
      </c>
      <c r="O1259" s="6">
        <f t="shared" ca="1" si="235"/>
        <v>2</v>
      </c>
      <c r="P1259" s="8">
        <f t="shared" ca="1" si="236"/>
        <v>42738</v>
      </c>
      <c r="Q1259" s="6">
        <f ca="1">RANDBETWEEN(2,COUNTA('Recruitment source'!$A:$A))</f>
        <v>2</v>
      </c>
      <c r="R1259" s="8" t="e">
        <f t="shared" ca="1" si="237"/>
        <v>#N/A</v>
      </c>
      <c r="S1259" s="6" t="e">
        <f t="shared" ca="1" si="238"/>
        <v>#N/A</v>
      </c>
      <c r="T1259" s="6">
        <f t="shared" ca="1" si="228"/>
        <v>2</v>
      </c>
      <c r="U1259" s="1">
        <f t="shared" ca="1" si="239"/>
        <v>2000</v>
      </c>
    </row>
    <row r="1260" spans="1:21" x14ac:dyDescent="0.2">
      <c r="A1260" s="7" cm="1">
        <f t="array" aca="1" ref="A1260" ca="1">INDEX(Companies!$A:$A,RANDBETWEEN(2,COUNTA(Companies!$A:$A)),1)</f>
        <v>2</v>
      </c>
      <c r="B1260" s="5">
        <f t="shared" si="229"/>
        <v>1259</v>
      </c>
      <c r="C1260" s="6">
        <f t="shared" ca="1" si="230"/>
        <v>1</v>
      </c>
      <c r="D1260" s="7">
        <f ca="1">IF($B1260 = 1 + N("Presidente"),
    127,
    IF($B1260 = 2 + N("Vice-Presidente"),
        72,
        IF($B1260 = 3 + N("Secretária bilíngue"),
            13,
            RANDBETWEEN(5,COUNT(Name!$A:$A) + 1)
        )
    )
)</f>
        <v>281</v>
      </c>
      <c r="E1260" s="7" t="str">
        <f ca="1" xml:space="preserve">
VLOOKUP(
  $D1260,
  Name!$A:$B,
  2,
  FALSE
)
&amp; " " &amp;
IF($B1260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Marina Tavarez Andrade</v>
      </c>
      <c r="F1260" s="7">
        <v>2</v>
      </c>
      <c r="G1260" s="7" cm="1">
        <f t="array" aca="1" ref="G1260" ca="1">INDEX(States!$B:$B,RANDBETWEEN(2,COUNTA(States!$A:$A)),1)</f>
        <v>11</v>
      </c>
      <c r="H1260" s="7" t="str">
        <f ca="1">VLOOKUP($D1260,Name!$A:$C,3,FALSE)</f>
        <v>F</v>
      </c>
      <c r="I1260" s="7" cm="1">
        <f t="array" aca="1" ref="I1260" ca="1">INDEX('Marital status'!$A:$A,RANDBETWEEN(2,COUNTA('Marital status'!$A:$A)),1)</f>
        <v>2</v>
      </c>
      <c r="J1260" s="7">
        <f t="shared" ca="1" si="231"/>
        <v>3</v>
      </c>
      <c r="K1260" s="8">
        <f t="shared" ca="1" si="232"/>
        <v>32661</v>
      </c>
      <c r="L1260" s="6">
        <f t="shared" ca="1" si="233"/>
        <v>4</v>
      </c>
      <c r="M1260" s="7">
        <f ca="1" xml:space="preserve">
  IF(OR($N1260 = 2, $N1260 = 3, $N1260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260" s="6">
        <f t="shared" ca="1" si="234"/>
        <v>7</v>
      </c>
      <c r="O1260" s="6" t="e">
        <f t="shared" ca="1" si="235"/>
        <v>#N/A</v>
      </c>
      <c r="P1260" s="8">
        <f t="shared" ca="1" si="236"/>
        <v>37498</v>
      </c>
      <c r="Q1260" s="6">
        <f ca="1">RANDBETWEEN(2,COUNTA('Recruitment source'!$A:$A))</f>
        <v>12</v>
      </c>
      <c r="R1260" s="8" t="e">
        <f t="shared" ca="1" si="237"/>
        <v>#N/A</v>
      </c>
      <c r="S1260" s="6" t="e">
        <f t="shared" ca="1" si="238"/>
        <v>#N/A</v>
      </c>
      <c r="T1260" s="6">
        <f t="shared" ca="1" si="228"/>
        <v>3</v>
      </c>
      <c r="U1260" s="1">
        <f t="shared" ca="1" si="239"/>
        <v>1005</v>
      </c>
    </row>
    <row r="1261" spans="1:21" x14ac:dyDescent="0.2">
      <c r="A1261" s="7" cm="1">
        <f t="array" aca="1" ref="A1261" ca="1">INDEX(Companies!$A:$A,RANDBETWEEN(2,COUNTA(Companies!$A:$A)),1)</f>
        <v>2</v>
      </c>
      <c r="B1261" s="5">
        <f t="shared" si="229"/>
        <v>1260</v>
      </c>
      <c r="C1261" s="6">
        <f t="shared" ca="1" si="230"/>
        <v>1</v>
      </c>
      <c r="D1261" s="7">
        <f ca="1">IF($B1261 = 1 + N("Presidente"),
    127,
    IF($B1261 = 2 + N("Vice-Presidente"),
        72,
        IF($B1261 = 3 + N("Secretária bilíngue"),
            13,
            RANDBETWEEN(5,COUNT(Name!$A:$A) + 1)
        )
    )
)</f>
        <v>69</v>
      </c>
      <c r="E1261" s="7" t="str">
        <f ca="1" xml:space="preserve">
VLOOKUP(
  $D1261,
  Name!$A:$B,
  2,
  FALSE
)
&amp; " " &amp;
IF($B1261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Benjamin Furtado Moreira</v>
      </c>
      <c r="F1261" s="7">
        <v>2</v>
      </c>
      <c r="G1261" s="7" cm="1">
        <f t="array" aca="1" ref="G1261" ca="1">INDEX(States!$B:$B,RANDBETWEEN(2,COUNTA(States!$A:$A)),1)</f>
        <v>8</v>
      </c>
      <c r="H1261" s="7" t="str">
        <f ca="1">VLOOKUP($D1261,Name!$A:$C,3,FALSE)</f>
        <v>M</v>
      </c>
      <c r="I1261" s="7" cm="1">
        <f t="array" aca="1" ref="I1261" ca="1">INDEX('Marital status'!$A:$A,RANDBETWEEN(2,COUNTA('Marital status'!$A:$A)),1)</f>
        <v>2</v>
      </c>
      <c r="J1261" s="7">
        <f t="shared" ca="1" si="231"/>
        <v>2</v>
      </c>
      <c r="K1261" s="8">
        <f t="shared" ca="1" si="232"/>
        <v>32562</v>
      </c>
      <c r="L1261" s="6">
        <f t="shared" ca="1" si="233"/>
        <v>5</v>
      </c>
      <c r="M1261" s="7">
        <f ca="1" xml:space="preserve">
  IF(OR($N1261 = 2, $N1261 = 3, $N1261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261" s="6">
        <f t="shared" ca="1" si="234"/>
        <v>8</v>
      </c>
      <c r="O1261" s="6">
        <f t="shared" ca="1" si="235"/>
        <v>3</v>
      </c>
      <c r="P1261" s="8">
        <f t="shared" ca="1" si="236"/>
        <v>37693</v>
      </c>
      <c r="Q1261" s="6">
        <f ca="1">RANDBETWEEN(2,COUNTA('Recruitment source'!$A:$A))</f>
        <v>10</v>
      </c>
      <c r="R1261" s="8" t="e">
        <f t="shared" ca="1" si="237"/>
        <v>#N/A</v>
      </c>
      <c r="S1261" s="6" t="e">
        <f t="shared" ca="1" si="238"/>
        <v>#N/A</v>
      </c>
      <c r="T1261" s="6">
        <f t="shared" ca="1" si="228"/>
        <v>2</v>
      </c>
      <c r="U1261" s="1">
        <f t="shared" ca="1" si="239"/>
        <v>2100</v>
      </c>
    </row>
    <row r="1262" spans="1:21" x14ac:dyDescent="0.2">
      <c r="A1262" s="7" cm="1">
        <f t="array" aca="1" ref="A1262" ca="1">INDEX(Companies!$A:$A,RANDBETWEEN(2,COUNTA(Companies!$A:$A)),1)</f>
        <v>2</v>
      </c>
      <c r="B1262" s="5">
        <f t="shared" si="229"/>
        <v>1261</v>
      </c>
      <c r="C1262" s="6">
        <f t="shared" ca="1" si="230"/>
        <v>1</v>
      </c>
      <c r="D1262" s="7">
        <f ca="1">IF($B1262 = 1 + N("Presidente"),
    127,
    IF($B1262 = 2 + N("Vice-Presidente"),
        72,
        IF($B1262 = 3 + N("Secretária bilíngue"),
            13,
            RANDBETWEEN(5,COUNT(Name!$A:$A) + 1)
        )
    )
)</f>
        <v>8</v>
      </c>
      <c r="E1262" s="7" t="str">
        <f ca="1" xml:space="preserve">
VLOOKUP(
  $D1262,
  Name!$A:$B,
  2,
  FALSE
)
&amp; " " &amp;
IF($B1262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Adélia Castro Siqueira</v>
      </c>
      <c r="F1262" s="7">
        <v>2</v>
      </c>
      <c r="G1262" s="7" cm="1">
        <f t="array" aca="1" ref="G1262" ca="1">INDEX(States!$B:$B,RANDBETWEEN(2,COUNTA(States!$A:$A)),1)</f>
        <v>20</v>
      </c>
      <c r="H1262" s="7" t="str">
        <f ca="1">VLOOKUP($D1262,Name!$A:$C,3,FALSE)</f>
        <v>F</v>
      </c>
      <c r="I1262" s="7" cm="1">
        <f t="array" aca="1" ref="I1262" ca="1">INDEX('Marital status'!$A:$A,RANDBETWEEN(2,COUNTA('Marital status'!$A:$A)),1)</f>
        <v>6</v>
      </c>
      <c r="J1262" s="7">
        <f t="shared" ca="1" si="231"/>
        <v>2</v>
      </c>
      <c r="K1262" s="8">
        <f t="shared" ca="1" si="232"/>
        <v>21040</v>
      </c>
      <c r="L1262" s="6">
        <f t="shared" ca="1" si="233"/>
        <v>4</v>
      </c>
      <c r="M1262" s="7">
        <f ca="1" xml:space="preserve">
  IF(OR($N1262 = 2, $N1262 = 3, $N1262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262" s="6">
        <f t="shared" ca="1" si="234"/>
        <v>6</v>
      </c>
      <c r="O1262" s="6" t="e">
        <f t="shared" ca="1" si="235"/>
        <v>#N/A</v>
      </c>
      <c r="P1262" s="8">
        <f t="shared" ca="1" si="236"/>
        <v>41870</v>
      </c>
      <c r="Q1262" s="6">
        <f ca="1">RANDBETWEEN(2,COUNTA('Recruitment source'!$A:$A))</f>
        <v>12</v>
      </c>
      <c r="R1262" s="8" t="e">
        <f t="shared" ca="1" si="237"/>
        <v>#N/A</v>
      </c>
      <c r="S1262" s="6" t="e">
        <f t="shared" ca="1" si="238"/>
        <v>#N/A</v>
      </c>
      <c r="T1262" s="6">
        <f t="shared" ca="1" si="228"/>
        <v>4</v>
      </c>
      <c r="U1262" s="1">
        <f t="shared" ca="1" si="239"/>
        <v>885</v>
      </c>
    </row>
    <row r="1263" spans="1:21" x14ac:dyDescent="0.2">
      <c r="A1263" s="7" cm="1">
        <f t="array" aca="1" ref="A1263" ca="1">INDEX(Companies!$A:$A,RANDBETWEEN(2,COUNTA(Companies!$A:$A)),1)</f>
        <v>2</v>
      </c>
      <c r="B1263" s="5">
        <f t="shared" si="229"/>
        <v>1262</v>
      </c>
      <c r="C1263" s="6">
        <f t="shared" ca="1" si="230"/>
        <v>1</v>
      </c>
      <c r="D1263" s="7">
        <f ca="1">IF($B1263 = 1 + N("Presidente"),
    127,
    IF($B1263 = 2 + N("Vice-Presidente"),
        72,
        IF($B1263 = 3 + N("Secretária bilíngue"),
            13,
            RANDBETWEEN(5,COUNT(Name!$A:$A) + 1)
        )
    )
)</f>
        <v>145</v>
      </c>
      <c r="E1263" s="7" t="str">
        <f ca="1" xml:space="preserve">
VLOOKUP(
  $D1263,
  Name!$A:$B,
  2,
  FALSE
)
&amp; " " &amp;
IF($B1263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Francisca Pinto Soares</v>
      </c>
      <c r="F1263" s="7">
        <v>2</v>
      </c>
      <c r="G1263" s="7" cm="1">
        <f t="array" aca="1" ref="G1263" ca="1">INDEX(States!$B:$B,RANDBETWEEN(2,COUNTA(States!$A:$A)),1)</f>
        <v>17</v>
      </c>
      <c r="H1263" s="7" t="str">
        <f ca="1">VLOOKUP($D1263,Name!$A:$C,3,FALSE)</f>
        <v>F</v>
      </c>
      <c r="I1263" s="7" cm="1">
        <f t="array" aca="1" ref="I1263" ca="1">INDEX('Marital status'!$A:$A,RANDBETWEEN(2,COUNTA('Marital status'!$A:$A)),1)</f>
        <v>3</v>
      </c>
      <c r="J1263" s="7">
        <f t="shared" ca="1" si="231"/>
        <v>2</v>
      </c>
      <c r="K1263" s="8">
        <f t="shared" ca="1" si="232"/>
        <v>33403</v>
      </c>
      <c r="L1263" s="6">
        <f t="shared" ca="1" si="233"/>
        <v>5</v>
      </c>
      <c r="M1263" s="7">
        <f ca="1" xml:space="preserve">
  IF(OR($N1263 = 2, $N1263 = 3, $N1263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263" s="6">
        <f t="shared" ca="1" si="234"/>
        <v>8</v>
      </c>
      <c r="O1263" s="6">
        <f t="shared" ca="1" si="235"/>
        <v>2</v>
      </c>
      <c r="P1263" s="8">
        <f t="shared" ca="1" si="236"/>
        <v>44591</v>
      </c>
      <c r="Q1263" s="6">
        <f ca="1">RANDBETWEEN(2,COUNTA('Recruitment source'!$A:$A))</f>
        <v>5</v>
      </c>
      <c r="R1263" s="8" t="e">
        <f t="shared" ca="1" si="237"/>
        <v>#N/A</v>
      </c>
      <c r="S1263" s="6" t="e">
        <f t="shared" ca="1" si="238"/>
        <v>#N/A</v>
      </c>
      <c r="T1263" s="6">
        <f t="shared" ca="1" si="228"/>
        <v>5</v>
      </c>
      <c r="U1263" s="1">
        <f t="shared" ca="1" si="239"/>
        <v>2000</v>
      </c>
    </row>
    <row r="1264" spans="1:21" x14ac:dyDescent="0.2">
      <c r="A1264" s="7" cm="1">
        <f t="array" aca="1" ref="A1264" ca="1">INDEX(Companies!$A:$A,RANDBETWEEN(2,COUNTA(Companies!$A:$A)),1)</f>
        <v>2</v>
      </c>
      <c r="B1264" s="5">
        <f t="shared" si="229"/>
        <v>1263</v>
      </c>
      <c r="C1264" s="6">
        <f t="shared" ca="1" si="230"/>
        <v>1</v>
      </c>
      <c r="D1264" s="7">
        <f ca="1">IF($B1264 = 1 + N("Presidente"),
    127,
    IF($B1264 = 2 + N("Vice-Presidente"),
        72,
        IF($B1264 = 3 + N("Secretária bilíngue"),
            13,
            RANDBETWEEN(5,COUNT(Name!$A:$A) + 1)
        )
    )
)</f>
        <v>49</v>
      </c>
      <c r="E1264" s="7" t="str">
        <f ca="1" xml:space="preserve">
VLOOKUP(
  $D1264,
  Name!$A:$B,
  2,
  FALSE
)
&amp; " " &amp;
IF($B1264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Anthony Gabriel Pedrosa Pimentel</v>
      </c>
      <c r="F1264" s="7">
        <v>2</v>
      </c>
      <c r="G1264" s="7" cm="1">
        <f t="array" aca="1" ref="G1264" ca="1">INDEX(States!$B:$B,RANDBETWEEN(2,COUNTA(States!$A:$A)),1)</f>
        <v>9</v>
      </c>
      <c r="H1264" s="7" t="str">
        <f ca="1">VLOOKUP($D1264,Name!$A:$C,3,FALSE)</f>
        <v>M</v>
      </c>
      <c r="I1264" s="7" cm="1">
        <f t="array" aca="1" ref="I1264" ca="1">INDEX('Marital status'!$A:$A,RANDBETWEEN(2,COUNTA('Marital status'!$A:$A)),1)</f>
        <v>2</v>
      </c>
      <c r="J1264" s="7">
        <f t="shared" ca="1" si="231"/>
        <v>2</v>
      </c>
      <c r="K1264" s="8">
        <f t="shared" ca="1" si="232"/>
        <v>33562</v>
      </c>
      <c r="L1264" s="6">
        <f t="shared" ca="1" si="233"/>
        <v>4</v>
      </c>
      <c r="M1264" s="7">
        <f ca="1" xml:space="preserve">
  IF(OR($N1264 = 2, $N1264 = 3, $N1264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264" s="6">
        <f t="shared" ca="1" si="234"/>
        <v>6</v>
      </c>
      <c r="O1264" s="6" t="e">
        <f t="shared" ca="1" si="235"/>
        <v>#N/A</v>
      </c>
      <c r="P1264" s="8">
        <f t="shared" ca="1" si="236"/>
        <v>43096</v>
      </c>
      <c r="Q1264" s="6">
        <f ca="1">RANDBETWEEN(2,COUNTA('Recruitment source'!$A:$A))</f>
        <v>3</v>
      </c>
      <c r="R1264" s="8" t="e">
        <f t="shared" ca="1" si="237"/>
        <v>#N/A</v>
      </c>
      <c r="S1264" s="6" t="e">
        <f t="shared" ca="1" si="238"/>
        <v>#N/A</v>
      </c>
      <c r="T1264" s="6">
        <f t="shared" ca="1" si="228"/>
        <v>4</v>
      </c>
      <c r="U1264" s="1">
        <f t="shared" ca="1" si="239"/>
        <v>885</v>
      </c>
    </row>
    <row r="1265" spans="1:21" x14ac:dyDescent="0.2">
      <c r="A1265" s="7" cm="1">
        <f t="array" aca="1" ref="A1265" ca="1">INDEX(Companies!$A:$A,RANDBETWEEN(2,COUNTA(Companies!$A:$A)),1)</f>
        <v>2</v>
      </c>
      <c r="B1265" s="5">
        <f t="shared" si="229"/>
        <v>1264</v>
      </c>
      <c r="C1265" s="6">
        <f t="shared" ca="1" si="230"/>
        <v>1</v>
      </c>
      <c r="D1265" s="7">
        <f ca="1">IF($B1265 = 1 + N("Presidente"),
    127,
    IF($B1265 = 2 + N("Vice-Presidente"),
        72,
        IF($B1265 = 3 + N("Secretária bilíngue"),
            13,
            RANDBETWEEN(5,COUNT(Name!$A:$A) + 1)
        )
    )
)</f>
        <v>47</v>
      </c>
      <c r="E1265" s="7" t="str">
        <f ca="1" xml:space="preserve">
VLOOKUP(
  $D1265,
  Name!$A:$B,
  2,
  FALSE
)
&amp; " " &amp;
IF($B1265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Anne Caroline Botelho Ferrari</v>
      </c>
      <c r="F1265" s="7">
        <v>2</v>
      </c>
      <c r="G1265" s="7" cm="1">
        <f t="array" aca="1" ref="G1265" ca="1">INDEX(States!$B:$B,RANDBETWEEN(2,COUNTA(States!$A:$A)),1)</f>
        <v>9</v>
      </c>
      <c r="H1265" s="7" t="str">
        <f ca="1">VLOOKUP($D1265,Name!$A:$C,3,FALSE)</f>
        <v>F</v>
      </c>
      <c r="I1265" s="7" cm="1">
        <f t="array" aca="1" ref="I1265" ca="1">INDEX('Marital status'!$A:$A,RANDBETWEEN(2,COUNTA('Marital status'!$A:$A)),1)</f>
        <v>5</v>
      </c>
      <c r="J1265" s="7">
        <f t="shared" ca="1" si="231"/>
        <v>4</v>
      </c>
      <c r="K1265" s="8">
        <f t="shared" ca="1" si="232"/>
        <v>32536</v>
      </c>
      <c r="L1265" s="6">
        <f t="shared" ca="1" si="233"/>
        <v>5</v>
      </c>
      <c r="M1265" s="7">
        <f ca="1" xml:space="preserve">
  IF(OR($N1265 = 2, $N1265 = 3, $N1265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265" s="6">
        <f t="shared" ca="1" si="234"/>
        <v>8</v>
      </c>
      <c r="O1265" s="6">
        <f t="shared" ca="1" si="235"/>
        <v>4</v>
      </c>
      <c r="P1265" s="8">
        <f t="shared" ca="1" si="236"/>
        <v>38260</v>
      </c>
      <c r="Q1265" s="6">
        <f ca="1">RANDBETWEEN(2,COUNTA('Recruitment source'!$A:$A))</f>
        <v>7</v>
      </c>
      <c r="R1265" s="8" t="e">
        <f t="shared" ca="1" si="237"/>
        <v>#N/A</v>
      </c>
      <c r="S1265" s="6" t="e">
        <f t="shared" ca="1" si="238"/>
        <v>#N/A</v>
      </c>
      <c r="T1265" s="6">
        <f t="shared" ca="1" si="228"/>
        <v>3</v>
      </c>
      <c r="U1265" s="1">
        <f t="shared" ca="1" si="239"/>
        <v>2000</v>
      </c>
    </row>
    <row r="1266" spans="1:21" x14ac:dyDescent="0.2">
      <c r="A1266" s="7" cm="1">
        <f t="array" aca="1" ref="A1266" ca="1">INDEX(Companies!$A:$A,RANDBETWEEN(2,COUNTA(Companies!$A:$A)),1)</f>
        <v>2</v>
      </c>
      <c r="B1266" s="5">
        <f t="shared" si="229"/>
        <v>1265</v>
      </c>
      <c r="C1266" s="6">
        <f t="shared" ca="1" si="230"/>
        <v>1</v>
      </c>
      <c r="D1266" s="7">
        <f ca="1">IF($B1266 = 1 + N("Presidente"),
    127,
    IF($B1266 = 2 + N("Vice-Presidente"),
        72,
        IF($B1266 = 3 + N("Secretária bilíngue"),
            13,
            RANDBETWEEN(5,COUNT(Name!$A:$A) + 1)
        )
    )
)</f>
        <v>320</v>
      </c>
      <c r="E1266" s="7" t="str">
        <f ca="1" xml:space="preserve">
VLOOKUP(
  $D1266,
  Name!$A:$B,
  2,
  FALSE
)
&amp; " " &amp;
IF($B1266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Péricles Sacramento Bianchi</v>
      </c>
      <c r="F1266" s="7">
        <v>2</v>
      </c>
      <c r="G1266" s="7" cm="1">
        <f t="array" aca="1" ref="G1266" ca="1">INDEX(States!$B:$B,RANDBETWEEN(2,COUNTA(States!$A:$A)),1)</f>
        <v>19</v>
      </c>
      <c r="H1266" s="7" t="str">
        <f ca="1">VLOOKUP($D1266,Name!$A:$C,3,FALSE)</f>
        <v>M</v>
      </c>
      <c r="I1266" s="7" cm="1">
        <f t="array" aca="1" ref="I1266" ca="1">INDEX('Marital status'!$A:$A,RANDBETWEEN(2,COUNTA('Marital status'!$A:$A)),1)</f>
        <v>5</v>
      </c>
      <c r="J1266" s="7">
        <f t="shared" ca="1" si="231"/>
        <v>2</v>
      </c>
      <c r="K1266" s="8">
        <f t="shared" ca="1" si="232"/>
        <v>26808</v>
      </c>
      <c r="L1266" s="6">
        <f t="shared" ca="1" si="233"/>
        <v>4</v>
      </c>
      <c r="M1266" s="7">
        <f ca="1" xml:space="preserve">
  IF(OR($N1266 = 2, $N1266 = 3, $N1266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266" s="6">
        <f t="shared" ca="1" si="234"/>
        <v>6</v>
      </c>
      <c r="O1266" s="6" t="e">
        <f t="shared" ca="1" si="235"/>
        <v>#N/A</v>
      </c>
      <c r="P1266" s="8">
        <f t="shared" ca="1" si="236"/>
        <v>39939</v>
      </c>
      <c r="Q1266" s="6">
        <f ca="1">RANDBETWEEN(2,COUNTA('Recruitment source'!$A:$A))</f>
        <v>9</v>
      </c>
      <c r="R1266" s="8" t="e">
        <f t="shared" ca="1" si="237"/>
        <v>#N/A</v>
      </c>
      <c r="S1266" s="6" t="e">
        <f t="shared" ca="1" si="238"/>
        <v>#N/A</v>
      </c>
      <c r="T1266" s="6">
        <f t="shared" ca="1" si="228"/>
        <v>4</v>
      </c>
      <c r="U1266" s="1">
        <f t="shared" ca="1" si="239"/>
        <v>805</v>
      </c>
    </row>
    <row r="1267" spans="1:21" x14ac:dyDescent="0.2">
      <c r="A1267" s="7" cm="1">
        <f t="array" aca="1" ref="A1267" ca="1">INDEX(Companies!$A:$A,RANDBETWEEN(2,COUNTA(Companies!$A:$A)),1)</f>
        <v>2</v>
      </c>
      <c r="B1267" s="5">
        <f t="shared" si="229"/>
        <v>1266</v>
      </c>
      <c r="C1267" s="6">
        <f t="shared" ca="1" si="230"/>
        <v>1</v>
      </c>
      <c r="D1267" s="7">
        <f ca="1">IF($B1267 = 1 + N("Presidente"),
    127,
    IF($B1267 = 2 + N("Vice-Presidente"),
        72,
        IF($B1267 = 3 + N("Secretária bilíngue"),
            13,
            RANDBETWEEN(5,COUNT(Name!$A:$A) + 1)
        )
    )
)</f>
        <v>247</v>
      </c>
      <c r="E1267" s="7" t="str">
        <f ca="1" xml:space="preserve">
VLOOKUP(
  $D1267,
  Name!$A:$B,
  2,
  FALSE
)
&amp; " " &amp;
IF($B1267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Otávio Ildelfonso Esteves</v>
      </c>
      <c r="F1267" s="7">
        <v>2</v>
      </c>
      <c r="G1267" s="7" cm="1">
        <f t="array" aca="1" ref="G1267" ca="1">INDEX(States!$B:$B,RANDBETWEEN(2,COUNTA(States!$A:$A)),1)</f>
        <v>17</v>
      </c>
      <c r="H1267" s="7" t="str">
        <f ca="1">VLOOKUP($D1267,Name!$A:$C,3,FALSE)</f>
        <v>M</v>
      </c>
      <c r="I1267" s="7" cm="1">
        <f t="array" aca="1" ref="I1267" ca="1">INDEX('Marital status'!$A:$A,RANDBETWEEN(2,COUNTA('Marital status'!$A:$A)),1)</f>
        <v>6</v>
      </c>
      <c r="J1267" s="7">
        <f t="shared" ca="1" si="231"/>
        <v>3</v>
      </c>
      <c r="K1267" s="8">
        <f t="shared" ca="1" si="232"/>
        <v>34236</v>
      </c>
      <c r="L1267" s="6">
        <f t="shared" ca="1" si="233"/>
        <v>5</v>
      </c>
      <c r="M1267" s="7">
        <f ca="1" xml:space="preserve">
  IF(OR($N1267 = 2, $N1267 = 3, $N1267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267" s="6">
        <f t="shared" ca="1" si="234"/>
        <v>8</v>
      </c>
      <c r="O1267" s="6">
        <f t="shared" ca="1" si="235"/>
        <v>2</v>
      </c>
      <c r="P1267" s="8">
        <f t="shared" ca="1" si="236"/>
        <v>40682</v>
      </c>
      <c r="Q1267" s="6">
        <f ca="1">RANDBETWEEN(2,COUNTA('Recruitment source'!$A:$A))</f>
        <v>7</v>
      </c>
      <c r="R1267" s="8" t="e">
        <f t="shared" ca="1" si="237"/>
        <v>#N/A</v>
      </c>
      <c r="S1267" s="6" t="e">
        <f t="shared" ca="1" si="238"/>
        <v>#N/A</v>
      </c>
      <c r="T1267" s="6">
        <f t="shared" ca="1" si="228"/>
        <v>4</v>
      </c>
      <c r="U1267" s="1">
        <f t="shared" ca="1" si="239"/>
        <v>2000</v>
      </c>
    </row>
    <row r="1268" spans="1:21" x14ac:dyDescent="0.2">
      <c r="A1268" s="7" cm="1">
        <f t="array" aca="1" ref="A1268" ca="1">INDEX(Companies!$A:$A,RANDBETWEEN(2,COUNTA(Companies!$A:$A)),1)</f>
        <v>2</v>
      </c>
      <c r="B1268" s="5">
        <f t="shared" si="229"/>
        <v>1267</v>
      </c>
      <c r="C1268" s="6">
        <f t="shared" ca="1" si="230"/>
        <v>1</v>
      </c>
      <c r="D1268" s="7">
        <f ca="1">IF($B1268 = 1 + N("Presidente"),
    127,
    IF($B1268 = 2 + N("Vice-Presidente"),
        72,
        IF($B1268 = 3 + N("Secretária bilíngue"),
            13,
            RANDBETWEEN(5,COUNT(Name!$A:$A) + 1)
        )
    )
)</f>
        <v>180</v>
      </c>
      <c r="E1268" s="7" t="str">
        <f ca="1" xml:space="preserve">
VLOOKUP(
  $D1268,
  Name!$A:$B,
  2,
  FALSE
)
&amp; " " &amp;
IF($B1268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Isis Noronha Andrade</v>
      </c>
      <c r="F1268" s="7">
        <v>2</v>
      </c>
      <c r="G1268" s="7" cm="1">
        <f t="array" aca="1" ref="G1268" ca="1">INDEX(States!$B:$B,RANDBETWEEN(2,COUNTA(States!$A:$A)),1)</f>
        <v>18</v>
      </c>
      <c r="H1268" s="7" t="str">
        <f ca="1">VLOOKUP($D1268,Name!$A:$C,3,FALSE)</f>
        <v>F</v>
      </c>
      <c r="I1268" s="7" cm="1">
        <f t="array" aca="1" ref="I1268" ca="1">INDEX('Marital status'!$A:$A,RANDBETWEEN(2,COUNTA('Marital status'!$A:$A)),1)</f>
        <v>3</v>
      </c>
      <c r="J1268" s="7">
        <f t="shared" ca="1" si="231"/>
        <v>2</v>
      </c>
      <c r="K1268" s="8">
        <f t="shared" ca="1" si="232"/>
        <v>31424</v>
      </c>
      <c r="L1268" s="6">
        <f t="shared" ca="1" si="233"/>
        <v>4</v>
      </c>
      <c r="M1268" s="7">
        <f ca="1" xml:space="preserve">
  IF(OR($N1268 = 2, $N1268 = 3, $N1268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268" s="6">
        <f t="shared" ca="1" si="234"/>
        <v>7</v>
      </c>
      <c r="O1268" s="6" t="e">
        <f t="shared" ca="1" si="235"/>
        <v>#N/A</v>
      </c>
      <c r="P1268" s="8">
        <f t="shared" ca="1" si="236"/>
        <v>37711</v>
      </c>
      <c r="Q1268" s="6">
        <f ca="1">RANDBETWEEN(2,COUNTA('Recruitment source'!$A:$A))</f>
        <v>11</v>
      </c>
      <c r="R1268" s="8" t="e">
        <f t="shared" ca="1" si="237"/>
        <v>#N/A</v>
      </c>
      <c r="S1268" s="6" t="e">
        <f t="shared" ca="1" si="238"/>
        <v>#N/A</v>
      </c>
      <c r="T1268" s="6">
        <f t="shared" ca="1" si="228"/>
        <v>5</v>
      </c>
      <c r="U1268" s="1">
        <f t="shared" ca="1" si="239"/>
        <v>1005</v>
      </c>
    </row>
    <row r="1269" spans="1:21" x14ac:dyDescent="0.2">
      <c r="A1269" s="7" cm="1">
        <f t="array" aca="1" ref="A1269" ca="1">INDEX(Companies!$A:$A,RANDBETWEEN(2,COUNTA(Companies!$A:$A)),1)</f>
        <v>2</v>
      </c>
      <c r="B1269" s="5">
        <f t="shared" si="229"/>
        <v>1268</v>
      </c>
      <c r="C1269" s="6">
        <f t="shared" ca="1" si="230"/>
        <v>1</v>
      </c>
      <c r="D1269" s="7">
        <f ca="1">IF($B1269 = 1 + N("Presidente"),
    127,
    IF($B1269 = 2 + N("Vice-Presidente"),
        72,
        IF($B1269 = 3 + N("Secretária bilíngue"),
            13,
            RANDBETWEEN(5,COUNT(Name!$A:$A) + 1)
        )
    )
)</f>
        <v>262</v>
      </c>
      <c r="E1269" s="7" t="str">
        <f ca="1" xml:space="preserve">
VLOOKUP(
  $D1269,
  Name!$A:$B,
  2,
  FALSE
)
&amp; " " &amp;
IF($B1269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Eduarda Mariani Santoro</v>
      </c>
      <c r="F1269" s="7">
        <v>2</v>
      </c>
      <c r="G1269" s="7" cm="1">
        <f t="array" aca="1" ref="G1269" ca="1">INDEX(States!$B:$B,RANDBETWEEN(2,COUNTA(States!$A:$A)),1)</f>
        <v>13</v>
      </c>
      <c r="H1269" s="7" t="str">
        <f ca="1">VLOOKUP($D1269,Name!$A:$C,3,FALSE)</f>
        <v>F</v>
      </c>
      <c r="I1269" s="7" cm="1">
        <f t="array" aca="1" ref="I1269" ca="1">INDEX('Marital status'!$A:$A,RANDBETWEEN(2,COUNTA('Marital status'!$A:$A)),1)</f>
        <v>4</v>
      </c>
      <c r="J1269" s="7">
        <f t="shared" ca="1" si="231"/>
        <v>2</v>
      </c>
      <c r="K1269" s="8">
        <f t="shared" ca="1" si="232"/>
        <v>38057</v>
      </c>
      <c r="L1269" s="6">
        <f t="shared" ca="1" si="233"/>
        <v>4</v>
      </c>
      <c r="M1269" s="7">
        <f ca="1" xml:space="preserve">
  IF(OR($N1269 = 2, $N1269 = 3, $N1269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269" s="6">
        <f t="shared" ca="1" si="234"/>
        <v>8</v>
      </c>
      <c r="O1269" s="6">
        <f t="shared" ca="1" si="235"/>
        <v>3</v>
      </c>
      <c r="P1269" s="8">
        <f t="shared" ca="1" si="236"/>
        <v>44838</v>
      </c>
      <c r="Q1269" s="6">
        <f ca="1">RANDBETWEEN(2,COUNTA('Recruitment source'!$A:$A))</f>
        <v>10</v>
      </c>
      <c r="R1269" s="8" t="e">
        <f t="shared" ca="1" si="237"/>
        <v>#N/A</v>
      </c>
      <c r="S1269" s="6" t="e">
        <f t="shared" ca="1" si="238"/>
        <v>#N/A</v>
      </c>
      <c r="T1269" s="6">
        <f t="shared" ca="1" si="228"/>
        <v>4</v>
      </c>
      <c r="U1269" s="1">
        <f t="shared" ca="1" si="239"/>
        <v>2000</v>
      </c>
    </row>
    <row r="1270" spans="1:21" x14ac:dyDescent="0.2">
      <c r="A1270" s="7" cm="1">
        <f t="array" aca="1" ref="A1270" ca="1">INDEX(Companies!$A:$A,RANDBETWEEN(2,COUNTA(Companies!$A:$A)),1)</f>
        <v>2</v>
      </c>
      <c r="B1270" s="5">
        <f t="shared" si="229"/>
        <v>1269</v>
      </c>
      <c r="C1270" s="6">
        <f t="shared" ca="1" si="230"/>
        <v>1</v>
      </c>
      <c r="D1270" s="7">
        <f ca="1">IF($B1270 = 1 + N("Presidente"),
    127,
    IF($B1270 = 2 + N("Vice-Presidente"),
        72,
        IF($B1270 = 3 + N("Secretária bilíngue"),
            13,
            RANDBETWEEN(5,COUNT(Name!$A:$A) + 1)
        )
    )
)</f>
        <v>42</v>
      </c>
      <c r="E1270" s="7" t="str">
        <f ca="1" xml:space="preserve">
VLOOKUP(
  $D1270,
  Name!$A:$B,
  2,
  FALSE
)
&amp; " " &amp;
IF($B1270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Ângelo Teixeira Brasil</v>
      </c>
      <c r="F1270" s="7">
        <v>2</v>
      </c>
      <c r="G1270" s="7" cm="1">
        <f t="array" aca="1" ref="G1270" ca="1">INDEX(States!$B:$B,RANDBETWEEN(2,COUNTA(States!$A:$A)),1)</f>
        <v>4</v>
      </c>
      <c r="H1270" s="7" t="str">
        <f ca="1">VLOOKUP($D1270,Name!$A:$C,3,FALSE)</f>
        <v>M</v>
      </c>
      <c r="I1270" s="7" cm="1">
        <f t="array" aca="1" ref="I1270" ca="1">INDEX('Marital status'!$A:$A,RANDBETWEEN(2,COUNTA('Marital status'!$A:$A)),1)</f>
        <v>2</v>
      </c>
      <c r="J1270" s="7">
        <f t="shared" ca="1" si="231"/>
        <v>2</v>
      </c>
      <c r="K1270" s="8">
        <f t="shared" ca="1" si="232"/>
        <v>35353</v>
      </c>
      <c r="L1270" s="6">
        <f t="shared" ca="1" si="233"/>
        <v>4</v>
      </c>
      <c r="M1270" s="7">
        <f ca="1" xml:space="preserve">
  IF(OR($N1270 = 2, $N1270 = 3, $N1270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270" s="6">
        <f t="shared" ca="1" si="234"/>
        <v>7</v>
      </c>
      <c r="O1270" s="6" t="e">
        <f t="shared" ca="1" si="235"/>
        <v>#N/A</v>
      </c>
      <c r="P1270" s="8">
        <f t="shared" ca="1" si="236"/>
        <v>41568</v>
      </c>
      <c r="Q1270" s="6">
        <f ca="1">RANDBETWEEN(2,COUNTA('Recruitment source'!$A:$A))</f>
        <v>3</v>
      </c>
      <c r="R1270" s="8" t="e">
        <f t="shared" ca="1" si="237"/>
        <v>#N/A</v>
      </c>
      <c r="S1270" s="6" t="e">
        <f t="shared" ca="1" si="238"/>
        <v>#N/A</v>
      </c>
      <c r="T1270" s="6">
        <f t="shared" ca="1" si="228"/>
        <v>4</v>
      </c>
      <c r="U1270" s="1">
        <f t="shared" ca="1" si="239"/>
        <v>1005</v>
      </c>
    </row>
    <row r="1271" spans="1:21" x14ac:dyDescent="0.2">
      <c r="A1271" s="7" cm="1">
        <f t="array" aca="1" ref="A1271" ca="1">INDEX(Companies!$A:$A,RANDBETWEEN(2,COUNTA(Companies!$A:$A)),1)</f>
        <v>2</v>
      </c>
      <c r="B1271" s="5">
        <f t="shared" si="229"/>
        <v>1270</v>
      </c>
      <c r="C1271" s="6">
        <f t="shared" ca="1" si="230"/>
        <v>1</v>
      </c>
      <c r="D1271" s="7">
        <f ca="1">IF($B1271 = 1 + N("Presidente"),
    127,
    IF($B1271 = 2 + N("Vice-Presidente"),
        72,
        IF($B1271 = 3 + N("Secretária bilíngue"),
            13,
            RANDBETWEEN(5,COUNT(Name!$A:$A) + 1)
        )
    )
)</f>
        <v>8</v>
      </c>
      <c r="E1271" s="7" t="str">
        <f ca="1" xml:space="preserve">
VLOOKUP(
  $D1271,
  Name!$A:$B,
  2,
  FALSE
)
&amp; " " &amp;
IF($B1271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Adélia Pasquim Arruda</v>
      </c>
      <c r="F1271" s="7">
        <v>2</v>
      </c>
      <c r="G1271" s="7" cm="1">
        <f t="array" aca="1" ref="G1271" ca="1">INDEX(States!$B:$B,RANDBETWEEN(2,COUNTA(States!$A:$A)),1)</f>
        <v>3</v>
      </c>
      <c r="H1271" s="7" t="str">
        <f ca="1">VLOOKUP($D1271,Name!$A:$C,3,FALSE)</f>
        <v>F</v>
      </c>
      <c r="I1271" s="7" cm="1">
        <f t="array" aca="1" ref="I1271" ca="1">INDEX('Marital status'!$A:$A,RANDBETWEEN(2,COUNTA('Marital status'!$A:$A)),1)</f>
        <v>5</v>
      </c>
      <c r="J1271" s="7">
        <f t="shared" ca="1" si="231"/>
        <v>2</v>
      </c>
      <c r="K1271" s="8">
        <f t="shared" ca="1" si="232"/>
        <v>36115</v>
      </c>
      <c r="L1271" s="6">
        <f t="shared" ca="1" si="233"/>
        <v>5</v>
      </c>
      <c r="M1271" s="7">
        <f ca="1" xml:space="preserve">
  IF(OR($N1271 = 2, $N1271 = 3, $N1271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271" s="6">
        <f t="shared" ca="1" si="234"/>
        <v>8</v>
      </c>
      <c r="O1271" s="6">
        <f t="shared" ca="1" si="235"/>
        <v>4</v>
      </c>
      <c r="P1271" s="8">
        <f t="shared" ca="1" si="236"/>
        <v>40190</v>
      </c>
      <c r="Q1271" s="6">
        <f ca="1">RANDBETWEEN(2,COUNTA('Recruitment source'!$A:$A))</f>
        <v>9</v>
      </c>
      <c r="R1271" s="8" t="e">
        <f t="shared" ca="1" si="237"/>
        <v>#N/A</v>
      </c>
      <c r="S1271" s="6" t="e">
        <f t="shared" ca="1" si="238"/>
        <v>#N/A</v>
      </c>
      <c r="T1271" s="6">
        <f t="shared" ca="1" si="228"/>
        <v>5</v>
      </c>
      <c r="U1271" s="1">
        <f t="shared" ca="1" si="239"/>
        <v>2000</v>
      </c>
    </row>
    <row r="1272" spans="1:21" x14ac:dyDescent="0.2">
      <c r="A1272" s="7" cm="1">
        <f t="array" aca="1" ref="A1272" ca="1">INDEX(Companies!$A:$A,RANDBETWEEN(2,COUNTA(Companies!$A:$A)),1)</f>
        <v>2</v>
      </c>
      <c r="B1272" s="5">
        <f t="shared" si="229"/>
        <v>1271</v>
      </c>
      <c r="C1272" s="6">
        <f t="shared" ca="1" si="230"/>
        <v>1</v>
      </c>
      <c r="D1272" s="7">
        <f ca="1">IF($B1272 = 1 + N("Presidente"),
    127,
    IF($B1272 = 2 + N("Vice-Presidente"),
        72,
        IF($B1272 = 3 + N("Secretária bilíngue"),
            13,
            RANDBETWEEN(5,COUNT(Name!$A:$A) + 1)
        )
    )
)</f>
        <v>75</v>
      </c>
      <c r="E1272" s="7" t="str">
        <f ca="1" xml:space="preserve">
VLOOKUP(
  $D1272,
  Name!$A:$B,
  2,
  FALSE
)
&amp; " " &amp;
IF($B1272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Breno Lombardi Albuquerque</v>
      </c>
      <c r="F1272" s="7">
        <v>2</v>
      </c>
      <c r="G1272" s="7" cm="1">
        <f t="array" aca="1" ref="G1272" ca="1">INDEX(States!$B:$B,RANDBETWEEN(2,COUNTA(States!$A:$A)),1)</f>
        <v>9</v>
      </c>
      <c r="H1272" s="7" t="str">
        <f ca="1">VLOOKUP($D1272,Name!$A:$C,3,FALSE)</f>
        <v>M</v>
      </c>
      <c r="I1272" s="7" cm="1">
        <f t="array" aca="1" ref="I1272" ca="1">INDEX('Marital status'!$A:$A,RANDBETWEEN(2,COUNTA('Marital status'!$A:$A)),1)</f>
        <v>5</v>
      </c>
      <c r="J1272" s="7">
        <f t="shared" ca="1" si="231"/>
        <v>2</v>
      </c>
      <c r="K1272" s="8">
        <f t="shared" ca="1" si="232"/>
        <v>28979</v>
      </c>
      <c r="L1272" s="6">
        <f t="shared" ca="1" si="233"/>
        <v>4</v>
      </c>
      <c r="M1272" s="7">
        <f ca="1" xml:space="preserve">
  IF(OR($N1272 = 2, $N1272 = 3, $N1272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272" s="6">
        <f t="shared" ca="1" si="234"/>
        <v>7</v>
      </c>
      <c r="O1272" s="6" t="e">
        <f t="shared" ca="1" si="235"/>
        <v>#N/A</v>
      </c>
      <c r="P1272" s="8">
        <f t="shared" ca="1" si="236"/>
        <v>44123</v>
      </c>
      <c r="Q1272" s="6">
        <f ca="1">RANDBETWEEN(2,COUNTA('Recruitment source'!$A:$A))</f>
        <v>7</v>
      </c>
      <c r="R1272" s="8" t="e">
        <f t="shared" ca="1" si="237"/>
        <v>#N/A</v>
      </c>
      <c r="S1272" s="6" t="e">
        <f t="shared" ca="1" si="238"/>
        <v>#N/A</v>
      </c>
      <c r="T1272" s="6">
        <f t="shared" ca="1" si="228"/>
        <v>5</v>
      </c>
      <c r="U1272" s="1">
        <f t="shared" ca="1" si="239"/>
        <v>1005</v>
      </c>
    </row>
    <row r="1273" spans="1:21" x14ac:dyDescent="0.2">
      <c r="A1273" s="7" cm="1">
        <f t="array" aca="1" ref="A1273" ca="1">INDEX(Companies!$A:$A,RANDBETWEEN(2,COUNTA(Companies!$A:$A)),1)</f>
        <v>2</v>
      </c>
      <c r="B1273" s="5">
        <f t="shared" si="229"/>
        <v>1272</v>
      </c>
      <c r="C1273" s="6">
        <f t="shared" ca="1" si="230"/>
        <v>1</v>
      </c>
      <c r="D1273" s="7">
        <f ca="1">IF($B1273 = 1 + N("Presidente"),
    127,
    IF($B1273 = 2 + N("Vice-Presidente"),
        72,
        IF($B1273 = 3 + N("Secretária bilíngue"),
            13,
            RANDBETWEEN(5,COUNT(Name!$A:$A) + 1)
        )
    )
)</f>
        <v>178</v>
      </c>
      <c r="E1273" s="7" t="str">
        <f ca="1" xml:space="preserve">
VLOOKUP(
  $D1273,
  Name!$A:$B,
  2,
  FALSE
)
&amp; " " &amp;
IF($B1273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Isabely Marino Borba</v>
      </c>
      <c r="F1273" s="7">
        <v>2</v>
      </c>
      <c r="G1273" s="7" cm="1">
        <f t="array" aca="1" ref="G1273" ca="1">INDEX(States!$B:$B,RANDBETWEEN(2,COUNTA(States!$A:$A)),1)</f>
        <v>14</v>
      </c>
      <c r="H1273" s="7" t="str">
        <f ca="1">VLOOKUP($D1273,Name!$A:$C,3,FALSE)</f>
        <v>F</v>
      </c>
      <c r="I1273" s="7" cm="1">
        <f t="array" aca="1" ref="I1273" ca="1">INDEX('Marital status'!$A:$A,RANDBETWEEN(2,COUNTA('Marital status'!$A:$A)),1)</f>
        <v>2</v>
      </c>
      <c r="J1273" s="7">
        <f t="shared" ca="1" si="231"/>
        <v>5</v>
      </c>
      <c r="K1273" s="8">
        <f t="shared" ca="1" si="232"/>
        <v>35340</v>
      </c>
      <c r="L1273" s="6">
        <f t="shared" ca="1" si="233"/>
        <v>4</v>
      </c>
      <c r="M1273" s="7">
        <f ca="1" xml:space="preserve">
  IF(OR($N1273 = 2, $N1273 = 3, $N1273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273" s="6">
        <f t="shared" ca="1" si="234"/>
        <v>8</v>
      </c>
      <c r="O1273" s="6">
        <f t="shared" ca="1" si="235"/>
        <v>2</v>
      </c>
      <c r="P1273" s="8">
        <f t="shared" ca="1" si="236"/>
        <v>41917</v>
      </c>
      <c r="Q1273" s="6">
        <f ca="1">RANDBETWEEN(2,COUNTA('Recruitment source'!$A:$A))</f>
        <v>11</v>
      </c>
      <c r="R1273" s="8" t="e">
        <f t="shared" ca="1" si="237"/>
        <v>#N/A</v>
      </c>
      <c r="S1273" s="6" t="e">
        <f t="shared" ca="1" si="238"/>
        <v>#N/A</v>
      </c>
      <c r="T1273" s="6">
        <f t="shared" ca="1" si="228"/>
        <v>3</v>
      </c>
      <c r="U1273" s="1">
        <f t="shared" ca="1" si="239"/>
        <v>2000</v>
      </c>
    </row>
    <row r="1274" spans="1:21" x14ac:dyDescent="0.2">
      <c r="A1274" s="7" cm="1">
        <f t="array" aca="1" ref="A1274" ca="1">INDEX(Companies!$A:$A,RANDBETWEEN(2,COUNTA(Companies!$A:$A)),1)</f>
        <v>2</v>
      </c>
      <c r="B1274" s="5">
        <f t="shared" si="229"/>
        <v>1273</v>
      </c>
      <c r="C1274" s="6">
        <f t="shared" ca="1" si="230"/>
        <v>1</v>
      </c>
      <c r="D1274" s="7">
        <f ca="1">IF($B1274 = 1 + N("Presidente"),
    127,
    IF($B1274 = 2 + N("Vice-Presidente"),
        72,
        IF($B1274 = 3 + N("Secretária bilíngue"),
            13,
            RANDBETWEEN(5,COUNT(Name!$A:$A) + 1)
        )
    )
)</f>
        <v>356</v>
      </c>
      <c r="E1274" s="7" t="str">
        <f ca="1" xml:space="preserve">
VLOOKUP(
  $D1274,
  Name!$A:$B,
  2,
  FALSE
)
&amp; " " &amp;
IF($B1274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Victória Gomes Madureira</v>
      </c>
      <c r="F1274" s="7">
        <v>2</v>
      </c>
      <c r="G1274" s="7" cm="1">
        <f t="array" aca="1" ref="G1274" ca="1">INDEX(States!$B:$B,RANDBETWEEN(2,COUNTA(States!$A:$A)),1)</f>
        <v>14</v>
      </c>
      <c r="H1274" s="7" t="str">
        <f ca="1">VLOOKUP($D1274,Name!$A:$C,3,FALSE)</f>
        <v>F</v>
      </c>
      <c r="I1274" s="7" cm="1">
        <f t="array" aca="1" ref="I1274" ca="1">INDEX('Marital status'!$A:$A,RANDBETWEEN(2,COUNTA('Marital status'!$A:$A)),1)</f>
        <v>5</v>
      </c>
      <c r="J1274" s="7">
        <f t="shared" ca="1" si="231"/>
        <v>3</v>
      </c>
      <c r="K1274" s="8">
        <f t="shared" ca="1" si="232"/>
        <v>32945</v>
      </c>
      <c r="L1274" s="6">
        <f t="shared" ca="1" si="233"/>
        <v>4</v>
      </c>
      <c r="M1274" s="7">
        <f ca="1" xml:space="preserve">
  IF(OR($N1274 = 2, $N1274 = 3, $N1274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274" s="6">
        <f t="shared" ca="1" si="234"/>
        <v>6</v>
      </c>
      <c r="O1274" s="6" t="e">
        <f t="shared" ca="1" si="235"/>
        <v>#N/A</v>
      </c>
      <c r="P1274" s="8">
        <f t="shared" ca="1" si="236"/>
        <v>40547</v>
      </c>
      <c r="Q1274" s="6">
        <f ca="1">RANDBETWEEN(2,COUNTA('Recruitment source'!$A:$A))</f>
        <v>7</v>
      </c>
      <c r="R1274" s="8" t="e">
        <f t="shared" ca="1" si="237"/>
        <v>#N/A</v>
      </c>
      <c r="S1274" s="6" t="e">
        <f t="shared" ca="1" si="238"/>
        <v>#N/A</v>
      </c>
      <c r="T1274" s="6">
        <f t="shared" ca="1" si="228"/>
        <v>5</v>
      </c>
      <c r="U1274" s="1">
        <f t="shared" ca="1" si="239"/>
        <v>885</v>
      </c>
    </row>
    <row r="1275" spans="1:21" x14ac:dyDescent="0.2">
      <c r="A1275" s="7" cm="1">
        <f t="array" aca="1" ref="A1275" ca="1">INDEX(Companies!$A:$A,RANDBETWEEN(2,COUNTA(Companies!$A:$A)),1)</f>
        <v>2</v>
      </c>
      <c r="B1275" s="5">
        <f t="shared" si="229"/>
        <v>1274</v>
      </c>
      <c r="C1275" s="6">
        <f t="shared" ca="1" si="230"/>
        <v>1</v>
      </c>
      <c r="D1275" s="7">
        <f ca="1">IF($B1275 = 1 + N("Presidente"),
    127,
    IF($B1275 = 2 + N("Vice-Presidente"),
        72,
        IF($B1275 = 3 + N("Secretária bilíngue"),
            13,
            RANDBETWEEN(5,COUNT(Name!$A:$A) + 1)
        )
    )
)</f>
        <v>334</v>
      </c>
      <c r="E1275" s="7" t="str">
        <f ca="1" xml:space="preserve">
VLOOKUP(
  $D1275,
  Name!$A:$B,
  2,
  FALSE
)
&amp; " " &amp;
IF($B1275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Ryan Cabral Morais</v>
      </c>
      <c r="F1275" s="7">
        <v>2</v>
      </c>
      <c r="G1275" s="7" cm="1">
        <f t="array" aca="1" ref="G1275" ca="1">INDEX(States!$B:$B,RANDBETWEEN(2,COUNTA(States!$A:$A)),1)</f>
        <v>17</v>
      </c>
      <c r="H1275" s="7" t="str">
        <f ca="1">VLOOKUP($D1275,Name!$A:$C,3,FALSE)</f>
        <v>M</v>
      </c>
      <c r="I1275" s="7" cm="1">
        <f t="array" aca="1" ref="I1275" ca="1">INDEX('Marital status'!$A:$A,RANDBETWEEN(2,COUNTA('Marital status'!$A:$A)),1)</f>
        <v>6</v>
      </c>
      <c r="J1275" s="7">
        <f t="shared" ca="1" si="231"/>
        <v>2</v>
      </c>
      <c r="K1275" s="8">
        <f t="shared" ca="1" si="232"/>
        <v>38014</v>
      </c>
      <c r="L1275" s="6">
        <f t="shared" ca="1" si="233"/>
        <v>4</v>
      </c>
      <c r="M1275" s="7">
        <f ca="1" xml:space="preserve">
  IF(OR($N1275 = 2, $N1275 = 3, $N1275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275" s="6">
        <f t="shared" ca="1" si="234"/>
        <v>8</v>
      </c>
      <c r="O1275" s="6">
        <f t="shared" ca="1" si="235"/>
        <v>4</v>
      </c>
      <c r="P1275" s="8">
        <f t="shared" ca="1" si="236"/>
        <v>44838</v>
      </c>
      <c r="Q1275" s="6">
        <f ca="1">RANDBETWEEN(2,COUNTA('Recruitment source'!$A:$A))</f>
        <v>12</v>
      </c>
      <c r="R1275" s="8" t="e">
        <f t="shared" ca="1" si="237"/>
        <v>#N/A</v>
      </c>
      <c r="S1275" s="6" t="e">
        <f t="shared" ca="1" si="238"/>
        <v>#N/A</v>
      </c>
      <c r="T1275" s="6">
        <f t="shared" ca="1" si="228"/>
        <v>3</v>
      </c>
      <c r="U1275" s="1">
        <f t="shared" ca="1" si="239"/>
        <v>2000</v>
      </c>
    </row>
    <row r="1276" spans="1:21" x14ac:dyDescent="0.2">
      <c r="A1276" s="7" cm="1">
        <f t="array" aca="1" ref="A1276" ca="1">INDEX(Companies!$A:$A,RANDBETWEEN(2,COUNTA(Companies!$A:$A)),1)</f>
        <v>2</v>
      </c>
      <c r="B1276" s="5">
        <f t="shared" si="229"/>
        <v>1275</v>
      </c>
      <c r="C1276" s="6">
        <f t="shared" ca="1" si="230"/>
        <v>1</v>
      </c>
      <c r="D1276" s="7">
        <f ca="1">IF($B1276 = 1 + N("Presidente"),
    127,
    IF($B1276 = 2 + N("Vice-Presidente"),
        72,
        IF($B1276 = 3 + N("Secretária bilíngue"),
            13,
            RANDBETWEEN(5,COUNT(Name!$A:$A) + 1)
        )
    )
)</f>
        <v>25</v>
      </c>
      <c r="E1276" s="7" t="str">
        <f ca="1" xml:space="preserve">
VLOOKUP(
  $D1276,
  Name!$A:$B,
  2,
  FALSE
)
&amp; " " &amp;
IF($B1276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Conti Pinto</v>
      </c>
      <c r="F1276" s="7">
        <v>2</v>
      </c>
      <c r="G1276" s="7" cm="1">
        <f t="array" aca="1" ref="G1276" ca="1">INDEX(States!$B:$B,RANDBETWEEN(2,COUNTA(States!$A:$A)),1)</f>
        <v>13</v>
      </c>
      <c r="H1276" s="7" t="str">
        <f ca="1">VLOOKUP($D1276,Name!$A:$C,3,FALSE)</f>
        <v>F</v>
      </c>
      <c r="I1276" s="7" cm="1">
        <f t="array" aca="1" ref="I1276" ca="1">INDEX('Marital status'!$A:$A,RANDBETWEEN(2,COUNTA('Marital status'!$A:$A)),1)</f>
        <v>4</v>
      </c>
      <c r="J1276" s="7">
        <f t="shared" ca="1" si="231"/>
        <v>4</v>
      </c>
      <c r="K1276" s="8">
        <f t="shared" ca="1" si="232"/>
        <v>28792</v>
      </c>
      <c r="L1276" s="6">
        <f t="shared" ca="1" si="233"/>
        <v>4</v>
      </c>
      <c r="M1276" s="7">
        <f ca="1" xml:space="preserve">
  IF(OR($N1276 = 2, $N1276 = 3, $N1276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276" s="6">
        <f t="shared" ca="1" si="234"/>
        <v>6</v>
      </c>
      <c r="O1276" s="6" t="e">
        <f t="shared" ca="1" si="235"/>
        <v>#N/A</v>
      </c>
      <c r="P1276" s="8">
        <f t="shared" ca="1" si="236"/>
        <v>38818</v>
      </c>
      <c r="Q1276" s="6">
        <f ca="1">RANDBETWEEN(2,COUNTA('Recruitment source'!$A:$A))</f>
        <v>12</v>
      </c>
      <c r="R1276" s="8" t="e">
        <f t="shared" ca="1" si="237"/>
        <v>#N/A</v>
      </c>
      <c r="S1276" s="6" t="e">
        <f t="shared" ca="1" si="238"/>
        <v>#N/A</v>
      </c>
      <c r="T1276" s="6">
        <f t="shared" ca="1" si="228"/>
        <v>4</v>
      </c>
      <c r="U1276" s="1">
        <f t="shared" ca="1" si="239"/>
        <v>805</v>
      </c>
    </row>
    <row r="1277" spans="1:21" x14ac:dyDescent="0.2">
      <c r="A1277" s="7" cm="1">
        <f t="array" aca="1" ref="A1277" ca="1">INDEX(Companies!$A:$A,RANDBETWEEN(2,COUNTA(Companies!$A:$A)),1)</f>
        <v>2</v>
      </c>
      <c r="B1277" s="5">
        <f t="shared" si="229"/>
        <v>1276</v>
      </c>
      <c r="C1277" s="6">
        <f t="shared" ca="1" si="230"/>
        <v>1</v>
      </c>
      <c r="D1277" s="7">
        <f ca="1">IF($B1277 = 1 + N("Presidente"),
    127,
    IF($B1277 = 2 + N("Vice-Presidente"),
        72,
        IF($B1277 = 3 + N("Secretária bilíngue"),
            13,
            RANDBETWEEN(5,COUNT(Name!$A:$A) + 1)
        )
    )
)</f>
        <v>322</v>
      </c>
      <c r="E1277" s="7" t="str">
        <f ca="1" xml:space="preserve">
VLOOKUP(
  $D1277,
  Name!$A:$B,
  2,
  FALSE
)
&amp; " " &amp;
IF($B1277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Pietro Trindade Rinaldi</v>
      </c>
      <c r="F1277" s="7">
        <v>2</v>
      </c>
      <c r="G1277" s="7" cm="1">
        <f t="array" aca="1" ref="G1277" ca="1">INDEX(States!$B:$B,RANDBETWEEN(2,COUNTA(States!$A:$A)),1)</f>
        <v>15</v>
      </c>
      <c r="H1277" s="7" t="str">
        <f ca="1">VLOOKUP($D1277,Name!$A:$C,3,FALSE)</f>
        <v>M</v>
      </c>
      <c r="I1277" s="7" cm="1">
        <f t="array" aca="1" ref="I1277" ca="1">INDEX('Marital status'!$A:$A,RANDBETWEEN(2,COUNTA('Marital status'!$A:$A)),1)</f>
        <v>6</v>
      </c>
      <c r="J1277" s="7">
        <f t="shared" ca="1" si="231"/>
        <v>2</v>
      </c>
      <c r="K1277" s="8">
        <f t="shared" ca="1" si="232"/>
        <v>36805</v>
      </c>
      <c r="L1277" s="6">
        <f t="shared" ca="1" si="233"/>
        <v>5</v>
      </c>
      <c r="M1277" s="7">
        <f ca="1" xml:space="preserve">
  IF(OR($N1277 = 2, $N1277 = 3, $N1277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277" s="6">
        <f t="shared" ca="1" si="234"/>
        <v>8</v>
      </c>
      <c r="O1277" s="6">
        <f t="shared" ca="1" si="235"/>
        <v>3</v>
      </c>
      <c r="P1277" s="8">
        <f t="shared" ca="1" si="236"/>
        <v>42089</v>
      </c>
      <c r="Q1277" s="6">
        <f ca="1">RANDBETWEEN(2,COUNTA('Recruitment source'!$A:$A))</f>
        <v>4</v>
      </c>
      <c r="R1277" s="8" t="e">
        <f t="shared" ca="1" si="237"/>
        <v>#N/A</v>
      </c>
      <c r="S1277" s="6" t="e">
        <f t="shared" ca="1" si="238"/>
        <v>#N/A</v>
      </c>
      <c r="T1277" s="6">
        <f t="shared" ca="1" si="228"/>
        <v>3</v>
      </c>
      <c r="U1277" s="1">
        <f t="shared" ca="1" si="239"/>
        <v>2080</v>
      </c>
    </row>
    <row r="1278" spans="1:21" x14ac:dyDescent="0.2">
      <c r="A1278" s="7" cm="1">
        <f t="array" aca="1" ref="A1278" ca="1">INDEX(Companies!$A:$A,RANDBETWEEN(2,COUNTA(Companies!$A:$A)),1)</f>
        <v>2</v>
      </c>
      <c r="B1278" s="5">
        <f t="shared" si="229"/>
        <v>1277</v>
      </c>
      <c r="C1278" s="6">
        <f t="shared" ca="1" si="230"/>
        <v>1</v>
      </c>
      <c r="D1278" s="7">
        <f ca="1">IF($B1278 = 1 + N("Presidente"),
    127,
    IF($B1278 = 2 + N("Vice-Presidente"),
        72,
        IF($B1278 = 3 + N("Secretária bilíngue"),
            13,
            RANDBETWEEN(5,COUNT(Name!$A:$A) + 1)
        )
    )
)</f>
        <v>335</v>
      </c>
      <c r="E1278" s="7" t="str">
        <f ca="1" xml:space="preserve">
VLOOKUP(
  $D1278,
  Name!$A:$B,
  2,
  FALSE
)
&amp; " " &amp;
IF($B1278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Sammuel Albuquerque Alvarenga</v>
      </c>
      <c r="F1278" s="7">
        <v>2</v>
      </c>
      <c r="G1278" s="7" cm="1">
        <f t="array" aca="1" ref="G1278" ca="1">INDEX(States!$B:$B,RANDBETWEEN(2,COUNTA(States!$A:$A)),1)</f>
        <v>6</v>
      </c>
      <c r="H1278" s="7" t="str">
        <f ca="1">VLOOKUP($D1278,Name!$A:$C,3,FALSE)</f>
        <v>M</v>
      </c>
      <c r="I1278" s="7" cm="1">
        <f t="array" aca="1" ref="I1278" ca="1">INDEX('Marital status'!$A:$A,RANDBETWEEN(2,COUNTA('Marital status'!$A:$A)),1)</f>
        <v>2</v>
      </c>
      <c r="J1278" s="7">
        <f t="shared" ca="1" si="231"/>
        <v>2</v>
      </c>
      <c r="K1278" s="8">
        <f t="shared" ca="1" si="232"/>
        <v>30659</v>
      </c>
      <c r="L1278" s="6">
        <f t="shared" ca="1" si="233"/>
        <v>4</v>
      </c>
      <c r="M1278" s="7">
        <f ca="1" xml:space="preserve">
  IF(OR($N1278 = 2, $N1278 = 3, $N1278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278" s="6">
        <f t="shared" ca="1" si="234"/>
        <v>7</v>
      </c>
      <c r="O1278" s="6" t="e">
        <f t="shared" ca="1" si="235"/>
        <v>#N/A</v>
      </c>
      <c r="P1278" s="8">
        <f t="shared" ca="1" si="236"/>
        <v>42418</v>
      </c>
      <c r="Q1278" s="6">
        <f ca="1">RANDBETWEEN(2,COUNTA('Recruitment source'!$A:$A))</f>
        <v>9</v>
      </c>
      <c r="R1278" s="8" t="e">
        <f t="shared" ca="1" si="237"/>
        <v>#N/A</v>
      </c>
      <c r="S1278" s="6" t="e">
        <f t="shared" ca="1" si="238"/>
        <v>#N/A</v>
      </c>
      <c r="T1278" s="6">
        <f t="shared" ca="1" si="228"/>
        <v>2</v>
      </c>
      <c r="U1278" s="1">
        <f t="shared" ca="1" si="239"/>
        <v>1085</v>
      </c>
    </row>
    <row r="1279" spans="1:21" x14ac:dyDescent="0.2">
      <c r="A1279" s="7" cm="1">
        <f t="array" aca="1" ref="A1279" ca="1">INDEX(Companies!$A:$A,RANDBETWEEN(2,COUNTA(Companies!$A:$A)),1)</f>
        <v>2</v>
      </c>
      <c r="B1279" s="5">
        <f t="shared" si="229"/>
        <v>1278</v>
      </c>
      <c r="C1279" s="6">
        <f t="shared" ca="1" si="230"/>
        <v>1</v>
      </c>
      <c r="D1279" s="7">
        <f ca="1">IF($B1279 = 1 + N("Presidente"),
    127,
    IF($B1279 = 2 + N("Vice-Presidente"),
        72,
        IF($B1279 = 3 + N("Secretária bilíngue"),
            13,
            RANDBETWEEN(5,COUNT(Name!$A:$A) + 1)
        )
    )
)</f>
        <v>107</v>
      </c>
      <c r="E1279" s="7" t="str">
        <f ca="1" xml:space="preserve">
VLOOKUP(
  $D1279,
  Name!$A:$B,
  2,
  FALSE
)
&amp; " " &amp;
IF($B1279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Lucca Bianchi Farias</v>
      </c>
      <c r="F1279" s="7">
        <v>2</v>
      </c>
      <c r="G1279" s="7" cm="1">
        <f t="array" aca="1" ref="G1279" ca="1">INDEX(States!$B:$B,RANDBETWEEN(2,COUNTA(States!$A:$A)),1)</f>
        <v>2</v>
      </c>
      <c r="H1279" s="7" t="str">
        <f ca="1">VLOOKUP($D1279,Name!$A:$C,3,FALSE)</f>
        <v>M</v>
      </c>
      <c r="I1279" s="7" cm="1">
        <f t="array" aca="1" ref="I1279" ca="1">INDEX('Marital status'!$A:$A,RANDBETWEEN(2,COUNTA('Marital status'!$A:$A)),1)</f>
        <v>2</v>
      </c>
      <c r="J1279" s="7">
        <f t="shared" ca="1" si="231"/>
        <v>2</v>
      </c>
      <c r="K1279" s="8">
        <f t="shared" ca="1" si="232"/>
        <v>35653</v>
      </c>
      <c r="L1279" s="6">
        <f t="shared" ca="1" si="233"/>
        <v>4</v>
      </c>
      <c r="M1279" s="7">
        <f ca="1" xml:space="preserve">
  IF(OR($N1279 = 2, $N1279 = 3, $N1279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279" s="6">
        <f t="shared" ca="1" si="234"/>
        <v>8</v>
      </c>
      <c r="O1279" s="6">
        <f t="shared" ca="1" si="235"/>
        <v>3</v>
      </c>
      <c r="P1279" s="8">
        <f t="shared" ca="1" si="236"/>
        <v>39897</v>
      </c>
      <c r="Q1279" s="6">
        <f ca="1">RANDBETWEEN(2,COUNTA('Recruitment source'!$A:$A))</f>
        <v>7</v>
      </c>
      <c r="R1279" s="8" t="e">
        <f t="shared" ca="1" si="237"/>
        <v>#N/A</v>
      </c>
      <c r="S1279" s="6" t="e">
        <f t="shared" ca="1" si="238"/>
        <v>#N/A</v>
      </c>
      <c r="T1279" s="6">
        <f t="shared" ca="1" si="228"/>
        <v>2</v>
      </c>
      <c r="U1279" s="1">
        <f t="shared" ca="1" si="239"/>
        <v>2000</v>
      </c>
    </row>
    <row r="1280" spans="1:21" x14ac:dyDescent="0.2">
      <c r="A1280" s="7" cm="1">
        <f t="array" aca="1" ref="A1280" ca="1">INDEX(Companies!$A:$A,RANDBETWEEN(2,COUNTA(Companies!$A:$A)),1)</f>
        <v>2</v>
      </c>
      <c r="B1280" s="5">
        <f t="shared" si="229"/>
        <v>1279</v>
      </c>
      <c r="C1280" s="6">
        <f t="shared" ca="1" si="230"/>
        <v>1</v>
      </c>
      <c r="D1280" s="7">
        <f ca="1">IF($B1280 = 1 + N("Presidente"),
    127,
    IF($B1280 = 2 + N("Vice-Presidente"),
        72,
        IF($B1280 = 3 + N("Secretária bilíngue"),
            13,
            RANDBETWEEN(5,COUNT(Name!$A:$A) + 1)
        )
    )
)</f>
        <v>102</v>
      </c>
      <c r="E1280" s="7" t="str">
        <f ca="1" xml:space="preserve">
VLOOKUP(
  $D1280,
  Name!$A:$B,
  2,
  FALSE
)
&amp; " " &amp;
IF($B1280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Danilo Leitão Ferrão</v>
      </c>
      <c r="F1280" s="7">
        <v>2</v>
      </c>
      <c r="G1280" s="7" cm="1">
        <f t="array" aca="1" ref="G1280" ca="1">INDEX(States!$B:$B,RANDBETWEEN(2,COUNTA(States!$A:$A)),1)</f>
        <v>4</v>
      </c>
      <c r="H1280" s="7" t="str">
        <f ca="1">VLOOKUP($D1280,Name!$A:$C,3,FALSE)</f>
        <v>M</v>
      </c>
      <c r="I1280" s="7" cm="1">
        <f t="array" aca="1" ref="I1280" ca="1">INDEX('Marital status'!$A:$A,RANDBETWEEN(2,COUNTA('Marital status'!$A:$A)),1)</f>
        <v>2</v>
      </c>
      <c r="J1280" s="7">
        <f t="shared" ca="1" si="231"/>
        <v>2</v>
      </c>
      <c r="K1280" s="8">
        <f t="shared" ca="1" si="232"/>
        <v>30356</v>
      </c>
      <c r="L1280" s="6">
        <f t="shared" ca="1" si="233"/>
        <v>4</v>
      </c>
      <c r="M1280" s="7">
        <f ca="1" xml:space="preserve">
  IF(OR($N1280 = 2, $N1280 = 3, $N1280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280" s="6">
        <f t="shared" ca="1" si="234"/>
        <v>6</v>
      </c>
      <c r="O1280" s="6" t="e">
        <f t="shared" ca="1" si="235"/>
        <v>#N/A</v>
      </c>
      <c r="P1280" s="8">
        <f t="shared" ca="1" si="236"/>
        <v>41595</v>
      </c>
      <c r="Q1280" s="6">
        <f ca="1">RANDBETWEEN(2,COUNTA('Recruitment source'!$A:$A))</f>
        <v>5</v>
      </c>
      <c r="R1280" s="8" t="e">
        <f t="shared" ca="1" si="237"/>
        <v>#N/A</v>
      </c>
      <c r="S1280" s="6" t="e">
        <f t="shared" ca="1" si="238"/>
        <v>#N/A</v>
      </c>
      <c r="T1280" s="6">
        <f t="shared" ca="1" si="228"/>
        <v>2</v>
      </c>
      <c r="U1280" s="1">
        <f t="shared" ca="1" si="239"/>
        <v>805</v>
      </c>
    </row>
    <row r="1281" spans="1:21" x14ac:dyDescent="0.2">
      <c r="A1281" s="7" cm="1">
        <f t="array" aca="1" ref="A1281" ca="1">INDEX(Companies!$A:$A,RANDBETWEEN(2,COUNTA(Companies!$A:$A)),1)</f>
        <v>2</v>
      </c>
      <c r="B1281" s="5">
        <f t="shared" si="229"/>
        <v>1280</v>
      </c>
      <c r="C1281" s="6">
        <f t="shared" ca="1" si="230"/>
        <v>1</v>
      </c>
      <c r="D1281" s="7">
        <f ca="1">IF($B1281 = 1 + N("Presidente"),
    127,
    IF($B1281 = 2 + N("Vice-Presidente"),
        72,
        IF($B1281 = 3 + N("Secretária bilíngue"),
            13,
            RANDBETWEEN(5,COUNT(Name!$A:$A) + 1)
        )
    )
)</f>
        <v>346</v>
      </c>
      <c r="E1281" s="7" t="str">
        <f ca="1" xml:space="preserve">
VLOOKUP(
  $D1281,
  Name!$A:$B,
  2,
  FALSE
)
&amp; " " &amp;
IF($B1281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Tomas Siqueira Duarte</v>
      </c>
      <c r="F1281" s="7">
        <v>2</v>
      </c>
      <c r="G1281" s="7" cm="1">
        <f t="array" aca="1" ref="G1281" ca="1">INDEX(States!$B:$B,RANDBETWEEN(2,COUNTA(States!$A:$A)),1)</f>
        <v>4</v>
      </c>
      <c r="H1281" s="7" t="str">
        <f ca="1">VLOOKUP($D1281,Name!$A:$C,3,FALSE)</f>
        <v>M</v>
      </c>
      <c r="I1281" s="7" cm="1">
        <f t="array" aca="1" ref="I1281" ca="1">INDEX('Marital status'!$A:$A,RANDBETWEEN(2,COUNTA('Marital status'!$A:$A)),1)</f>
        <v>4</v>
      </c>
      <c r="J1281" s="7">
        <f t="shared" ca="1" si="231"/>
        <v>3</v>
      </c>
      <c r="K1281" s="8">
        <f t="shared" ca="1" si="232"/>
        <v>37926</v>
      </c>
      <c r="L1281" s="6">
        <f t="shared" ca="1" si="233"/>
        <v>4</v>
      </c>
      <c r="M1281" s="7">
        <f ca="1" xml:space="preserve">
  IF(OR($N1281 = 2, $N1281 = 3, $N1281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281" s="6">
        <f t="shared" ca="1" si="234"/>
        <v>8</v>
      </c>
      <c r="O1281" s="6">
        <f t="shared" ca="1" si="235"/>
        <v>2</v>
      </c>
      <c r="P1281" s="8">
        <f t="shared" ca="1" si="236"/>
        <v>44838</v>
      </c>
      <c r="Q1281" s="6">
        <f ca="1">RANDBETWEEN(2,COUNTA('Recruitment source'!$A:$A))</f>
        <v>8</v>
      </c>
      <c r="R1281" s="8" t="e">
        <f t="shared" ca="1" si="237"/>
        <v>#N/A</v>
      </c>
      <c r="S1281" s="6" t="e">
        <f t="shared" ca="1" si="238"/>
        <v>#N/A</v>
      </c>
      <c r="T1281" s="6">
        <f t="shared" ca="1" si="228"/>
        <v>2</v>
      </c>
      <c r="U1281" s="1">
        <f t="shared" ca="1" si="239"/>
        <v>2000</v>
      </c>
    </row>
    <row r="1282" spans="1:21" x14ac:dyDescent="0.2">
      <c r="A1282" s="7" cm="1">
        <f t="array" aca="1" ref="A1282" ca="1">INDEX(Companies!$A:$A,RANDBETWEEN(2,COUNTA(Companies!$A:$A)),1)</f>
        <v>2</v>
      </c>
      <c r="B1282" s="5">
        <f t="shared" si="229"/>
        <v>1281</v>
      </c>
      <c r="C1282" s="6">
        <f t="shared" ca="1" si="230"/>
        <v>1</v>
      </c>
      <c r="D1282" s="7">
        <f ca="1">IF($B1282 = 1 + N("Presidente"),
    127,
    IF($B1282 = 2 + N("Vice-Presidente"),
        72,
        IF($B1282 = 3 + N("Secretária bilíngue"),
            13,
            RANDBETWEEN(5,COUNT(Name!$A:$A) + 1)
        )
    )
)</f>
        <v>200</v>
      </c>
      <c r="E1282" s="7" t="str">
        <f ca="1" xml:space="preserve">
VLOOKUP(
  $D1282,
  Name!$A:$B,
  2,
  FALSE
)
&amp; " " &amp;
IF($B1282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Heleno Ribeiro Arruda</v>
      </c>
      <c r="F1282" s="7">
        <v>2</v>
      </c>
      <c r="G1282" s="7" cm="1">
        <f t="array" aca="1" ref="G1282" ca="1">INDEX(States!$B:$B,RANDBETWEEN(2,COUNTA(States!$A:$A)),1)</f>
        <v>6</v>
      </c>
      <c r="H1282" s="7" t="str">
        <f ca="1">VLOOKUP($D1282,Name!$A:$C,3,FALSE)</f>
        <v>M</v>
      </c>
      <c r="I1282" s="7" cm="1">
        <f t="array" aca="1" ref="I1282" ca="1">INDEX('Marital status'!$A:$A,RANDBETWEEN(2,COUNTA('Marital status'!$A:$A)),1)</f>
        <v>4</v>
      </c>
      <c r="J1282" s="7">
        <f t="shared" ca="1" si="231"/>
        <v>2</v>
      </c>
      <c r="K1282" s="8">
        <f t="shared" ca="1" si="232"/>
        <v>27712</v>
      </c>
      <c r="L1282" s="6">
        <f t="shared" ca="1" si="233"/>
        <v>4</v>
      </c>
      <c r="M1282" s="7">
        <f ca="1" xml:space="preserve">
  IF(OR($N1282 = 2, $N1282 = 3, $N1282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282" s="6">
        <f t="shared" ca="1" si="234"/>
        <v>6</v>
      </c>
      <c r="O1282" s="6" t="e">
        <f t="shared" ca="1" si="235"/>
        <v>#N/A</v>
      </c>
      <c r="P1282" s="8">
        <f t="shared" ca="1" si="236"/>
        <v>36314</v>
      </c>
      <c r="Q1282" s="6">
        <f ca="1">RANDBETWEEN(2,COUNTA('Recruitment source'!$A:$A))</f>
        <v>9</v>
      </c>
      <c r="R1282" s="8" t="e">
        <f t="shared" ca="1" si="237"/>
        <v>#N/A</v>
      </c>
      <c r="S1282" s="6" t="e">
        <f t="shared" ca="1" si="238"/>
        <v>#N/A</v>
      </c>
      <c r="T1282" s="6">
        <f t="shared" ref="T1282:T1345" ca="1" si="240" xml:space="preserve">
IF(
 ISNA($R1282),
 IF(
   $N1282 = 2,
   5,
   IF(
     OR($N1282=3,$N1282=4,$N1282=5),
     RANDBETWEEN(4,5),
     IF(
       OR($N1282=11,$N1282=12),
       RANDBETWEEN(3,5),
       RANDBETWEEN(2,5)
     )
   )
 ),
 RANDBETWEEN(1,3)
)</f>
        <v>3</v>
      </c>
      <c r="U1282" s="1">
        <f t="shared" ca="1" si="239"/>
        <v>805</v>
      </c>
    </row>
    <row r="1283" spans="1:21" x14ac:dyDescent="0.2">
      <c r="A1283" s="7" cm="1">
        <f t="array" aca="1" ref="A1283" ca="1">INDEX(Companies!$A:$A,RANDBETWEEN(2,COUNTA(Companies!$A:$A)),1)</f>
        <v>2</v>
      </c>
      <c r="B1283" s="5">
        <f t="shared" ref="B1283:B1346" si="241">ROW() - 1</f>
        <v>1282</v>
      </c>
      <c r="C1283" s="6">
        <f t="shared" ref="C1283:C1346" ca="1" si="242">IF(ISNA($R1283),1,0)</f>
        <v>1</v>
      </c>
      <c r="D1283" s="7">
        <f ca="1">IF($B1283 = 1 + N("Presidente"),
    127,
    IF($B1283 = 2 + N("Vice-Presidente"),
        72,
        IF($B1283 = 3 + N("Secretária bilíngue"),
            13,
            RANDBETWEEN(5,COUNT(Name!$A:$A) + 1)
        )
    )
)</f>
        <v>16</v>
      </c>
      <c r="E1283" s="7" t="str">
        <f ca="1" xml:space="preserve">
VLOOKUP(
  $D1283,
  Name!$A:$B,
  2,
  FALSE
)
&amp; " " &amp;
IF($B1283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Alice Soares Andrioli</v>
      </c>
      <c r="F1283" s="7">
        <v>2</v>
      </c>
      <c r="G1283" s="7" cm="1">
        <f t="array" aca="1" ref="G1283" ca="1">INDEX(States!$B:$B,RANDBETWEEN(2,COUNTA(States!$A:$A)),1)</f>
        <v>4</v>
      </c>
      <c r="H1283" s="7" t="str">
        <f ca="1">VLOOKUP($D1283,Name!$A:$C,3,FALSE)</f>
        <v>F</v>
      </c>
      <c r="I1283" s="7" cm="1">
        <f t="array" aca="1" ref="I1283" ca="1">INDEX('Marital status'!$A:$A,RANDBETWEEN(2,COUNTA('Marital status'!$A:$A)),1)</f>
        <v>5</v>
      </c>
      <c r="J1283" s="7">
        <f t="shared" ref="J1283:J1346" ca="1" si="243" xml:space="preserve">
IF(AND($N1283 &gt;= 2, $N1283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1283" s="8">
        <f t="shared" ref="K1283:K1346" ca="1" si="244" xml:space="preserve">
IF($N1283 = 5 + N("CEO"),
    TODAY() - 16340,
    IF($N1283 = 8 + N("Secretary"),
        RANDBETWEEN(TODAY() - 12418.5, TODAY()-6574.5),
        IF(OR($N1283 = 7, $N1283 = 14),
            RANDBETWEEN(TODAY() - 16071, TODAY() - 8766),
            IF(OR($N1283 = 13, $N1283 = 12, $N1283 = 11),
                RANDBETWEEN(TODAY() - 27393.75, TODAY() - 12783.75),
                RANDBETWEEN(TODAY() - 27393.75, TODAY()-10957.5)
            )
        )
    )
)</f>
        <v>33855</v>
      </c>
      <c r="L1283" s="6">
        <f t="shared" ref="L1283:L1346" ca="1" si="245" xml:space="preserve">
IF(OR($N1283 = 2, $N1283 = 3) + N("Se for presidente ou vice-presidente"),
    7 + N("Doutor"),
    IF($N1283 = 4 + N("Se for diretor"),
        RANDBETWEEN(5,7) + N("Graduate school or Master’s degree or Doctorate"),
        IF($N1283 = 11 + N("Se for gerente"),
            RANDBETWEEN(4,6) + N("Undergraduate degree or Graduate school or Master’s degree"),
            IF(AND($N1283 &gt;= 8, $N1283 &lt;= 10) + N("If coordinator or specialist or analyst"),
                RANDBETWEEN(4,5),
                4
            )
        )
    )
)</f>
        <v>4</v>
      </c>
      <c r="M1283" s="7">
        <f ca="1" xml:space="preserve">
  IF(OR($N1283 = 2, $N1283 = 3, $N1283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283" s="6">
        <f t="shared" ref="N1283:N1346" ca="1" si="246" xml:space="preserve">
IF($B1283 = 1 + N("Se matrícula for 1"),
  2 + N("Presidente"),
  IF($B1283 = 2 + N("Se matrícula for 2"),
    3 + N("Vice-presidente"),
    IF($B1283 = 3 + N("Se matrícula for 3"),
      5 + N("Secretária bilíngue"),
      IF(AND($B1283 &gt;= 4, $B1283 &lt;=14),
        4 + N("Diretor"),
        IF(AND($B1283 &gt;= 15, $B1283 &lt;= 25),
          11 + N("Manager"),
          IF(AND($B1283 &gt;= 26, $B1283 &lt;= 36),
            10 + N("Coordinador"),
            IF(AND($B1283 &gt;= 37, $B1283 &lt;= 47),
              9 + N("Especialista"),
                IF(MOD($B1283,2) = 0,
                  8 + N("Analista"),
                  RANDBETWEEN(6,7) + N("Estagiário ou Trainee")
                )
            )
          )
        )
      )
    )
  )
)</f>
        <v>8</v>
      </c>
      <c r="O1283" s="6">
        <f t="shared" ref="O1283:O1346" ca="1" si="247" xml:space="preserve">
IF($N1283 =8 + N("Analyst"),
    RANDBETWEEN(2, 4) + N("Jr, Pleno, Sr"),
    NA()
)</f>
        <v>4</v>
      </c>
      <c r="P1283" s="8">
        <f t="shared" ref="P1283:P1346" ca="1" si="248" xml:space="preserve">
IF(
   $N1283=2 + N("Presidente"),
   36161,
   IF(
       OR(
         $N1283=3 + N("Vice-Presidente"),
         $N1283=4 + N("Diretor"),
         $N1283=5 + N("Secretária bilíngue")
       ),
       RANDBETWEEN(36161,36411),
       IF(
         ((TODAY() - $K1283) / 365) &lt; 19,
         TODAY(),
         RANDBETWEEN(36161,TODAY())
       )
   )
)</f>
        <v>37288</v>
      </c>
      <c r="Q1283" s="6">
        <f ca="1">RANDBETWEEN(2,COUNTA('Recruitment source'!$A:$A))</f>
        <v>8</v>
      </c>
      <c r="R1283" s="8" t="e">
        <f t="shared" ref="R1283:R1346" ca="1" si="249" xml:space="preserve">
IF(MOD(
     ROW(),111
   )=0,
   RANDBETWEEN($P1283 + 1,TODAY() - 1),NA()
)</f>
        <v>#N/A</v>
      </c>
      <c r="S1283" s="6" t="e">
        <f t="shared" ref="S1283:S1346" ca="1" si="250" xml:space="preserve">
IF(
  ISNA(R1283),
  NA(),
  RANDBETWEEN(2,IF($H1283="F",10,9))
)</f>
        <v>#N/A</v>
      </c>
      <c r="T1283" s="6">
        <f t="shared" ca="1" si="240"/>
        <v>4</v>
      </c>
      <c r="U1283" s="1">
        <f t="shared" ref="U1283:U1346" ca="1" si="251" xml:space="preserve">
IF($N1283 = 2 + N("Presidente"),
    25000,
    IF($N1283 = 3 + N("Vice-presidente"),
        23000,
        IF(OR($N1283 = 5, $N1283= 10, $N1283 = 9) + N("Secretária bilíngue ou coordenador ou especialista"),
            8000,
            IF($N1283 = 4 + N("Diretor"),
                15000,
                IF($N1283 = 11 + N("Gerente"),
                    12000,
                    IF($N1283 = 6 + N("Estagiário"),
                        805,
                        IF($N1283 = 7 + N("Trainee"),
                            1005,
                            IF($N1283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IF($L1283 = 7,
  100,
  IF($L1283 = 8,
    200,
    IF($L1283 = 9,
      300,
      IF($L1283 = 10,
        400,
        0
      )
    )
  )
)
+
N("Adicional no salário por área")
+
IF($M1283 = 14 + N("Tecnologia da Informação"),
  120,
  IF($M1283 = 16 + N("Vendas"),
    110,
    IF($M1283 = 15 + N("Jurídico"),
      100,
      IF(OR($M1283 = 8, $M1283 = 9, $M1283 = 11) + N("Recursos humanos ou comercial ou comunicação e marketing"),
        80,
        0
      )
    )
  )
)
+
N("Adicionando pegadinha")
+
IF(AND($M1283 = 13, $N1283 = 8) + N("Se for de vendas e analista"),
  IF($J1283 = 2,
    50,
    0
  )
  +
  IF($H1283 = "M",
    50,
    0
  ),
  0
)</f>
        <v>2080</v>
      </c>
    </row>
    <row r="1284" spans="1:21" x14ac:dyDescent="0.2">
      <c r="A1284" s="7" cm="1">
        <f t="array" aca="1" ref="A1284" ca="1">INDEX(Companies!$A:$A,RANDBETWEEN(2,COUNTA(Companies!$A:$A)),1)</f>
        <v>2</v>
      </c>
      <c r="B1284" s="5">
        <f t="shared" si="241"/>
        <v>1283</v>
      </c>
      <c r="C1284" s="6">
        <f t="shared" ca="1" si="242"/>
        <v>1</v>
      </c>
      <c r="D1284" s="7">
        <f ca="1">IF($B1284 = 1 + N("Presidente"),
    127,
    IF($B1284 = 2 + N("Vice-Presidente"),
        72,
        IF($B1284 = 3 + N("Secretária bilíngue"),
            13,
            RANDBETWEEN(5,COUNT(Name!$A:$A) + 1)
        )
    )
)</f>
        <v>131</v>
      </c>
      <c r="E1284" s="7" t="str">
        <f ca="1" xml:space="preserve">
VLOOKUP(
  $D1284,
  Name!$A:$B,
  2,
  FALSE
)
&amp; " " &amp;
IF($B1284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Erick Lima Mazza</v>
      </c>
      <c r="F1284" s="7">
        <v>2</v>
      </c>
      <c r="G1284" s="7" cm="1">
        <f t="array" aca="1" ref="G1284" ca="1">INDEX(States!$B:$B,RANDBETWEEN(2,COUNTA(States!$A:$A)),1)</f>
        <v>8</v>
      </c>
      <c r="H1284" s="7" t="str">
        <f ca="1">VLOOKUP($D1284,Name!$A:$C,3,FALSE)</f>
        <v>M</v>
      </c>
      <c r="I1284" s="7" cm="1">
        <f t="array" aca="1" ref="I1284" ca="1">INDEX('Marital status'!$A:$A,RANDBETWEEN(2,COUNTA('Marital status'!$A:$A)),1)</f>
        <v>2</v>
      </c>
      <c r="J1284" s="7">
        <f t="shared" ca="1" si="243"/>
        <v>2</v>
      </c>
      <c r="K1284" s="8">
        <f t="shared" ca="1" si="244"/>
        <v>34184</v>
      </c>
      <c r="L1284" s="6">
        <f t="shared" ca="1" si="245"/>
        <v>4</v>
      </c>
      <c r="M1284" s="7">
        <f ca="1" xml:space="preserve">
  IF(OR($N1284 = 2, $N1284 = 3, $N1284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284" s="6">
        <f t="shared" ca="1" si="246"/>
        <v>7</v>
      </c>
      <c r="O1284" s="6" t="e">
        <f t="shared" ca="1" si="247"/>
        <v>#N/A</v>
      </c>
      <c r="P1284" s="8">
        <f t="shared" ca="1" si="248"/>
        <v>43227</v>
      </c>
      <c r="Q1284" s="6">
        <f ca="1">RANDBETWEEN(2,COUNTA('Recruitment source'!$A:$A))</f>
        <v>8</v>
      </c>
      <c r="R1284" s="8" t="e">
        <f t="shared" ca="1" si="249"/>
        <v>#N/A</v>
      </c>
      <c r="S1284" s="6" t="e">
        <f t="shared" ca="1" si="250"/>
        <v>#N/A</v>
      </c>
      <c r="T1284" s="6">
        <f t="shared" ca="1" si="240"/>
        <v>4</v>
      </c>
      <c r="U1284" s="1">
        <f t="shared" ca="1" si="251"/>
        <v>1005</v>
      </c>
    </row>
    <row r="1285" spans="1:21" x14ac:dyDescent="0.2">
      <c r="A1285" s="7" cm="1">
        <f t="array" aca="1" ref="A1285" ca="1">INDEX(Companies!$A:$A,RANDBETWEEN(2,COUNTA(Companies!$A:$A)),1)</f>
        <v>2</v>
      </c>
      <c r="B1285" s="5">
        <f t="shared" si="241"/>
        <v>1284</v>
      </c>
      <c r="C1285" s="6">
        <f t="shared" ca="1" si="242"/>
        <v>1</v>
      </c>
      <c r="D1285" s="7">
        <f ca="1">IF($B1285 = 1 + N("Presidente"),
    127,
    IF($B1285 = 2 + N("Vice-Presidente"),
        72,
        IF($B1285 = 3 + N("Secretária bilíngue"),
            13,
            RANDBETWEEN(5,COUNT(Name!$A:$A) + 1)
        )
    )
)</f>
        <v>131</v>
      </c>
      <c r="E1285" s="7" t="str">
        <f ca="1" xml:space="preserve">
VLOOKUP(
  $D1285,
  Name!$A:$B,
  2,
  FALSE
)
&amp; " " &amp;
IF($B1285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Erick Pimentel Santacruz</v>
      </c>
      <c r="F1285" s="7">
        <v>2</v>
      </c>
      <c r="G1285" s="7" cm="1">
        <f t="array" aca="1" ref="G1285" ca="1">INDEX(States!$B:$B,RANDBETWEEN(2,COUNTA(States!$A:$A)),1)</f>
        <v>17</v>
      </c>
      <c r="H1285" s="7" t="str">
        <f ca="1">VLOOKUP($D1285,Name!$A:$C,3,FALSE)</f>
        <v>M</v>
      </c>
      <c r="I1285" s="7" cm="1">
        <f t="array" aca="1" ref="I1285" ca="1">INDEX('Marital status'!$A:$A,RANDBETWEEN(2,COUNTA('Marital status'!$A:$A)),1)</f>
        <v>6</v>
      </c>
      <c r="J1285" s="7">
        <f t="shared" ca="1" si="243"/>
        <v>2</v>
      </c>
      <c r="K1285" s="8">
        <f t="shared" ca="1" si="244"/>
        <v>33989</v>
      </c>
      <c r="L1285" s="6">
        <f t="shared" ca="1" si="245"/>
        <v>4</v>
      </c>
      <c r="M1285" s="7">
        <f ca="1" xml:space="preserve">
  IF(OR($N1285 = 2, $N1285 = 3, $N1285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285" s="6">
        <f t="shared" ca="1" si="246"/>
        <v>8</v>
      </c>
      <c r="O1285" s="6">
        <f t="shared" ca="1" si="247"/>
        <v>2</v>
      </c>
      <c r="P1285" s="8">
        <f t="shared" ca="1" si="248"/>
        <v>40743</v>
      </c>
      <c r="Q1285" s="6">
        <f ca="1">RANDBETWEEN(2,COUNTA('Recruitment source'!$A:$A))</f>
        <v>5</v>
      </c>
      <c r="R1285" s="8" t="e">
        <f t="shared" ca="1" si="249"/>
        <v>#N/A</v>
      </c>
      <c r="S1285" s="6" t="e">
        <f t="shared" ca="1" si="250"/>
        <v>#N/A</v>
      </c>
      <c r="T1285" s="6">
        <f t="shared" ca="1" si="240"/>
        <v>5</v>
      </c>
      <c r="U1285" s="1">
        <f t="shared" ca="1" si="251"/>
        <v>2080</v>
      </c>
    </row>
    <row r="1286" spans="1:21" x14ac:dyDescent="0.2">
      <c r="A1286" s="7" cm="1">
        <f t="array" aca="1" ref="A1286" ca="1">INDEX(Companies!$A:$A,RANDBETWEEN(2,COUNTA(Companies!$A:$A)),1)</f>
        <v>2</v>
      </c>
      <c r="B1286" s="5">
        <f t="shared" si="241"/>
        <v>1285</v>
      </c>
      <c r="C1286" s="6">
        <f t="shared" ca="1" si="242"/>
        <v>1</v>
      </c>
      <c r="D1286" s="7">
        <f ca="1">IF($B1286 = 1 + N("Presidente"),
    127,
    IF($B1286 = 2 + N("Vice-Presidente"),
        72,
        IF($B1286 = 3 + N("Secretária bilíngue"),
            13,
            RANDBETWEEN(5,COUNT(Name!$A:$A) + 1)
        )
    )
)</f>
        <v>346</v>
      </c>
      <c r="E1286" s="7" t="str">
        <f ca="1" xml:space="preserve">
VLOOKUP(
  $D1286,
  Name!$A:$B,
  2,
  FALSE
)
&amp; " " &amp;
IF($B1286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Tomas Farias Sá</v>
      </c>
      <c r="F1286" s="7">
        <v>2</v>
      </c>
      <c r="G1286" s="7" cm="1">
        <f t="array" aca="1" ref="G1286" ca="1">INDEX(States!$B:$B,RANDBETWEEN(2,COUNTA(States!$A:$A)),1)</f>
        <v>3</v>
      </c>
      <c r="H1286" s="7" t="str">
        <f ca="1">VLOOKUP($D1286,Name!$A:$C,3,FALSE)</f>
        <v>M</v>
      </c>
      <c r="I1286" s="7" cm="1">
        <f t="array" aca="1" ref="I1286" ca="1">INDEX('Marital status'!$A:$A,RANDBETWEEN(2,COUNTA('Marital status'!$A:$A)),1)</f>
        <v>4</v>
      </c>
      <c r="J1286" s="7">
        <f t="shared" ca="1" si="243"/>
        <v>2</v>
      </c>
      <c r="K1286" s="8">
        <f t="shared" ca="1" si="244"/>
        <v>31370</v>
      </c>
      <c r="L1286" s="6">
        <f t="shared" ca="1" si="245"/>
        <v>4</v>
      </c>
      <c r="M1286" s="7">
        <f ca="1" xml:space="preserve">
  IF(OR($N1286 = 2, $N1286 = 3, $N1286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286" s="6">
        <f t="shared" ca="1" si="246"/>
        <v>6</v>
      </c>
      <c r="O1286" s="6" t="e">
        <f t="shared" ca="1" si="247"/>
        <v>#N/A</v>
      </c>
      <c r="P1286" s="8">
        <f t="shared" ca="1" si="248"/>
        <v>39671</v>
      </c>
      <c r="Q1286" s="6">
        <f ca="1">RANDBETWEEN(2,COUNTA('Recruitment source'!$A:$A))</f>
        <v>6</v>
      </c>
      <c r="R1286" s="8" t="e">
        <f t="shared" ca="1" si="249"/>
        <v>#N/A</v>
      </c>
      <c r="S1286" s="6" t="e">
        <f t="shared" ca="1" si="250"/>
        <v>#N/A</v>
      </c>
      <c r="T1286" s="6">
        <f t="shared" ca="1" si="240"/>
        <v>5</v>
      </c>
      <c r="U1286" s="1">
        <f t="shared" ca="1" si="251"/>
        <v>805</v>
      </c>
    </row>
    <row r="1287" spans="1:21" x14ac:dyDescent="0.2">
      <c r="A1287" s="7" cm="1">
        <f t="array" aca="1" ref="A1287" ca="1">INDEX(Companies!$A:$A,RANDBETWEEN(2,COUNTA(Companies!$A:$A)),1)</f>
        <v>2</v>
      </c>
      <c r="B1287" s="5">
        <f t="shared" si="241"/>
        <v>1286</v>
      </c>
      <c r="C1287" s="6">
        <f t="shared" ca="1" si="242"/>
        <v>1</v>
      </c>
      <c r="D1287" s="7">
        <f ca="1">IF($B1287 = 1 + N("Presidente"),
    127,
    IF($B1287 = 2 + N("Vice-Presidente"),
        72,
        IF($B1287 = 3 + N("Secretária bilíngue"),
            13,
            RANDBETWEEN(5,COUNT(Name!$A:$A) + 1)
        )
    )
)</f>
        <v>151</v>
      </c>
      <c r="E1287" s="7" t="str">
        <f ca="1" xml:space="preserve">
VLOOKUP(
  $D1287,
  Name!$A:$B,
  2,
  FALSE
)
&amp; " " &amp;
IF($B1287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Gabrielly Freitas Noronha</v>
      </c>
      <c r="F1287" s="7">
        <v>2</v>
      </c>
      <c r="G1287" s="7" cm="1">
        <f t="array" aca="1" ref="G1287" ca="1">INDEX(States!$B:$B,RANDBETWEEN(2,COUNTA(States!$A:$A)),1)</f>
        <v>16</v>
      </c>
      <c r="H1287" s="7" t="str">
        <f ca="1">VLOOKUP($D1287,Name!$A:$C,3,FALSE)</f>
        <v>F</v>
      </c>
      <c r="I1287" s="7" cm="1">
        <f t="array" aca="1" ref="I1287" ca="1">INDEX('Marital status'!$A:$A,RANDBETWEEN(2,COUNTA('Marital status'!$A:$A)),1)</f>
        <v>6</v>
      </c>
      <c r="J1287" s="7">
        <f t="shared" ca="1" si="243"/>
        <v>4</v>
      </c>
      <c r="K1287" s="8">
        <f t="shared" ca="1" si="244"/>
        <v>34282</v>
      </c>
      <c r="L1287" s="6">
        <f t="shared" ca="1" si="245"/>
        <v>5</v>
      </c>
      <c r="M1287" s="7">
        <f ca="1" xml:space="preserve">
  IF(OR($N1287 = 2, $N1287 = 3, $N1287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287" s="6">
        <f t="shared" ca="1" si="246"/>
        <v>8</v>
      </c>
      <c r="O1287" s="6">
        <f t="shared" ca="1" si="247"/>
        <v>3</v>
      </c>
      <c r="P1287" s="8">
        <f t="shared" ca="1" si="248"/>
        <v>38250</v>
      </c>
      <c r="Q1287" s="6">
        <f ca="1">RANDBETWEEN(2,COUNTA('Recruitment source'!$A:$A))</f>
        <v>5</v>
      </c>
      <c r="R1287" s="8" t="e">
        <f t="shared" ca="1" si="249"/>
        <v>#N/A</v>
      </c>
      <c r="S1287" s="6" t="e">
        <f t="shared" ca="1" si="250"/>
        <v>#N/A</v>
      </c>
      <c r="T1287" s="6">
        <f t="shared" ca="1" si="240"/>
        <v>4</v>
      </c>
      <c r="U1287" s="1">
        <f t="shared" ca="1" si="251"/>
        <v>2080</v>
      </c>
    </row>
    <row r="1288" spans="1:21" x14ac:dyDescent="0.2">
      <c r="A1288" s="7" cm="1">
        <f t="array" aca="1" ref="A1288" ca="1">INDEX(Companies!$A:$A,RANDBETWEEN(2,COUNTA(Companies!$A:$A)),1)</f>
        <v>2</v>
      </c>
      <c r="B1288" s="5">
        <f t="shared" si="241"/>
        <v>1287</v>
      </c>
      <c r="C1288" s="6">
        <f t="shared" ca="1" si="242"/>
        <v>1</v>
      </c>
      <c r="D1288" s="7">
        <f ca="1">IF($B1288 = 1 + N("Presidente"),
    127,
    IF($B1288 = 2 + N("Vice-Presidente"),
        72,
        IF($B1288 = 3 + N("Secretária bilíngue"),
            13,
            RANDBETWEEN(5,COUNT(Name!$A:$A) + 1)
        )
    )
)</f>
        <v>265</v>
      </c>
      <c r="E1288" s="7" t="str">
        <f ca="1" xml:space="preserve">
VLOOKUP(
  $D1288,
  Name!$A:$B,
  2,
  FALSE
)
&amp; " " &amp;
IF($B1288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Glória Costatini Albuquerque</v>
      </c>
      <c r="F1288" s="7">
        <v>2</v>
      </c>
      <c r="G1288" s="7" cm="1">
        <f t="array" aca="1" ref="G1288" ca="1">INDEX(States!$B:$B,RANDBETWEEN(2,COUNTA(States!$A:$A)),1)</f>
        <v>15</v>
      </c>
      <c r="H1288" s="7" t="str">
        <f ca="1">VLOOKUP($D1288,Name!$A:$C,3,FALSE)</f>
        <v>F</v>
      </c>
      <c r="I1288" s="7" cm="1">
        <f t="array" aca="1" ref="I1288" ca="1">INDEX('Marital status'!$A:$A,RANDBETWEEN(2,COUNTA('Marital status'!$A:$A)),1)</f>
        <v>4</v>
      </c>
      <c r="J1288" s="7">
        <f t="shared" ca="1" si="243"/>
        <v>3</v>
      </c>
      <c r="K1288" s="8">
        <f t="shared" ca="1" si="244"/>
        <v>18372</v>
      </c>
      <c r="L1288" s="6">
        <f t="shared" ca="1" si="245"/>
        <v>4</v>
      </c>
      <c r="M1288" s="7">
        <f ca="1" xml:space="preserve">
  IF(OR($N1288 = 2, $N1288 = 3, $N1288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288" s="6">
        <f t="shared" ca="1" si="246"/>
        <v>6</v>
      </c>
      <c r="O1288" s="6" t="e">
        <f t="shared" ca="1" si="247"/>
        <v>#N/A</v>
      </c>
      <c r="P1288" s="8">
        <f t="shared" ca="1" si="248"/>
        <v>38927</v>
      </c>
      <c r="Q1288" s="6">
        <f ca="1">RANDBETWEEN(2,COUNTA('Recruitment source'!$A:$A))</f>
        <v>6</v>
      </c>
      <c r="R1288" s="8" t="e">
        <f t="shared" ca="1" si="249"/>
        <v>#N/A</v>
      </c>
      <c r="S1288" s="6" t="e">
        <f t="shared" ca="1" si="250"/>
        <v>#N/A</v>
      </c>
      <c r="T1288" s="6">
        <f t="shared" ca="1" si="240"/>
        <v>3</v>
      </c>
      <c r="U1288" s="1">
        <f t="shared" ca="1" si="251"/>
        <v>885</v>
      </c>
    </row>
    <row r="1289" spans="1:21" x14ac:dyDescent="0.2">
      <c r="A1289" s="7" cm="1">
        <f t="array" aca="1" ref="A1289" ca="1">INDEX(Companies!$A:$A,RANDBETWEEN(2,COUNTA(Companies!$A:$A)),1)</f>
        <v>2</v>
      </c>
      <c r="B1289" s="5">
        <f t="shared" si="241"/>
        <v>1288</v>
      </c>
      <c r="C1289" s="6">
        <f t="shared" ca="1" si="242"/>
        <v>1</v>
      </c>
      <c r="D1289" s="7">
        <f ca="1">IF($B1289 = 1 + N("Presidente"),
    127,
    IF($B1289 = 2 + N("Vice-Presidente"),
        72,
        IF($B1289 = 3 + N("Secretária bilíngue"),
            13,
            RANDBETWEEN(5,COUNT(Name!$A:$A) + 1)
        )
    )
)</f>
        <v>87</v>
      </c>
      <c r="E1289" s="7" t="str">
        <f ca="1" xml:space="preserve">
VLOOKUP(
  $D1289,
  Name!$A:$B,
  2,
  FALSE
)
&amp; " " &amp;
IF($B1289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Caroline Camões Batista</v>
      </c>
      <c r="F1289" s="7">
        <v>2</v>
      </c>
      <c r="G1289" s="7" cm="1">
        <f t="array" aca="1" ref="G1289" ca="1">INDEX(States!$B:$B,RANDBETWEEN(2,COUNTA(States!$A:$A)),1)</f>
        <v>19</v>
      </c>
      <c r="H1289" s="7" t="str">
        <f ca="1">VLOOKUP($D1289,Name!$A:$C,3,FALSE)</f>
        <v>F</v>
      </c>
      <c r="I1289" s="7" cm="1">
        <f t="array" aca="1" ref="I1289" ca="1">INDEX('Marital status'!$A:$A,RANDBETWEEN(2,COUNTA('Marital status'!$A:$A)),1)</f>
        <v>3</v>
      </c>
      <c r="J1289" s="7">
        <f t="shared" ca="1" si="243"/>
        <v>2</v>
      </c>
      <c r="K1289" s="8">
        <f t="shared" ca="1" si="244"/>
        <v>34007</v>
      </c>
      <c r="L1289" s="6">
        <f t="shared" ca="1" si="245"/>
        <v>4</v>
      </c>
      <c r="M1289" s="7">
        <f ca="1" xml:space="preserve">
  IF(OR($N1289 = 2, $N1289 = 3, $N1289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289" s="6">
        <f t="shared" ca="1" si="246"/>
        <v>8</v>
      </c>
      <c r="O1289" s="6">
        <f t="shared" ca="1" si="247"/>
        <v>2</v>
      </c>
      <c r="P1289" s="8">
        <f t="shared" ca="1" si="248"/>
        <v>41446</v>
      </c>
      <c r="Q1289" s="6">
        <f ca="1">RANDBETWEEN(2,COUNTA('Recruitment source'!$A:$A))</f>
        <v>12</v>
      </c>
      <c r="R1289" s="8" t="e">
        <f t="shared" ca="1" si="249"/>
        <v>#N/A</v>
      </c>
      <c r="S1289" s="6" t="e">
        <f t="shared" ca="1" si="250"/>
        <v>#N/A</v>
      </c>
      <c r="T1289" s="6">
        <f t="shared" ca="1" si="240"/>
        <v>4</v>
      </c>
      <c r="U1289" s="1">
        <f t="shared" ca="1" si="251"/>
        <v>2000</v>
      </c>
    </row>
    <row r="1290" spans="1:21" x14ac:dyDescent="0.2">
      <c r="A1290" s="7" cm="1">
        <f t="array" aca="1" ref="A1290" ca="1">INDEX(Companies!$A:$A,RANDBETWEEN(2,COUNTA(Companies!$A:$A)),1)</f>
        <v>2</v>
      </c>
      <c r="B1290" s="5">
        <f t="shared" si="241"/>
        <v>1289</v>
      </c>
      <c r="C1290" s="6">
        <f t="shared" ca="1" si="242"/>
        <v>1</v>
      </c>
      <c r="D1290" s="7">
        <f ca="1">IF($B1290 = 1 + N("Presidente"),
    127,
    IF($B1290 = 2 + N("Vice-Presidente"),
        72,
        IF($B1290 = 3 + N("Secretária bilíngue"),
            13,
            RANDBETWEEN(5,COUNT(Name!$A:$A) + 1)
        )
    )
)</f>
        <v>57</v>
      </c>
      <c r="E1290" s="7" t="str">
        <f ca="1" xml:space="preserve">
VLOOKUP(
  $D1290,
  Name!$A:$B,
  2,
  FALSE
)
&amp; " " &amp;
IF($B1290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Henrique Noronha Bianchi</v>
      </c>
      <c r="F1290" s="7">
        <v>2</v>
      </c>
      <c r="G1290" s="7" cm="1">
        <f t="array" aca="1" ref="G1290" ca="1">INDEX(States!$B:$B,RANDBETWEEN(2,COUNTA(States!$A:$A)),1)</f>
        <v>15</v>
      </c>
      <c r="H1290" s="7" t="str">
        <f ca="1">VLOOKUP($D1290,Name!$A:$C,3,FALSE)</f>
        <v>M</v>
      </c>
      <c r="I1290" s="7" cm="1">
        <f t="array" aca="1" ref="I1290" ca="1">INDEX('Marital status'!$A:$A,RANDBETWEEN(2,COUNTA('Marital status'!$A:$A)),1)</f>
        <v>4</v>
      </c>
      <c r="J1290" s="7">
        <f t="shared" ca="1" si="243"/>
        <v>2</v>
      </c>
      <c r="K1290" s="8">
        <f t="shared" ca="1" si="244"/>
        <v>30007</v>
      </c>
      <c r="L1290" s="6">
        <f t="shared" ca="1" si="245"/>
        <v>4</v>
      </c>
      <c r="M1290" s="7">
        <f ca="1" xml:space="preserve">
  IF(OR($N1290 = 2, $N1290 = 3, $N1290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290" s="6">
        <f t="shared" ca="1" si="246"/>
        <v>6</v>
      </c>
      <c r="O1290" s="6" t="e">
        <f t="shared" ca="1" si="247"/>
        <v>#N/A</v>
      </c>
      <c r="P1290" s="8">
        <f t="shared" ca="1" si="248"/>
        <v>39537</v>
      </c>
      <c r="Q1290" s="6">
        <f ca="1">RANDBETWEEN(2,COUNTA('Recruitment source'!$A:$A))</f>
        <v>8</v>
      </c>
      <c r="R1290" s="8" t="e">
        <f t="shared" ca="1" si="249"/>
        <v>#N/A</v>
      </c>
      <c r="S1290" s="6" t="e">
        <f t="shared" ca="1" si="250"/>
        <v>#N/A</v>
      </c>
      <c r="T1290" s="6">
        <f t="shared" ca="1" si="240"/>
        <v>3</v>
      </c>
      <c r="U1290" s="1">
        <f t="shared" ca="1" si="251"/>
        <v>885</v>
      </c>
    </row>
    <row r="1291" spans="1:21" x14ac:dyDescent="0.2">
      <c r="A1291" s="7" cm="1">
        <f t="array" aca="1" ref="A1291" ca="1">INDEX(Companies!$A:$A,RANDBETWEEN(2,COUNTA(Companies!$A:$A)),1)</f>
        <v>2</v>
      </c>
      <c r="B1291" s="5">
        <f t="shared" si="241"/>
        <v>1290</v>
      </c>
      <c r="C1291" s="6">
        <f t="shared" ca="1" si="242"/>
        <v>1</v>
      </c>
      <c r="D1291" s="7">
        <f ca="1">IF($B1291 = 1 + N("Presidente"),
    127,
    IF($B1291 = 2 + N("Vice-Presidente"),
        72,
        IF($B1291 = 3 + N("Secretária bilíngue"),
            13,
            RANDBETWEEN(5,COUNT(Name!$A:$A) + 1)
        )
    )
)</f>
        <v>223</v>
      </c>
      <c r="E1291" s="7" t="str">
        <f ca="1" xml:space="preserve">
VLOOKUP(
  $D1291,
  Name!$A:$B,
  2,
  FALSE
)
&amp; " " &amp;
IF($B1291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Leonardo Bianchi Camacho</v>
      </c>
      <c r="F1291" s="7">
        <v>2</v>
      </c>
      <c r="G1291" s="7" cm="1">
        <f t="array" aca="1" ref="G1291" ca="1">INDEX(States!$B:$B,RANDBETWEEN(2,COUNTA(States!$A:$A)),1)</f>
        <v>15</v>
      </c>
      <c r="H1291" s="7" t="str">
        <f ca="1">VLOOKUP($D1291,Name!$A:$C,3,FALSE)</f>
        <v>M</v>
      </c>
      <c r="I1291" s="7" cm="1">
        <f t="array" aca="1" ref="I1291" ca="1">INDEX('Marital status'!$A:$A,RANDBETWEEN(2,COUNTA('Marital status'!$A:$A)),1)</f>
        <v>4</v>
      </c>
      <c r="J1291" s="7">
        <f t="shared" ca="1" si="243"/>
        <v>2</v>
      </c>
      <c r="K1291" s="8">
        <f t="shared" ca="1" si="244"/>
        <v>38022</v>
      </c>
      <c r="L1291" s="6">
        <f t="shared" ca="1" si="245"/>
        <v>5</v>
      </c>
      <c r="M1291" s="7">
        <f ca="1" xml:space="preserve">
  IF(OR($N1291 = 2, $N1291 = 3, $N1291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291" s="6">
        <f t="shared" ca="1" si="246"/>
        <v>8</v>
      </c>
      <c r="O1291" s="6">
        <f t="shared" ca="1" si="247"/>
        <v>2</v>
      </c>
      <c r="P1291" s="8">
        <f t="shared" ca="1" si="248"/>
        <v>44838</v>
      </c>
      <c r="Q1291" s="6">
        <f ca="1">RANDBETWEEN(2,COUNTA('Recruitment source'!$A:$A))</f>
        <v>2</v>
      </c>
      <c r="R1291" s="8" t="e">
        <f t="shared" ca="1" si="249"/>
        <v>#N/A</v>
      </c>
      <c r="S1291" s="6" t="e">
        <f t="shared" ca="1" si="250"/>
        <v>#N/A</v>
      </c>
      <c r="T1291" s="6">
        <f t="shared" ca="1" si="240"/>
        <v>2</v>
      </c>
      <c r="U1291" s="1">
        <f t="shared" ca="1" si="251"/>
        <v>2000</v>
      </c>
    </row>
    <row r="1292" spans="1:21" x14ac:dyDescent="0.2">
      <c r="A1292" s="7" cm="1">
        <f t="array" aca="1" ref="A1292" ca="1">INDEX(Companies!$A:$A,RANDBETWEEN(2,COUNTA(Companies!$A:$A)),1)</f>
        <v>2</v>
      </c>
      <c r="B1292" s="5">
        <f t="shared" si="241"/>
        <v>1291</v>
      </c>
      <c r="C1292" s="6">
        <f t="shared" ca="1" si="242"/>
        <v>1</v>
      </c>
      <c r="D1292" s="7">
        <f ca="1">IF($B1292 = 1 + N("Presidente"),
    127,
    IF($B1292 = 2 + N("Vice-Presidente"),
        72,
        IF($B1292 = 3 + N("Secretária bilíngue"),
            13,
            RANDBETWEEN(5,COUNT(Name!$A:$A) + 1)
        )
    )
)</f>
        <v>227</v>
      </c>
      <c r="E1292" s="7" t="str">
        <f ca="1" xml:space="preserve">
VLOOKUP(
  $D1292,
  Name!$A:$B,
  2,
  FALSE
)
&amp; " " &amp;
IF($B1292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Lia Monti Nascimento</v>
      </c>
      <c r="F1292" s="7">
        <v>2</v>
      </c>
      <c r="G1292" s="7" cm="1">
        <f t="array" aca="1" ref="G1292" ca="1">INDEX(States!$B:$B,RANDBETWEEN(2,COUNTA(States!$A:$A)),1)</f>
        <v>20</v>
      </c>
      <c r="H1292" s="7" t="str">
        <f ca="1">VLOOKUP($D1292,Name!$A:$C,3,FALSE)</f>
        <v>F</v>
      </c>
      <c r="I1292" s="7" cm="1">
        <f t="array" aca="1" ref="I1292" ca="1">INDEX('Marital status'!$A:$A,RANDBETWEEN(2,COUNTA('Marital status'!$A:$A)),1)</f>
        <v>2</v>
      </c>
      <c r="J1292" s="7">
        <f t="shared" ca="1" si="243"/>
        <v>5</v>
      </c>
      <c r="K1292" s="8">
        <f t="shared" ca="1" si="244"/>
        <v>33028</v>
      </c>
      <c r="L1292" s="6">
        <f t="shared" ca="1" si="245"/>
        <v>4</v>
      </c>
      <c r="M1292" s="7">
        <f ca="1" xml:space="preserve">
  IF(OR($N1292 = 2, $N1292 = 3, $N1292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292" s="6">
        <f t="shared" ca="1" si="246"/>
        <v>7</v>
      </c>
      <c r="O1292" s="6" t="e">
        <f t="shared" ca="1" si="247"/>
        <v>#N/A</v>
      </c>
      <c r="P1292" s="8">
        <f t="shared" ca="1" si="248"/>
        <v>42488</v>
      </c>
      <c r="Q1292" s="6">
        <f ca="1">RANDBETWEEN(2,COUNTA('Recruitment source'!$A:$A))</f>
        <v>5</v>
      </c>
      <c r="R1292" s="8" t="e">
        <f t="shared" ca="1" si="249"/>
        <v>#N/A</v>
      </c>
      <c r="S1292" s="6" t="e">
        <f t="shared" ca="1" si="250"/>
        <v>#N/A</v>
      </c>
      <c r="T1292" s="6">
        <f t="shared" ca="1" si="240"/>
        <v>2</v>
      </c>
      <c r="U1292" s="1">
        <f t="shared" ca="1" si="251"/>
        <v>1005</v>
      </c>
    </row>
    <row r="1293" spans="1:21" x14ac:dyDescent="0.2">
      <c r="A1293" s="7" cm="1">
        <f t="array" aca="1" ref="A1293" ca="1">INDEX(Companies!$A:$A,RANDBETWEEN(2,COUNTA(Companies!$A:$A)),1)</f>
        <v>2</v>
      </c>
      <c r="B1293" s="5">
        <f t="shared" si="241"/>
        <v>1292</v>
      </c>
      <c r="C1293" s="6">
        <f t="shared" ca="1" si="242"/>
        <v>1</v>
      </c>
      <c r="D1293" s="7">
        <f ca="1">IF($B1293 = 1 + N("Presidente"),
    127,
    IF($B1293 = 2 + N("Vice-Presidente"),
        72,
        IF($B1293 = 3 + N("Secretária bilíngue"),
            13,
            RANDBETWEEN(5,COUNT(Name!$A:$A) + 1)
        )
    )
)</f>
        <v>55</v>
      </c>
      <c r="E1293" s="7" t="str">
        <f ca="1" xml:space="preserve">
VLOOKUP(
  $D1293,
  Name!$A:$B,
  2,
  FALSE
)
&amp; " " &amp;
IF($B1293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Santana Testa</v>
      </c>
      <c r="F1293" s="7">
        <v>2</v>
      </c>
      <c r="G1293" s="7" cm="1">
        <f t="array" aca="1" ref="G1293" ca="1">INDEX(States!$B:$B,RANDBETWEEN(2,COUNTA(States!$A:$A)),1)</f>
        <v>15</v>
      </c>
      <c r="H1293" s="7" t="str">
        <f ca="1">VLOOKUP($D1293,Name!$A:$C,3,FALSE)</f>
        <v>M</v>
      </c>
      <c r="I1293" s="7" cm="1">
        <f t="array" aca="1" ref="I1293" ca="1">INDEX('Marital status'!$A:$A,RANDBETWEEN(2,COUNTA('Marital status'!$A:$A)),1)</f>
        <v>5</v>
      </c>
      <c r="J1293" s="7">
        <f t="shared" ca="1" si="243"/>
        <v>2</v>
      </c>
      <c r="K1293" s="8">
        <f t="shared" ca="1" si="244"/>
        <v>37779</v>
      </c>
      <c r="L1293" s="6">
        <f t="shared" ca="1" si="245"/>
        <v>4</v>
      </c>
      <c r="M1293" s="7">
        <f ca="1" xml:space="preserve">
  IF(OR($N1293 = 2, $N1293 = 3, $N1293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293" s="6">
        <f t="shared" ca="1" si="246"/>
        <v>8</v>
      </c>
      <c r="O1293" s="6">
        <f t="shared" ca="1" si="247"/>
        <v>4</v>
      </c>
      <c r="P1293" s="8">
        <f t="shared" ca="1" si="248"/>
        <v>43062</v>
      </c>
      <c r="Q1293" s="6">
        <f ca="1">RANDBETWEEN(2,COUNTA('Recruitment source'!$A:$A))</f>
        <v>5</v>
      </c>
      <c r="R1293" s="8" t="e">
        <f t="shared" ca="1" si="249"/>
        <v>#N/A</v>
      </c>
      <c r="S1293" s="6" t="e">
        <f t="shared" ca="1" si="250"/>
        <v>#N/A</v>
      </c>
      <c r="T1293" s="6">
        <f t="shared" ca="1" si="240"/>
        <v>4</v>
      </c>
      <c r="U1293" s="1">
        <f t="shared" ca="1" si="251"/>
        <v>2000</v>
      </c>
    </row>
    <row r="1294" spans="1:21" x14ac:dyDescent="0.2">
      <c r="A1294" s="7" cm="1">
        <f t="array" aca="1" ref="A1294" ca="1">INDEX(Companies!$A:$A,RANDBETWEEN(2,COUNTA(Companies!$A:$A)),1)</f>
        <v>2</v>
      </c>
      <c r="B1294" s="5">
        <f t="shared" si="241"/>
        <v>1293</v>
      </c>
      <c r="C1294" s="6">
        <f t="shared" ca="1" si="242"/>
        <v>1</v>
      </c>
      <c r="D1294" s="7">
        <f ca="1">IF($B1294 = 1 + N("Presidente"),
    127,
    IF($B1294 = 2 + N("Vice-Presidente"),
        72,
        IF($B1294 = 3 + N("Secretária bilíngue"),
            13,
            RANDBETWEEN(5,COUNT(Name!$A:$A) + 1)
        )
    )
)</f>
        <v>358</v>
      </c>
      <c r="E1294" s="7" t="str">
        <f ca="1" xml:space="preserve">
VLOOKUP(
  $D1294,
  Name!$A:$B,
  2,
  FALSE
)
&amp; " " &amp;
IF($B1294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Vinícius Alvarenga Faria</v>
      </c>
      <c r="F1294" s="7">
        <v>2</v>
      </c>
      <c r="G1294" s="7" cm="1">
        <f t="array" aca="1" ref="G1294" ca="1">INDEX(States!$B:$B,RANDBETWEEN(2,COUNTA(States!$A:$A)),1)</f>
        <v>10</v>
      </c>
      <c r="H1294" s="7" t="str">
        <f ca="1">VLOOKUP($D1294,Name!$A:$C,3,FALSE)</f>
        <v>M</v>
      </c>
      <c r="I1294" s="7" cm="1">
        <f t="array" aca="1" ref="I1294" ca="1">INDEX('Marital status'!$A:$A,RANDBETWEEN(2,COUNTA('Marital status'!$A:$A)),1)</f>
        <v>4</v>
      </c>
      <c r="J1294" s="7">
        <f t="shared" ca="1" si="243"/>
        <v>2</v>
      </c>
      <c r="K1294" s="8">
        <f t="shared" ca="1" si="244"/>
        <v>30831</v>
      </c>
      <c r="L1294" s="6">
        <f t="shared" ca="1" si="245"/>
        <v>4</v>
      </c>
      <c r="M1294" s="7">
        <f ca="1" xml:space="preserve">
  IF(OR($N1294 = 2, $N1294 = 3, $N1294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294" s="6">
        <f t="shared" ca="1" si="246"/>
        <v>7</v>
      </c>
      <c r="O1294" s="6" t="e">
        <f t="shared" ca="1" si="247"/>
        <v>#N/A</v>
      </c>
      <c r="P1294" s="8">
        <f t="shared" ca="1" si="248"/>
        <v>38924</v>
      </c>
      <c r="Q1294" s="6">
        <f ca="1">RANDBETWEEN(2,COUNTA('Recruitment source'!$A:$A))</f>
        <v>4</v>
      </c>
      <c r="R1294" s="8" t="e">
        <f t="shared" ca="1" si="249"/>
        <v>#N/A</v>
      </c>
      <c r="S1294" s="6" t="e">
        <f t="shared" ca="1" si="250"/>
        <v>#N/A</v>
      </c>
      <c r="T1294" s="6">
        <f t="shared" ca="1" si="240"/>
        <v>4</v>
      </c>
      <c r="U1294" s="1">
        <f t="shared" ca="1" si="251"/>
        <v>1005</v>
      </c>
    </row>
    <row r="1295" spans="1:21" x14ac:dyDescent="0.2">
      <c r="A1295" s="7" cm="1">
        <f t="array" aca="1" ref="A1295" ca="1">INDEX(Companies!$A:$A,RANDBETWEEN(2,COUNTA(Companies!$A:$A)),1)</f>
        <v>2</v>
      </c>
      <c r="B1295" s="5">
        <f t="shared" si="241"/>
        <v>1294</v>
      </c>
      <c r="C1295" s="6">
        <f t="shared" ca="1" si="242"/>
        <v>1</v>
      </c>
      <c r="D1295" s="7">
        <f ca="1">IF($B1295 = 1 + N("Presidente"),
    127,
    IF($B1295 = 2 + N("Vice-Presidente"),
        72,
        IF($B1295 = 3 + N("Secretária bilíngue"),
            13,
            RANDBETWEEN(5,COUNT(Name!$A:$A) + 1)
        )
    )
)</f>
        <v>259</v>
      </c>
      <c r="E1295" s="7" t="str">
        <f ca="1" xml:space="preserve">
VLOOKUP(
  $D1295,
  Name!$A:$B,
  2,
  FALSE
)
&amp; " " &amp;
IF($B1295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Carolina Saragoça Moretti</v>
      </c>
      <c r="F1295" s="7">
        <v>2</v>
      </c>
      <c r="G1295" s="7" cm="1">
        <f t="array" aca="1" ref="G1295" ca="1">INDEX(States!$B:$B,RANDBETWEEN(2,COUNTA(States!$A:$A)),1)</f>
        <v>9</v>
      </c>
      <c r="H1295" s="7" t="str">
        <f ca="1">VLOOKUP($D1295,Name!$A:$C,3,FALSE)</f>
        <v>F</v>
      </c>
      <c r="I1295" s="7" cm="1">
        <f t="array" aca="1" ref="I1295" ca="1">INDEX('Marital status'!$A:$A,RANDBETWEEN(2,COUNTA('Marital status'!$A:$A)),1)</f>
        <v>2</v>
      </c>
      <c r="J1295" s="7">
        <f t="shared" ca="1" si="243"/>
        <v>3</v>
      </c>
      <c r="K1295" s="8">
        <f t="shared" ca="1" si="244"/>
        <v>34236</v>
      </c>
      <c r="L1295" s="6">
        <f t="shared" ca="1" si="245"/>
        <v>5</v>
      </c>
      <c r="M1295" s="7">
        <f ca="1" xml:space="preserve">
  IF(OR($N1295 = 2, $N1295 = 3, $N1295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295" s="6">
        <f t="shared" ca="1" si="246"/>
        <v>8</v>
      </c>
      <c r="O1295" s="6">
        <f t="shared" ca="1" si="247"/>
        <v>3</v>
      </c>
      <c r="P1295" s="8">
        <f t="shared" ca="1" si="248"/>
        <v>39338</v>
      </c>
      <c r="Q1295" s="6">
        <f ca="1">RANDBETWEEN(2,COUNTA('Recruitment source'!$A:$A))</f>
        <v>12</v>
      </c>
      <c r="R1295" s="8" t="e">
        <f t="shared" ca="1" si="249"/>
        <v>#N/A</v>
      </c>
      <c r="S1295" s="6" t="e">
        <f t="shared" ca="1" si="250"/>
        <v>#N/A</v>
      </c>
      <c r="T1295" s="6">
        <f t="shared" ca="1" si="240"/>
        <v>2</v>
      </c>
      <c r="U1295" s="1">
        <f t="shared" ca="1" si="251"/>
        <v>2080</v>
      </c>
    </row>
    <row r="1296" spans="1:21" x14ac:dyDescent="0.2">
      <c r="A1296" s="7" cm="1">
        <f t="array" aca="1" ref="A1296" ca="1">INDEX(Companies!$A:$A,RANDBETWEEN(2,COUNTA(Companies!$A:$A)),1)</f>
        <v>2</v>
      </c>
      <c r="B1296" s="5">
        <f t="shared" si="241"/>
        <v>1295</v>
      </c>
      <c r="C1296" s="6">
        <f t="shared" ca="1" si="242"/>
        <v>1</v>
      </c>
      <c r="D1296" s="7">
        <f ca="1">IF($B1296 = 1 + N("Presidente"),
    127,
    IF($B1296 = 2 + N("Vice-Presidente"),
        72,
        IF($B1296 = 3 + N("Secretária bilíngue"),
            13,
            RANDBETWEEN(5,COUNT(Name!$A:$A) + 1)
        )
    )
)</f>
        <v>71</v>
      </c>
      <c r="E1296" s="7" t="str">
        <f ca="1" xml:space="preserve">
VLOOKUP(
  $D1296,
  Name!$A:$B,
  2,
  FALSE
)
&amp; " " &amp;
IF($B1296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Bernardo Medeiros Simões</v>
      </c>
      <c r="F1296" s="7">
        <v>2</v>
      </c>
      <c r="G1296" s="7" cm="1">
        <f t="array" aca="1" ref="G1296" ca="1">INDEX(States!$B:$B,RANDBETWEEN(2,COUNTA(States!$A:$A)),1)</f>
        <v>4</v>
      </c>
      <c r="H1296" s="7" t="str">
        <f ca="1">VLOOKUP($D1296,Name!$A:$C,3,FALSE)</f>
        <v>M</v>
      </c>
      <c r="I1296" s="7" cm="1">
        <f t="array" aca="1" ref="I1296" ca="1">INDEX('Marital status'!$A:$A,RANDBETWEEN(2,COUNTA('Marital status'!$A:$A)),1)</f>
        <v>5</v>
      </c>
      <c r="J1296" s="7">
        <f t="shared" ca="1" si="243"/>
        <v>2</v>
      </c>
      <c r="K1296" s="8">
        <f t="shared" ca="1" si="244"/>
        <v>28628</v>
      </c>
      <c r="L1296" s="6">
        <f t="shared" ca="1" si="245"/>
        <v>4</v>
      </c>
      <c r="M1296" s="7">
        <f ca="1" xml:space="preserve">
  IF(OR($N1296 = 2, $N1296 = 3, $N1296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296" s="6">
        <f t="shared" ca="1" si="246"/>
        <v>6</v>
      </c>
      <c r="O1296" s="6" t="e">
        <f t="shared" ca="1" si="247"/>
        <v>#N/A</v>
      </c>
      <c r="P1296" s="8">
        <f t="shared" ca="1" si="248"/>
        <v>42980</v>
      </c>
      <c r="Q1296" s="6">
        <f ca="1">RANDBETWEEN(2,COUNTA('Recruitment source'!$A:$A))</f>
        <v>5</v>
      </c>
      <c r="R1296" s="8" t="e">
        <f t="shared" ca="1" si="249"/>
        <v>#N/A</v>
      </c>
      <c r="S1296" s="6" t="e">
        <f t="shared" ca="1" si="250"/>
        <v>#N/A</v>
      </c>
      <c r="T1296" s="6">
        <f t="shared" ca="1" si="240"/>
        <v>3</v>
      </c>
      <c r="U1296" s="1">
        <f t="shared" ca="1" si="251"/>
        <v>805</v>
      </c>
    </row>
    <row r="1297" spans="1:21" x14ac:dyDescent="0.2">
      <c r="A1297" s="7" cm="1">
        <f t="array" aca="1" ref="A1297" ca="1">INDEX(Companies!$A:$A,RANDBETWEEN(2,COUNTA(Companies!$A:$A)),1)</f>
        <v>2</v>
      </c>
      <c r="B1297" s="5">
        <f t="shared" si="241"/>
        <v>1296</v>
      </c>
      <c r="C1297" s="6">
        <f t="shared" ca="1" si="242"/>
        <v>1</v>
      </c>
      <c r="D1297" s="7">
        <f ca="1">IF($B1297 = 1 + N("Presidente"),
    127,
    IF($B1297 = 2 + N("Vice-Presidente"),
        72,
        IF($B1297 = 3 + N("Secretária bilíngue"),
            13,
            RANDBETWEEN(5,COUNT(Name!$A:$A) + 1)
        )
    )
)</f>
        <v>301</v>
      </c>
      <c r="E1297" s="7" t="str">
        <f ca="1" xml:space="preserve">
VLOOKUP(
  $D1297,
  Name!$A:$B,
  2,
  FALSE
)
&amp; " " &amp;
IF($B1297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Murilo Martini Barboza</v>
      </c>
      <c r="F1297" s="7">
        <v>2</v>
      </c>
      <c r="G1297" s="7" cm="1">
        <f t="array" aca="1" ref="G1297" ca="1">INDEX(States!$B:$B,RANDBETWEEN(2,COUNTA(States!$A:$A)),1)</f>
        <v>11</v>
      </c>
      <c r="H1297" s="7" t="str">
        <f ca="1">VLOOKUP($D1297,Name!$A:$C,3,FALSE)</f>
        <v>M</v>
      </c>
      <c r="I1297" s="7" cm="1">
        <f t="array" aca="1" ref="I1297" ca="1">INDEX('Marital status'!$A:$A,RANDBETWEEN(2,COUNTA('Marital status'!$A:$A)),1)</f>
        <v>2</v>
      </c>
      <c r="J1297" s="7">
        <f t="shared" ca="1" si="243"/>
        <v>2</v>
      </c>
      <c r="K1297" s="8">
        <f t="shared" ca="1" si="244"/>
        <v>32866</v>
      </c>
      <c r="L1297" s="6">
        <f t="shared" ca="1" si="245"/>
        <v>5</v>
      </c>
      <c r="M1297" s="7">
        <f ca="1" xml:space="preserve">
  IF(OR($N1297 = 2, $N1297 = 3, $N1297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297" s="6">
        <f t="shared" ca="1" si="246"/>
        <v>8</v>
      </c>
      <c r="O1297" s="6">
        <f t="shared" ca="1" si="247"/>
        <v>3</v>
      </c>
      <c r="P1297" s="8">
        <f t="shared" ca="1" si="248"/>
        <v>37425</v>
      </c>
      <c r="Q1297" s="6">
        <f ca="1">RANDBETWEEN(2,COUNTA('Recruitment source'!$A:$A))</f>
        <v>4</v>
      </c>
      <c r="R1297" s="8" t="e">
        <f t="shared" ca="1" si="249"/>
        <v>#N/A</v>
      </c>
      <c r="S1297" s="6" t="e">
        <f t="shared" ca="1" si="250"/>
        <v>#N/A</v>
      </c>
      <c r="T1297" s="6">
        <f t="shared" ca="1" si="240"/>
        <v>5</v>
      </c>
      <c r="U1297" s="1">
        <f t="shared" ca="1" si="251"/>
        <v>2000</v>
      </c>
    </row>
    <row r="1298" spans="1:21" x14ac:dyDescent="0.2">
      <c r="A1298" s="7" cm="1">
        <f t="array" aca="1" ref="A1298" ca="1">INDEX(Companies!$A:$A,RANDBETWEEN(2,COUNTA(Companies!$A:$A)),1)</f>
        <v>2</v>
      </c>
      <c r="B1298" s="5">
        <f t="shared" si="241"/>
        <v>1297</v>
      </c>
      <c r="C1298" s="6">
        <f t="shared" ca="1" si="242"/>
        <v>1</v>
      </c>
      <c r="D1298" s="7">
        <f ca="1">IF($B1298 = 1 + N("Presidente"),
    127,
    IF($B1298 = 2 + N("Vice-Presidente"),
        72,
        IF($B1298 = 3 + N("Secretária bilíngue"),
            13,
            RANDBETWEEN(5,COUNT(Name!$A:$A) + 1)
        )
    )
)</f>
        <v>26</v>
      </c>
      <c r="E1298" s="7" t="str">
        <f ca="1" xml:space="preserve">
VLOOKUP(
  $D1298,
  Name!$A:$B,
  2,
  FALSE
)
&amp; " " &amp;
IF($B1298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Beatriz Barbieri Anjos</v>
      </c>
      <c r="F1298" s="7">
        <v>2</v>
      </c>
      <c r="G1298" s="7" cm="1">
        <f t="array" aca="1" ref="G1298" ca="1">INDEX(States!$B:$B,RANDBETWEEN(2,COUNTA(States!$A:$A)),1)</f>
        <v>5</v>
      </c>
      <c r="H1298" s="7" t="str">
        <f ca="1">VLOOKUP($D1298,Name!$A:$C,3,FALSE)</f>
        <v>F</v>
      </c>
      <c r="I1298" s="7" cm="1">
        <f t="array" aca="1" ref="I1298" ca="1">INDEX('Marital status'!$A:$A,RANDBETWEEN(2,COUNTA('Marital status'!$A:$A)),1)</f>
        <v>5</v>
      </c>
      <c r="J1298" s="7">
        <f t="shared" ca="1" si="243"/>
        <v>4</v>
      </c>
      <c r="K1298" s="8">
        <f t="shared" ca="1" si="244"/>
        <v>35923</v>
      </c>
      <c r="L1298" s="6">
        <f t="shared" ca="1" si="245"/>
        <v>4</v>
      </c>
      <c r="M1298" s="7">
        <f ca="1" xml:space="preserve">
  IF(OR($N1298 = 2, $N1298 = 3, $N1298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298" s="6">
        <f t="shared" ca="1" si="246"/>
        <v>7</v>
      </c>
      <c r="O1298" s="6" t="e">
        <f t="shared" ca="1" si="247"/>
        <v>#N/A</v>
      </c>
      <c r="P1298" s="8">
        <f t="shared" ca="1" si="248"/>
        <v>36992</v>
      </c>
      <c r="Q1298" s="6">
        <f ca="1">RANDBETWEEN(2,COUNTA('Recruitment source'!$A:$A))</f>
        <v>7</v>
      </c>
      <c r="R1298" s="8" t="e">
        <f t="shared" ca="1" si="249"/>
        <v>#N/A</v>
      </c>
      <c r="S1298" s="6" t="e">
        <f t="shared" ca="1" si="250"/>
        <v>#N/A</v>
      </c>
      <c r="T1298" s="6">
        <f t="shared" ca="1" si="240"/>
        <v>2</v>
      </c>
      <c r="U1298" s="1">
        <f t="shared" ca="1" si="251"/>
        <v>1005</v>
      </c>
    </row>
    <row r="1299" spans="1:21" x14ac:dyDescent="0.2">
      <c r="A1299" s="7" cm="1">
        <f t="array" aca="1" ref="A1299" ca="1">INDEX(Companies!$A:$A,RANDBETWEEN(2,COUNTA(Companies!$A:$A)),1)</f>
        <v>2</v>
      </c>
      <c r="B1299" s="5">
        <f t="shared" si="241"/>
        <v>1298</v>
      </c>
      <c r="C1299" s="6">
        <f t="shared" ca="1" si="242"/>
        <v>1</v>
      </c>
      <c r="D1299" s="7">
        <f ca="1">IF($B1299 = 1 + N("Presidente"),
    127,
    IF($B1299 = 2 + N("Vice-Presidente"),
        72,
        IF($B1299 = 3 + N("Secretária bilíngue"),
            13,
            RANDBETWEEN(5,COUNT(Name!$A:$A) + 1)
        )
    )
)</f>
        <v>163</v>
      </c>
      <c r="E1299" s="7" t="str">
        <f ca="1" xml:space="preserve">
VLOOKUP(
  $D1299,
  Name!$A:$B,
  2,
  FALSE
)
&amp; " " &amp;
IF($B1299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Heloísa Brasil Moretti</v>
      </c>
      <c r="F1299" s="7">
        <v>2</v>
      </c>
      <c r="G1299" s="7" cm="1">
        <f t="array" aca="1" ref="G1299" ca="1">INDEX(States!$B:$B,RANDBETWEEN(2,COUNTA(States!$A:$A)),1)</f>
        <v>15</v>
      </c>
      <c r="H1299" s="7" t="str">
        <f ca="1">VLOOKUP($D1299,Name!$A:$C,3,FALSE)</f>
        <v>F</v>
      </c>
      <c r="I1299" s="7" cm="1">
        <f t="array" aca="1" ref="I1299" ca="1">INDEX('Marital status'!$A:$A,RANDBETWEEN(2,COUNTA('Marital status'!$A:$A)),1)</f>
        <v>5</v>
      </c>
      <c r="J1299" s="7">
        <f t="shared" ca="1" si="243"/>
        <v>2</v>
      </c>
      <c r="K1299" s="8">
        <f t="shared" ca="1" si="244"/>
        <v>36430</v>
      </c>
      <c r="L1299" s="6">
        <f t="shared" ca="1" si="245"/>
        <v>5</v>
      </c>
      <c r="M1299" s="7">
        <f ca="1" xml:space="preserve">
  IF(OR($N1299 = 2, $N1299 = 3, $N1299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299" s="6">
        <f t="shared" ca="1" si="246"/>
        <v>8</v>
      </c>
      <c r="O1299" s="6">
        <f t="shared" ca="1" si="247"/>
        <v>4</v>
      </c>
      <c r="P1299" s="8">
        <f t="shared" ca="1" si="248"/>
        <v>44503</v>
      </c>
      <c r="Q1299" s="6">
        <f ca="1">RANDBETWEEN(2,COUNTA('Recruitment source'!$A:$A))</f>
        <v>5</v>
      </c>
      <c r="R1299" s="8" t="e">
        <f t="shared" ca="1" si="249"/>
        <v>#N/A</v>
      </c>
      <c r="S1299" s="6" t="e">
        <f t="shared" ca="1" si="250"/>
        <v>#N/A</v>
      </c>
      <c r="T1299" s="6">
        <f t="shared" ca="1" si="240"/>
        <v>3</v>
      </c>
      <c r="U1299" s="1">
        <f t="shared" ca="1" si="251"/>
        <v>2000</v>
      </c>
    </row>
    <row r="1300" spans="1:21" x14ac:dyDescent="0.2">
      <c r="A1300" s="7" cm="1">
        <f t="array" aca="1" ref="A1300" ca="1">INDEX(Companies!$A:$A,RANDBETWEEN(2,COUNTA(Companies!$A:$A)),1)</f>
        <v>2</v>
      </c>
      <c r="B1300" s="5">
        <f t="shared" si="241"/>
        <v>1299</v>
      </c>
      <c r="C1300" s="6">
        <f t="shared" ca="1" si="242"/>
        <v>1</v>
      </c>
      <c r="D1300" s="7">
        <f ca="1">IF($B1300 = 1 + N("Presidente"),
    127,
    IF($B1300 = 2 + N("Vice-Presidente"),
        72,
        IF($B1300 = 3 + N("Secretária bilíngue"),
            13,
            RANDBETWEEN(5,COUNT(Name!$A:$A) + 1)
        )
    )
)</f>
        <v>113</v>
      </c>
      <c r="E1300" s="7" t="str">
        <f ca="1" xml:space="preserve">
VLOOKUP(
  $D1300,
  Name!$A:$B,
  2,
  FALSE
)
&amp; " " &amp;
IF($B1300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Desiré Greco Brasão</v>
      </c>
      <c r="F1300" s="7">
        <v>2</v>
      </c>
      <c r="G1300" s="7" cm="1">
        <f t="array" aca="1" ref="G1300" ca="1">INDEX(States!$B:$B,RANDBETWEEN(2,COUNTA(States!$A:$A)),1)</f>
        <v>8</v>
      </c>
      <c r="H1300" s="7" t="str">
        <f ca="1">VLOOKUP($D1300,Name!$A:$C,3,FALSE)</f>
        <v>F</v>
      </c>
      <c r="I1300" s="7" cm="1">
        <f t="array" aca="1" ref="I1300" ca="1">INDEX('Marital status'!$A:$A,RANDBETWEEN(2,COUNTA('Marital status'!$A:$A)),1)</f>
        <v>2</v>
      </c>
      <c r="J1300" s="7">
        <f t="shared" ca="1" si="243"/>
        <v>2</v>
      </c>
      <c r="K1300" s="8">
        <f t="shared" ca="1" si="244"/>
        <v>26922</v>
      </c>
      <c r="L1300" s="6">
        <f t="shared" ca="1" si="245"/>
        <v>4</v>
      </c>
      <c r="M1300" s="7">
        <f ca="1" xml:space="preserve">
  IF(OR($N1300 = 2, $N1300 = 3, $N1300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300" s="6">
        <f t="shared" ca="1" si="246"/>
        <v>6</v>
      </c>
      <c r="O1300" s="6" t="e">
        <f t="shared" ca="1" si="247"/>
        <v>#N/A</v>
      </c>
      <c r="P1300" s="8">
        <f t="shared" ca="1" si="248"/>
        <v>37415</v>
      </c>
      <c r="Q1300" s="6">
        <f ca="1">RANDBETWEEN(2,COUNTA('Recruitment source'!$A:$A))</f>
        <v>5</v>
      </c>
      <c r="R1300" s="8" t="e">
        <f t="shared" ca="1" si="249"/>
        <v>#N/A</v>
      </c>
      <c r="S1300" s="6" t="e">
        <f t="shared" ca="1" si="250"/>
        <v>#N/A</v>
      </c>
      <c r="T1300" s="6">
        <f t="shared" ca="1" si="240"/>
        <v>3</v>
      </c>
      <c r="U1300" s="1">
        <f t="shared" ca="1" si="251"/>
        <v>805</v>
      </c>
    </row>
    <row r="1301" spans="1:21" x14ac:dyDescent="0.2">
      <c r="A1301" s="7" cm="1">
        <f t="array" aca="1" ref="A1301" ca="1">INDEX(Companies!$A:$A,RANDBETWEEN(2,COUNTA(Companies!$A:$A)),1)</f>
        <v>2</v>
      </c>
      <c r="B1301" s="5">
        <f t="shared" si="241"/>
        <v>1300</v>
      </c>
      <c r="C1301" s="6">
        <f t="shared" ca="1" si="242"/>
        <v>1</v>
      </c>
      <c r="D1301" s="7">
        <f ca="1">IF($B1301 = 1 + N("Presidente"),
    127,
    IF($B1301 = 2 + N("Vice-Presidente"),
        72,
        IF($B1301 = 3 + N("Secretária bilíngue"),
            13,
            RANDBETWEEN(5,COUNT(Name!$A:$A) + 1)
        )
    )
)</f>
        <v>154</v>
      </c>
      <c r="E1301" s="7" t="str">
        <f ca="1" xml:space="preserve">
VLOOKUP(
  $D1301,
  Name!$A:$B,
  2,
  FALSE
)
&amp; " " &amp;
IF($B1301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Giovanna Freitas Gouveia</v>
      </c>
      <c r="F1301" s="7">
        <v>2</v>
      </c>
      <c r="G1301" s="7" cm="1">
        <f t="array" aca="1" ref="G1301" ca="1">INDEX(States!$B:$B,RANDBETWEEN(2,COUNTA(States!$A:$A)),1)</f>
        <v>8</v>
      </c>
      <c r="H1301" s="7" t="str">
        <f ca="1">VLOOKUP($D1301,Name!$A:$C,3,FALSE)</f>
        <v>F</v>
      </c>
      <c r="I1301" s="7" cm="1">
        <f t="array" aca="1" ref="I1301" ca="1">INDEX('Marital status'!$A:$A,RANDBETWEEN(2,COUNTA('Marital status'!$A:$A)),1)</f>
        <v>4</v>
      </c>
      <c r="J1301" s="7">
        <f t="shared" ca="1" si="243"/>
        <v>2</v>
      </c>
      <c r="K1301" s="8">
        <f t="shared" ca="1" si="244"/>
        <v>33941</v>
      </c>
      <c r="L1301" s="6">
        <f t="shared" ca="1" si="245"/>
        <v>5</v>
      </c>
      <c r="M1301" s="7">
        <f ca="1" xml:space="preserve">
  IF(OR($N1301 = 2, $N1301 = 3, $N1301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301" s="6">
        <f t="shared" ca="1" si="246"/>
        <v>8</v>
      </c>
      <c r="O1301" s="6">
        <f t="shared" ca="1" si="247"/>
        <v>2</v>
      </c>
      <c r="P1301" s="8">
        <f t="shared" ca="1" si="248"/>
        <v>40821</v>
      </c>
      <c r="Q1301" s="6">
        <f ca="1">RANDBETWEEN(2,COUNTA('Recruitment source'!$A:$A))</f>
        <v>10</v>
      </c>
      <c r="R1301" s="8" t="e">
        <f t="shared" ca="1" si="249"/>
        <v>#N/A</v>
      </c>
      <c r="S1301" s="6" t="e">
        <f t="shared" ca="1" si="250"/>
        <v>#N/A</v>
      </c>
      <c r="T1301" s="6">
        <f t="shared" ca="1" si="240"/>
        <v>4</v>
      </c>
      <c r="U1301" s="1">
        <f t="shared" ca="1" si="251"/>
        <v>2080</v>
      </c>
    </row>
    <row r="1302" spans="1:21" x14ac:dyDescent="0.2">
      <c r="A1302" s="7" cm="1">
        <f t="array" aca="1" ref="A1302" ca="1">INDEX(Companies!$A:$A,RANDBETWEEN(2,COUNTA(Companies!$A:$A)),1)</f>
        <v>2</v>
      </c>
      <c r="B1302" s="5">
        <f t="shared" si="241"/>
        <v>1301</v>
      </c>
      <c r="C1302" s="6">
        <f t="shared" ca="1" si="242"/>
        <v>1</v>
      </c>
      <c r="D1302" s="7">
        <f ca="1">IF($B1302 = 1 + N("Presidente"),
    127,
    IF($B1302 = 2 + N("Vice-Presidente"),
        72,
        IF($B1302 = 3 + N("Secretária bilíngue"),
            13,
            RANDBETWEEN(5,COUNT(Name!$A:$A) + 1)
        )
    )
)</f>
        <v>153</v>
      </c>
      <c r="E1302" s="7" t="str">
        <f ca="1" xml:space="preserve">
VLOOKUP(
  $D1302,
  Name!$A:$B,
  2,
  FALSE
)
&amp; " " &amp;
IF($B1302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Giovana Saragoça Paulista</v>
      </c>
      <c r="F1302" s="7">
        <v>2</v>
      </c>
      <c r="G1302" s="7" cm="1">
        <f t="array" aca="1" ref="G1302" ca="1">INDEX(States!$B:$B,RANDBETWEEN(2,COUNTA(States!$A:$A)),1)</f>
        <v>3</v>
      </c>
      <c r="H1302" s="7" t="str">
        <f ca="1">VLOOKUP($D1302,Name!$A:$C,3,FALSE)</f>
        <v>F</v>
      </c>
      <c r="I1302" s="7" cm="1">
        <f t="array" aca="1" ref="I1302" ca="1">INDEX('Marital status'!$A:$A,RANDBETWEEN(2,COUNTA('Marital status'!$A:$A)),1)</f>
        <v>4</v>
      </c>
      <c r="J1302" s="7">
        <f t="shared" ca="1" si="243"/>
        <v>3</v>
      </c>
      <c r="K1302" s="8">
        <f t="shared" ca="1" si="244"/>
        <v>29384</v>
      </c>
      <c r="L1302" s="6">
        <f t="shared" ca="1" si="245"/>
        <v>4</v>
      </c>
      <c r="M1302" s="7">
        <f ca="1" xml:space="preserve">
  IF(OR($N1302 = 2, $N1302 = 3, $N1302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302" s="6">
        <f t="shared" ca="1" si="246"/>
        <v>7</v>
      </c>
      <c r="O1302" s="6" t="e">
        <f t="shared" ca="1" si="247"/>
        <v>#N/A</v>
      </c>
      <c r="P1302" s="8">
        <f t="shared" ca="1" si="248"/>
        <v>40950</v>
      </c>
      <c r="Q1302" s="6">
        <f ca="1">RANDBETWEEN(2,COUNTA('Recruitment source'!$A:$A))</f>
        <v>10</v>
      </c>
      <c r="R1302" s="8" t="e">
        <f t="shared" ca="1" si="249"/>
        <v>#N/A</v>
      </c>
      <c r="S1302" s="6" t="e">
        <f t="shared" ca="1" si="250"/>
        <v>#N/A</v>
      </c>
      <c r="T1302" s="6">
        <f t="shared" ca="1" si="240"/>
        <v>3</v>
      </c>
      <c r="U1302" s="1">
        <f t="shared" ca="1" si="251"/>
        <v>1005</v>
      </c>
    </row>
    <row r="1303" spans="1:21" x14ac:dyDescent="0.2">
      <c r="A1303" s="7" cm="1">
        <f t="array" aca="1" ref="A1303" ca="1">INDEX(Companies!$A:$A,RANDBETWEEN(2,COUNTA(Companies!$A:$A)),1)</f>
        <v>2</v>
      </c>
      <c r="B1303" s="5">
        <f t="shared" si="241"/>
        <v>1302</v>
      </c>
      <c r="C1303" s="6">
        <f t="shared" ca="1" si="242"/>
        <v>1</v>
      </c>
      <c r="D1303" s="7">
        <f ca="1">IF($B1303 = 1 + N("Presidente"),
    127,
    IF($B1303 = 2 + N("Vice-Presidente"),
        72,
        IF($B1303 = 3 + N("Secretária bilíngue"),
            13,
            RANDBETWEEN(5,COUNT(Name!$A:$A) + 1)
        )
    )
)</f>
        <v>204</v>
      </c>
      <c r="E1303" s="7" t="str">
        <f ca="1" xml:space="preserve">
VLOOKUP(
  $D1303,
  Name!$A:$B,
  2,
  FALSE
)
&amp; " " &amp;
IF($B1303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Júlio Frois Auth</v>
      </c>
      <c r="F1303" s="7">
        <v>2</v>
      </c>
      <c r="G1303" s="7" cm="1">
        <f t="array" aca="1" ref="G1303" ca="1">INDEX(States!$B:$B,RANDBETWEEN(2,COUNTA(States!$A:$A)),1)</f>
        <v>8</v>
      </c>
      <c r="H1303" s="7" t="str">
        <f ca="1">VLOOKUP($D1303,Name!$A:$C,3,FALSE)</f>
        <v>M</v>
      </c>
      <c r="I1303" s="7" cm="1">
        <f t="array" aca="1" ref="I1303" ca="1">INDEX('Marital status'!$A:$A,RANDBETWEEN(2,COUNTA('Marital status'!$A:$A)),1)</f>
        <v>2</v>
      </c>
      <c r="J1303" s="7">
        <f t="shared" ca="1" si="243"/>
        <v>2</v>
      </c>
      <c r="K1303" s="8">
        <f t="shared" ca="1" si="244"/>
        <v>32984</v>
      </c>
      <c r="L1303" s="6">
        <f t="shared" ca="1" si="245"/>
        <v>4</v>
      </c>
      <c r="M1303" s="7">
        <f ca="1" xml:space="preserve">
  IF(OR($N1303 = 2, $N1303 = 3, $N1303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303" s="6">
        <f t="shared" ca="1" si="246"/>
        <v>8</v>
      </c>
      <c r="O1303" s="6">
        <f t="shared" ca="1" si="247"/>
        <v>4</v>
      </c>
      <c r="P1303" s="8">
        <f t="shared" ca="1" si="248"/>
        <v>42788</v>
      </c>
      <c r="Q1303" s="6">
        <f ca="1">RANDBETWEEN(2,COUNTA('Recruitment source'!$A:$A))</f>
        <v>6</v>
      </c>
      <c r="R1303" s="8" t="e">
        <f t="shared" ca="1" si="249"/>
        <v>#N/A</v>
      </c>
      <c r="S1303" s="6" t="e">
        <f t="shared" ca="1" si="250"/>
        <v>#N/A</v>
      </c>
      <c r="T1303" s="6">
        <f t="shared" ca="1" si="240"/>
        <v>5</v>
      </c>
      <c r="U1303" s="1">
        <f t="shared" ca="1" si="251"/>
        <v>2000</v>
      </c>
    </row>
    <row r="1304" spans="1:21" x14ac:dyDescent="0.2">
      <c r="A1304" s="7" cm="1">
        <f t="array" aca="1" ref="A1304" ca="1">INDEX(Companies!$A:$A,RANDBETWEEN(2,COUNTA(Companies!$A:$A)),1)</f>
        <v>2</v>
      </c>
      <c r="B1304" s="5">
        <f t="shared" si="241"/>
        <v>1303</v>
      </c>
      <c r="C1304" s="6">
        <f t="shared" ca="1" si="242"/>
        <v>1</v>
      </c>
      <c r="D1304" s="7">
        <f ca="1">IF($B1304 = 1 + N("Presidente"),
    127,
    IF($B1304 = 2 + N("Vice-Presidente"),
        72,
        IF($B1304 = 3 + N("Secretária bilíngue"),
            13,
            RANDBETWEEN(5,COUNT(Name!$A:$A) + 1)
        )
    )
)</f>
        <v>201</v>
      </c>
      <c r="E1304" s="7" t="str">
        <f ca="1" xml:space="preserve">
VLOOKUP(
  $D1304,
  Name!$A:$B,
  2,
  FALSE
)
&amp; " " &amp;
IF($B1304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Júlia Monteiro Paulista</v>
      </c>
      <c r="F1304" s="7">
        <v>2</v>
      </c>
      <c r="G1304" s="7" cm="1">
        <f t="array" aca="1" ref="G1304" ca="1">INDEX(States!$B:$B,RANDBETWEEN(2,COUNTA(States!$A:$A)),1)</f>
        <v>19</v>
      </c>
      <c r="H1304" s="7" t="str">
        <f ca="1">VLOOKUP($D1304,Name!$A:$C,3,FALSE)</f>
        <v>F</v>
      </c>
      <c r="I1304" s="7" cm="1">
        <f t="array" aca="1" ref="I1304" ca="1">INDEX('Marital status'!$A:$A,RANDBETWEEN(2,COUNTA('Marital status'!$A:$A)),1)</f>
        <v>4</v>
      </c>
      <c r="J1304" s="7">
        <f t="shared" ca="1" si="243"/>
        <v>2</v>
      </c>
      <c r="K1304" s="8">
        <f t="shared" ca="1" si="244"/>
        <v>30572</v>
      </c>
      <c r="L1304" s="6">
        <f t="shared" ca="1" si="245"/>
        <v>4</v>
      </c>
      <c r="M1304" s="7">
        <f ca="1" xml:space="preserve">
  IF(OR($N1304 = 2, $N1304 = 3, $N1304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304" s="6">
        <f t="shared" ca="1" si="246"/>
        <v>7</v>
      </c>
      <c r="O1304" s="6" t="e">
        <f t="shared" ca="1" si="247"/>
        <v>#N/A</v>
      </c>
      <c r="P1304" s="8">
        <f t="shared" ca="1" si="248"/>
        <v>42016</v>
      </c>
      <c r="Q1304" s="6">
        <f ca="1">RANDBETWEEN(2,COUNTA('Recruitment source'!$A:$A))</f>
        <v>8</v>
      </c>
      <c r="R1304" s="8" t="e">
        <f t="shared" ca="1" si="249"/>
        <v>#N/A</v>
      </c>
      <c r="S1304" s="6" t="e">
        <f t="shared" ca="1" si="250"/>
        <v>#N/A</v>
      </c>
      <c r="T1304" s="6">
        <f t="shared" ca="1" si="240"/>
        <v>5</v>
      </c>
      <c r="U1304" s="1">
        <f t="shared" ca="1" si="251"/>
        <v>1085</v>
      </c>
    </row>
    <row r="1305" spans="1:21" x14ac:dyDescent="0.2">
      <c r="A1305" s="7" cm="1">
        <f t="array" aca="1" ref="A1305" ca="1">INDEX(Companies!$A:$A,RANDBETWEEN(2,COUNTA(Companies!$A:$A)),1)</f>
        <v>2</v>
      </c>
      <c r="B1305" s="5">
        <f t="shared" si="241"/>
        <v>1304</v>
      </c>
      <c r="C1305" s="6">
        <f t="shared" ca="1" si="242"/>
        <v>1</v>
      </c>
      <c r="D1305" s="7">
        <f ca="1">IF($B1305 = 1 + N("Presidente"),
    127,
    IF($B1305 = 2 + N("Vice-Presidente"),
        72,
        IF($B1305 = 3 + N("Secretária bilíngue"),
            13,
            RANDBETWEEN(5,COUNT(Name!$A:$A) + 1)
        )
    )
)</f>
        <v>286</v>
      </c>
      <c r="E1305" s="7" t="str">
        <f ca="1" xml:space="preserve">
VLOOKUP(
  $D1305,
  Name!$A:$B,
  2,
  FALSE
)
&amp; " " &amp;
IF($B1305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Mateus Arruda Bragança</v>
      </c>
      <c r="F1305" s="7">
        <v>2</v>
      </c>
      <c r="G1305" s="7" cm="1">
        <f t="array" aca="1" ref="G1305" ca="1">INDEX(States!$B:$B,RANDBETWEEN(2,COUNTA(States!$A:$A)),1)</f>
        <v>3</v>
      </c>
      <c r="H1305" s="7" t="str">
        <f ca="1">VLOOKUP($D1305,Name!$A:$C,3,FALSE)</f>
        <v>M</v>
      </c>
      <c r="I1305" s="7" cm="1">
        <f t="array" aca="1" ref="I1305" ca="1">INDEX('Marital status'!$A:$A,RANDBETWEEN(2,COUNTA('Marital status'!$A:$A)),1)</f>
        <v>5</v>
      </c>
      <c r="J1305" s="7">
        <f t="shared" ca="1" si="243"/>
        <v>2</v>
      </c>
      <c r="K1305" s="8">
        <f t="shared" ca="1" si="244"/>
        <v>35260</v>
      </c>
      <c r="L1305" s="6">
        <f t="shared" ca="1" si="245"/>
        <v>4</v>
      </c>
      <c r="M1305" s="7">
        <f ca="1" xml:space="preserve">
  IF(OR($N1305 = 2, $N1305 = 3, $N1305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305" s="6">
        <f t="shared" ca="1" si="246"/>
        <v>8</v>
      </c>
      <c r="O1305" s="6">
        <f t="shared" ca="1" si="247"/>
        <v>4</v>
      </c>
      <c r="P1305" s="8">
        <f t="shared" ca="1" si="248"/>
        <v>41215</v>
      </c>
      <c r="Q1305" s="6">
        <f ca="1">RANDBETWEEN(2,COUNTA('Recruitment source'!$A:$A))</f>
        <v>6</v>
      </c>
      <c r="R1305" s="8" t="e">
        <f t="shared" ca="1" si="249"/>
        <v>#N/A</v>
      </c>
      <c r="S1305" s="6" t="e">
        <f t="shared" ca="1" si="250"/>
        <v>#N/A</v>
      </c>
      <c r="T1305" s="6">
        <f t="shared" ca="1" si="240"/>
        <v>4</v>
      </c>
      <c r="U1305" s="1">
        <f t="shared" ca="1" si="251"/>
        <v>2100</v>
      </c>
    </row>
    <row r="1306" spans="1:21" x14ac:dyDescent="0.2">
      <c r="A1306" s="7" cm="1">
        <f t="array" aca="1" ref="A1306" ca="1">INDEX(Companies!$A:$A,RANDBETWEEN(2,COUNTA(Companies!$A:$A)),1)</f>
        <v>2</v>
      </c>
      <c r="B1306" s="5">
        <f t="shared" si="241"/>
        <v>1305</v>
      </c>
      <c r="C1306" s="6">
        <f t="shared" ca="1" si="242"/>
        <v>1</v>
      </c>
      <c r="D1306" s="7">
        <f ca="1">IF($B1306 = 1 + N("Presidente"),
    127,
    IF($B1306 = 2 + N("Vice-Presidente"),
        72,
        IF($B1306 = 3 + N("Secretária bilíngue"),
            13,
            RANDBETWEEN(5,COUNT(Name!$A:$A) + 1)
        )
    )
)</f>
        <v>319</v>
      </c>
      <c r="E1306" s="7" t="str">
        <f ca="1" xml:space="preserve">
VLOOKUP(
  $D1306,
  Name!$A:$B,
  2,
  FALSE
)
&amp; " " &amp;
IF($B1306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Miguel Anjos Cândido</v>
      </c>
      <c r="F1306" s="7">
        <v>2</v>
      </c>
      <c r="G1306" s="7" cm="1">
        <f t="array" aca="1" ref="G1306" ca="1">INDEX(States!$B:$B,RANDBETWEEN(2,COUNTA(States!$A:$A)),1)</f>
        <v>21</v>
      </c>
      <c r="H1306" s="7" t="str">
        <f ca="1">VLOOKUP($D1306,Name!$A:$C,3,FALSE)</f>
        <v>M</v>
      </c>
      <c r="I1306" s="7" cm="1">
        <f t="array" aca="1" ref="I1306" ca="1">INDEX('Marital status'!$A:$A,RANDBETWEEN(2,COUNTA('Marital status'!$A:$A)),1)</f>
        <v>5</v>
      </c>
      <c r="J1306" s="7">
        <f t="shared" ca="1" si="243"/>
        <v>2</v>
      </c>
      <c r="K1306" s="8">
        <f t="shared" ca="1" si="244"/>
        <v>30646</v>
      </c>
      <c r="L1306" s="6">
        <f t="shared" ca="1" si="245"/>
        <v>4</v>
      </c>
      <c r="M1306" s="7">
        <f ca="1" xml:space="preserve">
  IF(OR($N1306 = 2, $N1306 = 3, $N1306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306" s="6">
        <f t="shared" ca="1" si="246"/>
        <v>6</v>
      </c>
      <c r="O1306" s="6" t="e">
        <f t="shared" ca="1" si="247"/>
        <v>#N/A</v>
      </c>
      <c r="P1306" s="8">
        <f t="shared" ca="1" si="248"/>
        <v>38923</v>
      </c>
      <c r="Q1306" s="6">
        <f ca="1">RANDBETWEEN(2,COUNTA('Recruitment source'!$A:$A))</f>
        <v>8</v>
      </c>
      <c r="R1306" s="8" t="e">
        <f t="shared" ca="1" si="249"/>
        <v>#N/A</v>
      </c>
      <c r="S1306" s="6" t="e">
        <f t="shared" ca="1" si="250"/>
        <v>#N/A</v>
      </c>
      <c r="T1306" s="6">
        <f t="shared" ca="1" si="240"/>
        <v>4</v>
      </c>
      <c r="U1306" s="1">
        <f t="shared" ca="1" si="251"/>
        <v>805</v>
      </c>
    </row>
    <row r="1307" spans="1:21" x14ac:dyDescent="0.2">
      <c r="A1307" s="7" cm="1">
        <f t="array" aca="1" ref="A1307" ca="1">INDEX(Companies!$A:$A,RANDBETWEEN(2,COUNTA(Companies!$A:$A)),1)</f>
        <v>2</v>
      </c>
      <c r="B1307" s="5">
        <f t="shared" si="241"/>
        <v>1306</v>
      </c>
      <c r="C1307" s="6">
        <f t="shared" ca="1" si="242"/>
        <v>1</v>
      </c>
      <c r="D1307" s="7">
        <f ca="1">IF($B1307 = 1 + N("Presidente"),
    127,
    IF($B1307 = 2 + N("Vice-Presidente"),
        72,
        IF($B1307 = 3 + N("Secretária bilíngue"),
            13,
            RANDBETWEEN(5,COUNT(Name!$A:$A) + 1)
        )
    )
)</f>
        <v>274</v>
      </c>
      <c r="E1307" s="7" t="str">
        <f ca="1" xml:space="preserve">
VLOOKUP(
  $D1307,
  Name!$A:$B,
  2,
  FALSE
)
&amp; " " &amp;
IF($B1307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Valentina Moraes Farias</v>
      </c>
      <c r="F1307" s="7">
        <v>2</v>
      </c>
      <c r="G1307" s="7" cm="1">
        <f t="array" aca="1" ref="G1307" ca="1">INDEX(States!$B:$B,RANDBETWEEN(2,COUNTA(States!$A:$A)),1)</f>
        <v>2</v>
      </c>
      <c r="H1307" s="7" t="str">
        <f ca="1">VLOOKUP($D1307,Name!$A:$C,3,FALSE)</f>
        <v>F</v>
      </c>
      <c r="I1307" s="7" cm="1">
        <f t="array" aca="1" ref="I1307" ca="1">INDEX('Marital status'!$A:$A,RANDBETWEEN(2,COUNTA('Marital status'!$A:$A)),1)</f>
        <v>5</v>
      </c>
      <c r="J1307" s="7">
        <f t="shared" ca="1" si="243"/>
        <v>2</v>
      </c>
      <c r="K1307" s="8">
        <f t="shared" ca="1" si="244"/>
        <v>38002</v>
      </c>
      <c r="L1307" s="6">
        <f t="shared" ca="1" si="245"/>
        <v>4</v>
      </c>
      <c r="M1307" s="7">
        <f ca="1" xml:space="preserve">
  IF(OR($N1307 = 2, $N1307 = 3, $N1307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307" s="6">
        <f t="shared" ca="1" si="246"/>
        <v>8</v>
      </c>
      <c r="O1307" s="6">
        <f t="shared" ca="1" si="247"/>
        <v>3</v>
      </c>
      <c r="P1307" s="8">
        <f t="shared" ca="1" si="248"/>
        <v>44838</v>
      </c>
      <c r="Q1307" s="6">
        <f ca="1">RANDBETWEEN(2,COUNTA('Recruitment source'!$A:$A))</f>
        <v>3</v>
      </c>
      <c r="R1307" s="8" t="e">
        <f t="shared" ca="1" si="249"/>
        <v>#N/A</v>
      </c>
      <c r="S1307" s="6" t="e">
        <f t="shared" ca="1" si="250"/>
        <v>#N/A</v>
      </c>
      <c r="T1307" s="6">
        <f t="shared" ca="1" si="240"/>
        <v>2</v>
      </c>
      <c r="U1307" s="1">
        <f t="shared" ca="1" si="251"/>
        <v>2080</v>
      </c>
    </row>
    <row r="1308" spans="1:21" x14ac:dyDescent="0.2">
      <c r="A1308" s="7" cm="1">
        <f t="array" aca="1" ref="A1308" ca="1">INDEX(Companies!$A:$A,RANDBETWEEN(2,COUNTA(Companies!$A:$A)),1)</f>
        <v>2</v>
      </c>
      <c r="B1308" s="5">
        <f t="shared" si="241"/>
        <v>1307</v>
      </c>
      <c r="C1308" s="6">
        <f t="shared" ca="1" si="242"/>
        <v>1</v>
      </c>
      <c r="D1308" s="7">
        <f ca="1">IF($B1308 = 1 + N("Presidente"),
    127,
    IF($B1308 = 2 + N("Vice-Presidente"),
        72,
        IF($B1308 = 3 + N("Secretária bilíngue"),
            13,
            RANDBETWEEN(5,COUNT(Name!$A:$A) + 1)
        )
    )
)</f>
        <v>352</v>
      </c>
      <c r="E1308" s="7" t="str">
        <f ca="1" xml:space="preserve">
VLOOKUP(
  $D1308,
  Name!$A:$B,
  2,
  FALSE
)
&amp; " " &amp;
IF($B1308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Vicent Café Mendes</v>
      </c>
      <c r="F1308" s="7">
        <v>2</v>
      </c>
      <c r="G1308" s="7" cm="1">
        <f t="array" aca="1" ref="G1308" ca="1">INDEX(States!$B:$B,RANDBETWEEN(2,COUNTA(States!$A:$A)),1)</f>
        <v>13</v>
      </c>
      <c r="H1308" s="7" t="str">
        <f ca="1">VLOOKUP($D1308,Name!$A:$C,3,FALSE)</f>
        <v>M</v>
      </c>
      <c r="I1308" s="7" cm="1">
        <f t="array" aca="1" ref="I1308" ca="1">INDEX('Marital status'!$A:$A,RANDBETWEEN(2,COUNTA('Marital status'!$A:$A)),1)</f>
        <v>5</v>
      </c>
      <c r="J1308" s="7">
        <f t="shared" ca="1" si="243"/>
        <v>2</v>
      </c>
      <c r="K1308" s="8">
        <f t="shared" ca="1" si="244"/>
        <v>18528</v>
      </c>
      <c r="L1308" s="6">
        <f t="shared" ca="1" si="245"/>
        <v>4</v>
      </c>
      <c r="M1308" s="7">
        <f ca="1" xml:space="preserve">
  IF(OR($N1308 = 2, $N1308 = 3, $N1308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308" s="6">
        <f t="shared" ca="1" si="246"/>
        <v>6</v>
      </c>
      <c r="O1308" s="6" t="e">
        <f t="shared" ca="1" si="247"/>
        <v>#N/A</v>
      </c>
      <c r="P1308" s="8">
        <f t="shared" ca="1" si="248"/>
        <v>36393</v>
      </c>
      <c r="Q1308" s="6">
        <f ca="1">RANDBETWEEN(2,COUNTA('Recruitment source'!$A:$A))</f>
        <v>8</v>
      </c>
      <c r="R1308" s="8" t="e">
        <f t="shared" ca="1" si="249"/>
        <v>#N/A</v>
      </c>
      <c r="S1308" s="6" t="e">
        <f t="shared" ca="1" si="250"/>
        <v>#N/A</v>
      </c>
      <c r="T1308" s="6">
        <f t="shared" ca="1" si="240"/>
        <v>2</v>
      </c>
      <c r="U1308" s="1">
        <f t="shared" ca="1" si="251"/>
        <v>885</v>
      </c>
    </row>
    <row r="1309" spans="1:21" x14ac:dyDescent="0.2">
      <c r="A1309" s="7" cm="1">
        <f t="array" aca="1" ref="A1309" ca="1">INDEX(Companies!$A:$A,RANDBETWEEN(2,COUNTA(Companies!$A:$A)),1)</f>
        <v>2</v>
      </c>
      <c r="B1309" s="5">
        <f t="shared" si="241"/>
        <v>1308</v>
      </c>
      <c r="C1309" s="6">
        <f t="shared" ca="1" si="242"/>
        <v>1</v>
      </c>
      <c r="D1309" s="7">
        <f ca="1">IF($B1309 = 1 + N("Presidente"),
    127,
    IF($B1309 = 2 + N("Vice-Presidente"),
        72,
        IF($B1309 = 3 + N("Secretária bilíngue"),
            13,
            RANDBETWEEN(5,COUNT(Name!$A:$A) + 1)
        )
    )
)</f>
        <v>276</v>
      </c>
      <c r="E1309" s="7" t="str">
        <f ca="1" xml:space="preserve">
VLOOKUP(
  $D1309,
  Name!$A:$B,
  2,
  FALSE
)
&amp; " " &amp;
IF($B1309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Mariah Rinaldi Pellegrini</v>
      </c>
      <c r="F1309" s="7">
        <v>2</v>
      </c>
      <c r="G1309" s="7" cm="1">
        <f t="array" aca="1" ref="G1309" ca="1">INDEX(States!$B:$B,RANDBETWEEN(2,COUNTA(States!$A:$A)),1)</f>
        <v>18</v>
      </c>
      <c r="H1309" s="7" t="str">
        <f ca="1">VLOOKUP($D1309,Name!$A:$C,3,FALSE)</f>
        <v>F</v>
      </c>
      <c r="I1309" s="7" cm="1">
        <f t="array" aca="1" ref="I1309" ca="1">INDEX('Marital status'!$A:$A,RANDBETWEEN(2,COUNTA('Marital status'!$A:$A)),1)</f>
        <v>5</v>
      </c>
      <c r="J1309" s="7">
        <f t="shared" ca="1" si="243"/>
        <v>4</v>
      </c>
      <c r="K1309" s="8">
        <f t="shared" ca="1" si="244"/>
        <v>33977</v>
      </c>
      <c r="L1309" s="6">
        <f t="shared" ca="1" si="245"/>
        <v>5</v>
      </c>
      <c r="M1309" s="7">
        <f ca="1" xml:space="preserve">
  IF(OR($N1309 = 2, $N1309 = 3, $N1309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309" s="6">
        <f t="shared" ca="1" si="246"/>
        <v>8</v>
      </c>
      <c r="O1309" s="6">
        <f t="shared" ca="1" si="247"/>
        <v>2</v>
      </c>
      <c r="P1309" s="8">
        <f t="shared" ca="1" si="248"/>
        <v>38024</v>
      </c>
      <c r="Q1309" s="6">
        <f ca="1">RANDBETWEEN(2,COUNTA('Recruitment source'!$A:$A))</f>
        <v>5</v>
      </c>
      <c r="R1309" s="8" t="e">
        <f t="shared" ca="1" si="249"/>
        <v>#N/A</v>
      </c>
      <c r="S1309" s="6" t="e">
        <f t="shared" ca="1" si="250"/>
        <v>#N/A</v>
      </c>
      <c r="T1309" s="6">
        <f t="shared" ca="1" si="240"/>
        <v>4</v>
      </c>
      <c r="U1309" s="1">
        <f t="shared" ca="1" si="251"/>
        <v>2000</v>
      </c>
    </row>
    <row r="1310" spans="1:21" x14ac:dyDescent="0.2">
      <c r="A1310" s="7" cm="1">
        <f t="array" aca="1" ref="A1310" ca="1">INDEX(Companies!$A:$A,RANDBETWEEN(2,COUNTA(Companies!$A:$A)),1)</f>
        <v>2</v>
      </c>
      <c r="B1310" s="5">
        <f t="shared" si="241"/>
        <v>1309</v>
      </c>
      <c r="C1310" s="6">
        <f t="shared" ca="1" si="242"/>
        <v>1</v>
      </c>
      <c r="D1310" s="7">
        <f ca="1">IF($B1310 = 1 + N("Presidente"),
    127,
    IF($B1310 = 2 + N("Vice-Presidente"),
        72,
        IF($B1310 = 3 + N("Secretária bilíngue"),
            13,
            RANDBETWEEN(5,COUNT(Name!$A:$A) + 1)
        )
    )
)</f>
        <v>94</v>
      </c>
      <c r="E1310" s="7" t="str">
        <f ca="1" xml:space="preserve">
VLOOKUP(
  $D1310,
  Name!$A:$B,
  2,
  FALSE
)
&amp; " " &amp;
IF($B1310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Clara Negrão Bandeira</v>
      </c>
      <c r="F1310" s="7">
        <v>2</v>
      </c>
      <c r="G1310" s="7" cm="1">
        <f t="array" aca="1" ref="G1310" ca="1">INDEX(States!$B:$B,RANDBETWEEN(2,COUNTA(States!$A:$A)),1)</f>
        <v>6</v>
      </c>
      <c r="H1310" s="7" t="str">
        <f ca="1">VLOOKUP($D1310,Name!$A:$C,3,FALSE)</f>
        <v>F</v>
      </c>
      <c r="I1310" s="7" cm="1">
        <f t="array" aca="1" ref="I1310" ca="1">INDEX('Marital status'!$A:$A,RANDBETWEEN(2,COUNTA('Marital status'!$A:$A)),1)</f>
        <v>6</v>
      </c>
      <c r="J1310" s="7">
        <f t="shared" ca="1" si="243"/>
        <v>2</v>
      </c>
      <c r="K1310" s="8">
        <f t="shared" ca="1" si="244"/>
        <v>33963</v>
      </c>
      <c r="L1310" s="6">
        <f t="shared" ca="1" si="245"/>
        <v>4</v>
      </c>
      <c r="M1310" s="7">
        <f ca="1" xml:space="preserve">
  IF(OR($N1310 = 2, $N1310 = 3, $N1310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310" s="6">
        <f t="shared" ca="1" si="246"/>
        <v>7</v>
      </c>
      <c r="O1310" s="6" t="e">
        <f t="shared" ca="1" si="247"/>
        <v>#N/A</v>
      </c>
      <c r="P1310" s="8">
        <f t="shared" ca="1" si="248"/>
        <v>40610</v>
      </c>
      <c r="Q1310" s="6">
        <f ca="1">RANDBETWEEN(2,COUNTA('Recruitment source'!$A:$A))</f>
        <v>4</v>
      </c>
      <c r="R1310" s="8" t="e">
        <f t="shared" ca="1" si="249"/>
        <v>#N/A</v>
      </c>
      <c r="S1310" s="6" t="e">
        <f t="shared" ca="1" si="250"/>
        <v>#N/A</v>
      </c>
      <c r="T1310" s="6">
        <f t="shared" ca="1" si="240"/>
        <v>3</v>
      </c>
      <c r="U1310" s="1">
        <f t="shared" ca="1" si="251"/>
        <v>1005</v>
      </c>
    </row>
    <row r="1311" spans="1:21" x14ac:dyDescent="0.2">
      <c r="A1311" s="7" cm="1">
        <f t="array" aca="1" ref="A1311" ca="1">INDEX(Companies!$A:$A,RANDBETWEEN(2,COUNTA(Companies!$A:$A)),1)</f>
        <v>2</v>
      </c>
      <c r="B1311" s="5">
        <f t="shared" si="241"/>
        <v>1310</v>
      </c>
      <c r="C1311" s="6">
        <f t="shared" ca="1" si="242"/>
        <v>1</v>
      </c>
      <c r="D1311" s="7">
        <f ca="1">IF($B1311 = 1 + N("Presidente"),
    127,
    IF($B1311 = 2 + N("Vice-Presidente"),
        72,
        IF($B1311 = 3 + N("Secretária bilíngue"),
            13,
            RANDBETWEEN(5,COUNT(Name!$A:$A) + 1)
        )
    )
)</f>
        <v>135</v>
      </c>
      <c r="E1311" s="7" t="str">
        <f ca="1" xml:space="preserve">
VLOOKUP(
  $D1311,
  Name!$A:$B,
  2,
  FALSE
)
&amp; " " &amp;
IF($B1311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Felipe Almeida Tavarez</v>
      </c>
      <c r="F1311" s="7">
        <v>2</v>
      </c>
      <c r="G1311" s="7" cm="1">
        <f t="array" aca="1" ref="G1311" ca="1">INDEX(States!$B:$B,RANDBETWEEN(2,COUNTA(States!$A:$A)),1)</f>
        <v>10</v>
      </c>
      <c r="H1311" s="7" t="str">
        <f ca="1">VLOOKUP($D1311,Name!$A:$C,3,FALSE)</f>
        <v>M</v>
      </c>
      <c r="I1311" s="7" cm="1">
        <f t="array" aca="1" ref="I1311" ca="1">INDEX('Marital status'!$A:$A,RANDBETWEEN(2,COUNTA('Marital status'!$A:$A)),1)</f>
        <v>3</v>
      </c>
      <c r="J1311" s="7">
        <f t="shared" ca="1" si="243"/>
        <v>5</v>
      </c>
      <c r="K1311" s="8">
        <f t="shared" ca="1" si="244"/>
        <v>34478</v>
      </c>
      <c r="L1311" s="6">
        <f t="shared" ca="1" si="245"/>
        <v>5</v>
      </c>
      <c r="M1311" s="7">
        <f ca="1" xml:space="preserve">
  IF(OR($N1311 = 2, $N1311 = 3, $N1311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311" s="6">
        <f t="shared" ca="1" si="246"/>
        <v>8</v>
      </c>
      <c r="O1311" s="6">
        <f t="shared" ca="1" si="247"/>
        <v>4</v>
      </c>
      <c r="P1311" s="8">
        <f t="shared" ca="1" si="248"/>
        <v>42289</v>
      </c>
      <c r="Q1311" s="6">
        <f ca="1">RANDBETWEEN(2,COUNTA('Recruitment source'!$A:$A))</f>
        <v>8</v>
      </c>
      <c r="R1311" s="8" t="e">
        <f t="shared" ca="1" si="249"/>
        <v>#N/A</v>
      </c>
      <c r="S1311" s="6" t="e">
        <f t="shared" ca="1" si="250"/>
        <v>#N/A</v>
      </c>
      <c r="T1311" s="6">
        <f t="shared" ca="1" si="240"/>
        <v>3</v>
      </c>
      <c r="U1311" s="1">
        <f t="shared" ca="1" si="251"/>
        <v>2000</v>
      </c>
    </row>
    <row r="1312" spans="1:21" x14ac:dyDescent="0.2">
      <c r="A1312" s="7" cm="1">
        <f t="array" aca="1" ref="A1312" ca="1">INDEX(Companies!$A:$A,RANDBETWEEN(2,COUNTA(Companies!$A:$A)),1)</f>
        <v>2</v>
      </c>
      <c r="B1312" s="5">
        <f t="shared" si="241"/>
        <v>1311</v>
      </c>
      <c r="C1312" s="6">
        <f t="shared" ca="1" si="242"/>
        <v>1</v>
      </c>
      <c r="D1312" s="7">
        <f ca="1">IF($B1312 = 1 + N("Presidente"),
    127,
    IF($B1312 = 2 + N("Vice-Presidente"),
        72,
        IF($B1312 = 3 + N("Secretária bilíngue"),
            13,
            RANDBETWEEN(5,COUNT(Name!$A:$A) + 1)
        )
    )
)</f>
        <v>234</v>
      </c>
      <c r="E1312" s="7" t="str">
        <f ca="1" xml:space="preserve">
VLOOKUP(
  $D1312,
  Name!$A:$B,
  2,
  FALSE
)
&amp; " " &amp;
IF($B1312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Louise Brasil Alcantara</v>
      </c>
      <c r="F1312" s="7">
        <v>2</v>
      </c>
      <c r="G1312" s="7" cm="1">
        <f t="array" aca="1" ref="G1312" ca="1">INDEX(States!$B:$B,RANDBETWEEN(2,COUNTA(States!$A:$A)),1)</f>
        <v>8</v>
      </c>
      <c r="H1312" s="7" t="str">
        <f ca="1">VLOOKUP($D1312,Name!$A:$C,3,FALSE)</f>
        <v>F</v>
      </c>
      <c r="I1312" s="7" cm="1">
        <f t="array" aca="1" ref="I1312" ca="1">INDEX('Marital status'!$A:$A,RANDBETWEEN(2,COUNTA('Marital status'!$A:$A)),1)</f>
        <v>2</v>
      </c>
      <c r="J1312" s="7">
        <f t="shared" ca="1" si="243"/>
        <v>2</v>
      </c>
      <c r="K1312" s="8">
        <f t="shared" ca="1" si="244"/>
        <v>19381</v>
      </c>
      <c r="L1312" s="6">
        <f t="shared" ca="1" si="245"/>
        <v>4</v>
      </c>
      <c r="M1312" s="7">
        <f ca="1" xml:space="preserve">
  IF(OR($N1312 = 2, $N1312 = 3, $N1312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312" s="6">
        <f t="shared" ca="1" si="246"/>
        <v>6</v>
      </c>
      <c r="O1312" s="6" t="e">
        <f t="shared" ca="1" si="247"/>
        <v>#N/A</v>
      </c>
      <c r="P1312" s="8">
        <f t="shared" ca="1" si="248"/>
        <v>42948</v>
      </c>
      <c r="Q1312" s="6">
        <f ca="1">RANDBETWEEN(2,COUNTA('Recruitment source'!$A:$A))</f>
        <v>6</v>
      </c>
      <c r="R1312" s="8" t="e">
        <f t="shared" ca="1" si="249"/>
        <v>#N/A</v>
      </c>
      <c r="S1312" s="6" t="e">
        <f t="shared" ca="1" si="250"/>
        <v>#N/A</v>
      </c>
      <c r="T1312" s="6">
        <f t="shared" ca="1" si="240"/>
        <v>3</v>
      </c>
      <c r="U1312" s="1">
        <f t="shared" ca="1" si="251"/>
        <v>885</v>
      </c>
    </row>
    <row r="1313" spans="1:21" x14ac:dyDescent="0.2">
      <c r="A1313" s="7" cm="1">
        <f t="array" aca="1" ref="A1313" ca="1">INDEX(Companies!$A:$A,RANDBETWEEN(2,COUNTA(Companies!$A:$A)),1)</f>
        <v>2</v>
      </c>
      <c r="B1313" s="5">
        <f t="shared" si="241"/>
        <v>1312</v>
      </c>
      <c r="C1313" s="6">
        <f t="shared" ca="1" si="242"/>
        <v>1</v>
      </c>
      <c r="D1313" s="7">
        <f ca="1">IF($B1313 = 1 + N("Presidente"),
    127,
    IF($B1313 = 2 + N("Vice-Presidente"),
        72,
        IF($B1313 = 3 + N("Secretária bilíngue"),
            13,
            RANDBETWEEN(5,COUNT(Name!$A:$A) + 1)
        )
    )
)</f>
        <v>310</v>
      </c>
      <c r="E1313" s="7" t="str">
        <f ca="1" xml:space="preserve">
VLOOKUP(
  $D1313,
  Name!$A:$B,
  2,
  FALSE
)
&amp; " " &amp;
IF($B1313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Oliver Cunha Ribeiro</v>
      </c>
      <c r="F1313" s="7">
        <v>2</v>
      </c>
      <c r="G1313" s="7" cm="1">
        <f t="array" aca="1" ref="G1313" ca="1">INDEX(States!$B:$B,RANDBETWEEN(2,COUNTA(States!$A:$A)),1)</f>
        <v>6</v>
      </c>
      <c r="H1313" s="7" t="str">
        <f ca="1">VLOOKUP($D1313,Name!$A:$C,3,FALSE)</f>
        <v>M</v>
      </c>
      <c r="I1313" s="7" cm="1">
        <f t="array" aca="1" ref="I1313" ca="1">INDEX('Marital status'!$A:$A,RANDBETWEEN(2,COUNTA('Marital status'!$A:$A)),1)</f>
        <v>4</v>
      </c>
      <c r="J1313" s="7">
        <f t="shared" ca="1" si="243"/>
        <v>2</v>
      </c>
      <c r="K1313" s="8">
        <f t="shared" ca="1" si="244"/>
        <v>33359</v>
      </c>
      <c r="L1313" s="6">
        <f t="shared" ca="1" si="245"/>
        <v>5</v>
      </c>
      <c r="M1313" s="7">
        <f ca="1" xml:space="preserve">
  IF(OR($N1313 = 2, $N1313 = 3, $N1313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313" s="6">
        <f t="shared" ca="1" si="246"/>
        <v>8</v>
      </c>
      <c r="O1313" s="6">
        <f t="shared" ca="1" si="247"/>
        <v>2</v>
      </c>
      <c r="P1313" s="8">
        <f t="shared" ca="1" si="248"/>
        <v>40043</v>
      </c>
      <c r="Q1313" s="6">
        <f ca="1">RANDBETWEEN(2,COUNTA('Recruitment source'!$A:$A))</f>
        <v>11</v>
      </c>
      <c r="R1313" s="8" t="e">
        <f t="shared" ca="1" si="249"/>
        <v>#N/A</v>
      </c>
      <c r="S1313" s="6" t="e">
        <f t="shared" ca="1" si="250"/>
        <v>#N/A</v>
      </c>
      <c r="T1313" s="6">
        <f t="shared" ca="1" si="240"/>
        <v>5</v>
      </c>
      <c r="U1313" s="1">
        <f t="shared" ca="1" si="251"/>
        <v>2000</v>
      </c>
    </row>
    <row r="1314" spans="1:21" x14ac:dyDescent="0.2">
      <c r="A1314" s="7" cm="1">
        <f t="array" aca="1" ref="A1314" ca="1">INDEX(Companies!$A:$A,RANDBETWEEN(2,COUNTA(Companies!$A:$A)),1)</f>
        <v>2</v>
      </c>
      <c r="B1314" s="5">
        <f t="shared" si="241"/>
        <v>1313</v>
      </c>
      <c r="C1314" s="6">
        <f t="shared" ca="1" si="242"/>
        <v>1</v>
      </c>
      <c r="D1314" s="7">
        <f ca="1">IF($B1314 = 1 + N("Presidente"),
    127,
    IF($B1314 = 2 + N("Vice-Presidente"),
        72,
        IF($B1314 = 3 + N("Secretária bilíngue"),
            13,
            RANDBETWEEN(5,COUNT(Name!$A:$A) + 1)
        )
    )
)</f>
        <v>8</v>
      </c>
      <c r="E1314" s="7" t="str">
        <f ca="1" xml:space="preserve">
VLOOKUP(
  $D1314,
  Name!$A:$B,
  2,
  FALSE
)
&amp; " " &amp;
IF($B1314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Adélia Sacramento Rangel</v>
      </c>
      <c r="F1314" s="7">
        <v>2</v>
      </c>
      <c r="G1314" s="7" cm="1">
        <f t="array" aca="1" ref="G1314" ca="1">INDEX(States!$B:$B,RANDBETWEEN(2,COUNTA(States!$A:$A)),1)</f>
        <v>6</v>
      </c>
      <c r="H1314" s="7" t="str">
        <f ca="1">VLOOKUP($D1314,Name!$A:$C,3,FALSE)</f>
        <v>F</v>
      </c>
      <c r="I1314" s="7" cm="1">
        <f t="array" aca="1" ref="I1314" ca="1">INDEX('Marital status'!$A:$A,RANDBETWEEN(2,COUNTA('Marital status'!$A:$A)),1)</f>
        <v>3</v>
      </c>
      <c r="J1314" s="7">
        <f t="shared" ca="1" si="243"/>
        <v>2</v>
      </c>
      <c r="K1314" s="8">
        <f t="shared" ca="1" si="244"/>
        <v>24845</v>
      </c>
      <c r="L1314" s="6">
        <f t="shared" ca="1" si="245"/>
        <v>4</v>
      </c>
      <c r="M1314" s="7">
        <f ca="1" xml:space="preserve">
  IF(OR($N1314 = 2, $N1314 = 3, $N1314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314" s="6">
        <f t="shared" ca="1" si="246"/>
        <v>6</v>
      </c>
      <c r="O1314" s="6" t="e">
        <f t="shared" ca="1" si="247"/>
        <v>#N/A</v>
      </c>
      <c r="P1314" s="8">
        <f t="shared" ca="1" si="248"/>
        <v>37275</v>
      </c>
      <c r="Q1314" s="6">
        <f ca="1">RANDBETWEEN(2,COUNTA('Recruitment source'!$A:$A))</f>
        <v>4</v>
      </c>
      <c r="R1314" s="8" t="e">
        <f t="shared" ca="1" si="249"/>
        <v>#N/A</v>
      </c>
      <c r="S1314" s="6" t="e">
        <f t="shared" ca="1" si="250"/>
        <v>#N/A</v>
      </c>
      <c r="T1314" s="6">
        <f t="shared" ca="1" si="240"/>
        <v>3</v>
      </c>
      <c r="U1314" s="1">
        <f t="shared" ca="1" si="251"/>
        <v>805</v>
      </c>
    </row>
    <row r="1315" spans="1:21" x14ac:dyDescent="0.2">
      <c r="A1315" s="7" cm="1">
        <f t="array" aca="1" ref="A1315" ca="1">INDEX(Companies!$A:$A,RANDBETWEEN(2,COUNTA(Companies!$A:$A)),1)</f>
        <v>2</v>
      </c>
      <c r="B1315" s="5">
        <f t="shared" si="241"/>
        <v>1314</v>
      </c>
      <c r="C1315" s="6">
        <f t="shared" ca="1" si="242"/>
        <v>1</v>
      </c>
      <c r="D1315" s="7">
        <f ca="1">IF($B1315 = 1 + N("Presidente"),
    127,
    IF($B1315 = 2 + N("Vice-Presidente"),
        72,
        IF($B1315 = 3 + N("Secretária bilíngue"),
            13,
            RANDBETWEEN(5,COUNT(Name!$A:$A) + 1)
        )
    )
)</f>
        <v>30</v>
      </c>
      <c r="E1315" s="7" t="str">
        <f ca="1" xml:space="preserve">
VLOOKUP(
  $D1315,
  Name!$A:$B,
  2,
  FALSE
)
&amp; " " &amp;
IF($B1315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Clara Fontana Barboza</v>
      </c>
      <c r="F1315" s="7">
        <v>2</v>
      </c>
      <c r="G1315" s="7" cm="1">
        <f t="array" aca="1" ref="G1315" ca="1">INDEX(States!$B:$B,RANDBETWEEN(2,COUNTA(States!$A:$A)),1)</f>
        <v>20</v>
      </c>
      <c r="H1315" s="7" t="str">
        <f ca="1">VLOOKUP($D1315,Name!$A:$C,3,FALSE)</f>
        <v>F</v>
      </c>
      <c r="I1315" s="7" cm="1">
        <f t="array" aca="1" ref="I1315" ca="1">INDEX('Marital status'!$A:$A,RANDBETWEEN(2,COUNTA('Marital status'!$A:$A)),1)</f>
        <v>3</v>
      </c>
      <c r="J1315" s="7">
        <f t="shared" ca="1" si="243"/>
        <v>2</v>
      </c>
      <c r="K1315" s="8">
        <f t="shared" ca="1" si="244"/>
        <v>37100</v>
      </c>
      <c r="L1315" s="6">
        <f t="shared" ca="1" si="245"/>
        <v>4</v>
      </c>
      <c r="M1315" s="7">
        <f ca="1" xml:space="preserve">
  IF(OR($N1315 = 2, $N1315 = 3, $N1315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315" s="6">
        <f t="shared" ca="1" si="246"/>
        <v>8</v>
      </c>
      <c r="O1315" s="6">
        <f t="shared" ca="1" si="247"/>
        <v>2</v>
      </c>
      <c r="P1315" s="8">
        <f t="shared" ca="1" si="248"/>
        <v>43288</v>
      </c>
      <c r="Q1315" s="6">
        <f ca="1">RANDBETWEEN(2,COUNTA('Recruitment source'!$A:$A))</f>
        <v>8</v>
      </c>
      <c r="R1315" s="8" t="e">
        <f t="shared" ca="1" si="249"/>
        <v>#N/A</v>
      </c>
      <c r="S1315" s="6" t="e">
        <f t="shared" ca="1" si="250"/>
        <v>#N/A</v>
      </c>
      <c r="T1315" s="6">
        <f t="shared" ca="1" si="240"/>
        <v>5</v>
      </c>
      <c r="U1315" s="1">
        <f t="shared" ca="1" si="251"/>
        <v>2000</v>
      </c>
    </row>
    <row r="1316" spans="1:21" x14ac:dyDescent="0.2">
      <c r="A1316" s="7" cm="1">
        <f t="array" aca="1" ref="A1316" ca="1">INDEX(Companies!$A:$A,RANDBETWEEN(2,COUNTA(Companies!$A:$A)),1)</f>
        <v>2</v>
      </c>
      <c r="B1316" s="5">
        <f t="shared" si="241"/>
        <v>1315</v>
      </c>
      <c r="C1316" s="6">
        <f t="shared" ca="1" si="242"/>
        <v>1</v>
      </c>
      <c r="D1316" s="7">
        <f ca="1">IF($B1316 = 1 + N("Presidente"),
    127,
    IF($B1316 = 2 + N("Vice-Presidente"),
        72,
        IF($B1316 = 3 + N("Secretária bilíngue"),
            13,
            RANDBETWEEN(5,COUNT(Name!$A:$A) + 1)
        )
    )
)</f>
        <v>153</v>
      </c>
      <c r="E1316" s="7" t="str">
        <f ca="1" xml:space="preserve">
VLOOKUP(
  $D1316,
  Name!$A:$B,
  2,
  FALSE
)
&amp; " " &amp;
IF($B1316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Giovana Vaz Lopes</v>
      </c>
      <c r="F1316" s="7">
        <v>2</v>
      </c>
      <c r="G1316" s="7" cm="1">
        <f t="array" aca="1" ref="G1316" ca="1">INDEX(States!$B:$B,RANDBETWEEN(2,COUNTA(States!$A:$A)),1)</f>
        <v>4</v>
      </c>
      <c r="H1316" s="7" t="str">
        <f ca="1">VLOOKUP($D1316,Name!$A:$C,3,FALSE)</f>
        <v>F</v>
      </c>
      <c r="I1316" s="7" cm="1">
        <f t="array" aca="1" ref="I1316" ca="1">INDEX('Marital status'!$A:$A,RANDBETWEEN(2,COUNTA('Marital status'!$A:$A)),1)</f>
        <v>6</v>
      </c>
      <c r="J1316" s="7">
        <f t="shared" ca="1" si="243"/>
        <v>3</v>
      </c>
      <c r="K1316" s="8">
        <f t="shared" ca="1" si="244"/>
        <v>35644</v>
      </c>
      <c r="L1316" s="6">
        <f t="shared" ca="1" si="245"/>
        <v>4</v>
      </c>
      <c r="M1316" s="7">
        <f ca="1" xml:space="preserve">
  IF(OR($N1316 = 2, $N1316 = 3, $N1316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316" s="6">
        <f t="shared" ca="1" si="246"/>
        <v>7</v>
      </c>
      <c r="O1316" s="6" t="e">
        <f t="shared" ca="1" si="247"/>
        <v>#N/A</v>
      </c>
      <c r="P1316" s="8">
        <f t="shared" ca="1" si="248"/>
        <v>42738</v>
      </c>
      <c r="Q1316" s="6">
        <f ca="1">RANDBETWEEN(2,COUNTA('Recruitment source'!$A:$A))</f>
        <v>10</v>
      </c>
      <c r="R1316" s="8" t="e">
        <f t="shared" ca="1" si="249"/>
        <v>#N/A</v>
      </c>
      <c r="S1316" s="6" t="e">
        <f t="shared" ca="1" si="250"/>
        <v>#N/A</v>
      </c>
      <c r="T1316" s="6">
        <f t="shared" ca="1" si="240"/>
        <v>3</v>
      </c>
      <c r="U1316" s="1">
        <f t="shared" ca="1" si="251"/>
        <v>1085</v>
      </c>
    </row>
    <row r="1317" spans="1:21" x14ac:dyDescent="0.2">
      <c r="A1317" s="7" cm="1">
        <f t="array" aca="1" ref="A1317" ca="1">INDEX(Companies!$A:$A,RANDBETWEEN(2,COUNTA(Companies!$A:$A)),1)</f>
        <v>2</v>
      </c>
      <c r="B1317" s="5">
        <f t="shared" si="241"/>
        <v>1316</v>
      </c>
      <c r="C1317" s="6">
        <f t="shared" ca="1" si="242"/>
        <v>1</v>
      </c>
      <c r="D1317" s="7">
        <f ca="1">IF($B1317 = 1 + N("Presidente"),
    127,
    IF($B1317 = 2 + N("Vice-Presidente"),
        72,
        IF($B1317 = 3 + N("Secretária bilíngue"),
            13,
            RANDBETWEEN(5,COUNT(Name!$A:$A) + 1)
        )
    )
)</f>
        <v>271</v>
      </c>
      <c r="E1317" s="7" t="str">
        <f ca="1" xml:space="preserve">
VLOOKUP(
  $D1317,
  Name!$A:$B,
  2,
  FALSE
)
&amp; " " &amp;
IF($B1317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Luiza Moretti Lopes</v>
      </c>
      <c r="F1317" s="7">
        <v>2</v>
      </c>
      <c r="G1317" s="7" cm="1">
        <f t="array" aca="1" ref="G1317" ca="1">INDEX(States!$B:$B,RANDBETWEEN(2,COUNTA(States!$A:$A)),1)</f>
        <v>15</v>
      </c>
      <c r="H1317" s="7" t="str">
        <f ca="1">VLOOKUP($D1317,Name!$A:$C,3,FALSE)</f>
        <v>F</v>
      </c>
      <c r="I1317" s="7" cm="1">
        <f t="array" aca="1" ref="I1317" ca="1">INDEX('Marital status'!$A:$A,RANDBETWEEN(2,COUNTA('Marital status'!$A:$A)),1)</f>
        <v>2</v>
      </c>
      <c r="J1317" s="7">
        <f t="shared" ca="1" si="243"/>
        <v>2</v>
      </c>
      <c r="K1317" s="8">
        <f t="shared" ca="1" si="244"/>
        <v>33085</v>
      </c>
      <c r="L1317" s="6">
        <f t="shared" ca="1" si="245"/>
        <v>5</v>
      </c>
      <c r="M1317" s="7">
        <f ca="1" xml:space="preserve">
  IF(OR($N1317 = 2, $N1317 = 3, $N1317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317" s="6">
        <f t="shared" ca="1" si="246"/>
        <v>8</v>
      </c>
      <c r="O1317" s="6">
        <f t="shared" ca="1" si="247"/>
        <v>2</v>
      </c>
      <c r="P1317" s="8">
        <f t="shared" ca="1" si="248"/>
        <v>37847</v>
      </c>
      <c r="Q1317" s="6">
        <f ca="1">RANDBETWEEN(2,COUNTA('Recruitment source'!$A:$A))</f>
        <v>9</v>
      </c>
      <c r="R1317" s="8" t="e">
        <f t="shared" ca="1" si="249"/>
        <v>#N/A</v>
      </c>
      <c r="S1317" s="6" t="e">
        <f t="shared" ca="1" si="250"/>
        <v>#N/A</v>
      </c>
      <c r="T1317" s="6">
        <f t="shared" ca="1" si="240"/>
        <v>5</v>
      </c>
      <c r="U1317" s="1">
        <f t="shared" ca="1" si="251"/>
        <v>2000</v>
      </c>
    </row>
    <row r="1318" spans="1:21" x14ac:dyDescent="0.2">
      <c r="A1318" s="7" cm="1">
        <f t="array" aca="1" ref="A1318" ca="1">INDEX(Companies!$A:$A,RANDBETWEEN(2,COUNTA(Companies!$A:$A)),1)</f>
        <v>2</v>
      </c>
      <c r="B1318" s="5">
        <f t="shared" si="241"/>
        <v>1317</v>
      </c>
      <c r="C1318" s="6">
        <f t="shared" ca="1" si="242"/>
        <v>1</v>
      </c>
      <c r="D1318" s="7">
        <f ca="1">IF($B1318 = 1 + N("Presidente"),
    127,
    IF($B1318 = 2 + N("Vice-Presidente"),
        72,
        IF($B1318 = 3 + N("Secretária bilíngue"),
            13,
            RANDBETWEEN(5,COUNT(Name!$A:$A) + 1)
        )
    )
)</f>
        <v>10</v>
      </c>
      <c r="E1318" s="7" t="str">
        <f ca="1" xml:space="preserve">
VLOOKUP(
  $D1318,
  Name!$A:$B,
  2,
  FALSE
)
&amp; " " &amp;
IF($B1318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Ágata Mazza Evangelista</v>
      </c>
      <c r="F1318" s="7">
        <v>2</v>
      </c>
      <c r="G1318" s="7" cm="1">
        <f t="array" aca="1" ref="G1318" ca="1">INDEX(States!$B:$B,RANDBETWEEN(2,COUNTA(States!$A:$A)),1)</f>
        <v>12</v>
      </c>
      <c r="H1318" s="7" t="str">
        <f ca="1">VLOOKUP($D1318,Name!$A:$C,3,FALSE)</f>
        <v>F</v>
      </c>
      <c r="I1318" s="7" cm="1">
        <f t="array" aca="1" ref="I1318" ca="1">INDEX('Marital status'!$A:$A,RANDBETWEEN(2,COUNTA('Marital status'!$A:$A)),1)</f>
        <v>2</v>
      </c>
      <c r="J1318" s="7">
        <f t="shared" ca="1" si="243"/>
        <v>2</v>
      </c>
      <c r="K1318" s="8">
        <f t="shared" ca="1" si="244"/>
        <v>30276</v>
      </c>
      <c r="L1318" s="6">
        <f t="shared" ca="1" si="245"/>
        <v>4</v>
      </c>
      <c r="M1318" s="7">
        <f ca="1" xml:space="preserve">
  IF(OR($N1318 = 2, $N1318 = 3, $N1318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318" s="6">
        <f t="shared" ca="1" si="246"/>
        <v>7</v>
      </c>
      <c r="O1318" s="6" t="e">
        <f t="shared" ca="1" si="247"/>
        <v>#N/A</v>
      </c>
      <c r="P1318" s="8">
        <f t="shared" ca="1" si="248"/>
        <v>42908</v>
      </c>
      <c r="Q1318" s="6">
        <f ca="1">RANDBETWEEN(2,COUNTA('Recruitment source'!$A:$A))</f>
        <v>11</v>
      </c>
      <c r="R1318" s="8" t="e">
        <f t="shared" ca="1" si="249"/>
        <v>#N/A</v>
      </c>
      <c r="S1318" s="6" t="e">
        <f t="shared" ca="1" si="250"/>
        <v>#N/A</v>
      </c>
      <c r="T1318" s="6">
        <f t="shared" ca="1" si="240"/>
        <v>5</v>
      </c>
      <c r="U1318" s="1">
        <f t="shared" ca="1" si="251"/>
        <v>1005</v>
      </c>
    </row>
    <row r="1319" spans="1:21" x14ac:dyDescent="0.2">
      <c r="A1319" s="7" cm="1">
        <f t="array" aca="1" ref="A1319" ca="1">INDEX(Companies!$A:$A,RANDBETWEEN(2,COUNTA(Companies!$A:$A)),1)</f>
        <v>2</v>
      </c>
      <c r="B1319" s="5">
        <f t="shared" si="241"/>
        <v>1318</v>
      </c>
      <c r="C1319" s="6">
        <f t="shared" ca="1" si="242"/>
        <v>1</v>
      </c>
      <c r="D1319" s="7">
        <f ca="1">IF($B1319 = 1 + N("Presidente"),
    127,
    IF($B1319 = 2 + N("Vice-Presidente"),
        72,
        IF($B1319 = 3 + N("Secretária bilíngue"),
            13,
            RANDBETWEEN(5,COUNT(Name!$A:$A) + 1)
        )
    )
)</f>
        <v>10</v>
      </c>
      <c r="E1319" s="7" t="str">
        <f ca="1" xml:space="preserve">
VLOOKUP(
  $D1319,
  Name!$A:$B,
  2,
  FALSE
)
&amp; " " &amp;
IF($B1319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Ágata Pimentel Almeida</v>
      </c>
      <c r="F1319" s="7">
        <v>2</v>
      </c>
      <c r="G1319" s="7" cm="1">
        <f t="array" aca="1" ref="G1319" ca="1">INDEX(States!$B:$B,RANDBETWEEN(2,COUNTA(States!$A:$A)),1)</f>
        <v>7</v>
      </c>
      <c r="H1319" s="7" t="str">
        <f ca="1">VLOOKUP($D1319,Name!$A:$C,3,FALSE)</f>
        <v>F</v>
      </c>
      <c r="I1319" s="7" cm="1">
        <f t="array" aca="1" ref="I1319" ca="1">INDEX('Marital status'!$A:$A,RANDBETWEEN(2,COUNTA('Marital status'!$A:$A)),1)</f>
        <v>2</v>
      </c>
      <c r="J1319" s="7">
        <f t="shared" ca="1" si="243"/>
        <v>2</v>
      </c>
      <c r="K1319" s="8">
        <f t="shared" ca="1" si="244"/>
        <v>34919</v>
      </c>
      <c r="L1319" s="6">
        <f t="shared" ca="1" si="245"/>
        <v>4</v>
      </c>
      <c r="M1319" s="7">
        <f ca="1" xml:space="preserve">
  IF(OR($N1319 = 2, $N1319 = 3, $N1319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319" s="6">
        <f t="shared" ca="1" si="246"/>
        <v>8</v>
      </c>
      <c r="O1319" s="6">
        <f t="shared" ca="1" si="247"/>
        <v>4</v>
      </c>
      <c r="P1319" s="8">
        <f t="shared" ca="1" si="248"/>
        <v>38078</v>
      </c>
      <c r="Q1319" s="6">
        <f ca="1">RANDBETWEEN(2,COUNTA('Recruitment source'!$A:$A))</f>
        <v>3</v>
      </c>
      <c r="R1319" s="8" t="e">
        <f t="shared" ca="1" si="249"/>
        <v>#N/A</v>
      </c>
      <c r="S1319" s="6" t="e">
        <f t="shared" ca="1" si="250"/>
        <v>#N/A</v>
      </c>
      <c r="T1319" s="6">
        <f t="shared" ca="1" si="240"/>
        <v>4</v>
      </c>
      <c r="U1319" s="1">
        <f t="shared" ca="1" si="251"/>
        <v>2000</v>
      </c>
    </row>
    <row r="1320" spans="1:21" x14ac:dyDescent="0.2">
      <c r="A1320" s="7" cm="1">
        <f t="array" aca="1" ref="A1320" ca="1">INDEX(Companies!$A:$A,RANDBETWEEN(2,COUNTA(Companies!$A:$A)),1)</f>
        <v>2</v>
      </c>
      <c r="B1320" s="5">
        <f t="shared" si="241"/>
        <v>1319</v>
      </c>
      <c r="C1320" s="6">
        <f t="shared" ca="1" si="242"/>
        <v>1</v>
      </c>
      <c r="D1320" s="7">
        <f ca="1">IF($B1320 = 1 + N("Presidente"),
    127,
    IF($B1320 = 2 + N("Vice-Presidente"),
        72,
        IF($B1320 = 3 + N("Secretária bilíngue"),
            13,
            RANDBETWEEN(5,COUNT(Name!$A:$A) + 1)
        )
    )
)</f>
        <v>154</v>
      </c>
      <c r="E1320" s="7" t="str">
        <f ca="1" xml:space="preserve">
VLOOKUP(
  $D1320,
  Name!$A:$B,
  2,
  FALSE
)
&amp; " " &amp;
IF($B1320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Giovanna Borba Almeida</v>
      </c>
      <c r="F1320" s="7">
        <v>2</v>
      </c>
      <c r="G1320" s="7" cm="1">
        <f t="array" aca="1" ref="G1320" ca="1">INDEX(States!$B:$B,RANDBETWEEN(2,COUNTA(States!$A:$A)),1)</f>
        <v>16</v>
      </c>
      <c r="H1320" s="7" t="str">
        <f ca="1">VLOOKUP($D1320,Name!$A:$C,3,FALSE)</f>
        <v>F</v>
      </c>
      <c r="I1320" s="7" cm="1">
        <f t="array" aca="1" ref="I1320" ca="1">INDEX('Marital status'!$A:$A,RANDBETWEEN(2,COUNTA('Marital status'!$A:$A)),1)</f>
        <v>2</v>
      </c>
      <c r="J1320" s="7">
        <f t="shared" ca="1" si="243"/>
        <v>4</v>
      </c>
      <c r="K1320" s="8">
        <f t="shared" ca="1" si="244"/>
        <v>30138</v>
      </c>
      <c r="L1320" s="6">
        <f t="shared" ca="1" si="245"/>
        <v>4</v>
      </c>
      <c r="M1320" s="7">
        <f ca="1" xml:space="preserve">
  IF(OR($N1320 = 2, $N1320 = 3, $N1320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320" s="6">
        <f t="shared" ca="1" si="246"/>
        <v>7</v>
      </c>
      <c r="O1320" s="6" t="e">
        <f t="shared" ca="1" si="247"/>
        <v>#N/A</v>
      </c>
      <c r="P1320" s="8">
        <f t="shared" ca="1" si="248"/>
        <v>39231</v>
      </c>
      <c r="Q1320" s="6">
        <f ca="1">RANDBETWEEN(2,COUNTA('Recruitment source'!$A:$A))</f>
        <v>11</v>
      </c>
      <c r="R1320" s="8" t="e">
        <f t="shared" ca="1" si="249"/>
        <v>#N/A</v>
      </c>
      <c r="S1320" s="6" t="e">
        <f t="shared" ca="1" si="250"/>
        <v>#N/A</v>
      </c>
      <c r="T1320" s="6">
        <f t="shared" ca="1" si="240"/>
        <v>2</v>
      </c>
      <c r="U1320" s="1">
        <f t="shared" ca="1" si="251"/>
        <v>1005</v>
      </c>
    </row>
    <row r="1321" spans="1:21" x14ac:dyDescent="0.2">
      <c r="A1321" s="7" cm="1">
        <f t="array" aca="1" ref="A1321" ca="1">INDEX(Companies!$A:$A,RANDBETWEEN(2,COUNTA(Companies!$A:$A)),1)</f>
        <v>2</v>
      </c>
      <c r="B1321" s="5">
        <f t="shared" si="241"/>
        <v>1320</v>
      </c>
      <c r="C1321" s="6">
        <f t="shared" ca="1" si="242"/>
        <v>1</v>
      </c>
      <c r="D1321" s="7">
        <f ca="1">IF($B1321 = 1 + N("Presidente"),
    127,
    IF($B1321 = 2 + N("Vice-Presidente"),
        72,
        IF($B1321 = 3 + N("Secretária bilíngue"),
            13,
            RANDBETWEEN(5,COUNT(Name!$A:$A) + 1)
        )
    )
)</f>
        <v>336</v>
      </c>
      <c r="E1321" s="7" t="str">
        <f ca="1" xml:space="preserve">
VLOOKUP(
  $D1321,
  Name!$A:$B,
  2,
  FALSE
)
&amp; " " &amp;
IF($B1321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Samuel Braga Pedrosa</v>
      </c>
      <c r="F1321" s="7">
        <v>2</v>
      </c>
      <c r="G1321" s="7" cm="1">
        <f t="array" aca="1" ref="G1321" ca="1">INDEX(States!$B:$B,RANDBETWEEN(2,COUNTA(States!$A:$A)),1)</f>
        <v>6</v>
      </c>
      <c r="H1321" s="7" t="str">
        <f ca="1">VLOOKUP($D1321,Name!$A:$C,3,FALSE)</f>
        <v>M</v>
      </c>
      <c r="I1321" s="7" cm="1">
        <f t="array" aca="1" ref="I1321" ca="1">INDEX('Marital status'!$A:$A,RANDBETWEEN(2,COUNTA('Marital status'!$A:$A)),1)</f>
        <v>3</v>
      </c>
      <c r="J1321" s="7">
        <f t="shared" ca="1" si="243"/>
        <v>2</v>
      </c>
      <c r="K1321" s="8">
        <f t="shared" ca="1" si="244"/>
        <v>37653</v>
      </c>
      <c r="L1321" s="6">
        <f t="shared" ca="1" si="245"/>
        <v>4</v>
      </c>
      <c r="M1321" s="7">
        <f ca="1" xml:space="preserve">
  IF(OR($N1321 = 2, $N1321 = 3, $N1321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321" s="6">
        <f t="shared" ca="1" si="246"/>
        <v>8</v>
      </c>
      <c r="O1321" s="6">
        <f t="shared" ca="1" si="247"/>
        <v>4</v>
      </c>
      <c r="P1321" s="8">
        <f t="shared" ca="1" si="248"/>
        <v>40660</v>
      </c>
      <c r="Q1321" s="6">
        <f ca="1">RANDBETWEEN(2,COUNTA('Recruitment source'!$A:$A))</f>
        <v>11</v>
      </c>
      <c r="R1321" s="8" t="e">
        <f t="shared" ca="1" si="249"/>
        <v>#N/A</v>
      </c>
      <c r="S1321" s="6" t="e">
        <f t="shared" ca="1" si="250"/>
        <v>#N/A</v>
      </c>
      <c r="T1321" s="6">
        <f t="shared" ca="1" si="240"/>
        <v>4</v>
      </c>
      <c r="U1321" s="1">
        <f t="shared" ca="1" si="251"/>
        <v>2080</v>
      </c>
    </row>
    <row r="1322" spans="1:21" x14ac:dyDescent="0.2">
      <c r="A1322" s="7" cm="1">
        <f t="array" aca="1" ref="A1322" ca="1">INDEX(Companies!$A:$A,RANDBETWEEN(2,COUNTA(Companies!$A:$A)),1)</f>
        <v>2</v>
      </c>
      <c r="B1322" s="5">
        <f t="shared" si="241"/>
        <v>1321</v>
      </c>
      <c r="C1322" s="6">
        <f t="shared" ca="1" si="242"/>
        <v>1</v>
      </c>
      <c r="D1322" s="7">
        <f ca="1">IF($B1322 = 1 + N("Presidente"),
    127,
    IF($B1322 = 2 + N("Vice-Presidente"),
        72,
        IF($B1322 = 3 + N("Secretária bilíngue"),
            13,
            RANDBETWEEN(5,COUNT(Name!$A:$A) + 1)
        )
    )
)</f>
        <v>30</v>
      </c>
      <c r="E1322" s="7" t="str">
        <f ca="1" xml:space="preserve">
VLOOKUP(
  $D1322,
  Name!$A:$B,
  2,
  FALSE
)
&amp; " " &amp;
IF($B1322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Clara Seixas Nunes</v>
      </c>
      <c r="F1322" s="7">
        <v>2</v>
      </c>
      <c r="G1322" s="7" cm="1">
        <f t="array" aca="1" ref="G1322" ca="1">INDEX(States!$B:$B,RANDBETWEEN(2,COUNTA(States!$A:$A)),1)</f>
        <v>10</v>
      </c>
      <c r="H1322" s="7" t="str">
        <f ca="1">VLOOKUP($D1322,Name!$A:$C,3,FALSE)</f>
        <v>F</v>
      </c>
      <c r="I1322" s="7" cm="1">
        <f t="array" aca="1" ref="I1322" ca="1">INDEX('Marital status'!$A:$A,RANDBETWEEN(2,COUNTA('Marital status'!$A:$A)),1)</f>
        <v>4</v>
      </c>
      <c r="J1322" s="7">
        <f t="shared" ca="1" si="243"/>
        <v>2</v>
      </c>
      <c r="K1322" s="8">
        <f t="shared" ca="1" si="244"/>
        <v>31622</v>
      </c>
      <c r="L1322" s="6">
        <f t="shared" ca="1" si="245"/>
        <v>4</v>
      </c>
      <c r="M1322" s="7">
        <f ca="1" xml:space="preserve">
  IF(OR($N1322 = 2, $N1322 = 3, $N1322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322" s="6">
        <f t="shared" ca="1" si="246"/>
        <v>7</v>
      </c>
      <c r="O1322" s="6" t="e">
        <f t="shared" ca="1" si="247"/>
        <v>#N/A</v>
      </c>
      <c r="P1322" s="8">
        <f t="shared" ca="1" si="248"/>
        <v>40984</v>
      </c>
      <c r="Q1322" s="6">
        <f ca="1">RANDBETWEEN(2,COUNTA('Recruitment source'!$A:$A))</f>
        <v>11</v>
      </c>
      <c r="R1322" s="8" t="e">
        <f t="shared" ca="1" si="249"/>
        <v>#N/A</v>
      </c>
      <c r="S1322" s="6" t="e">
        <f t="shared" ca="1" si="250"/>
        <v>#N/A</v>
      </c>
      <c r="T1322" s="6">
        <f t="shared" ca="1" si="240"/>
        <v>3</v>
      </c>
      <c r="U1322" s="1">
        <f t="shared" ca="1" si="251"/>
        <v>1005</v>
      </c>
    </row>
    <row r="1323" spans="1:21" x14ac:dyDescent="0.2">
      <c r="A1323" s="7" cm="1">
        <f t="array" aca="1" ref="A1323" ca="1">INDEX(Companies!$A:$A,RANDBETWEEN(2,COUNTA(Companies!$A:$A)),1)</f>
        <v>2</v>
      </c>
      <c r="B1323" s="5">
        <f t="shared" si="241"/>
        <v>1322</v>
      </c>
      <c r="C1323" s="6">
        <f t="shared" ca="1" si="242"/>
        <v>1</v>
      </c>
      <c r="D1323" s="7">
        <f ca="1">IF($B1323 = 1 + N("Presidente"),
    127,
    IF($B1323 = 2 + N("Vice-Presidente"),
        72,
        IF($B1323 = 3 + N("Secretária bilíngue"),
            13,
            RANDBETWEEN(5,COUNT(Name!$A:$A) + 1)
        )
    )
)</f>
        <v>83</v>
      </c>
      <c r="E1323" s="7" t="str">
        <f ca="1" xml:space="preserve">
VLOOKUP(
  $D1323,
  Name!$A:$B,
  2,
  FALSE
)
&amp; " " &amp;
IF($B1323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Camila Malafaia Martins</v>
      </c>
      <c r="F1323" s="7">
        <v>2</v>
      </c>
      <c r="G1323" s="7" cm="1">
        <f t="array" aca="1" ref="G1323" ca="1">INDEX(States!$B:$B,RANDBETWEEN(2,COUNTA(States!$A:$A)),1)</f>
        <v>7</v>
      </c>
      <c r="H1323" s="7" t="str">
        <f ca="1">VLOOKUP($D1323,Name!$A:$C,3,FALSE)</f>
        <v>F</v>
      </c>
      <c r="I1323" s="7" cm="1">
        <f t="array" aca="1" ref="I1323" ca="1">INDEX('Marital status'!$A:$A,RANDBETWEEN(2,COUNTA('Marital status'!$A:$A)),1)</f>
        <v>6</v>
      </c>
      <c r="J1323" s="7">
        <f t="shared" ca="1" si="243"/>
        <v>3</v>
      </c>
      <c r="K1323" s="8">
        <f t="shared" ca="1" si="244"/>
        <v>32521</v>
      </c>
      <c r="L1323" s="6">
        <f t="shared" ca="1" si="245"/>
        <v>4</v>
      </c>
      <c r="M1323" s="7">
        <f ca="1" xml:space="preserve">
  IF(OR($N1323 = 2, $N1323 = 3, $N1323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323" s="6">
        <f t="shared" ca="1" si="246"/>
        <v>8</v>
      </c>
      <c r="O1323" s="6">
        <f t="shared" ca="1" si="247"/>
        <v>4</v>
      </c>
      <c r="P1323" s="8">
        <f t="shared" ca="1" si="248"/>
        <v>37203</v>
      </c>
      <c r="Q1323" s="6">
        <f ca="1">RANDBETWEEN(2,COUNTA('Recruitment source'!$A:$A))</f>
        <v>8</v>
      </c>
      <c r="R1323" s="8" t="e">
        <f t="shared" ca="1" si="249"/>
        <v>#N/A</v>
      </c>
      <c r="S1323" s="6" t="e">
        <f t="shared" ca="1" si="250"/>
        <v>#N/A</v>
      </c>
      <c r="T1323" s="6">
        <f t="shared" ca="1" si="240"/>
        <v>4</v>
      </c>
      <c r="U1323" s="1">
        <f t="shared" ca="1" si="251"/>
        <v>2000</v>
      </c>
    </row>
    <row r="1324" spans="1:21" x14ac:dyDescent="0.2">
      <c r="A1324" s="7" cm="1">
        <f t="array" aca="1" ref="A1324" ca="1">INDEX(Companies!$A:$A,RANDBETWEEN(2,COUNTA(Companies!$A:$A)),1)</f>
        <v>2</v>
      </c>
      <c r="B1324" s="5">
        <f t="shared" si="241"/>
        <v>1323</v>
      </c>
      <c r="C1324" s="6">
        <f t="shared" ca="1" si="242"/>
        <v>1</v>
      </c>
      <c r="D1324" s="7">
        <f ca="1">IF($B1324 = 1 + N("Presidente"),
    127,
    IF($B1324 = 2 + N("Vice-Presidente"),
        72,
        IF($B1324 = 3 + N("Secretária bilíngue"),
            13,
            RANDBETWEEN(5,COUNT(Name!$A:$A) + 1)
        )
    )
)</f>
        <v>269</v>
      </c>
      <c r="E1324" s="7" t="str">
        <f ca="1" xml:space="preserve">
VLOOKUP(
  $D1324,
  Name!$A:$B,
  2,
  FALSE
)
&amp; " " &amp;
IF($B1324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Júlia Barreto Sacramento</v>
      </c>
      <c r="F1324" s="7">
        <v>2</v>
      </c>
      <c r="G1324" s="7" cm="1">
        <f t="array" aca="1" ref="G1324" ca="1">INDEX(States!$B:$B,RANDBETWEEN(2,COUNTA(States!$A:$A)),1)</f>
        <v>11</v>
      </c>
      <c r="H1324" s="7" t="str">
        <f ca="1">VLOOKUP($D1324,Name!$A:$C,3,FALSE)</f>
        <v>F</v>
      </c>
      <c r="I1324" s="7" cm="1">
        <f t="array" aca="1" ref="I1324" ca="1">INDEX('Marital status'!$A:$A,RANDBETWEEN(2,COUNTA('Marital status'!$A:$A)),1)</f>
        <v>6</v>
      </c>
      <c r="J1324" s="7">
        <f t="shared" ca="1" si="243"/>
        <v>2</v>
      </c>
      <c r="K1324" s="8">
        <f t="shared" ca="1" si="244"/>
        <v>35515</v>
      </c>
      <c r="L1324" s="6">
        <f t="shared" ca="1" si="245"/>
        <v>4</v>
      </c>
      <c r="M1324" s="7">
        <f ca="1" xml:space="preserve">
  IF(OR($N1324 = 2, $N1324 = 3, $N1324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324" s="6">
        <f t="shared" ca="1" si="246"/>
        <v>7</v>
      </c>
      <c r="O1324" s="6" t="e">
        <f t="shared" ca="1" si="247"/>
        <v>#N/A</v>
      </c>
      <c r="P1324" s="8">
        <f t="shared" ca="1" si="248"/>
        <v>41512</v>
      </c>
      <c r="Q1324" s="6">
        <f ca="1">RANDBETWEEN(2,COUNTA('Recruitment source'!$A:$A))</f>
        <v>7</v>
      </c>
      <c r="R1324" s="8" t="e">
        <f t="shared" ca="1" si="249"/>
        <v>#N/A</v>
      </c>
      <c r="S1324" s="6" t="e">
        <f t="shared" ca="1" si="250"/>
        <v>#N/A</v>
      </c>
      <c r="T1324" s="6">
        <f t="shared" ca="1" si="240"/>
        <v>3</v>
      </c>
      <c r="U1324" s="1">
        <f t="shared" ca="1" si="251"/>
        <v>1005</v>
      </c>
    </row>
    <row r="1325" spans="1:21" x14ac:dyDescent="0.2">
      <c r="A1325" s="7" cm="1">
        <f t="array" aca="1" ref="A1325" ca="1">INDEX(Companies!$A:$A,RANDBETWEEN(2,COUNTA(Companies!$A:$A)),1)</f>
        <v>2</v>
      </c>
      <c r="B1325" s="5">
        <f t="shared" si="241"/>
        <v>1324</v>
      </c>
      <c r="C1325" s="6">
        <f t="shared" ca="1" si="242"/>
        <v>1</v>
      </c>
      <c r="D1325" s="7">
        <f ca="1">IF($B1325 = 1 + N("Presidente"),
    127,
    IF($B1325 = 2 + N("Vice-Presidente"),
        72,
        IF($B1325 = 3 + N("Secretária bilíngue"),
            13,
            RANDBETWEEN(5,COUNT(Name!$A:$A) + 1)
        )
    )
)</f>
        <v>318</v>
      </c>
      <c r="E1325" s="7" t="str">
        <f ca="1" xml:space="preserve">
VLOOKUP(
  $D1325,
  Name!$A:$B,
  2,
  FALSE
)
&amp; " " &amp;
IF($B1325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Lucas Sá Martinelli</v>
      </c>
      <c r="F1325" s="7">
        <v>2</v>
      </c>
      <c r="G1325" s="7" cm="1">
        <f t="array" aca="1" ref="G1325" ca="1">INDEX(States!$B:$B,RANDBETWEEN(2,COUNTA(States!$A:$A)),1)</f>
        <v>11</v>
      </c>
      <c r="H1325" s="7" t="str">
        <f ca="1">VLOOKUP($D1325,Name!$A:$C,3,FALSE)</f>
        <v>M</v>
      </c>
      <c r="I1325" s="7" cm="1">
        <f t="array" aca="1" ref="I1325" ca="1">INDEX('Marital status'!$A:$A,RANDBETWEEN(2,COUNTA('Marital status'!$A:$A)),1)</f>
        <v>3</v>
      </c>
      <c r="J1325" s="7">
        <f t="shared" ca="1" si="243"/>
        <v>2</v>
      </c>
      <c r="K1325" s="8">
        <f t="shared" ca="1" si="244"/>
        <v>35836</v>
      </c>
      <c r="L1325" s="6">
        <f t="shared" ca="1" si="245"/>
        <v>4</v>
      </c>
      <c r="M1325" s="7">
        <f ca="1" xml:space="preserve">
  IF(OR($N1325 = 2, $N1325 = 3, $N1325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325" s="6">
        <f t="shared" ca="1" si="246"/>
        <v>8</v>
      </c>
      <c r="O1325" s="6">
        <f t="shared" ca="1" si="247"/>
        <v>2</v>
      </c>
      <c r="P1325" s="8">
        <f t="shared" ca="1" si="248"/>
        <v>40535</v>
      </c>
      <c r="Q1325" s="6">
        <f ca="1">RANDBETWEEN(2,COUNTA('Recruitment source'!$A:$A))</f>
        <v>3</v>
      </c>
      <c r="R1325" s="8" t="e">
        <f t="shared" ca="1" si="249"/>
        <v>#N/A</v>
      </c>
      <c r="S1325" s="6" t="e">
        <f t="shared" ca="1" si="250"/>
        <v>#N/A</v>
      </c>
      <c r="T1325" s="6">
        <f t="shared" ca="1" si="240"/>
        <v>3</v>
      </c>
      <c r="U1325" s="1">
        <f t="shared" ca="1" si="251"/>
        <v>2000</v>
      </c>
    </row>
    <row r="1326" spans="1:21" x14ac:dyDescent="0.2">
      <c r="A1326" s="7" cm="1">
        <f t="array" aca="1" ref="A1326" ca="1">INDEX(Companies!$A:$A,RANDBETWEEN(2,COUNTA(Companies!$A:$A)),1)</f>
        <v>2</v>
      </c>
      <c r="B1326" s="5">
        <f t="shared" si="241"/>
        <v>1325</v>
      </c>
      <c r="C1326" s="6">
        <f t="shared" ca="1" si="242"/>
        <v>1</v>
      </c>
      <c r="D1326" s="7">
        <f ca="1">IF($B1326 = 1 + N("Presidente"),
    127,
    IF($B1326 = 2 + N("Vice-Presidente"),
        72,
        IF($B1326 = 3 + N("Secretária bilíngue"),
            13,
            RANDBETWEEN(5,COUNT(Name!$A:$A) + 1)
        )
    )
)</f>
        <v>108</v>
      </c>
      <c r="E1326" s="7" t="str">
        <f ca="1" xml:space="preserve">
VLOOKUP(
  $D1326,
  Name!$A:$B,
  2,
  FALSE
)
&amp; " " &amp;
IF($B1326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Luccas Carneiro Rossi</v>
      </c>
      <c r="F1326" s="7">
        <v>2</v>
      </c>
      <c r="G1326" s="7" cm="1">
        <f t="array" aca="1" ref="G1326" ca="1">INDEX(States!$B:$B,RANDBETWEEN(2,COUNTA(States!$A:$A)),1)</f>
        <v>21</v>
      </c>
      <c r="H1326" s="7" t="str">
        <f ca="1">VLOOKUP($D1326,Name!$A:$C,3,FALSE)</f>
        <v>M</v>
      </c>
      <c r="I1326" s="7" cm="1">
        <f t="array" aca="1" ref="I1326" ca="1">INDEX('Marital status'!$A:$A,RANDBETWEEN(2,COUNTA('Marital status'!$A:$A)),1)</f>
        <v>6</v>
      </c>
      <c r="J1326" s="7">
        <f t="shared" ca="1" si="243"/>
        <v>2</v>
      </c>
      <c r="K1326" s="8">
        <f t="shared" ca="1" si="244"/>
        <v>30427</v>
      </c>
      <c r="L1326" s="6">
        <f t="shared" ca="1" si="245"/>
        <v>4</v>
      </c>
      <c r="M1326" s="7">
        <f ca="1" xml:space="preserve">
  IF(OR($N1326 = 2, $N1326 = 3, $N1326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326" s="6">
        <f t="shared" ca="1" si="246"/>
        <v>7</v>
      </c>
      <c r="O1326" s="6" t="e">
        <f t="shared" ca="1" si="247"/>
        <v>#N/A</v>
      </c>
      <c r="P1326" s="8">
        <f t="shared" ca="1" si="248"/>
        <v>41996</v>
      </c>
      <c r="Q1326" s="6">
        <f ca="1">RANDBETWEEN(2,COUNTA('Recruitment source'!$A:$A))</f>
        <v>2</v>
      </c>
      <c r="R1326" s="8" t="e">
        <f t="shared" ca="1" si="249"/>
        <v>#N/A</v>
      </c>
      <c r="S1326" s="6" t="e">
        <f t="shared" ca="1" si="250"/>
        <v>#N/A</v>
      </c>
      <c r="T1326" s="6">
        <f t="shared" ca="1" si="240"/>
        <v>2</v>
      </c>
      <c r="U1326" s="1">
        <f t="shared" ca="1" si="251"/>
        <v>1085</v>
      </c>
    </row>
    <row r="1327" spans="1:21" x14ac:dyDescent="0.2">
      <c r="A1327" s="7" cm="1">
        <f t="array" aca="1" ref="A1327" ca="1">INDEX(Companies!$A:$A,RANDBETWEEN(2,COUNTA(Companies!$A:$A)),1)</f>
        <v>2</v>
      </c>
      <c r="B1327" s="5">
        <f t="shared" si="241"/>
        <v>1326</v>
      </c>
      <c r="C1327" s="6">
        <f t="shared" ca="1" si="242"/>
        <v>1</v>
      </c>
      <c r="D1327" s="7">
        <f ca="1">IF($B1327 = 1 + N("Presidente"),
    127,
    IF($B1327 = 2 + N("Vice-Presidente"),
        72,
        IF($B1327 = 3 + N("Secretária bilíngue"),
            13,
            RANDBETWEEN(5,COUNT(Name!$A:$A) + 1)
        )
    )
)</f>
        <v>206</v>
      </c>
      <c r="E1327" s="7" t="str">
        <f ca="1" xml:space="preserve">
VLOOKUP(
  $D1327,
  Name!$A:$B,
  2,
  FALSE
)
&amp; " " &amp;
IF($B1327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Kamilla Tavares Santana</v>
      </c>
      <c r="F1327" s="7">
        <v>2</v>
      </c>
      <c r="G1327" s="7" cm="1">
        <f t="array" aca="1" ref="G1327" ca="1">INDEX(States!$B:$B,RANDBETWEEN(2,COUNTA(States!$A:$A)),1)</f>
        <v>7</v>
      </c>
      <c r="H1327" s="7" t="str">
        <f ca="1">VLOOKUP($D1327,Name!$A:$C,3,FALSE)</f>
        <v>F</v>
      </c>
      <c r="I1327" s="7" cm="1">
        <f t="array" aca="1" ref="I1327" ca="1">INDEX('Marital status'!$A:$A,RANDBETWEEN(2,COUNTA('Marital status'!$A:$A)),1)</f>
        <v>2</v>
      </c>
      <c r="J1327" s="7">
        <f t="shared" ca="1" si="243"/>
        <v>2</v>
      </c>
      <c r="K1327" s="8">
        <f t="shared" ca="1" si="244"/>
        <v>35077</v>
      </c>
      <c r="L1327" s="6">
        <f t="shared" ca="1" si="245"/>
        <v>5</v>
      </c>
      <c r="M1327" s="7">
        <f ca="1" xml:space="preserve">
  IF(OR($N1327 = 2, $N1327 = 3, $N1327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327" s="6">
        <f t="shared" ca="1" si="246"/>
        <v>8</v>
      </c>
      <c r="O1327" s="6">
        <f t="shared" ca="1" si="247"/>
        <v>3</v>
      </c>
      <c r="P1327" s="8">
        <f t="shared" ca="1" si="248"/>
        <v>40948</v>
      </c>
      <c r="Q1327" s="6">
        <f ca="1">RANDBETWEEN(2,COUNTA('Recruitment source'!$A:$A))</f>
        <v>12</v>
      </c>
      <c r="R1327" s="8" t="e">
        <f t="shared" ca="1" si="249"/>
        <v>#N/A</v>
      </c>
      <c r="S1327" s="6" t="e">
        <f t="shared" ca="1" si="250"/>
        <v>#N/A</v>
      </c>
      <c r="T1327" s="6">
        <f t="shared" ca="1" si="240"/>
        <v>5</v>
      </c>
      <c r="U1327" s="1">
        <f t="shared" ca="1" si="251"/>
        <v>2000</v>
      </c>
    </row>
    <row r="1328" spans="1:21" x14ac:dyDescent="0.2">
      <c r="A1328" s="7" cm="1">
        <f t="array" aca="1" ref="A1328" ca="1">INDEX(Companies!$A:$A,RANDBETWEEN(2,COUNTA(Companies!$A:$A)),1)</f>
        <v>2</v>
      </c>
      <c r="B1328" s="5">
        <f t="shared" si="241"/>
        <v>1327</v>
      </c>
      <c r="C1328" s="6">
        <f t="shared" ca="1" si="242"/>
        <v>1</v>
      </c>
      <c r="D1328" s="7">
        <f ca="1">IF($B1328 = 1 + N("Presidente"),
    127,
    IF($B1328 = 2 + N("Vice-Presidente"),
        72,
        IF($B1328 = 3 + N("Secretária bilíngue"),
            13,
            RANDBETWEEN(5,COUNT(Name!$A:$A) + 1)
        )
    )
)</f>
        <v>85</v>
      </c>
      <c r="E1328" s="7" t="str">
        <f ca="1" xml:space="preserve">
VLOOKUP(
  $D1328,
  Name!$A:$B,
  2,
  FALSE
)
&amp; " " &amp;
IF($B1328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Carlos Eduardo Zil Moretti</v>
      </c>
      <c r="F1328" s="7">
        <v>2</v>
      </c>
      <c r="G1328" s="7" cm="1">
        <f t="array" aca="1" ref="G1328" ca="1">INDEX(States!$B:$B,RANDBETWEEN(2,COUNTA(States!$A:$A)),1)</f>
        <v>9</v>
      </c>
      <c r="H1328" s="7" t="str">
        <f ca="1">VLOOKUP($D1328,Name!$A:$C,3,FALSE)</f>
        <v>M</v>
      </c>
      <c r="I1328" s="7" cm="1">
        <f t="array" aca="1" ref="I1328" ca="1">INDEX('Marital status'!$A:$A,RANDBETWEEN(2,COUNTA('Marital status'!$A:$A)),1)</f>
        <v>3</v>
      </c>
      <c r="J1328" s="7">
        <f t="shared" ca="1" si="243"/>
        <v>2</v>
      </c>
      <c r="K1328" s="8">
        <f t="shared" ca="1" si="244"/>
        <v>24327</v>
      </c>
      <c r="L1328" s="6">
        <f t="shared" ca="1" si="245"/>
        <v>4</v>
      </c>
      <c r="M1328" s="7">
        <f ca="1" xml:space="preserve">
  IF(OR($N1328 = 2, $N1328 = 3, $N1328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328" s="6">
        <f t="shared" ca="1" si="246"/>
        <v>6</v>
      </c>
      <c r="O1328" s="6" t="e">
        <f t="shared" ca="1" si="247"/>
        <v>#N/A</v>
      </c>
      <c r="P1328" s="8">
        <f t="shared" ca="1" si="248"/>
        <v>40696</v>
      </c>
      <c r="Q1328" s="6">
        <f ca="1">RANDBETWEEN(2,COUNTA('Recruitment source'!$A:$A))</f>
        <v>6</v>
      </c>
      <c r="R1328" s="8" t="e">
        <f t="shared" ca="1" si="249"/>
        <v>#N/A</v>
      </c>
      <c r="S1328" s="6" t="e">
        <f t="shared" ca="1" si="250"/>
        <v>#N/A</v>
      </c>
      <c r="T1328" s="6">
        <f t="shared" ca="1" si="240"/>
        <v>3</v>
      </c>
      <c r="U1328" s="1">
        <f t="shared" ca="1" si="251"/>
        <v>805</v>
      </c>
    </row>
    <row r="1329" spans="1:21" x14ac:dyDescent="0.2">
      <c r="A1329" s="7" cm="1">
        <f t="array" aca="1" ref="A1329" ca="1">INDEX(Companies!$A:$A,RANDBETWEEN(2,COUNTA(Companies!$A:$A)),1)</f>
        <v>2</v>
      </c>
      <c r="B1329" s="5">
        <f t="shared" si="241"/>
        <v>1328</v>
      </c>
      <c r="C1329" s="6">
        <f t="shared" ca="1" si="242"/>
        <v>1</v>
      </c>
      <c r="D1329" s="7">
        <f ca="1">IF($B1329 = 1 + N("Presidente"),
    127,
    IF($B1329 = 2 + N("Vice-Presidente"),
        72,
        IF($B1329 = 3 + N("Secretária bilíngue"),
            13,
            RANDBETWEEN(5,COUNT(Name!$A:$A) + 1)
        )
    )
)</f>
        <v>142</v>
      </c>
      <c r="E1329" s="7" t="str">
        <f ca="1" xml:space="preserve">
VLOOKUP(
  $D1329,
  Name!$A:$B,
  2,
  FALSE
)
&amp; " " &amp;
IF($B1329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Flaviano Pedrosa Testa</v>
      </c>
      <c r="F1329" s="7">
        <v>2</v>
      </c>
      <c r="G1329" s="7" cm="1">
        <f t="array" aca="1" ref="G1329" ca="1">INDEX(States!$B:$B,RANDBETWEEN(2,COUNTA(States!$A:$A)),1)</f>
        <v>2</v>
      </c>
      <c r="H1329" s="7" t="str">
        <f ca="1">VLOOKUP($D1329,Name!$A:$C,3,FALSE)</f>
        <v>M</v>
      </c>
      <c r="I1329" s="7" cm="1">
        <f t="array" aca="1" ref="I1329" ca="1">INDEX('Marital status'!$A:$A,RANDBETWEEN(2,COUNTA('Marital status'!$A:$A)),1)</f>
        <v>5</v>
      </c>
      <c r="J1329" s="7">
        <f t="shared" ca="1" si="243"/>
        <v>2</v>
      </c>
      <c r="K1329" s="8">
        <f t="shared" ca="1" si="244"/>
        <v>33978</v>
      </c>
      <c r="L1329" s="6">
        <f t="shared" ca="1" si="245"/>
        <v>5</v>
      </c>
      <c r="M1329" s="7">
        <f ca="1" xml:space="preserve">
  IF(OR($N1329 = 2, $N1329 = 3, $N1329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329" s="6">
        <f t="shared" ca="1" si="246"/>
        <v>8</v>
      </c>
      <c r="O1329" s="6">
        <f t="shared" ca="1" si="247"/>
        <v>3</v>
      </c>
      <c r="P1329" s="8">
        <f t="shared" ca="1" si="248"/>
        <v>42607</v>
      </c>
      <c r="Q1329" s="6">
        <f ca="1">RANDBETWEEN(2,COUNTA('Recruitment source'!$A:$A))</f>
        <v>2</v>
      </c>
      <c r="R1329" s="8" t="e">
        <f t="shared" ca="1" si="249"/>
        <v>#N/A</v>
      </c>
      <c r="S1329" s="6" t="e">
        <f t="shared" ca="1" si="250"/>
        <v>#N/A</v>
      </c>
      <c r="T1329" s="6">
        <f t="shared" ca="1" si="240"/>
        <v>3</v>
      </c>
      <c r="U1329" s="1">
        <f t="shared" ca="1" si="251"/>
        <v>2000</v>
      </c>
    </row>
    <row r="1330" spans="1:21" x14ac:dyDescent="0.2">
      <c r="A1330" s="7" cm="1">
        <f t="array" aca="1" ref="A1330" ca="1">INDEX(Companies!$A:$A,RANDBETWEEN(2,COUNTA(Companies!$A:$A)),1)</f>
        <v>2</v>
      </c>
      <c r="B1330" s="5">
        <f t="shared" si="241"/>
        <v>1329</v>
      </c>
      <c r="C1330" s="6">
        <f t="shared" ca="1" si="242"/>
        <v>1</v>
      </c>
      <c r="D1330" s="7">
        <f ca="1">IF($B1330 = 1 + N("Presidente"),
    127,
    IF($B1330 = 2 + N("Vice-Presidente"),
        72,
        IF($B1330 = 3 + N("Secretária bilíngue"),
            13,
            RANDBETWEEN(5,COUNT(Name!$A:$A) + 1)
        )
    )
)</f>
        <v>268</v>
      </c>
      <c r="E1330" s="7" t="str">
        <f ca="1" xml:space="preserve">
VLOOKUP(
  $D1330,
  Name!$A:$B,
  2,
  FALSE
)
&amp; " " &amp;
IF($B1330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Isis Miranda Santoro</v>
      </c>
      <c r="F1330" s="7">
        <v>2</v>
      </c>
      <c r="G1330" s="7" cm="1">
        <f t="array" aca="1" ref="G1330" ca="1">INDEX(States!$B:$B,RANDBETWEEN(2,COUNTA(States!$A:$A)),1)</f>
        <v>18</v>
      </c>
      <c r="H1330" s="7" t="str">
        <f ca="1">VLOOKUP($D1330,Name!$A:$C,3,FALSE)</f>
        <v>F</v>
      </c>
      <c r="I1330" s="7" cm="1">
        <f t="array" aca="1" ref="I1330" ca="1">INDEX('Marital status'!$A:$A,RANDBETWEEN(2,COUNTA('Marital status'!$A:$A)),1)</f>
        <v>6</v>
      </c>
      <c r="J1330" s="7">
        <f t="shared" ca="1" si="243"/>
        <v>5</v>
      </c>
      <c r="K1330" s="8">
        <f t="shared" ca="1" si="244"/>
        <v>30830</v>
      </c>
      <c r="L1330" s="6">
        <f t="shared" ca="1" si="245"/>
        <v>4</v>
      </c>
      <c r="M1330" s="7">
        <f ca="1" xml:space="preserve">
  IF(OR($N1330 = 2, $N1330 = 3, $N1330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330" s="6">
        <f t="shared" ca="1" si="246"/>
        <v>7</v>
      </c>
      <c r="O1330" s="6" t="e">
        <f t="shared" ca="1" si="247"/>
        <v>#N/A</v>
      </c>
      <c r="P1330" s="8">
        <f t="shared" ca="1" si="248"/>
        <v>39213</v>
      </c>
      <c r="Q1330" s="6">
        <f ca="1">RANDBETWEEN(2,COUNTA('Recruitment source'!$A:$A))</f>
        <v>10</v>
      </c>
      <c r="R1330" s="8" t="e">
        <f t="shared" ca="1" si="249"/>
        <v>#N/A</v>
      </c>
      <c r="S1330" s="6" t="e">
        <f t="shared" ca="1" si="250"/>
        <v>#N/A</v>
      </c>
      <c r="T1330" s="6">
        <f t="shared" ca="1" si="240"/>
        <v>4</v>
      </c>
      <c r="U1330" s="1">
        <f t="shared" ca="1" si="251"/>
        <v>1005</v>
      </c>
    </row>
    <row r="1331" spans="1:21" x14ac:dyDescent="0.2">
      <c r="A1331" s="7" cm="1">
        <f t="array" aca="1" ref="A1331" ca="1">INDEX(Companies!$A:$A,RANDBETWEEN(2,COUNTA(Companies!$A:$A)),1)</f>
        <v>2</v>
      </c>
      <c r="B1331" s="5">
        <f t="shared" si="241"/>
        <v>1330</v>
      </c>
      <c r="C1331" s="6">
        <f t="shared" ca="1" si="242"/>
        <v>1</v>
      </c>
      <c r="D1331" s="7">
        <f ca="1">IF($B1331 = 1 + N("Presidente"),
    127,
    IF($B1331 = 2 + N("Vice-Presidente"),
        72,
        IF($B1331 = 3 + N("Secretária bilíngue"),
            13,
            RANDBETWEEN(5,COUNT(Name!$A:$A) + 1)
        )
    )
)</f>
        <v>20</v>
      </c>
      <c r="E1331" s="7" t="str">
        <f ca="1" xml:space="preserve">
VLOOKUP(
  $D1331,
  Name!$A:$B,
  2,
  FALSE
)
&amp; " " &amp;
IF($B1331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Alini Aleluia Brasil</v>
      </c>
      <c r="F1331" s="7">
        <v>2</v>
      </c>
      <c r="G1331" s="7" cm="1">
        <f t="array" aca="1" ref="G1331" ca="1">INDEX(States!$B:$B,RANDBETWEEN(2,COUNTA(States!$A:$A)),1)</f>
        <v>21</v>
      </c>
      <c r="H1331" s="7" t="str">
        <f ca="1">VLOOKUP($D1331,Name!$A:$C,3,FALSE)</f>
        <v>F</v>
      </c>
      <c r="I1331" s="7" cm="1">
        <f t="array" aca="1" ref="I1331" ca="1">INDEX('Marital status'!$A:$A,RANDBETWEEN(2,COUNTA('Marital status'!$A:$A)),1)</f>
        <v>6</v>
      </c>
      <c r="J1331" s="7">
        <f t="shared" ca="1" si="243"/>
        <v>4</v>
      </c>
      <c r="K1331" s="8">
        <f t="shared" ca="1" si="244"/>
        <v>35061</v>
      </c>
      <c r="L1331" s="6">
        <f t="shared" ca="1" si="245"/>
        <v>4</v>
      </c>
      <c r="M1331" s="7">
        <f ca="1" xml:space="preserve">
  IF(OR($N1331 = 2, $N1331 = 3, $N1331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331" s="6">
        <f t="shared" ca="1" si="246"/>
        <v>8</v>
      </c>
      <c r="O1331" s="6">
        <f t="shared" ca="1" si="247"/>
        <v>2</v>
      </c>
      <c r="P1331" s="8">
        <f t="shared" ca="1" si="248"/>
        <v>41140</v>
      </c>
      <c r="Q1331" s="6">
        <f ca="1">RANDBETWEEN(2,COUNTA('Recruitment source'!$A:$A))</f>
        <v>12</v>
      </c>
      <c r="R1331" s="8" t="e">
        <f t="shared" ca="1" si="249"/>
        <v>#N/A</v>
      </c>
      <c r="S1331" s="6" t="e">
        <f t="shared" ca="1" si="250"/>
        <v>#N/A</v>
      </c>
      <c r="T1331" s="6">
        <f t="shared" ca="1" si="240"/>
        <v>5</v>
      </c>
      <c r="U1331" s="1">
        <f t="shared" ca="1" si="251"/>
        <v>2000</v>
      </c>
    </row>
    <row r="1332" spans="1:21" x14ac:dyDescent="0.2">
      <c r="A1332" s="7" cm="1">
        <f t="array" aca="1" ref="A1332" ca="1">INDEX(Companies!$A:$A,RANDBETWEEN(2,COUNTA(Companies!$A:$A)),1)</f>
        <v>2</v>
      </c>
      <c r="B1332" s="5">
        <f t="shared" si="241"/>
        <v>1331</v>
      </c>
      <c r="C1332" s="6">
        <f t="shared" ca="1" si="242"/>
        <v>0</v>
      </c>
      <c r="D1332" s="7">
        <f ca="1">IF($B1332 = 1 + N("Presidente"),
    127,
    IF($B1332 = 2 + N("Vice-Presidente"),
        72,
        IF($B1332 = 3 + N("Secretária bilíngue"),
            13,
            RANDBETWEEN(5,COUNT(Name!$A:$A) + 1)
        )
    )
)</f>
        <v>333</v>
      </c>
      <c r="E1332" s="7" t="str">
        <f ca="1" xml:space="preserve">
VLOOKUP(
  $D1332,
  Name!$A:$B,
  2,
  FALSE
)
&amp; " " &amp;
IF($B1332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Ruan Sousa Rizzo</v>
      </c>
      <c r="F1332" s="7">
        <v>2</v>
      </c>
      <c r="G1332" s="7" cm="1">
        <f t="array" aca="1" ref="G1332" ca="1">INDEX(States!$B:$B,RANDBETWEEN(2,COUNTA(States!$A:$A)),1)</f>
        <v>18</v>
      </c>
      <c r="H1332" s="7" t="str">
        <f ca="1">VLOOKUP($D1332,Name!$A:$C,3,FALSE)</f>
        <v>M</v>
      </c>
      <c r="I1332" s="7" cm="1">
        <f t="array" aca="1" ref="I1332" ca="1">INDEX('Marital status'!$A:$A,RANDBETWEEN(2,COUNTA('Marital status'!$A:$A)),1)</f>
        <v>6</v>
      </c>
      <c r="J1332" s="7">
        <f t="shared" ca="1" si="243"/>
        <v>2</v>
      </c>
      <c r="K1332" s="8">
        <f t="shared" ca="1" si="244"/>
        <v>24906</v>
      </c>
      <c r="L1332" s="6">
        <f t="shared" ca="1" si="245"/>
        <v>4</v>
      </c>
      <c r="M1332" s="7">
        <f ca="1" xml:space="preserve">
  IF(OR($N1332 = 2, $N1332 = 3, $N1332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332" s="6">
        <f t="shared" ca="1" si="246"/>
        <v>6</v>
      </c>
      <c r="O1332" s="6" t="e">
        <f t="shared" ca="1" si="247"/>
        <v>#N/A</v>
      </c>
      <c r="P1332" s="8">
        <f t="shared" ca="1" si="248"/>
        <v>44202</v>
      </c>
      <c r="Q1332" s="6">
        <f ca="1">RANDBETWEEN(2,COUNTA('Recruitment source'!$A:$A))</f>
        <v>2</v>
      </c>
      <c r="R1332" s="8">
        <f t="shared" ca="1" si="249"/>
        <v>44551</v>
      </c>
      <c r="S1332" s="6">
        <f t="shared" ca="1" si="250"/>
        <v>5</v>
      </c>
      <c r="T1332" s="6">
        <f t="shared" ca="1" si="240"/>
        <v>3</v>
      </c>
      <c r="U1332" s="1">
        <f t="shared" ca="1" si="251"/>
        <v>805</v>
      </c>
    </row>
    <row r="1333" spans="1:21" x14ac:dyDescent="0.2">
      <c r="A1333" s="7" cm="1">
        <f t="array" aca="1" ref="A1333" ca="1">INDEX(Companies!$A:$A,RANDBETWEEN(2,COUNTA(Companies!$A:$A)),1)</f>
        <v>2</v>
      </c>
      <c r="B1333" s="5">
        <f t="shared" si="241"/>
        <v>1332</v>
      </c>
      <c r="C1333" s="6">
        <f t="shared" ca="1" si="242"/>
        <v>1</v>
      </c>
      <c r="D1333" s="7">
        <f ca="1">IF($B1333 = 1 + N("Presidente"),
    127,
    IF($B1333 = 2 + N("Vice-Presidente"),
        72,
        IF($B1333 = 3 + N("Secretária bilíngue"),
            13,
            RANDBETWEEN(5,COUNT(Name!$A:$A) + 1)
        )
    )
)</f>
        <v>159</v>
      </c>
      <c r="E1333" s="7" t="str">
        <f ca="1" xml:space="preserve">
VLOOKUP(
  $D1333,
  Name!$A:$B,
  2,
  FALSE
)
&amp; " " &amp;
IF($B1333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Gustavo Amor Rossi</v>
      </c>
      <c r="F1333" s="7">
        <v>2</v>
      </c>
      <c r="G1333" s="7" cm="1">
        <f t="array" aca="1" ref="G1333" ca="1">INDEX(States!$B:$B,RANDBETWEEN(2,COUNTA(States!$A:$A)),1)</f>
        <v>2</v>
      </c>
      <c r="H1333" s="7" t="str">
        <f ca="1">VLOOKUP($D1333,Name!$A:$C,3,FALSE)</f>
        <v>M</v>
      </c>
      <c r="I1333" s="7" cm="1">
        <f t="array" aca="1" ref="I1333" ca="1">INDEX('Marital status'!$A:$A,RANDBETWEEN(2,COUNTA('Marital status'!$A:$A)),1)</f>
        <v>3</v>
      </c>
      <c r="J1333" s="7">
        <f t="shared" ca="1" si="243"/>
        <v>2</v>
      </c>
      <c r="K1333" s="8">
        <f t="shared" ca="1" si="244"/>
        <v>35284</v>
      </c>
      <c r="L1333" s="6">
        <f t="shared" ca="1" si="245"/>
        <v>4</v>
      </c>
      <c r="M1333" s="7">
        <f ca="1" xml:space="preserve">
  IF(OR($N1333 = 2, $N1333 = 3, $N1333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333" s="6">
        <f t="shared" ca="1" si="246"/>
        <v>8</v>
      </c>
      <c r="O1333" s="6">
        <f t="shared" ca="1" si="247"/>
        <v>3</v>
      </c>
      <c r="P1333" s="8">
        <f t="shared" ca="1" si="248"/>
        <v>37976</v>
      </c>
      <c r="Q1333" s="6">
        <f ca="1">RANDBETWEEN(2,COUNTA('Recruitment source'!$A:$A))</f>
        <v>9</v>
      </c>
      <c r="R1333" s="8" t="e">
        <f t="shared" ca="1" si="249"/>
        <v>#N/A</v>
      </c>
      <c r="S1333" s="6" t="e">
        <f t="shared" ca="1" si="250"/>
        <v>#N/A</v>
      </c>
      <c r="T1333" s="6">
        <f t="shared" ca="1" si="240"/>
        <v>4</v>
      </c>
      <c r="U1333" s="1">
        <f t="shared" ca="1" si="251"/>
        <v>2000</v>
      </c>
    </row>
    <row r="1334" spans="1:21" x14ac:dyDescent="0.2">
      <c r="A1334" s="7" cm="1">
        <f t="array" aca="1" ref="A1334" ca="1">INDEX(Companies!$A:$A,RANDBETWEEN(2,COUNTA(Companies!$A:$A)),1)</f>
        <v>2</v>
      </c>
      <c r="B1334" s="5">
        <f t="shared" si="241"/>
        <v>1333</v>
      </c>
      <c r="C1334" s="6">
        <f t="shared" ca="1" si="242"/>
        <v>1</v>
      </c>
      <c r="D1334" s="7">
        <f ca="1">IF($B1334 = 1 + N("Presidente"),
    127,
    IF($B1334 = 2 + N("Vice-Presidente"),
        72,
        IF($B1334 = 3 + N("Secretária bilíngue"),
            13,
            RANDBETWEEN(5,COUNT(Name!$A:$A) + 1)
        )
    )
)</f>
        <v>221</v>
      </c>
      <c r="E1334" s="7" t="str">
        <f ca="1" xml:space="preserve">
VLOOKUP(
  $D1334,
  Name!$A:$B,
  2,
  FALSE
)
&amp; " " &amp;
IF($B1334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Lavínia Pedrosa Conti</v>
      </c>
      <c r="F1334" s="7">
        <v>2</v>
      </c>
      <c r="G1334" s="7" cm="1">
        <f t="array" aca="1" ref="G1334" ca="1">INDEX(States!$B:$B,RANDBETWEEN(2,COUNTA(States!$A:$A)),1)</f>
        <v>10</v>
      </c>
      <c r="H1334" s="7" t="str">
        <f ca="1">VLOOKUP($D1334,Name!$A:$C,3,FALSE)</f>
        <v>F</v>
      </c>
      <c r="I1334" s="7" cm="1">
        <f t="array" aca="1" ref="I1334" ca="1">INDEX('Marital status'!$A:$A,RANDBETWEEN(2,COUNTA('Marital status'!$A:$A)),1)</f>
        <v>5</v>
      </c>
      <c r="J1334" s="7">
        <f t="shared" ca="1" si="243"/>
        <v>2</v>
      </c>
      <c r="K1334" s="8">
        <f t="shared" ca="1" si="244"/>
        <v>29534</v>
      </c>
      <c r="L1334" s="6">
        <f t="shared" ca="1" si="245"/>
        <v>4</v>
      </c>
      <c r="M1334" s="7">
        <f ca="1" xml:space="preserve">
  IF(OR($N1334 = 2, $N1334 = 3, $N1334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334" s="6">
        <f t="shared" ca="1" si="246"/>
        <v>7</v>
      </c>
      <c r="O1334" s="6" t="e">
        <f t="shared" ca="1" si="247"/>
        <v>#N/A</v>
      </c>
      <c r="P1334" s="8">
        <f t="shared" ca="1" si="248"/>
        <v>38700</v>
      </c>
      <c r="Q1334" s="6">
        <f ca="1">RANDBETWEEN(2,COUNTA('Recruitment source'!$A:$A))</f>
        <v>5</v>
      </c>
      <c r="R1334" s="8" t="e">
        <f t="shared" ca="1" si="249"/>
        <v>#N/A</v>
      </c>
      <c r="S1334" s="6" t="e">
        <f t="shared" ca="1" si="250"/>
        <v>#N/A</v>
      </c>
      <c r="T1334" s="6">
        <f t="shared" ca="1" si="240"/>
        <v>5</v>
      </c>
      <c r="U1334" s="1">
        <f t="shared" ca="1" si="251"/>
        <v>1005</v>
      </c>
    </row>
    <row r="1335" spans="1:21" x14ac:dyDescent="0.2">
      <c r="A1335" s="7" cm="1">
        <f t="array" aca="1" ref="A1335" ca="1">INDEX(Companies!$A:$A,RANDBETWEEN(2,COUNTA(Companies!$A:$A)),1)</f>
        <v>2</v>
      </c>
      <c r="B1335" s="5">
        <f t="shared" si="241"/>
        <v>1334</v>
      </c>
      <c r="C1335" s="6">
        <f t="shared" ca="1" si="242"/>
        <v>1</v>
      </c>
      <c r="D1335" s="7">
        <f ca="1">IF($B1335 = 1 + N("Presidente"),
    127,
    IF($B1335 = 2 + N("Vice-Presidente"),
        72,
        IF($B1335 = 3 + N("Secretária bilíngue"),
            13,
            RANDBETWEEN(5,COUNT(Name!$A:$A) + 1)
        )
    )
)</f>
        <v>333</v>
      </c>
      <c r="E1335" s="7" t="str">
        <f ca="1" xml:space="preserve">
VLOOKUP(
  $D1335,
  Name!$A:$B,
  2,
  FALSE
)
&amp; " " &amp;
IF($B1335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Ruan Moreira Brasão</v>
      </c>
      <c r="F1335" s="7">
        <v>2</v>
      </c>
      <c r="G1335" s="7" cm="1">
        <f t="array" aca="1" ref="G1335" ca="1">INDEX(States!$B:$B,RANDBETWEEN(2,COUNTA(States!$A:$A)),1)</f>
        <v>9</v>
      </c>
      <c r="H1335" s="7" t="str">
        <f ca="1">VLOOKUP($D1335,Name!$A:$C,3,FALSE)</f>
        <v>M</v>
      </c>
      <c r="I1335" s="7" cm="1">
        <f t="array" aca="1" ref="I1335" ca="1">INDEX('Marital status'!$A:$A,RANDBETWEEN(2,COUNTA('Marital status'!$A:$A)),1)</f>
        <v>5</v>
      </c>
      <c r="J1335" s="7">
        <f t="shared" ca="1" si="243"/>
        <v>2</v>
      </c>
      <c r="K1335" s="8">
        <f t="shared" ca="1" si="244"/>
        <v>35586</v>
      </c>
      <c r="L1335" s="6">
        <f t="shared" ca="1" si="245"/>
        <v>4</v>
      </c>
      <c r="M1335" s="7">
        <f ca="1" xml:space="preserve">
  IF(OR($N1335 = 2, $N1335 = 3, $N1335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335" s="6">
        <f t="shared" ca="1" si="246"/>
        <v>8</v>
      </c>
      <c r="O1335" s="6">
        <f t="shared" ca="1" si="247"/>
        <v>4</v>
      </c>
      <c r="P1335" s="8">
        <f t="shared" ca="1" si="248"/>
        <v>36401</v>
      </c>
      <c r="Q1335" s="6">
        <f ca="1">RANDBETWEEN(2,COUNTA('Recruitment source'!$A:$A))</f>
        <v>10</v>
      </c>
      <c r="R1335" s="8" t="e">
        <f t="shared" ca="1" si="249"/>
        <v>#N/A</v>
      </c>
      <c r="S1335" s="6" t="e">
        <f t="shared" ca="1" si="250"/>
        <v>#N/A</v>
      </c>
      <c r="T1335" s="6">
        <f t="shared" ca="1" si="240"/>
        <v>2</v>
      </c>
      <c r="U1335" s="1">
        <f t="shared" ca="1" si="251"/>
        <v>2000</v>
      </c>
    </row>
    <row r="1336" spans="1:21" x14ac:dyDescent="0.2">
      <c r="A1336" s="7" cm="1">
        <f t="array" aca="1" ref="A1336" ca="1">INDEX(Companies!$A:$A,RANDBETWEEN(2,COUNTA(Companies!$A:$A)),1)</f>
        <v>2</v>
      </c>
      <c r="B1336" s="5">
        <f t="shared" si="241"/>
        <v>1335</v>
      </c>
      <c r="C1336" s="6">
        <f t="shared" ca="1" si="242"/>
        <v>1</v>
      </c>
      <c r="D1336" s="7">
        <f ca="1">IF($B1336 = 1 + N("Presidente"),
    127,
    IF($B1336 = 2 + N("Vice-Presidente"),
        72,
        IF($B1336 = 3 + N("Secretária bilíngue"),
            13,
            RANDBETWEEN(5,COUNT(Name!$A:$A) + 1)
        )
    )
)</f>
        <v>139</v>
      </c>
      <c r="E1336" s="7" t="str">
        <f ca="1" xml:space="preserve">
VLOOKUP(
  $D1336,
  Name!$A:$B,
  2,
  FALSE
)
&amp; " " &amp;
IF($B1336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Mariano Seixas Mello</v>
      </c>
      <c r="F1336" s="7">
        <v>2</v>
      </c>
      <c r="G1336" s="7" cm="1">
        <f t="array" aca="1" ref="G1336" ca="1">INDEX(States!$B:$B,RANDBETWEEN(2,COUNTA(States!$A:$A)),1)</f>
        <v>16</v>
      </c>
      <c r="H1336" s="7" t="str">
        <f ca="1">VLOOKUP($D1336,Name!$A:$C,3,FALSE)</f>
        <v>M</v>
      </c>
      <c r="I1336" s="7" cm="1">
        <f t="array" aca="1" ref="I1336" ca="1">INDEX('Marital status'!$A:$A,RANDBETWEEN(2,COUNTA('Marital status'!$A:$A)),1)</f>
        <v>3</v>
      </c>
      <c r="J1336" s="7">
        <f t="shared" ca="1" si="243"/>
        <v>2</v>
      </c>
      <c r="K1336" s="8">
        <f t="shared" ca="1" si="244"/>
        <v>25258</v>
      </c>
      <c r="L1336" s="6">
        <f t="shared" ca="1" si="245"/>
        <v>4</v>
      </c>
      <c r="M1336" s="7">
        <f ca="1" xml:space="preserve">
  IF(OR($N1336 = 2, $N1336 = 3, $N1336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336" s="6">
        <f t="shared" ca="1" si="246"/>
        <v>6</v>
      </c>
      <c r="O1336" s="6" t="e">
        <f t="shared" ca="1" si="247"/>
        <v>#N/A</v>
      </c>
      <c r="P1336" s="8">
        <f t="shared" ca="1" si="248"/>
        <v>37763</v>
      </c>
      <c r="Q1336" s="6">
        <f ca="1">RANDBETWEEN(2,COUNTA('Recruitment source'!$A:$A))</f>
        <v>6</v>
      </c>
      <c r="R1336" s="8" t="e">
        <f t="shared" ca="1" si="249"/>
        <v>#N/A</v>
      </c>
      <c r="S1336" s="6" t="e">
        <f t="shared" ca="1" si="250"/>
        <v>#N/A</v>
      </c>
      <c r="T1336" s="6">
        <f t="shared" ca="1" si="240"/>
        <v>2</v>
      </c>
      <c r="U1336" s="1">
        <f t="shared" ca="1" si="251"/>
        <v>805</v>
      </c>
    </row>
    <row r="1337" spans="1:21" x14ac:dyDescent="0.2">
      <c r="A1337" s="7" cm="1">
        <f t="array" aca="1" ref="A1337" ca="1">INDEX(Companies!$A:$A,RANDBETWEEN(2,COUNTA(Companies!$A:$A)),1)</f>
        <v>2</v>
      </c>
      <c r="B1337" s="5">
        <f t="shared" si="241"/>
        <v>1336</v>
      </c>
      <c r="C1337" s="6">
        <f t="shared" ca="1" si="242"/>
        <v>1</v>
      </c>
      <c r="D1337" s="7">
        <f ca="1">IF($B1337 = 1 + N("Presidente"),
    127,
    IF($B1337 = 2 + N("Vice-Presidente"),
        72,
        IF($B1337 = 3 + N("Secretária bilíngue"),
            13,
            RANDBETWEEN(5,COUNT(Name!$A:$A) + 1)
        )
    )
)</f>
        <v>349</v>
      </c>
      <c r="E1337" s="7" t="str">
        <f ca="1" xml:space="preserve">
VLOOKUP(
  $D1337,
  Name!$A:$B,
  2,
  FALSE
)
&amp; " " &amp;
IF($B1337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Valentina Bermudes Barreto</v>
      </c>
      <c r="F1337" s="7">
        <v>2</v>
      </c>
      <c r="G1337" s="7" cm="1">
        <f t="array" aca="1" ref="G1337" ca="1">INDEX(States!$B:$B,RANDBETWEEN(2,COUNTA(States!$A:$A)),1)</f>
        <v>2</v>
      </c>
      <c r="H1337" s="7" t="str">
        <f ca="1">VLOOKUP($D1337,Name!$A:$C,3,FALSE)</f>
        <v>F</v>
      </c>
      <c r="I1337" s="7" cm="1">
        <f t="array" aca="1" ref="I1337" ca="1">INDEX('Marital status'!$A:$A,RANDBETWEEN(2,COUNTA('Marital status'!$A:$A)),1)</f>
        <v>4</v>
      </c>
      <c r="J1337" s="7">
        <f t="shared" ca="1" si="243"/>
        <v>3</v>
      </c>
      <c r="K1337" s="8">
        <f t="shared" ca="1" si="244"/>
        <v>37473</v>
      </c>
      <c r="L1337" s="6">
        <f t="shared" ca="1" si="245"/>
        <v>4</v>
      </c>
      <c r="M1337" s="7">
        <f ca="1" xml:space="preserve">
  IF(OR($N1337 = 2, $N1337 = 3, $N1337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337" s="6">
        <f t="shared" ca="1" si="246"/>
        <v>8</v>
      </c>
      <c r="O1337" s="6">
        <f t="shared" ca="1" si="247"/>
        <v>2</v>
      </c>
      <c r="P1337" s="8">
        <f t="shared" ca="1" si="248"/>
        <v>37377</v>
      </c>
      <c r="Q1337" s="6">
        <f ca="1">RANDBETWEEN(2,COUNTA('Recruitment source'!$A:$A))</f>
        <v>5</v>
      </c>
      <c r="R1337" s="8" t="e">
        <f t="shared" ca="1" si="249"/>
        <v>#N/A</v>
      </c>
      <c r="S1337" s="6" t="e">
        <f t="shared" ca="1" si="250"/>
        <v>#N/A</v>
      </c>
      <c r="T1337" s="6">
        <f t="shared" ca="1" si="240"/>
        <v>5</v>
      </c>
      <c r="U1337" s="1">
        <f t="shared" ca="1" si="251"/>
        <v>2000</v>
      </c>
    </row>
    <row r="1338" spans="1:21" x14ac:dyDescent="0.2">
      <c r="A1338" s="7" cm="1">
        <f t="array" aca="1" ref="A1338" ca="1">INDEX(Companies!$A:$A,RANDBETWEEN(2,COUNTA(Companies!$A:$A)),1)</f>
        <v>2</v>
      </c>
      <c r="B1338" s="5">
        <f t="shared" si="241"/>
        <v>1337</v>
      </c>
      <c r="C1338" s="6">
        <f t="shared" ca="1" si="242"/>
        <v>1</v>
      </c>
      <c r="D1338" s="7">
        <f ca="1">IF($B1338 = 1 + N("Presidente"),
    127,
    IF($B1338 = 2 + N("Vice-Presidente"),
        72,
        IF($B1338 = 3 + N("Secretária bilíngue"),
            13,
            RANDBETWEEN(5,COUNT(Name!$A:$A) + 1)
        )
    )
)</f>
        <v>355</v>
      </c>
      <c r="E1338" s="7" t="str">
        <f ca="1" xml:space="preserve">
VLOOKUP(
  $D1338,
  Name!$A:$B,
  2,
  FALSE
)
&amp; " " &amp;
IF($B1338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Victor Hugo Costa Galli</v>
      </c>
      <c r="F1338" s="7">
        <v>2</v>
      </c>
      <c r="G1338" s="7" cm="1">
        <f t="array" aca="1" ref="G1338" ca="1">INDEX(States!$B:$B,RANDBETWEEN(2,COUNTA(States!$A:$A)),1)</f>
        <v>17</v>
      </c>
      <c r="H1338" s="7" t="str">
        <f ca="1">VLOOKUP($D1338,Name!$A:$C,3,FALSE)</f>
        <v>M</v>
      </c>
      <c r="I1338" s="7" cm="1">
        <f t="array" aca="1" ref="I1338" ca="1">INDEX('Marital status'!$A:$A,RANDBETWEEN(2,COUNTA('Marital status'!$A:$A)),1)</f>
        <v>2</v>
      </c>
      <c r="J1338" s="7">
        <f t="shared" ca="1" si="243"/>
        <v>2</v>
      </c>
      <c r="K1338" s="8">
        <f t="shared" ca="1" si="244"/>
        <v>28051</v>
      </c>
      <c r="L1338" s="6">
        <f t="shared" ca="1" si="245"/>
        <v>4</v>
      </c>
      <c r="M1338" s="7">
        <f ca="1" xml:space="preserve">
  IF(OR($N1338 = 2, $N1338 = 3, $N1338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338" s="6">
        <f t="shared" ca="1" si="246"/>
        <v>6</v>
      </c>
      <c r="O1338" s="6" t="e">
        <f t="shared" ca="1" si="247"/>
        <v>#N/A</v>
      </c>
      <c r="P1338" s="8">
        <f t="shared" ca="1" si="248"/>
        <v>39965</v>
      </c>
      <c r="Q1338" s="6">
        <f ca="1">RANDBETWEEN(2,COUNTA('Recruitment source'!$A:$A))</f>
        <v>8</v>
      </c>
      <c r="R1338" s="8" t="e">
        <f t="shared" ca="1" si="249"/>
        <v>#N/A</v>
      </c>
      <c r="S1338" s="6" t="e">
        <f t="shared" ca="1" si="250"/>
        <v>#N/A</v>
      </c>
      <c r="T1338" s="6">
        <f t="shared" ca="1" si="240"/>
        <v>3</v>
      </c>
      <c r="U1338" s="1">
        <f t="shared" ca="1" si="251"/>
        <v>805</v>
      </c>
    </row>
    <row r="1339" spans="1:21" x14ac:dyDescent="0.2">
      <c r="A1339" s="7" cm="1">
        <f t="array" aca="1" ref="A1339" ca="1">INDEX(Companies!$A:$A,RANDBETWEEN(2,COUNTA(Companies!$A:$A)),1)</f>
        <v>2</v>
      </c>
      <c r="B1339" s="5">
        <f t="shared" si="241"/>
        <v>1338</v>
      </c>
      <c r="C1339" s="6">
        <f t="shared" ca="1" si="242"/>
        <v>1</v>
      </c>
      <c r="D1339" s="7">
        <f ca="1">IF($B1339 = 1 + N("Presidente"),
    127,
    IF($B1339 = 2 + N("Vice-Presidente"),
        72,
        IF($B1339 = 3 + N("Secretária bilíngue"),
            13,
            RANDBETWEEN(5,COUNT(Name!$A:$A) + 1)
        )
    )
)</f>
        <v>295</v>
      </c>
      <c r="E1339" s="7" t="str">
        <f ca="1" xml:space="preserve">
VLOOKUP(
  $D1339,
  Name!$A:$B,
  2,
  FALSE
)
&amp; " " &amp;
IF($B1339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 Café Bandeira</v>
      </c>
      <c r="F1339" s="7">
        <v>2</v>
      </c>
      <c r="G1339" s="7" cm="1">
        <f t="array" aca="1" ref="G1339" ca="1">INDEX(States!$B:$B,RANDBETWEEN(2,COUNTA(States!$A:$A)),1)</f>
        <v>15</v>
      </c>
      <c r="H1339" s="7" t="str">
        <f ca="1">VLOOKUP($D1339,Name!$A:$C,3,FALSE)</f>
        <v>M</v>
      </c>
      <c r="I1339" s="7" cm="1">
        <f t="array" aca="1" ref="I1339" ca="1">INDEX('Marital status'!$A:$A,RANDBETWEEN(2,COUNTA('Marital status'!$A:$A)),1)</f>
        <v>2</v>
      </c>
      <c r="J1339" s="7">
        <f t="shared" ca="1" si="243"/>
        <v>2</v>
      </c>
      <c r="K1339" s="8">
        <f t="shared" ca="1" si="244"/>
        <v>33943</v>
      </c>
      <c r="L1339" s="6">
        <f t="shared" ca="1" si="245"/>
        <v>5</v>
      </c>
      <c r="M1339" s="7">
        <f ca="1" xml:space="preserve">
  IF(OR($N1339 = 2, $N1339 = 3, $N1339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339" s="6">
        <f t="shared" ca="1" si="246"/>
        <v>8</v>
      </c>
      <c r="O1339" s="6">
        <f t="shared" ca="1" si="247"/>
        <v>3</v>
      </c>
      <c r="P1339" s="8">
        <f t="shared" ca="1" si="248"/>
        <v>44358</v>
      </c>
      <c r="Q1339" s="6">
        <f ca="1">RANDBETWEEN(2,COUNTA('Recruitment source'!$A:$A))</f>
        <v>2</v>
      </c>
      <c r="R1339" s="8" t="e">
        <f t="shared" ca="1" si="249"/>
        <v>#N/A</v>
      </c>
      <c r="S1339" s="6" t="e">
        <f t="shared" ca="1" si="250"/>
        <v>#N/A</v>
      </c>
      <c r="T1339" s="6">
        <f t="shared" ca="1" si="240"/>
        <v>5</v>
      </c>
      <c r="U1339" s="1">
        <f t="shared" ca="1" si="251"/>
        <v>2100</v>
      </c>
    </row>
    <row r="1340" spans="1:21" x14ac:dyDescent="0.2">
      <c r="A1340" s="7" cm="1">
        <f t="array" aca="1" ref="A1340" ca="1">INDEX(Companies!$A:$A,RANDBETWEEN(2,COUNTA(Companies!$A:$A)),1)</f>
        <v>2</v>
      </c>
      <c r="B1340" s="5">
        <f t="shared" si="241"/>
        <v>1339</v>
      </c>
      <c r="C1340" s="6">
        <f t="shared" ca="1" si="242"/>
        <v>1</v>
      </c>
      <c r="D1340" s="7">
        <f ca="1">IF($B1340 = 1 + N("Presidente"),
    127,
    IF($B1340 = 2 + N("Vice-Presidente"),
        72,
        IF($B1340 = 3 + N("Secretária bilíngue"),
            13,
            RANDBETWEEN(5,COUNT(Name!$A:$A) + 1)
        )
    )
)</f>
        <v>70</v>
      </c>
      <c r="E1340" s="7" t="str">
        <f ca="1" xml:space="preserve">
VLOOKUP(
  $D1340,
  Name!$A:$B,
  2,
  FALSE
)
&amp; " " &amp;
IF($B1340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Bento Negreiros Barros</v>
      </c>
      <c r="F1340" s="7">
        <v>2</v>
      </c>
      <c r="G1340" s="7" cm="1">
        <f t="array" aca="1" ref="G1340" ca="1">INDEX(States!$B:$B,RANDBETWEEN(2,COUNTA(States!$A:$A)),1)</f>
        <v>13</v>
      </c>
      <c r="H1340" s="7" t="str">
        <f ca="1">VLOOKUP($D1340,Name!$A:$C,3,FALSE)</f>
        <v>M</v>
      </c>
      <c r="I1340" s="7" cm="1">
        <f t="array" aca="1" ref="I1340" ca="1">INDEX('Marital status'!$A:$A,RANDBETWEEN(2,COUNTA('Marital status'!$A:$A)),1)</f>
        <v>6</v>
      </c>
      <c r="J1340" s="7">
        <f t="shared" ca="1" si="243"/>
        <v>2</v>
      </c>
      <c r="K1340" s="8">
        <f t="shared" ca="1" si="244"/>
        <v>22661</v>
      </c>
      <c r="L1340" s="6">
        <f t="shared" ca="1" si="245"/>
        <v>4</v>
      </c>
      <c r="M1340" s="7">
        <f ca="1" xml:space="preserve">
  IF(OR($N1340 = 2, $N1340 = 3, $N1340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340" s="6">
        <f t="shared" ca="1" si="246"/>
        <v>6</v>
      </c>
      <c r="O1340" s="6" t="e">
        <f t="shared" ca="1" si="247"/>
        <v>#N/A</v>
      </c>
      <c r="P1340" s="8">
        <f t="shared" ca="1" si="248"/>
        <v>39434</v>
      </c>
      <c r="Q1340" s="6">
        <f ca="1">RANDBETWEEN(2,COUNTA('Recruitment source'!$A:$A))</f>
        <v>6</v>
      </c>
      <c r="R1340" s="8" t="e">
        <f t="shared" ca="1" si="249"/>
        <v>#N/A</v>
      </c>
      <c r="S1340" s="6" t="e">
        <f t="shared" ca="1" si="250"/>
        <v>#N/A</v>
      </c>
      <c r="T1340" s="6">
        <f t="shared" ca="1" si="240"/>
        <v>2</v>
      </c>
      <c r="U1340" s="1">
        <f t="shared" ca="1" si="251"/>
        <v>885</v>
      </c>
    </row>
    <row r="1341" spans="1:21" x14ac:dyDescent="0.2">
      <c r="A1341" s="7" cm="1">
        <f t="array" aca="1" ref="A1341" ca="1">INDEX(Companies!$A:$A,RANDBETWEEN(2,COUNTA(Companies!$A:$A)),1)</f>
        <v>2</v>
      </c>
      <c r="B1341" s="5">
        <f t="shared" si="241"/>
        <v>1340</v>
      </c>
      <c r="C1341" s="6">
        <f t="shared" ca="1" si="242"/>
        <v>1</v>
      </c>
      <c r="D1341" s="7">
        <f ca="1">IF($B1341 = 1 + N("Presidente"),
    127,
    IF($B1341 = 2 + N("Vice-Presidente"),
        72,
        IF($B1341 = 3 + N("Secretária bilíngue"),
            13,
            RANDBETWEEN(5,COUNT(Name!$A:$A) + 1)
        )
    )
)</f>
        <v>15</v>
      </c>
      <c r="E1341" s="7" t="str">
        <f ca="1" xml:space="preserve">
VLOOKUP(
  $D1341,
  Name!$A:$B,
  2,
  FALSE
)
&amp; " " &amp;
IF($B1341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Alexandre Santos Pimenta</v>
      </c>
      <c r="F1341" s="7">
        <v>2</v>
      </c>
      <c r="G1341" s="7" cm="1">
        <f t="array" aca="1" ref="G1341" ca="1">INDEX(States!$B:$B,RANDBETWEEN(2,COUNTA(States!$A:$A)),1)</f>
        <v>19</v>
      </c>
      <c r="H1341" s="7" t="str">
        <f ca="1">VLOOKUP($D1341,Name!$A:$C,3,FALSE)</f>
        <v>M</v>
      </c>
      <c r="I1341" s="7" cm="1">
        <f t="array" aca="1" ref="I1341" ca="1">INDEX('Marital status'!$A:$A,RANDBETWEEN(2,COUNTA('Marital status'!$A:$A)),1)</f>
        <v>2</v>
      </c>
      <c r="J1341" s="7">
        <f t="shared" ca="1" si="243"/>
        <v>2</v>
      </c>
      <c r="K1341" s="8">
        <f t="shared" ca="1" si="244"/>
        <v>33744</v>
      </c>
      <c r="L1341" s="6">
        <f t="shared" ca="1" si="245"/>
        <v>5</v>
      </c>
      <c r="M1341" s="7">
        <f ca="1" xml:space="preserve">
  IF(OR($N1341 = 2, $N1341 = 3, $N1341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341" s="6">
        <f t="shared" ca="1" si="246"/>
        <v>8</v>
      </c>
      <c r="O1341" s="6">
        <f t="shared" ca="1" si="247"/>
        <v>3</v>
      </c>
      <c r="P1341" s="8">
        <f t="shared" ca="1" si="248"/>
        <v>39430</v>
      </c>
      <c r="Q1341" s="6">
        <f ca="1">RANDBETWEEN(2,COUNTA('Recruitment source'!$A:$A))</f>
        <v>2</v>
      </c>
      <c r="R1341" s="8" t="e">
        <f t="shared" ca="1" si="249"/>
        <v>#N/A</v>
      </c>
      <c r="S1341" s="6" t="e">
        <f t="shared" ca="1" si="250"/>
        <v>#N/A</v>
      </c>
      <c r="T1341" s="6">
        <f t="shared" ca="1" si="240"/>
        <v>3</v>
      </c>
      <c r="U1341" s="1">
        <f t="shared" ca="1" si="251"/>
        <v>2000</v>
      </c>
    </row>
    <row r="1342" spans="1:21" x14ac:dyDescent="0.2">
      <c r="A1342" s="7" cm="1">
        <f t="array" aca="1" ref="A1342" ca="1">INDEX(Companies!$A:$A,RANDBETWEEN(2,COUNTA(Companies!$A:$A)),1)</f>
        <v>2</v>
      </c>
      <c r="B1342" s="5">
        <f t="shared" si="241"/>
        <v>1341</v>
      </c>
      <c r="C1342" s="6">
        <f t="shared" ca="1" si="242"/>
        <v>1</v>
      </c>
      <c r="D1342" s="7">
        <f ca="1">IF($B1342 = 1 + N("Presidente"),
    127,
    IF($B1342 = 2 + N("Vice-Presidente"),
        72,
        IF($B1342 = 3 + N("Secretária bilíngue"),
            13,
            RANDBETWEEN(5,COUNT(Name!$A:$A) + 1)
        )
    )
)</f>
        <v>10</v>
      </c>
      <c r="E1342" s="7" t="str">
        <f ca="1" xml:space="preserve">
VLOOKUP(
  $D1342,
  Name!$A:$B,
  2,
  FALSE
)
&amp; " " &amp;
IF($B1342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Ágata Brasil Oliveira</v>
      </c>
      <c r="F1342" s="7">
        <v>2</v>
      </c>
      <c r="G1342" s="7" cm="1">
        <f t="array" aca="1" ref="G1342" ca="1">INDEX(States!$B:$B,RANDBETWEEN(2,COUNTA(States!$A:$A)),1)</f>
        <v>4</v>
      </c>
      <c r="H1342" s="7" t="str">
        <f ca="1">VLOOKUP($D1342,Name!$A:$C,3,FALSE)</f>
        <v>F</v>
      </c>
      <c r="I1342" s="7" cm="1">
        <f t="array" aca="1" ref="I1342" ca="1">INDEX('Marital status'!$A:$A,RANDBETWEEN(2,COUNTA('Marital status'!$A:$A)),1)</f>
        <v>2</v>
      </c>
      <c r="J1342" s="7">
        <f t="shared" ca="1" si="243"/>
        <v>4</v>
      </c>
      <c r="K1342" s="8">
        <f t="shared" ca="1" si="244"/>
        <v>22825</v>
      </c>
      <c r="L1342" s="6">
        <f t="shared" ca="1" si="245"/>
        <v>4</v>
      </c>
      <c r="M1342" s="7">
        <f ca="1" xml:space="preserve">
  IF(OR($N1342 = 2, $N1342 = 3, $N1342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342" s="6">
        <f t="shared" ca="1" si="246"/>
        <v>6</v>
      </c>
      <c r="O1342" s="6" t="e">
        <f t="shared" ca="1" si="247"/>
        <v>#N/A</v>
      </c>
      <c r="P1342" s="8">
        <f t="shared" ca="1" si="248"/>
        <v>36849</v>
      </c>
      <c r="Q1342" s="6">
        <f ca="1">RANDBETWEEN(2,COUNTA('Recruitment source'!$A:$A))</f>
        <v>5</v>
      </c>
      <c r="R1342" s="8" t="e">
        <f t="shared" ca="1" si="249"/>
        <v>#N/A</v>
      </c>
      <c r="S1342" s="6" t="e">
        <f t="shared" ca="1" si="250"/>
        <v>#N/A</v>
      </c>
      <c r="T1342" s="6">
        <f t="shared" ca="1" si="240"/>
        <v>2</v>
      </c>
      <c r="U1342" s="1">
        <f t="shared" ca="1" si="251"/>
        <v>885</v>
      </c>
    </row>
    <row r="1343" spans="1:21" x14ac:dyDescent="0.2">
      <c r="A1343" s="7" cm="1">
        <f t="array" aca="1" ref="A1343" ca="1">INDEX(Companies!$A:$A,RANDBETWEEN(2,COUNTA(Companies!$A:$A)),1)</f>
        <v>2</v>
      </c>
      <c r="B1343" s="5">
        <f t="shared" si="241"/>
        <v>1342</v>
      </c>
      <c r="C1343" s="6">
        <f t="shared" ca="1" si="242"/>
        <v>1</v>
      </c>
      <c r="D1343" s="7">
        <f ca="1">IF($B1343 = 1 + N("Presidente"),
    127,
    IF($B1343 = 2 + N("Vice-Presidente"),
        72,
        IF($B1343 = 3 + N("Secretária bilíngue"),
            13,
            RANDBETWEEN(5,COUNT(Name!$A:$A) + 1)
        )
    )
)</f>
        <v>149</v>
      </c>
      <c r="E1343" s="7" t="str">
        <f ca="1" xml:space="preserve">
VLOOKUP(
  $D1343,
  Name!$A:$B,
  2,
  FALSE
)
&amp; " " &amp;
IF($B1343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Gabriel Castro Asvilla</v>
      </c>
      <c r="F1343" s="7">
        <v>2</v>
      </c>
      <c r="G1343" s="7" cm="1">
        <f t="array" aca="1" ref="G1343" ca="1">INDEX(States!$B:$B,RANDBETWEEN(2,COUNTA(States!$A:$A)),1)</f>
        <v>14</v>
      </c>
      <c r="H1343" s="7" t="str">
        <f ca="1">VLOOKUP($D1343,Name!$A:$C,3,FALSE)</f>
        <v>M</v>
      </c>
      <c r="I1343" s="7" cm="1">
        <f t="array" aca="1" ref="I1343" ca="1">INDEX('Marital status'!$A:$A,RANDBETWEEN(2,COUNTA('Marital status'!$A:$A)),1)</f>
        <v>6</v>
      </c>
      <c r="J1343" s="7">
        <f t="shared" ca="1" si="243"/>
        <v>2</v>
      </c>
      <c r="K1343" s="8">
        <f t="shared" ca="1" si="244"/>
        <v>35826</v>
      </c>
      <c r="L1343" s="6">
        <f t="shared" ca="1" si="245"/>
        <v>4</v>
      </c>
      <c r="M1343" s="7">
        <f ca="1" xml:space="preserve">
  IF(OR($N1343 = 2, $N1343 = 3, $N1343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343" s="6">
        <f t="shared" ca="1" si="246"/>
        <v>8</v>
      </c>
      <c r="O1343" s="6">
        <f t="shared" ca="1" si="247"/>
        <v>3</v>
      </c>
      <c r="P1343" s="8">
        <f t="shared" ca="1" si="248"/>
        <v>42398</v>
      </c>
      <c r="Q1343" s="6">
        <f ca="1">RANDBETWEEN(2,COUNTA('Recruitment source'!$A:$A))</f>
        <v>9</v>
      </c>
      <c r="R1343" s="8" t="e">
        <f t="shared" ca="1" si="249"/>
        <v>#N/A</v>
      </c>
      <c r="S1343" s="6" t="e">
        <f t="shared" ca="1" si="250"/>
        <v>#N/A</v>
      </c>
      <c r="T1343" s="6">
        <f t="shared" ca="1" si="240"/>
        <v>2</v>
      </c>
      <c r="U1343" s="1">
        <f t="shared" ca="1" si="251"/>
        <v>2080</v>
      </c>
    </row>
    <row r="1344" spans="1:21" x14ac:dyDescent="0.2">
      <c r="A1344" s="7" cm="1">
        <f t="array" aca="1" ref="A1344" ca="1">INDEX(Companies!$A:$A,RANDBETWEEN(2,COUNTA(Companies!$A:$A)),1)</f>
        <v>2</v>
      </c>
      <c r="B1344" s="5">
        <f t="shared" si="241"/>
        <v>1343</v>
      </c>
      <c r="C1344" s="6">
        <f t="shared" ca="1" si="242"/>
        <v>1</v>
      </c>
      <c r="D1344" s="7">
        <f ca="1">IF($B1344 = 1 + N("Presidente"),
    127,
    IF($B1344 = 2 + N("Vice-Presidente"),
        72,
        IF($B1344 = 3 + N("Secretária bilíngue"),
            13,
            RANDBETWEEN(5,COUNT(Name!$A:$A) + 1)
        )
    )
)</f>
        <v>107</v>
      </c>
      <c r="E1344" s="7" t="str">
        <f ca="1" xml:space="preserve">
VLOOKUP(
  $D1344,
  Name!$A:$B,
  2,
  FALSE
)
&amp; " " &amp;
IF($B1344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Lucca Pedrosa Badu</v>
      </c>
      <c r="F1344" s="7">
        <v>2</v>
      </c>
      <c r="G1344" s="7" cm="1">
        <f t="array" aca="1" ref="G1344" ca="1">INDEX(States!$B:$B,RANDBETWEEN(2,COUNTA(States!$A:$A)),1)</f>
        <v>14</v>
      </c>
      <c r="H1344" s="7" t="str">
        <f ca="1">VLOOKUP($D1344,Name!$A:$C,3,FALSE)</f>
        <v>M</v>
      </c>
      <c r="I1344" s="7" cm="1">
        <f t="array" aca="1" ref="I1344" ca="1">INDEX('Marital status'!$A:$A,RANDBETWEEN(2,COUNTA('Marital status'!$A:$A)),1)</f>
        <v>2</v>
      </c>
      <c r="J1344" s="7">
        <f t="shared" ca="1" si="243"/>
        <v>3</v>
      </c>
      <c r="K1344" s="8">
        <f t="shared" ca="1" si="244"/>
        <v>32585</v>
      </c>
      <c r="L1344" s="6">
        <f t="shared" ca="1" si="245"/>
        <v>4</v>
      </c>
      <c r="M1344" s="7">
        <f ca="1" xml:space="preserve">
  IF(OR($N1344 = 2, $N1344 = 3, $N1344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344" s="6">
        <f t="shared" ca="1" si="246"/>
        <v>7</v>
      </c>
      <c r="O1344" s="6" t="e">
        <f t="shared" ca="1" si="247"/>
        <v>#N/A</v>
      </c>
      <c r="P1344" s="8">
        <f t="shared" ca="1" si="248"/>
        <v>36289</v>
      </c>
      <c r="Q1344" s="6">
        <f ca="1">RANDBETWEEN(2,COUNTA('Recruitment source'!$A:$A))</f>
        <v>3</v>
      </c>
      <c r="R1344" s="8" t="e">
        <f t="shared" ca="1" si="249"/>
        <v>#N/A</v>
      </c>
      <c r="S1344" s="6" t="e">
        <f t="shared" ca="1" si="250"/>
        <v>#N/A</v>
      </c>
      <c r="T1344" s="6">
        <f t="shared" ca="1" si="240"/>
        <v>3</v>
      </c>
      <c r="U1344" s="1">
        <f t="shared" ca="1" si="251"/>
        <v>1005</v>
      </c>
    </row>
    <row r="1345" spans="1:21" x14ac:dyDescent="0.2">
      <c r="A1345" s="7" cm="1">
        <f t="array" aca="1" ref="A1345" ca="1">INDEX(Companies!$A:$A,RANDBETWEEN(2,COUNTA(Companies!$A:$A)),1)</f>
        <v>2</v>
      </c>
      <c r="B1345" s="5">
        <f t="shared" si="241"/>
        <v>1344</v>
      </c>
      <c r="C1345" s="6">
        <f t="shared" ca="1" si="242"/>
        <v>1</v>
      </c>
      <c r="D1345" s="7">
        <f ca="1">IF($B1345 = 1 + N("Presidente"),
    127,
    IF($B1345 = 2 + N("Vice-Presidente"),
        72,
        IF($B1345 = 3 + N("Secretária bilíngue"),
            13,
            RANDBETWEEN(5,COUNT(Name!$A:$A) + 1)
        )
    )
)</f>
        <v>19</v>
      </c>
      <c r="E1345" s="7" t="str">
        <f ca="1" xml:space="preserve">
VLOOKUP(
  $D1345,
  Name!$A:$B,
  2,
  FALSE
)
&amp; " " &amp;
IF($B1345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Aline Luz Rodrigues</v>
      </c>
      <c r="F1345" s="7">
        <v>2</v>
      </c>
      <c r="G1345" s="7" cm="1">
        <f t="array" aca="1" ref="G1345" ca="1">INDEX(States!$B:$B,RANDBETWEEN(2,COUNTA(States!$A:$A)),1)</f>
        <v>16</v>
      </c>
      <c r="H1345" s="7" t="str">
        <f ca="1">VLOOKUP($D1345,Name!$A:$C,3,FALSE)</f>
        <v>F</v>
      </c>
      <c r="I1345" s="7" cm="1">
        <f t="array" aca="1" ref="I1345" ca="1">INDEX('Marital status'!$A:$A,RANDBETWEEN(2,COUNTA('Marital status'!$A:$A)),1)</f>
        <v>2</v>
      </c>
      <c r="J1345" s="7">
        <f t="shared" ca="1" si="243"/>
        <v>2</v>
      </c>
      <c r="K1345" s="8">
        <f t="shared" ca="1" si="244"/>
        <v>34250</v>
      </c>
      <c r="L1345" s="6">
        <f t="shared" ca="1" si="245"/>
        <v>4</v>
      </c>
      <c r="M1345" s="7">
        <f ca="1" xml:space="preserve">
  IF(OR($N1345 = 2, $N1345 = 3, $N1345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345" s="6">
        <f t="shared" ca="1" si="246"/>
        <v>8</v>
      </c>
      <c r="O1345" s="6">
        <f t="shared" ca="1" si="247"/>
        <v>2</v>
      </c>
      <c r="P1345" s="8">
        <f t="shared" ca="1" si="248"/>
        <v>37241</v>
      </c>
      <c r="Q1345" s="6">
        <f ca="1">RANDBETWEEN(2,COUNTA('Recruitment source'!$A:$A))</f>
        <v>12</v>
      </c>
      <c r="R1345" s="8" t="e">
        <f t="shared" ca="1" si="249"/>
        <v>#N/A</v>
      </c>
      <c r="S1345" s="6" t="e">
        <f t="shared" ca="1" si="250"/>
        <v>#N/A</v>
      </c>
      <c r="T1345" s="6">
        <f t="shared" ca="1" si="240"/>
        <v>3</v>
      </c>
      <c r="U1345" s="1">
        <f t="shared" ca="1" si="251"/>
        <v>2000</v>
      </c>
    </row>
    <row r="1346" spans="1:21" x14ac:dyDescent="0.2">
      <c r="A1346" s="7" cm="1">
        <f t="array" aca="1" ref="A1346" ca="1">INDEX(Companies!$A:$A,RANDBETWEEN(2,COUNTA(Companies!$A:$A)),1)</f>
        <v>2</v>
      </c>
      <c r="B1346" s="5">
        <f t="shared" si="241"/>
        <v>1345</v>
      </c>
      <c r="C1346" s="6">
        <f t="shared" ca="1" si="242"/>
        <v>1</v>
      </c>
      <c r="D1346" s="7">
        <f ca="1">IF($B1346 = 1 + N("Presidente"),
    127,
    IF($B1346 = 2 + N("Vice-Presidente"),
        72,
        IF($B1346 = 3 + N("Secretária bilíngue"),
            13,
            RANDBETWEEN(5,COUNT(Name!$A:$A) + 1)
        )
    )
)</f>
        <v>150</v>
      </c>
      <c r="E1346" s="7" t="str">
        <f ca="1" xml:space="preserve">
VLOOKUP(
  $D1346,
  Name!$A:$B,
  2,
  FALSE
)
&amp; " " &amp;
IF($B1346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Gabriela Zil Castro</v>
      </c>
      <c r="F1346" s="7">
        <v>2</v>
      </c>
      <c r="G1346" s="7" cm="1">
        <f t="array" aca="1" ref="G1346" ca="1">INDEX(States!$B:$B,RANDBETWEEN(2,COUNTA(States!$A:$A)),1)</f>
        <v>19</v>
      </c>
      <c r="H1346" s="7" t="str">
        <f ca="1">VLOOKUP($D1346,Name!$A:$C,3,FALSE)</f>
        <v>F</v>
      </c>
      <c r="I1346" s="7" cm="1">
        <f t="array" aca="1" ref="I1346" ca="1">INDEX('Marital status'!$A:$A,RANDBETWEEN(2,COUNTA('Marital status'!$A:$A)),1)</f>
        <v>3</v>
      </c>
      <c r="J1346" s="7">
        <f t="shared" ca="1" si="243"/>
        <v>2</v>
      </c>
      <c r="K1346" s="8">
        <f t="shared" ca="1" si="244"/>
        <v>20731</v>
      </c>
      <c r="L1346" s="6">
        <f t="shared" ca="1" si="245"/>
        <v>4</v>
      </c>
      <c r="M1346" s="7">
        <f ca="1" xml:space="preserve">
  IF(OR($N1346 = 2, $N1346 = 3, $N1346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346" s="6">
        <f t="shared" ca="1" si="246"/>
        <v>6</v>
      </c>
      <c r="O1346" s="6" t="e">
        <f t="shared" ca="1" si="247"/>
        <v>#N/A</v>
      </c>
      <c r="P1346" s="8">
        <f t="shared" ca="1" si="248"/>
        <v>38195</v>
      </c>
      <c r="Q1346" s="6">
        <f ca="1">RANDBETWEEN(2,COUNTA('Recruitment source'!$A:$A))</f>
        <v>7</v>
      </c>
      <c r="R1346" s="8" t="e">
        <f t="shared" ca="1" si="249"/>
        <v>#N/A</v>
      </c>
      <c r="S1346" s="6" t="e">
        <f t="shared" ca="1" si="250"/>
        <v>#N/A</v>
      </c>
      <c r="T1346" s="6">
        <f t="shared" ref="T1346:T1409" ca="1" si="252" xml:space="preserve">
IF(
 ISNA($R1346),
 IF(
   $N1346 = 2,
   5,
   IF(
     OR($N1346=3,$N1346=4,$N1346=5),
     RANDBETWEEN(4,5),
     IF(
       OR($N1346=11,$N1346=12),
       RANDBETWEEN(3,5),
       RANDBETWEEN(2,5)
     )
   )
 ),
 RANDBETWEEN(1,3)
)</f>
        <v>2</v>
      </c>
      <c r="U1346" s="1">
        <f t="shared" ca="1" si="251"/>
        <v>805</v>
      </c>
    </row>
    <row r="1347" spans="1:21" x14ac:dyDescent="0.2">
      <c r="A1347" s="7" cm="1">
        <f t="array" aca="1" ref="A1347" ca="1">INDEX(Companies!$A:$A,RANDBETWEEN(2,COUNTA(Companies!$A:$A)),1)</f>
        <v>2</v>
      </c>
      <c r="B1347" s="5">
        <f t="shared" ref="B1347:B1410" si="253">ROW() - 1</f>
        <v>1346</v>
      </c>
      <c r="C1347" s="6">
        <f t="shared" ref="C1347:C1410" ca="1" si="254">IF(ISNA($R1347),1,0)</f>
        <v>1</v>
      </c>
      <c r="D1347" s="7">
        <f ca="1">IF($B1347 = 1 + N("Presidente"),
    127,
    IF($B1347 = 2 + N("Vice-Presidente"),
        72,
        IF($B1347 = 3 + N("Secretária bilíngue"),
            13,
            RANDBETWEEN(5,COUNT(Name!$A:$A) + 1)
        )
    )
)</f>
        <v>335</v>
      </c>
      <c r="E1347" s="7" t="str">
        <f ca="1" xml:space="preserve">
VLOOKUP(
  $D1347,
  Name!$A:$B,
  2,
  FALSE
)
&amp; " " &amp;
IF($B1347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Sammuel Padrão Andrioli</v>
      </c>
      <c r="F1347" s="7">
        <v>2</v>
      </c>
      <c r="G1347" s="7" cm="1">
        <f t="array" aca="1" ref="G1347" ca="1">INDEX(States!$B:$B,RANDBETWEEN(2,COUNTA(States!$A:$A)),1)</f>
        <v>14</v>
      </c>
      <c r="H1347" s="7" t="str">
        <f ca="1">VLOOKUP($D1347,Name!$A:$C,3,FALSE)</f>
        <v>M</v>
      </c>
      <c r="I1347" s="7" cm="1">
        <f t="array" aca="1" ref="I1347" ca="1">INDEX('Marital status'!$A:$A,RANDBETWEEN(2,COUNTA('Marital status'!$A:$A)),1)</f>
        <v>4</v>
      </c>
      <c r="J1347" s="7">
        <f t="shared" ref="J1347:J1410" ca="1" si="255" xml:space="preserve">
IF(AND($N1347 &gt;= 2, $N1347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1347" s="8">
        <f t="shared" ref="K1347:K1410" ca="1" si="256" xml:space="preserve">
IF($N1347 = 5 + N("CEO"),
    TODAY() - 16340,
    IF($N1347 = 8 + N("Secretary"),
        RANDBETWEEN(TODAY() - 12418.5, TODAY()-6574.5),
        IF(OR($N1347 = 7, $N1347 = 14),
            RANDBETWEEN(TODAY() - 16071, TODAY() - 8766),
            IF(OR($N1347 = 13, $N1347 = 12, $N1347 = 11),
                RANDBETWEEN(TODAY() - 27393.75, TODAY() - 12783.75),
                RANDBETWEEN(TODAY() - 27393.75, TODAY()-10957.5)
            )
        )
    )
)</f>
        <v>36503</v>
      </c>
      <c r="L1347" s="6">
        <f t="shared" ref="L1347:L1410" ca="1" si="257" xml:space="preserve">
IF(OR($N1347 = 2, $N1347 = 3) + N("Se for presidente ou vice-presidente"),
    7 + N("Doutor"),
    IF($N1347 = 4 + N("Se for diretor"),
        RANDBETWEEN(5,7) + N("Graduate school or Master’s degree or Doctorate"),
        IF($N1347 = 11 + N("Se for gerente"),
            RANDBETWEEN(4,6) + N("Undergraduate degree or Graduate school or Master’s degree"),
            IF(AND($N1347 &gt;= 8, $N1347 &lt;= 10) + N("If coordinator or specialist or analyst"),
                RANDBETWEEN(4,5),
                4
            )
        )
    )
)</f>
        <v>5</v>
      </c>
      <c r="M1347" s="7">
        <f ca="1" xml:space="preserve">
  IF(OR($N1347 = 2, $N1347 = 3, $N1347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347" s="6">
        <f t="shared" ref="N1347:N1410" ca="1" si="258" xml:space="preserve">
IF($B1347 = 1 + N("Se matrícula for 1"),
  2 + N("Presidente"),
  IF($B1347 = 2 + N("Se matrícula for 2"),
    3 + N("Vice-presidente"),
    IF($B1347 = 3 + N("Se matrícula for 3"),
      5 + N("Secretária bilíngue"),
      IF(AND($B1347 &gt;= 4, $B1347 &lt;=14),
        4 + N("Diretor"),
        IF(AND($B1347 &gt;= 15, $B1347 &lt;= 25),
          11 + N("Manager"),
          IF(AND($B1347 &gt;= 26, $B1347 &lt;= 36),
            10 + N("Coordinador"),
            IF(AND($B1347 &gt;= 37, $B1347 &lt;= 47),
              9 + N("Especialista"),
                IF(MOD($B1347,2) = 0,
                  8 + N("Analista"),
                  RANDBETWEEN(6,7) + N("Estagiário ou Trainee")
                )
            )
          )
        )
      )
    )
  )
)</f>
        <v>8</v>
      </c>
      <c r="O1347" s="6">
        <f t="shared" ref="O1347:O1410" ca="1" si="259" xml:space="preserve">
IF($N1347 =8 + N("Analyst"),
    RANDBETWEEN(2, 4) + N("Jr, Pleno, Sr"),
    NA()
)</f>
        <v>3</v>
      </c>
      <c r="P1347" s="8">
        <f t="shared" ref="P1347:P1410" ca="1" si="260" xml:space="preserve">
IF(
   $N1347=2 + N("Presidente"),
   36161,
   IF(
       OR(
         $N1347=3 + N("Vice-Presidente"),
         $N1347=4 + N("Diretor"),
         $N1347=5 + N("Secretária bilíngue")
       ),
       RANDBETWEEN(36161,36411),
       IF(
         ((TODAY() - $K1347) / 365) &lt; 19,
         TODAY(),
         RANDBETWEEN(36161,TODAY())
       )
   )
)</f>
        <v>38878</v>
      </c>
      <c r="Q1347" s="6">
        <f ca="1">RANDBETWEEN(2,COUNTA('Recruitment source'!$A:$A))</f>
        <v>11</v>
      </c>
      <c r="R1347" s="8" t="e">
        <f t="shared" ref="R1347:R1410" ca="1" si="261" xml:space="preserve">
IF(MOD(
     ROW(),111
   )=0,
   RANDBETWEEN($P1347 + 1,TODAY() - 1),NA()
)</f>
        <v>#N/A</v>
      </c>
      <c r="S1347" s="6" t="e">
        <f t="shared" ref="S1347:S1410" ca="1" si="262" xml:space="preserve">
IF(
  ISNA(R1347),
  NA(),
  RANDBETWEEN(2,IF($H1347="F",10,9))
)</f>
        <v>#N/A</v>
      </c>
      <c r="T1347" s="6">
        <f t="shared" ca="1" si="252"/>
        <v>5</v>
      </c>
      <c r="U1347" s="1">
        <f t="shared" ref="U1347:U1410" ca="1" si="263" xml:space="preserve">
IF($N1347 = 2 + N("Presidente"),
    25000,
    IF($N1347 = 3 + N("Vice-presidente"),
        23000,
        IF(OR($N1347 = 5, $N1347= 10, $N1347 = 9) + N("Secretária bilíngue ou coordenador ou especialista"),
            8000,
            IF($N1347 = 4 + N("Diretor"),
                15000,
                IF($N1347 = 11 + N("Gerente"),
                    12000,
                    IF($N1347 = 6 + N("Estagiário"),
                        805,
                        IF($N1347 = 7 + N("Trainee"),
                            1005,
                            IF($N1347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IF($L1347 = 7,
  100,
  IF($L1347 = 8,
    200,
    IF($L1347 = 9,
      300,
      IF($L1347 = 10,
        400,
        0
      )
    )
  )
)
+
N("Adicional no salário por área")
+
IF($M1347 = 14 + N("Tecnologia da Informação"),
  120,
  IF($M1347 = 16 + N("Vendas"),
    110,
    IF($M1347 = 15 + N("Jurídico"),
      100,
      IF(OR($M1347 = 8, $M1347 = 9, $M1347 = 11) + N("Recursos humanos ou comercial ou comunicação e marketing"),
        80,
        0
      )
    )
  )
)
+
N("Adicionando pegadinha")
+
IF(AND($M1347 = 13, $N1347 = 8) + N("Se for de vendas e analista"),
  IF($J1347 = 2,
    50,
    0
  )
  +
  IF($H1347 = "M",
    50,
    0
  ),
  0
)</f>
        <v>2000</v>
      </c>
    </row>
    <row r="1348" spans="1:21" x14ac:dyDescent="0.2">
      <c r="A1348" s="7" cm="1">
        <f t="array" aca="1" ref="A1348" ca="1">INDEX(Companies!$A:$A,RANDBETWEEN(2,COUNTA(Companies!$A:$A)),1)</f>
        <v>2</v>
      </c>
      <c r="B1348" s="5">
        <f t="shared" si="253"/>
        <v>1347</v>
      </c>
      <c r="C1348" s="6">
        <f t="shared" ca="1" si="254"/>
        <v>1</v>
      </c>
      <c r="D1348" s="7">
        <f ca="1">IF($B1348 = 1 + N("Presidente"),
    127,
    IF($B1348 = 2 + N("Vice-Presidente"),
        72,
        IF($B1348 = 3 + N("Secretária bilíngue"),
            13,
            RANDBETWEEN(5,COUNT(Name!$A:$A) + 1)
        )
    )
)</f>
        <v>135</v>
      </c>
      <c r="E1348" s="7" t="str">
        <f ca="1" xml:space="preserve">
VLOOKUP(
  $D1348,
  Name!$A:$B,
  2,
  FALSE
)
&amp; " " &amp;
IF($B1348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Felipe Albuquerque Dias</v>
      </c>
      <c r="F1348" s="7">
        <v>2</v>
      </c>
      <c r="G1348" s="7" cm="1">
        <f t="array" aca="1" ref="G1348" ca="1">INDEX(States!$B:$B,RANDBETWEEN(2,COUNTA(States!$A:$A)),1)</f>
        <v>4</v>
      </c>
      <c r="H1348" s="7" t="str">
        <f ca="1">VLOOKUP($D1348,Name!$A:$C,3,FALSE)</f>
        <v>M</v>
      </c>
      <c r="I1348" s="7" cm="1">
        <f t="array" aca="1" ref="I1348" ca="1">INDEX('Marital status'!$A:$A,RANDBETWEEN(2,COUNTA('Marital status'!$A:$A)),1)</f>
        <v>2</v>
      </c>
      <c r="J1348" s="7">
        <f t="shared" ca="1" si="255"/>
        <v>2</v>
      </c>
      <c r="K1348" s="8">
        <f t="shared" ca="1" si="256"/>
        <v>29539</v>
      </c>
      <c r="L1348" s="6">
        <f t="shared" ca="1" si="257"/>
        <v>4</v>
      </c>
      <c r="M1348" s="7">
        <f ca="1" xml:space="preserve">
  IF(OR($N1348 = 2, $N1348 = 3, $N1348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348" s="6">
        <f t="shared" ca="1" si="258"/>
        <v>7</v>
      </c>
      <c r="O1348" s="6" t="e">
        <f t="shared" ca="1" si="259"/>
        <v>#N/A</v>
      </c>
      <c r="P1348" s="8">
        <f t="shared" ca="1" si="260"/>
        <v>42063</v>
      </c>
      <c r="Q1348" s="6">
        <f ca="1">RANDBETWEEN(2,COUNTA('Recruitment source'!$A:$A))</f>
        <v>2</v>
      </c>
      <c r="R1348" s="8" t="e">
        <f t="shared" ca="1" si="261"/>
        <v>#N/A</v>
      </c>
      <c r="S1348" s="6" t="e">
        <f t="shared" ca="1" si="262"/>
        <v>#N/A</v>
      </c>
      <c r="T1348" s="6">
        <f t="shared" ca="1" si="252"/>
        <v>4</v>
      </c>
      <c r="U1348" s="1">
        <f t="shared" ca="1" si="263"/>
        <v>1005</v>
      </c>
    </row>
    <row r="1349" spans="1:21" x14ac:dyDescent="0.2">
      <c r="A1349" s="7" cm="1">
        <f t="array" aca="1" ref="A1349" ca="1">INDEX(Companies!$A:$A,RANDBETWEEN(2,COUNTA(Companies!$A:$A)),1)</f>
        <v>2</v>
      </c>
      <c r="B1349" s="5">
        <f t="shared" si="253"/>
        <v>1348</v>
      </c>
      <c r="C1349" s="6">
        <f t="shared" ca="1" si="254"/>
        <v>1</v>
      </c>
      <c r="D1349" s="7">
        <f ca="1">IF($B1349 = 1 + N("Presidente"),
    127,
    IF($B1349 = 2 + N("Vice-Presidente"),
        72,
        IF($B1349 = 3 + N("Secretária bilíngue"),
            13,
            RANDBETWEEN(5,COUNT(Name!$A:$A) + 1)
        )
    )
)</f>
        <v>70</v>
      </c>
      <c r="E1349" s="7" t="str">
        <f ca="1" xml:space="preserve">
VLOOKUP(
  $D1349,
  Name!$A:$B,
  2,
  FALSE
)
&amp; " " &amp;
IF($B1349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Bento Soares Borba</v>
      </c>
      <c r="F1349" s="7">
        <v>2</v>
      </c>
      <c r="G1349" s="7" cm="1">
        <f t="array" aca="1" ref="G1349" ca="1">INDEX(States!$B:$B,RANDBETWEEN(2,COUNTA(States!$A:$A)),1)</f>
        <v>19</v>
      </c>
      <c r="H1349" s="7" t="str">
        <f ca="1">VLOOKUP($D1349,Name!$A:$C,3,FALSE)</f>
        <v>M</v>
      </c>
      <c r="I1349" s="7" cm="1">
        <f t="array" aca="1" ref="I1349" ca="1">INDEX('Marital status'!$A:$A,RANDBETWEEN(2,COUNTA('Marital status'!$A:$A)),1)</f>
        <v>6</v>
      </c>
      <c r="J1349" s="7">
        <f t="shared" ca="1" si="255"/>
        <v>5</v>
      </c>
      <c r="K1349" s="8">
        <f t="shared" ca="1" si="256"/>
        <v>33343</v>
      </c>
      <c r="L1349" s="6">
        <f t="shared" ca="1" si="257"/>
        <v>4</v>
      </c>
      <c r="M1349" s="7">
        <f ca="1" xml:space="preserve">
  IF(OR($N1349 = 2, $N1349 = 3, $N1349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349" s="6">
        <f t="shared" ca="1" si="258"/>
        <v>8</v>
      </c>
      <c r="O1349" s="6">
        <f t="shared" ca="1" si="259"/>
        <v>3</v>
      </c>
      <c r="P1349" s="8">
        <f t="shared" ca="1" si="260"/>
        <v>38151</v>
      </c>
      <c r="Q1349" s="6">
        <f ca="1">RANDBETWEEN(2,COUNTA('Recruitment source'!$A:$A))</f>
        <v>9</v>
      </c>
      <c r="R1349" s="8" t="e">
        <f t="shared" ca="1" si="261"/>
        <v>#N/A</v>
      </c>
      <c r="S1349" s="6" t="e">
        <f t="shared" ca="1" si="262"/>
        <v>#N/A</v>
      </c>
      <c r="T1349" s="6">
        <f t="shared" ca="1" si="252"/>
        <v>4</v>
      </c>
      <c r="U1349" s="1">
        <f t="shared" ca="1" si="263"/>
        <v>2000</v>
      </c>
    </row>
    <row r="1350" spans="1:21" x14ac:dyDescent="0.2">
      <c r="A1350" s="7" cm="1">
        <f t="array" aca="1" ref="A1350" ca="1">INDEX(Companies!$A:$A,RANDBETWEEN(2,COUNTA(Companies!$A:$A)),1)</f>
        <v>2</v>
      </c>
      <c r="B1350" s="5">
        <f t="shared" si="253"/>
        <v>1349</v>
      </c>
      <c r="C1350" s="6">
        <f t="shared" ca="1" si="254"/>
        <v>1</v>
      </c>
      <c r="D1350" s="7">
        <f ca="1">IF($B1350 = 1 + N("Presidente"),
    127,
    IF($B1350 = 2 + N("Vice-Presidente"),
        72,
        IF($B1350 = 3 + N("Secretária bilíngue"),
            13,
            RANDBETWEEN(5,COUNT(Name!$A:$A) + 1)
        )
    )
)</f>
        <v>73</v>
      </c>
      <c r="E1350" s="7" t="str">
        <f ca="1" xml:space="preserve">
VLOOKUP(
  $D1350,
  Name!$A:$B,
  2,
  FALSE
)
&amp; " " &amp;
IF($B1350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Bianca Mariani Cardozo</v>
      </c>
      <c r="F1350" s="7">
        <v>2</v>
      </c>
      <c r="G1350" s="7" cm="1">
        <f t="array" aca="1" ref="G1350" ca="1">INDEX(States!$B:$B,RANDBETWEEN(2,COUNTA(States!$A:$A)),1)</f>
        <v>14</v>
      </c>
      <c r="H1350" s="7" t="str">
        <f ca="1">VLOOKUP($D1350,Name!$A:$C,3,FALSE)</f>
        <v>F</v>
      </c>
      <c r="I1350" s="7" cm="1">
        <f t="array" aca="1" ref="I1350" ca="1">INDEX('Marital status'!$A:$A,RANDBETWEEN(2,COUNTA('Marital status'!$A:$A)),1)</f>
        <v>4</v>
      </c>
      <c r="J1350" s="7">
        <f t="shared" ca="1" si="255"/>
        <v>2</v>
      </c>
      <c r="K1350" s="8">
        <f t="shared" ca="1" si="256"/>
        <v>32046</v>
      </c>
      <c r="L1350" s="6">
        <f t="shared" ca="1" si="257"/>
        <v>4</v>
      </c>
      <c r="M1350" s="7">
        <f ca="1" xml:space="preserve">
  IF(OR($N1350 = 2, $N1350 = 3, $N1350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350" s="6">
        <f t="shared" ca="1" si="258"/>
        <v>7</v>
      </c>
      <c r="O1350" s="6" t="e">
        <f t="shared" ca="1" si="259"/>
        <v>#N/A</v>
      </c>
      <c r="P1350" s="8">
        <f t="shared" ca="1" si="260"/>
        <v>39032</v>
      </c>
      <c r="Q1350" s="6">
        <f ca="1">RANDBETWEEN(2,COUNTA('Recruitment source'!$A:$A))</f>
        <v>12</v>
      </c>
      <c r="R1350" s="8" t="e">
        <f t="shared" ca="1" si="261"/>
        <v>#N/A</v>
      </c>
      <c r="S1350" s="6" t="e">
        <f t="shared" ca="1" si="262"/>
        <v>#N/A</v>
      </c>
      <c r="T1350" s="6">
        <f t="shared" ca="1" si="252"/>
        <v>4</v>
      </c>
      <c r="U1350" s="1">
        <f t="shared" ca="1" si="263"/>
        <v>1005</v>
      </c>
    </row>
    <row r="1351" spans="1:21" x14ac:dyDescent="0.2">
      <c r="A1351" s="7" cm="1">
        <f t="array" aca="1" ref="A1351" ca="1">INDEX(Companies!$A:$A,RANDBETWEEN(2,COUNTA(Companies!$A:$A)),1)</f>
        <v>2</v>
      </c>
      <c r="B1351" s="5">
        <f t="shared" si="253"/>
        <v>1350</v>
      </c>
      <c r="C1351" s="6">
        <f t="shared" ca="1" si="254"/>
        <v>1</v>
      </c>
      <c r="D1351" s="7">
        <f ca="1">IF($B1351 = 1 + N("Presidente"),
    127,
    IF($B1351 = 2 + N("Vice-Presidente"),
        72,
        IF($B1351 = 3 + N("Secretária bilíngue"),
            13,
            RANDBETWEEN(5,COUNT(Name!$A:$A) + 1)
        )
    )
)</f>
        <v>343</v>
      </c>
      <c r="E1351" s="7" t="str">
        <f ca="1" xml:space="preserve">
VLOOKUP(
  $D1351,
  Name!$A:$B,
  2,
  FALSE
)
&amp; " " &amp;
IF($B1351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Thiago Cunha Ferreira</v>
      </c>
      <c r="F1351" s="7">
        <v>2</v>
      </c>
      <c r="G1351" s="7" cm="1">
        <f t="array" aca="1" ref="G1351" ca="1">INDEX(States!$B:$B,RANDBETWEEN(2,COUNTA(States!$A:$A)),1)</f>
        <v>14</v>
      </c>
      <c r="H1351" s="7" t="str">
        <f ca="1">VLOOKUP($D1351,Name!$A:$C,3,FALSE)</f>
        <v>M</v>
      </c>
      <c r="I1351" s="7" cm="1">
        <f t="array" aca="1" ref="I1351" ca="1">INDEX('Marital status'!$A:$A,RANDBETWEEN(2,COUNTA('Marital status'!$A:$A)),1)</f>
        <v>3</v>
      </c>
      <c r="J1351" s="7">
        <f t="shared" ca="1" si="255"/>
        <v>3</v>
      </c>
      <c r="K1351" s="8">
        <f t="shared" ca="1" si="256"/>
        <v>36367</v>
      </c>
      <c r="L1351" s="6">
        <f t="shared" ca="1" si="257"/>
        <v>5</v>
      </c>
      <c r="M1351" s="7">
        <f ca="1" xml:space="preserve">
  IF(OR($N1351 = 2, $N1351 = 3, $N1351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351" s="6">
        <f t="shared" ca="1" si="258"/>
        <v>8</v>
      </c>
      <c r="O1351" s="6">
        <f t="shared" ca="1" si="259"/>
        <v>3</v>
      </c>
      <c r="P1351" s="8">
        <f t="shared" ca="1" si="260"/>
        <v>41343</v>
      </c>
      <c r="Q1351" s="6">
        <f ca="1">RANDBETWEEN(2,COUNTA('Recruitment source'!$A:$A))</f>
        <v>10</v>
      </c>
      <c r="R1351" s="8" t="e">
        <f t="shared" ca="1" si="261"/>
        <v>#N/A</v>
      </c>
      <c r="S1351" s="6" t="e">
        <f t="shared" ca="1" si="262"/>
        <v>#N/A</v>
      </c>
      <c r="T1351" s="6">
        <f t="shared" ca="1" si="252"/>
        <v>5</v>
      </c>
      <c r="U1351" s="1">
        <f t="shared" ca="1" si="263"/>
        <v>2080</v>
      </c>
    </row>
    <row r="1352" spans="1:21" x14ac:dyDescent="0.2">
      <c r="A1352" s="7" cm="1">
        <f t="array" aca="1" ref="A1352" ca="1">INDEX(Companies!$A:$A,RANDBETWEEN(2,COUNTA(Companies!$A:$A)),1)</f>
        <v>2</v>
      </c>
      <c r="B1352" s="5">
        <f t="shared" si="253"/>
        <v>1351</v>
      </c>
      <c r="C1352" s="6">
        <f t="shared" ca="1" si="254"/>
        <v>1</v>
      </c>
      <c r="D1352" s="7">
        <f ca="1">IF($B1352 = 1 + N("Presidente"),
    127,
    IF($B1352 = 2 + N("Vice-Presidente"),
        72,
        IF($B1352 = 3 + N("Secretária bilíngue"),
            13,
            RANDBETWEEN(5,COUNT(Name!$A:$A) + 1)
        )
    )
)</f>
        <v>78</v>
      </c>
      <c r="E1352" s="7" t="str">
        <f ca="1" xml:space="preserve">
VLOOKUP(
  $D1352,
  Name!$A:$B,
  2,
  FALSE
)
&amp; " " &amp;
IF($B1352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Bryan Marques Longo</v>
      </c>
      <c r="F1352" s="7">
        <v>2</v>
      </c>
      <c r="G1352" s="7" cm="1">
        <f t="array" aca="1" ref="G1352" ca="1">INDEX(States!$B:$B,RANDBETWEEN(2,COUNTA(States!$A:$A)),1)</f>
        <v>13</v>
      </c>
      <c r="H1352" s="7" t="str">
        <f ca="1">VLOOKUP($D1352,Name!$A:$C,3,FALSE)</f>
        <v>M</v>
      </c>
      <c r="I1352" s="7" cm="1">
        <f t="array" aca="1" ref="I1352" ca="1">INDEX('Marital status'!$A:$A,RANDBETWEEN(2,COUNTA('Marital status'!$A:$A)),1)</f>
        <v>2</v>
      </c>
      <c r="J1352" s="7">
        <f t="shared" ca="1" si="255"/>
        <v>2</v>
      </c>
      <c r="K1352" s="8">
        <f t="shared" ca="1" si="256"/>
        <v>21348</v>
      </c>
      <c r="L1352" s="6">
        <f t="shared" ca="1" si="257"/>
        <v>4</v>
      </c>
      <c r="M1352" s="7">
        <f ca="1" xml:space="preserve">
  IF(OR($N1352 = 2, $N1352 = 3, $N1352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352" s="6">
        <f t="shared" ca="1" si="258"/>
        <v>6</v>
      </c>
      <c r="O1352" s="6" t="e">
        <f t="shared" ca="1" si="259"/>
        <v>#N/A</v>
      </c>
      <c r="P1352" s="8">
        <f t="shared" ca="1" si="260"/>
        <v>42839</v>
      </c>
      <c r="Q1352" s="6">
        <f ca="1">RANDBETWEEN(2,COUNTA('Recruitment source'!$A:$A))</f>
        <v>5</v>
      </c>
      <c r="R1352" s="8" t="e">
        <f t="shared" ca="1" si="261"/>
        <v>#N/A</v>
      </c>
      <c r="S1352" s="6" t="e">
        <f t="shared" ca="1" si="262"/>
        <v>#N/A</v>
      </c>
      <c r="T1352" s="6">
        <f t="shared" ca="1" si="252"/>
        <v>3</v>
      </c>
      <c r="U1352" s="1">
        <f t="shared" ca="1" si="263"/>
        <v>805</v>
      </c>
    </row>
    <row r="1353" spans="1:21" x14ac:dyDescent="0.2">
      <c r="A1353" s="7" cm="1">
        <f t="array" aca="1" ref="A1353" ca="1">INDEX(Companies!$A:$A,RANDBETWEEN(2,COUNTA(Companies!$A:$A)),1)</f>
        <v>2</v>
      </c>
      <c r="B1353" s="5">
        <f t="shared" si="253"/>
        <v>1352</v>
      </c>
      <c r="C1353" s="6">
        <f t="shared" ca="1" si="254"/>
        <v>1</v>
      </c>
      <c r="D1353" s="7">
        <f ca="1">IF($B1353 = 1 + N("Presidente"),
    127,
    IF($B1353 = 2 + N("Vice-Presidente"),
        72,
        IF($B1353 = 3 + N("Secretária bilíngue"),
            13,
            RANDBETWEEN(5,COUNT(Name!$A:$A) + 1)
        )
    )
)</f>
        <v>258</v>
      </c>
      <c r="E1353" s="7" t="str">
        <f ca="1" xml:space="preserve">
VLOOKUP(
  $D1353,
  Name!$A:$B,
  2,
  FALSE
)
&amp; " " &amp;
IF($B1353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Alice Marino Seixas</v>
      </c>
      <c r="F1353" s="7">
        <v>2</v>
      </c>
      <c r="G1353" s="7" cm="1">
        <f t="array" aca="1" ref="G1353" ca="1">INDEX(States!$B:$B,RANDBETWEEN(2,COUNTA(States!$A:$A)),1)</f>
        <v>15</v>
      </c>
      <c r="H1353" s="7" t="str">
        <f ca="1">VLOOKUP($D1353,Name!$A:$C,3,FALSE)</f>
        <v>F</v>
      </c>
      <c r="I1353" s="7" cm="1">
        <f t="array" aca="1" ref="I1353" ca="1">INDEX('Marital status'!$A:$A,RANDBETWEEN(2,COUNTA('Marital status'!$A:$A)),1)</f>
        <v>4</v>
      </c>
      <c r="J1353" s="7">
        <f t="shared" ca="1" si="255"/>
        <v>4</v>
      </c>
      <c r="K1353" s="8">
        <f t="shared" ca="1" si="256"/>
        <v>33653</v>
      </c>
      <c r="L1353" s="6">
        <f t="shared" ca="1" si="257"/>
        <v>5</v>
      </c>
      <c r="M1353" s="7">
        <f ca="1" xml:space="preserve">
  IF(OR($N1353 = 2, $N1353 = 3, $N1353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353" s="6">
        <f t="shared" ca="1" si="258"/>
        <v>8</v>
      </c>
      <c r="O1353" s="6">
        <f t="shared" ca="1" si="259"/>
        <v>2</v>
      </c>
      <c r="P1353" s="8">
        <f t="shared" ca="1" si="260"/>
        <v>42476</v>
      </c>
      <c r="Q1353" s="6">
        <f ca="1">RANDBETWEEN(2,COUNTA('Recruitment source'!$A:$A))</f>
        <v>2</v>
      </c>
      <c r="R1353" s="8" t="e">
        <f t="shared" ca="1" si="261"/>
        <v>#N/A</v>
      </c>
      <c r="S1353" s="6" t="e">
        <f t="shared" ca="1" si="262"/>
        <v>#N/A</v>
      </c>
      <c r="T1353" s="6">
        <f t="shared" ca="1" si="252"/>
        <v>3</v>
      </c>
      <c r="U1353" s="1">
        <f t="shared" ca="1" si="263"/>
        <v>2080</v>
      </c>
    </row>
    <row r="1354" spans="1:21" x14ac:dyDescent="0.2">
      <c r="A1354" s="7" cm="1">
        <f t="array" aca="1" ref="A1354" ca="1">INDEX(Companies!$A:$A,RANDBETWEEN(2,COUNTA(Companies!$A:$A)),1)</f>
        <v>2</v>
      </c>
      <c r="B1354" s="5">
        <f t="shared" si="253"/>
        <v>1353</v>
      </c>
      <c r="C1354" s="6">
        <f t="shared" ca="1" si="254"/>
        <v>1</v>
      </c>
      <c r="D1354" s="7">
        <f ca="1">IF($B1354 = 1 + N("Presidente"),
    127,
    IF($B1354 = 2 + N("Vice-Presidente"),
        72,
        IF($B1354 = 3 + N("Secretária bilíngue"),
            13,
            RANDBETWEEN(5,COUNT(Name!$A:$A) + 1)
        )
    )
)</f>
        <v>83</v>
      </c>
      <c r="E1354" s="7" t="str">
        <f ca="1" xml:space="preserve">
VLOOKUP(
  $D1354,
  Name!$A:$B,
  2,
  FALSE
)
&amp; " " &amp;
IF($B1354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Camila Andrioli Lima</v>
      </c>
      <c r="F1354" s="7">
        <v>2</v>
      </c>
      <c r="G1354" s="7" cm="1">
        <f t="array" aca="1" ref="G1354" ca="1">INDEX(States!$B:$B,RANDBETWEEN(2,COUNTA(States!$A:$A)),1)</f>
        <v>13</v>
      </c>
      <c r="H1354" s="7" t="str">
        <f ca="1">VLOOKUP($D1354,Name!$A:$C,3,FALSE)</f>
        <v>F</v>
      </c>
      <c r="I1354" s="7" cm="1">
        <f t="array" aca="1" ref="I1354" ca="1">INDEX('Marital status'!$A:$A,RANDBETWEEN(2,COUNTA('Marital status'!$A:$A)),1)</f>
        <v>2</v>
      </c>
      <c r="J1354" s="7">
        <f t="shared" ca="1" si="255"/>
        <v>2</v>
      </c>
      <c r="K1354" s="8">
        <f t="shared" ca="1" si="256"/>
        <v>25742</v>
      </c>
      <c r="L1354" s="6">
        <f t="shared" ca="1" si="257"/>
        <v>4</v>
      </c>
      <c r="M1354" s="7">
        <f ca="1" xml:space="preserve">
  IF(OR($N1354 = 2, $N1354 = 3, $N1354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354" s="6">
        <f t="shared" ca="1" si="258"/>
        <v>6</v>
      </c>
      <c r="O1354" s="6" t="e">
        <f t="shared" ca="1" si="259"/>
        <v>#N/A</v>
      </c>
      <c r="P1354" s="8">
        <f t="shared" ca="1" si="260"/>
        <v>41388</v>
      </c>
      <c r="Q1354" s="6">
        <f ca="1">RANDBETWEEN(2,COUNTA('Recruitment source'!$A:$A))</f>
        <v>2</v>
      </c>
      <c r="R1354" s="8" t="e">
        <f t="shared" ca="1" si="261"/>
        <v>#N/A</v>
      </c>
      <c r="S1354" s="6" t="e">
        <f t="shared" ca="1" si="262"/>
        <v>#N/A</v>
      </c>
      <c r="T1354" s="6">
        <f t="shared" ca="1" si="252"/>
        <v>3</v>
      </c>
      <c r="U1354" s="1">
        <f t="shared" ca="1" si="263"/>
        <v>805</v>
      </c>
    </row>
    <row r="1355" spans="1:21" x14ac:dyDescent="0.2">
      <c r="A1355" s="7" cm="1">
        <f t="array" aca="1" ref="A1355" ca="1">INDEX(Companies!$A:$A,RANDBETWEEN(2,COUNTA(Companies!$A:$A)),1)</f>
        <v>2</v>
      </c>
      <c r="B1355" s="5">
        <f t="shared" si="253"/>
        <v>1354</v>
      </c>
      <c r="C1355" s="6">
        <f t="shared" ca="1" si="254"/>
        <v>1</v>
      </c>
      <c r="D1355" s="7">
        <f ca="1">IF($B1355 = 1 + N("Presidente"),
    127,
    IF($B1355 = 2 + N("Vice-Presidente"),
        72,
        IF($B1355 = 3 + N("Secretária bilíngue"),
            13,
            RANDBETWEEN(5,COUNT(Name!$A:$A) + 1)
        )
    )
)</f>
        <v>52</v>
      </c>
      <c r="E1355" s="7" t="str">
        <f ca="1" xml:space="preserve">
VLOOKUP(
  $D1355,
  Name!$A:$B,
  2,
  FALSE
)
&amp; " " &amp;
IF($B1355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Antônio Santos Bianchi</v>
      </c>
      <c r="F1355" s="7">
        <v>2</v>
      </c>
      <c r="G1355" s="7" cm="1">
        <f t="array" aca="1" ref="G1355" ca="1">INDEX(States!$B:$B,RANDBETWEEN(2,COUNTA(States!$A:$A)),1)</f>
        <v>7</v>
      </c>
      <c r="H1355" s="7" t="str">
        <f ca="1">VLOOKUP($D1355,Name!$A:$C,3,FALSE)</f>
        <v>M</v>
      </c>
      <c r="I1355" s="7" cm="1">
        <f t="array" aca="1" ref="I1355" ca="1">INDEX('Marital status'!$A:$A,RANDBETWEEN(2,COUNTA('Marital status'!$A:$A)),1)</f>
        <v>4</v>
      </c>
      <c r="J1355" s="7">
        <f t="shared" ca="1" si="255"/>
        <v>2</v>
      </c>
      <c r="K1355" s="8">
        <f t="shared" ca="1" si="256"/>
        <v>37232</v>
      </c>
      <c r="L1355" s="6">
        <f t="shared" ca="1" si="257"/>
        <v>4</v>
      </c>
      <c r="M1355" s="7">
        <f ca="1" xml:space="preserve">
  IF(OR($N1355 = 2, $N1355 = 3, $N1355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355" s="6">
        <f t="shared" ca="1" si="258"/>
        <v>8</v>
      </c>
      <c r="O1355" s="6">
        <f t="shared" ca="1" si="259"/>
        <v>3</v>
      </c>
      <c r="P1355" s="8">
        <f t="shared" ca="1" si="260"/>
        <v>44348</v>
      </c>
      <c r="Q1355" s="6">
        <f ca="1">RANDBETWEEN(2,COUNTA('Recruitment source'!$A:$A))</f>
        <v>3</v>
      </c>
      <c r="R1355" s="8" t="e">
        <f t="shared" ca="1" si="261"/>
        <v>#N/A</v>
      </c>
      <c r="S1355" s="6" t="e">
        <f t="shared" ca="1" si="262"/>
        <v>#N/A</v>
      </c>
      <c r="T1355" s="6">
        <f t="shared" ca="1" si="252"/>
        <v>5</v>
      </c>
      <c r="U1355" s="1">
        <f t="shared" ca="1" si="263"/>
        <v>2000</v>
      </c>
    </row>
    <row r="1356" spans="1:21" x14ac:dyDescent="0.2">
      <c r="A1356" s="7" cm="1">
        <f t="array" aca="1" ref="A1356" ca="1">INDEX(Companies!$A:$A,RANDBETWEEN(2,COUNTA(Companies!$A:$A)),1)</f>
        <v>2</v>
      </c>
      <c r="B1356" s="5">
        <f t="shared" si="253"/>
        <v>1355</v>
      </c>
      <c r="C1356" s="6">
        <f t="shared" ca="1" si="254"/>
        <v>1</v>
      </c>
      <c r="D1356" s="7">
        <f ca="1">IF($B1356 = 1 + N("Presidente"),
    127,
    IF($B1356 = 2 + N("Vice-Presidente"),
        72,
        IF($B1356 = 3 + N("Secretária bilíngue"),
            13,
            RANDBETWEEN(5,COUNT(Name!$A:$A) + 1)
        )
    )
)</f>
        <v>206</v>
      </c>
      <c r="E1356" s="7" t="str">
        <f ca="1" xml:space="preserve">
VLOOKUP(
  $D1356,
  Name!$A:$B,
  2,
  FALSE
)
&amp; " " &amp;
IF($B1356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Kamilla Figo Leite</v>
      </c>
      <c r="F1356" s="7">
        <v>2</v>
      </c>
      <c r="G1356" s="7" cm="1">
        <f t="array" aca="1" ref="G1356" ca="1">INDEX(States!$B:$B,RANDBETWEEN(2,COUNTA(States!$A:$A)),1)</f>
        <v>3</v>
      </c>
      <c r="H1356" s="7" t="str">
        <f ca="1">VLOOKUP($D1356,Name!$A:$C,3,FALSE)</f>
        <v>F</v>
      </c>
      <c r="I1356" s="7" cm="1">
        <f t="array" aca="1" ref="I1356" ca="1">INDEX('Marital status'!$A:$A,RANDBETWEEN(2,COUNTA('Marital status'!$A:$A)),1)</f>
        <v>3</v>
      </c>
      <c r="J1356" s="7">
        <f t="shared" ca="1" si="255"/>
        <v>2</v>
      </c>
      <c r="K1356" s="8">
        <f t="shared" ca="1" si="256"/>
        <v>32066</v>
      </c>
      <c r="L1356" s="6">
        <f t="shared" ca="1" si="257"/>
        <v>4</v>
      </c>
      <c r="M1356" s="7">
        <f ca="1" xml:space="preserve">
  IF(OR($N1356 = 2, $N1356 = 3, $N1356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356" s="6">
        <f t="shared" ca="1" si="258"/>
        <v>7</v>
      </c>
      <c r="O1356" s="6" t="e">
        <f t="shared" ca="1" si="259"/>
        <v>#N/A</v>
      </c>
      <c r="P1356" s="8">
        <f t="shared" ca="1" si="260"/>
        <v>39100</v>
      </c>
      <c r="Q1356" s="6">
        <f ca="1">RANDBETWEEN(2,COUNTA('Recruitment source'!$A:$A))</f>
        <v>2</v>
      </c>
      <c r="R1356" s="8" t="e">
        <f t="shared" ca="1" si="261"/>
        <v>#N/A</v>
      </c>
      <c r="S1356" s="6" t="e">
        <f t="shared" ca="1" si="262"/>
        <v>#N/A</v>
      </c>
      <c r="T1356" s="6">
        <f t="shared" ca="1" si="252"/>
        <v>5</v>
      </c>
      <c r="U1356" s="1">
        <f t="shared" ca="1" si="263"/>
        <v>1005</v>
      </c>
    </row>
    <row r="1357" spans="1:21" x14ac:dyDescent="0.2">
      <c r="A1357" s="7" cm="1">
        <f t="array" aca="1" ref="A1357" ca="1">INDEX(Companies!$A:$A,RANDBETWEEN(2,COUNTA(Companies!$A:$A)),1)</f>
        <v>2</v>
      </c>
      <c r="B1357" s="5">
        <f t="shared" si="253"/>
        <v>1356</v>
      </c>
      <c r="C1357" s="6">
        <f t="shared" ca="1" si="254"/>
        <v>1</v>
      </c>
      <c r="D1357" s="7">
        <f ca="1">IF($B1357 = 1 + N("Presidente"),
    127,
    IF($B1357 = 2 + N("Vice-Presidente"),
        72,
        IF($B1357 = 3 + N("Secretária bilíngue"),
            13,
            RANDBETWEEN(5,COUNT(Name!$A:$A) + 1)
        )
    )
)</f>
        <v>183</v>
      </c>
      <c r="E1357" s="7" t="str">
        <f ca="1" xml:space="preserve">
VLOOKUP(
  $D1357,
  Name!$A:$B,
  2,
  FALSE
)
&amp; " " &amp;
IF($B1357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Joanah Carvalho Borges</v>
      </c>
      <c r="F1357" s="7">
        <v>2</v>
      </c>
      <c r="G1357" s="7" cm="1">
        <f t="array" aca="1" ref="G1357" ca="1">INDEX(States!$B:$B,RANDBETWEEN(2,COUNTA(States!$A:$A)),1)</f>
        <v>5</v>
      </c>
      <c r="H1357" s="7" t="str">
        <f ca="1">VLOOKUP($D1357,Name!$A:$C,3,FALSE)</f>
        <v>F</v>
      </c>
      <c r="I1357" s="7" cm="1">
        <f t="array" aca="1" ref="I1357" ca="1">INDEX('Marital status'!$A:$A,RANDBETWEEN(2,COUNTA('Marital status'!$A:$A)),1)</f>
        <v>2</v>
      </c>
      <c r="J1357" s="7">
        <f t="shared" ca="1" si="255"/>
        <v>2</v>
      </c>
      <c r="K1357" s="8">
        <f t="shared" ca="1" si="256"/>
        <v>34884</v>
      </c>
      <c r="L1357" s="6">
        <f t="shared" ca="1" si="257"/>
        <v>5</v>
      </c>
      <c r="M1357" s="7">
        <f ca="1" xml:space="preserve">
  IF(OR($N1357 = 2, $N1357 = 3, $N1357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357" s="6">
        <f t="shared" ca="1" si="258"/>
        <v>8</v>
      </c>
      <c r="O1357" s="6">
        <f t="shared" ca="1" si="259"/>
        <v>4</v>
      </c>
      <c r="P1357" s="8">
        <f t="shared" ca="1" si="260"/>
        <v>36796</v>
      </c>
      <c r="Q1357" s="6">
        <f ca="1">RANDBETWEEN(2,COUNTA('Recruitment source'!$A:$A))</f>
        <v>9</v>
      </c>
      <c r="R1357" s="8" t="e">
        <f t="shared" ca="1" si="261"/>
        <v>#N/A</v>
      </c>
      <c r="S1357" s="6" t="e">
        <f t="shared" ca="1" si="262"/>
        <v>#N/A</v>
      </c>
      <c r="T1357" s="6">
        <f t="shared" ca="1" si="252"/>
        <v>2</v>
      </c>
      <c r="U1357" s="1">
        <f t="shared" ca="1" si="263"/>
        <v>2050</v>
      </c>
    </row>
    <row r="1358" spans="1:21" x14ac:dyDescent="0.2">
      <c r="A1358" s="7" cm="1">
        <f t="array" aca="1" ref="A1358" ca="1">INDEX(Companies!$A:$A,RANDBETWEEN(2,COUNTA(Companies!$A:$A)),1)</f>
        <v>2</v>
      </c>
      <c r="B1358" s="5">
        <f t="shared" si="253"/>
        <v>1357</v>
      </c>
      <c r="C1358" s="6">
        <f t="shared" ca="1" si="254"/>
        <v>1</v>
      </c>
      <c r="D1358" s="7">
        <f ca="1">IF($B1358 = 1 + N("Presidente"),
    127,
    IF($B1358 = 2 + N("Vice-Presidente"),
        72,
        IF($B1358 = 3 + N("Secretária bilíngue"),
            13,
            RANDBETWEEN(5,COUNT(Name!$A:$A) + 1)
        )
    )
)</f>
        <v>163</v>
      </c>
      <c r="E1358" s="7" t="str">
        <f ca="1" xml:space="preserve">
VLOOKUP(
  $D1358,
  Name!$A:$B,
  2,
  FALSE
)
&amp; " " &amp;
IF($B1358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Heloísa Pimenta Rizzo</v>
      </c>
      <c r="F1358" s="7">
        <v>2</v>
      </c>
      <c r="G1358" s="7" cm="1">
        <f t="array" aca="1" ref="G1358" ca="1">INDEX(States!$B:$B,RANDBETWEEN(2,COUNTA(States!$A:$A)),1)</f>
        <v>4</v>
      </c>
      <c r="H1358" s="7" t="str">
        <f ca="1">VLOOKUP($D1358,Name!$A:$C,3,FALSE)</f>
        <v>F</v>
      </c>
      <c r="I1358" s="7" cm="1">
        <f t="array" aca="1" ref="I1358" ca="1">INDEX('Marital status'!$A:$A,RANDBETWEEN(2,COUNTA('Marital status'!$A:$A)),1)</f>
        <v>6</v>
      </c>
      <c r="J1358" s="7">
        <f t="shared" ca="1" si="255"/>
        <v>3</v>
      </c>
      <c r="K1358" s="8">
        <f t="shared" ca="1" si="256"/>
        <v>35966</v>
      </c>
      <c r="L1358" s="6">
        <f t="shared" ca="1" si="257"/>
        <v>4</v>
      </c>
      <c r="M1358" s="7">
        <f ca="1" xml:space="preserve">
  IF(OR($N1358 = 2, $N1358 = 3, $N1358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358" s="6">
        <f t="shared" ca="1" si="258"/>
        <v>7</v>
      </c>
      <c r="O1358" s="6" t="e">
        <f t="shared" ca="1" si="259"/>
        <v>#N/A</v>
      </c>
      <c r="P1358" s="8">
        <f t="shared" ca="1" si="260"/>
        <v>39078</v>
      </c>
      <c r="Q1358" s="6">
        <f ca="1">RANDBETWEEN(2,COUNTA('Recruitment source'!$A:$A))</f>
        <v>11</v>
      </c>
      <c r="R1358" s="8" t="e">
        <f t="shared" ca="1" si="261"/>
        <v>#N/A</v>
      </c>
      <c r="S1358" s="6" t="e">
        <f t="shared" ca="1" si="262"/>
        <v>#N/A</v>
      </c>
      <c r="T1358" s="6">
        <f t="shared" ca="1" si="252"/>
        <v>2</v>
      </c>
      <c r="U1358" s="1">
        <f t="shared" ca="1" si="263"/>
        <v>1005</v>
      </c>
    </row>
    <row r="1359" spans="1:21" x14ac:dyDescent="0.2">
      <c r="A1359" s="7" cm="1">
        <f t="array" aca="1" ref="A1359" ca="1">INDEX(Companies!$A:$A,RANDBETWEEN(2,COUNTA(Companies!$A:$A)),1)</f>
        <v>2</v>
      </c>
      <c r="B1359" s="5">
        <f t="shared" si="253"/>
        <v>1358</v>
      </c>
      <c r="C1359" s="6">
        <f t="shared" ca="1" si="254"/>
        <v>1</v>
      </c>
      <c r="D1359" s="7">
        <f ca="1">IF($B1359 = 1 + N("Presidente"),
    127,
    IF($B1359 = 2 + N("Vice-Presidente"),
        72,
        IF($B1359 = 3 + N("Secretária bilíngue"),
            13,
            RANDBETWEEN(5,COUNT(Name!$A:$A) + 1)
        )
    )
)</f>
        <v>214</v>
      </c>
      <c r="E1359" s="7" t="str">
        <f ca="1" xml:space="preserve">
VLOOKUP(
  $D1359,
  Name!$A:$B,
  2,
  FALSE
)
&amp; " " &amp;
IF($B1359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Kleriston de Oliveira Soares</v>
      </c>
      <c r="F1359" s="7">
        <v>2</v>
      </c>
      <c r="G1359" s="7" cm="1">
        <f t="array" aca="1" ref="G1359" ca="1">INDEX(States!$B:$B,RANDBETWEEN(2,COUNTA(States!$A:$A)),1)</f>
        <v>19</v>
      </c>
      <c r="H1359" s="7" t="str">
        <f ca="1">VLOOKUP($D1359,Name!$A:$C,3,FALSE)</f>
        <v>M</v>
      </c>
      <c r="I1359" s="7" cm="1">
        <f t="array" aca="1" ref="I1359" ca="1">INDEX('Marital status'!$A:$A,RANDBETWEEN(2,COUNTA('Marital status'!$A:$A)),1)</f>
        <v>2</v>
      </c>
      <c r="J1359" s="7">
        <f t="shared" ca="1" si="255"/>
        <v>2</v>
      </c>
      <c r="K1359" s="8">
        <f t="shared" ca="1" si="256"/>
        <v>36230</v>
      </c>
      <c r="L1359" s="6">
        <f t="shared" ca="1" si="257"/>
        <v>5</v>
      </c>
      <c r="M1359" s="7">
        <f ca="1" xml:space="preserve">
  IF(OR($N1359 = 2, $N1359 = 3, $N1359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359" s="6">
        <f t="shared" ca="1" si="258"/>
        <v>8</v>
      </c>
      <c r="O1359" s="6">
        <f t="shared" ca="1" si="259"/>
        <v>2</v>
      </c>
      <c r="P1359" s="8">
        <f t="shared" ca="1" si="260"/>
        <v>38448</v>
      </c>
      <c r="Q1359" s="6">
        <f ca="1">RANDBETWEEN(2,COUNTA('Recruitment source'!$A:$A))</f>
        <v>5</v>
      </c>
      <c r="R1359" s="8" t="e">
        <f t="shared" ca="1" si="261"/>
        <v>#N/A</v>
      </c>
      <c r="S1359" s="6" t="e">
        <f t="shared" ca="1" si="262"/>
        <v>#N/A</v>
      </c>
      <c r="T1359" s="6">
        <f t="shared" ca="1" si="252"/>
        <v>4</v>
      </c>
      <c r="U1359" s="1">
        <f t="shared" ca="1" si="263"/>
        <v>2100</v>
      </c>
    </row>
    <row r="1360" spans="1:21" x14ac:dyDescent="0.2">
      <c r="A1360" s="7" cm="1">
        <f t="array" aca="1" ref="A1360" ca="1">INDEX(Companies!$A:$A,RANDBETWEEN(2,COUNTA(Companies!$A:$A)),1)</f>
        <v>2</v>
      </c>
      <c r="B1360" s="5">
        <f t="shared" si="253"/>
        <v>1359</v>
      </c>
      <c r="C1360" s="6">
        <f t="shared" ca="1" si="254"/>
        <v>1</v>
      </c>
      <c r="D1360" s="7">
        <f ca="1">IF($B1360 = 1 + N("Presidente"),
    127,
    IF($B1360 = 2 + N("Vice-Presidente"),
        72,
        IF($B1360 = 3 + N("Secretária bilíngue"),
            13,
            RANDBETWEEN(5,COUNT(Name!$A:$A) + 1)
        )
    )
)</f>
        <v>23</v>
      </c>
      <c r="E1360" s="7" t="str">
        <f ca="1" xml:space="preserve">
VLOOKUP(
  $D1360,
  Name!$A:$B,
  2,
  FALSE
)
&amp; " " &amp;
IF($B1360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Amanda Ildelfonso Costa</v>
      </c>
      <c r="F1360" s="7">
        <v>2</v>
      </c>
      <c r="G1360" s="7" cm="1">
        <f t="array" aca="1" ref="G1360" ca="1">INDEX(States!$B:$B,RANDBETWEEN(2,COUNTA(States!$A:$A)),1)</f>
        <v>3</v>
      </c>
      <c r="H1360" s="7" t="str">
        <f ca="1">VLOOKUP($D1360,Name!$A:$C,3,FALSE)</f>
        <v>F</v>
      </c>
      <c r="I1360" s="7" cm="1">
        <f t="array" aca="1" ref="I1360" ca="1">INDEX('Marital status'!$A:$A,RANDBETWEEN(2,COUNTA('Marital status'!$A:$A)),1)</f>
        <v>2</v>
      </c>
      <c r="J1360" s="7">
        <f t="shared" ca="1" si="255"/>
        <v>2</v>
      </c>
      <c r="K1360" s="8">
        <f t="shared" ca="1" si="256"/>
        <v>28836</v>
      </c>
      <c r="L1360" s="6">
        <f t="shared" ca="1" si="257"/>
        <v>4</v>
      </c>
      <c r="M1360" s="7">
        <f ca="1" xml:space="preserve">
  IF(OR($N1360 = 2, $N1360 = 3, $N1360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360" s="6">
        <f t="shared" ca="1" si="258"/>
        <v>7</v>
      </c>
      <c r="O1360" s="6" t="e">
        <f t="shared" ca="1" si="259"/>
        <v>#N/A</v>
      </c>
      <c r="P1360" s="8">
        <f t="shared" ca="1" si="260"/>
        <v>42927</v>
      </c>
      <c r="Q1360" s="6">
        <f ca="1">RANDBETWEEN(2,COUNTA('Recruitment source'!$A:$A))</f>
        <v>11</v>
      </c>
      <c r="R1360" s="8" t="e">
        <f t="shared" ca="1" si="261"/>
        <v>#N/A</v>
      </c>
      <c r="S1360" s="6" t="e">
        <f t="shared" ca="1" si="262"/>
        <v>#N/A</v>
      </c>
      <c r="T1360" s="6">
        <f t="shared" ca="1" si="252"/>
        <v>3</v>
      </c>
      <c r="U1360" s="1">
        <f t="shared" ca="1" si="263"/>
        <v>1005</v>
      </c>
    </row>
    <row r="1361" spans="1:21" x14ac:dyDescent="0.2">
      <c r="A1361" s="7" cm="1">
        <f t="array" aca="1" ref="A1361" ca="1">INDEX(Companies!$A:$A,RANDBETWEEN(2,COUNTA(Companies!$A:$A)),1)</f>
        <v>2</v>
      </c>
      <c r="B1361" s="5">
        <f t="shared" si="253"/>
        <v>1360</v>
      </c>
      <c r="C1361" s="6">
        <f t="shared" ca="1" si="254"/>
        <v>1</v>
      </c>
      <c r="D1361" s="7">
        <f ca="1">IF($B1361 = 1 + N("Presidente"),
    127,
    IF($B1361 = 2 + N("Vice-Presidente"),
        72,
        IF($B1361 = 3 + N("Secretária bilíngue"),
            13,
            RANDBETWEEN(5,COUNT(Name!$A:$A) + 1)
        )
    )
)</f>
        <v>300</v>
      </c>
      <c r="E1361" s="7" t="str">
        <f ca="1" xml:space="preserve">
VLOOKUP(
  $D1361,
  Name!$A:$B,
  2,
  FALSE
)
&amp; " " &amp;
IF($B1361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Muricy Morato Peçanha</v>
      </c>
      <c r="F1361" s="7">
        <v>2</v>
      </c>
      <c r="G1361" s="7" cm="1">
        <f t="array" aca="1" ref="G1361" ca="1">INDEX(States!$B:$B,RANDBETWEEN(2,COUNTA(States!$A:$A)),1)</f>
        <v>11</v>
      </c>
      <c r="H1361" s="7" t="str">
        <f ca="1">VLOOKUP($D1361,Name!$A:$C,3,FALSE)</f>
        <v>M</v>
      </c>
      <c r="I1361" s="7" cm="1">
        <f t="array" aca="1" ref="I1361" ca="1">INDEX('Marital status'!$A:$A,RANDBETWEEN(2,COUNTA('Marital status'!$A:$A)),1)</f>
        <v>3</v>
      </c>
      <c r="J1361" s="7">
        <f t="shared" ca="1" si="255"/>
        <v>2</v>
      </c>
      <c r="K1361" s="8">
        <f t="shared" ca="1" si="256"/>
        <v>35224</v>
      </c>
      <c r="L1361" s="6">
        <f t="shared" ca="1" si="257"/>
        <v>4</v>
      </c>
      <c r="M1361" s="7">
        <f ca="1" xml:space="preserve">
  IF(OR($N1361 = 2, $N1361 = 3, $N1361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361" s="6">
        <f t="shared" ca="1" si="258"/>
        <v>8</v>
      </c>
      <c r="O1361" s="6">
        <f t="shared" ca="1" si="259"/>
        <v>2</v>
      </c>
      <c r="P1361" s="8">
        <f t="shared" ca="1" si="260"/>
        <v>43596</v>
      </c>
      <c r="Q1361" s="6">
        <f ca="1">RANDBETWEEN(2,COUNTA('Recruitment source'!$A:$A))</f>
        <v>4</v>
      </c>
      <c r="R1361" s="8" t="e">
        <f t="shared" ca="1" si="261"/>
        <v>#N/A</v>
      </c>
      <c r="S1361" s="6" t="e">
        <f t="shared" ca="1" si="262"/>
        <v>#N/A</v>
      </c>
      <c r="T1361" s="6">
        <f t="shared" ca="1" si="252"/>
        <v>5</v>
      </c>
      <c r="U1361" s="1">
        <f t="shared" ca="1" si="263"/>
        <v>2000</v>
      </c>
    </row>
    <row r="1362" spans="1:21" x14ac:dyDescent="0.2">
      <c r="A1362" s="7" cm="1">
        <f t="array" aca="1" ref="A1362" ca="1">INDEX(Companies!$A:$A,RANDBETWEEN(2,COUNTA(Companies!$A:$A)),1)</f>
        <v>2</v>
      </c>
      <c r="B1362" s="5">
        <f t="shared" si="253"/>
        <v>1361</v>
      </c>
      <c r="C1362" s="6">
        <f t="shared" ca="1" si="254"/>
        <v>1</v>
      </c>
      <c r="D1362" s="7">
        <f ca="1">IF($B1362 = 1 + N("Presidente"),
    127,
    IF($B1362 = 2 + N("Vice-Presidente"),
        72,
        IF($B1362 = 3 + N("Secretária bilíngue"),
            13,
            RANDBETWEEN(5,COUNT(Name!$A:$A) + 1)
        )
    )
)</f>
        <v>107</v>
      </c>
      <c r="E1362" s="7" t="str">
        <f ca="1" xml:space="preserve">
VLOOKUP(
  $D1362,
  Name!$A:$B,
  2,
  FALSE
)
&amp; " " &amp;
IF($B1362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Lucca Mazza Cunha</v>
      </c>
      <c r="F1362" s="7">
        <v>2</v>
      </c>
      <c r="G1362" s="7" cm="1">
        <f t="array" aca="1" ref="G1362" ca="1">INDEX(States!$B:$B,RANDBETWEEN(2,COUNTA(States!$A:$A)),1)</f>
        <v>19</v>
      </c>
      <c r="H1362" s="7" t="str">
        <f ca="1">VLOOKUP($D1362,Name!$A:$C,3,FALSE)</f>
        <v>M</v>
      </c>
      <c r="I1362" s="7" cm="1">
        <f t="array" aca="1" ref="I1362" ca="1">INDEX('Marital status'!$A:$A,RANDBETWEEN(2,COUNTA('Marital status'!$A:$A)),1)</f>
        <v>2</v>
      </c>
      <c r="J1362" s="7">
        <f t="shared" ca="1" si="255"/>
        <v>2</v>
      </c>
      <c r="K1362" s="8">
        <f t="shared" ca="1" si="256"/>
        <v>29236</v>
      </c>
      <c r="L1362" s="6">
        <f t="shared" ca="1" si="257"/>
        <v>4</v>
      </c>
      <c r="M1362" s="7">
        <f ca="1" xml:space="preserve">
  IF(OR($N1362 = 2, $N1362 = 3, $N1362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362" s="6">
        <f t="shared" ca="1" si="258"/>
        <v>7</v>
      </c>
      <c r="O1362" s="6" t="e">
        <f t="shared" ca="1" si="259"/>
        <v>#N/A</v>
      </c>
      <c r="P1362" s="8">
        <f t="shared" ca="1" si="260"/>
        <v>43352</v>
      </c>
      <c r="Q1362" s="6">
        <f ca="1">RANDBETWEEN(2,COUNTA('Recruitment source'!$A:$A))</f>
        <v>12</v>
      </c>
      <c r="R1362" s="8" t="e">
        <f t="shared" ca="1" si="261"/>
        <v>#N/A</v>
      </c>
      <c r="S1362" s="6" t="e">
        <f t="shared" ca="1" si="262"/>
        <v>#N/A</v>
      </c>
      <c r="T1362" s="6">
        <f t="shared" ca="1" si="252"/>
        <v>2</v>
      </c>
      <c r="U1362" s="1">
        <f t="shared" ca="1" si="263"/>
        <v>1005</v>
      </c>
    </row>
    <row r="1363" spans="1:21" x14ac:dyDescent="0.2">
      <c r="A1363" s="7" cm="1">
        <f t="array" aca="1" ref="A1363" ca="1">INDEX(Companies!$A:$A,RANDBETWEEN(2,COUNTA(Companies!$A:$A)),1)</f>
        <v>2</v>
      </c>
      <c r="B1363" s="5">
        <f t="shared" si="253"/>
        <v>1362</v>
      </c>
      <c r="C1363" s="6">
        <f t="shared" ca="1" si="254"/>
        <v>1</v>
      </c>
      <c r="D1363" s="7">
        <f ca="1">IF($B1363 = 1 + N("Presidente"),
    127,
    IF($B1363 = 2 + N("Vice-Presidente"),
        72,
        IF($B1363 = 3 + N("Secretária bilíngue"),
            13,
            RANDBETWEEN(5,COUNT(Name!$A:$A) + 1)
        )
    )
)</f>
        <v>177</v>
      </c>
      <c r="E1363" s="7" t="str">
        <f ca="1" xml:space="preserve">
VLOOKUP(
  $D1363,
  Name!$A:$B,
  2,
  FALSE
)
&amp; " " &amp;
IF($B1363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Isabelly Ricci Alvarenga</v>
      </c>
      <c r="F1363" s="7">
        <v>2</v>
      </c>
      <c r="G1363" s="7" cm="1">
        <f t="array" aca="1" ref="G1363" ca="1">INDEX(States!$B:$B,RANDBETWEEN(2,COUNTA(States!$A:$A)),1)</f>
        <v>20</v>
      </c>
      <c r="H1363" s="7" t="str">
        <f ca="1">VLOOKUP($D1363,Name!$A:$C,3,FALSE)</f>
        <v>F</v>
      </c>
      <c r="I1363" s="7" cm="1">
        <f t="array" aca="1" ref="I1363" ca="1">INDEX('Marital status'!$A:$A,RANDBETWEEN(2,COUNTA('Marital status'!$A:$A)),1)</f>
        <v>6</v>
      </c>
      <c r="J1363" s="7">
        <f t="shared" ca="1" si="255"/>
        <v>2</v>
      </c>
      <c r="K1363" s="8">
        <f t="shared" ca="1" si="256"/>
        <v>33751</v>
      </c>
      <c r="L1363" s="6">
        <f t="shared" ca="1" si="257"/>
        <v>4</v>
      </c>
      <c r="M1363" s="7">
        <f ca="1" xml:space="preserve">
  IF(OR($N1363 = 2, $N1363 = 3, $N1363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363" s="6">
        <f t="shared" ca="1" si="258"/>
        <v>8</v>
      </c>
      <c r="O1363" s="6">
        <f t="shared" ca="1" si="259"/>
        <v>2</v>
      </c>
      <c r="P1363" s="8">
        <f t="shared" ca="1" si="260"/>
        <v>36740</v>
      </c>
      <c r="Q1363" s="6">
        <f ca="1">RANDBETWEEN(2,COUNTA('Recruitment source'!$A:$A))</f>
        <v>9</v>
      </c>
      <c r="R1363" s="8" t="e">
        <f t="shared" ca="1" si="261"/>
        <v>#N/A</v>
      </c>
      <c r="S1363" s="6" t="e">
        <f t="shared" ca="1" si="262"/>
        <v>#N/A</v>
      </c>
      <c r="T1363" s="6">
        <f t="shared" ca="1" si="252"/>
        <v>3</v>
      </c>
      <c r="U1363" s="1">
        <f t="shared" ca="1" si="263"/>
        <v>2000</v>
      </c>
    </row>
    <row r="1364" spans="1:21" x14ac:dyDescent="0.2">
      <c r="A1364" s="7" cm="1">
        <f t="array" aca="1" ref="A1364" ca="1">INDEX(Companies!$A:$A,RANDBETWEEN(2,COUNTA(Companies!$A:$A)),1)</f>
        <v>2</v>
      </c>
      <c r="B1364" s="5">
        <f t="shared" si="253"/>
        <v>1363</v>
      </c>
      <c r="C1364" s="6">
        <f t="shared" ca="1" si="254"/>
        <v>1</v>
      </c>
      <c r="D1364" s="7">
        <f ca="1">IF($B1364 = 1 + N("Presidente"),
    127,
    IF($B1364 = 2 + N("Vice-Presidente"),
        72,
        IF($B1364 = 3 + N("Secretária bilíngue"),
            13,
            RANDBETWEEN(5,COUNT(Name!$A:$A) + 1)
        )
    )
)</f>
        <v>138</v>
      </c>
      <c r="E1364" s="7" t="str">
        <f ca="1" xml:space="preserve">
VLOOKUP(
  $D1364,
  Name!$A:$B,
  2,
  FALSE
)
&amp; " " &amp;
IF($B1364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Dantas Rossi</v>
      </c>
      <c r="F1364" s="7">
        <v>2</v>
      </c>
      <c r="G1364" s="7" cm="1">
        <f t="array" aca="1" ref="G1364" ca="1">INDEX(States!$B:$B,RANDBETWEEN(2,COUNTA(States!$A:$A)),1)</f>
        <v>8</v>
      </c>
      <c r="H1364" s="7" t="str">
        <f ca="1">VLOOKUP($D1364,Name!$A:$C,3,FALSE)</f>
        <v>M</v>
      </c>
      <c r="I1364" s="7" cm="1">
        <f t="array" aca="1" ref="I1364" ca="1">INDEX('Marital status'!$A:$A,RANDBETWEEN(2,COUNTA('Marital status'!$A:$A)),1)</f>
        <v>2</v>
      </c>
      <c r="J1364" s="7">
        <f t="shared" ca="1" si="255"/>
        <v>4</v>
      </c>
      <c r="K1364" s="8">
        <f t="shared" ca="1" si="256"/>
        <v>29367</v>
      </c>
      <c r="L1364" s="6">
        <f t="shared" ca="1" si="257"/>
        <v>4</v>
      </c>
      <c r="M1364" s="7">
        <f ca="1" xml:space="preserve">
  IF(OR($N1364 = 2, $N1364 = 3, $N1364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364" s="6">
        <f t="shared" ca="1" si="258"/>
        <v>7</v>
      </c>
      <c r="O1364" s="6" t="e">
        <f t="shared" ca="1" si="259"/>
        <v>#N/A</v>
      </c>
      <c r="P1364" s="8">
        <f t="shared" ca="1" si="260"/>
        <v>42440</v>
      </c>
      <c r="Q1364" s="6">
        <f ca="1">RANDBETWEEN(2,COUNTA('Recruitment source'!$A:$A))</f>
        <v>9</v>
      </c>
      <c r="R1364" s="8" t="e">
        <f t="shared" ca="1" si="261"/>
        <v>#N/A</v>
      </c>
      <c r="S1364" s="6" t="e">
        <f t="shared" ca="1" si="262"/>
        <v>#N/A</v>
      </c>
      <c r="T1364" s="6">
        <f t="shared" ca="1" si="252"/>
        <v>5</v>
      </c>
      <c r="U1364" s="1">
        <f t="shared" ca="1" si="263"/>
        <v>1005</v>
      </c>
    </row>
    <row r="1365" spans="1:21" x14ac:dyDescent="0.2">
      <c r="A1365" s="7" cm="1">
        <f t="array" aca="1" ref="A1365" ca="1">INDEX(Companies!$A:$A,RANDBETWEEN(2,COUNTA(Companies!$A:$A)),1)</f>
        <v>2</v>
      </c>
      <c r="B1365" s="5">
        <f t="shared" si="253"/>
        <v>1364</v>
      </c>
      <c r="C1365" s="6">
        <f t="shared" ca="1" si="254"/>
        <v>1</v>
      </c>
      <c r="D1365" s="7">
        <f ca="1">IF($B1365 = 1 + N("Presidente"),
    127,
    IF($B1365 = 2 + N("Vice-Presidente"),
        72,
        IF($B1365 = 3 + N("Secretária bilíngue"),
            13,
            RANDBETWEEN(5,COUNT(Name!$A:$A) + 1)
        )
    )
)</f>
        <v>103</v>
      </c>
      <c r="E1365" s="7" t="str">
        <f ca="1" xml:space="preserve">
VLOOKUP(
  $D1365,
  Name!$A:$B,
  2,
  FALSE
)
&amp; " " &amp;
IF($B1365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Danniel Martins Duarte</v>
      </c>
      <c r="F1365" s="7">
        <v>2</v>
      </c>
      <c r="G1365" s="7" cm="1">
        <f t="array" aca="1" ref="G1365" ca="1">INDEX(States!$B:$B,RANDBETWEEN(2,COUNTA(States!$A:$A)),1)</f>
        <v>10</v>
      </c>
      <c r="H1365" s="7" t="str">
        <f ca="1">VLOOKUP($D1365,Name!$A:$C,3,FALSE)</f>
        <v>M</v>
      </c>
      <c r="I1365" s="7" cm="1">
        <f t="array" aca="1" ref="I1365" ca="1">INDEX('Marital status'!$A:$A,RANDBETWEEN(2,COUNTA('Marital status'!$A:$A)),1)</f>
        <v>4</v>
      </c>
      <c r="J1365" s="7">
        <f t="shared" ca="1" si="255"/>
        <v>3</v>
      </c>
      <c r="K1365" s="8">
        <f t="shared" ca="1" si="256"/>
        <v>35432</v>
      </c>
      <c r="L1365" s="6">
        <f t="shared" ca="1" si="257"/>
        <v>4</v>
      </c>
      <c r="M1365" s="7">
        <f ca="1" xml:space="preserve">
  IF(OR($N1365 = 2, $N1365 = 3, $N1365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365" s="6">
        <f t="shared" ca="1" si="258"/>
        <v>8</v>
      </c>
      <c r="O1365" s="6">
        <f t="shared" ca="1" si="259"/>
        <v>4</v>
      </c>
      <c r="P1365" s="8">
        <f t="shared" ca="1" si="260"/>
        <v>42853</v>
      </c>
      <c r="Q1365" s="6">
        <f ca="1">RANDBETWEEN(2,COUNTA('Recruitment source'!$A:$A))</f>
        <v>6</v>
      </c>
      <c r="R1365" s="8" t="e">
        <f t="shared" ca="1" si="261"/>
        <v>#N/A</v>
      </c>
      <c r="S1365" s="6" t="e">
        <f t="shared" ca="1" si="262"/>
        <v>#N/A</v>
      </c>
      <c r="T1365" s="6">
        <f t="shared" ca="1" si="252"/>
        <v>2</v>
      </c>
      <c r="U1365" s="1">
        <f t="shared" ca="1" si="263"/>
        <v>2000</v>
      </c>
    </row>
    <row r="1366" spans="1:21" x14ac:dyDescent="0.2">
      <c r="A1366" s="7" cm="1">
        <f t="array" aca="1" ref="A1366" ca="1">INDEX(Companies!$A:$A,RANDBETWEEN(2,COUNTA(Companies!$A:$A)),1)</f>
        <v>2</v>
      </c>
      <c r="B1366" s="5">
        <f t="shared" si="253"/>
        <v>1365</v>
      </c>
      <c r="C1366" s="6">
        <f t="shared" ca="1" si="254"/>
        <v>1</v>
      </c>
      <c r="D1366" s="7">
        <f ca="1">IF($B1366 = 1 + N("Presidente"),
    127,
    IF($B1366 = 2 + N("Vice-Presidente"),
        72,
        IF($B1366 = 3 + N("Secretária bilíngue"),
            13,
            RANDBETWEEN(5,COUNT(Name!$A:$A) + 1)
        )
    )
)</f>
        <v>137</v>
      </c>
      <c r="E1366" s="7" t="str">
        <f ca="1" xml:space="preserve">
VLOOKUP(
  $D1366,
  Name!$A:$B,
  2,
  FALSE
)
&amp; " " &amp;
IF($B1366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Fernanda Ildelfonso Albuquerque</v>
      </c>
      <c r="F1366" s="7">
        <v>2</v>
      </c>
      <c r="G1366" s="7" cm="1">
        <f t="array" aca="1" ref="G1366" ca="1">INDEX(States!$B:$B,RANDBETWEEN(2,COUNTA(States!$A:$A)),1)</f>
        <v>10</v>
      </c>
      <c r="H1366" s="7" t="str">
        <f ca="1">VLOOKUP($D1366,Name!$A:$C,3,FALSE)</f>
        <v>F</v>
      </c>
      <c r="I1366" s="7" cm="1">
        <f t="array" aca="1" ref="I1366" ca="1">INDEX('Marital status'!$A:$A,RANDBETWEEN(2,COUNTA('Marital status'!$A:$A)),1)</f>
        <v>5</v>
      </c>
      <c r="J1366" s="7">
        <f t="shared" ca="1" si="255"/>
        <v>2</v>
      </c>
      <c r="K1366" s="8">
        <f t="shared" ca="1" si="256"/>
        <v>24306</v>
      </c>
      <c r="L1366" s="6">
        <f t="shared" ca="1" si="257"/>
        <v>4</v>
      </c>
      <c r="M1366" s="7">
        <f ca="1" xml:space="preserve">
  IF(OR($N1366 = 2, $N1366 = 3, $N1366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366" s="6">
        <f t="shared" ca="1" si="258"/>
        <v>6</v>
      </c>
      <c r="O1366" s="6" t="e">
        <f t="shared" ca="1" si="259"/>
        <v>#N/A</v>
      </c>
      <c r="P1366" s="8">
        <f t="shared" ca="1" si="260"/>
        <v>39601</v>
      </c>
      <c r="Q1366" s="6">
        <f ca="1">RANDBETWEEN(2,COUNTA('Recruitment source'!$A:$A))</f>
        <v>12</v>
      </c>
      <c r="R1366" s="8" t="e">
        <f t="shared" ca="1" si="261"/>
        <v>#N/A</v>
      </c>
      <c r="S1366" s="6" t="e">
        <f t="shared" ca="1" si="262"/>
        <v>#N/A</v>
      </c>
      <c r="T1366" s="6">
        <f t="shared" ca="1" si="252"/>
        <v>4</v>
      </c>
      <c r="U1366" s="1">
        <f t="shared" ca="1" si="263"/>
        <v>805</v>
      </c>
    </row>
    <row r="1367" spans="1:21" x14ac:dyDescent="0.2">
      <c r="A1367" s="7" cm="1">
        <f t="array" aca="1" ref="A1367" ca="1">INDEX(Companies!$A:$A,RANDBETWEEN(2,COUNTA(Companies!$A:$A)),1)</f>
        <v>2</v>
      </c>
      <c r="B1367" s="5">
        <f t="shared" si="253"/>
        <v>1366</v>
      </c>
      <c r="C1367" s="6">
        <f t="shared" ca="1" si="254"/>
        <v>1</v>
      </c>
      <c r="D1367" s="7">
        <f ca="1">IF($B1367 = 1 + N("Presidente"),
    127,
    IF($B1367 = 2 + N("Vice-Presidente"),
        72,
        IF($B1367 = 3 + N("Secretária bilíngue"),
            13,
            RANDBETWEEN(5,COUNT(Name!$A:$A) + 1)
        )
    )
)</f>
        <v>124</v>
      </c>
      <c r="E1367" s="7" t="str">
        <f ca="1" xml:space="preserve">
VLOOKUP(
  $D1367,
  Name!$A:$B,
  2,
  FALSE
)
&amp; " " &amp;
IF($B1367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Emilly Nascimento Reis</v>
      </c>
      <c r="F1367" s="7">
        <v>2</v>
      </c>
      <c r="G1367" s="7" cm="1">
        <f t="array" aca="1" ref="G1367" ca="1">INDEX(States!$B:$B,RANDBETWEEN(2,COUNTA(States!$A:$A)),1)</f>
        <v>20</v>
      </c>
      <c r="H1367" s="7" t="str">
        <f ca="1">VLOOKUP($D1367,Name!$A:$C,3,FALSE)</f>
        <v>F</v>
      </c>
      <c r="I1367" s="7" cm="1">
        <f t="array" aca="1" ref="I1367" ca="1">INDEX('Marital status'!$A:$A,RANDBETWEEN(2,COUNTA('Marital status'!$A:$A)),1)</f>
        <v>4</v>
      </c>
      <c r="J1367" s="7">
        <f t="shared" ca="1" si="255"/>
        <v>2</v>
      </c>
      <c r="K1367" s="8">
        <f t="shared" ca="1" si="256"/>
        <v>34067</v>
      </c>
      <c r="L1367" s="6">
        <f t="shared" ca="1" si="257"/>
        <v>4</v>
      </c>
      <c r="M1367" s="7">
        <f ca="1" xml:space="preserve">
  IF(OR($N1367 = 2, $N1367 = 3, $N1367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367" s="6">
        <f t="shared" ca="1" si="258"/>
        <v>8</v>
      </c>
      <c r="O1367" s="6">
        <f t="shared" ca="1" si="259"/>
        <v>3</v>
      </c>
      <c r="P1367" s="8">
        <f t="shared" ca="1" si="260"/>
        <v>41439</v>
      </c>
      <c r="Q1367" s="6">
        <f ca="1">RANDBETWEEN(2,COUNTA('Recruitment source'!$A:$A))</f>
        <v>5</v>
      </c>
      <c r="R1367" s="8" t="e">
        <f t="shared" ca="1" si="261"/>
        <v>#N/A</v>
      </c>
      <c r="S1367" s="6" t="e">
        <f t="shared" ca="1" si="262"/>
        <v>#N/A</v>
      </c>
      <c r="T1367" s="6">
        <f t="shared" ca="1" si="252"/>
        <v>3</v>
      </c>
      <c r="U1367" s="1">
        <f t="shared" ca="1" si="263"/>
        <v>2050</v>
      </c>
    </row>
    <row r="1368" spans="1:21" x14ac:dyDescent="0.2">
      <c r="A1368" s="7" cm="1">
        <f t="array" aca="1" ref="A1368" ca="1">INDEX(Companies!$A:$A,RANDBETWEEN(2,COUNTA(Companies!$A:$A)),1)</f>
        <v>2</v>
      </c>
      <c r="B1368" s="5">
        <f t="shared" si="253"/>
        <v>1367</v>
      </c>
      <c r="C1368" s="6">
        <f t="shared" ca="1" si="254"/>
        <v>1</v>
      </c>
      <c r="D1368" s="7">
        <f ca="1">IF($B1368 = 1 + N("Presidente"),
    127,
    IF($B1368 = 2 + N("Vice-Presidente"),
        72,
        IF($B1368 = 3 + N("Secretária bilíngue"),
            13,
            RANDBETWEEN(5,COUNT(Name!$A:$A) + 1)
        )
    )
)</f>
        <v>25</v>
      </c>
      <c r="E1368" s="7" t="str">
        <f ca="1" xml:space="preserve">
VLOOKUP(
  $D1368,
  Name!$A:$B,
  2,
  FALSE
)
&amp; " " &amp;
IF($B1368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Monti Pellegrini</v>
      </c>
      <c r="F1368" s="7">
        <v>2</v>
      </c>
      <c r="G1368" s="7" cm="1">
        <f t="array" aca="1" ref="G1368" ca="1">INDEX(States!$B:$B,RANDBETWEEN(2,COUNTA(States!$A:$A)),1)</f>
        <v>3</v>
      </c>
      <c r="H1368" s="7" t="str">
        <f ca="1">VLOOKUP($D1368,Name!$A:$C,3,FALSE)</f>
        <v>F</v>
      </c>
      <c r="I1368" s="7" cm="1">
        <f t="array" aca="1" ref="I1368" ca="1">INDEX('Marital status'!$A:$A,RANDBETWEEN(2,COUNTA('Marital status'!$A:$A)),1)</f>
        <v>4</v>
      </c>
      <c r="J1368" s="7">
        <f t="shared" ca="1" si="255"/>
        <v>5</v>
      </c>
      <c r="K1368" s="8">
        <f t="shared" ca="1" si="256"/>
        <v>30825</v>
      </c>
      <c r="L1368" s="6">
        <f t="shared" ca="1" si="257"/>
        <v>4</v>
      </c>
      <c r="M1368" s="7">
        <f ca="1" xml:space="preserve">
  IF(OR($N1368 = 2, $N1368 = 3, $N1368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368" s="6">
        <f t="shared" ca="1" si="258"/>
        <v>7</v>
      </c>
      <c r="O1368" s="6" t="e">
        <f t="shared" ca="1" si="259"/>
        <v>#N/A</v>
      </c>
      <c r="P1368" s="8">
        <f t="shared" ca="1" si="260"/>
        <v>39865</v>
      </c>
      <c r="Q1368" s="6">
        <f ca="1">RANDBETWEEN(2,COUNTA('Recruitment source'!$A:$A))</f>
        <v>2</v>
      </c>
      <c r="R1368" s="8" t="e">
        <f t="shared" ca="1" si="261"/>
        <v>#N/A</v>
      </c>
      <c r="S1368" s="6" t="e">
        <f t="shared" ca="1" si="262"/>
        <v>#N/A</v>
      </c>
      <c r="T1368" s="6">
        <f t="shared" ca="1" si="252"/>
        <v>4</v>
      </c>
      <c r="U1368" s="1">
        <f t="shared" ca="1" si="263"/>
        <v>1005</v>
      </c>
    </row>
    <row r="1369" spans="1:21" x14ac:dyDescent="0.2">
      <c r="A1369" s="7" cm="1">
        <f t="array" aca="1" ref="A1369" ca="1">INDEX(Companies!$A:$A,RANDBETWEEN(2,COUNTA(Companies!$A:$A)),1)</f>
        <v>2</v>
      </c>
      <c r="B1369" s="5">
        <f t="shared" si="253"/>
        <v>1368</v>
      </c>
      <c r="C1369" s="6">
        <f t="shared" ca="1" si="254"/>
        <v>1</v>
      </c>
      <c r="D1369" s="7">
        <f ca="1">IF($B1369 = 1 + N("Presidente"),
    127,
    IF($B1369 = 2 + N("Vice-Presidente"),
        72,
        IF($B1369 = 3 + N("Secretária bilíngue"),
            13,
            RANDBETWEEN(5,COUNT(Name!$A:$A) + 1)
        )
    )
)</f>
        <v>283</v>
      </c>
      <c r="E1369" s="7" t="str">
        <f ca="1" xml:space="preserve">
VLOOKUP(
  $D1369,
  Name!$A:$B,
  2,
  FALSE
)
&amp; " " &amp;
IF($B1369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Marta Borges Barboza</v>
      </c>
      <c r="F1369" s="7">
        <v>2</v>
      </c>
      <c r="G1369" s="7" cm="1">
        <f t="array" aca="1" ref="G1369" ca="1">INDEX(States!$B:$B,RANDBETWEEN(2,COUNTA(States!$A:$A)),1)</f>
        <v>7</v>
      </c>
      <c r="H1369" s="7" t="str">
        <f ca="1">VLOOKUP($D1369,Name!$A:$C,3,FALSE)</f>
        <v>F</v>
      </c>
      <c r="I1369" s="7" cm="1">
        <f t="array" aca="1" ref="I1369" ca="1">INDEX('Marital status'!$A:$A,RANDBETWEEN(2,COUNTA('Marital status'!$A:$A)),1)</f>
        <v>2</v>
      </c>
      <c r="J1369" s="7">
        <f t="shared" ca="1" si="255"/>
        <v>2</v>
      </c>
      <c r="K1369" s="8">
        <f t="shared" ca="1" si="256"/>
        <v>34314</v>
      </c>
      <c r="L1369" s="6">
        <f t="shared" ca="1" si="257"/>
        <v>4</v>
      </c>
      <c r="M1369" s="7">
        <f ca="1" xml:space="preserve">
  IF(OR($N1369 = 2, $N1369 = 3, $N1369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369" s="6">
        <f t="shared" ca="1" si="258"/>
        <v>8</v>
      </c>
      <c r="O1369" s="6">
        <f t="shared" ca="1" si="259"/>
        <v>3</v>
      </c>
      <c r="P1369" s="8">
        <f t="shared" ca="1" si="260"/>
        <v>42633</v>
      </c>
      <c r="Q1369" s="6">
        <f ca="1">RANDBETWEEN(2,COUNTA('Recruitment source'!$A:$A))</f>
        <v>4</v>
      </c>
      <c r="R1369" s="8" t="e">
        <f t="shared" ca="1" si="261"/>
        <v>#N/A</v>
      </c>
      <c r="S1369" s="6" t="e">
        <f t="shared" ca="1" si="262"/>
        <v>#N/A</v>
      </c>
      <c r="T1369" s="6">
        <f t="shared" ca="1" si="252"/>
        <v>5</v>
      </c>
      <c r="U1369" s="1">
        <f t="shared" ca="1" si="263"/>
        <v>2000</v>
      </c>
    </row>
    <row r="1370" spans="1:21" x14ac:dyDescent="0.2">
      <c r="A1370" s="7" cm="1">
        <f t="array" aca="1" ref="A1370" ca="1">INDEX(Companies!$A:$A,RANDBETWEEN(2,COUNTA(Companies!$A:$A)),1)</f>
        <v>2</v>
      </c>
      <c r="B1370" s="5">
        <f t="shared" si="253"/>
        <v>1369</v>
      </c>
      <c r="C1370" s="6">
        <f t="shared" ca="1" si="254"/>
        <v>1</v>
      </c>
      <c r="D1370" s="7">
        <f ca="1">IF($B1370 = 1 + N("Presidente"),
    127,
    IF($B1370 = 2 + N("Vice-Presidente"),
        72,
        IF($B1370 = 3 + N("Secretária bilíngue"),
            13,
            RANDBETWEEN(5,COUNT(Name!$A:$A) + 1)
        )
    )
)</f>
        <v>9</v>
      </c>
      <c r="E1370" s="7" t="str">
        <f ca="1" xml:space="preserve">
VLOOKUP(
  $D1370,
  Name!$A:$B,
  2,
  FALSE
)
&amp; " " &amp;
IF($B1370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Adélio Ribeiro Pimentel</v>
      </c>
      <c r="F1370" s="7">
        <v>2</v>
      </c>
      <c r="G1370" s="7" cm="1">
        <f t="array" aca="1" ref="G1370" ca="1">INDEX(States!$B:$B,RANDBETWEEN(2,COUNTA(States!$A:$A)),1)</f>
        <v>13</v>
      </c>
      <c r="H1370" s="7" t="str">
        <f ca="1">VLOOKUP($D1370,Name!$A:$C,3,FALSE)</f>
        <v>M</v>
      </c>
      <c r="I1370" s="7" cm="1">
        <f t="array" aca="1" ref="I1370" ca="1">INDEX('Marital status'!$A:$A,RANDBETWEEN(2,COUNTA('Marital status'!$A:$A)),1)</f>
        <v>2</v>
      </c>
      <c r="J1370" s="7">
        <f t="shared" ca="1" si="255"/>
        <v>2</v>
      </c>
      <c r="K1370" s="8">
        <f t="shared" ca="1" si="256"/>
        <v>31238</v>
      </c>
      <c r="L1370" s="6">
        <f t="shared" ca="1" si="257"/>
        <v>4</v>
      </c>
      <c r="M1370" s="7">
        <f ca="1" xml:space="preserve">
  IF(OR($N1370 = 2, $N1370 = 3, $N1370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370" s="6">
        <f t="shared" ca="1" si="258"/>
        <v>7</v>
      </c>
      <c r="O1370" s="6" t="e">
        <f t="shared" ca="1" si="259"/>
        <v>#N/A</v>
      </c>
      <c r="P1370" s="8">
        <f t="shared" ca="1" si="260"/>
        <v>43050</v>
      </c>
      <c r="Q1370" s="6">
        <f ca="1">RANDBETWEEN(2,COUNTA('Recruitment source'!$A:$A))</f>
        <v>5</v>
      </c>
      <c r="R1370" s="8" t="e">
        <f t="shared" ca="1" si="261"/>
        <v>#N/A</v>
      </c>
      <c r="S1370" s="6" t="e">
        <f t="shared" ca="1" si="262"/>
        <v>#N/A</v>
      </c>
      <c r="T1370" s="6">
        <f t="shared" ca="1" si="252"/>
        <v>3</v>
      </c>
      <c r="U1370" s="1">
        <f t="shared" ca="1" si="263"/>
        <v>1005</v>
      </c>
    </row>
    <row r="1371" spans="1:21" x14ac:dyDescent="0.2">
      <c r="A1371" s="7" cm="1">
        <f t="array" aca="1" ref="A1371" ca="1">INDEX(Companies!$A:$A,RANDBETWEEN(2,COUNTA(Companies!$A:$A)),1)</f>
        <v>2</v>
      </c>
      <c r="B1371" s="5">
        <f t="shared" si="253"/>
        <v>1370</v>
      </c>
      <c r="C1371" s="6">
        <f t="shared" ca="1" si="254"/>
        <v>1</v>
      </c>
      <c r="D1371" s="7">
        <f ca="1">IF($B1371 = 1 + N("Presidente"),
    127,
    IF($B1371 = 2 + N("Vice-Presidente"),
        72,
        IF($B1371 = 3 + N("Secretária bilíngue"),
            13,
            RANDBETWEEN(5,COUNT(Name!$A:$A) + 1)
        )
    )
)</f>
        <v>357</v>
      </c>
      <c r="E1371" s="7" t="str">
        <f ca="1" xml:space="preserve">
VLOOKUP(
  $D1371,
  Name!$A:$B,
  2,
  FALSE
)
&amp; " " &amp;
IF($B1371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Vinicios Esteves Morato</v>
      </c>
      <c r="F1371" s="7">
        <v>2</v>
      </c>
      <c r="G1371" s="7" cm="1">
        <f t="array" aca="1" ref="G1371" ca="1">INDEX(States!$B:$B,RANDBETWEEN(2,COUNTA(States!$A:$A)),1)</f>
        <v>21</v>
      </c>
      <c r="H1371" s="7" t="str">
        <f ca="1">VLOOKUP($D1371,Name!$A:$C,3,FALSE)</f>
        <v>M</v>
      </c>
      <c r="I1371" s="7" cm="1">
        <f t="array" aca="1" ref="I1371" ca="1">INDEX('Marital status'!$A:$A,RANDBETWEEN(2,COUNTA('Marital status'!$A:$A)),1)</f>
        <v>5</v>
      </c>
      <c r="J1371" s="7">
        <f t="shared" ca="1" si="255"/>
        <v>2</v>
      </c>
      <c r="K1371" s="8">
        <f t="shared" ca="1" si="256"/>
        <v>32705</v>
      </c>
      <c r="L1371" s="6">
        <f t="shared" ca="1" si="257"/>
        <v>5</v>
      </c>
      <c r="M1371" s="7">
        <f ca="1" xml:space="preserve">
  IF(OR($N1371 = 2, $N1371 = 3, $N1371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371" s="6">
        <f t="shared" ca="1" si="258"/>
        <v>8</v>
      </c>
      <c r="O1371" s="6">
        <f t="shared" ca="1" si="259"/>
        <v>4</v>
      </c>
      <c r="P1371" s="8">
        <f t="shared" ca="1" si="260"/>
        <v>40684</v>
      </c>
      <c r="Q1371" s="6">
        <f ca="1">RANDBETWEEN(2,COUNTA('Recruitment source'!$A:$A))</f>
        <v>2</v>
      </c>
      <c r="R1371" s="8" t="e">
        <f t="shared" ca="1" si="261"/>
        <v>#N/A</v>
      </c>
      <c r="S1371" s="6" t="e">
        <f t="shared" ca="1" si="262"/>
        <v>#N/A</v>
      </c>
      <c r="T1371" s="6">
        <f t="shared" ca="1" si="252"/>
        <v>2</v>
      </c>
      <c r="U1371" s="1">
        <f t="shared" ca="1" si="263"/>
        <v>2000</v>
      </c>
    </row>
    <row r="1372" spans="1:21" x14ac:dyDescent="0.2">
      <c r="A1372" s="7" cm="1">
        <f t="array" aca="1" ref="A1372" ca="1">INDEX(Companies!$A:$A,RANDBETWEEN(2,COUNTA(Companies!$A:$A)),1)</f>
        <v>2</v>
      </c>
      <c r="B1372" s="5">
        <f t="shared" si="253"/>
        <v>1371</v>
      </c>
      <c r="C1372" s="6">
        <f t="shared" ca="1" si="254"/>
        <v>1</v>
      </c>
      <c r="D1372" s="7">
        <f ca="1">IF($B1372 = 1 + N("Presidente"),
    127,
    IF($B1372 = 2 + N("Vice-Presidente"),
        72,
        IF($B1372 = 3 + N("Secretária bilíngue"),
            13,
            RANDBETWEEN(5,COUNT(Name!$A:$A) + 1)
        )
    )
)</f>
        <v>203</v>
      </c>
      <c r="E1372" s="7" t="str">
        <f ca="1" xml:space="preserve">
VLOOKUP(
  $D1372,
  Name!$A:$B,
  2,
  FALSE
)
&amp; " " &amp;
IF($B1372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Juliana Souza Leite</v>
      </c>
      <c r="F1372" s="7">
        <v>2</v>
      </c>
      <c r="G1372" s="7" cm="1">
        <f t="array" aca="1" ref="G1372" ca="1">INDEX(States!$B:$B,RANDBETWEEN(2,COUNTA(States!$A:$A)),1)</f>
        <v>5</v>
      </c>
      <c r="H1372" s="7" t="str">
        <f ca="1">VLOOKUP($D1372,Name!$A:$C,3,FALSE)</f>
        <v>F</v>
      </c>
      <c r="I1372" s="7" cm="1">
        <f t="array" aca="1" ref="I1372" ca="1">INDEX('Marital status'!$A:$A,RANDBETWEEN(2,COUNTA('Marital status'!$A:$A)),1)</f>
        <v>3</v>
      </c>
      <c r="J1372" s="7">
        <f t="shared" ca="1" si="255"/>
        <v>3</v>
      </c>
      <c r="K1372" s="8">
        <f t="shared" ca="1" si="256"/>
        <v>35574</v>
      </c>
      <c r="L1372" s="6">
        <f t="shared" ca="1" si="257"/>
        <v>4</v>
      </c>
      <c r="M1372" s="7">
        <f ca="1" xml:space="preserve">
  IF(OR($N1372 = 2, $N1372 = 3, $N1372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372" s="6">
        <f t="shared" ca="1" si="258"/>
        <v>7</v>
      </c>
      <c r="O1372" s="6" t="e">
        <f t="shared" ca="1" si="259"/>
        <v>#N/A</v>
      </c>
      <c r="P1372" s="8">
        <f t="shared" ca="1" si="260"/>
        <v>39434</v>
      </c>
      <c r="Q1372" s="6">
        <f ca="1">RANDBETWEEN(2,COUNTA('Recruitment source'!$A:$A))</f>
        <v>11</v>
      </c>
      <c r="R1372" s="8" t="e">
        <f t="shared" ca="1" si="261"/>
        <v>#N/A</v>
      </c>
      <c r="S1372" s="6" t="e">
        <f t="shared" ca="1" si="262"/>
        <v>#N/A</v>
      </c>
      <c r="T1372" s="6">
        <f t="shared" ca="1" si="252"/>
        <v>5</v>
      </c>
      <c r="U1372" s="1">
        <f t="shared" ca="1" si="263"/>
        <v>1005</v>
      </c>
    </row>
    <row r="1373" spans="1:21" x14ac:dyDescent="0.2">
      <c r="A1373" s="7" cm="1">
        <f t="array" aca="1" ref="A1373" ca="1">INDEX(Companies!$A:$A,RANDBETWEEN(2,COUNTA(Companies!$A:$A)),1)</f>
        <v>2</v>
      </c>
      <c r="B1373" s="5">
        <f t="shared" si="253"/>
        <v>1372</v>
      </c>
      <c r="C1373" s="6">
        <f t="shared" ca="1" si="254"/>
        <v>1</v>
      </c>
      <c r="D1373" s="7">
        <f ca="1">IF($B1373 = 1 + N("Presidente"),
    127,
    IF($B1373 = 2 + N("Vice-Presidente"),
        72,
        IF($B1373 = 3 + N("Secretária bilíngue"),
            13,
            RANDBETWEEN(5,COUNT(Name!$A:$A) + 1)
        )
    )
)</f>
        <v>37</v>
      </c>
      <c r="E1373" s="7" t="str">
        <f ca="1" xml:space="preserve">
VLOOKUP(
  $D1373,
  Name!$A:$B,
  2,
  FALSE
)
&amp; " " &amp;
IF($B1373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Vitória Borba Colombo</v>
      </c>
      <c r="F1373" s="7">
        <v>2</v>
      </c>
      <c r="G1373" s="7" cm="1">
        <f t="array" aca="1" ref="G1373" ca="1">INDEX(States!$B:$B,RANDBETWEEN(2,COUNTA(States!$A:$A)),1)</f>
        <v>14</v>
      </c>
      <c r="H1373" s="7" t="str">
        <f ca="1">VLOOKUP($D1373,Name!$A:$C,3,FALSE)</f>
        <v>F</v>
      </c>
      <c r="I1373" s="7" cm="1">
        <f t="array" aca="1" ref="I1373" ca="1">INDEX('Marital status'!$A:$A,RANDBETWEEN(2,COUNTA('Marital status'!$A:$A)),1)</f>
        <v>3</v>
      </c>
      <c r="J1373" s="7">
        <f t="shared" ca="1" si="255"/>
        <v>2</v>
      </c>
      <c r="K1373" s="8">
        <f t="shared" ca="1" si="256"/>
        <v>37653</v>
      </c>
      <c r="L1373" s="6">
        <f t="shared" ca="1" si="257"/>
        <v>4</v>
      </c>
      <c r="M1373" s="7">
        <f ca="1" xml:space="preserve">
  IF(OR($N1373 = 2, $N1373 = 3, $N1373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373" s="6">
        <f t="shared" ca="1" si="258"/>
        <v>8</v>
      </c>
      <c r="O1373" s="6">
        <f t="shared" ca="1" si="259"/>
        <v>2</v>
      </c>
      <c r="P1373" s="8">
        <f t="shared" ca="1" si="260"/>
        <v>36702</v>
      </c>
      <c r="Q1373" s="6">
        <f ca="1">RANDBETWEEN(2,COUNTA('Recruitment source'!$A:$A))</f>
        <v>3</v>
      </c>
      <c r="R1373" s="8" t="e">
        <f t="shared" ca="1" si="261"/>
        <v>#N/A</v>
      </c>
      <c r="S1373" s="6" t="e">
        <f t="shared" ca="1" si="262"/>
        <v>#N/A</v>
      </c>
      <c r="T1373" s="6">
        <f t="shared" ca="1" si="252"/>
        <v>5</v>
      </c>
      <c r="U1373" s="1">
        <f t="shared" ca="1" si="263"/>
        <v>2000</v>
      </c>
    </row>
    <row r="1374" spans="1:21" x14ac:dyDescent="0.2">
      <c r="A1374" s="7" cm="1">
        <f t="array" aca="1" ref="A1374" ca="1">INDEX(Companies!$A:$A,RANDBETWEEN(2,COUNTA(Companies!$A:$A)),1)</f>
        <v>2</v>
      </c>
      <c r="B1374" s="5">
        <f t="shared" si="253"/>
        <v>1373</v>
      </c>
      <c r="C1374" s="6">
        <f t="shared" ca="1" si="254"/>
        <v>1</v>
      </c>
      <c r="D1374" s="7">
        <f ca="1">IF($B1374 = 1 + N("Presidente"),
    127,
    IF($B1374 = 2 + N("Vice-Presidente"),
        72,
        IF($B1374 = 3 + N("Secretária bilíngue"),
            13,
            RANDBETWEEN(5,COUNT(Name!$A:$A) + 1)
        )
    )
)</f>
        <v>72</v>
      </c>
      <c r="E1374" s="7" t="str">
        <f ca="1" xml:space="preserve">
VLOOKUP(
  $D1374,
  Name!$A:$B,
  2,
  FALSE
)
&amp; " " &amp;
IF($B1374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Bernnardo Barreto Farias</v>
      </c>
      <c r="F1374" s="7">
        <v>2</v>
      </c>
      <c r="G1374" s="7" cm="1">
        <f t="array" aca="1" ref="G1374" ca="1">INDEX(States!$B:$B,RANDBETWEEN(2,COUNTA(States!$A:$A)),1)</f>
        <v>20</v>
      </c>
      <c r="H1374" s="7" t="str">
        <f ca="1">VLOOKUP($D1374,Name!$A:$C,3,FALSE)</f>
        <v>M</v>
      </c>
      <c r="I1374" s="7" cm="1">
        <f t="array" aca="1" ref="I1374" ca="1">INDEX('Marital status'!$A:$A,RANDBETWEEN(2,COUNTA('Marital status'!$A:$A)),1)</f>
        <v>4</v>
      </c>
      <c r="J1374" s="7">
        <f t="shared" ca="1" si="255"/>
        <v>2</v>
      </c>
      <c r="K1374" s="8">
        <f t="shared" ca="1" si="256"/>
        <v>32558</v>
      </c>
      <c r="L1374" s="6">
        <f t="shared" ca="1" si="257"/>
        <v>4</v>
      </c>
      <c r="M1374" s="7">
        <f ca="1" xml:space="preserve">
  IF(OR($N1374 = 2, $N1374 = 3, $N1374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374" s="6">
        <f t="shared" ca="1" si="258"/>
        <v>7</v>
      </c>
      <c r="O1374" s="6" t="e">
        <f t="shared" ca="1" si="259"/>
        <v>#N/A</v>
      </c>
      <c r="P1374" s="8">
        <f t="shared" ca="1" si="260"/>
        <v>44719</v>
      </c>
      <c r="Q1374" s="6">
        <f ca="1">RANDBETWEEN(2,COUNTA('Recruitment source'!$A:$A))</f>
        <v>10</v>
      </c>
      <c r="R1374" s="8" t="e">
        <f t="shared" ca="1" si="261"/>
        <v>#N/A</v>
      </c>
      <c r="S1374" s="6" t="e">
        <f t="shared" ca="1" si="262"/>
        <v>#N/A</v>
      </c>
      <c r="T1374" s="6">
        <f t="shared" ca="1" si="252"/>
        <v>3</v>
      </c>
      <c r="U1374" s="1">
        <f t="shared" ca="1" si="263"/>
        <v>1005</v>
      </c>
    </row>
    <row r="1375" spans="1:21" x14ac:dyDescent="0.2">
      <c r="A1375" s="7" cm="1">
        <f t="array" aca="1" ref="A1375" ca="1">INDEX(Companies!$A:$A,RANDBETWEEN(2,COUNTA(Companies!$A:$A)),1)</f>
        <v>2</v>
      </c>
      <c r="B1375" s="5">
        <f t="shared" si="253"/>
        <v>1374</v>
      </c>
      <c r="C1375" s="6">
        <f t="shared" ca="1" si="254"/>
        <v>1</v>
      </c>
      <c r="D1375" s="7">
        <f ca="1">IF($B1375 = 1 + N("Presidente"),
    127,
    IF($B1375 = 2 + N("Vice-Presidente"),
        72,
        IF($B1375 = 3 + N("Secretária bilíngue"),
            13,
            RANDBETWEEN(5,COUNT(Name!$A:$A) + 1)
        )
    )
)</f>
        <v>51</v>
      </c>
      <c r="E1375" s="7" t="str">
        <f ca="1" xml:space="preserve">
VLOOKUP(
  $D1375,
  Name!$A:$B,
  2,
  FALSE
)
&amp; " " &amp;
IF($B1375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Antônia Brasil Saragoça</v>
      </c>
      <c r="F1375" s="7">
        <v>2</v>
      </c>
      <c r="G1375" s="7" cm="1">
        <f t="array" aca="1" ref="G1375" ca="1">INDEX(States!$B:$B,RANDBETWEEN(2,COUNTA(States!$A:$A)),1)</f>
        <v>13</v>
      </c>
      <c r="H1375" s="7" t="str">
        <f ca="1">VLOOKUP($D1375,Name!$A:$C,3,FALSE)</f>
        <v>F</v>
      </c>
      <c r="I1375" s="7" cm="1">
        <f t="array" aca="1" ref="I1375" ca="1">INDEX('Marital status'!$A:$A,RANDBETWEEN(2,COUNTA('Marital status'!$A:$A)),1)</f>
        <v>5</v>
      </c>
      <c r="J1375" s="7">
        <f t="shared" ca="1" si="255"/>
        <v>4</v>
      </c>
      <c r="K1375" s="8">
        <f t="shared" ca="1" si="256"/>
        <v>33189</v>
      </c>
      <c r="L1375" s="6">
        <f t="shared" ca="1" si="257"/>
        <v>4</v>
      </c>
      <c r="M1375" s="7">
        <f ca="1" xml:space="preserve">
  IF(OR($N1375 = 2, $N1375 = 3, $N1375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375" s="6">
        <f t="shared" ca="1" si="258"/>
        <v>8</v>
      </c>
      <c r="O1375" s="6">
        <f t="shared" ca="1" si="259"/>
        <v>2</v>
      </c>
      <c r="P1375" s="8">
        <f t="shared" ca="1" si="260"/>
        <v>43027</v>
      </c>
      <c r="Q1375" s="6">
        <f ca="1">RANDBETWEEN(2,COUNTA('Recruitment source'!$A:$A))</f>
        <v>10</v>
      </c>
      <c r="R1375" s="8" t="e">
        <f t="shared" ca="1" si="261"/>
        <v>#N/A</v>
      </c>
      <c r="S1375" s="6" t="e">
        <f t="shared" ca="1" si="262"/>
        <v>#N/A</v>
      </c>
      <c r="T1375" s="6">
        <f t="shared" ca="1" si="252"/>
        <v>2</v>
      </c>
      <c r="U1375" s="1">
        <f t="shared" ca="1" si="263"/>
        <v>2080</v>
      </c>
    </row>
    <row r="1376" spans="1:21" x14ac:dyDescent="0.2">
      <c r="A1376" s="7" cm="1">
        <f t="array" aca="1" ref="A1376" ca="1">INDEX(Companies!$A:$A,RANDBETWEEN(2,COUNTA(Companies!$A:$A)),1)</f>
        <v>2</v>
      </c>
      <c r="B1376" s="5">
        <f t="shared" si="253"/>
        <v>1375</v>
      </c>
      <c r="C1376" s="6">
        <f t="shared" ca="1" si="254"/>
        <v>1</v>
      </c>
      <c r="D1376" s="7">
        <f ca="1">IF($B1376 = 1 + N("Presidente"),
    127,
    IF($B1376 = 2 + N("Vice-Presidente"),
        72,
        IF($B1376 = 3 + N("Secretária bilíngue"),
            13,
            RANDBETWEEN(5,COUNT(Name!$A:$A) + 1)
        )
    )
)</f>
        <v>31</v>
      </c>
      <c r="E1376" s="7" t="str">
        <f ca="1" xml:space="preserve">
VLOOKUP(
  $D1376,
  Name!$A:$B,
  2,
  FALSE
)
&amp; " " &amp;
IF($B1376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Júlia Duarte Ricci</v>
      </c>
      <c r="F1376" s="7">
        <v>2</v>
      </c>
      <c r="G1376" s="7" cm="1">
        <f t="array" aca="1" ref="G1376" ca="1">INDEX(States!$B:$B,RANDBETWEEN(2,COUNTA(States!$A:$A)),1)</f>
        <v>18</v>
      </c>
      <c r="H1376" s="7" t="str">
        <f ca="1">VLOOKUP($D1376,Name!$A:$C,3,FALSE)</f>
        <v>F</v>
      </c>
      <c r="I1376" s="7" cm="1">
        <f t="array" aca="1" ref="I1376" ca="1">INDEX('Marital status'!$A:$A,RANDBETWEEN(2,COUNTA('Marital status'!$A:$A)),1)</f>
        <v>4</v>
      </c>
      <c r="J1376" s="7">
        <f t="shared" ca="1" si="255"/>
        <v>2</v>
      </c>
      <c r="K1376" s="8">
        <f t="shared" ca="1" si="256"/>
        <v>29010</v>
      </c>
      <c r="L1376" s="6">
        <f t="shared" ca="1" si="257"/>
        <v>4</v>
      </c>
      <c r="M1376" s="7">
        <f ca="1" xml:space="preserve">
  IF(OR($N1376 = 2, $N1376 = 3, $N1376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376" s="6">
        <f t="shared" ca="1" si="258"/>
        <v>6</v>
      </c>
      <c r="O1376" s="6" t="e">
        <f t="shared" ca="1" si="259"/>
        <v>#N/A</v>
      </c>
      <c r="P1376" s="8">
        <f t="shared" ca="1" si="260"/>
        <v>44456</v>
      </c>
      <c r="Q1376" s="6">
        <f ca="1">RANDBETWEEN(2,COUNTA('Recruitment source'!$A:$A))</f>
        <v>10</v>
      </c>
      <c r="R1376" s="8" t="e">
        <f t="shared" ca="1" si="261"/>
        <v>#N/A</v>
      </c>
      <c r="S1376" s="6" t="e">
        <f t="shared" ca="1" si="262"/>
        <v>#N/A</v>
      </c>
      <c r="T1376" s="6">
        <f t="shared" ca="1" si="252"/>
        <v>4</v>
      </c>
      <c r="U1376" s="1">
        <f t="shared" ca="1" si="263"/>
        <v>805</v>
      </c>
    </row>
    <row r="1377" spans="1:21" x14ac:dyDescent="0.2">
      <c r="A1377" s="7" cm="1">
        <f t="array" aca="1" ref="A1377" ca="1">INDEX(Companies!$A:$A,RANDBETWEEN(2,COUNTA(Companies!$A:$A)),1)</f>
        <v>2</v>
      </c>
      <c r="B1377" s="5">
        <f t="shared" si="253"/>
        <v>1376</v>
      </c>
      <c r="C1377" s="6">
        <f t="shared" ca="1" si="254"/>
        <v>1</v>
      </c>
      <c r="D1377" s="7">
        <f ca="1">IF($B1377 = 1 + N("Presidente"),
    127,
    IF($B1377 = 2 + N("Vice-Presidente"),
        72,
        IF($B1377 = 3 + N("Secretária bilíngue"),
            13,
            RANDBETWEEN(5,COUNT(Name!$A:$A) + 1)
        )
    )
)</f>
        <v>5</v>
      </c>
      <c r="E1377" s="7" t="str">
        <f ca="1" xml:space="preserve">
VLOOKUP(
  $D1377,
  Name!$A:$B,
  2,
  FALSE
)
&amp; " " &amp;
IF($B1377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Abel Barbieri Leone</v>
      </c>
      <c r="F1377" s="7">
        <v>2</v>
      </c>
      <c r="G1377" s="7" cm="1">
        <f t="array" aca="1" ref="G1377" ca="1">INDEX(States!$B:$B,RANDBETWEEN(2,COUNTA(States!$A:$A)),1)</f>
        <v>7</v>
      </c>
      <c r="H1377" s="7" t="str">
        <f ca="1">VLOOKUP($D1377,Name!$A:$C,3,FALSE)</f>
        <v>M</v>
      </c>
      <c r="I1377" s="7" cm="1">
        <f t="array" aca="1" ref="I1377" ca="1">INDEX('Marital status'!$A:$A,RANDBETWEEN(2,COUNTA('Marital status'!$A:$A)),1)</f>
        <v>3</v>
      </c>
      <c r="J1377" s="7">
        <f t="shared" ca="1" si="255"/>
        <v>2</v>
      </c>
      <c r="K1377" s="8">
        <f t="shared" ca="1" si="256"/>
        <v>33078</v>
      </c>
      <c r="L1377" s="6">
        <f t="shared" ca="1" si="257"/>
        <v>4</v>
      </c>
      <c r="M1377" s="7">
        <f ca="1" xml:space="preserve">
  IF(OR($N1377 = 2, $N1377 = 3, $N1377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377" s="6">
        <f t="shared" ca="1" si="258"/>
        <v>8</v>
      </c>
      <c r="O1377" s="6">
        <f t="shared" ca="1" si="259"/>
        <v>3</v>
      </c>
      <c r="P1377" s="8">
        <f t="shared" ca="1" si="260"/>
        <v>42602</v>
      </c>
      <c r="Q1377" s="6">
        <f ca="1">RANDBETWEEN(2,COUNTA('Recruitment source'!$A:$A))</f>
        <v>3</v>
      </c>
      <c r="R1377" s="8" t="e">
        <f t="shared" ca="1" si="261"/>
        <v>#N/A</v>
      </c>
      <c r="S1377" s="6" t="e">
        <f t="shared" ca="1" si="262"/>
        <v>#N/A</v>
      </c>
      <c r="T1377" s="6">
        <f t="shared" ca="1" si="252"/>
        <v>5</v>
      </c>
      <c r="U1377" s="1">
        <f t="shared" ca="1" si="263"/>
        <v>2080</v>
      </c>
    </row>
    <row r="1378" spans="1:21" x14ac:dyDescent="0.2">
      <c r="A1378" s="7" cm="1">
        <f t="array" aca="1" ref="A1378" ca="1">INDEX(Companies!$A:$A,RANDBETWEEN(2,COUNTA(Companies!$A:$A)),1)</f>
        <v>2</v>
      </c>
      <c r="B1378" s="5">
        <f t="shared" si="253"/>
        <v>1377</v>
      </c>
      <c r="C1378" s="6">
        <f t="shared" ca="1" si="254"/>
        <v>1</v>
      </c>
      <c r="D1378" s="7">
        <f ca="1">IF($B1378 = 1 + N("Presidente"),
    127,
    IF($B1378 = 2 + N("Vice-Presidente"),
        72,
        IF($B1378 = 3 + N("Secretária bilíngue"),
            13,
            RANDBETWEEN(5,COUNT(Name!$A:$A) + 1)
        )
    )
)</f>
        <v>247</v>
      </c>
      <c r="E1378" s="7" t="str">
        <f ca="1" xml:space="preserve">
VLOOKUP(
  $D1378,
  Name!$A:$B,
  2,
  FALSE
)
&amp; " " &amp;
IF($B1378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Otávio Ricci Tavares</v>
      </c>
      <c r="F1378" s="7">
        <v>2</v>
      </c>
      <c r="G1378" s="7" cm="1">
        <f t="array" aca="1" ref="G1378" ca="1">INDEX(States!$B:$B,RANDBETWEEN(2,COUNTA(States!$A:$A)),1)</f>
        <v>17</v>
      </c>
      <c r="H1378" s="7" t="str">
        <f ca="1">VLOOKUP($D1378,Name!$A:$C,3,FALSE)</f>
        <v>M</v>
      </c>
      <c r="I1378" s="7" cm="1">
        <f t="array" aca="1" ref="I1378" ca="1">INDEX('Marital status'!$A:$A,RANDBETWEEN(2,COUNTA('Marital status'!$A:$A)),1)</f>
        <v>3</v>
      </c>
      <c r="J1378" s="7">
        <f t="shared" ca="1" si="255"/>
        <v>2</v>
      </c>
      <c r="K1378" s="8">
        <f t="shared" ca="1" si="256"/>
        <v>30791</v>
      </c>
      <c r="L1378" s="6">
        <f t="shared" ca="1" si="257"/>
        <v>4</v>
      </c>
      <c r="M1378" s="7">
        <f ca="1" xml:space="preserve">
  IF(OR($N1378 = 2, $N1378 = 3, $N1378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378" s="6">
        <f t="shared" ca="1" si="258"/>
        <v>6</v>
      </c>
      <c r="O1378" s="6" t="e">
        <f t="shared" ca="1" si="259"/>
        <v>#N/A</v>
      </c>
      <c r="P1378" s="8">
        <f t="shared" ca="1" si="260"/>
        <v>40974</v>
      </c>
      <c r="Q1378" s="6">
        <f ca="1">RANDBETWEEN(2,COUNTA('Recruitment source'!$A:$A))</f>
        <v>9</v>
      </c>
      <c r="R1378" s="8" t="e">
        <f t="shared" ca="1" si="261"/>
        <v>#N/A</v>
      </c>
      <c r="S1378" s="6" t="e">
        <f t="shared" ca="1" si="262"/>
        <v>#N/A</v>
      </c>
      <c r="T1378" s="6">
        <f t="shared" ca="1" si="252"/>
        <v>3</v>
      </c>
      <c r="U1378" s="1">
        <f t="shared" ca="1" si="263"/>
        <v>805</v>
      </c>
    </row>
    <row r="1379" spans="1:21" x14ac:dyDescent="0.2">
      <c r="A1379" s="7" cm="1">
        <f t="array" aca="1" ref="A1379" ca="1">INDEX(Companies!$A:$A,RANDBETWEEN(2,COUNTA(Companies!$A:$A)),1)</f>
        <v>2</v>
      </c>
      <c r="B1379" s="5">
        <f t="shared" si="253"/>
        <v>1378</v>
      </c>
      <c r="C1379" s="6">
        <f t="shared" ca="1" si="254"/>
        <v>1</v>
      </c>
      <c r="D1379" s="7">
        <f ca="1">IF($B1379 = 1 + N("Presidente"),
    127,
    IF($B1379 = 2 + N("Vice-Presidente"),
        72,
        IF($B1379 = 3 + N("Secretária bilíngue"),
            13,
            RANDBETWEEN(5,COUNT(Name!$A:$A) + 1)
        )
    )
)</f>
        <v>32</v>
      </c>
      <c r="E1379" s="7" t="str">
        <f ca="1" xml:space="preserve">
VLOOKUP(
  $D1379,
  Name!$A:$B,
  2,
  FALSE
)
&amp; " " &amp;
IF($B1379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Laura Aleluia Oliveira</v>
      </c>
      <c r="F1379" s="7">
        <v>2</v>
      </c>
      <c r="G1379" s="7" cm="1">
        <f t="array" aca="1" ref="G1379" ca="1">INDEX(States!$B:$B,RANDBETWEEN(2,COUNTA(States!$A:$A)),1)</f>
        <v>17</v>
      </c>
      <c r="H1379" s="7" t="str">
        <f ca="1">VLOOKUP($D1379,Name!$A:$C,3,FALSE)</f>
        <v>F</v>
      </c>
      <c r="I1379" s="7" cm="1">
        <f t="array" aca="1" ref="I1379" ca="1">INDEX('Marital status'!$A:$A,RANDBETWEEN(2,COUNTA('Marital status'!$A:$A)),1)</f>
        <v>6</v>
      </c>
      <c r="J1379" s="7">
        <f t="shared" ca="1" si="255"/>
        <v>3</v>
      </c>
      <c r="K1379" s="8">
        <f t="shared" ca="1" si="256"/>
        <v>34982</v>
      </c>
      <c r="L1379" s="6">
        <f t="shared" ca="1" si="257"/>
        <v>4</v>
      </c>
      <c r="M1379" s="7">
        <f ca="1" xml:space="preserve">
  IF(OR($N1379 = 2, $N1379 = 3, $N1379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379" s="6">
        <f t="shared" ca="1" si="258"/>
        <v>8</v>
      </c>
      <c r="O1379" s="6">
        <f t="shared" ca="1" si="259"/>
        <v>3</v>
      </c>
      <c r="P1379" s="8">
        <f t="shared" ca="1" si="260"/>
        <v>36919</v>
      </c>
      <c r="Q1379" s="6">
        <f ca="1">RANDBETWEEN(2,COUNTA('Recruitment source'!$A:$A))</f>
        <v>6</v>
      </c>
      <c r="R1379" s="8" t="e">
        <f t="shared" ca="1" si="261"/>
        <v>#N/A</v>
      </c>
      <c r="S1379" s="6" t="e">
        <f t="shared" ca="1" si="262"/>
        <v>#N/A</v>
      </c>
      <c r="T1379" s="6">
        <f t="shared" ca="1" si="252"/>
        <v>4</v>
      </c>
      <c r="U1379" s="1">
        <f t="shared" ca="1" si="263"/>
        <v>2000</v>
      </c>
    </row>
    <row r="1380" spans="1:21" x14ac:dyDescent="0.2">
      <c r="A1380" s="7" cm="1">
        <f t="array" aca="1" ref="A1380" ca="1">INDEX(Companies!$A:$A,RANDBETWEEN(2,COUNTA(Companies!$A:$A)),1)</f>
        <v>2</v>
      </c>
      <c r="B1380" s="5">
        <f t="shared" si="253"/>
        <v>1379</v>
      </c>
      <c r="C1380" s="6">
        <f t="shared" ca="1" si="254"/>
        <v>1</v>
      </c>
      <c r="D1380" s="7">
        <f ca="1">IF($B1380 = 1 + N("Presidente"),
    127,
    IF($B1380 = 2 + N("Vice-Presidente"),
        72,
        IF($B1380 = 3 + N("Secretária bilíngue"),
            13,
            RANDBETWEEN(5,COUNT(Name!$A:$A) + 1)
        )
    )
)</f>
        <v>258</v>
      </c>
      <c r="E1380" s="7" t="str">
        <f ca="1" xml:space="preserve">
VLOOKUP(
  $D1380,
  Name!$A:$B,
  2,
  FALSE
)
&amp; " " &amp;
IF($B1380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Alice Moretti Gallo</v>
      </c>
      <c r="F1380" s="7">
        <v>2</v>
      </c>
      <c r="G1380" s="7" cm="1">
        <f t="array" aca="1" ref="G1380" ca="1">INDEX(States!$B:$B,RANDBETWEEN(2,COUNTA(States!$A:$A)),1)</f>
        <v>8</v>
      </c>
      <c r="H1380" s="7" t="str">
        <f ca="1">VLOOKUP($D1380,Name!$A:$C,3,FALSE)</f>
        <v>F</v>
      </c>
      <c r="I1380" s="7" cm="1">
        <f t="array" aca="1" ref="I1380" ca="1">INDEX('Marital status'!$A:$A,RANDBETWEEN(2,COUNTA('Marital status'!$A:$A)),1)</f>
        <v>4</v>
      </c>
      <c r="J1380" s="7">
        <f t="shared" ca="1" si="255"/>
        <v>2</v>
      </c>
      <c r="K1380" s="8">
        <f t="shared" ca="1" si="256"/>
        <v>29221</v>
      </c>
      <c r="L1380" s="6">
        <f t="shared" ca="1" si="257"/>
        <v>4</v>
      </c>
      <c r="M1380" s="7">
        <f ca="1" xml:space="preserve">
  IF(OR($N1380 = 2, $N1380 = 3, $N1380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380" s="6">
        <f t="shared" ca="1" si="258"/>
        <v>7</v>
      </c>
      <c r="O1380" s="6" t="e">
        <f t="shared" ca="1" si="259"/>
        <v>#N/A</v>
      </c>
      <c r="P1380" s="8">
        <f t="shared" ca="1" si="260"/>
        <v>39038</v>
      </c>
      <c r="Q1380" s="6">
        <f ca="1">RANDBETWEEN(2,COUNTA('Recruitment source'!$A:$A))</f>
        <v>10</v>
      </c>
      <c r="R1380" s="8" t="e">
        <f t="shared" ca="1" si="261"/>
        <v>#N/A</v>
      </c>
      <c r="S1380" s="6" t="e">
        <f t="shared" ca="1" si="262"/>
        <v>#N/A</v>
      </c>
      <c r="T1380" s="6">
        <f t="shared" ca="1" si="252"/>
        <v>5</v>
      </c>
      <c r="U1380" s="1">
        <f t="shared" ca="1" si="263"/>
        <v>1005</v>
      </c>
    </row>
    <row r="1381" spans="1:21" x14ac:dyDescent="0.2">
      <c r="A1381" s="7" cm="1">
        <f t="array" aca="1" ref="A1381" ca="1">INDEX(Companies!$A:$A,RANDBETWEEN(2,COUNTA(Companies!$A:$A)),1)</f>
        <v>2</v>
      </c>
      <c r="B1381" s="5">
        <f t="shared" si="253"/>
        <v>1380</v>
      </c>
      <c r="C1381" s="6">
        <f t="shared" ca="1" si="254"/>
        <v>1</v>
      </c>
      <c r="D1381" s="7">
        <f ca="1">IF($B1381 = 1 + N("Presidente"),
    127,
    IF($B1381 = 2 + N("Vice-Presidente"),
        72,
        IF($B1381 = 3 + N("Secretária bilíngue"),
            13,
            RANDBETWEEN(5,COUNT(Name!$A:$A) + 1)
        )
    )
)</f>
        <v>90</v>
      </c>
      <c r="E1381" s="7" t="str">
        <f ca="1" xml:space="preserve">
VLOOKUP(
  $D1381,
  Name!$A:$B,
  2,
  FALSE
)
&amp; " " &amp;
IF($B1381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Caue Caminha Brito</v>
      </c>
      <c r="F1381" s="7">
        <v>2</v>
      </c>
      <c r="G1381" s="7" cm="1">
        <f t="array" aca="1" ref="G1381" ca="1">INDEX(States!$B:$B,RANDBETWEEN(2,COUNTA(States!$A:$A)),1)</f>
        <v>10</v>
      </c>
      <c r="H1381" s="7" t="str">
        <f ca="1">VLOOKUP($D1381,Name!$A:$C,3,FALSE)</f>
        <v>M</v>
      </c>
      <c r="I1381" s="7" cm="1">
        <f t="array" aca="1" ref="I1381" ca="1">INDEX('Marital status'!$A:$A,RANDBETWEEN(2,COUNTA('Marital status'!$A:$A)),1)</f>
        <v>3</v>
      </c>
      <c r="J1381" s="7">
        <f t="shared" ca="1" si="255"/>
        <v>2</v>
      </c>
      <c r="K1381" s="8">
        <f t="shared" ca="1" si="256"/>
        <v>35884</v>
      </c>
      <c r="L1381" s="6">
        <f t="shared" ca="1" si="257"/>
        <v>4</v>
      </c>
      <c r="M1381" s="7">
        <f ca="1" xml:space="preserve">
  IF(OR($N1381 = 2, $N1381 = 3, $N1381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381" s="6">
        <f t="shared" ca="1" si="258"/>
        <v>8</v>
      </c>
      <c r="O1381" s="6">
        <f t="shared" ca="1" si="259"/>
        <v>4</v>
      </c>
      <c r="P1381" s="8">
        <f t="shared" ca="1" si="260"/>
        <v>36946</v>
      </c>
      <c r="Q1381" s="6">
        <f ca="1">RANDBETWEEN(2,COUNTA('Recruitment source'!$A:$A))</f>
        <v>4</v>
      </c>
      <c r="R1381" s="8" t="e">
        <f t="shared" ca="1" si="261"/>
        <v>#N/A</v>
      </c>
      <c r="S1381" s="6" t="e">
        <f t="shared" ca="1" si="262"/>
        <v>#N/A</v>
      </c>
      <c r="T1381" s="6">
        <f t="shared" ca="1" si="252"/>
        <v>5</v>
      </c>
      <c r="U1381" s="1">
        <f t="shared" ca="1" si="263"/>
        <v>2000</v>
      </c>
    </row>
    <row r="1382" spans="1:21" x14ac:dyDescent="0.2">
      <c r="A1382" s="7" cm="1">
        <f t="array" aca="1" ref="A1382" ca="1">INDEX(Companies!$A:$A,RANDBETWEEN(2,COUNTA(Companies!$A:$A)),1)</f>
        <v>2</v>
      </c>
      <c r="B1382" s="5">
        <f t="shared" si="253"/>
        <v>1381</v>
      </c>
      <c r="C1382" s="6">
        <f t="shared" ca="1" si="254"/>
        <v>1</v>
      </c>
      <c r="D1382" s="7">
        <f ca="1">IF($B1382 = 1 + N("Presidente"),
    127,
    IF($B1382 = 2 + N("Vice-Presidente"),
        72,
        IF($B1382 = 3 + N("Secretária bilíngue"),
            13,
            RANDBETWEEN(5,COUNT(Name!$A:$A) + 1)
        )
    )
)</f>
        <v>339</v>
      </c>
      <c r="E1382" s="7" t="str">
        <f ca="1" xml:space="preserve">
VLOOKUP(
  $D1382,
  Name!$A:$B,
  2,
  FALSE
)
&amp; " " &amp;
IF($B1382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Sophie Sá Sacramento</v>
      </c>
      <c r="F1382" s="7">
        <v>2</v>
      </c>
      <c r="G1382" s="7" cm="1">
        <f t="array" aca="1" ref="G1382" ca="1">INDEX(States!$B:$B,RANDBETWEEN(2,COUNTA(States!$A:$A)),1)</f>
        <v>9</v>
      </c>
      <c r="H1382" s="7" t="str">
        <f ca="1">VLOOKUP($D1382,Name!$A:$C,3,FALSE)</f>
        <v>F</v>
      </c>
      <c r="I1382" s="7" cm="1">
        <f t="array" aca="1" ref="I1382" ca="1">INDEX('Marital status'!$A:$A,RANDBETWEEN(2,COUNTA('Marital status'!$A:$A)),1)</f>
        <v>2</v>
      </c>
      <c r="J1382" s="7">
        <f t="shared" ca="1" si="255"/>
        <v>2</v>
      </c>
      <c r="K1382" s="8">
        <f t="shared" ca="1" si="256"/>
        <v>24490</v>
      </c>
      <c r="L1382" s="6">
        <f t="shared" ca="1" si="257"/>
        <v>4</v>
      </c>
      <c r="M1382" s="7">
        <f ca="1" xml:space="preserve">
  IF(OR($N1382 = 2, $N1382 = 3, $N1382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382" s="6">
        <f t="shared" ca="1" si="258"/>
        <v>6</v>
      </c>
      <c r="O1382" s="6" t="e">
        <f t="shared" ca="1" si="259"/>
        <v>#N/A</v>
      </c>
      <c r="P1382" s="8">
        <f t="shared" ca="1" si="260"/>
        <v>43247</v>
      </c>
      <c r="Q1382" s="6">
        <f ca="1">RANDBETWEEN(2,COUNTA('Recruitment source'!$A:$A))</f>
        <v>2</v>
      </c>
      <c r="R1382" s="8" t="e">
        <f t="shared" ca="1" si="261"/>
        <v>#N/A</v>
      </c>
      <c r="S1382" s="6" t="e">
        <f t="shared" ca="1" si="262"/>
        <v>#N/A</v>
      </c>
      <c r="T1382" s="6">
        <f t="shared" ca="1" si="252"/>
        <v>5</v>
      </c>
      <c r="U1382" s="1">
        <f t="shared" ca="1" si="263"/>
        <v>805</v>
      </c>
    </row>
    <row r="1383" spans="1:21" x14ac:dyDescent="0.2">
      <c r="A1383" s="7" cm="1">
        <f t="array" aca="1" ref="A1383" ca="1">INDEX(Companies!$A:$A,RANDBETWEEN(2,COUNTA(Companies!$A:$A)),1)</f>
        <v>2</v>
      </c>
      <c r="B1383" s="5">
        <f t="shared" si="253"/>
        <v>1382</v>
      </c>
      <c r="C1383" s="6">
        <f t="shared" ca="1" si="254"/>
        <v>1</v>
      </c>
      <c r="D1383" s="7">
        <f ca="1">IF($B1383 = 1 + N("Presidente"),
    127,
    IF($B1383 = 2 + N("Vice-Presidente"),
        72,
        IF($B1383 = 3 + N("Secretária bilíngue"),
            13,
            RANDBETWEEN(5,COUNT(Name!$A:$A) + 1)
        )
    )
)</f>
        <v>326</v>
      </c>
      <c r="E1383" s="7" t="str">
        <f ca="1" xml:space="preserve">
VLOOKUP(
  $D1383,
  Name!$A:$B,
  2,
  FALSE
)
&amp; " " &amp;
IF($B1383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Rainah Furtado Dantas</v>
      </c>
      <c r="F1383" s="7">
        <v>2</v>
      </c>
      <c r="G1383" s="7" cm="1">
        <f t="array" aca="1" ref="G1383" ca="1">INDEX(States!$B:$B,RANDBETWEEN(2,COUNTA(States!$A:$A)),1)</f>
        <v>4</v>
      </c>
      <c r="H1383" s="7" t="str">
        <f ca="1">VLOOKUP($D1383,Name!$A:$C,3,FALSE)</f>
        <v>F</v>
      </c>
      <c r="I1383" s="7" cm="1">
        <f t="array" aca="1" ref="I1383" ca="1">INDEX('Marital status'!$A:$A,RANDBETWEEN(2,COUNTA('Marital status'!$A:$A)),1)</f>
        <v>6</v>
      </c>
      <c r="J1383" s="7">
        <f t="shared" ca="1" si="255"/>
        <v>2</v>
      </c>
      <c r="K1383" s="8">
        <f t="shared" ca="1" si="256"/>
        <v>33526</v>
      </c>
      <c r="L1383" s="6">
        <f t="shared" ca="1" si="257"/>
        <v>4</v>
      </c>
      <c r="M1383" s="7">
        <f ca="1" xml:space="preserve">
  IF(OR($N1383 = 2, $N1383 = 3, $N1383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383" s="6">
        <f t="shared" ca="1" si="258"/>
        <v>8</v>
      </c>
      <c r="O1383" s="6">
        <f t="shared" ca="1" si="259"/>
        <v>4</v>
      </c>
      <c r="P1383" s="8">
        <f t="shared" ca="1" si="260"/>
        <v>37425</v>
      </c>
      <c r="Q1383" s="6">
        <f ca="1">RANDBETWEEN(2,COUNTA('Recruitment source'!$A:$A))</f>
        <v>10</v>
      </c>
      <c r="R1383" s="8" t="e">
        <f t="shared" ca="1" si="261"/>
        <v>#N/A</v>
      </c>
      <c r="S1383" s="6" t="e">
        <f t="shared" ca="1" si="262"/>
        <v>#N/A</v>
      </c>
      <c r="T1383" s="6">
        <f t="shared" ca="1" si="252"/>
        <v>3</v>
      </c>
      <c r="U1383" s="1">
        <f t="shared" ca="1" si="263"/>
        <v>2050</v>
      </c>
    </row>
    <row r="1384" spans="1:21" x14ac:dyDescent="0.2">
      <c r="A1384" s="7" cm="1">
        <f t="array" aca="1" ref="A1384" ca="1">INDEX(Companies!$A:$A,RANDBETWEEN(2,COUNTA(Companies!$A:$A)),1)</f>
        <v>2</v>
      </c>
      <c r="B1384" s="5">
        <f t="shared" si="253"/>
        <v>1383</v>
      </c>
      <c r="C1384" s="6">
        <f t="shared" ca="1" si="254"/>
        <v>1</v>
      </c>
      <c r="D1384" s="7">
        <f ca="1">IF($B1384 = 1 + N("Presidente"),
    127,
    IF($B1384 = 2 + N("Vice-Presidente"),
        72,
        IF($B1384 = 3 + N("Secretária bilíngue"),
            13,
            RANDBETWEEN(5,COUNT(Name!$A:$A) + 1)
        )
    )
)</f>
        <v>48</v>
      </c>
      <c r="E1384" s="7" t="str">
        <f ca="1" xml:space="preserve">
VLOOKUP(
  $D1384,
  Name!$A:$B,
  2,
  FALSE
)
&amp; " " &amp;
IF($B1384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Anthony Alves Monteiro</v>
      </c>
      <c r="F1384" s="7">
        <v>2</v>
      </c>
      <c r="G1384" s="7" cm="1">
        <f t="array" aca="1" ref="G1384" ca="1">INDEX(States!$B:$B,RANDBETWEEN(2,COUNTA(States!$A:$A)),1)</f>
        <v>9</v>
      </c>
      <c r="H1384" s="7" t="str">
        <f ca="1">VLOOKUP($D1384,Name!$A:$C,3,FALSE)</f>
        <v>M</v>
      </c>
      <c r="I1384" s="7" cm="1">
        <f t="array" aca="1" ref="I1384" ca="1">INDEX('Marital status'!$A:$A,RANDBETWEEN(2,COUNTA('Marital status'!$A:$A)),1)</f>
        <v>4</v>
      </c>
      <c r="J1384" s="7">
        <f t="shared" ca="1" si="255"/>
        <v>2</v>
      </c>
      <c r="K1384" s="8">
        <f t="shared" ca="1" si="256"/>
        <v>29246</v>
      </c>
      <c r="L1384" s="6">
        <f t="shared" ca="1" si="257"/>
        <v>4</v>
      </c>
      <c r="M1384" s="7">
        <f ca="1" xml:space="preserve">
  IF(OR($N1384 = 2, $N1384 = 3, $N1384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384" s="6">
        <f t="shared" ca="1" si="258"/>
        <v>6</v>
      </c>
      <c r="O1384" s="6" t="e">
        <f t="shared" ca="1" si="259"/>
        <v>#N/A</v>
      </c>
      <c r="P1384" s="8">
        <f t="shared" ca="1" si="260"/>
        <v>44015</v>
      </c>
      <c r="Q1384" s="6">
        <f ca="1">RANDBETWEEN(2,COUNTA('Recruitment source'!$A:$A))</f>
        <v>3</v>
      </c>
      <c r="R1384" s="8" t="e">
        <f t="shared" ca="1" si="261"/>
        <v>#N/A</v>
      </c>
      <c r="S1384" s="6" t="e">
        <f t="shared" ca="1" si="262"/>
        <v>#N/A</v>
      </c>
      <c r="T1384" s="6">
        <f t="shared" ca="1" si="252"/>
        <v>4</v>
      </c>
      <c r="U1384" s="1">
        <f t="shared" ca="1" si="263"/>
        <v>885</v>
      </c>
    </row>
    <row r="1385" spans="1:21" x14ac:dyDescent="0.2">
      <c r="A1385" s="7" cm="1">
        <f t="array" aca="1" ref="A1385" ca="1">INDEX(Companies!$A:$A,RANDBETWEEN(2,COUNTA(Companies!$A:$A)),1)</f>
        <v>2</v>
      </c>
      <c r="B1385" s="5">
        <f t="shared" si="253"/>
        <v>1384</v>
      </c>
      <c r="C1385" s="6">
        <f t="shared" ca="1" si="254"/>
        <v>1</v>
      </c>
      <c r="D1385" s="7">
        <f ca="1">IF($B1385 = 1 + N("Presidente"),
    127,
    IF($B1385 = 2 + N("Vice-Presidente"),
        72,
        IF($B1385 = 3 + N("Secretária bilíngue"),
            13,
            RANDBETWEEN(5,COUNT(Name!$A:$A) + 1)
        )
    )
)</f>
        <v>285</v>
      </c>
      <c r="E1385" s="7" t="str">
        <f ca="1" xml:space="preserve">
VLOOKUP(
  $D1385,
  Name!$A:$B,
  2,
  FALSE
)
&amp; " " &amp;
IF($B1385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Martin Cardozo Cândido</v>
      </c>
      <c r="F1385" s="7">
        <v>2</v>
      </c>
      <c r="G1385" s="7" cm="1">
        <f t="array" aca="1" ref="G1385" ca="1">INDEX(States!$B:$B,RANDBETWEEN(2,COUNTA(States!$A:$A)),1)</f>
        <v>5</v>
      </c>
      <c r="H1385" s="7" t="str">
        <f ca="1">VLOOKUP($D1385,Name!$A:$C,3,FALSE)</f>
        <v>M</v>
      </c>
      <c r="I1385" s="7" cm="1">
        <f t="array" aca="1" ref="I1385" ca="1">INDEX('Marital status'!$A:$A,RANDBETWEEN(2,COUNTA('Marital status'!$A:$A)),1)</f>
        <v>3</v>
      </c>
      <c r="J1385" s="7">
        <f t="shared" ca="1" si="255"/>
        <v>2</v>
      </c>
      <c r="K1385" s="8">
        <f t="shared" ca="1" si="256"/>
        <v>36827</v>
      </c>
      <c r="L1385" s="6">
        <f t="shared" ca="1" si="257"/>
        <v>5</v>
      </c>
      <c r="M1385" s="7">
        <f ca="1" xml:space="preserve">
  IF(OR($N1385 = 2, $N1385 = 3, $N1385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385" s="6">
        <f t="shared" ca="1" si="258"/>
        <v>8</v>
      </c>
      <c r="O1385" s="6">
        <f t="shared" ca="1" si="259"/>
        <v>4</v>
      </c>
      <c r="P1385" s="8">
        <f t="shared" ca="1" si="260"/>
        <v>37797</v>
      </c>
      <c r="Q1385" s="6">
        <f ca="1">RANDBETWEEN(2,COUNTA('Recruitment source'!$A:$A))</f>
        <v>9</v>
      </c>
      <c r="R1385" s="8" t="e">
        <f t="shared" ca="1" si="261"/>
        <v>#N/A</v>
      </c>
      <c r="S1385" s="6" t="e">
        <f t="shared" ca="1" si="262"/>
        <v>#N/A</v>
      </c>
      <c r="T1385" s="6">
        <f t="shared" ca="1" si="252"/>
        <v>3</v>
      </c>
      <c r="U1385" s="1">
        <f t="shared" ca="1" si="263"/>
        <v>2000</v>
      </c>
    </row>
    <row r="1386" spans="1:21" x14ac:dyDescent="0.2">
      <c r="A1386" s="7" cm="1">
        <f t="array" aca="1" ref="A1386" ca="1">INDEX(Companies!$A:$A,RANDBETWEEN(2,COUNTA(Companies!$A:$A)),1)</f>
        <v>2</v>
      </c>
      <c r="B1386" s="5">
        <f t="shared" si="253"/>
        <v>1385</v>
      </c>
      <c r="C1386" s="6">
        <f t="shared" ca="1" si="254"/>
        <v>1</v>
      </c>
      <c r="D1386" s="7">
        <f ca="1">IF($B1386 = 1 + N("Presidente"),
    127,
    IF($B1386 = 2 + N("Vice-Presidente"),
        72,
        IF($B1386 = 3 + N("Secretária bilíngue"),
            13,
            RANDBETWEEN(5,COUNT(Name!$A:$A) + 1)
        )
    )
)</f>
        <v>118</v>
      </c>
      <c r="E1386" s="7" t="str">
        <f ca="1" xml:space="preserve">
VLOOKUP(
  $D1386,
  Name!$A:$B,
  2,
  FALSE
)
&amp; " " &amp;
IF($B1386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Eliezer Pimentel Saragoça</v>
      </c>
      <c r="F1386" s="7">
        <v>2</v>
      </c>
      <c r="G1386" s="7" cm="1">
        <f t="array" aca="1" ref="G1386" ca="1">INDEX(States!$B:$B,RANDBETWEEN(2,COUNTA(States!$A:$A)),1)</f>
        <v>9</v>
      </c>
      <c r="H1386" s="7" t="str">
        <f ca="1">VLOOKUP($D1386,Name!$A:$C,3,FALSE)</f>
        <v>M</v>
      </c>
      <c r="I1386" s="7" cm="1">
        <f t="array" aca="1" ref="I1386" ca="1">INDEX('Marital status'!$A:$A,RANDBETWEEN(2,COUNTA('Marital status'!$A:$A)),1)</f>
        <v>5</v>
      </c>
      <c r="J1386" s="7">
        <f t="shared" ca="1" si="255"/>
        <v>4</v>
      </c>
      <c r="K1386" s="8">
        <f t="shared" ca="1" si="256"/>
        <v>30341</v>
      </c>
      <c r="L1386" s="6">
        <f t="shared" ca="1" si="257"/>
        <v>4</v>
      </c>
      <c r="M1386" s="7">
        <f ca="1" xml:space="preserve">
  IF(OR($N1386 = 2, $N1386 = 3, $N1386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386" s="6">
        <f t="shared" ca="1" si="258"/>
        <v>7</v>
      </c>
      <c r="O1386" s="6" t="e">
        <f t="shared" ca="1" si="259"/>
        <v>#N/A</v>
      </c>
      <c r="P1386" s="8">
        <f t="shared" ca="1" si="260"/>
        <v>41456</v>
      </c>
      <c r="Q1386" s="6">
        <f ca="1">RANDBETWEEN(2,COUNTA('Recruitment source'!$A:$A))</f>
        <v>5</v>
      </c>
      <c r="R1386" s="8" t="e">
        <f t="shared" ca="1" si="261"/>
        <v>#N/A</v>
      </c>
      <c r="S1386" s="6" t="e">
        <f t="shared" ca="1" si="262"/>
        <v>#N/A</v>
      </c>
      <c r="T1386" s="6">
        <f t="shared" ca="1" si="252"/>
        <v>2</v>
      </c>
      <c r="U1386" s="1">
        <f t="shared" ca="1" si="263"/>
        <v>1005</v>
      </c>
    </row>
    <row r="1387" spans="1:21" x14ac:dyDescent="0.2">
      <c r="A1387" s="7" cm="1">
        <f t="array" aca="1" ref="A1387" ca="1">INDEX(Companies!$A:$A,RANDBETWEEN(2,COUNTA(Companies!$A:$A)),1)</f>
        <v>2</v>
      </c>
      <c r="B1387" s="5">
        <f t="shared" si="253"/>
        <v>1386</v>
      </c>
      <c r="C1387" s="6">
        <f t="shared" ca="1" si="254"/>
        <v>1</v>
      </c>
      <c r="D1387" s="7">
        <f ca="1">IF($B1387 = 1 + N("Presidente"),
    127,
    IF($B1387 = 2 + N("Vice-Presidente"),
        72,
        IF($B1387 = 3 + N("Secretária bilíngue"),
            13,
            RANDBETWEEN(5,COUNT(Name!$A:$A) + 1)
        )
    )
)</f>
        <v>342</v>
      </c>
      <c r="E1387" s="7" t="str">
        <f ca="1" xml:space="preserve">
VLOOKUP(
  $D1387,
  Name!$A:$B,
  2,
  FALSE
)
&amp; " " &amp;
IF($B1387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Théo Abranches Sousa</v>
      </c>
      <c r="F1387" s="7">
        <v>2</v>
      </c>
      <c r="G1387" s="7" cm="1">
        <f t="array" aca="1" ref="G1387" ca="1">INDEX(States!$B:$B,RANDBETWEEN(2,COUNTA(States!$A:$A)),1)</f>
        <v>6</v>
      </c>
      <c r="H1387" s="7" t="str">
        <f ca="1">VLOOKUP($D1387,Name!$A:$C,3,FALSE)</f>
        <v>M</v>
      </c>
      <c r="I1387" s="7" cm="1">
        <f t="array" aca="1" ref="I1387" ca="1">INDEX('Marital status'!$A:$A,RANDBETWEEN(2,COUNTA('Marital status'!$A:$A)),1)</f>
        <v>3</v>
      </c>
      <c r="J1387" s="7">
        <f t="shared" ca="1" si="255"/>
        <v>5</v>
      </c>
      <c r="K1387" s="8">
        <f t="shared" ca="1" si="256"/>
        <v>35038</v>
      </c>
      <c r="L1387" s="6">
        <f t="shared" ca="1" si="257"/>
        <v>5</v>
      </c>
      <c r="M1387" s="7">
        <f ca="1" xml:space="preserve">
  IF(OR($N1387 = 2, $N1387 = 3, $N1387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387" s="6">
        <f t="shared" ca="1" si="258"/>
        <v>8</v>
      </c>
      <c r="O1387" s="6">
        <f t="shared" ca="1" si="259"/>
        <v>4</v>
      </c>
      <c r="P1387" s="8">
        <f t="shared" ca="1" si="260"/>
        <v>40290</v>
      </c>
      <c r="Q1387" s="6">
        <f ca="1">RANDBETWEEN(2,COUNTA('Recruitment source'!$A:$A))</f>
        <v>3</v>
      </c>
      <c r="R1387" s="8" t="e">
        <f t="shared" ca="1" si="261"/>
        <v>#N/A</v>
      </c>
      <c r="S1387" s="6" t="e">
        <f t="shared" ca="1" si="262"/>
        <v>#N/A</v>
      </c>
      <c r="T1387" s="6">
        <f t="shared" ca="1" si="252"/>
        <v>2</v>
      </c>
      <c r="U1387" s="1">
        <f t="shared" ca="1" si="263"/>
        <v>2000</v>
      </c>
    </row>
    <row r="1388" spans="1:21" x14ac:dyDescent="0.2">
      <c r="A1388" s="7" cm="1">
        <f t="array" aca="1" ref="A1388" ca="1">INDEX(Companies!$A:$A,RANDBETWEEN(2,COUNTA(Companies!$A:$A)),1)</f>
        <v>2</v>
      </c>
      <c r="B1388" s="5">
        <f t="shared" si="253"/>
        <v>1387</v>
      </c>
      <c r="C1388" s="6">
        <f t="shared" ca="1" si="254"/>
        <v>1</v>
      </c>
      <c r="D1388" s="7">
        <f ca="1">IF($B1388 = 1 + N("Presidente"),
    127,
    IF($B1388 = 2 + N("Vice-Presidente"),
        72,
        IF($B1388 = 3 + N("Secretária bilíngue"),
            13,
            RANDBETWEEN(5,COUNT(Name!$A:$A) + 1)
        )
    )
)</f>
        <v>201</v>
      </c>
      <c r="E1388" s="7" t="str">
        <f ca="1" xml:space="preserve">
VLOOKUP(
  $D1388,
  Name!$A:$B,
  2,
  FALSE
)
&amp; " " &amp;
IF($B1388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Júlia Barbosa Monteiro</v>
      </c>
      <c r="F1388" s="7">
        <v>2</v>
      </c>
      <c r="G1388" s="7" cm="1">
        <f t="array" aca="1" ref="G1388" ca="1">INDEX(States!$B:$B,RANDBETWEEN(2,COUNTA(States!$A:$A)),1)</f>
        <v>7</v>
      </c>
      <c r="H1388" s="7" t="str">
        <f ca="1">VLOOKUP($D1388,Name!$A:$C,3,FALSE)</f>
        <v>F</v>
      </c>
      <c r="I1388" s="7" cm="1">
        <f t="array" aca="1" ref="I1388" ca="1">INDEX('Marital status'!$A:$A,RANDBETWEEN(2,COUNTA('Marital status'!$A:$A)),1)</f>
        <v>5</v>
      </c>
      <c r="J1388" s="7">
        <f t="shared" ca="1" si="255"/>
        <v>2</v>
      </c>
      <c r="K1388" s="8">
        <f t="shared" ca="1" si="256"/>
        <v>18498</v>
      </c>
      <c r="L1388" s="6">
        <f t="shared" ca="1" si="257"/>
        <v>4</v>
      </c>
      <c r="M1388" s="7">
        <f ca="1" xml:space="preserve">
  IF(OR($N1388 = 2, $N1388 = 3, $N1388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388" s="6">
        <f t="shared" ca="1" si="258"/>
        <v>6</v>
      </c>
      <c r="O1388" s="6" t="e">
        <f t="shared" ca="1" si="259"/>
        <v>#N/A</v>
      </c>
      <c r="P1388" s="8">
        <f t="shared" ca="1" si="260"/>
        <v>43637</v>
      </c>
      <c r="Q1388" s="6">
        <f ca="1">RANDBETWEEN(2,COUNTA('Recruitment source'!$A:$A))</f>
        <v>11</v>
      </c>
      <c r="R1388" s="8" t="e">
        <f t="shared" ca="1" si="261"/>
        <v>#N/A</v>
      </c>
      <c r="S1388" s="6" t="e">
        <f t="shared" ca="1" si="262"/>
        <v>#N/A</v>
      </c>
      <c r="T1388" s="6">
        <f t="shared" ca="1" si="252"/>
        <v>4</v>
      </c>
      <c r="U1388" s="1">
        <f t="shared" ca="1" si="263"/>
        <v>805</v>
      </c>
    </row>
    <row r="1389" spans="1:21" x14ac:dyDescent="0.2">
      <c r="A1389" s="7" cm="1">
        <f t="array" aca="1" ref="A1389" ca="1">INDEX(Companies!$A:$A,RANDBETWEEN(2,COUNTA(Companies!$A:$A)),1)</f>
        <v>2</v>
      </c>
      <c r="B1389" s="5">
        <f t="shared" si="253"/>
        <v>1388</v>
      </c>
      <c r="C1389" s="6">
        <f t="shared" ca="1" si="254"/>
        <v>1</v>
      </c>
      <c r="D1389" s="7">
        <f ca="1">IF($B1389 = 1 + N("Presidente"),
    127,
    IF($B1389 = 2 + N("Vice-Presidente"),
        72,
        IF($B1389 = 3 + N("Secretária bilíngue"),
            13,
            RANDBETWEEN(5,COUNT(Name!$A:$A) + 1)
        )
    )
)</f>
        <v>321</v>
      </c>
      <c r="E1389" s="7" t="str">
        <f ca="1" xml:space="preserve">
VLOOKUP(
  $D1389,
  Name!$A:$B,
  2,
  FALSE
)
&amp; " " &amp;
IF($B1389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Pietra Trindade Monti</v>
      </c>
      <c r="F1389" s="7">
        <v>2</v>
      </c>
      <c r="G1389" s="7" cm="1">
        <f t="array" aca="1" ref="G1389" ca="1">INDEX(States!$B:$B,RANDBETWEEN(2,COUNTA(States!$A:$A)),1)</f>
        <v>18</v>
      </c>
      <c r="H1389" s="7" t="str">
        <f ca="1">VLOOKUP($D1389,Name!$A:$C,3,FALSE)</f>
        <v>F</v>
      </c>
      <c r="I1389" s="7" cm="1">
        <f t="array" aca="1" ref="I1389" ca="1">INDEX('Marital status'!$A:$A,RANDBETWEEN(2,COUNTA('Marital status'!$A:$A)),1)</f>
        <v>4</v>
      </c>
      <c r="J1389" s="7">
        <f t="shared" ca="1" si="255"/>
        <v>2</v>
      </c>
      <c r="K1389" s="8">
        <f t="shared" ca="1" si="256"/>
        <v>37414</v>
      </c>
      <c r="L1389" s="6">
        <f t="shared" ca="1" si="257"/>
        <v>4</v>
      </c>
      <c r="M1389" s="7">
        <f ca="1" xml:space="preserve">
  IF(OR($N1389 = 2, $N1389 = 3, $N1389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389" s="6">
        <f t="shared" ca="1" si="258"/>
        <v>8</v>
      </c>
      <c r="O1389" s="6">
        <f t="shared" ca="1" si="259"/>
        <v>2</v>
      </c>
      <c r="P1389" s="8">
        <f t="shared" ca="1" si="260"/>
        <v>38804</v>
      </c>
      <c r="Q1389" s="6">
        <f ca="1">RANDBETWEEN(2,COUNTA('Recruitment source'!$A:$A))</f>
        <v>4</v>
      </c>
      <c r="R1389" s="8" t="e">
        <f t="shared" ca="1" si="261"/>
        <v>#N/A</v>
      </c>
      <c r="S1389" s="6" t="e">
        <f t="shared" ca="1" si="262"/>
        <v>#N/A</v>
      </c>
      <c r="T1389" s="6">
        <f t="shared" ca="1" si="252"/>
        <v>5</v>
      </c>
      <c r="U1389" s="1">
        <f t="shared" ca="1" si="263"/>
        <v>2080</v>
      </c>
    </row>
    <row r="1390" spans="1:21" x14ac:dyDescent="0.2">
      <c r="A1390" s="7" cm="1">
        <f t="array" aca="1" ref="A1390" ca="1">INDEX(Companies!$A:$A,RANDBETWEEN(2,COUNTA(Companies!$A:$A)),1)</f>
        <v>2</v>
      </c>
      <c r="B1390" s="5">
        <f t="shared" si="253"/>
        <v>1389</v>
      </c>
      <c r="C1390" s="6">
        <f t="shared" ca="1" si="254"/>
        <v>1</v>
      </c>
      <c r="D1390" s="7">
        <f ca="1">IF($B1390 = 1 + N("Presidente"),
    127,
    IF($B1390 = 2 + N("Vice-Presidente"),
        72,
        IF($B1390 = 3 + N("Secretária bilíngue"),
            13,
            RANDBETWEEN(5,COUNT(Name!$A:$A) + 1)
        )
    )
)</f>
        <v>215</v>
      </c>
      <c r="E1390" s="7" t="str">
        <f ca="1" xml:space="preserve">
VLOOKUP(
  $D1390,
  Name!$A:$B,
  2,
  FALSE
)
&amp; " " &amp;
IF($B1390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Kloe Monti Cardoso</v>
      </c>
      <c r="F1390" s="7">
        <v>2</v>
      </c>
      <c r="G1390" s="7" cm="1">
        <f t="array" aca="1" ref="G1390" ca="1">INDEX(States!$B:$B,RANDBETWEEN(2,COUNTA(States!$A:$A)),1)</f>
        <v>12</v>
      </c>
      <c r="H1390" s="7" t="str">
        <f ca="1">VLOOKUP($D1390,Name!$A:$C,3,FALSE)</f>
        <v>F</v>
      </c>
      <c r="I1390" s="7" cm="1">
        <f t="array" aca="1" ref="I1390" ca="1">INDEX('Marital status'!$A:$A,RANDBETWEEN(2,COUNTA('Marital status'!$A:$A)),1)</f>
        <v>2</v>
      </c>
      <c r="J1390" s="7">
        <f t="shared" ca="1" si="255"/>
        <v>2</v>
      </c>
      <c r="K1390" s="8">
        <f t="shared" ca="1" si="256"/>
        <v>17731</v>
      </c>
      <c r="L1390" s="6">
        <f t="shared" ca="1" si="257"/>
        <v>4</v>
      </c>
      <c r="M1390" s="7">
        <f ca="1" xml:space="preserve">
  IF(OR($N1390 = 2, $N1390 = 3, $N1390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390" s="6">
        <f t="shared" ca="1" si="258"/>
        <v>6</v>
      </c>
      <c r="O1390" s="6" t="e">
        <f t="shared" ca="1" si="259"/>
        <v>#N/A</v>
      </c>
      <c r="P1390" s="8">
        <f t="shared" ca="1" si="260"/>
        <v>39545</v>
      </c>
      <c r="Q1390" s="6">
        <f ca="1">RANDBETWEEN(2,COUNTA('Recruitment source'!$A:$A))</f>
        <v>3</v>
      </c>
      <c r="R1390" s="8" t="e">
        <f t="shared" ca="1" si="261"/>
        <v>#N/A</v>
      </c>
      <c r="S1390" s="6" t="e">
        <f t="shared" ca="1" si="262"/>
        <v>#N/A</v>
      </c>
      <c r="T1390" s="6">
        <f t="shared" ca="1" si="252"/>
        <v>4</v>
      </c>
      <c r="U1390" s="1">
        <f t="shared" ca="1" si="263"/>
        <v>805</v>
      </c>
    </row>
    <row r="1391" spans="1:21" x14ac:dyDescent="0.2">
      <c r="A1391" s="7" cm="1">
        <f t="array" aca="1" ref="A1391" ca="1">INDEX(Companies!$A:$A,RANDBETWEEN(2,COUNTA(Companies!$A:$A)),1)</f>
        <v>2</v>
      </c>
      <c r="B1391" s="5">
        <f t="shared" si="253"/>
        <v>1390</v>
      </c>
      <c r="C1391" s="6">
        <f t="shared" ca="1" si="254"/>
        <v>1</v>
      </c>
      <c r="D1391" s="7">
        <f ca="1">IF($B1391 = 1 + N("Presidente"),
    127,
    IF($B1391 = 2 + N("Vice-Presidente"),
        72,
        IF($B1391 = 3 + N("Secretária bilíngue"),
            13,
            RANDBETWEEN(5,COUNT(Name!$A:$A) + 1)
        )
    )
)</f>
        <v>347</v>
      </c>
      <c r="E1391" s="7" t="str">
        <f ca="1" xml:space="preserve">
VLOOKUP(
  $D1391,
  Name!$A:$B,
  2,
  FALSE
)
&amp; " " &amp;
IF($B1391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Tomás Peçanha Galli</v>
      </c>
      <c r="F1391" s="7">
        <v>2</v>
      </c>
      <c r="G1391" s="7" cm="1">
        <f t="array" aca="1" ref="G1391" ca="1">INDEX(States!$B:$B,RANDBETWEEN(2,COUNTA(States!$A:$A)),1)</f>
        <v>21</v>
      </c>
      <c r="H1391" s="7" t="str">
        <f ca="1">VLOOKUP($D1391,Name!$A:$C,3,FALSE)</f>
        <v>M</v>
      </c>
      <c r="I1391" s="7" cm="1">
        <f t="array" aca="1" ref="I1391" ca="1">INDEX('Marital status'!$A:$A,RANDBETWEEN(2,COUNTA('Marital status'!$A:$A)),1)</f>
        <v>2</v>
      </c>
      <c r="J1391" s="7">
        <f t="shared" ca="1" si="255"/>
        <v>2</v>
      </c>
      <c r="K1391" s="8">
        <f t="shared" ca="1" si="256"/>
        <v>36141</v>
      </c>
      <c r="L1391" s="6">
        <f t="shared" ca="1" si="257"/>
        <v>5</v>
      </c>
      <c r="M1391" s="7">
        <f ca="1" xml:space="preserve">
  IF(OR($N1391 = 2, $N1391 = 3, $N1391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391" s="6">
        <f t="shared" ca="1" si="258"/>
        <v>8</v>
      </c>
      <c r="O1391" s="6">
        <f t="shared" ca="1" si="259"/>
        <v>3</v>
      </c>
      <c r="P1391" s="8">
        <f t="shared" ca="1" si="260"/>
        <v>41552</v>
      </c>
      <c r="Q1391" s="6">
        <f ca="1">RANDBETWEEN(2,COUNTA('Recruitment source'!$A:$A))</f>
        <v>5</v>
      </c>
      <c r="R1391" s="8" t="e">
        <f t="shared" ca="1" si="261"/>
        <v>#N/A</v>
      </c>
      <c r="S1391" s="6" t="e">
        <f t="shared" ca="1" si="262"/>
        <v>#N/A</v>
      </c>
      <c r="T1391" s="6">
        <f t="shared" ca="1" si="252"/>
        <v>4</v>
      </c>
      <c r="U1391" s="1">
        <f t="shared" ca="1" si="263"/>
        <v>2000</v>
      </c>
    </row>
    <row r="1392" spans="1:21" x14ac:dyDescent="0.2">
      <c r="A1392" s="7" cm="1">
        <f t="array" aca="1" ref="A1392" ca="1">INDEX(Companies!$A:$A,RANDBETWEEN(2,COUNTA(Companies!$A:$A)),1)</f>
        <v>2</v>
      </c>
      <c r="B1392" s="5">
        <f t="shared" si="253"/>
        <v>1391</v>
      </c>
      <c r="C1392" s="6">
        <f t="shared" ca="1" si="254"/>
        <v>1</v>
      </c>
      <c r="D1392" s="7">
        <f ca="1">IF($B1392 = 1 + N("Presidente"),
    127,
    IF($B1392 = 2 + N("Vice-Presidente"),
        72,
        IF($B1392 = 3 + N("Secretária bilíngue"),
            13,
            RANDBETWEEN(5,COUNT(Name!$A:$A) + 1)
        )
    )
)</f>
        <v>155</v>
      </c>
      <c r="E1392" s="7" t="str">
        <f ca="1" xml:space="preserve">
VLOOKUP(
  $D1392,
  Name!$A:$B,
  2,
  FALSE
)
&amp; " " &amp;
IF($B1392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Gloria Dias Café</v>
      </c>
      <c r="F1392" s="7">
        <v>2</v>
      </c>
      <c r="G1392" s="7" cm="1">
        <f t="array" aca="1" ref="G1392" ca="1">INDEX(States!$B:$B,RANDBETWEEN(2,COUNTA(States!$A:$A)),1)</f>
        <v>15</v>
      </c>
      <c r="H1392" s="7" t="str">
        <f ca="1">VLOOKUP($D1392,Name!$A:$C,3,FALSE)</f>
        <v>F</v>
      </c>
      <c r="I1392" s="7" cm="1">
        <f t="array" aca="1" ref="I1392" ca="1">INDEX('Marital status'!$A:$A,RANDBETWEEN(2,COUNTA('Marital status'!$A:$A)),1)</f>
        <v>3</v>
      </c>
      <c r="J1392" s="7">
        <f t="shared" ca="1" si="255"/>
        <v>2</v>
      </c>
      <c r="K1392" s="8">
        <f t="shared" ca="1" si="256"/>
        <v>36056</v>
      </c>
      <c r="L1392" s="6">
        <f t="shared" ca="1" si="257"/>
        <v>4</v>
      </c>
      <c r="M1392" s="7">
        <f ca="1" xml:space="preserve">
  IF(OR($N1392 = 2, $N1392 = 3, $N1392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392" s="6">
        <f t="shared" ca="1" si="258"/>
        <v>7</v>
      </c>
      <c r="O1392" s="6" t="e">
        <f t="shared" ca="1" si="259"/>
        <v>#N/A</v>
      </c>
      <c r="P1392" s="8">
        <f t="shared" ca="1" si="260"/>
        <v>37033</v>
      </c>
      <c r="Q1392" s="6">
        <f ca="1">RANDBETWEEN(2,COUNTA('Recruitment source'!$A:$A))</f>
        <v>5</v>
      </c>
      <c r="R1392" s="8" t="e">
        <f t="shared" ca="1" si="261"/>
        <v>#N/A</v>
      </c>
      <c r="S1392" s="6" t="e">
        <f t="shared" ca="1" si="262"/>
        <v>#N/A</v>
      </c>
      <c r="T1392" s="6">
        <f t="shared" ca="1" si="252"/>
        <v>5</v>
      </c>
      <c r="U1392" s="1">
        <f t="shared" ca="1" si="263"/>
        <v>1005</v>
      </c>
    </row>
    <row r="1393" spans="1:21" x14ac:dyDescent="0.2">
      <c r="A1393" s="7" cm="1">
        <f t="array" aca="1" ref="A1393" ca="1">INDEX(Companies!$A:$A,RANDBETWEEN(2,COUNTA(Companies!$A:$A)),1)</f>
        <v>2</v>
      </c>
      <c r="B1393" s="5">
        <f t="shared" si="253"/>
        <v>1392</v>
      </c>
      <c r="C1393" s="6">
        <f t="shared" ca="1" si="254"/>
        <v>1</v>
      </c>
      <c r="D1393" s="7">
        <f ca="1">IF($B1393 = 1 + N("Presidente"),
    127,
    IF($B1393 = 2 + N("Vice-Presidente"),
        72,
        IF($B1393 = 3 + N("Secretária bilíngue"),
            13,
            RANDBETWEEN(5,COUNT(Name!$A:$A) + 1)
        )
    )
)</f>
        <v>353</v>
      </c>
      <c r="E1393" s="7" t="str">
        <f ca="1" xml:space="preserve">
VLOOKUP(
  $D1393,
  Name!$A:$B,
  2,
  FALSE
)
&amp; " " &amp;
IF($B1393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Vicente Barros Pimenta</v>
      </c>
      <c r="F1393" s="7">
        <v>2</v>
      </c>
      <c r="G1393" s="7" cm="1">
        <f t="array" aca="1" ref="G1393" ca="1">INDEX(States!$B:$B,RANDBETWEEN(2,COUNTA(States!$A:$A)),1)</f>
        <v>10</v>
      </c>
      <c r="H1393" s="7" t="str">
        <f ca="1">VLOOKUP($D1393,Name!$A:$C,3,FALSE)</f>
        <v>M</v>
      </c>
      <c r="I1393" s="7" cm="1">
        <f t="array" aca="1" ref="I1393" ca="1">INDEX('Marital status'!$A:$A,RANDBETWEEN(2,COUNTA('Marital status'!$A:$A)),1)</f>
        <v>5</v>
      </c>
      <c r="J1393" s="7">
        <f t="shared" ca="1" si="255"/>
        <v>3</v>
      </c>
      <c r="K1393" s="8">
        <f t="shared" ca="1" si="256"/>
        <v>38052</v>
      </c>
      <c r="L1393" s="6">
        <f t="shared" ca="1" si="257"/>
        <v>5</v>
      </c>
      <c r="M1393" s="7">
        <f ca="1" xml:space="preserve">
  IF(OR($N1393 = 2, $N1393 = 3, $N1393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393" s="6">
        <f t="shared" ca="1" si="258"/>
        <v>8</v>
      </c>
      <c r="O1393" s="6">
        <f t="shared" ca="1" si="259"/>
        <v>2</v>
      </c>
      <c r="P1393" s="8">
        <f t="shared" ca="1" si="260"/>
        <v>44838</v>
      </c>
      <c r="Q1393" s="6">
        <f ca="1">RANDBETWEEN(2,COUNTA('Recruitment source'!$A:$A))</f>
        <v>2</v>
      </c>
      <c r="R1393" s="8" t="e">
        <f t="shared" ca="1" si="261"/>
        <v>#N/A</v>
      </c>
      <c r="S1393" s="6" t="e">
        <f t="shared" ca="1" si="262"/>
        <v>#N/A</v>
      </c>
      <c r="T1393" s="6">
        <f t="shared" ca="1" si="252"/>
        <v>5</v>
      </c>
      <c r="U1393" s="1">
        <f t="shared" ca="1" si="263"/>
        <v>2000</v>
      </c>
    </row>
    <row r="1394" spans="1:21" x14ac:dyDescent="0.2">
      <c r="A1394" s="7" cm="1">
        <f t="array" aca="1" ref="A1394" ca="1">INDEX(Companies!$A:$A,RANDBETWEEN(2,COUNTA(Companies!$A:$A)),1)</f>
        <v>2</v>
      </c>
      <c r="B1394" s="5">
        <f t="shared" si="253"/>
        <v>1393</v>
      </c>
      <c r="C1394" s="6">
        <f t="shared" ca="1" si="254"/>
        <v>1</v>
      </c>
      <c r="D1394" s="7">
        <f ca="1">IF($B1394 = 1 + N("Presidente"),
    127,
    IF($B1394 = 2 + N("Vice-Presidente"),
        72,
        IF($B1394 = 3 + N("Secretária bilíngue"),
            13,
            RANDBETWEEN(5,COUNT(Name!$A:$A) + 1)
        )
    )
)</f>
        <v>76</v>
      </c>
      <c r="E1394" s="7" t="str">
        <f ca="1" xml:space="preserve">
VLOOKUP(
  $D1394,
  Name!$A:$B,
  2,
  FALSE
)
&amp; " " &amp;
IF($B1394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Bruna De Luca Ferreira</v>
      </c>
      <c r="F1394" s="7">
        <v>2</v>
      </c>
      <c r="G1394" s="7" cm="1">
        <f t="array" aca="1" ref="G1394" ca="1">INDEX(States!$B:$B,RANDBETWEEN(2,COUNTA(States!$A:$A)),1)</f>
        <v>20</v>
      </c>
      <c r="H1394" s="7" t="str">
        <f ca="1">VLOOKUP($D1394,Name!$A:$C,3,FALSE)</f>
        <v>F</v>
      </c>
      <c r="I1394" s="7" cm="1">
        <f t="array" aca="1" ref="I1394" ca="1">INDEX('Marital status'!$A:$A,RANDBETWEEN(2,COUNTA('Marital status'!$A:$A)),1)</f>
        <v>2</v>
      </c>
      <c r="J1394" s="7">
        <f t="shared" ca="1" si="255"/>
        <v>2</v>
      </c>
      <c r="K1394" s="8">
        <f t="shared" ca="1" si="256"/>
        <v>22051</v>
      </c>
      <c r="L1394" s="6">
        <f t="shared" ca="1" si="257"/>
        <v>4</v>
      </c>
      <c r="M1394" s="7">
        <f ca="1" xml:space="preserve">
  IF(OR($N1394 = 2, $N1394 = 3, $N1394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394" s="6">
        <f t="shared" ca="1" si="258"/>
        <v>6</v>
      </c>
      <c r="O1394" s="6" t="e">
        <f t="shared" ca="1" si="259"/>
        <v>#N/A</v>
      </c>
      <c r="P1394" s="8">
        <f t="shared" ca="1" si="260"/>
        <v>44548</v>
      </c>
      <c r="Q1394" s="6">
        <f ca="1">RANDBETWEEN(2,COUNTA('Recruitment source'!$A:$A))</f>
        <v>6</v>
      </c>
      <c r="R1394" s="8" t="e">
        <f t="shared" ca="1" si="261"/>
        <v>#N/A</v>
      </c>
      <c r="S1394" s="6" t="e">
        <f t="shared" ca="1" si="262"/>
        <v>#N/A</v>
      </c>
      <c r="T1394" s="6">
        <f t="shared" ca="1" si="252"/>
        <v>2</v>
      </c>
      <c r="U1394" s="1">
        <f t="shared" ca="1" si="263"/>
        <v>805</v>
      </c>
    </row>
    <row r="1395" spans="1:21" x14ac:dyDescent="0.2">
      <c r="A1395" s="7" cm="1">
        <f t="array" aca="1" ref="A1395" ca="1">INDEX(Companies!$A:$A,RANDBETWEEN(2,COUNTA(Companies!$A:$A)),1)</f>
        <v>2</v>
      </c>
      <c r="B1395" s="5">
        <f t="shared" si="253"/>
        <v>1394</v>
      </c>
      <c r="C1395" s="6">
        <f t="shared" ca="1" si="254"/>
        <v>1</v>
      </c>
      <c r="D1395" s="7">
        <f ca="1">IF($B1395 = 1 + N("Presidente"),
    127,
    IF($B1395 = 2 + N("Vice-Presidente"),
        72,
        IF($B1395 = 3 + N("Secretária bilíngue"),
            13,
            RANDBETWEEN(5,COUNT(Name!$A:$A) + 1)
        )
    )
)</f>
        <v>222</v>
      </c>
      <c r="E1395" s="7" t="str">
        <f ca="1" xml:space="preserve">
VLOOKUP(
  $D1395,
  Name!$A:$B,
  2,
  FALSE
)
&amp; " " &amp;
IF($B1395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Lavignia Veiga Simões</v>
      </c>
      <c r="F1395" s="7">
        <v>2</v>
      </c>
      <c r="G1395" s="7" cm="1">
        <f t="array" aca="1" ref="G1395" ca="1">INDEX(States!$B:$B,RANDBETWEEN(2,COUNTA(States!$A:$A)),1)</f>
        <v>7</v>
      </c>
      <c r="H1395" s="7" t="str">
        <f ca="1">VLOOKUP($D1395,Name!$A:$C,3,FALSE)</f>
        <v>F</v>
      </c>
      <c r="I1395" s="7" cm="1">
        <f t="array" aca="1" ref="I1395" ca="1">INDEX('Marital status'!$A:$A,RANDBETWEEN(2,COUNTA('Marital status'!$A:$A)),1)</f>
        <v>3</v>
      </c>
      <c r="J1395" s="7">
        <f t="shared" ca="1" si="255"/>
        <v>2</v>
      </c>
      <c r="K1395" s="8">
        <f t="shared" ca="1" si="256"/>
        <v>32837</v>
      </c>
      <c r="L1395" s="6">
        <f t="shared" ca="1" si="257"/>
        <v>4</v>
      </c>
      <c r="M1395" s="7">
        <f ca="1" xml:space="preserve">
  IF(OR($N1395 = 2, $N1395 = 3, $N1395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395" s="6">
        <f t="shared" ca="1" si="258"/>
        <v>8</v>
      </c>
      <c r="O1395" s="6">
        <f t="shared" ca="1" si="259"/>
        <v>2</v>
      </c>
      <c r="P1395" s="8">
        <f t="shared" ca="1" si="260"/>
        <v>42050</v>
      </c>
      <c r="Q1395" s="6">
        <f ca="1">RANDBETWEEN(2,COUNTA('Recruitment source'!$A:$A))</f>
        <v>10</v>
      </c>
      <c r="R1395" s="8" t="e">
        <f t="shared" ca="1" si="261"/>
        <v>#N/A</v>
      </c>
      <c r="S1395" s="6" t="e">
        <f t="shared" ca="1" si="262"/>
        <v>#N/A</v>
      </c>
      <c r="T1395" s="6">
        <f t="shared" ca="1" si="252"/>
        <v>3</v>
      </c>
      <c r="U1395" s="1">
        <f t="shared" ca="1" si="263"/>
        <v>2000</v>
      </c>
    </row>
    <row r="1396" spans="1:21" x14ac:dyDescent="0.2">
      <c r="A1396" s="7" cm="1">
        <f t="array" aca="1" ref="A1396" ca="1">INDEX(Companies!$A:$A,RANDBETWEEN(2,COUNTA(Companies!$A:$A)),1)</f>
        <v>2</v>
      </c>
      <c r="B1396" s="5">
        <f t="shared" si="253"/>
        <v>1395</v>
      </c>
      <c r="C1396" s="6">
        <f t="shared" ca="1" si="254"/>
        <v>1</v>
      </c>
      <c r="D1396" s="7">
        <f ca="1">IF($B1396 = 1 + N("Presidente"),
    127,
    IF($B1396 = 2 + N("Vice-Presidente"),
        72,
        IF($B1396 = 3 + N("Secretária bilíngue"),
            13,
            RANDBETWEEN(5,COUNT(Name!$A:$A) + 1)
        )
    )
)</f>
        <v>161</v>
      </c>
      <c r="E1396" s="7" t="str">
        <f ca="1" xml:space="preserve">
VLOOKUP(
  $D1396,
  Name!$A:$B,
  2,
  FALSE
)
&amp; " " &amp;
IF($B1396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Heitor Padrão Lombardi</v>
      </c>
      <c r="F1396" s="7">
        <v>2</v>
      </c>
      <c r="G1396" s="7" cm="1">
        <f t="array" aca="1" ref="G1396" ca="1">INDEX(States!$B:$B,RANDBETWEEN(2,COUNTA(States!$A:$A)),1)</f>
        <v>10</v>
      </c>
      <c r="H1396" s="7" t="str">
        <f ca="1">VLOOKUP($D1396,Name!$A:$C,3,FALSE)</f>
        <v>M</v>
      </c>
      <c r="I1396" s="7" cm="1">
        <f t="array" aca="1" ref="I1396" ca="1">INDEX('Marital status'!$A:$A,RANDBETWEEN(2,COUNTA('Marital status'!$A:$A)),1)</f>
        <v>5</v>
      </c>
      <c r="J1396" s="7">
        <f t="shared" ca="1" si="255"/>
        <v>2</v>
      </c>
      <c r="K1396" s="8">
        <f t="shared" ca="1" si="256"/>
        <v>35398</v>
      </c>
      <c r="L1396" s="6">
        <f t="shared" ca="1" si="257"/>
        <v>4</v>
      </c>
      <c r="M1396" s="7">
        <f ca="1" xml:space="preserve">
  IF(OR($N1396 = 2, $N1396 = 3, $N1396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396" s="6">
        <f t="shared" ca="1" si="258"/>
        <v>7</v>
      </c>
      <c r="O1396" s="6" t="e">
        <f t="shared" ca="1" si="259"/>
        <v>#N/A</v>
      </c>
      <c r="P1396" s="8">
        <f t="shared" ca="1" si="260"/>
        <v>39671</v>
      </c>
      <c r="Q1396" s="6">
        <f ca="1">RANDBETWEEN(2,COUNTA('Recruitment source'!$A:$A))</f>
        <v>3</v>
      </c>
      <c r="R1396" s="8" t="e">
        <f t="shared" ca="1" si="261"/>
        <v>#N/A</v>
      </c>
      <c r="S1396" s="6" t="e">
        <f t="shared" ca="1" si="262"/>
        <v>#N/A</v>
      </c>
      <c r="T1396" s="6">
        <f t="shared" ca="1" si="252"/>
        <v>5</v>
      </c>
      <c r="U1396" s="1">
        <f t="shared" ca="1" si="263"/>
        <v>1005</v>
      </c>
    </row>
    <row r="1397" spans="1:21" x14ac:dyDescent="0.2">
      <c r="A1397" s="7" cm="1">
        <f t="array" aca="1" ref="A1397" ca="1">INDEX(Companies!$A:$A,RANDBETWEEN(2,COUNTA(Companies!$A:$A)),1)</f>
        <v>2</v>
      </c>
      <c r="B1397" s="5">
        <f t="shared" si="253"/>
        <v>1396</v>
      </c>
      <c r="C1397" s="6">
        <f t="shared" ca="1" si="254"/>
        <v>1</v>
      </c>
      <c r="D1397" s="7">
        <f ca="1">IF($B1397 = 1 + N("Presidente"),
    127,
    IF($B1397 = 2 + N("Vice-Presidente"),
        72,
        IF($B1397 = 3 + N("Secretária bilíngue"),
            13,
            RANDBETWEEN(5,COUNT(Name!$A:$A) + 1)
        )
    )
)</f>
        <v>165</v>
      </c>
      <c r="E1397" s="7" t="str">
        <f ca="1" xml:space="preserve">
VLOOKUP(
  $D1397,
  Name!$A:$B,
  2,
  FALSE
)
&amp; " " &amp;
IF($B1397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Heloise Holanda Faria</v>
      </c>
      <c r="F1397" s="7">
        <v>2</v>
      </c>
      <c r="G1397" s="7" cm="1">
        <f t="array" aca="1" ref="G1397" ca="1">INDEX(States!$B:$B,RANDBETWEEN(2,COUNTA(States!$A:$A)),1)</f>
        <v>10</v>
      </c>
      <c r="H1397" s="7" t="str">
        <f ca="1">VLOOKUP($D1397,Name!$A:$C,3,FALSE)</f>
        <v>F</v>
      </c>
      <c r="I1397" s="7" cm="1">
        <f t="array" aca="1" ref="I1397" ca="1">INDEX('Marital status'!$A:$A,RANDBETWEEN(2,COUNTA('Marital status'!$A:$A)),1)</f>
        <v>6</v>
      </c>
      <c r="J1397" s="7">
        <f t="shared" ca="1" si="255"/>
        <v>4</v>
      </c>
      <c r="K1397" s="8">
        <f t="shared" ca="1" si="256"/>
        <v>36884</v>
      </c>
      <c r="L1397" s="6">
        <f t="shared" ca="1" si="257"/>
        <v>5</v>
      </c>
      <c r="M1397" s="7">
        <f ca="1" xml:space="preserve">
  IF(OR($N1397 = 2, $N1397 = 3, $N1397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397" s="6">
        <f t="shared" ca="1" si="258"/>
        <v>8</v>
      </c>
      <c r="O1397" s="6">
        <f t="shared" ca="1" si="259"/>
        <v>4</v>
      </c>
      <c r="P1397" s="8">
        <f t="shared" ca="1" si="260"/>
        <v>39467</v>
      </c>
      <c r="Q1397" s="6">
        <f ca="1">RANDBETWEEN(2,COUNTA('Recruitment source'!$A:$A))</f>
        <v>9</v>
      </c>
      <c r="R1397" s="8" t="e">
        <f t="shared" ca="1" si="261"/>
        <v>#N/A</v>
      </c>
      <c r="S1397" s="6" t="e">
        <f t="shared" ca="1" si="262"/>
        <v>#N/A</v>
      </c>
      <c r="T1397" s="6">
        <f t="shared" ca="1" si="252"/>
        <v>4</v>
      </c>
      <c r="U1397" s="1">
        <f t="shared" ca="1" si="263"/>
        <v>2080</v>
      </c>
    </row>
    <row r="1398" spans="1:21" x14ac:dyDescent="0.2">
      <c r="A1398" s="7" cm="1">
        <f t="array" aca="1" ref="A1398" ca="1">INDEX(Companies!$A:$A,RANDBETWEEN(2,COUNTA(Companies!$A:$A)),1)</f>
        <v>2</v>
      </c>
      <c r="B1398" s="5">
        <f t="shared" si="253"/>
        <v>1397</v>
      </c>
      <c r="C1398" s="6">
        <f t="shared" ca="1" si="254"/>
        <v>1</v>
      </c>
      <c r="D1398" s="7">
        <f ca="1">IF($B1398 = 1 + N("Presidente"),
    127,
    IF($B1398 = 2 + N("Vice-Presidente"),
        72,
        IF($B1398 = 3 + N("Secretária bilíngue"),
            13,
            RANDBETWEEN(5,COUNT(Name!$A:$A) + 1)
        )
    )
)</f>
        <v>231</v>
      </c>
      <c r="E1398" s="7" t="str">
        <f ca="1" xml:space="preserve">
VLOOKUP(
  $D1398,
  Name!$A:$B,
  2,
  FALSE
)
&amp; " " &amp;
IF($B1398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Lorenna Alvarenga Sá</v>
      </c>
      <c r="F1398" s="7">
        <v>2</v>
      </c>
      <c r="G1398" s="7" cm="1">
        <f t="array" aca="1" ref="G1398" ca="1">INDEX(States!$B:$B,RANDBETWEEN(2,COUNTA(States!$A:$A)),1)</f>
        <v>16</v>
      </c>
      <c r="H1398" s="7" t="str">
        <f ca="1">VLOOKUP($D1398,Name!$A:$C,3,FALSE)</f>
        <v>F</v>
      </c>
      <c r="I1398" s="7" cm="1">
        <f t="array" aca="1" ref="I1398" ca="1">INDEX('Marital status'!$A:$A,RANDBETWEEN(2,COUNTA('Marital status'!$A:$A)),1)</f>
        <v>5</v>
      </c>
      <c r="J1398" s="7">
        <f t="shared" ca="1" si="255"/>
        <v>2</v>
      </c>
      <c r="K1398" s="8">
        <f t="shared" ca="1" si="256"/>
        <v>29137</v>
      </c>
      <c r="L1398" s="6">
        <f t="shared" ca="1" si="257"/>
        <v>4</v>
      </c>
      <c r="M1398" s="7">
        <f ca="1" xml:space="preserve">
  IF(OR($N1398 = 2, $N1398 = 3, $N1398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398" s="6">
        <f t="shared" ca="1" si="258"/>
        <v>7</v>
      </c>
      <c r="O1398" s="6" t="e">
        <f t="shared" ca="1" si="259"/>
        <v>#N/A</v>
      </c>
      <c r="P1398" s="8">
        <f t="shared" ca="1" si="260"/>
        <v>40304</v>
      </c>
      <c r="Q1398" s="6">
        <f ca="1">RANDBETWEEN(2,COUNTA('Recruitment source'!$A:$A))</f>
        <v>2</v>
      </c>
      <c r="R1398" s="8" t="e">
        <f t="shared" ca="1" si="261"/>
        <v>#N/A</v>
      </c>
      <c r="S1398" s="6" t="e">
        <f t="shared" ca="1" si="262"/>
        <v>#N/A</v>
      </c>
      <c r="T1398" s="6">
        <f t="shared" ca="1" si="252"/>
        <v>2</v>
      </c>
      <c r="U1398" s="1">
        <f t="shared" ca="1" si="263"/>
        <v>1085</v>
      </c>
    </row>
    <row r="1399" spans="1:21" x14ac:dyDescent="0.2">
      <c r="A1399" s="7" cm="1">
        <f t="array" aca="1" ref="A1399" ca="1">INDEX(Companies!$A:$A,RANDBETWEEN(2,COUNTA(Companies!$A:$A)),1)</f>
        <v>2</v>
      </c>
      <c r="B1399" s="5">
        <f t="shared" si="253"/>
        <v>1398</v>
      </c>
      <c r="C1399" s="6">
        <f t="shared" ca="1" si="254"/>
        <v>1</v>
      </c>
      <c r="D1399" s="7">
        <f ca="1">IF($B1399 = 1 + N("Presidente"),
    127,
    IF($B1399 = 2 + N("Vice-Presidente"),
        72,
        IF($B1399 = 3 + N("Secretária bilíngue"),
            13,
            RANDBETWEEN(5,COUNT(Name!$A:$A) + 1)
        )
    )
)</f>
        <v>126</v>
      </c>
      <c r="E1399" s="7" t="str">
        <f ca="1" xml:space="preserve">
VLOOKUP(
  $D1399,
  Name!$A:$B,
  2,
  FALSE
)
&amp; " " &amp;
IF($B1399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Enrico Ricci Rizzo</v>
      </c>
      <c r="F1399" s="7">
        <v>2</v>
      </c>
      <c r="G1399" s="7" cm="1">
        <f t="array" aca="1" ref="G1399" ca="1">INDEX(States!$B:$B,RANDBETWEEN(2,COUNTA(States!$A:$A)),1)</f>
        <v>15</v>
      </c>
      <c r="H1399" s="7" t="str">
        <f ca="1">VLOOKUP($D1399,Name!$A:$C,3,FALSE)</f>
        <v>M</v>
      </c>
      <c r="I1399" s="7" cm="1">
        <f t="array" aca="1" ref="I1399" ca="1">INDEX('Marital status'!$A:$A,RANDBETWEEN(2,COUNTA('Marital status'!$A:$A)),1)</f>
        <v>3</v>
      </c>
      <c r="J1399" s="7">
        <f t="shared" ca="1" si="255"/>
        <v>2</v>
      </c>
      <c r="K1399" s="8">
        <f t="shared" ca="1" si="256"/>
        <v>34738</v>
      </c>
      <c r="L1399" s="6">
        <f t="shared" ca="1" si="257"/>
        <v>5</v>
      </c>
      <c r="M1399" s="7">
        <f ca="1" xml:space="preserve">
  IF(OR($N1399 = 2, $N1399 = 3, $N1399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399" s="6">
        <f t="shared" ca="1" si="258"/>
        <v>8</v>
      </c>
      <c r="O1399" s="6">
        <f t="shared" ca="1" si="259"/>
        <v>2</v>
      </c>
      <c r="P1399" s="8">
        <f t="shared" ca="1" si="260"/>
        <v>42771</v>
      </c>
      <c r="Q1399" s="6">
        <f ca="1">RANDBETWEEN(2,COUNTA('Recruitment source'!$A:$A))</f>
        <v>10</v>
      </c>
      <c r="R1399" s="8" t="e">
        <f t="shared" ca="1" si="261"/>
        <v>#N/A</v>
      </c>
      <c r="S1399" s="6" t="e">
        <f t="shared" ca="1" si="262"/>
        <v>#N/A</v>
      </c>
      <c r="T1399" s="6">
        <f t="shared" ca="1" si="252"/>
        <v>5</v>
      </c>
      <c r="U1399" s="1">
        <f t="shared" ca="1" si="263"/>
        <v>2080</v>
      </c>
    </row>
    <row r="1400" spans="1:21" x14ac:dyDescent="0.2">
      <c r="A1400" s="7" cm="1">
        <f t="array" aca="1" ref="A1400" ca="1">INDEX(Companies!$A:$A,RANDBETWEEN(2,COUNTA(Companies!$A:$A)),1)</f>
        <v>2</v>
      </c>
      <c r="B1400" s="5">
        <f t="shared" si="253"/>
        <v>1399</v>
      </c>
      <c r="C1400" s="6">
        <f t="shared" ca="1" si="254"/>
        <v>1</v>
      </c>
      <c r="D1400" s="7">
        <f ca="1">IF($B1400 = 1 + N("Presidente"),
    127,
    IF($B1400 = 2 + N("Vice-Presidente"),
        72,
        IF($B1400 = 3 + N("Secretária bilíngue"),
            13,
            RANDBETWEEN(5,COUNT(Name!$A:$A) + 1)
        )
    )
)</f>
        <v>63</v>
      </c>
      <c r="E1400" s="7" t="str">
        <f ca="1" xml:space="preserve">
VLOOKUP(
  $D1400,
  Name!$A:$B,
  2,
  FALSE
)
&amp; " " &amp;
IF($B1400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Aurorah Sá Faria</v>
      </c>
      <c r="F1400" s="7">
        <v>2</v>
      </c>
      <c r="G1400" s="7" cm="1">
        <f t="array" aca="1" ref="G1400" ca="1">INDEX(States!$B:$B,RANDBETWEEN(2,COUNTA(States!$A:$A)),1)</f>
        <v>5</v>
      </c>
      <c r="H1400" s="7" t="str">
        <f ca="1">VLOOKUP($D1400,Name!$A:$C,3,FALSE)</f>
        <v>F</v>
      </c>
      <c r="I1400" s="7" cm="1">
        <f t="array" aca="1" ref="I1400" ca="1">INDEX('Marital status'!$A:$A,RANDBETWEEN(2,COUNTA('Marital status'!$A:$A)),1)</f>
        <v>6</v>
      </c>
      <c r="J1400" s="7">
        <f t="shared" ca="1" si="255"/>
        <v>3</v>
      </c>
      <c r="K1400" s="8">
        <f t="shared" ca="1" si="256"/>
        <v>18751</v>
      </c>
      <c r="L1400" s="6">
        <f t="shared" ca="1" si="257"/>
        <v>4</v>
      </c>
      <c r="M1400" s="7">
        <f ca="1" xml:space="preserve">
  IF(OR($N1400 = 2, $N1400 = 3, $N1400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400" s="6">
        <f t="shared" ca="1" si="258"/>
        <v>6</v>
      </c>
      <c r="O1400" s="6" t="e">
        <f t="shared" ca="1" si="259"/>
        <v>#N/A</v>
      </c>
      <c r="P1400" s="8">
        <f t="shared" ca="1" si="260"/>
        <v>36780</v>
      </c>
      <c r="Q1400" s="6">
        <f ca="1">RANDBETWEEN(2,COUNTA('Recruitment source'!$A:$A))</f>
        <v>5</v>
      </c>
      <c r="R1400" s="8" t="e">
        <f t="shared" ca="1" si="261"/>
        <v>#N/A</v>
      </c>
      <c r="S1400" s="6" t="e">
        <f t="shared" ca="1" si="262"/>
        <v>#N/A</v>
      </c>
      <c r="T1400" s="6">
        <f t="shared" ca="1" si="252"/>
        <v>2</v>
      </c>
      <c r="U1400" s="1">
        <f t="shared" ca="1" si="263"/>
        <v>805</v>
      </c>
    </row>
    <row r="1401" spans="1:21" x14ac:dyDescent="0.2">
      <c r="A1401" s="7" cm="1">
        <f t="array" aca="1" ref="A1401" ca="1">INDEX(Companies!$A:$A,RANDBETWEEN(2,COUNTA(Companies!$A:$A)),1)</f>
        <v>2</v>
      </c>
      <c r="B1401" s="5">
        <f t="shared" si="253"/>
        <v>1400</v>
      </c>
      <c r="C1401" s="6">
        <f t="shared" ca="1" si="254"/>
        <v>1</v>
      </c>
      <c r="D1401" s="7">
        <f ca="1">IF($B1401 = 1 + N("Presidente"),
    127,
    IF($B1401 = 2 + N("Vice-Presidente"),
        72,
        IF($B1401 = 3 + N("Secretária bilíngue"),
            13,
            RANDBETWEEN(5,COUNT(Name!$A:$A) + 1)
        )
    )
)</f>
        <v>142</v>
      </c>
      <c r="E1401" s="7" t="str">
        <f ca="1" xml:space="preserve">
VLOOKUP(
  $D1401,
  Name!$A:$B,
  2,
  FALSE
)
&amp; " " &amp;
IF($B1401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Flaviano Ildelfonso Bactista</v>
      </c>
      <c r="F1401" s="7">
        <v>2</v>
      </c>
      <c r="G1401" s="7" cm="1">
        <f t="array" aca="1" ref="G1401" ca="1">INDEX(States!$B:$B,RANDBETWEEN(2,COUNTA(States!$A:$A)),1)</f>
        <v>11</v>
      </c>
      <c r="H1401" s="7" t="str">
        <f ca="1">VLOOKUP($D1401,Name!$A:$C,3,FALSE)</f>
        <v>M</v>
      </c>
      <c r="I1401" s="7" cm="1">
        <f t="array" aca="1" ref="I1401" ca="1">INDEX('Marital status'!$A:$A,RANDBETWEEN(2,COUNTA('Marital status'!$A:$A)),1)</f>
        <v>4</v>
      </c>
      <c r="J1401" s="7">
        <f t="shared" ca="1" si="255"/>
        <v>2</v>
      </c>
      <c r="K1401" s="8">
        <f t="shared" ca="1" si="256"/>
        <v>32668</v>
      </c>
      <c r="L1401" s="6">
        <f t="shared" ca="1" si="257"/>
        <v>4</v>
      </c>
      <c r="M1401" s="7">
        <f ca="1" xml:space="preserve">
  IF(OR($N1401 = 2, $N1401 = 3, $N1401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401" s="6">
        <f t="shared" ca="1" si="258"/>
        <v>8</v>
      </c>
      <c r="O1401" s="6">
        <f t="shared" ca="1" si="259"/>
        <v>3</v>
      </c>
      <c r="P1401" s="8">
        <f t="shared" ca="1" si="260"/>
        <v>41639</v>
      </c>
      <c r="Q1401" s="6">
        <f ca="1">RANDBETWEEN(2,COUNTA('Recruitment source'!$A:$A))</f>
        <v>10</v>
      </c>
      <c r="R1401" s="8" t="e">
        <f t="shared" ca="1" si="261"/>
        <v>#N/A</v>
      </c>
      <c r="S1401" s="6" t="e">
        <f t="shared" ca="1" si="262"/>
        <v>#N/A</v>
      </c>
      <c r="T1401" s="6">
        <f t="shared" ca="1" si="252"/>
        <v>5</v>
      </c>
      <c r="U1401" s="1">
        <f t="shared" ca="1" si="263"/>
        <v>2000</v>
      </c>
    </row>
    <row r="1402" spans="1:21" x14ac:dyDescent="0.2">
      <c r="A1402" s="7" cm="1">
        <f t="array" aca="1" ref="A1402" ca="1">INDEX(Companies!$A:$A,RANDBETWEEN(2,COUNTA(Companies!$A:$A)),1)</f>
        <v>2</v>
      </c>
      <c r="B1402" s="5">
        <f t="shared" si="253"/>
        <v>1401</v>
      </c>
      <c r="C1402" s="6">
        <f t="shared" ca="1" si="254"/>
        <v>1</v>
      </c>
      <c r="D1402" s="7">
        <f ca="1">IF($B1402 = 1 + N("Presidente"),
    127,
    IF($B1402 = 2 + N("Vice-Presidente"),
        72,
        IF($B1402 = 3 + N("Secretária bilíngue"),
            13,
            RANDBETWEEN(5,COUNT(Name!$A:$A) + 1)
        )
    )
)</f>
        <v>183</v>
      </c>
      <c r="E1402" s="7" t="str">
        <f ca="1" xml:space="preserve">
VLOOKUP(
  $D1402,
  Name!$A:$B,
  2,
  FALSE
)
&amp; " " &amp;
IF($B1402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Joanah Andrade Bandeira</v>
      </c>
      <c r="F1402" s="7">
        <v>2</v>
      </c>
      <c r="G1402" s="7" cm="1">
        <f t="array" aca="1" ref="G1402" ca="1">INDEX(States!$B:$B,RANDBETWEEN(2,COUNTA(States!$A:$A)),1)</f>
        <v>6</v>
      </c>
      <c r="H1402" s="7" t="str">
        <f ca="1">VLOOKUP($D1402,Name!$A:$C,3,FALSE)</f>
        <v>F</v>
      </c>
      <c r="I1402" s="7" cm="1">
        <f t="array" aca="1" ref="I1402" ca="1">INDEX('Marital status'!$A:$A,RANDBETWEEN(2,COUNTA('Marital status'!$A:$A)),1)</f>
        <v>4</v>
      </c>
      <c r="J1402" s="7">
        <f t="shared" ca="1" si="255"/>
        <v>2</v>
      </c>
      <c r="K1402" s="8">
        <f t="shared" ca="1" si="256"/>
        <v>33063</v>
      </c>
      <c r="L1402" s="6">
        <f t="shared" ca="1" si="257"/>
        <v>4</v>
      </c>
      <c r="M1402" s="7">
        <f ca="1" xml:space="preserve">
  IF(OR($N1402 = 2, $N1402 = 3, $N1402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402" s="6">
        <f t="shared" ca="1" si="258"/>
        <v>7</v>
      </c>
      <c r="O1402" s="6" t="e">
        <f t="shared" ca="1" si="259"/>
        <v>#N/A</v>
      </c>
      <c r="P1402" s="8">
        <f t="shared" ca="1" si="260"/>
        <v>39054</v>
      </c>
      <c r="Q1402" s="6">
        <f ca="1">RANDBETWEEN(2,COUNTA('Recruitment source'!$A:$A))</f>
        <v>8</v>
      </c>
      <c r="R1402" s="8" t="e">
        <f t="shared" ca="1" si="261"/>
        <v>#N/A</v>
      </c>
      <c r="S1402" s="6" t="e">
        <f t="shared" ca="1" si="262"/>
        <v>#N/A</v>
      </c>
      <c r="T1402" s="6">
        <f t="shared" ca="1" si="252"/>
        <v>3</v>
      </c>
      <c r="U1402" s="1">
        <f t="shared" ca="1" si="263"/>
        <v>1085</v>
      </c>
    </row>
    <row r="1403" spans="1:21" x14ac:dyDescent="0.2">
      <c r="A1403" s="7" cm="1">
        <f t="array" aca="1" ref="A1403" ca="1">INDEX(Companies!$A:$A,RANDBETWEEN(2,COUNTA(Companies!$A:$A)),1)</f>
        <v>2</v>
      </c>
      <c r="B1403" s="5">
        <f t="shared" si="253"/>
        <v>1402</v>
      </c>
      <c r="C1403" s="6">
        <f t="shared" ca="1" si="254"/>
        <v>1</v>
      </c>
      <c r="D1403" s="7">
        <f ca="1">IF($B1403 = 1 + N("Presidente"),
    127,
    IF($B1403 = 2 + N("Vice-Presidente"),
        72,
        IF($B1403 = 3 + N("Secretária bilíngue"),
            13,
            RANDBETWEEN(5,COUNT(Name!$A:$A) + 1)
        )
    )
)</f>
        <v>18</v>
      </c>
      <c r="E1403" s="7" t="str">
        <f ca="1" xml:space="preserve">
VLOOKUP(
  $D1403,
  Name!$A:$B,
  2,
  FALSE
)
&amp; " " &amp;
IF($B1403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Alícia Miranda Leone</v>
      </c>
      <c r="F1403" s="7">
        <v>2</v>
      </c>
      <c r="G1403" s="7" cm="1">
        <f t="array" aca="1" ref="G1403" ca="1">INDEX(States!$B:$B,RANDBETWEEN(2,COUNTA(States!$A:$A)),1)</f>
        <v>11</v>
      </c>
      <c r="H1403" s="7" t="str">
        <f ca="1">VLOOKUP($D1403,Name!$A:$C,3,FALSE)</f>
        <v>F</v>
      </c>
      <c r="I1403" s="7" cm="1">
        <f t="array" aca="1" ref="I1403" ca="1">INDEX('Marital status'!$A:$A,RANDBETWEEN(2,COUNTA('Marital status'!$A:$A)),1)</f>
        <v>5</v>
      </c>
      <c r="J1403" s="7">
        <f t="shared" ca="1" si="255"/>
        <v>2</v>
      </c>
      <c r="K1403" s="8">
        <f t="shared" ca="1" si="256"/>
        <v>32903</v>
      </c>
      <c r="L1403" s="6">
        <f t="shared" ca="1" si="257"/>
        <v>5</v>
      </c>
      <c r="M1403" s="7">
        <f ca="1" xml:space="preserve">
  IF(OR($N1403 = 2, $N1403 = 3, $N1403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403" s="6">
        <f t="shared" ca="1" si="258"/>
        <v>8</v>
      </c>
      <c r="O1403" s="6">
        <f t="shared" ca="1" si="259"/>
        <v>3</v>
      </c>
      <c r="P1403" s="8">
        <f t="shared" ca="1" si="260"/>
        <v>38177</v>
      </c>
      <c r="Q1403" s="6">
        <f ca="1">RANDBETWEEN(2,COUNTA('Recruitment source'!$A:$A))</f>
        <v>9</v>
      </c>
      <c r="R1403" s="8" t="e">
        <f t="shared" ca="1" si="261"/>
        <v>#N/A</v>
      </c>
      <c r="S1403" s="6" t="e">
        <f t="shared" ca="1" si="262"/>
        <v>#N/A</v>
      </c>
      <c r="T1403" s="6">
        <f t="shared" ca="1" si="252"/>
        <v>5</v>
      </c>
      <c r="U1403" s="1">
        <f t="shared" ca="1" si="263"/>
        <v>2000</v>
      </c>
    </row>
    <row r="1404" spans="1:21" x14ac:dyDescent="0.2">
      <c r="A1404" s="7" cm="1">
        <f t="array" aca="1" ref="A1404" ca="1">INDEX(Companies!$A:$A,RANDBETWEEN(2,COUNTA(Companies!$A:$A)),1)</f>
        <v>2</v>
      </c>
      <c r="B1404" s="5">
        <f t="shared" si="253"/>
        <v>1403</v>
      </c>
      <c r="C1404" s="6">
        <f t="shared" ca="1" si="254"/>
        <v>1</v>
      </c>
      <c r="D1404" s="7">
        <f ca="1">IF($B1404 = 1 + N("Presidente"),
    127,
    IF($B1404 = 2 + N("Vice-Presidente"),
        72,
        IF($B1404 = 3 + N("Secretária bilíngue"),
            13,
            RANDBETWEEN(5,COUNT(Name!$A:$A) + 1)
        )
    )
)</f>
        <v>273</v>
      </c>
      <c r="E1404" s="7" t="str">
        <f ca="1" xml:space="preserve">
VLOOKUP(
  $D1404,
  Name!$A:$B,
  2,
  FALSE
)
&amp; " " &amp;
IF($B1404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Sophia Santoro Cunha</v>
      </c>
      <c r="F1404" s="7">
        <v>2</v>
      </c>
      <c r="G1404" s="7" cm="1">
        <f t="array" aca="1" ref="G1404" ca="1">INDEX(States!$B:$B,RANDBETWEEN(2,COUNTA(States!$A:$A)),1)</f>
        <v>21</v>
      </c>
      <c r="H1404" s="7" t="str">
        <f ca="1">VLOOKUP($D1404,Name!$A:$C,3,FALSE)</f>
        <v>F</v>
      </c>
      <c r="I1404" s="7" cm="1">
        <f t="array" aca="1" ref="I1404" ca="1">INDEX('Marital status'!$A:$A,RANDBETWEEN(2,COUNTA('Marital status'!$A:$A)),1)</f>
        <v>3</v>
      </c>
      <c r="J1404" s="7">
        <f t="shared" ca="1" si="255"/>
        <v>2</v>
      </c>
      <c r="K1404" s="8">
        <f t="shared" ca="1" si="256"/>
        <v>30898</v>
      </c>
      <c r="L1404" s="6">
        <f t="shared" ca="1" si="257"/>
        <v>4</v>
      </c>
      <c r="M1404" s="7">
        <f ca="1" xml:space="preserve">
  IF(OR($N1404 = 2, $N1404 = 3, $N1404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404" s="6">
        <f t="shared" ca="1" si="258"/>
        <v>6</v>
      </c>
      <c r="O1404" s="6" t="e">
        <f t="shared" ca="1" si="259"/>
        <v>#N/A</v>
      </c>
      <c r="P1404" s="8">
        <f t="shared" ca="1" si="260"/>
        <v>36474</v>
      </c>
      <c r="Q1404" s="6">
        <f ca="1">RANDBETWEEN(2,COUNTA('Recruitment source'!$A:$A))</f>
        <v>11</v>
      </c>
      <c r="R1404" s="8" t="e">
        <f t="shared" ca="1" si="261"/>
        <v>#N/A</v>
      </c>
      <c r="S1404" s="6" t="e">
        <f t="shared" ca="1" si="262"/>
        <v>#N/A</v>
      </c>
      <c r="T1404" s="6">
        <f t="shared" ca="1" si="252"/>
        <v>3</v>
      </c>
      <c r="U1404" s="1">
        <f t="shared" ca="1" si="263"/>
        <v>805</v>
      </c>
    </row>
    <row r="1405" spans="1:21" x14ac:dyDescent="0.2">
      <c r="A1405" s="7" cm="1">
        <f t="array" aca="1" ref="A1405" ca="1">INDEX(Companies!$A:$A,RANDBETWEEN(2,COUNTA(Companies!$A:$A)),1)</f>
        <v>2</v>
      </c>
      <c r="B1405" s="5">
        <f t="shared" si="253"/>
        <v>1404</v>
      </c>
      <c r="C1405" s="6">
        <f t="shared" ca="1" si="254"/>
        <v>1</v>
      </c>
      <c r="D1405" s="7">
        <f ca="1">IF($B1405 = 1 + N("Presidente"),
    127,
    IF($B1405 = 2 + N("Vice-Presidente"),
        72,
        IF($B1405 = 3 + N("Secretária bilíngue"),
            13,
            RANDBETWEEN(5,COUNT(Name!$A:$A) + 1)
        )
    )
)</f>
        <v>269</v>
      </c>
      <c r="E1405" s="7" t="str">
        <f ca="1" xml:space="preserve">
VLOOKUP(
  $D1405,
  Name!$A:$B,
  2,
  FALSE
)
&amp; " " &amp;
IF($B1405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Júlia Martins Vaz</v>
      </c>
      <c r="F1405" s="7">
        <v>2</v>
      </c>
      <c r="G1405" s="7" cm="1">
        <f t="array" aca="1" ref="G1405" ca="1">INDEX(States!$B:$B,RANDBETWEEN(2,COUNTA(States!$A:$A)),1)</f>
        <v>6</v>
      </c>
      <c r="H1405" s="7" t="str">
        <f ca="1">VLOOKUP($D1405,Name!$A:$C,3,FALSE)</f>
        <v>F</v>
      </c>
      <c r="I1405" s="7" cm="1">
        <f t="array" aca="1" ref="I1405" ca="1">INDEX('Marital status'!$A:$A,RANDBETWEEN(2,COUNTA('Marital status'!$A:$A)),1)</f>
        <v>5</v>
      </c>
      <c r="J1405" s="7">
        <f t="shared" ca="1" si="255"/>
        <v>2</v>
      </c>
      <c r="K1405" s="8">
        <f t="shared" ca="1" si="256"/>
        <v>32639</v>
      </c>
      <c r="L1405" s="6">
        <f t="shared" ca="1" si="257"/>
        <v>5</v>
      </c>
      <c r="M1405" s="7">
        <f ca="1" xml:space="preserve">
  IF(OR($N1405 = 2, $N1405 = 3, $N1405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405" s="6">
        <f t="shared" ca="1" si="258"/>
        <v>8</v>
      </c>
      <c r="O1405" s="6">
        <f t="shared" ca="1" si="259"/>
        <v>4</v>
      </c>
      <c r="P1405" s="8">
        <f t="shared" ca="1" si="260"/>
        <v>41776</v>
      </c>
      <c r="Q1405" s="6">
        <f ca="1">RANDBETWEEN(2,COUNTA('Recruitment source'!$A:$A))</f>
        <v>10</v>
      </c>
      <c r="R1405" s="8" t="e">
        <f t="shared" ca="1" si="261"/>
        <v>#N/A</v>
      </c>
      <c r="S1405" s="6" t="e">
        <f t="shared" ca="1" si="262"/>
        <v>#N/A</v>
      </c>
      <c r="T1405" s="6">
        <f t="shared" ca="1" si="252"/>
        <v>3</v>
      </c>
      <c r="U1405" s="1">
        <f t="shared" ca="1" si="263"/>
        <v>2000</v>
      </c>
    </row>
    <row r="1406" spans="1:21" x14ac:dyDescent="0.2">
      <c r="A1406" s="7" cm="1">
        <f t="array" aca="1" ref="A1406" ca="1">INDEX(Companies!$A:$A,RANDBETWEEN(2,COUNTA(Companies!$A:$A)),1)</f>
        <v>2</v>
      </c>
      <c r="B1406" s="5">
        <f t="shared" si="253"/>
        <v>1405</v>
      </c>
      <c r="C1406" s="6">
        <f t="shared" ca="1" si="254"/>
        <v>1</v>
      </c>
      <c r="D1406" s="7">
        <f ca="1">IF($B1406 = 1 + N("Presidente"),
    127,
    IF($B1406 = 2 + N("Vice-Presidente"),
        72,
        IF($B1406 = 3 + N("Secretária bilíngue"),
            13,
            RANDBETWEEN(5,COUNT(Name!$A:$A) + 1)
        )
    )
)</f>
        <v>224</v>
      </c>
      <c r="E1406" s="7" t="str">
        <f ca="1" xml:space="preserve">
VLOOKUP(
  $D1406,
  Name!$A:$B,
  2,
  FALSE
)
&amp; " " &amp;
IF($B1406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Letícia Oliveira Pasquim</v>
      </c>
      <c r="F1406" s="7">
        <v>2</v>
      </c>
      <c r="G1406" s="7" cm="1">
        <f t="array" aca="1" ref="G1406" ca="1">INDEX(States!$B:$B,RANDBETWEEN(2,COUNTA(States!$A:$A)),1)</f>
        <v>10</v>
      </c>
      <c r="H1406" s="7" t="str">
        <f ca="1">VLOOKUP($D1406,Name!$A:$C,3,FALSE)</f>
        <v>F</v>
      </c>
      <c r="I1406" s="7" cm="1">
        <f t="array" aca="1" ref="I1406" ca="1">INDEX('Marital status'!$A:$A,RANDBETWEEN(2,COUNTA('Marital status'!$A:$A)),1)</f>
        <v>5</v>
      </c>
      <c r="J1406" s="7">
        <f t="shared" ca="1" si="255"/>
        <v>5</v>
      </c>
      <c r="K1406" s="8">
        <f t="shared" ca="1" si="256"/>
        <v>29236</v>
      </c>
      <c r="L1406" s="6">
        <f t="shared" ca="1" si="257"/>
        <v>4</v>
      </c>
      <c r="M1406" s="7">
        <f ca="1" xml:space="preserve">
  IF(OR($N1406 = 2, $N1406 = 3, $N1406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406" s="6">
        <f t="shared" ca="1" si="258"/>
        <v>7</v>
      </c>
      <c r="O1406" s="6" t="e">
        <f t="shared" ca="1" si="259"/>
        <v>#N/A</v>
      </c>
      <c r="P1406" s="8">
        <f t="shared" ca="1" si="260"/>
        <v>38183</v>
      </c>
      <c r="Q1406" s="6">
        <f ca="1">RANDBETWEEN(2,COUNTA('Recruitment source'!$A:$A))</f>
        <v>5</v>
      </c>
      <c r="R1406" s="8" t="e">
        <f t="shared" ca="1" si="261"/>
        <v>#N/A</v>
      </c>
      <c r="S1406" s="6" t="e">
        <f t="shared" ca="1" si="262"/>
        <v>#N/A</v>
      </c>
      <c r="T1406" s="6">
        <f t="shared" ca="1" si="252"/>
        <v>2</v>
      </c>
      <c r="U1406" s="1">
        <f t="shared" ca="1" si="263"/>
        <v>1005</v>
      </c>
    </row>
    <row r="1407" spans="1:21" x14ac:dyDescent="0.2">
      <c r="A1407" s="7" cm="1">
        <f t="array" aca="1" ref="A1407" ca="1">INDEX(Companies!$A:$A,RANDBETWEEN(2,COUNTA(Companies!$A:$A)),1)</f>
        <v>2</v>
      </c>
      <c r="B1407" s="5">
        <f t="shared" si="253"/>
        <v>1406</v>
      </c>
      <c r="C1407" s="6">
        <f t="shared" ca="1" si="254"/>
        <v>1</v>
      </c>
      <c r="D1407" s="7">
        <f ca="1">IF($B1407 = 1 + N("Presidente"),
    127,
    IF($B1407 = 2 + N("Vice-Presidente"),
        72,
        IF($B1407 = 3 + N("Secretária bilíngue"),
            13,
            RANDBETWEEN(5,COUNT(Name!$A:$A) + 1)
        )
    )
)</f>
        <v>155</v>
      </c>
      <c r="E1407" s="7" t="str">
        <f ca="1" xml:space="preserve">
VLOOKUP(
  $D1407,
  Name!$A:$B,
  2,
  FALSE
)
&amp; " " &amp;
IF($B1407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Gloria Arruda Freitas</v>
      </c>
      <c r="F1407" s="7">
        <v>2</v>
      </c>
      <c r="G1407" s="7" cm="1">
        <f t="array" aca="1" ref="G1407" ca="1">INDEX(States!$B:$B,RANDBETWEEN(2,COUNTA(States!$A:$A)),1)</f>
        <v>11</v>
      </c>
      <c r="H1407" s="7" t="str">
        <f ca="1">VLOOKUP($D1407,Name!$A:$C,3,FALSE)</f>
        <v>F</v>
      </c>
      <c r="I1407" s="7" cm="1">
        <f t="array" aca="1" ref="I1407" ca="1">INDEX('Marital status'!$A:$A,RANDBETWEEN(2,COUNTA('Marital status'!$A:$A)),1)</f>
        <v>4</v>
      </c>
      <c r="J1407" s="7">
        <f t="shared" ca="1" si="255"/>
        <v>3</v>
      </c>
      <c r="K1407" s="8">
        <f t="shared" ca="1" si="256"/>
        <v>32667</v>
      </c>
      <c r="L1407" s="6">
        <f t="shared" ca="1" si="257"/>
        <v>5</v>
      </c>
      <c r="M1407" s="7">
        <f ca="1" xml:space="preserve">
  IF(OR($N1407 = 2, $N1407 = 3, $N1407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407" s="6">
        <f t="shared" ca="1" si="258"/>
        <v>8</v>
      </c>
      <c r="O1407" s="6">
        <f t="shared" ca="1" si="259"/>
        <v>4</v>
      </c>
      <c r="P1407" s="8">
        <f t="shared" ca="1" si="260"/>
        <v>40786</v>
      </c>
      <c r="Q1407" s="6">
        <f ca="1">RANDBETWEEN(2,COUNTA('Recruitment source'!$A:$A))</f>
        <v>2</v>
      </c>
      <c r="R1407" s="8" t="e">
        <f t="shared" ca="1" si="261"/>
        <v>#N/A</v>
      </c>
      <c r="S1407" s="6" t="e">
        <f t="shared" ca="1" si="262"/>
        <v>#N/A</v>
      </c>
      <c r="T1407" s="6">
        <f t="shared" ca="1" si="252"/>
        <v>4</v>
      </c>
      <c r="U1407" s="1">
        <f t="shared" ca="1" si="263"/>
        <v>2000</v>
      </c>
    </row>
    <row r="1408" spans="1:21" x14ac:dyDescent="0.2">
      <c r="A1408" s="7" cm="1">
        <f t="array" aca="1" ref="A1408" ca="1">INDEX(Companies!$A:$A,RANDBETWEEN(2,COUNTA(Companies!$A:$A)),1)</f>
        <v>2</v>
      </c>
      <c r="B1408" s="5">
        <f t="shared" si="253"/>
        <v>1407</v>
      </c>
      <c r="C1408" s="6">
        <f t="shared" ca="1" si="254"/>
        <v>1</v>
      </c>
      <c r="D1408" s="7">
        <f ca="1">IF($B1408 = 1 + N("Presidente"),
    127,
    IF($B1408 = 2 + N("Vice-Presidente"),
        72,
        IF($B1408 = 3 + N("Secretária bilíngue"),
            13,
            RANDBETWEEN(5,COUNT(Name!$A:$A) + 1)
        )
    )
)</f>
        <v>6</v>
      </c>
      <c r="E1408" s="7" t="str">
        <f ca="1" xml:space="preserve">
VLOOKUP(
  $D1408,
  Name!$A:$B,
  2,
  FALSE
)
&amp; " " &amp;
IF($B1408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Abigail Monteiro Luz</v>
      </c>
      <c r="F1408" s="7">
        <v>2</v>
      </c>
      <c r="G1408" s="7" cm="1">
        <f t="array" aca="1" ref="G1408" ca="1">INDEX(States!$B:$B,RANDBETWEEN(2,COUNTA(States!$A:$A)),1)</f>
        <v>8</v>
      </c>
      <c r="H1408" s="7" t="str">
        <f ca="1">VLOOKUP($D1408,Name!$A:$C,3,FALSE)</f>
        <v>F</v>
      </c>
      <c r="I1408" s="7" cm="1">
        <f t="array" aca="1" ref="I1408" ca="1">INDEX('Marital status'!$A:$A,RANDBETWEEN(2,COUNTA('Marital status'!$A:$A)),1)</f>
        <v>4</v>
      </c>
      <c r="J1408" s="7">
        <f t="shared" ca="1" si="255"/>
        <v>4</v>
      </c>
      <c r="K1408" s="8">
        <f t="shared" ca="1" si="256"/>
        <v>30511</v>
      </c>
      <c r="L1408" s="6">
        <f t="shared" ca="1" si="257"/>
        <v>4</v>
      </c>
      <c r="M1408" s="7">
        <f ca="1" xml:space="preserve">
  IF(OR($N1408 = 2, $N1408 = 3, $N1408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408" s="6">
        <f t="shared" ca="1" si="258"/>
        <v>7</v>
      </c>
      <c r="O1408" s="6" t="e">
        <f t="shared" ca="1" si="259"/>
        <v>#N/A</v>
      </c>
      <c r="P1408" s="8">
        <f t="shared" ca="1" si="260"/>
        <v>44217</v>
      </c>
      <c r="Q1408" s="6">
        <f ca="1">RANDBETWEEN(2,COUNTA('Recruitment source'!$A:$A))</f>
        <v>8</v>
      </c>
      <c r="R1408" s="8" t="e">
        <f t="shared" ca="1" si="261"/>
        <v>#N/A</v>
      </c>
      <c r="S1408" s="6" t="e">
        <f t="shared" ca="1" si="262"/>
        <v>#N/A</v>
      </c>
      <c r="T1408" s="6">
        <f t="shared" ca="1" si="252"/>
        <v>3</v>
      </c>
      <c r="U1408" s="1">
        <f t="shared" ca="1" si="263"/>
        <v>1085</v>
      </c>
    </row>
    <row r="1409" spans="1:21" x14ac:dyDescent="0.2">
      <c r="A1409" s="7" cm="1">
        <f t="array" aca="1" ref="A1409" ca="1">INDEX(Companies!$A:$A,RANDBETWEEN(2,COUNTA(Companies!$A:$A)),1)</f>
        <v>2</v>
      </c>
      <c r="B1409" s="5">
        <f t="shared" si="253"/>
        <v>1408</v>
      </c>
      <c r="C1409" s="6">
        <f t="shared" ca="1" si="254"/>
        <v>1</v>
      </c>
      <c r="D1409" s="7">
        <f ca="1">IF($B1409 = 1 + N("Presidente"),
    127,
    IF($B1409 = 2 + N("Vice-Presidente"),
        72,
        IF($B1409 = 3 + N("Secretária bilíngue"),
            13,
            RANDBETWEEN(5,COUNT(Name!$A:$A) + 1)
        )
    )
)</f>
        <v>330</v>
      </c>
      <c r="E1409" s="7" t="str">
        <f ca="1" xml:space="preserve">
VLOOKUP(
  $D1409,
  Name!$A:$B,
  2,
  FALSE
)
&amp; " " &amp;
IF($B1409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Rebecca Borba Poeta</v>
      </c>
      <c r="F1409" s="7">
        <v>2</v>
      </c>
      <c r="G1409" s="7" cm="1">
        <f t="array" aca="1" ref="G1409" ca="1">INDEX(States!$B:$B,RANDBETWEEN(2,COUNTA(States!$A:$A)),1)</f>
        <v>13</v>
      </c>
      <c r="H1409" s="7" t="str">
        <f ca="1">VLOOKUP($D1409,Name!$A:$C,3,FALSE)</f>
        <v>F</v>
      </c>
      <c r="I1409" s="7" cm="1">
        <f t="array" aca="1" ref="I1409" ca="1">INDEX('Marital status'!$A:$A,RANDBETWEEN(2,COUNTA('Marital status'!$A:$A)),1)</f>
        <v>6</v>
      </c>
      <c r="J1409" s="7">
        <f t="shared" ca="1" si="255"/>
        <v>2</v>
      </c>
      <c r="K1409" s="8">
        <f t="shared" ca="1" si="256"/>
        <v>33437</v>
      </c>
      <c r="L1409" s="6">
        <f t="shared" ca="1" si="257"/>
        <v>4</v>
      </c>
      <c r="M1409" s="7">
        <f ca="1" xml:space="preserve">
  IF(OR($N1409 = 2, $N1409 = 3, $N1409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409" s="6">
        <f t="shared" ca="1" si="258"/>
        <v>8</v>
      </c>
      <c r="O1409" s="6">
        <f t="shared" ca="1" si="259"/>
        <v>3</v>
      </c>
      <c r="P1409" s="8">
        <f t="shared" ca="1" si="260"/>
        <v>37943</v>
      </c>
      <c r="Q1409" s="6">
        <f ca="1">RANDBETWEEN(2,COUNTA('Recruitment source'!$A:$A))</f>
        <v>8</v>
      </c>
      <c r="R1409" s="8" t="e">
        <f t="shared" ca="1" si="261"/>
        <v>#N/A</v>
      </c>
      <c r="S1409" s="6" t="e">
        <f t="shared" ca="1" si="262"/>
        <v>#N/A</v>
      </c>
      <c r="T1409" s="6">
        <f t="shared" ca="1" si="252"/>
        <v>2</v>
      </c>
      <c r="U1409" s="1">
        <f t="shared" ca="1" si="263"/>
        <v>2080</v>
      </c>
    </row>
    <row r="1410" spans="1:21" x14ac:dyDescent="0.2">
      <c r="A1410" s="7" cm="1">
        <f t="array" aca="1" ref="A1410" ca="1">INDEX(Companies!$A:$A,RANDBETWEEN(2,COUNTA(Companies!$A:$A)),1)</f>
        <v>2</v>
      </c>
      <c r="B1410" s="5">
        <f t="shared" si="253"/>
        <v>1409</v>
      </c>
      <c r="C1410" s="6">
        <f t="shared" ca="1" si="254"/>
        <v>1</v>
      </c>
      <c r="D1410" s="7">
        <f ca="1">IF($B1410 = 1 + N("Presidente"),
    127,
    IF($B1410 = 2 + N("Vice-Presidente"),
        72,
        IF($B1410 = 3 + N("Secretária bilíngue"),
            13,
            RANDBETWEEN(5,COUNT(Name!$A:$A) + 1)
        )
    )
)</f>
        <v>86</v>
      </c>
      <c r="E1410" s="7" t="str">
        <f ca="1" xml:space="preserve">
VLOOKUP(
  $D1410,
  Name!$A:$B,
  2,
  FALSE
)
&amp; " " &amp;
IF($B1410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Carolina Gomes Alvarenga</v>
      </c>
      <c r="F1410" s="7">
        <v>2</v>
      </c>
      <c r="G1410" s="7" cm="1">
        <f t="array" aca="1" ref="G1410" ca="1">INDEX(States!$B:$B,RANDBETWEEN(2,COUNTA(States!$A:$A)),1)</f>
        <v>11</v>
      </c>
      <c r="H1410" s="7" t="str">
        <f ca="1">VLOOKUP($D1410,Name!$A:$C,3,FALSE)</f>
        <v>F</v>
      </c>
      <c r="I1410" s="7" cm="1">
        <f t="array" aca="1" ref="I1410" ca="1">INDEX('Marital status'!$A:$A,RANDBETWEEN(2,COUNTA('Marital status'!$A:$A)),1)</f>
        <v>3</v>
      </c>
      <c r="J1410" s="7">
        <f t="shared" ca="1" si="255"/>
        <v>2</v>
      </c>
      <c r="K1410" s="8">
        <f t="shared" ca="1" si="256"/>
        <v>29650</v>
      </c>
      <c r="L1410" s="6">
        <f t="shared" ca="1" si="257"/>
        <v>4</v>
      </c>
      <c r="M1410" s="7">
        <f ca="1" xml:space="preserve">
  IF(OR($N1410 = 2, $N1410 = 3, $N1410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410" s="6">
        <f t="shared" ca="1" si="258"/>
        <v>7</v>
      </c>
      <c r="O1410" s="6" t="e">
        <f t="shared" ca="1" si="259"/>
        <v>#N/A</v>
      </c>
      <c r="P1410" s="8">
        <f t="shared" ca="1" si="260"/>
        <v>38189</v>
      </c>
      <c r="Q1410" s="6">
        <f ca="1">RANDBETWEEN(2,COUNTA('Recruitment source'!$A:$A))</f>
        <v>3</v>
      </c>
      <c r="R1410" s="8" t="e">
        <f t="shared" ca="1" si="261"/>
        <v>#N/A</v>
      </c>
      <c r="S1410" s="6" t="e">
        <f t="shared" ca="1" si="262"/>
        <v>#N/A</v>
      </c>
      <c r="T1410" s="6">
        <f t="shared" ref="T1410:T1473" ca="1" si="264" xml:space="preserve">
IF(
 ISNA($R1410),
 IF(
   $N1410 = 2,
   5,
   IF(
     OR($N1410=3,$N1410=4,$N1410=5),
     RANDBETWEEN(4,5),
     IF(
       OR($N1410=11,$N1410=12),
       RANDBETWEEN(3,5),
       RANDBETWEEN(2,5)
     )
   )
 ),
 RANDBETWEEN(1,3)
)</f>
        <v>5</v>
      </c>
      <c r="U1410" s="1">
        <f t="shared" ca="1" si="263"/>
        <v>1005</v>
      </c>
    </row>
    <row r="1411" spans="1:21" x14ac:dyDescent="0.2">
      <c r="A1411" s="7" cm="1">
        <f t="array" aca="1" ref="A1411" ca="1">INDEX(Companies!$A:$A,RANDBETWEEN(2,COUNTA(Companies!$A:$A)),1)</f>
        <v>2</v>
      </c>
      <c r="B1411" s="5">
        <f t="shared" ref="B1411:B1474" si="265">ROW() - 1</f>
        <v>1410</v>
      </c>
      <c r="C1411" s="6">
        <f t="shared" ref="C1411:C1474" ca="1" si="266">IF(ISNA($R1411),1,0)</f>
        <v>1</v>
      </c>
      <c r="D1411" s="7">
        <f ca="1">IF($B1411 = 1 + N("Presidente"),
    127,
    IF($B1411 = 2 + N("Vice-Presidente"),
        72,
        IF($B1411 = 3 + N("Secretária bilíngue"),
            13,
            RANDBETWEEN(5,COUNT(Name!$A:$A) + 1)
        )
    )
)</f>
        <v>70</v>
      </c>
      <c r="E1411" s="7" t="str">
        <f ca="1" xml:space="preserve">
VLOOKUP(
  $D1411,
  Name!$A:$B,
  2,
  FALSE
)
&amp; " " &amp;
IF($B1411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Bento Borges Ricci</v>
      </c>
      <c r="F1411" s="7">
        <v>2</v>
      </c>
      <c r="G1411" s="7" cm="1">
        <f t="array" aca="1" ref="G1411" ca="1">INDEX(States!$B:$B,RANDBETWEEN(2,COUNTA(States!$A:$A)),1)</f>
        <v>3</v>
      </c>
      <c r="H1411" s="7" t="str">
        <f ca="1">VLOOKUP($D1411,Name!$A:$C,3,FALSE)</f>
        <v>M</v>
      </c>
      <c r="I1411" s="7" cm="1">
        <f t="array" aca="1" ref="I1411" ca="1">INDEX('Marital status'!$A:$A,RANDBETWEEN(2,COUNTA('Marital status'!$A:$A)),1)</f>
        <v>2</v>
      </c>
      <c r="J1411" s="7">
        <f t="shared" ref="J1411:J1474" ca="1" si="267" xml:space="preserve">
IF(AND($N1411 &gt;= 2, $N1411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1411" s="8">
        <f t="shared" ref="K1411:K1474" ca="1" si="268" xml:space="preserve">
IF($N1411 = 5 + N("CEO"),
    TODAY() - 16340,
    IF($N1411 = 8 + N("Secretary"),
        RANDBETWEEN(TODAY() - 12418.5, TODAY()-6574.5),
        IF(OR($N1411 = 7, $N1411 = 14),
            RANDBETWEEN(TODAY() - 16071, TODAY() - 8766),
            IF(OR($N1411 = 13, $N1411 = 12, $N1411 = 11),
                RANDBETWEEN(TODAY() - 27393.75, TODAY() - 12783.75),
                RANDBETWEEN(TODAY() - 27393.75, TODAY()-10957.5)
            )
        )
    )
)</f>
        <v>37694</v>
      </c>
      <c r="L1411" s="6">
        <f t="shared" ref="L1411:L1474" ca="1" si="269" xml:space="preserve">
IF(OR($N1411 = 2, $N1411 = 3) + N("Se for presidente ou vice-presidente"),
    7 + N("Doutor"),
    IF($N1411 = 4 + N("Se for diretor"),
        RANDBETWEEN(5,7) + N("Graduate school or Master’s degree or Doctorate"),
        IF($N1411 = 11 + N("Se for gerente"),
            RANDBETWEEN(4,6) + N("Undergraduate degree or Graduate school or Master’s degree"),
            IF(AND($N1411 &gt;= 8, $N1411 &lt;= 10) + N("If coordinator or specialist or analyst"),
                RANDBETWEEN(4,5),
                4
            )
        )
    )
)</f>
        <v>4</v>
      </c>
      <c r="M1411" s="7">
        <f ca="1" xml:space="preserve">
  IF(OR($N1411 = 2, $N1411 = 3, $N1411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411" s="6">
        <f t="shared" ref="N1411:N1474" ca="1" si="270" xml:space="preserve">
IF($B1411 = 1 + N("Se matrícula for 1"),
  2 + N("Presidente"),
  IF($B1411 = 2 + N("Se matrícula for 2"),
    3 + N("Vice-presidente"),
    IF($B1411 = 3 + N("Se matrícula for 3"),
      5 + N("Secretária bilíngue"),
      IF(AND($B1411 &gt;= 4, $B1411 &lt;=14),
        4 + N("Diretor"),
        IF(AND($B1411 &gt;= 15, $B1411 &lt;= 25),
          11 + N("Manager"),
          IF(AND($B1411 &gt;= 26, $B1411 &lt;= 36),
            10 + N("Coordinador"),
            IF(AND($B1411 &gt;= 37, $B1411 &lt;= 47),
              9 + N("Especialista"),
                IF(MOD($B1411,2) = 0,
                  8 + N("Analista"),
                  RANDBETWEEN(6,7) + N("Estagiário ou Trainee")
                )
            )
          )
        )
      )
    )
  )
)</f>
        <v>8</v>
      </c>
      <c r="O1411" s="6">
        <f t="shared" ref="O1411:O1474" ca="1" si="271" xml:space="preserve">
IF($N1411 =8 + N("Analyst"),
    RANDBETWEEN(2, 4) + N("Jr, Pleno, Sr"),
    NA()
)</f>
        <v>2</v>
      </c>
      <c r="P1411" s="8">
        <f t="shared" ref="P1411:P1474" ca="1" si="272" xml:space="preserve">
IF(
   $N1411=2 + N("Presidente"),
   36161,
   IF(
       OR(
         $N1411=3 + N("Vice-Presidente"),
         $N1411=4 + N("Diretor"),
         $N1411=5 + N("Secretária bilíngue")
       ),
       RANDBETWEEN(36161,36411),
       IF(
         ((TODAY() - $K1411) / 365) &lt; 19,
         TODAY(),
         RANDBETWEEN(36161,TODAY())
       )
   )
)</f>
        <v>39287</v>
      </c>
      <c r="Q1411" s="6">
        <f ca="1">RANDBETWEEN(2,COUNTA('Recruitment source'!$A:$A))</f>
        <v>2</v>
      </c>
      <c r="R1411" s="8" t="e">
        <f t="shared" ref="R1411:R1474" ca="1" si="273" xml:space="preserve">
IF(MOD(
     ROW(),111
   )=0,
   RANDBETWEEN($P1411 + 1,TODAY() - 1),NA()
)</f>
        <v>#N/A</v>
      </c>
      <c r="S1411" s="6" t="e">
        <f t="shared" ref="S1411:S1474" ca="1" si="274" xml:space="preserve">
IF(
  ISNA(R1411),
  NA(),
  RANDBETWEEN(2,IF($H1411="F",10,9))
)</f>
        <v>#N/A</v>
      </c>
      <c r="T1411" s="6">
        <f t="shared" ca="1" si="264"/>
        <v>2</v>
      </c>
      <c r="U1411" s="1">
        <f t="shared" ref="U1411:U1474" ca="1" si="275" xml:space="preserve">
IF($N1411 = 2 + N("Presidente"),
    25000,
    IF($N1411 = 3 + N("Vice-presidente"),
        23000,
        IF(OR($N1411 = 5, $N1411= 10, $N1411 = 9) + N("Secretária bilíngue ou coordenador ou especialista"),
            8000,
            IF($N1411 = 4 + N("Diretor"),
                15000,
                IF($N1411 = 11 + N("Gerente"),
                    12000,
                    IF($N1411 = 6 + N("Estagiário"),
                        805,
                        IF($N1411 = 7 + N("Trainee"),
                            1005,
                            IF($N1411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IF($L1411 = 7,
  100,
  IF($L1411 = 8,
    200,
    IF($L1411 = 9,
      300,
      IF($L1411 = 10,
        400,
        0
      )
    )
  )
)
+
N("Adicional no salário por área")
+
IF($M1411 = 14 + N("Tecnologia da Informação"),
  120,
  IF($M1411 = 16 + N("Vendas"),
    110,
    IF($M1411 = 15 + N("Jurídico"),
      100,
      IF(OR($M1411 = 8, $M1411 = 9, $M1411 = 11) + N("Recursos humanos ou comercial ou comunicação e marketing"),
        80,
        0
      )
    )
  )
)
+
N("Adicionando pegadinha")
+
IF(AND($M1411 = 13, $N1411 = 8) + N("Se for de vendas e analista"),
  IF($J1411 = 2,
    50,
    0
  )
  +
  IF($H1411 = "M",
    50,
    0
  ),
  0
)</f>
        <v>2080</v>
      </c>
    </row>
    <row r="1412" spans="1:21" x14ac:dyDescent="0.2">
      <c r="A1412" s="7" cm="1">
        <f t="array" aca="1" ref="A1412" ca="1">INDEX(Companies!$A:$A,RANDBETWEEN(2,COUNTA(Companies!$A:$A)),1)</f>
        <v>2</v>
      </c>
      <c r="B1412" s="5">
        <f t="shared" si="265"/>
        <v>1411</v>
      </c>
      <c r="C1412" s="6">
        <f t="shared" ca="1" si="266"/>
        <v>1</v>
      </c>
      <c r="D1412" s="7">
        <f ca="1">IF($B1412 = 1 + N("Presidente"),
    127,
    IF($B1412 = 2 + N("Vice-Presidente"),
        72,
        IF($B1412 = 3 + N("Secretária bilíngue"),
            13,
            RANDBETWEEN(5,COUNT(Name!$A:$A) + 1)
        )
    )
)</f>
        <v>320</v>
      </c>
      <c r="E1412" s="7" t="str">
        <f ca="1" xml:space="preserve">
VLOOKUP(
  $D1412,
  Name!$A:$B,
  2,
  FALSE
)
&amp; " " &amp;
IF($B1412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Péricles Cardozo Bandeira</v>
      </c>
      <c r="F1412" s="7">
        <v>2</v>
      </c>
      <c r="G1412" s="7" cm="1">
        <f t="array" aca="1" ref="G1412" ca="1">INDEX(States!$B:$B,RANDBETWEEN(2,COUNTA(States!$A:$A)),1)</f>
        <v>11</v>
      </c>
      <c r="H1412" s="7" t="str">
        <f ca="1">VLOOKUP($D1412,Name!$A:$C,3,FALSE)</f>
        <v>M</v>
      </c>
      <c r="I1412" s="7" cm="1">
        <f t="array" aca="1" ref="I1412" ca="1">INDEX('Marital status'!$A:$A,RANDBETWEEN(2,COUNTA('Marital status'!$A:$A)),1)</f>
        <v>5</v>
      </c>
      <c r="J1412" s="7">
        <f t="shared" ca="1" si="267"/>
        <v>2</v>
      </c>
      <c r="K1412" s="8">
        <f t="shared" ca="1" si="268"/>
        <v>24877</v>
      </c>
      <c r="L1412" s="6">
        <f t="shared" ca="1" si="269"/>
        <v>4</v>
      </c>
      <c r="M1412" s="7">
        <f ca="1" xml:space="preserve">
  IF(OR($N1412 = 2, $N1412 = 3, $N1412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412" s="6">
        <f t="shared" ca="1" si="270"/>
        <v>6</v>
      </c>
      <c r="O1412" s="6" t="e">
        <f t="shared" ca="1" si="271"/>
        <v>#N/A</v>
      </c>
      <c r="P1412" s="8">
        <f t="shared" ca="1" si="272"/>
        <v>44407</v>
      </c>
      <c r="Q1412" s="6">
        <f ca="1">RANDBETWEEN(2,COUNTA('Recruitment source'!$A:$A))</f>
        <v>12</v>
      </c>
      <c r="R1412" s="8" t="e">
        <f t="shared" ca="1" si="273"/>
        <v>#N/A</v>
      </c>
      <c r="S1412" s="6" t="e">
        <f t="shared" ca="1" si="274"/>
        <v>#N/A</v>
      </c>
      <c r="T1412" s="6">
        <f t="shared" ca="1" si="264"/>
        <v>3</v>
      </c>
      <c r="U1412" s="1">
        <f t="shared" ca="1" si="275"/>
        <v>805</v>
      </c>
    </row>
    <row r="1413" spans="1:21" x14ac:dyDescent="0.2">
      <c r="A1413" s="7" cm="1">
        <f t="array" aca="1" ref="A1413" ca="1">INDEX(Companies!$A:$A,RANDBETWEEN(2,COUNTA(Companies!$A:$A)),1)</f>
        <v>2</v>
      </c>
      <c r="B1413" s="5">
        <f t="shared" si="265"/>
        <v>1412</v>
      </c>
      <c r="C1413" s="6">
        <f t="shared" ca="1" si="266"/>
        <v>1</v>
      </c>
      <c r="D1413" s="7">
        <f ca="1">IF($B1413 = 1 + N("Presidente"),
    127,
    IF($B1413 = 2 + N("Vice-Presidente"),
        72,
        IF($B1413 = 3 + N("Secretária bilíngue"),
            13,
            RANDBETWEEN(5,COUNT(Name!$A:$A) + 1)
        )
    )
)</f>
        <v>168</v>
      </c>
      <c r="E1413" s="7" t="str">
        <f ca="1" xml:space="preserve">
VLOOKUP(
  $D1413,
  Name!$A:$B,
  2,
  FALSE
)
&amp; " " &amp;
IF($B1413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Henry Gonçalves Cardozo</v>
      </c>
      <c r="F1413" s="7">
        <v>2</v>
      </c>
      <c r="G1413" s="7" cm="1">
        <f t="array" aca="1" ref="G1413" ca="1">INDEX(States!$B:$B,RANDBETWEEN(2,COUNTA(States!$A:$A)),1)</f>
        <v>15</v>
      </c>
      <c r="H1413" s="7" t="str">
        <f ca="1">VLOOKUP($D1413,Name!$A:$C,3,FALSE)</f>
        <v>M</v>
      </c>
      <c r="I1413" s="7" cm="1">
        <f t="array" aca="1" ref="I1413" ca="1">INDEX('Marital status'!$A:$A,RANDBETWEEN(2,COUNTA('Marital status'!$A:$A)),1)</f>
        <v>6</v>
      </c>
      <c r="J1413" s="7">
        <f t="shared" ca="1" si="267"/>
        <v>2</v>
      </c>
      <c r="K1413" s="8">
        <f t="shared" ca="1" si="268"/>
        <v>35813</v>
      </c>
      <c r="L1413" s="6">
        <f t="shared" ca="1" si="269"/>
        <v>5</v>
      </c>
      <c r="M1413" s="7">
        <f ca="1" xml:space="preserve">
  IF(OR($N1413 = 2, $N1413 = 3, $N1413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413" s="6">
        <f t="shared" ca="1" si="270"/>
        <v>8</v>
      </c>
      <c r="O1413" s="6">
        <f t="shared" ca="1" si="271"/>
        <v>2</v>
      </c>
      <c r="P1413" s="8">
        <f t="shared" ca="1" si="272"/>
        <v>40740</v>
      </c>
      <c r="Q1413" s="6">
        <f ca="1">RANDBETWEEN(2,COUNTA('Recruitment source'!$A:$A))</f>
        <v>8</v>
      </c>
      <c r="R1413" s="8" t="e">
        <f t="shared" ca="1" si="273"/>
        <v>#N/A</v>
      </c>
      <c r="S1413" s="6" t="e">
        <f t="shared" ca="1" si="274"/>
        <v>#N/A</v>
      </c>
      <c r="T1413" s="6">
        <f t="shared" ca="1" si="264"/>
        <v>3</v>
      </c>
      <c r="U1413" s="1">
        <f t="shared" ca="1" si="275"/>
        <v>2080</v>
      </c>
    </row>
    <row r="1414" spans="1:21" x14ac:dyDescent="0.2">
      <c r="A1414" s="7" cm="1">
        <f t="array" aca="1" ref="A1414" ca="1">INDEX(Companies!$A:$A,RANDBETWEEN(2,COUNTA(Companies!$A:$A)),1)</f>
        <v>2</v>
      </c>
      <c r="B1414" s="5">
        <f t="shared" si="265"/>
        <v>1413</v>
      </c>
      <c r="C1414" s="6">
        <f t="shared" ca="1" si="266"/>
        <v>1</v>
      </c>
      <c r="D1414" s="7">
        <f ca="1">IF($B1414 = 1 + N("Presidente"),
    127,
    IF($B1414 = 2 + N("Vice-Presidente"),
        72,
        IF($B1414 = 3 + N("Secretária bilíngue"),
            13,
            RANDBETWEEN(5,COUNT(Name!$A:$A) + 1)
        )
    )
)</f>
        <v>361</v>
      </c>
      <c r="E1414" s="7" t="str">
        <f ca="1" xml:space="preserve">
VLOOKUP(
  $D1414,
  Name!$A:$B,
  2,
  FALSE
)
&amp; " " &amp;
IF($B1414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Wagner Andrade Pinto</v>
      </c>
      <c r="F1414" s="7">
        <v>2</v>
      </c>
      <c r="G1414" s="7" cm="1">
        <f t="array" aca="1" ref="G1414" ca="1">INDEX(States!$B:$B,RANDBETWEEN(2,COUNTA(States!$A:$A)),1)</f>
        <v>11</v>
      </c>
      <c r="H1414" s="7" t="str">
        <f ca="1">VLOOKUP($D1414,Name!$A:$C,3,FALSE)</f>
        <v>M</v>
      </c>
      <c r="I1414" s="7" cm="1">
        <f t="array" aca="1" ref="I1414" ca="1">INDEX('Marital status'!$A:$A,RANDBETWEEN(2,COUNTA('Marital status'!$A:$A)),1)</f>
        <v>2</v>
      </c>
      <c r="J1414" s="7">
        <f t="shared" ca="1" si="267"/>
        <v>3</v>
      </c>
      <c r="K1414" s="8">
        <f t="shared" ca="1" si="268"/>
        <v>20422</v>
      </c>
      <c r="L1414" s="6">
        <f t="shared" ca="1" si="269"/>
        <v>4</v>
      </c>
      <c r="M1414" s="7">
        <f ca="1" xml:space="preserve">
  IF(OR($N1414 = 2, $N1414 = 3, $N1414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414" s="6">
        <f t="shared" ca="1" si="270"/>
        <v>6</v>
      </c>
      <c r="O1414" s="6" t="e">
        <f t="shared" ca="1" si="271"/>
        <v>#N/A</v>
      </c>
      <c r="P1414" s="8">
        <f t="shared" ca="1" si="272"/>
        <v>42868</v>
      </c>
      <c r="Q1414" s="6">
        <f ca="1">RANDBETWEEN(2,COUNTA('Recruitment source'!$A:$A))</f>
        <v>4</v>
      </c>
      <c r="R1414" s="8" t="e">
        <f t="shared" ca="1" si="273"/>
        <v>#N/A</v>
      </c>
      <c r="S1414" s="6" t="e">
        <f t="shared" ca="1" si="274"/>
        <v>#N/A</v>
      </c>
      <c r="T1414" s="6">
        <f t="shared" ca="1" si="264"/>
        <v>4</v>
      </c>
      <c r="U1414" s="1">
        <f t="shared" ca="1" si="275"/>
        <v>805</v>
      </c>
    </row>
    <row r="1415" spans="1:21" x14ac:dyDescent="0.2">
      <c r="A1415" s="7" cm="1">
        <f t="array" aca="1" ref="A1415" ca="1">INDEX(Companies!$A:$A,RANDBETWEEN(2,COUNTA(Companies!$A:$A)),1)</f>
        <v>2</v>
      </c>
      <c r="B1415" s="5">
        <f t="shared" si="265"/>
        <v>1414</v>
      </c>
      <c r="C1415" s="6">
        <f t="shared" ca="1" si="266"/>
        <v>1</v>
      </c>
      <c r="D1415" s="7">
        <f ca="1">IF($B1415 = 1 + N("Presidente"),
    127,
    IF($B1415 = 2 + N("Vice-Presidente"),
        72,
        IF($B1415 = 3 + N("Secretária bilíngue"),
            13,
            RANDBETWEEN(5,COUNT(Name!$A:$A) + 1)
        )
    )
)</f>
        <v>152</v>
      </c>
      <c r="E1415" s="7" t="str">
        <f ca="1" xml:space="preserve">
VLOOKUP(
  $D1415,
  Name!$A:$B,
  2,
  FALSE
)
&amp; " " &amp;
IF($B1415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Gael Peçanha Frois</v>
      </c>
      <c r="F1415" s="7">
        <v>2</v>
      </c>
      <c r="G1415" s="7" cm="1">
        <f t="array" aca="1" ref="G1415" ca="1">INDEX(States!$B:$B,RANDBETWEEN(2,COUNTA(States!$A:$A)),1)</f>
        <v>8</v>
      </c>
      <c r="H1415" s="7" t="str">
        <f ca="1">VLOOKUP($D1415,Name!$A:$C,3,FALSE)</f>
        <v>M</v>
      </c>
      <c r="I1415" s="7" cm="1">
        <f t="array" aca="1" ref="I1415" ca="1">INDEX('Marital status'!$A:$A,RANDBETWEEN(2,COUNTA('Marital status'!$A:$A)),1)</f>
        <v>6</v>
      </c>
      <c r="J1415" s="7">
        <f t="shared" ca="1" si="267"/>
        <v>2</v>
      </c>
      <c r="K1415" s="8">
        <f t="shared" ca="1" si="268"/>
        <v>36138</v>
      </c>
      <c r="L1415" s="6">
        <f t="shared" ca="1" si="269"/>
        <v>4</v>
      </c>
      <c r="M1415" s="7">
        <f ca="1" xml:space="preserve">
  IF(OR($N1415 = 2, $N1415 = 3, $N1415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415" s="6">
        <f t="shared" ca="1" si="270"/>
        <v>8</v>
      </c>
      <c r="O1415" s="6">
        <f t="shared" ca="1" si="271"/>
        <v>4</v>
      </c>
      <c r="P1415" s="8">
        <f t="shared" ca="1" si="272"/>
        <v>40818</v>
      </c>
      <c r="Q1415" s="6">
        <f ca="1">RANDBETWEEN(2,COUNTA('Recruitment source'!$A:$A))</f>
        <v>7</v>
      </c>
      <c r="R1415" s="8" t="e">
        <f t="shared" ca="1" si="273"/>
        <v>#N/A</v>
      </c>
      <c r="S1415" s="6" t="e">
        <f t="shared" ca="1" si="274"/>
        <v>#N/A</v>
      </c>
      <c r="T1415" s="6">
        <f t="shared" ca="1" si="264"/>
        <v>2</v>
      </c>
      <c r="U1415" s="1">
        <f t="shared" ca="1" si="275"/>
        <v>2000</v>
      </c>
    </row>
    <row r="1416" spans="1:21" x14ac:dyDescent="0.2">
      <c r="A1416" s="7" cm="1">
        <f t="array" aca="1" ref="A1416" ca="1">INDEX(Companies!$A:$A,RANDBETWEEN(2,COUNTA(Companies!$A:$A)),1)</f>
        <v>2</v>
      </c>
      <c r="B1416" s="5">
        <f t="shared" si="265"/>
        <v>1415</v>
      </c>
      <c r="C1416" s="6">
        <f t="shared" ca="1" si="266"/>
        <v>1</v>
      </c>
      <c r="D1416" s="7">
        <f ca="1">IF($B1416 = 1 + N("Presidente"),
    127,
    IF($B1416 = 2 + N("Vice-Presidente"),
        72,
        IF($B1416 = 3 + N("Secretária bilíngue"),
            13,
            RANDBETWEEN(5,COUNT(Name!$A:$A) + 1)
        )
    )
)</f>
        <v>222</v>
      </c>
      <c r="E1416" s="7" t="str">
        <f ca="1" xml:space="preserve">
VLOOKUP(
  $D1416,
  Name!$A:$B,
  2,
  FALSE
)
&amp; " " &amp;
IF($B1416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Lavignia Rodrigues Seixas</v>
      </c>
      <c r="F1416" s="7">
        <v>2</v>
      </c>
      <c r="G1416" s="7" cm="1">
        <f t="array" aca="1" ref="G1416" ca="1">INDEX(States!$B:$B,RANDBETWEEN(2,COUNTA(States!$A:$A)),1)</f>
        <v>4</v>
      </c>
      <c r="H1416" s="7" t="str">
        <f ca="1">VLOOKUP($D1416,Name!$A:$C,3,FALSE)</f>
        <v>F</v>
      </c>
      <c r="I1416" s="7" cm="1">
        <f t="array" aca="1" ref="I1416" ca="1">INDEX('Marital status'!$A:$A,RANDBETWEEN(2,COUNTA('Marital status'!$A:$A)),1)</f>
        <v>6</v>
      </c>
      <c r="J1416" s="7">
        <f t="shared" ca="1" si="267"/>
        <v>2</v>
      </c>
      <c r="K1416" s="8">
        <f t="shared" ca="1" si="268"/>
        <v>34742</v>
      </c>
      <c r="L1416" s="6">
        <f t="shared" ca="1" si="269"/>
        <v>4</v>
      </c>
      <c r="M1416" s="7">
        <f ca="1" xml:space="preserve">
  IF(OR($N1416 = 2, $N1416 = 3, $N1416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416" s="6">
        <f t="shared" ca="1" si="270"/>
        <v>7</v>
      </c>
      <c r="O1416" s="6" t="e">
        <f t="shared" ca="1" si="271"/>
        <v>#N/A</v>
      </c>
      <c r="P1416" s="8">
        <f t="shared" ca="1" si="272"/>
        <v>42042</v>
      </c>
      <c r="Q1416" s="6">
        <f ca="1">RANDBETWEEN(2,COUNTA('Recruitment source'!$A:$A))</f>
        <v>5</v>
      </c>
      <c r="R1416" s="8" t="e">
        <f t="shared" ca="1" si="273"/>
        <v>#N/A</v>
      </c>
      <c r="S1416" s="6" t="e">
        <f t="shared" ca="1" si="274"/>
        <v>#N/A</v>
      </c>
      <c r="T1416" s="6">
        <f t="shared" ca="1" si="264"/>
        <v>3</v>
      </c>
      <c r="U1416" s="1">
        <f t="shared" ca="1" si="275"/>
        <v>1005</v>
      </c>
    </row>
    <row r="1417" spans="1:21" x14ac:dyDescent="0.2">
      <c r="A1417" s="7" cm="1">
        <f t="array" aca="1" ref="A1417" ca="1">INDEX(Companies!$A:$A,RANDBETWEEN(2,COUNTA(Companies!$A:$A)),1)</f>
        <v>2</v>
      </c>
      <c r="B1417" s="5">
        <f t="shared" si="265"/>
        <v>1416</v>
      </c>
      <c r="C1417" s="6">
        <f t="shared" ca="1" si="266"/>
        <v>1</v>
      </c>
      <c r="D1417" s="7">
        <f ca="1">IF($B1417 = 1 + N("Presidente"),
    127,
    IF($B1417 = 2 + N("Vice-Presidente"),
        72,
        IF($B1417 = 3 + N("Secretária bilíngue"),
            13,
            RANDBETWEEN(5,COUNT(Name!$A:$A) + 1)
        )
    )
)</f>
        <v>82</v>
      </c>
      <c r="E1417" s="7" t="str">
        <f ca="1" xml:space="preserve">
VLOOKUP(
  $D1417,
  Name!$A:$B,
  2,
  FALSE
)
&amp; " " &amp;
IF($B1417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Caleb Frasão Dantas</v>
      </c>
      <c r="F1417" s="7">
        <v>2</v>
      </c>
      <c r="G1417" s="7" cm="1">
        <f t="array" aca="1" ref="G1417" ca="1">INDEX(States!$B:$B,RANDBETWEEN(2,COUNTA(States!$A:$A)),1)</f>
        <v>19</v>
      </c>
      <c r="H1417" s="7" t="str">
        <f ca="1">VLOOKUP($D1417,Name!$A:$C,3,FALSE)</f>
        <v>M</v>
      </c>
      <c r="I1417" s="7" cm="1">
        <f t="array" aca="1" ref="I1417" ca="1">INDEX('Marital status'!$A:$A,RANDBETWEEN(2,COUNTA('Marital status'!$A:$A)),1)</f>
        <v>2</v>
      </c>
      <c r="J1417" s="7">
        <f t="shared" ca="1" si="267"/>
        <v>2</v>
      </c>
      <c r="K1417" s="8">
        <f t="shared" ca="1" si="268"/>
        <v>33671</v>
      </c>
      <c r="L1417" s="6">
        <f t="shared" ca="1" si="269"/>
        <v>5</v>
      </c>
      <c r="M1417" s="7">
        <f ca="1" xml:space="preserve">
  IF(OR($N1417 = 2, $N1417 = 3, $N1417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417" s="6">
        <f t="shared" ca="1" si="270"/>
        <v>8</v>
      </c>
      <c r="O1417" s="6">
        <f t="shared" ca="1" si="271"/>
        <v>4</v>
      </c>
      <c r="P1417" s="8">
        <f t="shared" ca="1" si="272"/>
        <v>39781</v>
      </c>
      <c r="Q1417" s="6">
        <f ca="1">RANDBETWEEN(2,COUNTA('Recruitment source'!$A:$A))</f>
        <v>10</v>
      </c>
      <c r="R1417" s="8" t="e">
        <f t="shared" ca="1" si="273"/>
        <v>#N/A</v>
      </c>
      <c r="S1417" s="6" t="e">
        <f t="shared" ca="1" si="274"/>
        <v>#N/A</v>
      </c>
      <c r="T1417" s="6">
        <f t="shared" ca="1" si="264"/>
        <v>5</v>
      </c>
      <c r="U1417" s="1">
        <f t="shared" ca="1" si="275"/>
        <v>2080</v>
      </c>
    </row>
    <row r="1418" spans="1:21" x14ac:dyDescent="0.2">
      <c r="A1418" s="7" cm="1">
        <f t="array" aca="1" ref="A1418" ca="1">INDEX(Companies!$A:$A,RANDBETWEEN(2,COUNTA(Companies!$A:$A)),1)</f>
        <v>2</v>
      </c>
      <c r="B1418" s="5">
        <f t="shared" si="265"/>
        <v>1417</v>
      </c>
      <c r="C1418" s="6">
        <f t="shared" ca="1" si="266"/>
        <v>1</v>
      </c>
      <c r="D1418" s="7">
        <f ca="1">IF($B1418 = 1 + N("Presidente"),
    127,
    IF($B1418 = 2 + N("Vice-Presidente"),
        72,
        IF($B1418 = 3 + N("Secretária bilíngue"),
            13,
            RANDBETWEEN(5,COUNT(Name!$A:$A) + 1)
        )
    )
)</f>
        <v>276</v>
      </c>
      <c r="E1418" s="7" t="str">
        <f ca="1" xml:space="preserve">
VLOOKUP(
  $D1418,
  Name!$A:$B,
  2,
  FALSE
)
&amp; " " &amp;
IF($B1418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Mariah Cunha Brito</v>
      </c>
      <c r="F1418" s="7">
        <v>2</v>
      </c>
      <c r="G1418" s="7" cm="1">
        <f t="array" aca="1" ref="G1418" ca="1">INDEX(States!$B:$B,RANDBETWEEN(2,COUNTA(States!$A:$A)),1)</f>
        <v>11</v>
      </c>
      <c r="H1418" s="7" t="str">
        <f ca="1">VLOOKUP($D1418,Name!$A:$C,3,FALSE)</f>
        <v>F</v>
      </c>
      <c r="I1418" s="7" cm="1">
        <f t="array" aca="1" ref="I1418" ca="1">INDEX('Marital status'!$A:$A,RANDBETWEEN(2,COUNTA('Marital status'!$A:$A)),1)</f>
        <v>4</v>
      </c>
      <c r="J1418" s="7">
        <f t="shared" ca="1" si="267"/>
        <v>2</v>
      </c>
      <c r="K1418" s="8">
        <f t="shared" ca="1" si="268"/>
        <v>34141</v>
      </c>
      <c r="L1418" s="6">
        <f t="shared" ca="1" si="269"/>
        <v>4</v>
      </c>
      <c r="M1418" s="7">
        <f ca="1" xml:space="preserve">
  IF(OR($N1418 = 2, $N1418 = 3, $N1418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418" s="6">
        <f t="shared" ca="1" si="270"/>
        <v>7</v>
      </c>
      <c r="O1418" s="6" t="e">
        <f t="shared" ca="1" si="271"/>
        <v>#N/A</v>
      </c>
      <c r="P1418" s="8">
        <f t="shared" ca="1" si="272"/>
        <v>39921</v>
      </c>
      <c r="Q1418" s="6">
        <f ca="1">RANDBETWEEN(2,COUNTA('Recruitment source'!$A:$A))</f>
        <v>12</v>
      </c>
      <c r="R1418" s="8" t="e">
        <f t="shared" ca="1" si="273"/>
        <v>#N/A</v>
      </c>
      <c r="S1418" s="6" t="e">
        <f t="shared" ca="1" si="274"/>
        <v>#N/A</v>
      </c>
      <c r="T1418" s="6">
        <f t="shared" ca="1" si="264"/>
        <v>4</v>
      </c>
      <c r="U1418" s="1">
        <f t="shared" ca="1" si="275"/>
        <v>1005</v>
      </c>
    </row>
    <row r="1419" spans="1:21" x14ac:dyDescent="0.2">
      <c r="A1419" s="7" cm="1">
        <f t="array" aca="1" ref="A1419" ca="1">INDEX(Companies!$A:$A,RANDBETWEEN(2,COUNTA(Companies!$A:$A)),1)</f>
        <v>2</v>
      </c>
      <c r="B1419" s="5">
        <f t="shared" si="265"/>
        <v>1418</v>
      </c>
      <c r="C1419" s="6">
        <f t="shared" ca="1" si="266"/>
        <v>1</v>
      </c>
      <c r="D1419" s="7">
        <f ca="1">IF($B1419 = 1 + N("Presidente"),
    127,
    IF($B1419 = 2 + N("Vice-Presidente"),
        72,
        IF($B1419 = 3 + N("Secretária bilíngue"),
            13,
            RANDBETWEEN(5,COUNT(Name!$A:$A) + 1)
        )
    )
)</f>
        <v>108</v>
      </c>
      <c r="E1419" s="7" t="str">
        <f ca="1" xml:space="preserve">
VLOOKUP(
  $D1419,
  Name!$A:$B,
  2,
  FALSE
)
&amp; " " &amp;
IF($B1419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Luccas Moura Saragoça</v>
      </c>
      <c r="F1419" s="7">
        <v>2</v>
      </c>
      <c r="G1419" s="7" cm="1">
        <f t="array" aca="1" ref="G1419" ca="1">INDEX(States!$B:$B,RANDBETWEEN(2,COUNTA(States!$A:$A)),1)</f>
        <v>20</v>
      </c>
      <c r="H1419" s="7" t="str">
        <f ca="1">VLOOKUP($D1419,Name!$A:$C,3,FALSE)</f>
        <v>M</v>
      </c>
      <c r="I1419" s="7" cm="1">
        <f t="array" aca="1" ref="I1419" ca="1">INDEX('Marital status'!$A:$A,RANDBETWEEN(2,COUNTA('Marital status'!$A:$A)),1)</f>
        <v>5</v>
      </c>
      <c r="J1419" s="7">
        <f t="shared" ca="1" si="267"/>
        <v>4</v>
      </c>
      <c r="K1419" s="8">
        <f t="shared" ca="1" si="268"/>
        <v>32831</v>
      </c>
      <c r="L1419" s="6">
        <f t="shared" ca="1" si="269"/>
        <v>5</v>
      </c>
      <c r="M1419" s="7">
        <f ca="1" xml:space="preserve">
  IF(OR($N1419 = 2, $N1419 = 3, $N1419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419" s="6">
        <f t="shared" ca="1" si="270"/>
        <v>8</v>
      </c>
      <c r="O1419" s="6">
        <f t="shared" ca="1" si="271"/>
        <v>2</v>
      </c>
      <c r="P1419" s="8">
        <f t="shared" ca="1" si="272"/>
        <v>41380</v>
      </c>
      <c r="Q1419" s="6">
        <f ca="1">RANDBETWEEN(2,COUNTA('Recruitment source'!$A:$A))</f>
        <v>4</v>
      </c>
      <c r="R1419" s="8" t="e">
        <f t="shared" ca="1" si="273"/>
        <v>#N/A</v>
      </c>
      <c r="S1419" s="6" t="e">
        <f t="shared" ca="1" si="274"/>
        <v>#N/A</v>
      </c>
      <c r="T1419" s="6">
        <f t="shared" ca="1" si="264"/>
        <v>5</v>
      </c>
      <c r="U1419" s="1">
        <f t="shared" ca="1" si="275"/>
        <v>2000</v>
      </c>
    </row>
    <row r="1420" spans="1:21" x14ac:dyDescent="0.2">
      <c r="A1420" s="7" cm="1">
        <f t="array" aca="1" ref="A1420" ca="1">INDEX(Companies!$A:$A,RANDBETWEEN(2,COUNTA(Companies!$A:$A)),1)</f>
        <v>2</v>
      </c>
      <c r="B1420" s="5">
        <f t="shared" si="265"/>
        <v>1419</v>
      </c>
      <c r="C1420" s="6">
        <f t="shared" ca="1" si="266"/>
        <v>1</v>
      </c>
      <c r="D1420" s="7">
        <f ca="1">IF($B1420 = 1 + N("Presidente"),
    127,
    IF($B1420 = 2 + N("Vice-Presidente"),
        72,
        IF($B1420 = 3 + N("Secretária bilíngue"),
            13,
            RANDBETWEEN(5,COUNT(Name!$A:$A) + 1)
        )
    )
)</f>
        <v>71</v>
      </c>
      <c r="E1420" s="7" t="str">
        <f ca="1" xml:space="preserve">
VLOOKUP(
  $D1420,
  Name!$A:$B,
  2,
  FALSE
)
&amp; " " &amp;
IF($B1420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Bernardo Abranches Miranda</v>
      </c>
      <c r="F1420" s="7">
        <v>2</v>
      </c>
      <c r="G1420" s="7" cm="1">
        <f t="array" aca="1" ref="G1420" ca="1">INDEX(States!$B:$B,RANDBETWEEN(2,COUNTA(States!$A:$A)),1)</f>
        <v>15</v>
      </c>
      <c r="H1420" s="7" t="str">
        <f ca="1">VLOOKUP($D1420,Name!$A:$C,3,FALSE)</f>
        <v>M</v>
      </c>
      <c r="I1420" s="7" cm="1">
        <f t="array" aca="1" ref="I1420" ca="1">INDEX('Marital status'!$A:$A,RANDBETWEEN(2,COUNTA('Marital status'!$A:$A)),1)</f>
        <v>2</v>
      </c>
      <c r="J1420" s="7">
        <f t="shared" ca="1" si="267"/>
        <v>2</v>
      </c>
      <c r="K1420" s="8">
        <f t="shared" ca="1" si="268"/>
        <v>21619</v>
      </c>
      <c r="L1420" s="6">
        <f t="shared" ca="1" si="269"/>
        <v>4</v>
      </c>
      <c r="M1420" s="7">
        <f ca="1" xml:space="preserve">
  IF(OR($N1420 = 2, $N1420 = 3, $N1420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420" s="6">
        <f t="shared" ca="1" si="270"/>
        <v>6</v>
      </c>
      <c r="O1420" s="6" t="e">
        <f t="shared" ca="1" si="271"/>
        <v>#N/A</v>
      </c>
      <c r="P1420" s="8">
        <f t="shared" ca="1" si="272"/>
        <v>39292</v>
      </c>
      <c r="Q1420" s="6">
        <f ca="1">RANDBETWEEN(2,COUNTA('Recruitment source'!$A:$A))</f>
        <v>2</v>
      </c>
      <c r="R1420" s="8" t="e">
        <f t="shared" ca="1" si="273"/>
        <v>#N/A</v>
      </c>
      <c r="S1420" s="6" t="e">
        <f t="shared" ca="1" si="274"/>
        <v>#N/A</v>
      </c>
      <c r="T1420" s="6">
        <f t="shared" ca="1" si="264"/>
        <v>4</v>
      </c>
      <c r="U1420" s="1">
        <f t="shared" ca="1" si="275"/>
        <v>805</v>
      </c>
    </row>
    <row r="1421" spans="1:21" x14ac:dyDescent="0.2">
      <c r="A1421" s="7" cm="1">
        <f t="array" aca="1" ref="A1421" ca="1">INDEX(Companies!$A:$A,RANDBETWEEN(2,COUNTA(Companies!$A:$A)),1)</f>
        <v>2</v>
      </c>
      <c r="B1421" s="5">
        <f t="shared" si="265"/>
        <v>1420</v>
      </c>
      <c r="C1421" s="6">
        <f t="shared" ca="1" si="266"/>
        <v>1</v>
      </c>
      <c r="D1421" s="7">
        <f ca="1">IF($B1421 = 1 + N("Presidente"),
    127,
    IF($B1421 = 2 + N("Vice-Presidente"),
        72,
        IF($B1421 = 3 + N("Secretária bilíngue"),
            13,
            RANDBETWEEN(5,COUNT(Name!$A:$A) + 1)
        )
    )
)</f>
        <v>49</v>
      </c>
      <c r="E1421" s="7" t="str">
        <f ca="1" xml:space="preserve">
VLOOKUP(
  $D1421,
  Name!$A:$B,
  2,
  FALSE
)
&amp; " " &amp;
IF($B1421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Anthony Gabriel Moretti Barboza</v>
      </c>
      <c r="F1421" s="7">
        <v>2</v>
      </c>
      <c r="G1421" s="7" cm="1">
        <f t="array" aca="1" ref="G1421" ca="1">INDEX(States!$B:$B,RANDBETWEEN(2,COUNTA(States!$A:$A)),1)</f>
        <v>13</v>
      </c>
      <c r="H1421" s="7" t="str">
        <f ca="1">VLOOKUP($D1421,Name!$A:$C,3,FALSE)</f>
        <v>M</v>
      </c>
      <c r="I1421" s="7" cm="1">
        <f t="array" aca="1" ref="I1421" ca="1">INDEX('Marital status'!$A:$A,RANDBETWEEN(2,COUNTA('Marital status'!$A:$A)),1)</f>
        <v>5</v>
      </c>
      <c r="J1421" s="7">
        <f t="shared" ca="1" si="267"/>
        <v>3</v>
      </c>
      <c r="K1421" s="8">
        <f t="shared" ca="1" si="268"/>
        <v>35139</v>
      </c>
      <c r="L1421" s="6">
        <f t="shared" ca="1" si="269"/>
        <v>4</v>
      </c>
      <c r="M1421" s="7">
        <f ca="1" xml:space="preserve">
  IF(OR($N1421 = 2, $N1421 = 3, $N1421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421" s="6">
        <f t="shared" ca="1" si="270"/>
        <v>8</v>
      </c>
      <c r="O1421" s="6">
        <f t="shared" ca="1" si="271"/>
        <v>3</v>
      </c>
      <c r="P1421" s="8">
        <f t="shared" ca="1" si="272"/>
        <v>38852</v>
      </c>
      <c r="Q1421" s="6">
        <f ca="1">RANDBETWEEN(2,COUNTA('Recruitment source'!$A:$A))</f>
        <v>7</v>
      </c>
      <c r="R1421" s="8" t="e">
        <f t="shared" ca="1" si="273"/>
        <v>#N/A</v>
      </c>
      <c r="S1421" s="6" t="e">
        <f t="shared" ca="1" si="274"/>
        <v>#N/A</v>
      </c>
      <c r="T1421" s="6">
        <f t="shared" ca="1" si="264"/>
        <v>3</v>
      </c>
      <c r="U1421" s="1">
        <f t="shared" ca="1" si="275"/>
        <v>2000</v>
      </c>
    </row>
    <row r="1422" spans="1:21" x14ac:dyDescent="0.2">
      <c r="A1422" s="7" cm="1">
        <f t="array" aca="1" ref="A1422" ca="1">INDEX(Companies!$A:$A,RANDBETWEEN(2,COUNTA(Companies!$A:$A)),1)</f>
        <v>2</v>
      </c>
      <c r="B1422" s="5">
        <f t="shared" si="265"/>
        <v>1421</v>
      </c>
      <c r="C1422" s="6">
        <f t="shared" ca="1" si="266"/>
        <v>1</v>
      </c>
      <c r="D1422" s="7">
        <f ca="1">IF($B1422 = 1 + N("Presidente"),
    127,
    IF($B1422 = 2 + N("Vice-Presidente"),
        72,
        IF($B1422 = 3 + N("Secretária bilíngue"),
            13,
            RANDBETWEEN(5,COUNT(Name!$A:$A) + 1)
        )
    )
)</f>
        <v>186</v>
      </c>
      <c r="E1422" s="7" t="str">
        <f ca="1" xml:space="preserve">
VLOOKUP(
  $D1422,
  Name!$A:$B,
  2,
  FALSE
)
&amp; " " &amp;
IF($B1422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Gabriel Simões Ribeiro</v>
      </c>
      <c r="F1422" s="7">
        <v>2</v>
      </c>
      <c r="G1422" s="7" cm="1">
        <f t="array" aca="1" ref="G1422" ca="1">INDEX(States!$B:$B,RANDBETWEEN(2,COUNTA(States!$A:$A)),1)</f>
        <v>16</v>
      </c>
      <c r="H1422" s="7" t="str">
        <f ca="1">VLOOKUP($D1422,Name!$A:$C,3,FALSE)</f>
        <v>M</v>
      </c>
      <c r="I1422" s="7" cm="1">
        <f t="array" aca="1" ref="I1422" ca="1">INDEX('Marital status'!$A:$A,RANDBETWEEN(2,COUNTA('Marital status'!$A:$A)),1)</f>
        <v>3</v>
      </c>
      <c r="J1422" s="7">
        <f t="shared" ca="1" si="267"/>
        <v>2</v>
      </c>
      <c r="K1422" s="8">
        <f t="shared" ca="1" si="268"/>
        <v>18366</v>
      </c>
      <c r="L1422" s="6">
        <f t="shared" ca="1" si="269"/>
        <v>4</v>
      </c>
      <c r="M1422" s="7">
        <f ca="1" xml:space="preserve">
  IF(OR($N1422 = 2, $N1422 = 3, $N1422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422" s="6">
        <f t="shared" ca="1" si="270"/>
        <v>6</v>
      </c>
      <c r="O1422" s="6" t="e">
        <f t="shared" ca="1" si="271"/>
        <v>#N/A</v>
      </c>
      <c r="P1422" s="8">
        <f t="shared" ca="1" si="272"/>
        <v>39847</v>
      </c>
      <c r="Q1422" s="6">
        <f ca="1">RANDBETWEEN(2,COUNTA('Recruitment source'!$A:$A))</f>
        <v>9</v>
      </c>
      <c r="R1422" s="8" t="e">
        <f t="shared" ca="1" si="273"/>
        <v>#N/A</v>
      </c>
      <c r="S1422" s="6" t="e">
        <f t="shared" ca="1" si="274"/>
        <v>#N/A</v>
      </c>
      <c r="T1422" s="6">
        <f t="shared" ca="1" si="264"/>
        <v>2</v>
      </c>
      <c r="U1422" s="1">
        <f t="shared" ca="1" si="275"/>
        <v>885</v>
      </c>
    </row>
    <row r="1423" spans="1:21" x14ac:dyDescent="0.2">
      <c r="A1423" s="7" cm="1">
        <f t="array" aca="1" ref="A1423" ca="1">INDEX(Companies!$A:$A,RANDBETWEEN(2,COUNTA(Companies!$A:$A)),1)</f>
        <v>2</v>
      </c>
      <c r="B1423" s="5">
        <f t="shared" si="265"/>
        <v>1422</v>
      </c>
      <c r="C1423" s="6">
        <f t="shared" ca="1" si="266"/>
        <v>1</v>
      </c>
      <c r="D1423" s="7">
        <f ca="1">IF($B1423 = 1 + N("Presidente"),
    127,
    IF($B1423 = 2 + N("Vice-Presidente"),
        72,
        IF($B1423 = 3 + N("Secretária bilíngue"),
            13,
            RANDBETWEEN(5,COUNT(Name!$A:$A) + 1)
        )
    )
)</f>
        <v>201</v>
      </c>
      <c r="E1423" s="7" t="str">
        <f ca="1" xml:space="preserve">
VLOOKUP(
  $D1423,
  Name!$A:$B,
  2,
  FALSE
)
&amp; " " &amp;
IF($B1423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Júlia Negreiros Reis</v>
      </c>
      <c r="F1423" s="7">
        <v>2</v>
      </c>
      <c r="G1423" s="7" cm="1">
        <f t="array" aca="1" ref="G1423" ca="1">INDEX(States!$B:$B,RANDBETWEEN(2,COUNTA(States!$A:$A)),1)</f>
        <v>17</v>
      </c>
      <c r="H1423" s="7" t="str">
        <f ca="1">VLOOKUP($D1423,Name!$A:$C,3,FALSE)</f>
        <v>F</v>
      </c>
      <c r="I1423" s="7" cm="1">
        <f t="array" aca="1" ref="I1423" ca="1">INDEX('Marital status'!$A:$A,RANDBETWEEN(2,COUNTA('Marital status'!$A:$A)),1)</f>
        <v>3</v>
      </c>
      <c r="J1423" s="7">
        <f t="shared" ca="1" si="267"/>
        <v>2</v>
      </c>
      <c r="K1423" s="8">
        <f t="shared" ca="1" si="268"/>
        <v>35219</v>
      </c>
      <c r="L1423" s="6">
        <f t="shared" ca="1" si="269"/>
        <v>5</v>
      </c>
      <c r="M1423" s="7">
        <f ca="1" xml:space="preserve">
  IF(OR($N1423 = 2, $N1423 = 3, $N1423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423" s="6">
        <f t="shared" ca="1" si="270"/>
        <v>8</v>
      </c>
      <c r="O1423" s="6">
        <f t="shared" ca="1" si="271"/>
        <v>3</v>
      </c>
      <c r="P1423" s="8">
        <f t="shared" ca="1" si="272"/>
        <v>43533</v>
      </c>
      <c r="Q1423" s="6">
        <f ca="1">RANDBETWEEN(2,COUNTA('Recruitment source'!$A:$A))</f>
        <v>5</v>
      </c>
      <c r="R1423" s="8" t="e">
        <f t="shared" ca="1" si="273"/>
        <v>#N/A</v>
      </c>
      <c r="S1423" s="6" t="e">
        <f t="shared" ca="1" si="274"/>
        <v>#N/A</v>
      </c>
      <c r="T1423" s="6">
        <f t="shared" ca="1" si="264"/>
        <v>5</v>
      </c>
      <c r="U1423" s="1">
        <f t="shared" ca="1" si="275"/>
        <v>2080</v>
      </c>
    </row>
    <row r="1424" spans="1:21" x14ac:dyDescent="0.2">
      <c r="A1424" s="7" cm="1">
        <f t="array" aca="1" ref="A1424" ca="1">INDEX(Companies!$A:$A,RANDBETWEEN(2,COUNTA(Companies!$A:$A)),1)</f>
        <v>2</v>
      </c>
      <c r="B1424" s="5">
        <f t="shared" si="265"/>
        <v>1423</v>
      </c>
      <c r="C1424" s="6">
        <f t="shared" ca="1" si="266"/>
        <v>1</v>
      </c>
      <c r="D1424" s="7">
        <f ca="1">IF($B1424 = 1 + N("Presidente"),
    127,
    IF($B1424 = 2 + N("Vice-Presidente"),
        72,
        IF($B1424 = 3 + N("Secretária bilíngue"),
            13,
            RANDBETWEEN(5,COUNT(Name!$A:$A) + 1)
        )
    )
)</f>
        <v>281</v>
      </c>
      <c r="E1424" s="7" t="str">
        <f ca="1" xml:space="preserve">
VLOOKUP(
  $D1424,
  Name!$A:$B,
  2,
  FALSE
)
&amp; " " &amp;
IF($B1424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Marina Bispo Esposito</v>
      </c>
      <c r="F1424" s="7">
        <v>2</v>
      </c>
      <c r="G1424" s="7" cm="1">
        <f t="array" aca="1" ref="G1424" ca="1">INDEX(States!$B:$B,RANDBETWEEN(2,COUNTA(States!$A:$A)),1)</f>
        <v>7</v>
      </c>
      <c r="H1424" s="7" t="str">
        <f ca="1">VLOOKUP($D1424,Name!$A:$C,3,FALSE)</f>
        <v>F</v>
      </c>
      <c r="I1424" s="7" cm="1">
        <f t="array" aca="1" ref="I1424" ca="1">INDEX('Marital status'!$A:$A,RANDBETWEEN(2,COUNTA('Marital status'!$A:$A)),1)</f>
        <v>5</v>
      </c>
      <c r="J1424" s="7">
        <f t="shared" ca="1" si="267"/>
        <v>2</v>
      </c>
      <c r="K1424" s="8">
        <f t="shared" ca="1" si="268"/>
        <v>29160</v>
      </c>
      <c r="L1424" s="6">
        <f t="shared" ca="1" si="269"/>
        <v>4</v>
      </c>
      <c r="M1424" s="7">
        <f ca="1" xml:space="preserve">
  IF(OR($N1424 = 2, $N1424 = 3, $N1424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424" s="6">
        <f t="shared" ca="1" si="270"/>
        <v>6</v>
      </c>
      <c r="O1424" s="6" t="e">
        <f t="shared" ca="1" si="271"/>
        <v>#N/A</v>
      </c>
      <c r="P1424" s="8">
        <f t="shared" ca="1" si="272"/>
        <v>36631</v>
      </c>
      <c r="Q1424" s="6">
        <f ca="1">RANDBETWEEN(2,COUNTA('Recruitment source'!$A:$A))</f>
        <v>3</v>
      </c>
      <c r="R1424" s="8" t="e">
        <f t="shared" ca="1" si="273"/>
        <v>#N/A</v>
      </c>
      <c r="S1424" s="6" t="e">
        <f t="shared" ca="1" si="274"/>
        <v>#N/A</v>
      </c>
      <c r="T1424" s="6">
        <f t="shared" ca="1" si="264"/>
        <v>5</v>
      </c>
      <c r="U1424" s="1">
        <f t="shared" ca="1" si="275"/>
        <v>805</v>
      </c>
    </row>
    <row r="1425" spans="1:21" x14ac:dyDescent="0.2">
      <c r="A1425" s="7" cm="1">
        <f t="array" aca="1" ref="A1425" ca="1">INDEX(Companies!$A:$A,RANDBETWEEN(2,COUNTA(Companies!$A:$A)),1)</f>
        <v>2</v>
      </c>
      <c r="B1425" s="5">
        <f t="shared" si="265"/>
        <v>1424</v>
      </c>
      <c r="C1425" s="6">
        <f t="shared" ca="1" si="266"/>
        <v>1</v>
      </c>
      <c r="D1425" s="7">
        <f ca="1">IF($B1425 = 1 + N("Presidente"),
    127,
    IF($B1425 = 2 + N("Vice-Presidente"),
        72,
        IF($B1425 = 3 + N("Secretária bilíngue"),
            13,
            RANDBETWEEN(5,COUNT(Name!$A:$A) + 1)
        )
    )
)</f>
        <v>98</v>
      </c>
      <c r="E1425" s="7" t="str">
        <f ca="1" xml:space="preserve">
VLOOKUP(
  $D1425,
  Name!$A:$B,
  2,
  FALSE
)
&amp; " " &amp;
IF($B1425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Claudio Aleluia Borba</v>
      </c>
      <c r="F1425" s="7">
        <v>2</v>
      </c>
      <c r="G1425" s="7" cm="1">
        <f t="array" aca="1" ref="G1425" ca="1">INDEX(States!$B:$B,RANDBETWEEN(2,COUNTA(States!$A:$A)),1)</f>
        <v>8</v>
      </c>
      <c r="H1425" s="7" t="str">
        <f ca="1">VLOOKUP($D1425,Name!$A:$C,3,FALSE)</f>
        <v>M</v>
      </c>
      <c r="I1425" s="7" cm="1">
        <f t="array" aca="1" ref="I1425" ca="1">INDEX('Marital status'!$A:$A,RANDBETWEEN(2,COUNTA('Marital status'!$A:$A)),1)</f>
        <v>5</v>
      </c>
      <c r="J1425" s="7">
        <f t="shared" ca="1" si="267"/>
        <v>5</v>
      </c>
      <c r="K1425" s="8">
        <f t="shared" ca="1" si="268"/>
        <v>36946</v>
      </c>
      <c r="L1425" s="6">
        <f t="shared" ca="1" si="269"/>
        <v>4</v>
      </c>
      <c r="M1425" s="7">
        <f ca="1" xml:space="preserve">
  IF(OR($N1425 = 2, $N1425 = 3, $N1425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425" s="6">
        <f t="shared" ca="1" si="270"/>
        <v>8</v>
      </c>
      <c r="O1425" s="6">
        <f t="shared" ca="1" si="271"/>
        <v>4</v>
      </c>
      <c r="P1425" s="8">
        <f t="shared" ca="1" si="272"/>
        <v>40738</v>
      </c>
      <c r="Q1425" s="6">
        <f ca="1">RANDBETWEEN(2,COUNTA('Recruitment source'!$A:$A))</f>
        <v>9</v>
      </c>
      <c r="R1425" s="8" t="e">
        <f t="shared" ca="1" si="273"/>
        <v>#N/A</v>
      </c>
      <c r="S1425" s="6" t="e">
        <f t="shared" ca="1" si="274"/>
        <v>#N/A</v>
      </c>
      <c r="T1425" s="6">
        <f t="shared" ca="1" si="264"/>
        <v>5</v>
      </c>
      <c r="U1425" s="1">
        <f t="shared" ca="1" si="275"/>
        <v>2000</v>
      </c>
    </row>
    <row r="1426" spans="1:21" x14ac:dyDescent="0.2">
      <c r="A1426" s="7" cm="1">
        <f t="array" aca="1" ref="A1426" ca="1">INDEX(Companies!$A:$A,RANDBETWEEN(2,COUNTA(Companies!$A:$A)),1)</f>
        <v>2</v>
      </c>
      <c r="B1426" s="5">
        <f t="shared" si="265"/>
        <v>1425</v>
      </c>
      <c r="C1426" s="6">
        <f t="shared" ca="1" si="266"/>
        <v>1</v>
      </c>
      <c r="D1426" s="7">
        <f ca="1">IF($B1426 = 1 + N("Presidente"),
    127,
    IF($B1426 = 2 + N("Vice-Presidente"),
        72,
        IF($B1426 = 3 + N("Secretária bilíngue"),
            13,
            RANDBETWEEN(5,COUNT(Name!$A:$A) + 1)
        )
    )
)</f>
        <v>358</v>
      </c>
      <c r="E1426" s="7" t="str">
        <f ca="1" xml:space="preserve">
VLOOKUP(
  $D1426,
  Name!$A:$B,
  2,
  FALSE
)
&amp; " " &amp;
IF($B1426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Vinícius Romano Rangel</v>
      </c>
      <c r="F1426" s="7">
        <v>2</v>
      </c>
      <c r="G1426" s="7" cm="1">
        <f t="array" aca="1" ref="G1426" ca="1">INDEX(States!$B:$B,RANDBETWEEN(2,COUNTA(States!$A:$A)),1)</f>
        <v>5</v>
      </c>
      <c r="H1426" s="7" t="str">
        <f ca="1">VLOOKUP($D1426,Name!$A:$C,3,FALSE)</f>
        <v>M</v>
      </c>
      <c r="I1426" s="7" cm="1">
        <f t="array" aca="1" ref="I1426" ca="1">INDEX('Marital status'!$A:$A,RANDBETWEEN(2,COUNTA('Marital status'!$A:$A)),1)</f>
        <v>3</v>
      </c>
      <c r="J1426" s="7">
        <f t="shared" ca="1" si="267"/>
        <v>2</v>
      </c>
      <c r="K1426" s="8">
        <f t="shared" ca="1" si="268"/>
        <v>33387</v>
      </c>
      <c r="L1426" s="6">
        <f t="shared" ca="1" si="269"/>
        <v>4</v>
      </c>
      <c r="M1426" s="7">
        <f ca="1" xml:space="preserve">
  IF(OR($N1426 = 2, $N1426 = 3, $N1426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426" s="6">
        <f t="shared" ca="1" si="270"/>
        <v>7</v>
      </c>
      <c r="O1426" s="6" t="e">
        <f t="shared" ca="1" si="271"/>
        <v>#N/A</v>
      </c>
      <c r="P1426" s="8">
        <f t="shared" ca="1" si="272"/>
        <v>41121</v>
      </c>
      <c r="Q1426" s="6">
        <f ca="1">RANDBETWEEN(2,COUNTA('Recruitment source'!$A:$A))</f>
        <v>11</v>
      </c>
      <c r="R1426" s="8" t="e">
        <f t="shared" ca="1" si="273"/>
        <v>#N/A</v>
      </c>
      <c r="S1426" s="6" t="e">
        <f t="shared" ca="1" si="274"/>
        <v>#N/A</v>
      </c>
      <c r="T1426" s="6">
        <f t="shared" ca="1" si="264"/>
        <v>5</v>
      </c>
      <c r="U1426" s="1">
        <f t="shared" ca="1" si="275"/>
        <v>1005</v>
      </c>
    </row>
    <row r="1427" spans="1:21" x14ac:dyDescent="0.2">
      <c r="A1427" s="7" cm="1">
        <f t="array" aca="1" ref="A1427" ca="1">INDEX(Companies!$A:$A,RANDBETWEEN(2,COUNTA(Companies!$A:$A)),1)</f>
        <v>2</v>
      </c>
      <c r="B1427" s="5">
        <f t="shared" si="265"/>
        <v>1426</v>
      </c>
      <c r="C1427" s="6">
        <f t="shared" ca="1" si="266"/>
        <v>1</v>
      </c>
      <c r="D1427" s="7">
        <f ca="1">IF($B1427 = 1 + N("Presidente"),
    127,
    IF($B1427 = 2 + N("Vice-Presidente"),
        72,
        IF($B1427 = 3 + N("Secretária bilíngue"),
            13,
            RANDBETWEEN(5,COUNT(Name!$A:$A) + 1)
        )
    )
)</f>
        <v>326</v>
      </c>
      <c r="E1427" s="7" t="str">
        <f ca="1" xml:space="preserve">
VLOOKUP(
  $D1427,
  Name!$A:$B,
  2,
  FALSE
)
&amp; " " &amp;
IF($B1427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Rainah Bianchi Moura</v>
      </c>
      <c r="F1427" s="7">
        <v>2</v>
      </c>
      <c r="G1427" s="7" cm="1">
        <f t="array" aca="1" ref="G1427" ca="1">INDEX(States!$B:$B,RANDBETWEEN(2,COUNTA(States!$A:$A)),1)</f>
        <v>13</v>
      </c>
      <c r="H1427" s="7" t="str">
        <f ca="1">VLOOKUP($D1427,Name!$A:$C,3,FALSE)</f>
        <v>F</v>
      </c>
      <c r="I1427" s="7" cm="1">
        <f t="array" aca="1" ref="I1427" ca="1">INDEX('Marital status'!$A:$A,RANDBETWEEN(2,COUNTA('Marital status'!$A:$A)),1)</f>
        <v>5</v>
      </c>
      <c r="J1427" s="7">
        <f t="shared" ca="1" si="267"/>
        <v>2</v>
      </c>
      <c r="K1427" s="8">
        <f t="shared" ca="1" si="268"/>
        <v>35628</v>
      </c>
      <c r="L1427" s="6">
        <f t="shared" ca="1" si="269"/>
        <v>5</v>
      </c>
      <c r="M1427" s="7">
        <f ca="1" xml:space="preserve">
  IF(OR($N1427 = 2, $N1427 = 3, $N1427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427" s="6">
        <f t="shared" ca="1" si="270"/>
        <v>8</v>
      </c>
      <c r="O1427" s="6">
        <f t="shared" ca="1" si="271"/>
        <v>2</v>
      </c>
      <c r="P1427" s="8">
        <f t="shared" ca="1" si="272"/>
        <v>40537</v>
      </c>
      <c r="Q1427" s="6">
        <f ca="1">RANDBETWEEN(2,COUNTA('Recruitment source'!$A:$A))</f>
        <v>7</v>
      </c>
      <c r="R1427" s="8" t="e">
        <f t="shared" ca="1" si="273"/>
        <v>#N/A</v>
      </c>
      <c r="S1427" s="6" t="e">
        <f t="shared" ca="1" si="274"/>
        <v>#N/A</v>
      </c>
      <c r="T1427" s="6">
        <f t="shared" ca="1" si="264"/>
        <v>2</v>
      </c>
      <c r="U1427" s="1">
        <f t="shared" ca="1" si="275"/>
        <v>2000</v>
      </c>
    </row>
    <row r="1428" spans="1:21" x14ac:dyDescent="0.2">
      <c r="A1428" s="7" cm="1">
        <f t="array" aca="1" ref="A1428" ca="1">INDEX(Companies!$A:$A,RANDBETWEEN(2,COUNTA(Companies!$A:$A)),1)</f>
        <v>2</v>
      </c>
      <c r="B1428" s="5">
        <f t="shared" si="265"/>
        <v>1427</v>
      </c>
      <c r="C1428" s="6">
        <f t="shared" ca="1" si="266"/>
        <v>1</v>
      </c>
      <c r="D1428" s="7">
        <f ca="1">IF($B1428 = 1 + N("Presidente"),
    127,
    IF($B1428 = 2 + N("Vice-Presidente"),
        72,
        IF($B1428 = 3 + N("Secretária bilíngue"),
            13,
            RANDBETWEEN(5,COUNT(Name!$A:$A) + 1)
        )
    )
)</f>
        <v>279</v>
      </c>
      <c r="E1428" s="7" t="str">
        <f ca="1" xml:space="preserve">
VLOOKUP(
  $D1428,
  Name!$A:$B,
  2,
  FALSE
)
&amp; " " &amp;
IF($B1428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Mariane Ribeiro Brito</v>
      </c>
      <c r="F1428" s="7">
        <v>2</v>
      </c>
      <c r="G1428" s="7" cm="1">
        <f t="array" aca="1" ref="G1428" ca="1">INDEX(States!$B:$B,RANDBETWEEN(2,COUNTA(States!$A:$A)),1)</f>
        <v>9</v>
      </c>
      <c r="H1428" s="7" t="str">
        <f ca="1">VLOOKUP($D1428,Name!$A:$C,3,FALSE)</f>
        <v>F</v>
      </c>
      <c r="I1428" s="7" cm="1">
        <f t="array" aca="1" ref="I1428" ca="1">INDEX('Marital status'!$A:$A,RANDBETWEEN(2,COUNTA('Marital status'!$A:$A)),1)</f>
        <v>4</v>
      </c>
      <c r="J1428" s="7">
        <f t="shared" ca="1" si="267"/>
        <v>3</v>
      </c>
      <c r="K1428" s="8">
        <f t="shared" ca="1" si="268"/>
        <v>32046</v>
      </c>
      <c r="L1428" s="6">
        <f t="shared" ca="1" si="269"/>
        <v>4</v>
      </c>
      <c r="M1428" s="7">
        <f ca="1" xml:space="preserve">
  IF(OR($N1428 = 2, $N1428 = 3, $N1428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428" s="6">
        <f t="shared" ca="1" si="270"/>
        <v>7</v>
      </c>
      <c r="O1428" s="6" t="e">
        <f t="shared" ca="1" si="271"/>
        <v>#N/A</v>
      </c>
      <c r="P1428" s="8">
        <f t="shared" ca="1" si="272"/>
        <v>40134</v>
      </c>
      <c r="Q1428" s="6">
        <f ca="1">RANDBETWEEN(2,COUNTA('Recruitment source'!$A:$A))</f>
        <v>11</v>
      </c>
      <c r="R1428" s="8" t="e">
        <f t="shared" ca="1" si="273"/>
        <v>#N/A</v>
      </c>
      <c r="S1428" s="6" t="e">
        <f t="shared" ca="1" si="274"/>
        <v>#N/A</v>
      </c>
      <c r="T1428" s="6">
        <f t="shared" ca="1" si="264"/>
        <v>3</v>
      </c>
      <c r="U1428" s="1">
        <f t="shared" ca="1" si="275"/>
        <v>1085</v>
      </c>
    </row>
    <row r="1429" spans="1:21" x14ac:dyDescent="0.2">
      <c r="A1429" s="7" cm="1">
        <f t="array" aca="1" ref="A1429" ca="1">INDEX(Companies!$A:$A,RANDBETWEEN(2,COUNTA(Companies!$A:$A)),1)</f>
        <v>2</v>
      </c>
      <c r="B1429" s="5">
        <f t="shared" si="265"/>
        <v>1428</v>
      </c>
      <c r="C1429" s="6">
        <f t="shared" ca="1" si="266"/>
        <v>1</v>
      </c>
      <c r="D1429" s="7">
        <f ca="1">IF($B1429 = 1 + N("Presidente"),
    127,
    IF($B1429 = 2 + N("Vice-Presidente"),
        72,
        IF($B1429 = 3 + N("Secretária bilíngue"),
            13,
            RANDBETWEEN(5,COUNT(Name!$A:$A) + 1)
        )
    )
)</f>
        <v>10</v>
      </c>
      <c r="E1429" s="7" t="str">
        <f ca="1" xml:space="preserve">
VLOOKUP(
  $D1429,
  Name!$A:$B,
  2,
  FALSE
)
&amp; " " &amp;
IF($B1429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Ágata Martinelli Melo</v>
      </c>
      <c r="F1429" s="7">
        <v>2</v>
      </c>
      <c r="G1429" s="7" cm="1">
        <f t="array" aca="1" ref="G1429" ca="1">INDEX(States!$B:$B,RANDBETWEEN(2,COUNTA(States!$A:$A)),1)</f>
        <v>14</v>
      </c>
      <c r="H1429" s="7" t="str">
        <f ca="1">VLOOKUP($D1429,Name!$A:$C,3,FALSE)</f>
        <v>F</v>
      </c>
      <c r="I1429" s="7" cm="1">
        <f t="array" aca="1" ref="I1429" ca="1">INDEX('Marital status'!$A:$A,RANDBETWEEN(2,COUNTA('Marital status'!$A:$A)),1)</f>
        <v>5</v>
      </c>
      <c r="J1429" s="7">
        <f t="shared" ca="1" si="267"/>
        <v>2</v>
      </c>
      <c r="K1429" s="8">
        <f t="shared" ca="1" si="268"/>
        <v>37886</v>
      </c>
      <c r="L1429" s="6">
        <f t="shared" ca="1" si="269"/>
        <v>5</v>
      </c>
      <c r="M1429" s="7">
        <f ca="1" xml:space="preserve">
  IF(OR($N1429 = 2, $N1429 = 3, $N1429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429" s="6">
        <f t="shared" ca="1" si="270"/>
        <v>8</v>
      </c>
      <c r="O1429" s="6">
        <f t="shared" ca="1" si="271"/>
        <v>2</v>
      </c>
      <c r="P1429" s="8">
        <f t="shared" ca="1" si="272"/>
        <v>44758</v>
      </c>
      <c r="Q1429" s="6">
        <f ca="1">RANDBETWEEN(2,COUNTA('Recruitment source'!$A:$A))</f>
        <v>3</v>
      </c>
      <c r="R1429" s="8" t="e">
        <f t="shared" ca="1" si="273"/>
        <v>#N/A</v>
      </c>
      <c r="S1429" s="6" t="e">
        <f t="shared" ca="1" si="274"/>
        <v>#N/A</v>
      </c>
      <c r="T1429" s="6">
        <f t="shared" ca="1" si="264"/>
        <v>4</v>
      </c>
      <c r="U1429" s="1">
        <f t="shared" ca="1" si="275"/>
        <v>2080</v>
      </c>
    </row>
    <row r="1430" spans="1:21" x14ac:dyDescent="0.2">
      <c r="A1430" s="7" cm="1">
        <f t="array" aca="1" ref="A1430" ca="1">INDEX(Companies!$A:$A,RANDBETWEEN(2,COUNTA(Companies!$A:$A)),1)</f>
        <v>2</v>
      </c>
      <c r="B1430" s="5">
        <f t="shared" si="265"/>
        <v>1429</v>
      </c>
      <c r="C1430" s="6">
        <f t="shared" ca="1" si="266"/>
        <v>1</v>
      </c>
      <c r="D1430" s="7">
        <f ca="1">IF($B1430 = 1 + N("Presidente"),
    127,
    IF($B1430 = 2 + N("Vice-Presidente"),
        72,
        IF($B1430 = 3 + N("Secretária bilíngue"),
            13,
            RANDBETWEEN(5,COUNT(Name!$A:$A) + 1)
        )
    )
)</f>
        <v>55</v>
      </c>
      <c r="E1430" s="7" t="str">
        <f ca="1" xml:space="preserve">
VLOOKUP(
  $D1430,
  Name!$A:$B,
  2,
  FALSE
)
&amp; " " &amp;
IF($B1430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Martinelli Zil</v>
      </c>
      <c r="F1430" s="7">
        <v>2</v>
      </c>
      <c r="G1430" s="7" cm="1">
        <f t="array" aca="1" ref="G1430" ca="1">INDEX(States!$B:$B,RANDBETWEEN(2,COUNTA(States!$A:$A)),1)</f>
        <v>3</v>
      </c>
      <c r="H1430" s="7" t="str">
        <f ca="1">VLOOKUP($D1430,Name!$A:$C,3,FALSE)</f>
        <v>M</v>
      </c>
      <c r="I1430" s="7" cm="1">
        <f t="array" aca="1" ref="I1430" ca="1">INDEX('Marital status'!$A:$A,RANDBETWEEN(2,COUNTA('Marital status'!$A:$A)),1)</f>
        <v>6</v>
      </c>
      <c r="J1430" s="7">
        <f t="shared" ca="1" si="267"/>
        <v>4</v>
      </c>
      <c r="K1430" s="8">
        <f t="shared" ca="1" si="268"/>
        <v>23097</v>
      </c>
      <c r="L1430" s="6">
        <f t="shared" ca="1" si="269"/>
        <v>4</v>
      </c>
      <c r="M1430" s="7">
        <f ca="1" xml:space="preserve">
  IF(OR($N1430 = 2, $N1430 = 3, $N1430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430" s="6">
        <f t="shared" ca="1" si="270"/>
        <v>6</v>
      </c>
      <c r="O1430" s="6" t="e">
        <f t="shared" ca="1" si="271"/>
        <v>#N/A</v>
      </c>
      <c r="P1430" s="8">
        <f t="shared" ca="1" si="272"/>
        <v>40125</v>
      </c>
      <c r="Q1430" s="6">
        <f ca="1">RANDBETWEEN(2,COUNTA('Recruitment source'!$A:$A))</f>
        <v>2</v>
      </c>
      <c r="R1430" s="8" t="e">
        <f t="shared" ca="1" si="273"/>
        <v>#N/A</v>
      </c>
      <c r="S1430" s="6" t="e">
        <f t="shared" ca="1" si="274"/>
        <v>#N/A</v>
      </c>
      <c r="T1430" s="6">
        <f t="shared" ca="1" si="264"/>
        <v>3</v>
      </c>
      <c r="U1430" s="1">
        <f t="shared" ca="1" si="275"/>
        <v>805</v>
      </c>
    </row>
    <row r="1431" spans="1:21" x14ac:dyDescent="0.2">
      <c r="A1431" s="7" cm="1">
        <f t="array" aca="1" ref="A1431" ca="1">INDEX(Companies!$A:$A,RANDBETWEEN(2,COUNTA(Companies!$A:$A)),1)</f>
        <v>2</v>
      </c>
      <c r="B1431" s="5">
        <f t="shared" si="265"/>
        <v>1430</v>
      </c>
      <c r="C1431" s="6">
        <f t="shared" ca="1" si="266"/>
        <v>1</v>
      </c>
      <c r="D1431" s="7">
        <f ca="1">IF($B1431 = 1 + N("Presidente"),
    127,
    IF($B1431 = 2 + N("Vice-Presidente"),
        72,
        IF($B1431 = 3 + N("Secretária bilíngue"),
            13,
            RANDBETWEEN(5,COUNT(Name!$A:$A) + 1)
        )
    )
)</f>
        <v>238</v>
      </c>
      <c r="E1431" s="7" t="str">
        <f ca="1" xml:space="preserve">
VLOOKUP(
  $D1431,
  Name!$A:$B,
  2,
  FALSE
)
&amp; " " &amp;
IF($B1431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Lucas Chaves Nunes</v>
      </c>
      <c r="F1431" s="7">
        <v>2</v>
      </c>
      <c r="G1431" s="7" cm="1">
        <f t="array" aca="1" ref="G1431" ca="1">INDEX(States!$B:$B,RANDBETWEEN(2,COUNTA(States!$A:$A)),1)</f>
        <v>19</v>
      </c>
      <c r="H1431" s="7" t="str">
        <f ca="1">VLOOKUP($D1431,Name!$A:$C,3,FALSE)</f>
        <v>M</v>
      </c>
      <c r="I1431" s="7" cm="1">
        <f t="array" aca="1" ref="I1431" ca="1">INDEX('Marital status'!$A:$A,RANDBETWEEN(2,COUNTA('Marital status'!$A:$A)),1)</f>
        <v>3</v>
      </c>
      <c r="J1431" s="7">
        <f t="shared" ca="1" si="267"/>
        <v>2</v>
      </c>
      <c r="K1431" s="8">
        <f t="shared" ca="1" si="268"/>
        <v>35945</v>
      </c>
      <c r="L1431" s="6">
        <f t="shared" ca="1" si="269"/>
        <v>4</v>
      </c>
      <c r="M1431" s="7">
        <f ca="1" xml:space="preserve">
  IF(OR($N1431 = 2, $N1431 = 3, $N1431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431" s="6">
        <f t="shared" ca="1" si="270"/>
        <v>8</v>
      </c>
      <c r="O1431" s="6">
        <f t="shared" ca="1" si="271"/>
        <v>4</v>
      </c>
      <c r="P1431" s="8">
        <f t="shared" ca="1" si="272"/>
        <v>40961</v>
      </c>
      <c r="Q1431" s="6">
        <f ca="1">RANDBETWEEN(2,COUNTA('Recruitment source'!$A:$A))</f>
        <v>9</v>
      </c>
      <c r="R1431" s="8" t="e">
        <f t="shared" ca="1" si="273"/>
        <v>#N/A</v>
      </c>
      <c r="S1431" s="6" t="e">
        <f t="shared" ca="1" si="274"/>
        <v>#N/A</v>
      </c>
      <c r="T1431" s="6">
        <f t="shared" ca="1" si="264"/>
        <v>4</v>
      </c>
      <c r="U1431" s="1">
        <f t="shared" ca="1" si="275"/>
        <v>2100</v>
      </c>
    </row>
    <row r="1432" spans="1:21" x14ac:dyDescent="0.2">
      <c r="A1432" s="7" cm="1">
        <f t="array" aca="1" ref="A1432" ca="1">INDEX(Companies!$A:$A,RANDBETWEEN(2,COUNTA(Companies!$A:$A)),1)</f>
        <v>2</v>
      </c>
      <c r="B1432" s="5">
        <f t="shared" si="265"/>
        <v>1431</v>
      </c>
      <c r="C1432" s="6">
        <f t="shared" ca="1" si="266"/>
        <v>1</v>
      </c>
      <c r="D1432" s="7">
        <f ca="1">IF($B1432 = 1 + N("Presidente"),
    127,
    IF($B1432 = 2 + N("Vice-Presidente"),
        72,
        IF($B1432 = 3 + N("Secretária bilíngue"),
            13,
            RANDBETWEEN(5,COUNT(Name!$A:$A) + 1)
        )
    )
)</f>
        <v>50</v>
      </c>
      <c r="E1432" s="7" t="str">
        <f ca="1" xml:space="preserve">
VLOOKUP(
  $D1432,
  Name!$A:$B,
  2,
  FALSE
)
&amp; " " &amp;
IF($B1432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Antonella Santos Brasil</v>
      </c>
      <c r="F1432" s="7">
        <v>2</v>
      </c>
      <c r="G1432" s="7" cm="1">
        <f t="array" aca="1" ref="G1432" ca="1">INDEX(States!$B:$B,RANDBETWEEN(2,COUNTA(States!$A:$A)),1)</f>
        <v>20</v>
      </c>
      <c r="H1432" s="7" t="str">
        <f ca="1">VLOOKUP($D1432,Name!$A:$C,3,FALSE)</f>
        <v>F</v>
      </c>
      <c r="I1432" s="7" cm="1">
        <f t="array" aca="1" ref="I1432" ca="1">INDEX('Marital status'!$A:$A,RANDBETWEEN(2,COUNTA('Marital status'!$A:$A)),1)</f>
        <v>6</v>
      </c>
      <c r="J1432" s="7">
        <f t="shared" ca="1" si="267"/>
        <v>2</v>
      </c>
      <c r="K1432" s="8">
        <f t="shared" ca="1" si="268"/>
        <v>31518</v>
      </c>
      <c r="L1432" s="6">
        <f t="shared" ca="1" si="269"/>
        <v>4</v>
      </c>
      <c r="M1432" s="7">
        <f ca="1" xml:space="preserve">
  IF(OR($N1432 = 2, $N1432 = 3, $N1432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432" s="6">
        <f t="shared" ca="1" si="270"/>
        <v>7</v>
      </c>
      <c r="O1432" s="6" t="e">
        <f t="shared" ca="1" si="271"/>
        <v>#N/A</v>
      </c>
      <c r="P1432" s="8">
        <f t="shared" ca="1" si="272"/>
        <v>41081</v>
      </c>
      <c r="Q1432" s="6">
        <f ca="1">RANDBETWEEN(2,COUNTA('Recruitment source'!$A:$A))</f>
        <v>4</v>
      </c>
      <c r="R1432" s="8" t="e">
        <f t="shared" ca="1" si="273"/>
        <v>#N/A</v>
      </c>
      <c r="S1432" s="6" t="e">
        <f t="shared" ca="1" si="274"/>
        <v>#N/A</v>
      </c>
      <c r="T1432" s="6">
        <f t="shared" ca="1" si="264"/>
        <v>4</v>
      </c>
      <c r="U1432" s="1">
        <f t="shared" ca="1" si="275"/>
        <v>1005</v>
      </c>
    </row>
    <row r="1433" spans="1:21" x14ac:dyDescent="0.2">
      <c r="A1433" s="7" cm="1">
        <f t="array" aca="1" ref="A1433" ca="1">INDEX(Companies!$A:$A,RANDBETWEEN(2,COUNTA(Companies!$A:$A)),1)</f>
        <v>2</v>
      </c>
      <c r="B1433" s="5">
        <f t="shared" si="265"/>
        <v>1432</v>
      </c>
      <c r="C1433" s="6">
        <f t="shared" ca="1" si="266"/>
        <v>1</v>
      </c>
      <c r="D1433" s="7">
        <f ca="1">IF($B1433 = 1 + N("Presidente"),
    127,
    IF($B1433 = 2 + N("Vice-Presidente"),
        72,
        IF($B1433 = 3 + N("Secretária bilíngue"),
            13,
            RANDBETWEEN(5,COUNT(Name!$A:$A) + 1)
        )
    )
)</f>
        <v>7</v>
      </c>
      <c r="E1433" s="7" t="str">
        <f ca="1" xml:space="preserve">
VLOOKUP(
  $D1433,
  Name!$A:$B,
  2,
  FALSE
)
&amp; " " &amp;
IF($B1433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Adelaide Ricci Bragança</v>
      </c>
      <c r="F1433" s="7">
        <v>2</v>
      </c>
      <c r="G1433" s="7" cm="1">
        <f t="array" aca="1" ref="G1433" ca="1">INDEX(States!$B:$B,RANDBETWEEN(2,COUNTA(States!$A:$A)),1)</f>
        <v>14</v>
      </c>
      <c r="H1433" s="7" t="str">
        <f ca="1">VLOOKUP($D1433,Name!$A:$C,3,FALSE)</f>
        <v>F</v>
      </c>
      <c r="I1433" s="7" cm="1">
        <f t="array" aca="1" ref="I1433" ca="1">INDEX('Marital status'!$A:$A,RANDBETWEEN(2,COUNTA('Marital status'!$A:$A)),1)</f>
        <v>4</v>
      </c>
      <c r="J1433" s="7">
        <f t="shared" ca="1" si="267"/>
        <v>2</v>
      </c>
      <c r="K1433" s="8">
        <f t="shared" ca="1" si="268"/>
        <v>36528</v>
      </c>
      <c r="L1433" s="6">
        <f t="shared" ca="1" si="269"/>
        <v>5</v>
      </c>
      <c r="M1433" s="7">
        <f ca="1" xml:space="preserve">
  IF(OR($N1433 = 2, $N1433 = 3, $N1433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433" s="6">
        <f t="shared" ca="1" si="270"/>
        <v>8</v>
      </c>
      <c r="O1433" s="6">
        <f t="shared" ca="1" si="271"/>
        <v>3</v>
      </c>
      <c r="P1433" s="8">
        <f t="shared" ca="1" si="272"/>
        <v>39229</v>
      </c>
      <c r="Q1433" s="6">
        <f ca="1">RANDBETWEEN(2,COUNTA('Recruitment source'!$A:$A))</f>
        <v>10</v>
      </c>
      <c r="R1433" s="8" t="e">
        <f t="shared" ca="1" si="273"/>
        <v>#N/A</v>
      </c>
      <c r="S1433" s="6" t="e">
        <f t="shared" ca="1" si="274"/>
        <v>#N/A</v>
      </c>
      <c r="T1433" s="6">
        <f t="shared" ca="1" si="264"/>
        <v>3</v>
      </c>
      <c r="U1433" s="1">
        <f t="shared" ca="1" si="275"/>
        <v>2080</v>
      </c>
    </row>
    <row r="1434" spans="1:21" x14ac:dyDescent="0.2">
      <c r="A1434" s="7" cm="1">
        <f t="array" aca="1" ref="A1434" ca="1">INDEX(Companies!$A:$A,RANDBETWEEN(2,COUNTA(Companies!$A:$A)),1)</f>
        <v>2</v>
      </c>
      <c r="B1434" s="5">
        <f t="shared" si="265"/>
        <v>1433</v>
      </c>
      <c r="C1434" s="6">
        <f t="shared" ca="1" si="266"/>
        <v>1</v>
      </c>
      <c r="D1434" s="7">
        <f ca="1">IF($B1434 = 1 + N("Presidente"),
    127,
    IF($B1434 = 2 + N("Vice-Presidente"),
        72,
        IF($B1434 = 3 + N("Secretária bilíngue"),
            13,
            RANDBETWEEN(5,COUNT(Name!$A:$A) + 1)
        )
    )
)</f>
        <v>141</v>
      </c>
      <c r="E1434" s="7" t="str">
        <f ca="1" xml:space="preserve">
VLOOKUP(
  $D1434,
  Name!$A:$B,
  2,
  FALSE
)
&amp; " " &amp;
IF($B1434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Filipe Lima Almeida</v>
      </c>
      <c r="F1434" s="7">
        <v>2</v>
      </c>
      <c r="G1434" s="7" cm="1">
        <f t="array" aca="1" ref="G1434" ca="1">INDEX(States!$B:$B,RANDBETWEEN(2,COUNTA(States!$A:$A)),1)</f>
        <v>15</v>
      </c>
      <c r="H1434" s="7" t="str">
        <f ca="1">VLOOKUP($D1434,Name!$A:$C,3,FALSE)</f>
        <v>M</v>
      </c>
      <c r="I1434" s="7" cm="1">
        <f t="array" aca="1" ref="I1434" ca="1">INDEX('Marital status'!$A:$A,RANDBETWEEN(2,COUNTA('Marital status'!$A:$A)),1)</f>
        <v>3</v>
      </c>
      <c r="J1434" s="7">
        <f t="shared" ca="1" si="267"/>
        <v>2</v>
      </c>
      <c r="K1434" s="8">
        <f t="shared" ca="1" si="268"/>
        <v>18148</v>
      </c>
      <c r="L1434" s="6">
        <f t="shared" ca="1" si="269"/>
        <v>4</v>
      </c>
      <c r="M1434" s="7">
        <f ca="1" xml:space="preserve">
  IF(OR($N1434 = 2, $N1434 = 3, $N1434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434" s="6">
        <f t="shared" ca="1" si="270"/>
        <v>6</v>
      </c>
      <c r="O1434" s="6" t="e">
        <f t="shared" ca="1" si="271"/>
        <v>#N/A</v>
      </c>
      <c r="P1434" s="8">
        <f t="shared" ca="1" si="272"/>
        <v>43207</v>
      </c>
      <c r="Q1434" s="6">
        <f ca="1">RANDBETWEEN(2,COUNTA('Recruitment source'!$A:$A))</f>
        <v>7</v>
      </c>
      <c r="R1434" s="8" t="e">
        <f t="shared" ca="1" si="273"/>
        <v>#N/A</v>
      </c>
      <c r="S1434" s="6" t="e">
        <f t="shared" ca="1" si="274"/>
        <v>#N/A</v>
      </c>
      <c r="T1434" s="6">
        <f t="shared" ca="1" si="264"/>
        <v>5</v>
      </c>
      <c r="U1434" s="1">
        <f t="shared" ca="1" si="275"/>
        <v>805</v>
      </c>
    </row>
    <row r="1435" spans="1:21" x14ac:dyDescent="0.2">
      <c r="A1435" s="7" cm="1">
        <f t="array" aca="1" ref="A1435" ca="1">INDEX(Companies!$A:$A,RANDBETWEEN(2,COUNTA(Companies!$A:$A)),1)</f>
        <v>2</v>
      </c>
      <c r="B1435" s="5">
        <f t="shared" si="265"/>
        <v>1434</v>
      </c>
      <c r="C1435" s="6">
        <f t="shared" ca="1" si="266"/>
        <v>1</v>
      </c>
      <c r="D1435" s="7">
        <f ca="1">IF($B1435 = 1 + N("Presidente"),
    127,
    IF($B1435 = 2 + N("Vice-Presidente"),
        72,
        IF($B1435 = 3 + N("Secretária bilíngue"),
            13,
            RANDBETWEEN(5,COUNT(Name!$A:$A) + 1)
        )
    )
)</f>
        <v>99</v>
      </c>
      <c r="E1435" s="7" t="str">
        <f ca="1" xml:space="preserve">
VLOOKUP(
  $D1435,
  Name!$A:$B,
  2,
  FALSE
)
&amp; " " &amp;
IF($B1435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Cloe Gonçalves Luz</v>
      </c>
      <c r="F1435" s="7">
        <v>2</v>
      </c>
      <c r="G1435" s="7" cm="1">
        <f t="array" aca="1" ref="G1435" ca="1">INDEX(States!$B:$B,RANDBETWEEN(2,COUNTA(States!$A:$A)),1)</f>
        <v>8</v>
      </c>
      <c r="H1435" s="7" t="str">
        <f ca="1">VLOOKUP($D1435,Name!$A:$C,3,FALSE)</f>
        <v>F</v>
      </c>
      <c r="I1435" s="7" cm="1">
        <f t="array" aca="1" ref="I1435" ca="1">INDEX('Marital status'!$A:$A,RANDBETWEEN(2,COUNTA('Marital status'!$A:$A)),1)</f>
        <v>2</v>
      </c>
      <c r="J1435" s="7">
        <f t="shared" ca="1" si="267"/>
        <v>3</v>
      </c>
      <c r="K1435" s="8">
        <f t="shared" ca="1" si="268"/>
        <v>33014</v>
      </c>
      <c r="L1435" s="6">
        <f t="shared" ca="1" si="269"/>
        <v>5</v>
      </c>
      <c r="M1435" s="7">
        <f ca="1" xml:space="preserve">
  IF(OR($N1435 = 2, $N1435 = 3, $N1435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435" s="6">
        <f t="shared" ca="1" si="270"/>
        <v>8</v>
      </c>
      <c r="O1435" s="6">
        <f t="shared" ca="1" si="271"/>
        <v>4</v>
      </c>
      <c r="P1435" s="8">
        <f t="shared" ca="1" si="272"/>
        <v>38622</v>
      </c>
      <c r="Q1435" s="6">
        <f ca="1">RANDBETWEEN(2,COUNTA('Recruitment source'!$A:$A))</f>
        <v>6</v>
      </c>
      <c r="R1435" s="8" t="e">
        <f t="shared" ca="1" si="273"/>
        <v>#N/A</v>
      </c>
      <c r="S1435" s="6" t="e">
        <f t="shared" ca="1" si="274"/>
        <v>#N/A</v>
      </c>
      <c r="T1435" s="6">
        <f t="shared" ca="1" si="264"/>
        <v>4</v>
      </c>
      <c r="U1435" s="1">
        <f t="shared" ca="1" si="275"/>
        <v>2000</v>
      </c>
    </row>
    <row r="1436" spans="1:21" x14ac:dyDescent="0.2">
      <c r="A1436" s="7" cm="1">
        <f t="array" aca="1" ref="A1436" ca="1">INDEX(Companies!$A:$A,RANDBETWEEN(2,COUNTA(Companies!$A:$A)),1)</f>
        <v>2</v>
      </c>
      <c r="B1436" s="5">
        <f t="shared" si="265"/>
        <v>1435</v>
      </c>
      <c r="C1436" s="6">
        <f t="shared" ca="1" si="266"/>
        <v>1</v>
      </c>
      <c r="D1436" s="7">
        <f ca="1">IF($B1436 = 1 + N("Presidente"),
    127,
    IF($B1436 = 2 + N("Vice-Presidente"),
        72,
        IF($B1436 = 3 + N("Secretária bilíngue"),
            13,
            RANDBETWEEN(5,COUNT(Name!$A:$A) + 1)
        )
    )
)</f>
        <v>163</v>
      </c>
      <c r="E1436" s="7" t="str">
        <f ca="1" xml:space="preserve">
VLOOKUP(
  $D1436,
  Name!$A:$B,
  2,
  FALSE
)
&amp; " " &amp;
IF($B1436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Heloísa Farias Alvaregna</v>
      </c>
      <c r="F1436" s="7">
        <v>2</v>
      </c>
      <c r="G1436" s="7" cm="1">
        <f t="array" aca="1" ref="G1436" ca="1">INDEX(States!$B:$B,RANDBETWEEN(2,COUNTA(States!$A:$A)),1)</f>
        <v>3</v>
      </c>
      <c r="H1436" s="7" t="str">
        <f ca="1">VLOOKUP($D1436,Name!$A:$C,3,FALSE)</f>
        <v>F</v>
      </c>
      <c r="I1436" s="7" cm="1">
        <f t="array" aca="1" ref="I1436" ca="1">INDEX('Marital status'!$A:$A,RANDBETWEEN(2,COUNTA('Marital status'!$A:$A)),1)</f>
        <v>4</v>
      </c>
      <c r="J1436" s="7">
        <f t="shared" ca="1" si="267"/>
        <v>2</v>
      </c>
      <c r="K1436" s="8">
        <f t="shared" ca="1" si="268"/>
        <v>31094</v>
      </c>
      <c r="L1436" s="6">
        <f t="shared" ca="1" si="269"/>
        <v>4</v>
      </c>
      <c r="M1436" s="7">
        <f ca="1" xml:space="preserve">
  IF(OR($N1436 = 2, $N1436 = 3, $N1436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436" s="6">
        <f t="shared" ca="1" si="270"/>
        <v>6</v>
      </c>
      <c r="O1436" s="6" t="e">
        <f t="shared" ca="1" si="271"/>
        <v>#N/A</v>
      </c>
      <c r="P1436" s="8">
        <f t="shared" ca="1" si="272"/>
        <v>40384</v>
      </c>
      <c r="Q1436" s="6">
        <f ca="1">RANDBETWEEN(2,COUNTA('Recruitment source'!$A:$A))</f>
        <v>8</v>
      </c>
      <c r="R1436" s="8" t="e">
        <f t="shared" ca="1" si="273"/>
        <v>#N/A</v>
      </c>
      <c r="S1436" s="6" t="e">
        <f t="shared" ca="1" si="274"/>
        <v>#N/A</v>
      </c>
      <c r="T1436" s="6">
        <f t="shared" ca="1" si="264"/>
        <v>5</v>
      </c>
      <c r="U1436" s="1">
        <f t="shared" ca="1" si="275"/>
        <v>805</v>
      </c>
    </row>
    <row r="1437" spans="1:21" x14ac:dyDescent="0.2">
      <c r="A1437" s="7" cm="1">
        <f t="array" aca="1" ref="A1437" ca="1">INDEX(Companies!$A:$A,RANDBETWEEN(2,COUNTA(Companies!$A:$A)),1)</f>
        <v>2</v>
      </c>
      <c r="B1437" s="5">
        <f t="shared" si="265"/>
        <v>1436</v>
      </c>
      <c r="C1437" s="6">
        <f t="shared" ca="1" si="266"/>
        <v>1</v>
      </c>
      <c r="D1437" s="7">
        <f ca="1">IF($B1437 = 1 + N("Presidente"),
    127,
    IF($B1437 = 2 + N("Vice-Presidente"),
        72,
        IF($B1437 = 3 + N("Secretária bilíngue"),
            13,
            RANDBETWEEN(5,COUNT(Name!$A:$A) + 1)
        )
    )
)</f>
        <v>28</v>
      </c>
      <c r="E1437" s="7" t="str">
        <f ca="1" xml:space="preserve">
VLOOKUP(
  $D1437,
  Name!$A:$B,
  2,
  FALSE
)
&amp; " " &amp;
IF($B1437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Caroline Auth Dantas</v>
      </c>
      <c r="F1437" s="7">
        <v>2</v>
      </c>
      <c r="G1437" s="7" cm="1">
        <f t="array" aca="1" ref="G1437" ca="1">INDEX(States!$B:$B,RANDBETWEEN(2,COUNTA(States!$A:$A)),1)</f>
        <v>13</v>
      </c>
      <c r="H1437" s="7" t="str">
        <f ca="1">VLOOKUP($D1437,Name!$A:$C,3,FALSE)</f>
        <v>F</v>
      </c>
      <c r="I1437" s="7" cm="1">
        <f t="array" aca="1" ref="I1437" ca="1">INDEX('Marital status'!$A:$A,RANDBETWEEN(2,COUNTA('Marital status'!$A:$A)),1)</f>
        <v>4</v>
      </c>
      <c r="J1437" s="7">
        <f t="shared" ca="1" si="267"/>
        <v>2</v>
      </c>
      <c r="K1437" s="8">
        <f t="shared" ca="1" si="268"/>
        <v>34760</v>
      </c>
      <c r="L1437" s="6">
        <f t="shared" ca="1" si="269"/>
        <v>4</v>
      </c>
      <c r="M1437" s="7">
        <f ca="1" xml:space="preserve">
  IF(OR($N1437 = 2, $N1437 = 3, $N1437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437" s="6">
        <f t="shared" ca="1" si="270"/>
        <v>8</v>
      </c>
      <c r="O1437" s="6">
        <f t="shared" ca="1" si="271"/>
        <v>2</v>
      </c>
      <c r="P1437" s="8">
        <f t="shared" ca="1" si="272"/>
        <v>38556</v>
      </c>
      <c r="Q1437" s="6">
        <f ca="1">RANDBETWEEN(2,COUNTA('Recruitment source'!$A:$A))</f>
        <v>10</v>
      </c>
      <c r="R1437" s="8" t="e">
        <f t="shared" ca="1" si="273"/>
        <v>#N/A</v>
      </c>
      <c r="S1437" s="6" t="e">
        <f t="shared" ca="1" si="274"/>
        <v>#N/A</v>
      </c>
      <c r="T1437" s="6">
        <f t="shared" ca="1" si="264"/>
        <v>5</v>
      </c>
      <c r="U1437" s="1">
        <f t="shared" ca="1" si="275"/>
        <v>2080</v>
      </c>
    </row>
    <row r="1438" spans="1:21" x14ac:dyDescent="0.2">
      <c r="A1438" s="7" cm="1">
        <f t="array" aca="1" ref="A1438" ca="1">INDEX(Companies!$A:$A,RANDBETWEEN(2,COUNTA(Companies!$A:$A)),1)</f>
        <v>2</v>
      </c>
      <c r="B1438" s="5">
        <f t="shared" si="265"/>
        <v>1437</v>
      </c>
      <c r="C1438" s="6">
        <f t="shared" ca="1" si="266"/>
        <v>1</v>
      </c>
      <c r="D1438" s="7">
        <f ca="1">IF($B1438 = 1 + N("Presidente"),
    127,
    IF($B1438 = 2 + N("Vice-Presidente"),
        72,
        IF($B1438 = 3 + N("Secretária bilíngue"),
            13,
            RANDBETWEEN(5,COUNT(Name!$A:$A) + 1)
        )
    )
)</f>
        <v>260</v>
      </c>
      <c r="E1438" s="7" t="str">
        <f ca="1" xml:space="preserve">
VLOOKUP(
  $D1438,
  Name!$A:$B,
  2,
  FALSE
)
&amp; " " &amp;
IF($B1438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Cecília Coelho Romano</v>
      </c>
      <c r="F1438" s="7">
        <v>2</v>
      </c>
      <c r="G1438" s="7" cm="1">
        <f t="array" aca="1" ref="G1438" ca="1">INDEX(States!$B:$B,RANDBETWEEN(2,COUNTA(States!$A:$A)),1)</f>
        <v>11</v>
      </c>
      <c r="H1438" s="7" t="str">
        <f ca="1">VLOOKUP($D1438,Name!$A:$C,3,FALSE)</f>
        <v>F</v>
      </c>
      <c r="I1438" s="7" cm="1">
        <f t="array" aca="1" ref="I1438" ca="1">INDEX('Marital status'!$A:$A,RANDBETWEEN(2,COUNTA('Marital status'!$A:$A)),1)</f>
        <v>2</v>
      </c>
      <c r="J1438" s="7">
        <f t="shared" ca="1" si="267"/>
        <v>2</v>
      </c>
      <c r="K1438" s="8">
        <f t="shared" ca="1" si="268"/>
        <v>27346</v>
      </c>
      <c r="L1438" s="6">
        <f t="shared" ca="1" si="269"/>
        <v>4</v>
      </c>
      <c r="M1438" s="7">
        <f ca="1" xml:space="preserve">
  IF(OR($N1438 = 2, $N1438 = 3, $N1438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438" s="6">
        <f t="shared" ca="1" si="270"/>
        <v>6</v>
      </c>
      <c r="O1438" s="6" t="e">
        <f t="shared" ca="1" si="271"/>
        <v>#N/A</v>
      </c>
      <c r="P1438" s="8">
        <f t="shared" ca="1" si="272"/>
        <v>43946</v>
      </c>
      <c r="Q1438" s="6">
        <f ca="1">RANDBETWEEN(2,COUNTA('Recruitment source'!$A:$A))</f>
        <v>9</v>
      </c>
      <c r="R1438" s="8" t="e">
        <f t="shared" ca="1" si="273"/>
        <v>#N/A</v>
      </c>
      <c r="S1438" s="6" t="e">
        <f t="shared" ca="1" si="274"/>
        <v>#N/A</v>
      </c>
      <c r="T1438" s="6">
        <f t="shared" ca="1" si="264"/>
        <v>4</v>
      </c>
      <c r="U1438" s="1">
        <f t="shared" ca="1" si="275"/>
        <v>885</v>
      </c>
    </row>
    <row r="1439" spans="1:21" x14ac:dyDescent="0.2">
      <c r="A1439" s="7" cm="1">
        <f t="array" aca="1" ref="A1439" ca="1">INDEX(Companies!$A:$A,RANDBETWEEN(2,COUNTA(Companies!$A:$A)),1)</f>
        <v>2</v>
      </c>
      <c r="B1439" s="5">
        <f t="shared" si="265"/>
        <v>1438</v>
      </c>
      <c r="C1439" s="6">
        <f t="shared" ca="1" si="266"/>
        <v>1</v>
      </c>
      <c r="D1439" s="7">
        <f ca="1">IF($B1439 = 1 + N("Presidente"),
    127,
    IF($B1439 = 2 + N("Vice-Presidente"),
        72,
        IF($B1439 = 3 + N("Secretária bilíngue"),
            13,
            RANDBETWEEN(5,COUNT(Name!$A:$A) + 1)
        )
    )
)</f>
        <v>68</v>
      </c>
      <c r="E1439" s="7" t="str">
        <f ca="1" xml:space="preserve">
VLOOKUP(
  $D1439,
  Name!$A:$B,
  2,
  FALSE
)
&amp; " " &amp;
IF($B1439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Benício Ricci Rodrigues</v>
      </c>
      <c r="F1439" s="7">
        <v>2</v>
      </c>
      <c r="G1439" s="7" cm="1">
        <f t="array" aca="1" ref="G1439" ca="1">INDEX(States!$B:$B,RANDBETWEEN(2,COUNTA(States!$A:$A)),1)</f>
        <v>8</v>
      </c>
      <c r="H1439" s="7" t="str">
        <f ca="1">VLOOKUP($D1439,Name!$A:$C,3,FALSE)</f>
        <v>M</v>
      </c>
      <c r="I1439" s="7" cm="1">
        <f t="array" aca="1" ref="I1439" ca="1">INDEX('Marital status'!$A:$A,RANDBETWEEN(2,COUNTA('Marital status'!$A:$A)),1)</f>
        <v>4</v>
      </c>
      <c r="J1439" s="7">
        <f t="shared" ca="1" si="267"/>
        <v>2</v>
      </c>
      <c r="K1439" s="8">
        <f t="shared" ca="1" si="268"/>
        <v>36691</v>
      </c>
      <c r="L1439" s="6">
        <f t="shared" ca="1" si="269"/>
        <v>5</v>
      </c>
      <c r="M1439" s="7">
        <f ca="1" xml:space="preserve">
  IF(OR($N1439 = 2, $N1439 = 3, $N1439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439" s="6">
        <f t="shared" ca="1" si="270"/>
        <v>8</v>
      </c>
      <c r="O1439" s="6">
        <f t="shared" ca="1" si="271"/>
        <v>2</v>
      </c>
      <c r="P1439" s="8">
        <f t="shared" ca="1" si="272"/>
        <v>39955</v>
      </c>
      <c r="Q1439" s="6">
        <f ca="1">RANDBETWEEN(2,COUNTA('Recruitment source'!$A:$A))</f>
        <v>11</v>
      </c>
      <c r="R1439" s="8" t="e">
        <f t="shared" ca="1" si="273"/>
        <v>#N/A</v>
      </c>
      <c r="S1439" s="6" t="e">
        <f t="shared" ca="1" si="274"/>
        <v>#N/A</v>
      </c>
      <c r="T1439" s="6">
        <f t="shared" ca="1" si="264"/>
        <v>2</v>
      </c>
      <c r="U1439" s="1">
        <f t="shared" ca="1" si="275"/>
        <v>2000</v>
      </c>
    </row>
    <row r="1440" spans="1:21" x14ac:dyDescent="0.2">
      <c r="A1440" s="7" cm="1">
        <f t="array" aca="1" ref="A1440" ca="1">INDEX(Companies!$A:$A,RANDBETWEEN(2,COUNTA(Companies!$A:$A)),1)</f>
        <v>2</v>
      </c>
      <c r="B1440" s="5">
        <f t="shared" si="265"/>
        <v>1439</v>
      </c>
      <c r="C1440" s="6">
        <f t="shared" ca="1" si="266"/>
        <v>1</v>
      </c>
      <c r="D1440" s="7">
        <f ca="1">IF($B1440 = 1 + N("Presidente"),
    127,
    IF($B1440 = 2 + N("Vice-Presidente"),
        72,
        IF($B1440 = 3 + N("Secretária bilíngue"),
            13,
            RANDBETWEEN(5,COUNT(Name!$A:$A) + 1)
        )
    )
)</f>
        <v>350</v>
      </c>
      <c r="E1440" s="7" t="str">
        <f ca="1" xml:space="preserve">
VLOOKUP(
  $D1440,
  Name!$A:$B,
  2,
  FALSE
)
&amp; " " &amp;
IF($B1440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Vanessa Pedroso Gonçalves</v>
      </c>
      <c r="F1440" s="7">
        <v>2</v>
      </c>
      <c r="G1440" s="7" cm="1">
        <f t="array" aca="1" ref="G1440" ca="1">INDEX(States!$B:$B,RANDBETWEEN(2,COUNTA(States!$A:$A)),1)</f>
        <v>12</v>
      </c>
      <c r="H1440" s="7" t="str">
        <f ca="1">VLOOKUP($D1440,Name!$A:$C,3,FALSE)</f>
        <v>F</v>
      </c>
      <c r="I1440" s="7" cm="1">
        <f t="array" aca="1" ref="I1440" ca="1">INDEX('Marital status'!$A:$A,RANDBETWEEN(2,COUNTA('Marital status'!$A:$A)),1)</f>
        <v>2</v>
      </c>
      <c r="J1440" s="7">
        <f t="shared" ca="1" si="267"/>
        <v>2</v>
      </c>
      <c r="K1440" s="8">
        <f t="shared" ca="1" si="268"/>
        <v>29258</v>
      </c>
      <c r="L1440" s="6">
        <f t="shared" ca="1" si="269"/>
        <v>4</v>
      </c>
      <c r="M1440" s="7">
        <f ca="1" xml:space="preserve">
  IF(OR($N1440 = 2, $N1440 = 3, $N1440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440" s="6">
        <f t="shared" ca="1" si="270"/>
        <v>7</v>
      </c>
      <c r="O1440" s="6" t="e">
        <f t="shared" ca="1" si="271"/>
        <v>#N/A</v>
      </c>
      <c r="P1440" s="8">
        <f t="shared" ca="1" si="272"/>
        <v>43250</v>
      </c>
      <c r="Q1440" s="6">
        <f ca="1">RANDBETWEEN(2,COUNTA('Recruitment source'!$A:$A))</f>
        <v>8</v>
      </c>
      <c r="R1440" s="8" t="e">
        <f t="shared" ca="1" si="273"/>
        <v>#N/A</v>
      </c>
      <c r="S1440" s="6" t="e">
        <f t="shared" ca="1" si="274"/>
        <v>#N/A</v>
      </c>
      <c r="T1440" s="6">
        <f t="shared" ca="1" si="264"/>
        <v>4</v>
      </c>
      <c r="U1440" s="1">
        <f t="shared" ca="1" si="275"/>
        <v>1005</v>
      </c>
    </row>
    <row r="1441" spans="1:21" x14ac:dyDescent="0.2">
      <c r="A1441" s="7" cm="1">
        <f t="array" aca="1" ref="A1441" ca="1">INDEX(Companies!$A:$A,RANDBETWEEN(2,COUNTA(Companies!$A:$A)),1)</f>
        <v>2</v>
      </c>
      <c r="B1441" s="5">
        <f t="shared" si="265"/>
        <v>1440</v>
      </c>
      <c r="C1441" s="6">
        <f t="shared" ca="1" si="266"/>
        <v>1</v>
      </c>
      <c r="D1441" s="7">
        <f ca="1">IF($B1441 = 1 + N("Presidente"),
    127,
    IF($B1441 = 2 + N("Vice-Presidente"),
        72,
        IF($B1441 = 3 + N("Secretária bilíngue"),
            13,
            RANDBETWEEN(5,COUNT(Name!$A:$A) + 1)
        )
    )
)</f>
        <v>172</v>
      </c>
      <c r="E1441" s="7" t="str">
        <f ca="1" xml:space="preserve">
VLOOKUP(
  $D1441,
  Name!$A:$B,
  2,
  FALSE
)
&amp; " " &amp;
IF($B1441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 Gonçalves Badu</v>
      </c>
      <c r="F1441" s="7">
        <v>2</v>
      </c>
      <c r="G1441" s="7" cm="1">
        <f t="array" aca="1" ref="G1441" ca="1">INDEX(States!$B:$B,RANDBETWEEN(2,COUNTA(States!$A:$A)),1)</f>
        <v>13</v>
      </c>
      <c r="H1441" s="7" t="str">
        <f ca="1">VLOOKUP($D1441,Name!$A:$C,3,FALSE)</f>
        <v>F</v>
      </c>
      <c r="I1441" s="7" cm="1">
        <f t="array" aca="1" ref="I1441" ca="1">INDEX('Marital status'!$A:$A,RANDBETWEEN(2,COUNTA('Marital status'!$A:$A)),1)</f>
        <v>5</v>
      </c>
      <c r="J1441" s="7">
        <f t="shared" ca="1" si="267"/>
        <v>4</v>
      </c>
      <c r="K1441" s="8">
        <f t="shared" ca="1" si="268"/>
        <v>33097</v>
      </c>
      <c r="L1441" s="6">
        <f t="shared" ca="1" si="269"/>
        <v>4</v>
      </c>
      <c r="M1441" s="7">
        <f ca="1" xml:space="preserve">
  IF(OR($N1441 = 2, $N1441 = 3, $N1441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441" s="6">
        <f t="shared" ca="1" si="270"/>
        <v>8</v>
      </c>
      <c r="O1441" s="6">
        <f t="shared" ca="1" si="271"/>
        <v>3</v>
      </c>
      <c r="P1441" s="8">
        <f t="shared" ca="1" si="272"/>
        <v>40376</v>
      </c>
      <c r="Q1441" s="6">
        <f ca="1">RANDBETWEEN(2,COUNTA('Recruitment source'!$A:$A))</f>
        <v>8</v>
      </c>
      <c r="R1441" s="8" t="e">
        <f t="shared" ca="1" si="273"/>
        <v>#N/A</v>
      </c>
      <c r="S1441" s="6" t="e">
        <f t="shared" ca="1" si="274"/>
        <v>#N/A</v>
      </c>
      <c r="T1441" s="6">
        <f t="shared" ca="1" si="264"/>
        <v>5</v>
      </c>
      <c r="U1441" s="1">
        <f t="shared" ca="1" si="275"/>
        <v>2080</v>
      </c>
    </row>
    <row r="1442" spans="1:21" x14ac:dyDescent="0.2">
      <c r="A1442" s="7" cm="1">
        <f t="array" aca="1" ref="A1442" ca="1">INDEX(Companies!$A:$A,RANDBETWEEN(2,COUNTA(Companies!$A:$A)),1)</f>
        <v>2</v>
      </c>
      <c r="B1442" s="5">
        <f t="shared" si="265"/>
        <v>1441</v>
      </c>
      <c r="C1442" s="6">
        <f t="shared" ca="1" si="266"/>
        <v>1</v>
      </c>
      <c r="D1442" s="7">
        <f ca="1">IF($B1442 = 1 + N("Presidente"),
    127,
    IF($B1442 = 2 + N("Vice-Presidente"),
        72,
        IF($B1442 = 3 + N("Secretária bilíngue"),
            13,
            RANDBETWEEN(5,COUNT(Name!$A:$A) + 1)
        )
    )
)</f>
        <v>51</v>
      </c>
      <c r="E1442" s="7" t="str">
        <f ca="1" xml:space="preserve">
VLOOKUP(
  $D1442,
  Name!$A:$B,
  2,
  FALSE
)
&amp; " " &amp;
IF($B1442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Antônia Poeta Cabral</v>
      </c>
      <c r="F1442" s="7">
        <v>2</v>
      </c>
      <c r="G1442" s="7" cm="1">
        <f t="array" aca="1" ref="G1442" ca="1">INDEX(States!$B:$B,RANDBETWEEN(2,COUNTA(States!$A:$A)),1)</f>
        <v>21</v>
      </c>
      <c r="H1442" s="7" t="str">
        <f ca="1">VLOOKUP($D1442,Name!$A:$C,3,FALSE)</f>
        <v>F</v>
      </c>
      <c r="I1442" s="7" cm="1">
        <f t="array" aca="1" ref="I1442" ca="1">INDEX('Marital status'!$A:$A,RANDBETWEEN(2,COUNTA('Marital status'!$A:$A)),1)</f>
        <v>3</v>
      </c>
      <c r="J1442" s="7">
        <f t="shared" ca="1" si="267"/>
        <v>3</v>
      </c>
      <c r="K1442" s="8">
        <f t="shared" ca="1" si="268"/>
        <v>29530</v>
      </c>
      <c r="L1442" s="6">
        <f t="shared" ca="1" si="269"/>
        <v>4</v>
      </c>
      <c r="M1442" s="7">
        <f ca="1" xml:space="preserve">
  IF(OR($N1442 = 2, $N1442 = 3, $N1442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442" s="6">
        <f t="shared" ca="1" si="270"/>
        <v>7</v>
      </c>
      <c r="O1442" s="6" t="e">
        <f t="shared" ca="1" si="271"/>
        <v>#N/A</v>
      </c>
      <c r="P1442" s="8">
        <f t="shared" ca="1" si="272"/>
        <v>44824</v>
      </c>
      <c r="Q1442" s="6">
        <f ca="1">RANDBETWEEN(2,COUNTA('Recruitment source'!$A:$A))</f>
        <v>8</v>
      </c>
      <c r="R1442" s="8" t="e">
        <f t="shared" ca="1" si="273"/>
        <v>#N/A</v>
      </c>
      <c r="S1442" s="6" t="e">
        <f t="shared" ca="1" si="274"/>
        <v>#N/A</v>
      </c>
      <c r="T1442" s="6">
        <f t="shared" ca="1" si="264"/>
        <v>2</v>
      </c>
      <c r="U1442" s="1">
        <f t="shared" ca="1" si="275"/>
        <v>1085</v>
      </c>
    </row>
    <row r="1443" spans="1:21" x14ac:dyDescent="0.2">
      <c r="A1443" s="7" cm="1">
        <f t="array" aca="1" ref="A1443" ca="1">INDEX(Companies!$A:$A,RANDBETWEEN(2,COUNTA(Companies!$A:$A)),1)</f>
        <v>2</v>
      </c>
      <c r="B1443" s="5">
        <f t="shared" si="265"/>
        <v>1442</v>
      </c>
      <c r="C1443" s="6">
        <f t="shared" ca="1" si="266"/>
        <v>0</v>
      </c>
      <c r="D1443" s="7">
        <f ca="1">IF($B1443 = 1 + N("Presidente"),
    127,
    IF($B1443 = 2 + N("Vice-Presidente"),
        72,
        IF($B1443 = 3 + N("Secretária bilíngue"),
            13,
            RANDBETWEEN(5,COUNT(Name!$A:$A) + 1)
        )
    )
)</f>
        <v>218</v>
      </c>
      <c r="E1443" s="7" t="str">
        <f ca="1" xml:space="preserve">
VLOOKUP(
  $D1443,
  Name!$A:$B,
  2,
  FALSE
)
&amp; " " &amp;
IF($B1443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Larisa Negreiros Camacho</v>
      </c>
      <c r="F1443" s="7">
        <v>2</v>
      </c>
      <c r="G1443" s="7" cm="1">
        <f t="array" aca="1" ref="G1443" ca="1">INDEX(States!$B:$B,RANDBETWEEN(2,COUNTA(States!$A:$A)),1)</f>
        <v>14</v>
      </c>
      <c r="H1443" s="7" t="str">
        <f ca="1">VLOOKUP($D1443,Name!$A:$C,3,FALSE)</f>
        <v>F</v>
      </c>
      <c r="I1443" s="7" cm="1">
        <f t="array" aca="1" ref="I1443" ca="1">INDEX('Marital status'!$A:$A,RANDBETWEEN(2,COUNTA('Marital status'!$A:$A)),1)</f>
        <v>3</v>
      </c>
      <c r="J1443" s="7">
        <f t="shared" ca="1" si="267"/>
        <v>2</v>
      </c>
      <c r="K1443" s="8">
        <f t="shared" ca="1" si="268"/>
        <v>33237</v>
      </c>
      <c r="L1443" s="6">
        <f t="shared" ca="1" si="269"/>
        <v>5</v>
      </c>
      <c r="M1443" s="7">
        <f ca="1" xml:space="preserve">
  IF(OR($N1443 = 2, $N1443 = 3, $N1443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443" s="6">
        <f t="shared" ca="1" si="270"/>
        <v>8</v>
      </c>
      <c r="O1443" s="6">
        <f t="shared" ca="1" si="271"/>
        <v>3</v>
      </c>
      <c r="P1443" s="8">
        <f t="shared" ca="1" si="272"/>
        <v>38609</v>
      </c>
      <c r="Q1443" s="6">
        <f ca="1">RANDBETWEEN(2,COUNTA('Recruitment source'!$A:$A))</f>
        <v>8</v>
      </c>
      <c r="R1443" s="8">
        <f t="shared" ca="1" si="273"/>
        <v>43459</v>
      </c>
      <c r="S1443" s="6">
        <f t="shared" ca="1" si="274"/>
        <v>10</v>
      </c>
      <c r="T1443" s="6">
        <f t="shared" ca="1" si="264"/>
        <v>1</v>
      </c>
      <c r="U1443" s="1">
        <f t="shared" ca="1" si="275"/>
        <v>2000</v>
      </c>
    </row>
    <row r="1444" spans="1:21" x14ac:dyDescent="0.2">
      <c r="A1444" s="7" cm="1">
        <f t="array" aca="1" ref="A1444" ca="1">INDEX(Companies!$A:$A,RANDBETWEEN(2,COUNTA(Companies!$A:$A)),1)</f>
        <v>2</v>
      </c>
      <c r="B1444" s="5">
        <f t="shared" si="265"/>
        <v>1443</v>
      </c>
      <c r="C1444" s="6">
        <f t="shared" ca="1" si="266"/>
        <v>1</v>
      </c>
      <c r="D1444" s="7">
        <f ca="1">IF($B1444 = 1 + N("Presidente"),
    127,
    IF($B1444 = 2 + N("Vice-Presidente"),
        72,
        IF($B1444 = 3 + N("Secretária bilíngue"),
            13,
            RANDBETWEEN(5,COUNT(Name!$A:$A) + 1)
        )
    )
)</f>
        <v>159</v>
      </c>
      <c r="E1444" s="7" t="str">
        <f ca="1" xml:space="preserve">
VLOOKUP(
  $D1444,
  Name!$A:$B,
  2,
  FALSE
)
&amp; " " &amp;
IF($B1444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Gustavo Bactista Ildelfonso</v>
      </c>
      <c r="F1444" s="7">
        <v>2</v>
      </c>
      <c r="G1444" s="7" cm="1">
        <f t="array" aca="1" ref="G1444" ca="1">INDEX(States!$B:$B,RANDBETWEEN(2,COUNTA(States!$A:$A)),1)</f>
        <v>18</v>
      </c>
      <c r="H1444" s="7" t="str">
        <f ca="1">VLOOKUP($D1444,Name!$A:$C,3,FALSE)</f>
        <v>M</v>
      </c>
      <c r="I1444" s="7" cm="1">
        <f t="array" aca="1" ref="I1444" ca="1">INDEX('Marital status'!$A:$A,RANDBETWEEN(2,COUNTA('Marital status'!$A:$A)),1)</f>
        <v>3</v>
      </c>
      <c r="J1444" s="7">
        <f t="shared" ca="1" si="267"/>
        <v>5</v>
      </c>
      <c r="K1444" s="8">
        <f t="shared" ca="1" si="268"/>
        <v>35175</v>
      </c>
      <c r="L1444" s="6">
        <f t="shared" ca="1" si="269"/>
        <v>4</v>
      </c>
      <c r="M1444" s="7">
        <f ca="1" xml:space="preserve">
  IF(OR($N1444 = 2, $N1444 = 3, $N1444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444" s="6">
        <f t="shared" ca="1" si="270"/>
        <v>7</v>
      </c>
      <c r="O1444" s="6" t="e">
        <f t="shared" ca="1" si="271"/>
        <v>#N/A</v>
      </c>
      <c r="P1444" s="8">
        <f t="shared" ca="1" si="272"/>
        <v>38514</v>
      </c>
      <c r="Q1444" s="6">
        <f ca="1">RANDBETWEEN(2,COUNTA('Recruitment source'!$A:$A))</f>
        <v>11</v>
      </c>
      <c r="R1444" s="8" t="e">
        <f t="shared" ca="1" si="273"/>
        <v>#N/A</v>
      </c>
      <c r="S1444" s="6" t="e">
        <f t="shared" ca="1" si="274"/>
        <v>#N/A</v>
      </c>
      <c r="T1444" s="6">
        <f t="shared" ca="1" si="264"/>
        <v>3</v>
      </c>
      <c r="U1444" s="1">
        <f t="shared" ca="1" si="275"/>
        <v>1005</v>
      </c>
    </row>
    <row r="1445" spans="1:21" x14ac:dyDescent="0.2">
      <c r="A1445" s="7" cm="1">
        <f t="array" aca="1" ref="A1445" ca="1">INDEX(Companies!$A:$A,RANDBETWEEN(2,COUNTA(Companies!$A:$A)),1)</f>
        <v>2</v>
      </c>
      <c r="B1445" s="5">
        <f t="shared" si="265"/>
        <v>1444</v>
      </c>
      <c r="C1445" s="6">
        <f t="shared" ca="1" si="266"/>
        <v>1</v>
      </c>
      <c r="D1445" s="7">
        <f ca="1">IF($B1445 = 1 + N("Presidente"),
    127,
    IF($B1445 = 2 + N("Vice-Presidente"),
        72,
        IF($B1445 = 3 + N("Secretária bilíngue"),
            13,
            RANDBETWEEN(5,COUNT(Name!$A:$A) + 1)
        )
    )
)</f>
        <v>188</v>
      </c>
      <c r="E1445" s="7" t="str">
        <f ca="1" xml:space="preserve">
VLOOKUP(
  $D1445,
  Name!$A:$B,
  2,
  FALSE
)
&amp; " " &amp;
IF($B1445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Lucas Ferrari Soares</v>
      </c>
      <c r="F1445" s="7">
        <v>2</v>
      </c>
      <c r="G1445" s="7" cm="1">
        <f t="array" aca="1" ref="G1445" ca="1">INDEX(States!$B:$B,RANDBETWEEN(2,COUNTA(States!$A:$A)),1)</f>
        <v>12</v>
      </c>
      <c r="H1445" s="7" t="str">
        <f ca="1">VLOOKUP($D1445,Name!$A:$C,3,FALSE)</f>
        <v>M</v>
      </c>
      <c r="I1445" s="7" cm="1">
        <f t="array" aca="1" ref="I1445" ca="1">INDEX('Marital status'!$A:$A,RANDBETWEEN(2,COUNTA('Marital status'!$A:$A)),1)</f>
        <v>3</v>
      </c>
      <c r="J1445" s="7">
        <f t="shared" ca="1" si="267"/>
        <v>2</v>
      </c>
      <c r="K1445" s="8">
        <f t="shared" ca="1" si="268"/>
        <v>33571</v>
      </c>
      <c r="L1445" s="6">
        <f t="shared" ca="1" si="269"/>
        <v>4</v>
      </c>
      <c r="M1445" s="7">
        <f ca="1" xml:space="preserve">
  IF(OR($N1445 = 2, $N1445 = 3, $N1445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445" s="6">
        <f t="shared" ca="1" si="270"/>
        <v>8</v>
      </c>
      <c r="O1445" s="6">
        <f t="shared" ca="1" si="271"/>
        <v>4</v>
      </c>
      <c r="P1445" s="8">
        <f t="shared" ca="1" si="272"/>
        <v>44772</v>
      </c>
      <c r="Q1445" s="6">
        <f ca="1">RANDBETWEEN(2,COUNTA('Recruitment source'!$A:$A))</f>
        <v>4</v>
      </c>
      <c r="R1445" s="8" t="e">
        <f t="shared" ca="1" si="273"/>
        <v>#N/A</v>
      </c>
      <c r="S1445" s="6" t="e">
        <f t="shared" ca="1" si="274"/>
        <v>#N/A</v>
      </c>
      <c r="T1445" s="6">
        <f t="shared" ca="1" si="264"/>
        <v>5</v>
      </c>
      <c r="U1445" s="1">
        <f t="shared" ca="1" si="275"/>
        <v>2000</v>
      </c>
    </row>
    <row r="1446" spans="1:21" x14ac:dyDescent="0.2">
      <c r="A1446" s="7" cm="1">
        <f t="array" aca="1" ref="A1446" ca="1">INDEX(Companies!$A:$A,RANDBETWEEN(2,COUNTA(Companies!$A:$A)),1)</f>
        <v>2</v>
      </c>
      <c r="B1446" s="5">
        <f t="shared" si="265"/>
        <v>1445</v>
      </c>
      <c r="C1446" s="6">
        <f t="shared" ca="1" si="266"/>
        <v>1</v>
      </c>
      <c r="D1446" s="7">
        <f ca="1">IF($B1446 = 1 + N("Presidente"),
    127,
    IF($B1446 = 2 + N("Vice-Presidente"),
        72,
        IF($B1446 = 3 + N("Secretária bilíngue"),
            13,
            RANDBETWEEN(5,COUNT(Name!$A:$A) + 1)
        )
    )
)</f>
        <v>205</v>
      </c>
      <c r="E1446" s="7" t="str">
        <f ca="1" xml:space="preserve">
VLOOKUP(
  $D1446,
  Name!$A:$B,
  2,
  FALSE
)
&amp; " " &amp;
IF($B1446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Kaique Dias Ferrari</v>
      </c>
      <c r="F1446" s="7">
        <v>2</v>
      </c>
      <c r="G1446" s="7" cm="1">
        <f t="array" aca="1" ref="G1446" ca="1">INDEX(States!$B:$B,RANDBETWEEN(2,COUNTA(States!$A:$A)),1)</f>
        <v>16</v>
      </c>
      <c r="H1446" s="7" t="str">
        <f ca="1">VLOOKUP($D1446,Name!$A:$C,3,FALSE)</f>
        <v>M</v>
      </c>
      <c r="I1446" s="7" cm="1">
        <f t="array" aca="1" ref="I1446" ca="1">INDEX('Marital status'!$A:$A,RANDBETWEEN(2,COUNTA('Marital status'!$A:$A)),1)</f>
        <v>4</v>
      </c>
      <c r="J1446" s="7">
        <f t="shared" ca="1" si="267"/>
        <v>2</v>
      </c>
      <c r="K1446" s="8">
        <f t="shared" ca="1" si="268"/>
        <v>33746</v>
      </c>
      <c r="L1446" s="6">
        <f t="shared" ca="1" si="269"/>
        <v>4</v>
      </c>
      <c r="M1446" s="7">
        <f ca="1" xml:space="preserve">
  IF(OR($N1446 = 2, $N1446 = 3, $N1446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446" s="6">
        <f t="shared" ca="1" si="270"/>
        <v>7</v>
      </c>
      <c r="O1446" s="6" t="e">
        <f t="shared" ca="1" si="271"/>
        <v>#N/A</v>
      </c>
      <c r="P1446" s="8">
        <f t="shared" ca="1" si="272"/>
        <v>41100</v>
      </c>
      <c r="Q1446" s="6">
        <f ca="1">RANDBETWEEN(2,COUNTA('Recruitment source'!$A:$A))</f>
        <v>10</v>
      </c>
      <c r="R1446" s="8" t="e">
        <f t="shared" ca="1" si="273"/>
        <v>#N/A</v>
      </c>
      <c r="S1446" s="6" t="e">
        <f t="shared" ca="1" si="274"/>
        <v>#N/A</v>
      </c>
      <c r="T1446" s="6">
        <f t="shared" ca="1" si="264"/>
        <v>4</v>
      </c>
      <c r="U1446" s="1">
        <f t="shared" ca="1" si="275"/>
        <v>1005</v>
      </c>
    </row>
    <row r="1447" spans="1:21" x14ac:dyDescent="0.2">
      <c r="A1447" s="7" cm="1">
        <f t="array" aca="1" ref="A1447" ca="1">INDEX(Companies!$A:$A,RANDBETWEEN(2,COUNTA(Companies!$A:$A)),1)</f>
        <v>2</v>
      </c>
      <c r="B1447" s="5">
        <f t="shared" si="265"/>
        <v>1446</v>
      </c>
      <c r="C1447" s="6">
        <f t="shared" ca="1" si="266"/>
        <v>1</v>
      </c>
      <c r="D1447" s="7">
        <f ca="1">IF($B1447 = 1 + N("Presidente"),
    127,
    IF($B1447 = 2 + N("Vice-Presidente"),
        72,
        IF($B1447 = 3 + N("Secretária bilíngue"),
            13,
            RANDBETWEEN(5,COUNT(Name!$A:$A) + 1)
        )
    )
)</f>
        <v>68</v>
      </c>
      <c r="E1447" s="7" t="str">
        <f ca="1" xml:space="preserve">
VLOOKUP(
  $D1447,
  Name!$A:$B,
  2,
  FALSE
)
&amp; " " &amp;
IF($B1447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Benício Colombo Moura</v>
      </c>
      <c r="F1447" s="7">
        <v>2</v>
      </c>
      <c r="G1447" s="7" cm="1">
        <f t="array" aca="1" ref="G1447" ca="1">INDEX(States!$B:$B,RANDBETWEEN(2,COUNTA(States!$A:$A)),1)</f>
        <v>12</v>
      </c>
      <c r="H1447" s="7" t="str">
        <f ca="1">VLOOKUP($D1447,Name!$A:$C,3,FALSE)</f>
        <v>M</v>
      </c>
      <c r="I1447" s="7" cm="1">
        <f t="array" aca="1" ref="I1447" ca="1">INDEX('Marital status'!$A:$A,RANDBETWEEN(2,COUNTA('Marital status'!$A:$A)),1)</f>
        <v>2</v>
      </c>
      <c r="J1447" s="7">
        <f t="shared" ca="1" si="267"/>
        <v>2</v>
      </c>
      <c r="K1447" s="8">
        <f t="shared" ca="1" si="268"/>
        <v>37006</v>
      </c>
      <c r="L1447" s="6">
        <f t="shared" ca="1" si="269"/>
        <v>5</v>
      </c>
      <c r="M1447" s="7">
        <f ca="1" xml:space="preserve">
  IF(OR($N1447 = 2, $N1447 = 3, $N1447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447" s="6">
        <f t="shared" ca="1" si="270"/>
        <v>8</v>
      </c>
      <c r="O1447" s="6">
        <f t="shared" ca="1" si="271"/>
        <v>3</v>
      </c>
      <c r="P1447" s="8">
        <f t="shared" ca="1" si="272"/>
        <v>41632</v>
      </c>
      <c r="Q1447" s="6">
        <f ca="1">RANDBETWEEN(2,COUNTA('Recruitment source'!$A:$A))</f>
        <v>12</v>
      </c>
      <c r="R1447" s="8" t="e">
        <f t="shared" ca="1" si="273"/>
        <v>#N/A</v>
      </c>
      <c r="S1447" s="6" t="e">
        <f t="shared" ca="1" si="274"/>
        <v>#N/A</v>
      </c>
      <c r="T1447" s="6">
        <f t="shared" ca="1" si="264"/>
        <v>5</v>
      </c>
      <c r="U1447" s="1">
        <f t="shared" ca="1" si="275"/>
        <v>2000</v>
      </c>
    </row>
    <row r="1448" spans="1:21" x14ac:dyDescent="0.2">
      <c r="A1448" s="7" cm="1">
        <f t="array" aca="1" ref="A1448" ca="1">INDEX(Companies!$A:$A,RANDBETWEEN(2,COUNTA(Companies!$A:$A)),1)</f>
        <v>2</v>
      </c>
      <c r="B1448" s="5">
        <f t="shared" si="265"/>
        <v>1447</v>
      </c>
      <c r="C1448" s="6">
        <f t="shared" ca="1" si="266"/>
        <v>1</v>
      </c>
      <c r="D1448" s="7">
        <f ca="1">IF($B1448 = 1 + N("Presidente"),
    127,
    IF($B1448 = 2 + N("Vice-Presidente"),
        72,
        IF($B1448 = 3 + N("Secretária bilíngue"),
            13,
            RANDBETWEEN(5,COUNT(Name!$A:$A) + 1)
        )
    )
)</f>
        <v>56</v>
      </c>
      <c r="E1448" s="7" t="str">
        <f ca="1" xml:space="preserve">
VLOOKUP(
  $D1448,
  Name!$A:$B,
  2,
  FALSE
)
&amp; " " &amp;
IF($B1448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Gabriel Moreira Gouveia</v>
      </c>
      <c r="F1448" s="7">
        <v>2</v>
      </c>
      <c r="G1448" s="7" cm="1">
        <f t="array" aca="1" ref="G1448" ca="1">INDEX(States!$B:$B,RANDBETWEEN(2,COUNTA(States!$A:$A)),1)</f>
        <v>2</v>
      </c>
      <c r="H1448" s="7" t="str">
        <f ca="1">VLOOKUP($D1448,Name!$A:$C,3,FALSE)</f>
        <v>M</v>
      </c>
      <c r="I1448" s="7" cm="1">
        <f t="array" aca="1" ref="I1448" ca="1">INDEX('Marital status'!$A:$A,RANDBETWEEN(2,COUNTA('Marital status'!$A:$A)),1)</f>
        <v>3</v>
      </c>
      <c r="J1448" s="7">
        <f t="shared" ca="1" si="267"/>
        <v>2</v>
      </c>
      <c r="K1448" s="8">
        <f t="shared" ca="1" si="268"/>
        <v>30768</v>
      </c>
      <c r="L1448" s="6">
        <f t="shared" ca="1" si="269"/>
        <v>4</v>
      </c>
      <c r="M1448" s="7">
        <f ca="1" xml:space="preserve">
  IF(OR($N1448 = 2, $N1448 = 3, $N1448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448" s="6">
        <f t="shared" ca="1" si="270"/>
        <v>7</v>
      </c>
      <c r="O1448" s="6" t="e">
        <f t="shared" ca="1" si="271"/>
        <v>#N/A</v>
      </c>
      <c r="P1448" s="8">
        <f t="shared" ca="1" si="272"/>
        <v>44066</v>
      </c>
      <c r="Q1448" s="6">
        <f ca="1">RANDBETWEEN(2,COUNTA('Recruitment source'!$A:$A))</f>
        <v>11</v>
      </c>
      <c r="R1448" s="8" t="e">
        <f t="shared" ca="1" si="273"/>
        <v>#N/A</v>
      </c>
      <c r="S1448" s="6" t="e">
        <f t="shared" ca="1" si="274"/>
        <v>#N/A</v>
      </c>
      <c r="T1448" s="6">
        <f t="shared" ca="1" si="264"/>
        <v>3</v>
      </c>
      <c r="U1448" s="1">
        <f t="shared" ca="1" si="275"/>
        <v>1005</v>
      </c>
    </row>
    <row r="1449" spans="1:21" x14ac:dyDescent="0.2">
      <c r="A1449" s="7" cm="1">
        <f t="array" aca="1" ref="A1449" ca="1">INDEX(Companies!$A:$A,RANDBETWEEN(2,COUNTA(Companies!$A:$A)),1)</f>
        <v>2</v>
      </c>
      <c r="B1449" s="5">
        <f t="shared" si="265"/>
        <v>1448</v>
      </c>
      <c r="C1449" s="6">
        <f t="shared" ca="1" si="266"/>
        <v>1</v>
      </c>
      <c r="D1449" s="7">
        <f ca="1">IF($B1449 = 1 + N("Presidente"),
    127,
    IF($B1449 = 2 + N("Vice-Presidente"),
        72,
        IF($B1449 = 3 + N("Secretária bilíngue"),
            13,
            RANDBETWEEN(5,COUNT(Name!$A:$A) + 1)
        )
    )
)</f>
        <v>171</v>
      </c>
      <c r="E1449" s="7" t="str">
        <f ca="1" xml:space="preserve">
VLOOKUP(
  $D1449,
  Name!$A:$B,
  2,
  FALSE
)
&amp; " " &amp;
IF($B1449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Íris Campos Tavarez</v>
      </c>
      <c r="F1449" s="7">
        <v>2</v>
      </c>
      <c r="G1449" s="7" cm="1">
        <f t="array" aca="1" ref="G1449" ca="1">INDEX(States!$B:$B,RANDBETWEEN(2,COUNTA(States!$A:$A)),1)</f>
        <v>20</v>
      </c>
      <c r="H1449" s="7" t="str">
        <f ca="1">VLOOKUP($D1449,Name!$A:$C,3,FALSE)</f>
        <v>F</v>
      </c>
      <c r="I1449" s="7" cm="1">
        <f t="array" aca="1" ref="I1449" ca="1">INDEX('Marital status'!$A:$A,RANDBETWEEN(2,COUNTA('Marital status'!$A:$A)),1)</f>
        <v>3</v>
      </c>
      <c r="J1449" s="7">
        <f t="shared" ca="1" si="267"/>
        <v>3</v>
      </c>
      <c r="K1449" s="8">
        <f t="shared" ca="1" si="268"/>
        <v>33750</v>
      </c>
      <c r="L1449" s="6">
        <f t="shared" ca="1" si="269"/>
        <v>5</v>
      </c>
      <c r="M1449" s="7">
        <f ca="1" xml:space="preserve">
  IF(OR($N1449 = 2, $N1449 = 3, $N1449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449" s="6">
        <f t="shared" ca="1" si="270"/>
        <v>8</v>
      </c>
      <c r="O1449" s="6">
        <f t="shared" ca="1" si="271"/>
        <v>3</v>
      </c>
      <c r="P1449" s="8">
        <f t="shared" ca="1" si="272"/>
        <v>40047</v>
      </c>
      <c r="Q1449" s="6">
        <f ca="1">RANDBETWEEN(2,COUNTA('Recruitment source'!$A:$A))</f>
        <v>2</v>
      </c>
      <c r="R1449" s="8" t="e">
        <f t="shared" ca="1" si="273"/>
        <v>#N/A</v>
      </c>
      <c r="S1449" s="6" t="e">
        <f t="shared" ca="1" si="274"/>
        <v>#N/A</v>
      </c>
      <c r="T1449" s="6">
        <f t="shared" ca="1" si="264"/>
        <v>5</v>
      </c>
      <c r="U1449" s="1">
        <f t="shared" ca="1" si="275"/>
        <v>2000</v>
      </c>
    </row>
    <row r="1450" spans="1:21" x14ac:dyDescent="0.2">
      <c r="A1450" s="7" cm="1">
        <f t="array" aca="1" ref="A1450" ca="1">INDEX(Companies!$A:$A,RANDBETWEEN(2,COUNTA(Companies!$A:$A)),1)</f>
        <v>2</v>
      </c>
      <c r="B1450" s="5">
        <f t="shared" si="265"/>
        <v>1449</v>
      </c>
      <c r="C1450" s="6">
        <f t="shared" ca="1" si="266"/>
        <v>1</v>
      </c>
      <c r="D1450" s="7">
        <f ca="1">IF($B1450 = 1 + N("Presidente"),
    127,
    IF($B1450 = 2 + N("Vice-Presidente"),
        72,
        IF($B1450 = 3 + N("Secretária bilíngue"),
            13,
            RANDBETWEEN(5,COUNT(Name!$A:$A) + 1)
        )
    )
)</f>
        <v>310</v>
      </c>
      <c r="E1450" s="7" t="str">
        <f ca="1" xml:space="preserve">
VLOOKUP(
  $D1450,
  Name!$A:$B,
  2,
  FALSE
)
&amp; " " &amp;
IF($B1450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Oliver Ildelfonso Sacramento</v>
      </c>
      <c r="F1450" s="7">
        <v>2</v>
      </c>
      <c r="G1450" s="7" cm="1">
        <f t="array" aca="1" ref="G1450" ca="1">INDEX(States!$B:$B,RANDBETWEEN(2,COUNTA(States!$A:$A)),1)</f>
        <v>17</v>
      </c>
      <c r="H1450" s="7" t="str">
        <f ca="1">VLOOKUP($D1450,Name!$A:$C,3,FALSE)</f>
        <v>M</v>
      </c>
      <c r="I1450" s="7" cm="1">
        <f t="array" aca="1" ref="I1450" ca="1">INDEX('Marital status'!$A:$A,RANDBETWEEN(2,COUNTA('Marital status'!$A:$A)),1)</f>
        <v>6</v>
      </c>
      <c r="J1450" s="7">
        <f t="shared" ca="1" si="267"/>
        <v>2</v>
      </c>
      <c r="K1450" s="8">
        <f t="shared" ca="1" si="268"/>
        <v>21592</v>
      </c>
      <c r="L1450" s="6">
        <f t="shared" ca="1" si="269"/>
        <v>4</v>
      </c>
      <c r="M1450" s="7">
        <f ca="1" xml:space="preserve">
  IF(OR($N1450 = 2, $N1450 = 3, $N1450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450" s="6">
        <f t="shared" ca="1" si="270"/>
        <v>6</v>
      </c>
      <c r="O1450" s="6" t="e">
        <f t="shared" ca="1" si="271"/>
        <v>#N/A</v>
      </c>
      <c r="P1450" s="8">
        <f t="shared" ca="1" si="272"/>
        <v>43374</v>
      </c>
      <c r="Q1450" s="6">
        <f ca="1">RANDBETWEEN(2,COUNTA('Recruitment source'!$A:$A))</f>
        <v>6</v>
      </c>
      <c r="R1450" s="8" t="e">
        <f t="shared" ca="1" si="273"/>
        <v>#N/A</v>
      </c>
      <c r="S1450" s="6" t="e">
        <f t="shared" ca="1" si="274"/>
        <v>#N/A</v>
      </c>
      <c r="T1450" s="6">
        <f t="shared" ca="1" si="264"/>
        <v>4</v>
      </c>
      <c r="U1450" s="1">
        <f t="shared" ca="1" si="275"/>
        <v>885</v>
      </c>
    </row>
    <row r="1451" spans="1:21" x14ac:dyDescent="0.2">
      <c r="A1451" s="7" cm="1">
        <f t="array" aca="1" ref="A1451" ca="1">INDEX(Companies!$A:$A,RANDBETWEEN(2,COUNTA(Companies!$A:$A)),1)</f>
        <v>2</v>
      </c>
      <c r="B1451" s="5">
        <f t="shared" si="265"/>
        <v>1450</v>
      </c>
      <c r="C1451" s="6">
        <f t="shared" ca="1" si="266"/>
        <v>1</v>
      </c>
      <c r="D1451" s="7">
        <f ca="1">IF($B1451 = 1 + N("Presidente"),
    127,
    IF($B1451 = 2 + N("Vice-Presidente"),
        72,
        IF($B1451 = 3 + N("Secretária bilíngue"),
            13,
            RANDBETWEEN(5,COUNT(Name!$A:$A) + 1)
        )
    )
)</f>
        <v>222</v>
      </c>
      <c r="E1451" s="7" t="str">
        <f ca="1" xml:space="preserve">
VLOOKUP(
  $D1451,
  Name!$A:$B,
  2,
  FALSE
)
&amp; " " &amp;
IF($B1451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Lavignia Barroso Malafaia</v>
      </c>
      <c r="F1451" s="7">
        <v>2</v>
      </c>
      <c r="G1451" s="7" cm="1">
        <f t="array" aca="1" ref="G1451" ca="1">INDEX(States!$B:$B,RANDBETWEEN(2,COUNTA(States!$A:$A)),1)</f>
        <v>18</v>
      </c>
      <c r="H1451" s="7" t="str">
        <f ca="1">VLOOKUP($D1451,Name!$A:$C,3,FALSE)</f>
        <v>F</v>
      </c>
      <c r="I1451" s="7" cm="1">
        <f t="array" aca="1" ref="I1451" ca="1">INDEX('Marital status'!$A:$A,RANDBETWEEN(2,COUNTA('Marital status'!$A:$A)),1)</f>
        <v>5</v>
      </c>
      <c r="J1451" s="7">
        <f t="shared" ca="1" si="267"/>
        <v>2</v>
      </c>
      <c r="K1451" s="8">
        <f t="shared" ca="1" si="268"/>
        <v>35097</v>
      </c>
      <c r="L1451" s="6">
        <f t="shared" ca="1" si="269"/>
        <v>5</v>
      </c>
      <c r="M1451" s="7">
        <f ca="1" xml:space="preserve">
  IF(OR($N1451 = 2, $N1451 = 3, $N1451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451" s="6">
        <f t="shared" ca="1" si="270"/>
        <v>8</v>
      </c>
      <c r="O1451" s="6">
        <f t="shared" ca="1" si="271"/>
        <v>3</v>
      </c>
      <c r="P1451" s="8">
        <f t="shared" ca="1" si="272"/>
        <v>40220</v>
      </c>
      <c r="Q1451" s="6">
        <f ca="1">RANDBETWEEN(2,COUNTA('Recruitment source'!$A:$A))</f>
        <v>12</v>
      </c>
      <c r="R1451" s="8" t="e">
        <f t="shared" ca="1" si="273"/>
        <v>#N/A</v>
      </c>
      <c r="S1451" s="6" t="e">
        <f t="shared" ca="1" si="274"/>
        <v>#N/A</v>
      </c>
      <c r="T1451" s="6">
        <f t="shared" ca="1" si="264"/>
        <v>4</v>
      </c>
      <c r="U1451" s="1">
        <f t="shared" ca="1" si="275"/>
        <v>2000</v>
      </c>
    </row>
    <row r="1452" spans="1:21" x14ac:dyDescent="0.2">
      <c r="A1452" s="7" cm="1">
        <f t="array" aca="1" ref="A1452" ca="1">INDEX(Companies!$A:$A,RANDBETWEEN(2,COUNTA(Companies!$A:$A)),1)</f>
        <v>2</v>
      </c>
      <c r="B1452" s="5">
        <f t="shared" si="265"/>
        <v>1451</v>
      </c>
      <c r="C1452" s="6">
        <f t="shared" ca="1" si="266"/>
        <v>1</v>
      </c>
      <c r="D1452" s="7">
        <f ca="1">IF($B1452 = 1 + N("Presidente"),
    127,
    IF($B1452 = 2 + N("Vice-Presidente"),
        72,
        IF($B1452 = 3 + N("Secretária bilíngue"),
            13,
            RANDBETWEEN(5,COUNT(Name!$A:$A) + 1)
        )
    )
)</f>
        <v>153</v>
      </c>
      <c r="E1452" s="7" t="str">
        <f ca="1" xml:space="preserve">
VLOOKUP(
  $D1452,
  Name!$A:$B,
  2,
  FALSE
)
&amp; " " &amp;
IF($B1452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Giovana Mariani Coelho</v>
      </c>
      <c r="F1452" s="7">
        <v>2</v>
      </c>
      <c r="G1452" s="7" cm="1">
        <f t="array" aca="1" ref="G1452" ca="1">INDEX(States!$B:$B,RANDBETWEEN(2,COUNTA(States!$A:$A)),1)</f>
        <v>8</v>
      </c>
      <c r="H1452" s="7" t="str">
        <f ca="1">VLOOKUP($D1452,Name!$A:$C,3,FALSE)</f>
        <v>F</v>
      </c>
      <c r="I1452" s="7" cm="1">
        <f t="array" aca="1" ref="I1452" ca="1">INDEX('Marital status'!$A:$A,RANDBETWEEN(2,COUNTA('Marital status'!$A:$A)),1)</f>
        <v>4</v>
      </c>
      <c r="J1452" s="7">
        <f t="shared" ca="1" si="267"/>
        <v>4</v>
      </c>
      <c r="K1452" s="8">
        <f t="shared" ca="1" si="268"/>
        <v>33480</v>
      </c>
      <c r="L1452" s="6">
        <f t="shared" ca="1" si="269"/>
        <v>4</v>
      </c>
      <c r="M1452" s="7">
        <f ca="1" xml:space="preserve">
  IF(OR($N1452 = 2, $N1452 = 3, $N1452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452" s="6">
        <f t="shared" ca="1" si="270"/>
        <v>7</v>
      </c>
      <c r="O1452" s="6" t="e">
        <f t="shared" ca="1" si="271"/>
        <v>#N/A</v>
      </c>
      <c r="P1452" s="8">
        <f t="shared" ca="1" si="272"/>
        <v>37532</v>
      </c>
      <c r="Q1452" s="6">
        <f ca="1">RANDBETWEEN(2,COUNTA('Recruitment source'!$A:$A))</f>
        <v>8</v>
      </c>
      <c r="R1452" s="8" t="e">
        <f t="shared" ca="1" si="273"/>
        <v>#N/A</v>
      </c>
      <c r="S1452" s="6" t="e">
        <f t="shared" ca="1" si="274"/>
        <v>#N/A</v>
      </c>
      <c r="T1452" s="6">
        <f t="shared" ca="1" si="264"/>
        <v>2</v>
      </c>
      <c r="U1452" s="1">
        <f t="shared" ca="1" si="275"/>
        <v>1005</v>
      </c>
    </row>
    <row r="1453" spans="1:21" x14ac:dyDescent="0.2">
      <c r="A1453" s="7" cm="1">
        <f t="array" aca="1" ref="A1453" ca="1">INDEX(Companies!$A:$A,RANDBETWEEN(2,COUNTA(Companies!$A:$A)),1)</f>
        <v>2</v>
      </c>
      <c r="B1453" s="5">
        <f t="shared" si="265"/>
        <v>1452</v>
      </c>
      <c r="C1453" s="6">
        <f t="shared" ca="1" si="266"/>
        <v>1</v>
      </c>
      <c r="D1453" s="7">
        <f ca="1">IF($B1453 = 1 + N("Presidente"),
    127,
    IF($B1453 = 2 + N("Vice-Presidente"),
        72,
        IF($B1453 = 3 + N("Secretária bilíngue"),
            13,
            RANDBETWEEN(5,COUNT(Name!$A:$A) + 1)
        )
    )
)</f>
        <v>313</v>
      </c>
      <c r="E1453" s="7" t="str">
        <f ca="1" xml:space="preserve">
VLOOKUP(
  $D1453,
  Name!$A:$B,
  2,
  FALSE
)
&amp; " " &amp;
IF($B1453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Pablo Monteiro Martins</v>
      </c>
      <c r="F1453" s="7">
        <v>2</v>
      </c>
      <c r="G1453" s="7" cm="1">
        <f t="array" aca="1" ref="G1453" ca="1">INDEX(States!$B:$B,RANDBETWEEN(2,COUNTA(States!$A:$A)),1)</f>
        <v>2</v>
      </c>
      <c r="H1453" s="7" t="str">
        <f ca="1">VLOOKUP($D1453,Name!$A:$C,3,FALSE)</f>
        <v>M</v>
      </c>
      <c r="I1453" s="7" cm="1">
        <f t="array" aca="1" ref="I1453" ca="1">INDEX('Marital status'!$A:$A,RANDBETWEEN(2,COUNTA('Marital status'!$A:$A)),1)</f>
        <v>6</v>
      </c>
      <c r="J1453" s="7">
        <f t="shared" ca="1" si="267"/>
        <v>2</v>
      </c>
      <c r="K1453" s="8">
        <f t="shared" ca="1" si="268"/>
        <v>33133</v>
      </c>
      <c r="L1453" s="6">
        <f t="shared" ca="1" si="269"/>
        <v>5</v>
      </c>
      <c r="M1453" s="7">
        <f ca="1" xml:space="preserve">
  IF(OR($N1453 = 2, $N1453 = 3, $N1453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453" s="6">
        <f t="shared" ca="1" si="270"/>
        <v>8</v>
      </c>
      <c r="O1453" s="6">
        <f t="shared" ca="1" si="271"/>
        <v>3</v>
      </c>
      <c r="P1453" s="8">
        <f t="shared" ca="1" si="272"/>
        <v>41497</v>
      </c>
      <c r="Q1453" s="6">
        <f ca="1">RANDBETWEEN(2,COUNTA('Recruitment source'!$A:$A))</f>
        <v>4</v>
      </c>
      <c r="R1453" s="8" t="e">
        <f t="shared" ca="1" si="273"/>
        <v>#N/A</v>
      </c>
      <c r="S1453" s="6" t="e">
        <f t="shared" ca="1" si="274"/>
        <v>#N/A</v>
      </c>
      <c r="T1453" s="6">
        <f t="shared" ca="1" si="264"/>
        <v>3</v>
      </c>
      <c r="U1453" s="1">
        <f t="shared" ca="1" si="275"/>
        <v>2000</v>
      </c>
    </row>
    <row r="1454" spans="1:21" x14ac:dyDescent="0.2">
      <c r="A1454" s="7" cm="1">
        <f t="array" aca="1" ref="A1454" ca="1">INDEX(Companies!$A:$A,RANDBETWEEN(2,COUNTA(Companies!$A:$A)),1)</f>
        <v>2</v>
      </c>
      <c r="B1454" s="5">
        <f t="shared" si="265"/>
        <v>1453</v>
      </c>
      <c r="C1454" s="6">
        <f t="shared" ca="1" si="266"/>
        <v>1</v>
      </c>
      <c r="D1454" s="7">
        <f ca="1">IF($B1454 = 1 + N("Presidente"),
    127,
    IF($B1454 = 2 + N("Vice-Presidente"),
        72,
        IF($B1454 = 3 + N("Secretária bilíngue"),
            13,
            RANDBETWEEN(5,COUNT(Name!$A:$A) + 1)
        )
    )
)</f>
        <v>236</v>
      </c>
      <c r="E1454" s="7" t="str">
        <f ca="1" xml:space="preserve">
VLOOKUP(
  $D1454,
  Name!$A:$B,
  2,
  FALSE
)
&amp; " " &amp;
IF($B1454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Luana Bianchi Moura</v>
      </c>
      <c r="F1454" s="7">
        <v>2</v>
      </c>
      <c r="G1454" s="7" cm="1">
        <f t="array" aca="1" ref="G1454" ca="1">INDEX(States!$B:$B,RANDBETWEEN(2,COUNTA(States!$A:$A)),1)</f>
        <v>16</v>
      </c>
      <c r="H1454" s="7" t="str">
        <f ca="1">VLOOKUP($D1454,Name!$A:$C,3,FALSE)</f>
        <v>F</v>
      </c>
      <c r="I1454" s="7" cm="1">
        <f t="array" aca="1" ref="I1454" ca="1">INDEX('Marital status'!$A:$A,RANDBETWEEN(2,COUNTA('Marital status'!$A:$A)),1)</f>
        <v>4</v>
      </c>
      <c r="J1454" s="7">
        <f t="shared" ca="1" si="267"/>
        <v>2</v>
      </c>
      <c r="K1454" s="8">
        <f t="shared" ca="1" si="268"/>
        <v>23402</v>
      </c>
      <c r="L1454" s="6">
        <f t="shared" ca="1" si="269"/>
        <v>4</v>
      </c>
      <c r="M1454" s="7">
        <f ca="1" xml:space="preserve">
  IF(OR($N1454 = 2, $N1454 = 3, $N1454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454" s="6">
        <f t="shared" ca="1" si="270"/>
        <v>6</v>
      </c>
      <c r="O1454" s="6" t="e">
        <f t="shared" ca="1" si="271"/>
        <v>#N/A</v>
      </c>
      <c r="P1454" s="8">
        <f t="shared" ca="1" si="272"/>
        <v>39394</v>
      </c>
      <c r="Q1454" s="6">
        <f ca="1">RANDBETWEEN(2,COUNTA('Recruitment source'!$A:$A))</f>
        <v>2</v>
      </c>
      <c r="R1454" s="8" t="e">
        <f t="shared" ca="1" si="273"/>
        <v>#N/A</v>
      </c>
      <c r="S1454" s="6" t="e">
        <f t="shared" ca="1" si="274"/>
        <v>#N/A</v>
      </c>
      <c r="T1454" s="6">
        <f t="shared" ca="1" si="264"/>
        <v>2</v>
      </c>
      <c r="U1454" s="1">
        <f t="shared" ca="1" si="275"/>
        <v>805</v>
      </c>
    </row>
    <row r="1455" spans="1:21" x14ac:dyDescent="0.2">
      <c r="A1455" s="7" cm="1">
        <f t="array" aca="1" ref="A1455" ca="1">INDEX(Companies!$A:$A,RANDBETWEEN(2,COUNTA(Companies!$A:$A)),1)</f>
        <v>2</v>
      </c>
      <c r="B1455" s="5">
        <f t="shared" si="265"/>
        <v>1454</v>
      </c>
      <c r="C1455" s="6">
        <f t="shared" ca="1" si="266"/>
        <v>1</v>
      </c>
      <c r="D1455" s="7">
        <f ca="1">IF($B1455 = 1 + N("Presidente"),
    127,
    IF($B1455 = 2 + N("Vice-Presidente"),
        72,
        IF($B1455 = 3 + N("Secretária bilíngue"),
            13,
            RANDBETWEEN(5,COUNT(Name!$A:$A) + 1)
        )
    )
)</f>
        <v>250</v>
      </c>
      <c r="E1455" s="7" t="str">
        <f ca="1" xml:space="preserve">
VLOOKUP(
  $D1455,
  Name!$A:$B,
  2,
  FALSE
)
&amp; " " &amp;
IF($B1455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Madalena Padrão Camacho</v>
      </c>
      <c r="F1455" s="7">
        <v>2</v>
      </c>
      <c r="G1455" s="7" cm="1">
        <f t="array" aca="1" ref="G1455" ca="1">INDEX(States!$B:$B,RANDBETWEEN(2,COUNTA(States!$A:$A)),1)</f>
        <v>18</v>
      </c>
      <c r="H1455" s="7" t="str">
        <f ca="1">VLOOKUP($D1455,Name!$A:$C,3,FALSE)</f>
        <v>F</v>
      </c>
      <c r="I1455" s="7" cm="1">
        <f t="array" aca="1" ref="I1455" ca="1">INDEX('Marital status'!$A:$A,RANDBETWEEN(2,COUNTA('Marital status'!$A:$A)),1)</f>
        <v>5</v>
      </c>
      <c r="J1455" s="7">
        <f t="shared" ca="1" si="267"/>
        <v>2</v>
      </c>
      <c r="K1455" s="8">
        <f t="shared" ca="1" si="268"/>
        <v>37433</v>
      </c>
      <c r="L1455" s="6">
        <f t="shared" ca="1" si="269"/>
        <v>5</v>
      </c>
      <c r="M1455" s="7">
        <f ca="1" xml:space="preserve">
  IF(OR($N1455 = 2, $N1455 = 3, $N1455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455" s="6">
        <f t="shared" ca="1" si="270"/>
        <v>8</v>
      </c>
      <c r="O1455" s="6">
        <f t="shared" ca="1" si="271"/>
        <v>4</v>
      </c>
      <c r="P1455" s="8">
        <f t="shared" ca="1" si="272"/>
        <v>44346</v>
      </c>
      <c r="Q1455" s="6">
        <f ca="1">RANDBETWEEN(2,COUNTA('Recruitment source'!$A:$A))</f>
        <v>10</v>
      </c>
      <c r="R1455" s="8" t="e">
        <f t="shared" ca="1" si="273"/>
        <v>#N/A</v>
      </c>
      <c r="S1455" s="6" t="e">
        <f t="shared" ca="1" si="274"/>
        <v>#N/A</v>
      </c>
      <c r="T1455" s="6">
        <f t="shared" ca="1" si="264"/>
        <v>4</v>
      </c>
      <c r="U1455" s="1">
        <f t="shared" ca="1" si="275"/>
        <v>2000</v>
      </c>
    </row>
    <row r="1456" spans="1:21" x14ac:dyDescent="0.2">
      <c r="A1456" s="7" cm="1">
        <f t="array" aca="1" ref="A1456" ca="1">INDEX(Companies!$A:$A,RANDBETWEEN(2,COUNTA(Companies!$A:$A)),1)</f>
        <v>2</v>
      </c>
      <c r="B1456" s="5">
        <f t="shared" si="265"/>
        <v>1455</v>
      </c>
      <c r="C1456" s="6">
        <f t="shared" ca="1" si="266"/>
        <v>1</v>
      </c>
      <c r="D1456" s="7">
        <f ca="1">IF($B1456 = 1 + N("Presidente"),
    127,
    IF($B1456 = 2 + N("Vice-Presidente"),
        72,
        IF($B1456 = 3 + N("Secretária bilíngue"),
            13,
            RANDBETWEEN(5,COUNT(Name!$A:$A) + 1)
        )
    )
)</f>
        <v>305</v>
      </c>
      <c r="E1456" s="7" t="str">
        <f ca="1" xml:space="preserve">
VLOOKUP(
  $D1456,
  Name!$A:$B,
  2,
  FALSE
)
&amp; " " &amp;
IF($B1456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Nathan Rizzo Fontana</v>
      </c>
      <c r="F1456" s="7">
        <v>2</v>
      </c>
      <c r="G1456" s="7" cm="1">
        <f t="array" aca="1" ref="G1456" ca="1">INDEX(States!$B:$B,RANDBETWEEN(2,COUNTA(States!$A:$A)),1)</f>
        <v>8</v>
      </c>
      <c r="H1456" s="7" t="str">
        <f ca="1">VLOOKUP($D1456,Name!$A:$C,3,FALSE)</f>
        <v>M</v>
      </c>
      <c r="I1456" s="7" cm="1">
        <f t="array" aca="1" ref="I1456" ca="1">INDEX('Marital status'!$A:$A,RANDBETWEEN(2,COUNTA('Marital status'!$A:$A)),1)</f>
        <v>2</v>
      </c>
      <c r="J1456" s="7">
        <f t="shared" ca="1" si="267"/>
        <v>3</v>
      </c>
      <c r="K1456" s="8">
        <f t="shared" ca="1" si="268"/>
        <v>32072</v>
      </c>
      <c r="L1456" s="6">
        <f t="shared" ca="1" si="269"/>
        <v>4</v>
      </c>
      <c r="M1456" s="7">
        <f ca="1" xml:space="preserve">
  IF(OR($N1456 = 2, $N1456 = 3, $N1456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456" s="6">
        <f t="shared" ca="1" si="270"/>
        <v>7</v>
      </c>
      <c r="O1456" s="6" t="e">
        <f t="shared" ca="1" si="271"/>
        <v>#N/A</v>
      </c>
      <c r="P1456" s="8">
        <f t="shared" ca="1" si="272"/>
        <v>38836</v>
      </c>
      <c r="Q1456" s="6">
        <f ca="1">RANDBETWEEN(2,COUNTA('Recruitment source'!$A:$A))</f>
        <v>8</v>
      </c>
      <c r="R1456" s="8" t="e">
        <f t="shared" ca="1" si="273"/>
        <v>#N/A</v>
      </c>
      <c r="S1456" s="6" t="e">
        <f t="shared" ca="1" si="274"/>
        <v>#N/A</v>
      </c>
      <c r="T1456" s="6">
        <f t="shared" ca="1" si="264"/>
        <v>2</v>
      </c>
      <c r="U1456" s="1">
        <f t="shared" ca="1" si="275"/>
        <v>1005</v>
      </c>
    </row>
    <row r="1457" spans="1:21" x14ac:dyDescent="0.2">
      <c r="A1457" s="7" cm="1">
        <f t="array" aca="1" ref="A1457" ca="1">INDEX(Companies!$A:$A,RANDBETWEEN(2,COUNTA(Companies!$A:$A)),1)</f>
        <v>2</v>
      </c>
      <c r="B1457" s="5">
        <f t="shared" si="265"/>
        <v>1456</v>
      </c>
      <c r="C1457" s="6">
        <f t="shared" ca="1" si="266"/>
        <v>1</v>
      </c>
      <c r="D1457" s="7">
        <f ca="1">IF($B1457 = 1 + N("Presidente"),
    127,
    IF($B1457 = 2 + N("Vice-Presidente"),
        72,
        IF($B1457 = 3 + N("Secretária bilíngue"),
            13,
            RANDBETWEEN(5,COUNT(Name!$A:$A) + 1)
        )
    )
)</f>
        <v>80</v>
      </c>
      <c r="E1457" s="7" t="str">
        <f ca="1" xml:space="preserve">
VLOOKUP(
  $D1457,
  Name!$A:$B,
  2,
  FALSE
)
&amp; " " &amp;
IF($B1457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Byatriz Ribeiro Marino</v>
      </c>
      <c r="F1457" s="7">
        <v>2</v>
      </c>
      <c r="G1457" s="7" cm="1">
        <f t="array" aca="1" ref="G1457" ca="1">INDEX(States!$B:$B,RANDBETWEEN(2,COUNTA(States!$A:$A)),1)</f>
        <v>7</v>
      </c>
      <c r="H1457" s="7" t="str">
        <f ca="1">VLOOKUP($D1457,Name!$A:$C,3,FALSE)</f>
        <v>F</v>
      </c>
      <c r="I1457" s="7" cm="1">
        <f t="array" aca="1" ref="I1457" ca="1">INDEX('Marital status'!$A:$A,RANDBETWEEN(2,COUNTA('Marital status'!$A:$A)),1)</f>
        <v>4</v>
      </c>
      <c r="J1457" s="7">
        <f t="shared" ca="1" si="267"/>
        <v>2</v>
      </c>
      <c r="K1457" s="8">
        <f t="shared" ca="1" si="268"/>
        <v>35989</v>
      </c>
      <c r="L1457" s="6">
        <f t="shared" ca="1" si="269"/>
        <v>5</v>
      </c>
      <c r="M1457" s="7">
        <f ca="1" xml:space="preserve">
  IF(OR($N1457 = 2, $N1457 = 3, $N1457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457" s="6">
        <f t="shared" ca="1" si="270"/>
        <v>8</v>
      </c>
      <c r="O1457" s="6">
        <f t="shared" ca="1" si="271"/>
        <v>2</v>
      </c>
      <c r="P1457" s="8">
        <f t="shared" ca="1" si="272"/>
        <v>39513</v>
      </c>
      <c r="Q1457" s="6">
        <f ca="1">RANDBETWEEN(2,COUNTA('Recruitment source'!$A:$A))</f>
        <v>7</v>
      </c>
      <c r="R1457" s="8" t="e">
        <f t="shared" ca="1" si="273"/>
        <v>#N/A</v>
      </c>
      <c r="S1457" s="6" t="e">
        <f t="shared" ca="1" si="274"/>
        <v>#N/A</v>
      </c>
      <c r="T1457" s="6">
        <f t="shared" ca="1" si="264"/>
        <v>3</v>
      </c>
      <c r="U1457" s="1">
        <f t="shared" ca="1" si="275"/>
        <v>2080</v>
      </c>
    </row>
    <row r="1458" spans="1:21" x14ac:dyDescent="0.2">
      <c r="A1458" s="7" cm="1">
        <f t="array" aca="1" ref="A1458" ca="1">INDEX(Companies!$A:$A,RANDBETWEEN(2,COUNTA(Companies!$A:$A)),1)</f>
        <v>2</v>
      </c>
      <c r="B1458" s="5">
        <f t="shared" si="265"/>
        <v>1457</v>
      </c>
      <c r="C1458" s="6">
        <f t="shared" ca="1" si="266"/>
        <v>1</v>
      </c>
      <c r="D1458" s="7">
        <f ca="1">IF($B1458 = 1 + N("Presidente"),
    127,
    IF($B1458 = 2 + N("Vice-Presidente"),
        72,
        IF($B1458 = 3 + N("Secretária bilíngue"),
            13,
            RANDBETWEEN(5,COUNT(Name!$A:$A) + 1)
        )
    )
)</f>
        <v>344</v>
      </c>
      <c r="E1458" s="7" t="str">
        <f ca="1" xml:space="preserve">
VLOOKUP(
  $D1458,
  Name!$A:$B,
  2,
  FALSE
)
&amp; " " &amp;
IF($B1458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Thomas Mancini Pinheiro</v>
      </c>
      <c r="F1458" s="7">
        <v>2</v>
      </c>
      <c r="G1458" s="7" cm="1">
        <f t="array" aca="1" ref="G1458" ca="1">INDEX(States!$B:$B,RANDBETWEEN(2,COUNTA(States!$A:$A)),1)</f>
        <v>16</v>
      </c>
      <c r="H1458" s="7" t="str">
        <f ca="1">VLOOKUP($D1458,Name!$A:$C,3,FALSE)</f>
        <v>M</v>
      </c>
      <c r="I1458" s="7" cm="1">
        <f t="array" aca="1" ref="I1458" ca="1">INDEX('Marital status'!$A:$A,RANDBETWEEN(2,COUNTA('Marital status'!$A:$A)),1)</f>
        <v>3</v>
      </c>
      <c r="J1458" s="7">
        <f t="shared" ca="1" si="267"/>
        <v>2</v>
      </c>
      <c r="K1458" s="8">
        <f t="shared" ca="1" si="268"/>
        <v>30599</v>
      </c>
      <c r="L1458" s="6">
        <f t="shared" ca="1" si="269"/>
        <v>4</v>
      </c>
      <c r="M1458" s="7">
        <f ca="1" xml:space="preserve">
  IF(OR($N1458 = 2, $N1458 = 3, $N1458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458" s="6">
        <f t="shared" ca="1" si="270"/>
        <v>7</v>
      </c>
      <c r="O1458" s="6" t="e">
        <f t="shared" ca="1" si="271"/>
        <v>#N/A</v>
      </c>
      <c r="P1458" s="8">
        <f t="shared" ca="1" si="272"/>
        <v>39207</v>
      </c>
      <c r="Q1458" s="6">
        <f ca="1">RANDBETWEEN(2,COUNTA('Recruitment source'!$A:$A))</f>
        <v>9</v>
      </c>
      <c r="R1458" s="8" t="e">
        <f t="shared" ca="1" si="273"/>
        <v>#N/A</v>
      </c>
      <c r="S1458" s="6" t="e">
        <f t="shared" ca="1" si="274"/>
        <v>#N/A</v>
      </c>
      <c r="T1458" s="6">
        <f t="shared" ca="1" si="264"/>
        <v>2</v>
      </c>
      <c r="U1458" s="1">
        <f t="shared" ca="1" si="275"/>
        <v>1005</v>
      </c>
    </row>
    <row r="1459" spans="1:21" x14ac:dyDescent="0.2">
      <c r="A1459" s="7" cm="1">
        <f t="array" aca="1" ref="A1459" ca="1">INDEX(Companies!$A:$A,RANDBETWEEN(2,COUNTA(Companies!$A:$A)),1)</f>
        <v>2</v>
      </c>
      <c r="B1459" s="5">
        <f t="shared" si="265"/>
        <v>1458</v>
      </c>
      <c r="C1459" s="6">
        <f t="shared" ca="1" si="266"/>
        <v>1</v>
      </c>
      <c r="D1459" s="7">
        <f ca="1">IF($B1459 = 1 + N("Presidente"),
    127,
    IF($B1459 = 2 + N("Vice-Presidente"),
        72,
        IF($B1459 = 3 + N("Secretária bilíngue"),
            13,
            RANDBETWEEN(5,COUNT(Name!$A:$A) + 1)
        )
    )
)</f>
        <v>285</v>
      </c>
      <c r="E1459" s="7" t="str">
        <f ca="1" xml:space="preserve">
VLOOKUP(
  $D1459,
  Name!$A:$B,
  2,
  FALSE
)
&amp; " " &amp;
IF($B1459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Martin Russo Barboza</v>
      </c>
      <c r="F1459" s="7">
        <v>2</v>
      </c>
      <c r="G1459" s="7" cm="1">
        <f t="array" aca="1" ref="G1459" ca="1">INDEX(States!$B:$B,RANDBETWEEN(2,COUNTA(States!$A:$A)),1)</f>
        <v>4</v>
      </c>
      <c r="H1459" s="7" t="str">
        <f ca="1">VLOOKUP($D1459,Name!$A:$C,3,FALSE)</f>
        <v>M</v>
      </c>
      <c r="I1459" s="7" cm="1">
        <f t="array" aca="1" ref="I1459" ca="1">INDEX('Marital status'!$A:$A,RANDBETWEEN(2,COUNTA('Marital status'!$A:$A)),1)</f>
        <v>4</v>
      </c>
      <c r="J1459" s="7">
        <f t="shared" ca="1" si="267"/>
        <v>2</v>
      </c>
      <c r="K1459" s="8">
        <f t="shared" ca="1" si="268"/>
        <v>36773</v>
      </c>
      <c r="L1459" s="6">
        <f t="shared" ca="1" si="269"/>
        <v>4</v>
      </c>
      <c r="M1459" s="7">
        <f ca="1" xml:space="preserve">
  IF(OR($N1459 = 2, $N1459 = 3, $N1459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459" s="6">
        <f t="shared" ca="1" si="270"/>
        <v>8</v>
      </c>
      <c r="O1459" s="6">
        <f t="shared" ca="1" si="271"/>
        <v>3</v>
      </c>
      <c r="P1459" s="8">
        <f t="shared" ca="1" si="272"/>
        <v>43403</v>
      </c>
      <c r="Q1459" s="6">
        <f ca="1">RANDBETWEEN(2,COUNTA('Recruitment source'!$A:$A))</f>
        <v>12</v>
      </c>
      <c r="R1459" s="8" t="e">
        <f t="shared" ca="1" si="273"/>
        <v>#N/A</v>
      </c>
      <c r="S1459" s="6" t="e">
        <f t="shared" ca="1" si="274"/>
        <v>#N/A</v>
      </c>
      <c r="T1459" s="6">
        <f t="shared" ca="1" si="264"/>
        <v>3</v>
      </c>
      <c r="U1459" s="1">
        <f t="shared" ca="1" si="275"/>
        <v>2000</v>
      </c>
    </row>
    <row r="1460" spans="1:21" x14ac:dyDescent="0.2">
      <c r="A1460" s="7" cm="1">
        <f t="array" aca="1" ref="A1460" ca="1">INDEX(Companies!$A:$A,RANDBETWEEN(2,COUNTA(Companies!$A:$A)),1)</f>
        <v>2</v>
      </c>
      <c r="B1460" s="5">
        <f t="shared" si="265"/>
        <v>1459</v>
      </c>
      <c r="C1460" s="6">
        <f t="shared" ca="1" si="266"/>
        <v>1</v>
      </c>
      <c r="D1460" s="7">
        <f ca="1">IF($B1460 = 1 + N("Presidente"),
    127,
    IF($B1460 = 2 + N("Vice-Presidente"),
        72,
        IF($B1460 = 3 + N("Secretária bilíngue"),
            13,
            RANDBETWEEN(5,COUNT(Name!$A:$A) + 1)
        )
    )
)</f>
        <v>152</v>
      </c>
      <c r="E1460" s="7" t="str">
        <f ca="1" xml:space="preserve">
VLOOKUP(
  $D1460,
  Name!$A:$B,
  2,
  FALSE
)
&amp; " " &amp;
IF($B1460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Gael Cândido Alves</v>
      </c>
      <c r="F1460" s="7">
        <v>2</v>
      </c>
      <c r="G1460" s="7" cm="1">
        <f t="array" aca="1" ref="G1460" ca="1">INDEX(States!$B:$B,RANDBETWEEN(2,COUNTA(States!$A:$A)),1)</f>
        <v>17</v>
      </c>
      <c r="H1460" s="7" t="str">
        <f ca="1">VLOOKUP($D1460,Name!$A:$C,3,FALSE)</f>
        <v>M</v>
      </c>
      <c r="I1460" s="7" cm="1">
        <f t="array" aca="1" ref="I1460" ca="1">INDEX('Marital status'!$A:$A,RANDBETWEEN(2,COUNTA('Marital status'!$A:$A)),1)</f>
        <v>4</v>
      </c>
      <c r="J1460" s="7">
        <f t="shared" ca="1" si="267"/>
        <v>2</v>
      </c>
      <c r="K1460" s="8">
        <f t="shared" ca="1" si="268"/>
        <v>26154</v>
      </c>
      <c r="L1460" s="6">
        <f t="shared" ca="1" si="269"/>
        <v>4</v>
      </c>
      <c r="M1460" s="7">
        <f ca="1" xml:space="preserve">
  IF(OR($N1460 = 2, $N1460 = 3, $N1460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460" s="6">
        <f t="shared" ca="1" si="270"/>
        <v>6</v>
      </c>
      <c r="O1460" s="6" t="e">
        <f t="shared" ca="1" si="271"/>
        <v>#N/A</v>
      </c>
      <c r="P1460" s="8">
        <f t="shared" ca="1" si="272"/>
        <v>36216</v>
      </c>
      <c r="Q1460" s="6">
        <f ca="1">RANDBETWEEN(2,COUNTA('Recruitment source'!$A:$A))</f>
        <v>12</v>
      </c>
      <c r="R1460" s="8" t="e">
        <f t="shared" ca="1" si="273"/>
        <v>#N/A</v>
      </c>
      <c r="S1460" s="6" t="e">
        <f t="shared" ca="1" si="274"/>
        <v>#N/A</v>
      </c>
      <c r="T1460" s="6">
        <f t="shared" ca="1" si="264"/>
        <v>5</v>
      </c>
      <c r="U1460" s="1">
        <f t="shared" ca="1" si="275"/>
        <v>885</v>
      </c>
    </row>
    <row r="1461" spans="1:21" x14ac:dyDescent="0.2">
      <c r="A1461" s="7" cm="1">
        <f t="array" aca="1" ref="A1461" ca="1">INDEX(Companies!$A:$A,RANDBETWEEN(2,COUNTA(Companies!$A:$A)),1)</f>
        <v>2</v>
      </c>
      <c r="B1461" s="5">
        <f t="shared" si="265"/>
        <v>1460</v>
      </c>
      <c r="C1461" s="6">
        <f t="shared" ca="1" si="266"/>
        <v>1</v>
      </c>
      <c r="D1461" s="7">
        <f ca="1">IF($B1461 = 1 + N("Presidente"),
    127,
    IF($B1461 = 2 + N("Vice-Presidente"),
        72,
        IF($B1461 = 3 + N("Secretária bilíngue"),
            13,
            RANDBETWEEN(5,COUNT(Name!$A:$A) + 1)
        )
    )
)</f>
        <v>275</v>
      </c>
      <c r="E1461" s="7" t="str">
        <f ca="1" xml:space="preserve">
VLOOKUP(
  $D1461,
  Name!$A:$B,
  2,
  FALSE
)
&amp; " " &amp;
IF($B1461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Vitória Pedroso Sacramento</v>
      </c>
      <c r="F1461" s="7">
        <v>2</v>
      </c>
      <c r="G1461" s="7" cm="1">
        <f t="array" aca="1" ref="G1461" ca="1">INDEX(States!$B:$B,RANDBETWEEN(2,COUNTA(States!$A:$A)),1)</f>
        <v>18</v>
      </c>
      <c r="H1461" s="7" t="str">
        <f ca="1">VLOOKUP($D1461,Name!$A:$C,3,FALSE)</f>
        <v>F</v>
      </c>
      <c r="I1461" s="7" cm="1">
        <f t="array" aca="1" ref="I1461" ca="1">INDEX('Marital status'!$A:$A,RANDBETWEEN(2,COUNTA('Marital status'!$A:$A)),1)</f>
        <v>4</v>
      </c>
      <c r="J1461" s="7">
        <f t="shared" ca="1" si="267"/>
        <v>2</v>
      </c>
      <c r="K1461" s="8">
        <f t="shared" ca="1" si="268"/>
        <v>36363</v>
      </c>
      <c r="L1461" s="6">
        <f t="shared" ca="1" si="269"/>
        <v>4</v>
      </c>
      <c r="M1461" s="7">
        <f ca="1" xml:space="preserve">
  IF(OR($N1461 = 2, $N1461 = 3, $N1461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461" s="6">
        <f t="shared" ca="1" si="270"/>
        <v>8</v>
      </c>
      <c r="O1461" s="6">
        <f t="shared" ca="1" si="271"/>
        <v>4</v>
      </c>
      <c r="P1461" s="8">
        <f t="shared" ca="1" si="272"/>
        <v>42008</v>
      </c>
      <c r="Q1461" s="6">
        <f ca="1">RANDBETWEEN(2,COUNTA('Recruitment source'!$A:$A))</f>
        <v>6</v>
      </c>
      <c r="R1461" s="8" t="e">
        <f t="shared" ca="1" si="273"/>
        <v>#N/A</v>
      </c>
      <c r="S1461" s="6" t="e">
        <f t="shared" ca="1" si="274"/>
        <v>#N/A</v>
      </c>
      <c r="T1461" s="6">
        <f t="shared" ca="1" si="264"/>
        <v>5</v>
      </c>
      <c r="U1461" s="1">
        <f t="shared" ca="1" si="275"/>
        <v>2000</v>
      </c>
    </row>
    <row r="1462" spans="1:21" x14ac:dyDescent="0.2">
      <c r="A1462" s="7" cm="1">
        <f t="array" aca="1" ref="A1462" ca="1">INDEX(Companies!$A:$A,RANDBETWEEN(2,COUNTA(Companies!$A:$A)),1)</f>
        <v>2</v>
      </c>
      <c r="B1462" s="5">
        <f t="shared" si="265"/>
        <v>1461</v>
      </c>
      <c r="C1462" s="6">
        <f t="shared" ca="1" si="266"/>
        <v>1</v>
      </c>
      <c r="D1462" s="7">
        <f ca="1">IF($B1462 = 1 + N("Presidente"),
    127,
    IF($B1462 = 2 + N("Vice-Presidente"),
        72,
        IF($B1462 = 3 + N("Secretária bilíngue"),
            13,
            RANDBETWEEN(5,COUNT(Name!$A:$A) + 1)
        )
    )
)</f>
        <v>112</v>
      </c>
      <c r="E1462" s="7" t="str">
        <f ca="1" xml:space="preserve">
VLOOKUP(
  $D1462,
  Name!$A:$B,
  2,
  FALSE
)
&amp; " " &amp;
IF($B1462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Deborah Barbosa Giordano</v>
      </c>
      <c r="F1462" s="7">
        <v>2</v>
      </c>
      <c r="G1462" s="7" cm="1">
        <f t="array" aca="1" ref="G1462" ca="1">INDEX(States!$B:$B,RANDBETWEEN(2,COUNTA(States!$A:$A)),1)</f>
        <v>20</v>
      </c>
      <c r="H1462" s="7" t="str">
        <f ca="1">VLOOKUP($D1462,Name!$A:$C,3,FALSE)</f>
        <v>F</v>
      </c>
      <c r="I1462" s="7" cm="1">
        <f t="array" aca="1" ref="I1462" ca="1">INDEX('Marital status'!$A:$A,RANDBETWEEN(2,COUNTA('Marital status'!$A:$A)),1)</f>
        <v>3</v>
      </c>
      <c r="J1462" s="7">
        <f t="shared" ca="1" si="267"/>
        <v>2</v>
      </c>
      <c r="K1462" s="8">
        <f t="shared" ca="1" si="268"/>
        <v>24023</v>
      </c>
      <c r="L1462" s="6">
        <f t="shared" ca="1" si="269"/>
        <v>4</v>
      </c>
      <c r="M1462" s="7">
        <f ca="1" xml:space="preserve">
  IF(OR($N1462 = 2, $N1462 = 3, $N1462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462" s="6">
        <f t="shared" ca="1" si="270"/>
        <v>6</v>
      </c>
      <c r="O1462" s="6" t="e">
        <f t="shared" ca="1" si="271"/>
        <v>#N/A</v>
      </c>
      <c r="P1462" s="8">
        <f t="shared" ca="1" si="272"/>
        <v>38944</v>
      </c>
      <c r="Q1462" s="6">
        <f ca="1">RANDBETWEEN(2,COUNTA('Recruitment source'!$A:$A))</f>
        <v>12</v>
      </c>
      <c r="R1462" s="8" t="e">
        <f t="shared" ca="1" si="273"/>
        <v>#N/A</v>
      </c>
      <c r="S1462" s="6" t="e">
        <f t="shared" ca="1" si="274"/>
        <v>#N/A</v>
      </c>
      <c r="T1462" s="6">
        <f t="shared" ca="1" si="264"/>
        <v>2</v>
      </c>
      <c r="U1462" s="1">
        <f t="shared" ca="1" si="275"/>
        <v>805</v>
      </c>
    </row>
    <row r="1463" spans="1:21" x14ac:dyDescent="0.2">
      <c r="A1463" s="7" cm="1">
        <f t="array" aca="1" ref="A1463" ca="1">INDEX(Companies!$A:$A,RANDBETWEEN(2,COUNTA(Companies!$A:$A)),1)</f>
        <v>2</v>
      </c>
      <c r="B1463" s="5">
        <f t="shared" si="265"/>
        <v>1462</v>
      </c>
      <c r="C1463" s="6">
        <f t="shared" ca="1" si="266"/>
        <v>1</v>
      </c>
      <c r="D1463" s="7">
        <f ca="1">IF($B1463 = 1 + N("Presidente"),
    127,
    IF($B1463 = 2 + N("Vice-Presidente"),
        72,
        IF($B1463 = 3 + N("Secretária bilíngue"),
            13,
            RANDBETWEEN(5,COUNT(Name!$A:$A) + 1)
        )
    )
)</f>
        <v>83</v>
      </c>
      <c r="E1463" s="7" t="str">
        <f ca="1" xml:space="preserve">
VLOOKUP(
  $D1463,
  Name!$A:$B,
  2,
  FALSE
)
&amp; " " &amp;
IF($B1463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Camila Rocha Auth</v>
      </c>
      <c r="F1463" s="7">
        <v>2</v>
      </c>
      <c r="G1463" s="7" cm="1">
        <f t="array" aca="1" ref="G1463" ca="1">INDEX(States!$B:$B,RANDBETWEEN(2,COUNTA(States!$A:$A)),1)</f>
        <v>19</v>
      </c>
      <c r="H1463" s="7" t="str">
        <f ca="1">VLOOKUP($D1463,Name!$A:$C,3,FALSE)</f>
        <v>F</v>
      </c>
      <c r="I1463" s="7" cm="1">
        <f t="array" aca="1" ref="I1463" ca="1">INDEX('Marital status'!$A:$A,RANDBETWEEN(2,COUNTA('Marital status'!$A:$A)),1)</f>
        <v>4</v>
      </c>
      <c r="J1463" s="7">
        <f t="shared" ca="1" si="267"/>
        <v>5</v>
      </c>
      <c r="K1463" s="8">
        <f t="shared" ca="1" si="268"/>
        <v>35895</v>
      </c>
      <c r="L1463" s="6">
        <f t="shared" ca="1" si="269"/>
        <v>5</v>
      </c>
      <c r="M1463" s="7">
        <f ca="1" xml:space="preserve">
  IF(OR($N1463 = 2, $N1463 = 3, $N1463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463" s="6">
        <f t="shared" ca="1" si="270"/>
        <v>8</v>
      </c>
      <c r="O1463" s="6">
        <f t="shared" ca="1" si="271"/>
        <v>3</v>
      </c>
      <c r="P1463" s="8">
        <f t="shared" ca="1" si="272"/>
        <v>44214</v>
      </c>
      <c r="Q1463" s="6">
        <f ca="1">RANDBETWEEN(2,COUNTA('Recruitment source'!$A:$A))</f>
        <v>9</v>
      </c>
      <c r="R1463" s="8" t="e">
        <f t="shared" ca="1" si="273"/>
        <v>#N/A</v>
      </c>
      <c r="S1463" s="6" t="e">
        <f t="shared" ca="1" si="274"/>
        <v>#N/A</v>
      </c>
      <c r="T1463" s="6">
        <f t="shared" ca="1" si="264"/>
        <v>4</v>
      </c>
      <c r="U1463" s="1">
        <f t="shared" ca="1" si="275"/>
        <v>2000</v>
      </c>
    </row>
    <row r="1464" spans="1:21" x14ac:dyDescent="0.2">
      <c r="A1464" s="7" cm="1">
        <f t="array" aca="1" ref="A1464" ca="1">INDEX(Companies!$A:$A,RANDBETWEEN(2,COUNTA(Companies!$A:$A)),1)</f>
        <v>2</v>
      </c>
      <c r="B1464" s="5">
        <f t="shared" si="265"/>
        <v>1463</v>
      </c>
      <c r="C1464" s="6">
        <f t="shared" ca="1" si="266"/>
        <v>1</v>
      </c>
      <c r="D1464" s="7">
        <f ca="1">IF($B1464 = 1 + N("Presidente"),
    127,
    IF($B1464 = 2 + N("Vice-Presidente"),
        72,
        IF($B1464 = 3 + N("Secretária bilíngue"),
            13,
            RANDBETWEEN(5,COUNT(Name!$A:$A) + 1)
        )
    )
)</f>
        <v>364</v>
      </c>
      <c r="E1464" s="7" t="str">
        <f ca="1" xml:space="preserve">
VLOOKUP(
  $D1464,
  Name!$A:$B,
  2,
  FALSE
)
&amp; " " &amp;
IF($B1464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Yasmin Mazza Santoro</v>
      </c>
      <c r="F1464" s="7">
        <v>2</v>
      </c>
      <c r="G1464" s="7" cm="1">
        <f t="array" aca="1" ref="G1464" ca="1">INDEX(States!$B:$B,RANDBETWEEN(2,COUNTA(States!$A:$A)),1)</f>
        <v>9</v>
      </c>
      <c r="H1464" s="7" t="str">
        <f ca="1">VLOOKUP($D1464,Name!$A:$C,3,FALSE)</f>
        <v>F</v>
      </c>
      <c r="I1464" s="7" cm="1">
        <f t="array" aca="1" ref="I1464" ca="1">INDEX('Marital status'!$A:$A,RANDBETWEEN(2,COUNTA('Marital status'!$A:$A)),1)</f>
        <v>3</v>
      </c>
      <c r="J1464" s="7">
        <f t="shared" ca="1" si="267"/>
        <v>2</v>
      </c>
      <c r="K1464" s="8">
        <f t="shared" ca="1" si="268"/>
        <v>30614</v>
      </c>
      <c r="L1464" s="6">
        <f t="shared" ca="1" si="269"/>
        <v>4</v>
      </c>
      <c r="M1464" s="7">
        <f ca="1" xml:space="preserve">
  IF(OR($N1464 = 2, $N1464 = 3, $N1464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464" s="6">
        <f t="shared" ca="1" si="270"/>
        <v>7</v>
      </c>
      <c r="O1464" s="6" t="e">
        <f t="shared" ca="1" si="271"/>
        <v>#N/A</v>
      </c>
      <c r="P1464" s="8">
        <f t="shared" ca="1" si="272"/>
        <v>36254</v>
      </c>
      <c r="Q1464" s="6">
        <f ca="1">RANDBETWEEN(2,COUNTA('Recruitment source'!$A:$A))</f>
        <v>7</v>
      </c>
      <c r="R1464" s="8" t="e">
        <f t="shared" ca="1" si="273"/>
        <v>#N/A</v>
      </c>
      <c r="S1464" s="6" t="e">
        <f t="shared" ca="1" si="274"/>
        <v>#N/A</v>
      </c>
      <c r="T1464" s="6">
        <f t="shared" ca="1" si="264"/>
        <v>3</v>
      </c>
      <c r="U1464" s="1">
        <f t="shared" ca="1" si="275"/>
        <v>1005</v>
      </c>
    </row>
    <row r="1465" spans="1:21" x14ac:dyDescent="0.2">
      <c r="A1465" s="7" cm="1">
        <f t="array" aca="1" ref="A1465" ca="1">INDEX(Companies!$A:$A,RANDBETWEEN(2,COUNTA(Companies!$A:$A)),1)</f>
        <v>2</v>
      </c>
      <c r="B1465" s="5">
        <f t="shared" si="265"/>
        <v>1464</v>
      </c>
      <c r="C1465" s="6">
        <f t="shared" ca="1" si="266"/>
        <v>1</v>
      </c>
      <c r="D1465" s="7">
        <f ca="1">IF($B1465 = 1 + N("Presidente"),
    127,
    IF($B1465 = 2 + N("Vice-Presidente"),
        72,
        IF($B1465 = 3 + N("Secretária bilíngue"),
            13,
            RANDBETWEEN(5,COUNT(Name!$A:$A) + 1)
        )
    )
)</f>
        <v>181</v>
      </c>
      <c r="E1465" s="7" t="str">
        <f ca="1" xml:space="preserve">
VLOOKUP(
  $D1465,
  Name!$A:$B,
  2,
  FALSE
)
&amp; " " &amp;
IF($B1465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Isys Sousa Salvador</v>
      </c>
      <c r="F1465" s="7">
        <v>2</v>
      </c>
      <c r="G1465" s="7" cm="1">
        <f t="array" aca="1" ref="G1465" ca="1">INDEX(States!$B:$B,RANDBETWEEN(2,COUNTA(States!$A:$A)),1)</f>
        <v>19</v>
      </c>
      <c r="H1465" s="7" t="str">
        <f ca="1">VLOOKUP($D1465,Name!$A:$C,3,FALSE)</f>
        <v>F</v>
      </c>
      <c r="I1465" s="7" cm="1">
        <f t="array" aca="1" ref="I1465" ca="1">INDEX('Marital status'!$A:$A,RANDBETWEEN(2,COUNTA('Marital status'!$A:$A)),1)</f>
        <v>6</v>
      </c>
      <c r="J1465" s="7">
        <f t="shared" ca="1" si="267"/>
        <v>2</v>
      </c>
      <c r="K1465" s="8">
        <f t="shared" ca="1" si="268"/>
        <v>35884</v>
      </c>
      <c r="L1465" s="6">
        <f t="shared" ca="1" si="269"/>
        <v>4</v>
      </c>
      <c r="M1465" s="7">
        <f ca="1" xml:space="preserve">
  IF(OR($N1465 = 2, $N1465 = 3, $N1465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465" s="6">
        <f t="shared" ca="1" si="270"/>
        <v>8</v>
      </c>
      <c r="O1465" s="6">
        <f t="shared" ca="1" si="271"/>
        <v>4</v>
      </c>
      <c r="P1465" s="8">
        <f t="shared" ca="1" si="272"/>
        <v>43338</v>
      </c>
      <c r="Q1465" s="6">
        <f ca="1">RANDBETWEEN(2,COUNTA('Recruitment source'!$A:$A))</f>
        <v>7</v>
      </c>
      <c r="R1465" s="8" t="e">
        <f t="shared" ca="1" si="273"/>
        <v>#N/A</v>
      </c>
      <c r="S1465" s="6" t="e">
        <f t="shared" ca="1" si="274"/>
        <v>#N/A</v>
      </c>
      <c r="T1465" s="6">
        <f t="shared" ca="1" si="264"/>
        <v>3</v>
      </c>
      <c r="U1465" s="1">
        <f t="shared" ca="1" si="275"/>
        <v>2000</v>
      </c>
    </row>
    <row r="1466" spans="1:21" x14ac:dyDescent="0.2">
      <c r="A1466" s="7" cm="1">
        <f t="array" aca="1" ref="A1466" ca="1">INDEX(Companies!$A:$A,RANDBETWEEN(2,COUNTA(Companies!$A:$A)),1)</f>
        <v>2</v>
      </c>
      <c r="B1466" s="5">
        <f t="shared" si="265"/>
        <v>1465</v>
      </c>
      <c r="C1466" s="6">
        <f t="shared" ca="1" si="266"/>
        <v>1</v>
      </c>
      <c r="D1466" s="7">
        <f ca="1">IF($B1466 = 1 + N("Presidente"),
    127,
    IF($B1466 = 2 + N("Vice-Presidente"),
        72,
        IF($B1466 = 3 + N("Secretária bilíngue"),
            13,
            RANDBETWEEN(5,COUNT(Name!$A:$A) + 1)
        )
    )
)</f>
        <v>347</v>
      </c>
      <c r="E1466" s="7" t="str">
        <f ca="1" xml:space="preserve">
VLOOKUP(
  $D1466,
  Name!$A:$B,
  2,
  FALSE
)
&amp; " " &amp;
IF($B1466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Tomás Ricci Albuquerque</v>
      </c>
      <c r="F1466" s="7">
        <v>2</v>
      </c>
      <c r="G1466" s="7" cm="1">
        <f t="array" aca="1" ref="G1466" ca="1">INDEX(States!$B:$B,RANDBETWEEN(2,COUNTA(States!$A:$A)),1)</f>
        <v>9</v>
      </c>
      <c r="H1466" s="7" t="str">
        <f ca="1">VLOOKUP($D1466,Name!$A:$C,3,FALSE)</f>
        <v>M</v>
      </c>
      <c r="I1466" s="7" cm="1">
        <f t="array" aca="1" ref="I1466" ca="1">INDEX('Marital status'!$A:$A,RANDBETWEEN(2,COUNTA('Marital status'!$A:$A)),1)</f>
        <v>4</v>
      </c>
      <c r="J1466" s="7">
        <f t="shared" ca="1" si="267"/>
        <v>2</v>
      </c>
      <c r="K1466" s="8">
        <f t="shared" ca="1" si="268"/>
        <v>29109</v>
      </c>
      <c r="L1466" s="6">
        <f t="shared" ca="1" si="269"/>
        <v>4</v>
      </c>
      <c r="M1466" s="7">
        <f ca="1" xml:space="preserve">
  IF(OR($N1466 = 2, $N1466 = 3, $N1466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466" s="6">
        <f t="shared" ca="1" si="270"/>
        <v>6</v>
      </c>
      <c r="O1466" s="6" t="e">
        <f t="shared" ca="1" si="271"/>
        <v>#N/A</v>
      </c>
      <c r="P1466" s="8">
        <f t="shared" ca="1" si="272"/>
        <v>41962</v>
      </c>
      <c r="Q1466" s="6">
        <f ca="1">RANDBETWEEN(2,COUNTA('Recruitment source'!$A:$A))</f>
        <v>7</v>
      </c>
      <c r="R1466" s="8" t="e">
        <f t="shared" ca="1" si="273"/>
        <v>#N/A</v>
      </c>
      <c r="S1466" s="6" t="e">
        <f t="shared" ca="1" si="274"/>
        <v>#N/A</v>
      </c>
      <c r="T1466" s="6">
        <f t="shared" ca="1" si="264"/>
        <v>2</v>
      </c>
      <c r="U1466" s="1">
        <f t="shared" ca="1" si="275"/>
        <v>805</v>
      </c>
    </row>
    <row r="1467" spans="1:21" x14ac:dyDescent="0.2">
      <c r="A1467" s="7" cm="1">
        <f t="array" aca="1" ref="A1467" ca="1">INDEX(Companies!$A:$A,RANDBETWEEN(2,COUNTA(Companies!$A:$A)),1)</f>
        <v>2</v>
      </c>
      <c r="B1467" s="5">
        <f t="shared" si="265"/>
        <v>1466</v>
      </c>
      <c r="C1467" s="6">
        <f t="shared" ca="1" si="266"/>
        <v>1</v>
      </c>
      <c r="D1467" s="7">
        <f ca="1">IF($B1467 = 1 + N("Presidente"),
    127,
    IF($B1467 = 2 + N("Vice-Presidente"),
        72,
        IF($B1467 = 3 + N("Secretária bilíngue"),
            13,
            RANDBETWEEN(5,COUNT(Name!$A:$A) + 1)
        )
    )
)</f>
        <v>246</v>
      </c>
      <c r="E1467" s="7" t="str">
        <f ca="1" xml:space="preserve">
VLOOKUP(
  $D1467,
  Name!$A:$B,
  2,
  FALSE
)
&amp; " " &amp;
IF($B1467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Miguel Pinto Martins</v>
      </c>
      <c r="F1467" s="7">
        <v>2</v>
      </c>
      <c r="G1467" s="7" cm="1">
        <f t="array" aca="1" ref="G1467" ca="1">INDEX(States!$B:$B,RANDBETWEEN(2,COUNTA(States!$A:$A)),1)</f>
        <v>2</v>
      </c>
      <c r="H1467" s="7" t="str">
        <f ca="1">VLOOKUP($D1467,Name!$A:$C,3,FALSE)</f>
        <v>M</v>
      </c>
      <c r="I1467" s="7" cm="1">
        <f t="array" aca="1" ref="I1467" ca="1">INDEX('Marital status'!$A:$A,RANDBETWEEN(2,COUNTA('Marital status'!$A:$A)),1)</f>
        <v>3</v>
      </c>
      <c r="J1467" s="7">
        <f t="shared" ca="1" si="267"/>
        <v>2</v>
      </c>
      <c r="K1467" s="8">
        <f t="shared" ca="1" si="268"/>
        <v>35125</v>
      </c>
      <c r="L1467" s="6">
        <f t="shared" ca="1" si="269"/>
        <v>4</v>
      </c>
      <c r="M1467" s="7">
        <f ca="1" xml:space="preserve">
  IF(OR($N1467 = 2, $N1467 = 3, $N1467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467" s="6">
        <f t="shared" ca="1" si="270"/>
        <v>8</v>
      </c>
      <c r="O1467" s="6">
        <f t="shared" ca="1" si="271"/>
        <v>4</v>
      </c>
      <c r="P1467" s="8">
        <f t="shared" ca="1" si="272"/>
        <v>40290</v>
      </c>
      <c r="Q1467" s="6">
        <f ca="1">RANDBETWEEN(2,COUNTA('Recruitment source'!$A:$A))</f>
        <v>4</v>
      </c>
      <c r="R1467" s="8" t="e">
        <f t="shared" ca="1" si="273"/>
        <v>#N/A</v>
      </c>
      <c r="S1467" s="6" t="e">
        <f t="shared" ca="1" si="274"/>
        <v>#N/A</v>
      </c>
      <c r="T1467" s="6">
        <f t="shared" ca="1" si="264"/>
        <v>3</v>
      </c>
      <c r="U1467" s="1">
        <f t="shared" ca="1" si="275"/>
        <v>2000</v>
      </c>
    </row>
    <row r="1468" spans="1:21" x14ac:dyDescent="0.2">
      <c r="A1468" s="7" cm="1">
        <f t="array" aca="1" ref="A1468" ca="1">INDEX(Companies!$A:$A,RANDBETWEEN(2,COUNTA(Companies!$A:$A)),1)</f>
        <v>2</v>
      </c>
      <c r="B1468" s="5">
        <f t="shared" si="265"/>
        <v>1467</v>
      </c>
      <c r="C1468" s="6">
        <f t="shared" ca="1" si="266"/>
        <v>1</v>
      </c>
      <c r="D1468" s="7">
        <f ca="1">IF($B1468 = 1 + N("Presidente"),
    127,
    IF($B1468 = 2 + N("Vice-Presidente"),
        72,
        IF($B1468 = 3 + N("Secretária bilíngue"),
            13,
            RANDBETWEEN(5,COUNT(Name!$A:$A) + 1)
        )
    )
)</f>
        <v>147</v>
      </c>
      <c r="E1468" s="7" t="str">
        <f ca="1" xml:space="preserve">
VLOOKUP(
  $D1468,
  Name!$A:$B,
  2,
  FALSE
)
&amp; " " &amp;
IF($B1468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Francisco Emanuel Freitas Alcantara</v>
      </c>
      <c r="F1468" s="7">
        <v>2</v>
      </c>
      <c r="G1468" s="7" cm="1">
        <f t="array" aca="1" ref="G1468" ca="1">INDEX(States!$B:$B,RANDBETWEEN(2,COUNTA(States!$A:$A)),1)</f>
        <v>9</v>
      </c>
      <c r="H1468" s="7" t="str">
        <f ca="1">VLOOKUP($D1468,Name!$A:$C,3,FALSE)</f>
        <v>M</v>
      </c>
      <c r="I1468" s="7" cm="1">
        <f t="array" aca="1" ref="I1468" ca="1">INDEX('Marital status'!$A:$A,RANDBETWEEN(2,COUNTA('Marital status'!$A:$A)),1)</f>
        <v>2</v>
      </c>
      <c r="J1468" s="7">
        <f t="shared" ca="1" si="267"/>
        <v>2</v>
      </c>
      <c r="K1468" s="8">
        <f t="shared" ca="1" si="268"/>
        <v>33821</v>
      </c>
      <c r="L1468" s="6">
        <f t="shared" ca="1" si="269"/>
        <v>4</v>
      </c>
      <c r="M1468" s="7">
        <f ca="1" xml:space="preserve">
  IF(OR($N1468 = 2, $N1468 = 3, $N1468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468" s="6">
        <f t="shared" ca="1" si="270"/>
        <v>6</v>
      </c>
      <c r="O1468" s="6" t="e">
        <f t="shared" ca="1" si="271"/>
        <v>#N/A</v>
      </c>
      <c r="P1468" s="8">
        <f t="shared" ca="1" si="272"/>
        <v>43721</v>
      </c>
      <c r="Q1468" s="6">
        <f ca="1">RANDBETWEEN(2,COUNTA('Recruitment source'!$A:$A))</f>
        <v>8</v>
      </c>
      <c r="R1468" s="8" t="e">
        <f t="shared" ca="1" si="273"/>
        <v>#N/A</v>
      </c>
      <c r="S1468" s="6" t="e">
        <f t="shared" ca="1" si="274"/>
        <v>#N/A</v>
      </c>
      <c r="T1468" s="6">
        <f t="shared" ca="1" si="264"/>
        <v>2</v>
      </c>
      <c r="U1468" s="1">
        <f t="shared" ca="1" si="275"/>
        <v>805</v>
      </c>
    </row>
    <row r="1469" spans="1:21" x14ac:dyDescent="0.2">
      <c r="A1469" s="7" cm="1">
        <f t="array" aca="1" ref="A1469" ca="1">INDEX(Companies!$A:$A,RANDBETWEEN(2,COUNTA(Companies!$A:$A)),1)</f>
        <v>2</v>
      </c>
      <c r="B1469" s="5">
        <f t="shared" si="265"/>
        <v>1468</v>
      </c>
      <c r="C1469" s="6">
        <f t="shared" ca="1" si="266"/>
        <v>1</v>
      </c>
      <c r="D1469" s="7">
        <f ca="1">IF($B1469 = 1 + N("Presidente"),
    127,
    IF($B1469 = 2 + N("Vice-Presidente"),
        72,
        IF($B1469 = 3 + N("Secretária bilíngue"),
            13,
            RANDBETWEEN(5,COUNT(Name!$A:$A) + 1)
        )
    )
)</f>
        <v>306</v>
      </c>
      <c r="E1469" s="7" t="str">
        <f ca="1" xml:space="preserve">
VLOOKUP(
  $D1469,
  Name!$A:$B,
  2,
  FALSE
)
&amp; " " &amp;
IF($B1469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Nicolas Andrade Pinheiro</v>
      </c>
      <c r="F1469" s="7">
        <v>2</v>
      </c>
      <c r="G1469" s="7" cm="1">
        <f t="array" aca="1" ref="G1469" ca="1">INDEX(States!$B:$B,RANDBETWEEN(2,COUNTA(States!$A:$A)),1)</f>
        <v>2</v>
      </c>
      <c r="H1469" s="7" t="str">
        <f ca="1">VLOOKUP($D1469,Name!$A:$C,3,FALSE)</f>
        <v>M</v>
      </c>
      <c r="I1469" s="7" cm="1">
        <f t="array" aca="1" ref="I1469" ca="1">INDEX('Marital status'!$A:$A,RANDBETWEEN(2,COUNTA('Marital status'!$A:$A)),1)</f>
        <v>5</v>
      </c>
      <c r="J1469" s="7">
        <f t="shared" ca="1" si="267"/>
        <v>2</v>
      </c>
      <c r="K1469" s="8">
        <f t="shared" ca="1" si="268"/>
        <v>37266</v>
      </c>
      <c r="L1469" s="6">
        <f t="shared" ca="1" si="269"/>
        <v>4</v>
      </c>
      <c r="M1469" s="7">
        <f ca="1" xml:space="preserve">
  IF(OR($N1469 = 2, $N1469 = 3, $N1469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469" s="6">
        <f t="shared" ca="1" si="270"/>
        <v>8</v>
      </c>
      <c r="O1469" s="6">
        <f t="shared" ca="1" si="271"/>
        <v>4</v>
      </c>
      <c r="P1469" s="8">
        <f t="shared" ca="1" si="272"/>
        <v>40368</v>
      </c>
      <c r="Q1469" s="6">
        <f ca="1">RANDBETWEEN(2,COUNTA('Recruitment source'!$A:$A))</f>
        <v>7</v>
      </c>
      <c r="R1469" s="8" t="e">
        <f t="shared" ca="1" si="273"/>
        <v>#N/A</v>
      </c>
      <c r="S1469" s="6" t="e">
        <f t="shared" ca="1" si="274"/>
        <v>#N/A</v>
      </c>
      <c r="T1469" s="6">
        <f t="shared" ca="1" si="264"/>
        <v>2</v>
      </c>
      <c r="U1469" s="1">
        <f t="shared" ca="1" si="275"/>
        <v>2080</v>
      </c>
    </row>
    <row r="1470" spans="1:21" x14ac:dyDescent="0.2">
      <c r="A1470" s="7" cm="1">
        <f t="array" aca="1" ref="A1470" ca="1">INDEX(Companies!$A:$A,RANDBETWEEN(2,COUNTA(Companies!$A:$A)),1)</f>
        <v>2</v>
      </c>
      <c r="B1470" s="5">
        <f t="shared" si="265"/>
        <v>1469</v>
      </c>
      <c r="C1470" s="6">
        <f t="shared" ca="1" si="266"/>
        <v>1</v>
      </c>
      <c r="D1470" s="7">
        <f ca="1">IF($B1470 = 1 + N("Presidente"),
    127,
    IF($B1470 = 2 + N("Vice-Presidente"),
        72,
        IF($B1470 = 3 + N("Secretária bilíngue"),
            13,
            RANDBETWEEN(5,COUNT(Name!$A:$A) + 1)
        )
    )
)</f>
        <v>203</v>
      </c>
      <c r="E1470" s="7" t="str">
        <f ca="1" xml:space="preserve">
VLOOKUP(
  $D1470,
  Name!$A:$B,
  2,
  FALSE
)
&amp; " " &amp;
IF($B1470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Juliana Conti Leitão</v>
      </c>
      <c r="F1470" s="7">
        <v>2</v>
      </c>
      <c r="G1470" s="7" cm="1">
        <f t="array" aca="1" ref="G1470" ca="1">INDEX(States!$B:$B,RANDBETWEEN(2,COUNTA(States!$A:$A)),1)</f>
        <v>14</v>
      </c>
      <c r="H1470" s="7" t="str">
        <f ca="1">VLOOKUP($D1470,Name!$A:$C,3,FALSE)</f>
        <v>F</v>
      </c>
      <c r="I1470" s="7" cm="1">
        <f t="array" aca="1" ref="I1470" ca="1">INDEX('Marital status'!$A:$A,RANDBETWEEN(2,COUNTA('Marital status'!$A:$A)),1)</f>
        <v>4</v>
      </c>
      <c r="J1470" s="7">
        <f t="shared" ca="1" si="267"/>
        <v>3</v>
      </c>
      <c r="K1470" s="8">
        <f t="shared" ca="1" si="268"/>
        <v>23268</v>
      </c>
      <c r="L1470" s="6">
        <f t="shared" ca="1" si="269"/>
        <v>4</v>
      </c>
      <c r="M1470" s="7">
        <f ca="1" xml:space="preserve">
  IF(OR($N1470 = 2, $N1470 = 3, $N1470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470" s="6">
        <f t="shared" ca="1" si="270"/>
        <v>6</v>
      </c>
      <c r="O1470" s="6" t="e">
        <f t="shared" ca="1" si="271"/>
        <v>#N/A</v>
      </c>
      <c r="P1470" s="8">
        <f t="shared" ca="1" si="272"/>
        <v>44036</v>
      </c>
      <c r="Q1470" s="6">
        <f ca="1">RANDBETWEEN(2,COUNTA('Recruitment source'!$A:$A))</f>
        <v>8</v>
      </c>
      <c r="R1470" s="8" t="e">
        <f t="shared" ca="1" si="273"/>
        <v>#N/A</v>
      </c>
      <c r="S1470" s="6" t="e">
        <f t="shared" ca="1" si="274"/>
        <v>#N/A</v>
      </c>
      <c r="T1470" s="6">
        <f t="shared" ca="1" si="264"/>
        <v>5</v>
      </c>
      <c r="U1470" s="1">
        <f t="shared" ca="1" si="275"/>
        <v>805</v>
      </c>
    </row>
    <row r="1471" spans="1:21" x14ac:dyDescent="0.2">
      <c r="A1471" s="7" cm="1">
        <f t="array" aca="1" ref="A1471" ca="1">INDEX(Companies!$A:$A,RANDBETWEEN(2,COUNTA(Companies!$A:$A)),1)</f>
        <v>2</v>
      </c>
      <c r="B1471" s="5">
        <f t="shared" si="265"/>
        <v>1470</v>
      </c>
      <c r="C1471" s="6">
        <f t="shared" ca="1" si="266"/>
        <v>1</v>
      </c>
      <c r="D1471" s="7">
        <f ca="1">IF($B1471 = 1 + N("Presidente"),
    127,
    IF($B1471 = 2 + N("Vice-Presidente"),
        72,
        IF($B1471 = 3 + N("Secretária bilíngue"),
            13,
            RANDBETWEEN(5,COUNT(Name!$A:$A) + 1)
        )
    )
)</f>
        <v>116</v>
      </c>
      <c r="E1471" s="7" t="str">
        <f ca="1" xml:space="preserve">
VLOOKUP(
  $D1471,
  Name!$A:$B,
  2,
  FALSE
)
&amp; " " &amp;
IF($B1471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Eduarda Batista Simões</v>
      </c>
      <c r="F1471" s="7">
        <v>2</v>
      </c>
      <c r="G1471" s="7" cm="1">
        <f t="array" aca="1" ref="G1471" ca="1">INDEX(States!$B:$B,RANDBETWEEN(2,COUNTA(States!$A:$A)),1)</f>
        <v>8</v>
      </c>
      <c r="H1471" s="7" t="str">
        <f ca="1">VLOOKUP($D1471,Name!$A:$C,3,FALSE)</f>
        <v>F</v>
      </c>
      <c r="I1471" s="7" cm="1">
        <f t="array" aca="1" ref="I1471" ca="1">INDEX('Marital status'!$A:$A,RANDBETWEEN(2,COUNTA('Marital status'!$A:$A)),1)</f>
        <v>2</v>
      </c>
      <c r="J1471" s="7">
        <f t="shared" ca="1" si="267"/>
        <v>2</v>
      </c>
      <c r="K1471" s="8">
        <f t="shared" ca="1" si="268"/>
        <v>36279</v>
      </c>
      <c r="L1471" s="6">
        <f t="shared" ca="1" si="269"/>
        <v>5</v>
      </c>
      <c r="M1471" s="7">
        <f ca="1" xml:space="preserve">
  IF(OR($N1471 = 2, $N1471 = 3, $N1471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471" s="6">
        <f t="shared" ca="1" si="270"/>
        <v>8</v>
      </c>
      <c r="O1471" s="6">
        <f t="shared" ca="1" si="271"/>
        <v>2</v>
      </c>
      <c r="P1471" s="8">
        <f t="shared" ca="1" si="272"/>
        <v>36669</v>
      </c>
      <c r="Q1471" s="6">
        <f ca="1">RANDBETWEEN(2,COUNTA('Recruitment source'!$A:$A))</f>
        <v>6</v>
      </c>
      <c r="R1471" s="8" t="e">
        <f t="shared" ca="1" si="273"/>
        <v>#N/A</v>
      </c>
      <c r="S1471" s="6" t="e">
        <f t="shared" ca="1" si="274"/>
        <v>#N/A</v>
      </c>
      <c r="T1471" s="6">
        <f t="shared" ca="1" si="264"/>
        <v>4</v>
      </c>
      <c r="U1471" s="1">
        <f t="shared" ca="1" si="275"/>
        <v>2000</v>
      </c>
    </row>
    <row r="1472" spans="1:21" x14ac:dyDescent="0.2">
      <c r="A1472" s="7" cm="1">
        <f t="array" aca="1" ref="A1472" ca="1">INDEX(Companies!$A:$A,RANDBETWEEN(2,COUNTA(Companies!$A:$A)),1)</f>
        <v>2</v>
      </c>
      <c r="B1472" s="5">
        <f t="shared" si="265"/>
        <v>1471</v>
      </c>
      <c r="C1472" s="6">
        <f t="shared" ca="1" si="266"/>
        <v>1</v>
      </c>
      <c r="D1472" s="7">
        <f ca="1">IF($B1472 = 1 + N("Presidente"),
    127,
    IF($B1472 = 2 + N("Vice-Presidente"),
        72,
        IF($B1472 = 3 + N("Secretária bilíngue"),
            13,
            RANDBETWEEN(5,COUNT(Name!$A:$A) + 1)
        )
    )
)</f>
        <v>361</v>
      </c>
      <c r="E1472" s="7" t="str">
        <f ca="1" xml:space="preserve">
VLOOKUP(
  $D1472,
  Name!$A:$B,
  2,
  FALSE
)
&amp; " " &amp;
IF($B1472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Wagner Caruso Pimenta</v>
      </c>
      <c r="F1472" s="7">
        <v>2</v>
      </c>
      <c r="G1472" s="7" cm="1">
        <f t="array" aca="1" ref="G1472" ca="1">INDEX(States!$B:$B,RANDBETWEEN(2,COUNTA(States!$A:$A)),1)</f>
        <v>4</v>
      </c>
      <c r="H1472" s="7" t="str">
        <f ca="1">VLOOKUP($D1472,Name!$A:$C,3,FALSE)</f>
        <v>M</v>
      </c>
      <c r="I1472" s="7" cm="1">
        <f t="array" aca="1" ref="I1472" ca="1">INDEX('Marital status'!$A:$A,RANDBETWEEN(2,COUNTA('Marital status'!$A:$A)),1)</f>
        <v>3</v>
      </c>
      <c r="J1472" s="7">
        <f t="shared" ca="1" si="267"/>
        <v>2</v>
      </c>
      <c r="K1472" s="8">
        <f t="shared" ca="1" si="268"/>
        <v>31467</v>
      </c>
      <c r="L1472" s="6">
        <f t="shared" ca="1" si="269"/>
        <v>4</v>
      </c>
      <c r="M1472" s="7">
        <f ca="1" xml:space="preserve">
  IF(OR($N1472 = 2, $N1472 = 3, $N1472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472" s="6">
        <f t="shared" ca="1" si="270"/>
        <v>7</v>
      </c>
      <c r="O1472" s="6" t="e">
        <f t="shared" ca="1" si="271"/>
        <v>#N/A</v>
      </c>
      <c r="P1472" s="8">
        <f t="shared" ca="1" si="272"/>
        <v>36890</v>
      </c>
      <c r="Q1472" s="6">
        <f ca="1">RANDBETWEEN(2,COUNTA('Recruitment source'!$A:$A))</f>
        <v>6</v>
      </c>
      <c r="R1472" s="8" t="e">
        <f t="shared" ca="1" si="273"/>
        <v>#N/A</v>
      </c>
      <c r="S1472" s="6" t="e">
        <f t="shared" ca="1" si="274"/>
        <v>#N/A</v>
      </c>
      <c r="T1472" s="6">
        <f t="shared" ca="1" si="264"/>
        <v>4</v>
      </c>
      <c r="U1472" s="1">
        <f t="shared" ca="1" si="275"/>
        <v>1005</v>
      </c>
    </row>
    <row r="1473" spans="1:21" x14ac:dyDescent="0.2">
      <c r="A1473" s="7" cm="1">
        <f t="array" aca="1" ref="A1473" ca="1">INDEX(Companies!$A:$A,RANDBETWEEN(2,COUNTA(Companies!$A:$A)),1)</f>
        <v>2</v>
      </c>
      <c r="B1473" s="5">
        <f t="shared" si="265"/>
        <v>1472</v>
      </c>
      <c r="C1473" s="6">
        <f t="shared" ca="1" si="266"/>
        <v>1</v>
      </c>
      <c r="D1473" s="7">
        <f ca="1">IF($B1473 = 1 + N("Presidente"),
    127,
    IF($B1473 = 2 + N("Vice-Presidente"),
        72,
        IF($B1473 = 3 + N("Secretária bilíngue"),
            13,
            RANDBETWEEN(5,COUNT(Name!$A:$A) + 1)
        )
    )
)</f>
        <v>172</v>
      </c>
      <c r="E1473" s="7" t="str">
        <f ca="1" xml:space="preserve">
VLOOKUP(
  $D1473,
  Name!$A:$B,
  2,
  FALSE
)
&amp; " " &amp;
IF($B1473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 Silva Aragão</v>
      </c>
      <c r="F1473" s="7">
        <v>2</v>
      </c>
      <c r="G1473" s="7" cm="1">
        <f t="array" aca="1" ref="G1473" ca="1">INDEX(States!$B:$B,RANDBETWEEN(2,COUNTA(States!$A:$A)),1)</f>
        <v>7</v>
      </c>
      <c r="H1473" s="7" t="str">
        <f ca="1">VLOOKUP($D1473,Name!$A:$C,3,FALSE)</f>
        <v>F</v>
      </c>
      <c r="I1473" s="7" cm="1">
        <f t="array" aca="1" ref="I1473" ca="1">INDEX('Marital status'!$A:$A,RANDBETWEEN(2,COUNTA('Marital status'!$A:$A)),1)</f>
        <v>6</v>
      </c>
      <c r="J1473" s="7">
        <f t="shared" ca="1" si="267"/>
        <v>2</v>
      </c>
      <c r="K1473" s="8">
        <f t="shared" ca="1" si="268"/>
        <v>35524</v>
      </c>
      <c r="L1473" s="6">
        <f t="shared" ca="1" si="269"/>
        <v>4</v>
      </c>
      <c r="M1473" s="7">
        <f ca="1" xml:space="preserve">
  IF(OR($N1473 = 2, $N1473 = 3, $N1473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473" s="6">
        <f t="shared" ca="1" si="270"/>
        <v>8</v>
      </c>
      <c r="O1473" s="6">
        <f t="shared" ca="1" si="271"/>
        <v>3</v>
      </c>
      <c r="P1473" s="8">
        <f t="shared" ca="1" si="272"/>
        <v>42337</v>
      </c>
      <c r="Q1473" s="6">
        <f ca="1">RANDBETWEEN(2,COUNTA('Recruitment source'!$A:$A))</f>
        <v>11</v>
      </c>
      <c r="R1473" s="8" t="e">
        <f t="shared" ca="1" si="273"/>
        <v>#N/A</v>
      </c>
      <c r="S1473" s="6" t="e">
        <f t="shared" ca="1" si="274"/>
        <v>#N/A</v>
      </c>
      <c r="T1473" s="6">
        <f t="shared" ca="1" si="264"/>
        <v>4</v>
      </c>
      <c r="U1473" s="1">
        <f t="shared" ca="1" si="275"/>
        <v>2080</v>
      </c>
    </row>
    <row r="1474" spans="1:21" x14ac:dyDescent="0.2">
      <c r="A1474" s="7" cm="1">
        <f t="array" aca="1" ref="A1474" ca="1">INDEX(Companies!$A:$A,RANDBETWEEN(2,COUNTA(Companies!$A:$A)),1)</f>
        <v>2</v>
      </c>
      <c r="B1474" s="5">
        <f t="shared" si="265"/>
        <v>1473</v>
      </c>
      <c r="C1474" s="6">
        <f t="shared" ca="1" si="266"/>
        <v>1</v>
      </c>
      <c r="D1474" s="7">
        <f ca="1">IF($B1474 = 1 + N("Presidente"),
    127,
    IF($B1474 = 2 + N("Vice-Presidente"),
        72,
        IF($B1474 = 3 + N("Secretária bilíngue"),
            13,
            RANDBETWEEN(5,COUNT(Name!$A:$A) + 1)
        )
    )
)</f>
        <v>283</v>
      </c>
      <c r="E1474" s="7" t="str">
        <f ca="1" xml:space="preserve">
VLOOKUP(
  $D1474,
  Name!$A:$B,
  2,
  FALSE
)
&amp; " " &amp;
IF($B1474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Marta Garcia Abranches</v>
      </c>
      <c r="F1474" s="7">
        <v>2</v>
      </c>
      <c r="G1474" s="7" cm="1">
        <f t="array" aca="1" ref="G1474" ca="1">INDEX(States!$B:$B,RANDBETWEEN(2,COUNTA(States!$A:$A)),1)</f>
        <v>15</v>
      </c>
      <c r="H1474" s="7" t="str">
        <f ca="1">VLOOKUP($D1474,Name!$A:$C,3,FALSE)</f>
        <v>F</v>
      </c>
      <c r="I1474" s="7" cm="1">
        <f t="array" aca="1" ref="I1474" ca="1">INDEX('Marital status'!$A:$A,RANDBETWEEN(2,COUNTA('Marital status'!$A:$A)),1)</f>
        <v>6</v>
      </c>
      <c r="J1474" s="7">
        <f t="shared" ca="1" si="267"/>
        <v>4</v>
      </c>
      <c r="K1474" s="8">
        <f t="shared" ca="1" si="268"/>
        <v>34141</v>
      </c>
      <c r="L1474" s="6">
        <f t="shared" ca="1" si="269"/>
        <v>4</v>
      </c>
      <c r="M1474" s="7">
        <f ca="1" xml:space="preserve">
  IF(OR($N1474 = 2, $N1474 = 3, $N1474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474" s="6">
        <f t="shared" ca="1" si="270"/>
        <v>7</v>
      </c>
      <c r="O1474" s="6" t="e">
        <f t="shared" ca="1" si="271"/>
        <v>#N/A</v>
      </c>
      <c r="P1474" s="8">
        <f t="shared" ca="1" si="272"/>
        <v>44740</v>
      </c>
      <c r="Q1474" s="6">
        <f ca="1">RANDBETWEEN(2,COUNTA('Recruitment source'!$A:$A))</f>
        <v>9</v>
      </c>
      <c r="R1474" s="8" t="e">
        <f t="shared" ca="1" si="273"/>
        <v>#N/A</v>
      </c>
      <c r="S1474" s="6" t="e">
        <f t="shared" ca="1" si="274"/>
        <v>#N/A</v>
      </c>
      <c r="T1474" s="6">
        <f t="shared" ref="T1474:T1537" ca="1" si="276" xml:space="preserve">
IF(
 ISNA($R1474),
 IF(
   $N1474 = 2,
   5,
   IF(
     OR($N1474=3,$N1474=4,$N1474=5),
     RANDBETWEEN(4,5),
     IF(
       OR($N1474=11,$N1474=12),
       RANDBETWEEN(3,5),
       RANDBETWEEN(2,5)
     )
   )
 ),
 RANDBETWEEN(1,3)
)</f>
        <v>3</v>
      </c>
      <c r="U1474" s="1">
        <f t="shared" ca="1" si="275"/>
        <v>1005</v>
      </c>
    </row>
    <row r="1475" spans="1:21" x14ac:dyDescent="0.2">
      <c r="A1475" s="7" cm="1">
        <f t="array" aca="1" ref="A1475" ca="1">INDEX(Companies!$A:$A,RANDBETWEEN(2,COUNTA(Companies!$A:$A)),1)</f>
        <v>2</v>
      </c>
      <c r="B1475" s="5">
        <f t="shared" ref="B1475:B1538" si="277">ROW() - 1</f>
        <v>1474</v>
      </c>
      <c r="C1475" s="6">
        <f t="shared" ref="C1475:C1538" ca="1" si="278">IF(ISNA($R1475),1,0)</f>
        <v>1</v>
      </c>
      <c r="D1475" s="7">
        <f ca="1">IF($B1475 = 1 + N("Presidente"),
    127,
    IF($B1475 = 2 + N("Vice-Presidente"),
        72,
        IF($B1475 = 3 + N("Secretária bilíngue"),
            13,
            RANDBETWEEN(5,COUNT(Name!$A:$A) + 1)
        )
    )
)</f>
        <v>203</v>
      </c>
      <c r="E1475" s="7" t="str">
        <f ca="1" xml:space="preserve">
VLOOKUP(
  $D1475,
  Name!$A:$B,
  2,
  FALSE
)
&amp; " " &amp;
IF($B1475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Juliana Gouveia Alves</v>
      </c>
      <c r="F1475" s="7">
        <v>2</v>
      </c>
      <c r="G1475" s="7" cm="1">
        <f t="array" aca="1" ref="G1475" ca="1">INDEX(States!$B:$B,RANDBETWEEN(2,COUNTA(States!$A:$A)),1)</f>
        <v>16</v>
      </c>
      <c r="H1475" s="7" t="str">
        <f ca="1">VLOOKUP($D1475,Name!$A:$C,3,FALSE)</f>
        <v>F</v>
      </c>
      <c r="I1475" s="7" cm="1">
        <f t="array" aca="1" ref="I1475" ca="1">INDEX('Marital status'!$A:$A,RANDBETWEEN(2,COUNTA('Marital status'!$A:$A)),1)</f>
        <v>5</v>
      </c>
      <c r="J1475" s="7">
        <f t="shared" ref="J1475:J1538" ca="1" si="279" xml:space="preserve">
IF(AND($N1475 &gt;= 2, $N1475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1475" s="8">
        <f t="shared" ref="K1475:K1538" ca="1" si="280" xml:space="preserve">
IF($N1475 = 5 + N("CEO"),
    TODAY() - 16340,
    IF($N1475 = 8 + N("Secretary"),
        RANDBETWEEN(TODAY() - 12418.5, TODAY()-6574.5),
        IF(OR($N1475 = 7, $N1475 = 14),
            RANDBETWEEN(TODAY() - 16071, TODAY() - 8766),
            IF(OR($N1475 = 13, $N1475 = 12, $N1475 = 11),
                RANDBETWEEN(TODAY() - 27393.75, TODAY() - 12783.75),
                RANDBETWEEN(TODAY() - 27393.75, TODAY()-10957.5)
            )
        )
    )
)</f>
        <v>37188</v>
      </c>
      <c r="L1475" s="6">
        <f t="shared" ref="L1475:L1538" ca="1" si="281" xml:space="preserve">
IF(OR($N1475 = 2, $N1475 = 3) + N("Se for presidente ou vice-presidente"),
    7 + N("Doutor"),
    IF($N1475 = 4 + N("Se for diretor"),
        RANDBETWEEN(5,7) + N("Graduate school or Master’s degree or Doctorate"),
        IF($N1475 = 11 + N("Se for gerente"),
            RANDBETWEEN(4,6) + N("Undergraduate degree or Graduate school or Master’s degree"),
            IF(AND($N1475 &gt;= 8, $N1475 &lt;= 10) + N("If coordinator or specialist or analyst"),
                RANDBETWEEN(4,5),
                4
            )
        )
    )
)</f>
        <v>4</v>
      </c>
      <c r="M1475" s="7">
        <f ca="1" xml:space="preserve">
  IF(OR($N1475 = 2, $N1475 = 3, $N1475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475" s="6">
        <f t="shared" ref="N1475:N1538" ca="1" si="282" xml:space="preserve">
IF($B1475 = 1 + N("Se matrícula for 1"),
  2 + N("Presidente"),
  IF($B1475 = 2 + N("Se matrícula for 2"),
    3 + N("Vice-presidente"),
    IF($B1475 = 3 + N("Se matrícula for 3"),
      5 + N("Secretária bilíngue"),
      IF(AND($B1475 &gt;= 4, $B1475 &lt;=14),
        4 + N("Diretor"),
        IF(AND($B1475 &gt;= 15, $B1475 &lt;= 25),
          11 + N("Manager"),
          IF(AND($B1475 &gt;= 26, $B1475 &lt;= 36),
            10 + N("Coordinador"),
            IF(AND($B1475 &gt;= 37, $B1475 &lt;= 47),
              9 + N("Especialista"),
                IF(MOD($B1475,2) = 0,
                  8 + N("Analista"),
                  RANDBETWEEN(6,7) + N("Estagiário ou Trainee")
                )
            )
          )
        )
      )
    )
  )
)</f>
        <v>8</v>
      </c>
      <c r="O1475" s="6">
        <f t="shared" ref="O1475:O1538" ca="1" si="283" xml:space="preserve">
IF($N1475 =8 + N("Analyst"),
    RANDBETWEEN(2, 4) + N("Jr, Pleno, Sr"),
    NA()
)</f>
        <v>4</v>
      </c>
      <c r="P1475" s="8">
        <f t="shared" ref="P1475:P1538" ca="1" si="284" xml:space="preserve">
IF(
   $N1475=2 + N("Presidente"),
   36161,
   IF(
       OR(
         $N1475=3 + N("Vice-Presidente"),
         $N1475=4 + N("Diretor"),
         $N1475=5 + N("Secretária bilíngue")
       ),
       RANDBETWEEN(36161,36411),
       IF(
         ((TODAY() - $K1475) / 365) &lt; 19,
         TODAY(),
         RANDBETWEEN(36161,TODAY())
       )
   )
)</f>
        <v>44456</v>
      </c>
      <c r="Q1475" s="6">
        <f ca="1">RANDBETWEEN(2,COUNTA('Recruitment source'!$A:$A))</f>
        <v>7</v>
      </c>
      <c r="R1475" s="8" t="e">
        <f t="shared" ref="R1475:R1538" ca="1" si="285" xml:space="preserve">
IF(MOD(
     ROW(),111
   )=0,
   RANDBETWEEN($P1475 + 1,TODAY() - 1),NA()
)</f>
        <v>#N/A</v>
      </c>
      <c r="S1475" s="6" t="e">
        <f t="shared" ref="S1475:S1538" ca="1" si="286" xml:space="preserve">
IF(
  ISNA(R1475),
  NA(),
  RANDBETWEEN(2,IF($H1475="F",10,9))
)</f>
        <v>#N/A</v>
      </c>
      <c r="T1475" s="6">
        <f t="shared" ca="1" si="276"/>
        <v>5</v>
      </c>
      <c r="U1475" s="1">
        <f t="shared" ref="U1475:U1538" ca="1" si="287" xml:space="preserve">
IF($N1475 = 2 + N("Presidente"),
    25000,
    IF($N1475 = 3 + N("Vice-presidente"),
        23000,
        IF(OR($N1475 = 5, $N1475= 10, $N1475 = 9) + N("Secretária bilíngue ou coordenador ou especialista"),
            8000,
            IF($N1475 = 4 + N("Diretor"),
                15000,
                IF($N1475 = 11 + N("Gerente"),
                    12000,
                    IF($N1475 = 6 + N("Estagiário"),
                        805,
                        IF($N1475 = 7 + N("Trainee"),
                            1005,
                            IF($N1475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IF($L1475 = 7,
  100,
  IF($L1475 = 8,
    200,
    IF($L1475 = 9,
      300,
      IF($L1475 = 10,
        400,
        0
      )
    )
  )
)
+
N("Adicional no salário por área")
+
IF($M1475 = 14 + N("Tecnologia da Informação"),
  120,
  IF($M1475 = 16 + N("Vendas"),
    110,
    IF($M1475 = 15 + N("Jurídico"),
      100,
      IF(OR($M1475 = 8, $M1475 = 9, $M1475 = 11) + N("Recursos humanos ou comercial ou comunicação e marketing"),
        80,
        0
      )
    )
  )
)
+
N("Adicionando pegadinha")
+
IF(AND($M1475 = 13, $N1475 = 8) + N("Se for de vendas e analista"),
  IF($J1475 = 2,
    50,
    0
  )
  +
  IF($H1475 = "M",
    50,
    0
  ),
  0
)</f>
        <v>2000</v>
      </c>
    </row>
    <row r="1476" spans="1:21" x14ac:dyDescent="0.2">
      <c r="A1476" s="7" cm="1">
        <f t="array" aca="1" ref="A1476" ca="1">INDEX(Companies!$A:$A,RANDBETWEEN(2,COUNTA(Companies!$A:$A)),1)</f>
        <v>2</v>
      </c>
      <c r="B1476" s="5">
        <f t="shared" si="277"/>
        <v>1475</v>
      </c>
      <c r="C1476" s="6">
        <f t="shared" ca="1" si="278"/>
        <v>1</v>
      </c>
      <c r="D1476" s="7">
        <f ca="1">IF($B1476 = 1 + N("Presidente"),
    127,
    IF($B1476 = 2 + N("Vice-Presidente"),
        72,
        IF($B1476 = 3 + N("Secretária bilíngue"),
            13,
            RANDBETWEEN(5,COUNT(Name!$A:$A) + 1)
        )
    )
)</f>
        <v>78</v>
      </c>
      <c r="E1476" s="7" t="str">
        <f ca="1" xml:space="preserve">
VLOOKUP(
  $D1476,
  Name!$A:$B,
  2,
  FALSE
)
&amp; " " &amp;
IF($B1476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Bryan Peçanha Pereira</v>
      </c>
      <c r="F1476" s="7">
        <v>2</v>
      </c>
      <c r="G1476" s="7" cm="1">
        <f t="array" aca="1" ref="G1476" ca="1">INDEX(States!$B:$B,RANDBETWEEN(2,COUNTA(States!$A:$A)),1)</f>
        <v>20</v>
      </c>
      <c r="H1476" s="7" t="str">
        <f ca="1">VLOOKUP($D1476,Name!$A:$C,3,FALSE)</f>
        <v>M</v>
      </c>
      <c r="I1476" s="7" cm="1">
        <f t="array" aca="1" ref="I1476" ca="1">INDEX('Marital status'!$A:$A,RANDBETWEEN(2,COUNTA('Marital status'!$A:$A)),1)</f>
        <v>4</v>
      </c>
      <c r="J1476" s="7">
        <f t="shared" ca="1" si="279"/>
        <v>2</v>
      </c>
      <c r="K1476" s="8">
        <f t="shared" ca="1" si="280"/>
        <v>32204</v>
      </c>
      <c r="L1476" s="6">
        <f t="shared" ca="1" si="281"/>
        <v>4</v>
      </c>
      <c r="M1476" s="7">
        <f ca="1" xml:space="preserve">
  IF(OR($N1476 = 2, $N1476 = 3, $N1476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476" s="6">
        <f t="shared" ca="1" si="282"/>
        <v>7</v>
      </c>
      <c r="O1476" s="6" t="e">
        <f t="shared" ca="1" si="283"/>
        <v>#N/A</v>
      </c>
      <c r="P1476" s="8">
        <f t="shared" ca="1" si="284"/>
        <v>37767</v>
      </c>
      <c r="Q1476" s="6">
        <f ca="1">RANDBETWEEN(2,COUNTA('Recruitment source'!$A:$A))</f>
        <v>2</v>
      </c>
      <c r="R1476" s="8" t="e">
        <f t="shared" ca="1" si="285"/>
        <v>#N/A</v>
      </c>
      <c r="S1476" s="6" t="e">
        <f t="shared" ca="1" si="286"/>
        <v>#N/A</v>
      </c>
      <c r="T1476" s="6">
        <f t="shared" ca="1" si="276"/>
        <v>3</v>
      </c>
      <c r="U1476" s="1">
        <f t="shared" ca="1" si="287"/>
        <v>1005</v>
      </c>
    </row>
    <row r="1477" spans="1:21" x14ac:dyDescent="0.2">
      <c r="A1477" s="7" cm="1">
        <f t="array" aca="1" ref="A1477" ca="1">INDEX(Companies!$A:$A,RANDBETWEEN(2,COUNTA(Companies!$A:$A)),1)</f>
        <v>2</v>
      </c>
      <c r="B1477" s="5">
        <f t="shared" si="277"/>
        <v>1476</v>
      </c>
      <c r="C1477" s="6">
        <f t="shared" ca="1" si="278"/>
        <v>1</v>
      </c>
      <c r="D1477" s="7">
        <f ca="1">IF($B1477 = 1 + N("Presidente"),
    127,
    IF($B1477 = 2 + N("Vice-Presidente"),
        72,
        IF($B1477 = 3 + N("Secretária bilíngue"),
            13,
            RANDBETWEEN(5,COUNT(Name!$A:$A) + 1)
        )
    )
)</f>
        <v>33</v>
      </c>
      <c r="E1477" s="7" t="str">
        <f ca="1" xml:space="preserve">
VLOOKUP(
  $D1477,
  Name!$A:$B,
  2,
  FALSE
)
&amp; " " &amp;
IF($B1477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Lívia Leone Anjos</v>
      </c>
      <c r="F1477" s="7">
        <v>2</v>
      </c>
      <c r="G1477" s="7" cm="1">
        <f t="array" aca="1" ref="G1477" ca="1">INDEX(States!$B:$B,RANDBETWEEN(2,COUNTA(States!$A:$A)),1)</f>
        <v>11</v>
      </c>
      <c r="H1477" s="7" t="str">
        <f ca="1">VLOOKUP($D1477,Name!$A:$C,3,FALSE)</f>
        <v>F</v>
      </c>
      <c r="I1477" s="7" cm="1">
        <f t="array" aca="1" ref="I1477" ca="1">INDEX('Marital status'!$A:$A,RANDBETWEEN(2,COUNTA('Marital status'!$A:$A)),1)</f>
        <v>6</v>
      </c>
      <c r="J1477" s="7">
        <f t="shared" ca="1" si="279"/>
        <v>3</v>
      </c>
      <c r="K1477" s="8">
        <f t="shared" ca="1" si="280"/>
        <v>37493</v>
      </c>
      <c r="L1477" s="6">
        <f t="shared" ca="1" si="281"/>
        <v>4</v>
      </c>
      <c r="M1477" s="7">
        <f ca="1" xml:space="preserve">
  IF(OR($N1477 = 2, $N1477 = 3, $N1477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477" s="6">
        <f t="shared" ca="1" si="282"/>
        <v>8</v>
      </c>
      <c r="O1477" s="6">
        <f t="shared" ca="1" si="283"/>
        <v>2</v>
      </c>
      <c r="P1477" s="8">
        <f t="shared" ca="1" si="284"/>
        <v>42890</v>
      </c>
      <c r="Q1477" s="6">
        <f ca="1">RANDBETWEEN(2,COUNTA('Recruitment source'!$A:$A))</f>
        <v>3</v>
      </c>
      <c r="R1477" s="8" t="e">
        <f t="shared" ca="1" si="285"/>
        <v>#N/A</v>
      </c>
      <c r="S1477" s="6" t="e">
        <f t="shared" ca="1" si="286"/>
        <v>#N/A</v>
      </c>
      <c r="T1477" s="6">
        <f t="shared" ca="1" si="276"/>
        <v>2</v>
      </c>
      <c r="U1477" s="1">
        <f t="shared" ca="1" si="287"/>
        <v>2080</v>
      </c>
    </row>
    <row r="1478" spans="1:21" x14ac:dyDescent="0.2">
      <c r="A1478" s="7" cm="1">
        <f t="array" aca="1" ref="A1478" ca="1">INDEX(Companies!$A:$A,RANDBETWEEN(2,COUNTA(Companies!$A:$A)),1)</f>
        <v>2</v>
      </c>
      <c r="B1478" s="5">
        <f t="shared" si="277"/>
        <v>1477</v>
      </c>
      <c r="C1478" s="6">
        <f t="shared" ca="1" si="278"/>
        <v>1</v>
      </c>
      <c r="D1478" s="7">
        <f ca="1">IF($B1478 = 1 + N("Presidente"),
    127,
    IF($B1478 = 2 + N("Vice-Presidente"),
        72,
        IF($B1478 = 3 + N("Secretária bilíngue"),
            13,
            RANDBETWEEN(5,COUNT(Name!$A:$A) + 1)
        )
    )
)</f>
        <v>307</v>
      </c>
      <c r="E1478" s="7" t="str">
        <f ca="1" xml:space="preserve">
VLOOKUP(
  $D1478,
  Name!$A:$B,
  2,
  FALSE
)
&amp; " " &amp;
IF($B1478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Nicole Pinto Frois</v>
      </c>
      <c r="F1478" s="7">
        <v>2</v>
      </c>
      <c r="G1478" s="7" cm="1">
        <f t="array" aca="1" ref="G1478" ca="1">INDEX(States!$B:$B,RANDBETWEEN(2,COUNTA(States!$A:$A)),1)</f>
        <v>8</v>
      </c>
      <c r="H1478" s="7" t="str">
        <f ca="1">VLOOKUP($D1478,Name!$A:$C,3,FALSE)</f>
        <v>F</v>
      </c>
      <c r="I1478" s="7" cm="1">
        <f t="array" aca="1" ref="I1478" ca="1">INDEX('Marital status'!$A:$A,RANDBETWEEN(2,COUNTA('Marital status'!$A:$A)),1)</f>
        <v>6</v>
      </c>
      <c r="J1478" s="7">
        <f t="shared" ca="1" si="279"/>
        <v>2</v>
      </c>
      <c r="K1478" s="8">
        <f t="shared" ca="1" si="280"/>
        <v>35973</v>
      </c>
      <c r="L1478" s="6">
        <f t="shared" ca="1" si="281"/>
        <v>4</v>
      </c>
      <c r="M1478" s="7">
        <f ca="1" xml:space="preserve">
  IF(OR($N1478 = 2, $N1478 = 3, $N1478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478" s="6">
        <f t="shared" ca="1" si="282"/>
        <v>7</v>
      </c>
      <c r="O1478" s="6" t="e">
        <f t="shared" ca="1" si="283"/>
        <v>#N/A</v>
      </c>
      <c r="P1478" s="8">
        <f t="shared" ca="1" si="284"/>
        <v>38143</v>
      </c>
      <c r="Q1478" s="6">
        <f ca="1">RANDBETWEEN(2,COUNTA('Recruitment source'!$A:$A))</f>
        <v>6</v>
      </c>
      <c r="R1478" s="8" t="e">
        <f t="shared" ca="1" si="285"/>
        <v>#N/A</v>
      </c>
      <c r="S1478" s="6" t="e">
        <f t="shared" ca="1" si="286"/>
        <v>#N/A</v>
      </c>
      <c r="T1478" s="6">
        <f t="shared" ca="1" si="276"/>
        <v>3</v>
      </c>
      <c r="U1478" s="1">
        <f t="shared" ca="1" si="287"/>
        <v>1005</v>
      </c>
    </row>
    <row r="1479" spans="1:21" x14ac:dyDescent="0.2">
      <c r="A1479" s="7" cm="1">
        <f t="array" aca="1" ref="A1479" ca="1">INDEX(Companies!$A:$A,RANDBETWEEN(2,COUNTA(Companies!$A:$A)),1)</f>
        <v>2</v>
      </c>
      <c r="B1479" s="5">
        <f t="shared" si="277"/>
        <v>1478</v>
      </c>
      <c r="C1479" s="6">
        <f t="shared" ca="1" si="278"/>
        <v>1</v>
      </c>
      <c r="D1479" s="7">
        <f ca="1">IF($B1479 = 1 + N("Presidente"),
    127,
    IF($B1479 = 2 + N("Vice-Presidente"),
        72,
        IF($B1479 = 3 + N("Secretária bilíngue"),
            13,
            RANDBETWEEN(5,COUNT(Name!$A:$A) + 1)
        )
    )
)</f>
        <v>194</v>
      </c>
      <c r="E1479" s="7" t="str">
        <f ca="1" xml:space="preserve">
VLOOKUP(
  $D1479,
  Name!$A:$B,
  2,
  FALSE
)
&amp; " " &amp;
IF($B1479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Vitor Monteiro Fernandes</v>
      </c>
      <c r="F1479" s="7">
        <v>2</v>
      </c>
      <c r="G1479" s="7" cm="1">
        <f t="array" aca="1" ref="G1479" ca="1">INDEX(States!$B:$B,RANDBETWEEN(2,COUNTA(States!$A:$A)),1)</f>
        <v>7</v>
      </c>
      <c r="H1479" s="7" t="str">
        <f ca="1">VLOOKUP($D1479,Name!$A:$C,3,FALSE)</f>
        <v>M</v>
      </c>
      <c r="I1479" s="7" cm="1">
        <f t="array" aca="1" ref="I1479" ca="1">INDEX('Marital status'!$A:$A,RANDBETWEEN(2,COUNTA('Marital status'!$A:$A)),1)</f>
        <v>3</v>
      </c>
      <c r="J1479" s="7">
        <f t="shared" ca="1" si="279"/>
        <v>2</v>
      </c>
      <c r="K1479" s="8">
        <f t="shared" ca="1" si="280"/>
        <v>37511</v>
      </c>
      <c r="L1479" s="6">
        <f t="shared" ca="1" si="281"/>
        <v>5</v>
      </c>
      <c r="M1479" s="7">
        <f ca="1" xml:space="preserve">
  IF(OR($N1479 = 2, $N1479 = 3, $N1479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479" s="6">
        <f t="shared" ca="1" si="282"/>
        <v>8</v>
      </c>
      <c r="O1479" s="6">
        <f t="shared" ca="1" si="283"/>
        <v>2</v>
      </c>
      <c r="P1479" s="8">
        <f t="shared" ca="1" si="284"/>
        <v>38472</v>
      </c>
      <c r="Q1479" s="6">
        <f ca="1">RANDBETWEEN(2,COUNTA('Recruitment source'!$A:$A))</f>
        <v>10</v>
      </c>
      <c r="R1479" s="8" t="e">
        <f t="shared" ca="1" si="285"/>
        <v>#N/A</v>
      </c>
      <c r="S1479" s="6" t="e">
        <f t="shared" ca="1" si="286"/>
        <v>#N/A</v>
      </c>
      <c r="T1479" s="6">
        <f t="shared" ca="1" si="276"/>
        <v>5</v>
      </c>
      <c r="U1479" s="1">
        <f t="shared" ca="1" si="287"/>
        <v>2000</v>
      </c>
    </row>
    <row r="1480" spans="1:21" x14ac:dyDescent="0.2">
      <c r="A1480" s="7" cm="1">
        <f t="array" aca="1" ref="A1480" ca="1">INDEX(Companies!$A:$A,RANDBETWEEN(2,COUNTA(Companies!$A:$A)),1)</f>
        <v>2</v>
      </c>
      <c r="B1480" s="5">
        <f t="shared" si="277"/>
        <v>1479</v>
      </c>
      <c r="C1480" s="6">
        <f t="shared" ca="1" si="278"/>
        <v>1</v>
      </c>
      <c r="D1480" s="7">
        <f ca="1">IF($B1480 = 1 + N("Presidente"),
    127,
    IF($B1480 = 2 + N("Vice-Presidente"),
        72,
        IF($B1480 = 3 + N("Secretária bilíngue"),
            13,
            RANDBETWEEN(5,COUNT(Name!$A:$A) + 1)
        )
    )
)</f>
        <v>178</v>
      </c>
      <c r="E1480" s="7" t="str">
        <f ca="1" xml:space="preserve">
VLOOKUP(
  $D1480,
  Name!$A:$B,
  2,
  FALSE
)
&amp; " " &amp;
IF($B1480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Isabely Caruso Barbieri</v>
      </c>
      <c r="F1480" s="7">
        <v>2</v>
      </c>
      <c r="G1480" s="7" cm="1">
        <f t="array" aca="1" ref="G1480" ca="1">INDEX(States!$B:$B,RANDBETWEEN(2,COUNTA(States!$A:$A)),1)</f>
        <v>7</v>
      </c>
      <c r="H1480" s="7" t="str">
        <f ca="1">VLOOKUP($D1480,Name!$A:$C,3,FALSE)</f>
        <v>F</v>
      </c>
      <c r="I1480" s="7" cm="1">
        <f t="array" aca="1" ref="I1480" ca="1">INDEX('Marital status'!$A:$A,RANDBETWEEN(2,COUNTA('Marital status'!$A:$A)),1)</f>
        <v>4</v>
      </c>
      <c r="J1480" s="7">
        <f t="shared" ca="1" si="279"/>
        <v>2</v>
      </c>
      <c r="K1480" s="8">
        <f t="shared" ca="1" si="280"/>
        <v>32776</v>
      </c>
      <c r="L1480" s="6">
        <f t="shared" ca="1" si="281"/>
        <v>4</v>
      </c>
      <c r="M1480" s="7">
        <f ca="1" xml:space="preserve">
  IF(OR($N1480 = 2, $N1480 = 3, $N1480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480" s="6">
        <f t="shared" ca="1" si="282"/>
        <v>6</v>
      </c>
      <c r="O1480" s="6" t="e">
        <f t="shared" ca="1" si="283"/>
        <v>#N/A</v>
      </c>
      <c r="P1480" s="8">
        <f t="shared" ca="1" si="284"/>
        <v>42242</v>
      </c>
      <c r="Q1480" s="6">
        <f ca="1">RANDBETWEEN(2,COUNTA('Recruitment source'!$A:$A))</f>
        <v>3</v>
      </c>
      <c r="R1480" s="8" t="e">
        <f t="shared" ca="1" si="285"/>
        <v>#N/A</v>
      </c>
      <c r="S1480" s="6" t="e">
        <f t="shared" ca="1" si="286"/>
        <v>#N/A</v>
      </c>
      <c r="T1480" s="6">
        <f t="shared" ca="1" si="276"/>
        <v>4</v>
      </c>
      <c r="U1480" s="1">
        <f t="shared" ca="1" si="287"/>
        <v>805</v>
      </c>
    </row>
    <row r="1481" spans="1:21" x14ac:dyDescent="0.2">
      <c r="A1481" s="7" cm="1">
        <f t="array" aca="1" ref="A1481" ca="1">INDEX(Companies!$A:$A,RANDBETWEEN(2,COUNTA(Companies!$A:$A)),1)</f>
        <v>2</v>
      </c>
      <c r="B1481" s="5">
        <f t="shared" si="277"/>
        <v>1480</v>
      </c>
      <c r="C1481" s="6">
        <f t="shared" ca="1" si="278"/>
        <v>1</v>
      </c>
      <c r="D1481" s="7">
        <f ca="1">IF($B1481 = 1 + N("Presidente"),
    127,
    IF($B1481 = 2 + N("Vice-Presidente"),
        72,
        IF($B1481 = 3 + N("Secretária bilíngue"),
            13,
            RANDBETWEEN(5,COUNT(Name!$A:$A) + 1)
        )
    )
)</f>
        <v>135</v>
      </c>
      <c r="E1481" s="7" t="str">
        <f ca="1" xml:space="preserve">
VLOOKUP(
  $D1481,
  Name!$A:$B,
  2,
  FALSE
)
&amp; " " &amp;
IF($B1481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Felipe Vieira Batista</v>
      </c>
      <c r="F1481" s="7">
        <v>2</v>
      </c>
      <c r="G1481" s="7" cm="1">
        <f t="array" aca="1" ref="G1481" ca="1">INDEX(States!$B:$B,RANDBETWEEN(2,COUNTA(States!$A:$A)),1)</f>
        <v>8</v>
      </c>
      <c r="H1481" s="7" t="str">
        <f ca="1">VLOOKUP($D1481,Name!$A:$C,3,FALSE)</f>
        <v>M</v>
      </c>
      <c r="I1481" s="7" cm="1">
        <f t="array" aca="1" ref="I1481" ca="1">INDEX('Marital status'!$A:$A,RANDBETWEEN(2,COUNTA('Marital status'!$A:$A)),1)</f>
        <v>2</v>
      </c>
      <c r="J1481" s="7">
        <f t="shared" ca="1" si="279"/>
        <v>2</v>
      </c>
      <c r="K1481" s="8">
        <f t="shared" ca="1" si="280"/>
        <v>33386</v>
      </c>
      <c r="L1481" s="6">
        <f t="shared" ca="1" si="281"/>
        <v>4</v>
      </c>
      <c r="M1481" s="7">
        <f ca="1" xml:space="preserve">
  IF(OR($N1481 = 2, $N1481 = 3, $N1481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481" s="6">
        <f t="shared" ca="1" si="282"/>
        <v>8</v>
      </c>
      <c r="O1481" s="6">
        <f t="shared" ca="1" si="283"/>
        <v>2</v>
      </c>
      <c r="P1481" s="8">
        <f t="shared" ca="1" si="284"/>
        <v>39218</v>
      </c>
      <c r="Q1481" s="6">
        <f ca="1">RANDBETWEEN(2,COUNTA('Recruitment source'!$A:$A))</f>
        <v>12</v>
      </c>
      <c r="R1481" s="8" t="e">
        <f t="shared" ca="1" si="285"/>
        <v>#N/A</v>
      </c>
      <c r="S1481" s="6" t="e">
        <f t="shared" ca="1" si="286"/>
        <v>#N/A</v>
      </c>
      <c r="T1481" s="6">
        <f t="shared" ca="1" si="276"/>
        <v>4</v>
      </c>
      <c r="U1481" s="1">
        <f t="shared" ca="1" si="287"/>
        <v>2080</v>
      </c>
    </row>
    <row r="1482" spans="1:21" x14ac:dyDescent="0.2">
      <c r="A1482" s="7" cm="1">
        <f t="array" aca="1" ref="A1482" ca="1">INDEX(Companies!$A:$A,RANDBETWEEN(2,COUNTA(Companies!$A:$A)),1)</f>
        <v>2</v>
      </c>
      <c r="B1482" s="5">
        <f t="shared" si="277"/>
        <v>1481</v>
      </c>
      <c r="C1482" s="6">
        <f t="shared" ca="1" si="278"/>
        <v>1</v>
      </c>
      <c r="D1482" s="7">
        <f ca="1">IF($B1482 = 1 + N("Presidente"),
    127,
    IF($B1482 = 2 + N("Vice-Presidente"),
        72,
        IF($B1482 = 3 + N("Secretária bilíngue"),
            13,
            RANDBETWEEN(5,COUNT(Name!$A:$A) + 1)
        )
    )
)</f>
        <v>351</v>
      </c>
      <c r="E1482" s="7" t="str">
        <f ca="1" xml:space="preserve">
VLOOKUP(
  $D1482,
  Name!$A:$B,
  2,
  FALSE
)
&amp; " " &amp;
IF($B1482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Vera Lucia Greco Ricci</v>
      </c>
      <c r="F1482" s="7">
        <v>2</v>
      </c>
      <c r="G1482" s="7" cm="1">
        <f t="array" aca="1" ref="G1482" ca="1">INDEX(States!$B:$B,RANDBETWEEN(2,COUNTA(States!$A:$A)),1)</f>
        <v>18</v>
      </c>
      <c r="H1482" s="7" t="str">
        <f ca="1">VLOOKUP($D1482,Name!$A:$C,3,FALSE)</f>
        <v>F</v>
      </c>
      <c r="I1482" s="7" cm="1">
        <f t="array" aca="1" ref="I1482" ca="1">INDEX('Marital status'!$A:$A,RANDBETWEEN(2,COUNTA('Marital status'!$A:$A)),1)</f>
        <v>6</v>
      </c>
      <c r="J1482" s="7">
        <f t="shared" ca="1" si="279"/>
        <v>5</v>
      </c>
      <c r="K1482" s="8">
        <f t="shared" ca="1" si="280"/>
        <v>26143</v>
      </c>
      <c r="L1482" s="6">
        <f t="shared" ca="1" si="281"/>
        <v>4</v>
      </c>
      <c r="M1482" s="7">
        <f ca="1" xml:space="preserve">
  IF(OR($N1482 = 2, $N1482 = 3, $N1482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482" s="6">
        <f t="shared" ca="1" si="282"/>
        <v>6</v>
      </c>
      <c r="O1482" s="6" t="e">
        <f t="shared" ca="1" si="283"/>
        <v>#N/A</v>
      </c>
      <c r="P1482" s="8">
        <f t="shared" ca="1" si="284"/>
        <v>44552</v>
      </c>
      <c r="Q1482" s="6">
        <f ca="1">RANDBETWEEN(2,COUNTA('Recruitment source'!$A:$A))</f>
        <v>5</v>
      </c>
      <c r="R1482" s="8" t="e">
        <f t="shared" ca="1" si="285"/>
        <v>#N/A</v>
      </c>
      <c r="S1482" s="6" t="e">
        <f t="shared" ca="1" si="286"/>
        <v>#N/A</v>
      </c>
      <c r="T1482" s="6">
        <f t="shared" ca="1" si="276"/>
        <v>4</v>
      </c>
      <c r="U1482" s="1">
        <f t="shared" ca="1" si="287"/>
        <v>805</v>
      </c>
    </row>
    <row r="1483" spans="1:21" x14ac:dyDescent="0.2">
      <c r="A1483" s="7" cm="1">
        <f t="array" aca="1" ref="A1483" ca="1">INDEX(Companies!$A:$A,RANDBETWEEN(2,COUNTA(Companies!$A:$A)),1)</f>
        <v>2</v>
      </c>
      <c r="B1483" s="5">
        <f t="shared" si="277"/>
        <v>1482</v>
      </c>
      <c r="C1483" s="6">
        <f t="shared" ca="1" si="278"/>
        <v>1</v>
      </c>
      <c r="D1483" s="7">
        <f ca="1">IF($B1483 = 1 + N("Presidente"),
    127,
    IF($B1483 = 2 + N("Vice-Presidente"),
        72,
        IF($B1483 = 3 + N("Secretária bilíngue"),
            13,
            RANDBETWEEN(5,COUNT(Name!$A:$A) + 1)
        )
    )
)</f>
        <v>23</v>
      </c>
      <c r="E1483" s="7" t="str">
        <f ca="1" xml:space="preserve">
VLOOKUP(
  $D1483,
  Name!$A:$B,
  2,
  FALSE
)
&amp; " " &amp;
IF($B1483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Amanda Botelho Zil</v>
      </c>
      <c r="F1483" s="7">
        <v>2</v>
      </c>
      <c r="G1483" s="7" cm="1">
        <f t="array" aca="1" ref="G1483" ca="1">INDEX(States!$B:$B,RANDBETWEEN(2,COUNTA(States!$A:$A)),1)</f>
        <v>6</v>
      </c>
      <c r="H1483" s="7" t="str">
        <f ca="1">VLOOKUP($D1483,Name!$A:$C,3,FALSE)</f>
        <v>F</v>
      </c>
      <c r="I1483" s="7" cm="1">
        <f t="array" aca="1" ref="I1483" ca="1">INDEX('Marital status'!$A:$A,RANDBETWEEN(2,COUNTA('Marital status'!$A:$A)),1)</f>
        <v>5</v>
      </c>
      <c r="J1483" s="7">
        <f t="shared" ca="1" si="279"/>
        <v>2</v>
      </c>
      <c r="K1483" s="8">
        <f t="shared" ca="1" si="280"/>
        <v>36882</v>
      </c>
      <c r="L1483" s="6">
        <f t="shared" ca="1" si="281"/>
        <v>5</v>
      </c>
      <c r="M1483" s="7">
        <f ca="1" xml:space="preserve">
  IF(OR($N1483 = 2, $N1483 = 3, $N1483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483" s="6">
        <f t="shared" ca="1" si="282"/>
        <v>8</v>
      </c>
      <c r="O1483" s="6">
        <f t="shared" ca="1" si="283"/>
        <v>4</v>
      </c>
      <c r="P1483" s="8">
        <f t="shared" ca="1" si="284"/>
        <v>44450</v>
      </c>
      <c r="Q1483" s="6">
        <f ca="1">RANDBETWEEN(2,COUNTA('Recruitment source'!$A:$A))</f>
        <v>6</v>
      </c>
      <c r="R1483" s="8" t="e">
        <f t="shared" ca="1" si="285"/>
        <v>#N/A</v>
      </c>
      <c r="S1483" s="6" t="e">
        <f t="shared" ca="1" si="286"/>
        <v>#N/A</v>
      </c>
      <c r="T1483" s="6">
        <f t="shared" ca="1" si="276"/>
        <v>2</v>
      </c>
      <c r="U1483" s="1">
        <f t="shared" ca="1" si="287"/>
        <v>2000</v>
      </c>
    </row>
    <row r="1484" spans="1:21" x14ac:dyDescent="0.2">
      <c r="A1484" s="7" cm="1">
        <f t="array" aca="1" ref="A1484" ca="1">INDEX(Companies!$A:$A,RANDBETWEEN(2,COUNTA(Companies!$A:$A)),1)</f>
        <v>2</v>
      </c>
      <c r="B1484" s="5">
        <f t="shared" si="277"/>
        <v>1483</v>
      </c>
      <c r="C1484" s="6">
        <f t="shared" ca="1" si="278"/>
        <v>1</v>
      </c>
      <c r="D1484" s="7">
        <f ca="1">IF($B1484 = 1 + N("Presidente"),
    127,
    IF($B1484 = 2 + N("Vice-Presidente"),
        72,
        IF($B1484 = 3 + N("Secretária bilíngue"),
            13,
            RANDBETWEEN(5,COUNT(Name!$A:$A) + 1)
        )
    )
)</f>
        <v>238</v>
      </c>
      <c r="E1484" s="7" t="str">
        <f ca="1" xml:space="preserve">
VLOOKUP(
  $D1484,
  Name!$A:$B,
  2,
  FALSE
)
&amp; " " &amp;
IF($B1484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Lucas Siqueira Costa</v>
      </c>
      <c r="F1484" s="7">
        <v>2</v>
      </c>
      <c r="G1484" s="7" cm="1">
        <f t="array" aca="1" ref="G1484" ca="1">INDEX(States!$B:$B,RANDBETWEEN(2,COUNTA(States!$A:$A)),1)</f>
        <v>13</v>
      </c>
      <c r="H1484" s="7" t="str">
        <f ca="1">VLOOKUP($D1484,Name!$A:$C,3,FALSE)</f>
        <v>M</v>
      </c>
      <c r="I1484" s="7" cm="1">
        <f t="array" aca="1" ref="I1484" ca="1">INDEX('Marital status'!$A:$A,RANDBETWEEN(2,COUNTA('Marital status'!$A:$A)),1)</f>
        <v>2</v>
      </c>
      <c r="J1484" s="7">
        <f t="shared" ca="1" si="279"/>
        <v>3</v>
      </c>
      <c r="K1484" s="8">
        <f t="shared" ca="1" si="280"/>
        <v>21447</v>
      </c>
      <c r="L1484" s="6">
        <f t="shared" ca="1" si="281"/>
        <v>4</v>
      </c>
      <c r="M1484" s="7">
        <f ca="1" xml:space="preserve">
  IF(OR($N1484 = 2, $N1484 = 3, $N1484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484" s="6">
        <f t="shared" ca="1" si="282"/>
        <v>6</v>
      </c>
      <c r="O1484" s="6" t="e">
        <f t="shared" ca="1" si="283"/>
        <v>#N/A</v>
      </c>
      <c r="P1484" s="8">
        <f t="shared" ca="1" si="284"/>
        <v>40844</v>
      </c>
      <c r="Q1484" s="6">
        <f ca="1">RANDBETWEEN(2,COUNTA('Recruitment source'!$A:$A))</f>
        <v>11</v>
      </c>
      <c r="R1484" s="8" t="e">
        <f t="shared" ca="1" si="285"/>
        <v>#N/A</v>
      </c>
      <c r="S1484" s="6" t="e">
        <f t="shared" ca="1" si="286"/>
        <v>#N/A</v>
      </c>
      <c r="T1484" s="6">
        <f t="shared" ca="1" si="276"/>
        <v>2</v>
      </c>
      <c r="U1484" s="1">
        <f t="shared" ca="1" si="287"/>
        <v>805</v>
      </c>
    </row>
    <row r="1485" spans="1:21" x14ac:dyDescent="0.2">
      <c r="A1485" s="7" cm="1">
        <f t="array" aca="1" ref="A1485" ca="1">INDEX(Companies!$A:$A,RANDBETWEEN(2,COUNTA(Companies!$A:$A)),1)</f>
        <v>2</v>
      </c>
      <c r="B1485" s="5">
        <f t="shared" si="277"/>
        <v>1484</v>
      </c>
      <c r="C1485" s="6">
        <f t="shared" ca="1" si="278"/>
        <v>1</v>
      </c>
      <c r="D1485" s="7">
        <f ca="1">IF($B1485 = 1 + N("Presidente"),
    127,
    IF($B1485 = 2 + N("Vice-Presidente"),
        72,
        IF($B1485 = 3 + N("Secretária bilíngue"),
            13,
            RANDBETWEEN(5,COUNT(Name!$A:$A) + 1)
        )
    )
)</f>
        <v>72</v>
      </c>
      <c r="E1485" s="7" t="str">
        <f ca="1" xml:space="preserve">
VLOOKUP(
  $D1485,
  Name!$A:$B,
  2,
  FALSE
)
&amp; " " &amp;
IF($B1485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Bernnardo Gouveia Frasão</v>
      </c>
      <c r="F1485" s="7">
        <v>2</v>
      </c>
      <c r="G1485" s="7" cm="1">
        <f t="array" aca="1" ref="G1485" ca="1">INDEX(States!$B:$B,RANDBETWEEN(2,COUNTA(States!$A:$A)),1)</f>
        <v>6</v>
      </c>
      <c r="H1485" s="7" t="str">
        <f ca="1">VLOOKUP($D1485,Name!$A:$C,3,FALSE)</f>
        <v>M</v>
      </c>
      <c r="I1485" s="7" cm="1">
        <f t="array" aca="1" ref="I1485" ca="1">INDEX('Marital status'!$A:$A,RANDBETWEEN(2,COUNTA('Marital status'!$A:$A)),1)</f>
        <v>5</v>
      </c>
      <c r="J1485" s="7">
        <f t="shared" ca="1" si="279"/>
        <v>4</v>
      </c>
      <c r="K1485" s="8">
        <f t="shared" ca="1" si="280"/>
        <v>36817</v>
      </c>
      <c r="L1485" s="6">
        <f t="shared" ca="1" si="281"/>
        <v>4</v>
      </c>
      <c r="M1485" s="7">
        <f ca="1" xml:space="preserve">
  IF(OR($N1485 = 2, $N1485 = 3, $N1485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485" s="6">
        <f t="shared" ca="1" si="282"/>
        <v>8</v>
      </c>
      <c r="O1485" s="6">
        <f t="shared" ca="1" si="283"/>
        <v>4</v>
      </c>
      <c r="P1485" s="8">
        <f t="shared" ca="1" si="284"/>
        <v>40902</v>
      </c>
      <c r="Q1485" s="6">
        <f ca="1">RANDBETWEEN(2,COUNTA('Recruitment source'!$A:$A))</f>
        <v>3</v>
      </c>
      <c r="R1485" s="8" t="e">
        <f t="shared" ca="1" si="285"/>
        <v>#N/A</v>
      </c>
      <c r="S1485" s="6" t="e">
        <f t="shared" ca="1" si="286"/>
        <v>#N/A</v>
      </c>
      <c r="T1485" s="6">
        <f t="shared" ca="1" si="276"/>
        <v>2</v>
      </c>
      <c r="U1485" s="1">
        <f t="shared" ca="1" si="287"/>
        <v>2000</v>
      </c>
    </row>
    <row r="1486" spans="1:21" x14ac:dyDescent="0.2">
      <c r="A1486" s="7" cm="1">
        <f t="array" aca="1" ref="A1486" ca="1">INDEX(Companies!$A:$A,RANDBETWEEN(2,COUNTA(Companies!$A:$A)),1)</f>
        <v>2</v>
      </c>
      <c r="B1486" s="5">
        <f t="shared" si="277"/>
        <v>1485</v>
      </c>
      <c r="C1486" s="6">
        <f t="shared" ca="1" si="278"/>
        <v>1</v>
      </c>
      <c r="D1486" s="7">
        <f ca="1">IF($B1486 = 1 + N("Presidente"),
    127,
    IF($B1486 = 2 + N("Vice-Presidente"),
        72,
        IF($B1486 = 3 + N("Secretária bilíngue"),
            13,
            RANDBETWEEN(5,COUNT(Name!$A:$A) + 1)
        )
    )
)</f>
        <v>157</v>
      </c>
      <c r="E1486" s="7" t="str">
        <f ca="1" xml:space="preserve">
VLOOKUP(
  $D1486,
  Name!$A:$B,
  2,
  FALSE
)
&amp; " " &amp;
IF($B1486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Guilherme Farias Monti</v>
      </c>
      <c r="F1486" s="7">
        <v>2</v>
      </c>
      <c r="G1486" s="7" cm="1">
        <f t="array" aca="1" ref="G1486" ca="1">INDEX(States!$B:$B,RANDBETWEEN(2,COUNTA(States!$A:$A)),1)</f>
        <v>10</v>
      </c>
      <c r="H1486" s="7" t="str">
        <f ca="1">VLOOKUP($D1486,Name!$A:$C,3,FALSE)</f>
        <v>M</v>
      </c>
      <c r="I1486" s="7" cm="1">
        <f t="array" aca="1" ref="I1486" ca="1">INDEX('Marital status'!$A:$A,RANDBETWEEN(2,COUNTA('Marital status'!$A:$A)),1)</f>
        <v>2</v>
      </c>
      <c r="J1486" s="7">
        <f t="shared" ca="1" si="279"/>
        <v>2</v>
      </c>
      <c r="K1486" s="8">
        <f t="shared" ca="1" si="280"/>
        <v>30225</v>
      </c>
      <c r="L1486" s="6">
        <f t="shared" ca="1" si="281"/>
        <v>4</v>
      </c>
      <c r="M1486" s="7">
        <f ca="1" xml:space="preserve">
  IF(OR($N1486 = 2, $N1486 = 3, $N1486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486" s="6">
        <f t="shared" ca="1" si="282"/>
        <v>7</v>
      </c>
      <c r="O1486" s="6" t="e">
        <f t="shared" ca="1" si="283"/>
        <v>#N/A</v>
      </c>
      <c r="P1486" s="8">
        <f t="shared" ca="1" si="284"/>
        <v>36665</v>
      </c>
      <c r="Q1486" s="6">
        <f ca="1">RANDBETWEEN(2,COUNTA('Recruitment source'!$A:$A))</f>
        <v>12</v>
      </c>
      <c r="R1486" s="8" t="e">
        <f t="shared" ca="1" si="285"/>
        <v>#N/A</v>
      </c>
      <c r="S1486" s="6" t="e">
        <f t="shared" ca="1" si="286"/>
        <v>#N/A</v>
      </c>
      <c r="T1486" s="6">
        <f t="shared" ca="1" si="276"/>
        <v>3</v>
      </c>
      <c r="U1486" s="1">
        <f t="shared" ca="1" si="287"/>
        <v>1005</v>
      </c>
    </row>
    <row r="1487" spans="1:21" x14ac:dyDescent="0.2">
      <c r="A1487" s="7" cm="1">
        <f t="array" aca="1" ref="A1487" ca="1">INDEX(Companies!$A:$A,RANDBETWEEN(2,COUNTA(Companies!$A:$A)),1)</f>
        <v>2</v>
      </c>
      <c r="B1487" s="5">
        <f t="shared" si="277"/>
        <v>1486</v>
      </c>
      <c r="C1487" s="6">
        <f t="shared" ca="1" si="278"/>
        <v>1</v>
      </c>
      <c r="D1487" s="7">
        <f ca="1">IF($B1487 = 1 + N("Presidente"),
    127,
    IF($B1487 = 2 + N("Vice-Presidente"),
        72,
        IF($B1487 = 3 + N("Secretária bilíngue"),
            13,
            RANDBETWEEN(5,COUNT(Name!$A:$A) + 1)
        )
    )
)</f>
        <v>364</v>
      </c>
      <c r="E1487" s="7" t="str">
        <f ca="1" xml:space="preserve">
VLOOKUP(
  $D1487,
  Name!$A:$B,
  2,
  FALSE
)
&amp; " " &amp;
IF($B1487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Yasmin Seixas Carneiro</v>
      </c>
      <c r="F1487" s="7">
        <v>2</v>
      </c>
      <c r="G1487" s="7" cm="1">
        <f t="array" aca="1" ref="G1487" ca="1">INDEX(States!$B:$B,RANDBETWEEN(2,COUNTA(States!$A:$A)),1)</f>
        <v>21</v>
      </c>
      <c r="H1487" s="7" t="str">
        <f ca="1">VLOOKUP($D1487,Name!$A:$C,3,FALSE)</f>
        <v>F</v>
      </c>
      <c r="I1487" s="7" cm="1">
        <f t="array" aca="1" ref="I1487" ca="1">INDEX('Marital status'!$A:$A,RANDBETWEEN(2,COUNTA('Marital status'!$A:$A)),1)</f>
        <v>4</v>
      </c>
      <c r="J1487" s="7">
        <f t="shared" ca="1" si="279"/>
        <v>2</v>
      </c>
      <c r="K1487" s="8">
        <f t="shared" ca="1" si="280"/>
        <v>35796</v>
      </c>
      <c r="L1487" s="6">
        <f t="shared" ca="1" si="281"/>
        <v>4</v>
      </c>
      <c r="M1487" s="7">
        <f ca="1" xml:space="preserve">
  IF(OR($N1487 = 2, $N1487 = 3, $N1487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487" s="6">
        <f t="shared" ca="1" si="282"/>
        <v>8</v>
      </c>
      <c r="O1487" s="6">
        <f t="shared" ca="1" si="283"/>
        <v>4</v>
      </c>
      <c r="P1487" s="8">
        <f t="shared" ca="1" si="284"/>
        <v>40448</v>
      </c>
      <c r="Q1487" s="6">
        <f ca="1">RANDBETWEEN(2,COUNTA('Recruitment source'!$A:$A))</f>
        <v>5</v>
      </c>
      <c r="R1487" s="8" t="e">
        <f t="shared" ca="1" si="285"/>
        <v>#N/A</v>
      </c>
      <c r="S1487" s="6" t="e">
        <f t="shared" ca="1" si="286"/>
        <v>#N/A</v>
      </c>
      <c r="T1487" s="6">
        <f t="shared" ca="1" si="276"/>
        <v>4</v>
      </c>
      <c r="U1487" s="1">
        <f t="shared" ca="1" si="287"/>
        <v>2000</v>
      </c>
    </row>
    <row r="1488" spans="1:21" x14ac:dyDescent="0.2">
      <c r="A1488" s="7" cm="1">
        <f t="array" aca="1" ref="A1488" ca="1">INDEX(Companies!$A:$A,RANDBETWEEN(2,COUNTA(Companies!$A:$A)),1)</f>
        <v>2</v>
      </c>
      <c r="B1488" s="5">
        <f t="shared" si="277"/>
        <v>1487</v>
      </c>
      <c r="C1488" s="6">
        <f t="shared" ca="1" si="278"/>
        <v>1</v>
      </c>
      <c r="D1488" s="7">
        <f ca="1">IF($B1488 = 1 + N("Presidente"),
    127,
    IF($B1488 = 2 + N("Vice-Presidente"),
        72,
        IF($B1488 = 3 + N("Secretária bilíngue"),
            13,
            RANDBETWEEN(5,COUNT(Name!$A:$A) + 1)
        )
    )
)</f>
        <v>275</v>
      </c>
      <c r="E1488" s="7" t="str">
        <f ca="1" xml:space="preserve">
VLOOKUP(
  $D1488,
  Name!$A:$B,
  2,
  FALSE
)
&amp; " " &amp;
IF($B1488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Vitória Ferreira De Luca</v>
      </c>
      <c r="F1488" s="7">
        <v>2</v>
      </c>
      <c r="G1488" s="7" cm="1">
        <f t="array" aca="1" ref="G1488" ca="1">INDEX(States!$B:$B,RANDBETWEEN(2,COUNTA(States!$A:$A)),1)</f>
        <v>13</v>
      </c>
      <c r="H1488" s="7" t="str">
        <f ca="1">VLOOKUP($D1488,Name!$A:$C,3,FALSE)</f>
        <v>F</v>
      </c>
      <c r="I1488" s="7" cm="1">
        <f t="array" aca="1" ref="I1488" ca="1">INDEX('Marital status'!$A:$A,RANDBETWEEN(2,COUNTA('Marital status'!$A:$A)),1)</f>
        <v>3</v>
      </c>
      <c r="J1488" s="7">
        <f t="shared" ca="1" si="279"/>
        <v>2</v>
      </c>
      <c r="K1488" s="8">
        <f t="shared" ca="1" si="280"/>
        <v>33732</v>
      </c>
      <c r="L1488" s="6">
        <f t="shared" ca="1" si="281"/>
        <v>4</v>
      </c>
      <c r="M1488" s="7">
        <f ca="1" xml:space="preserve">
  IF(OR($N1488 = 2, $N1488 = 3, $N1488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488" s="6">
        <f t="shared" ca="1" si="282"/>
        <v>6</v>
      </c>
      <c r="O1488" s="6" t="e">
        <f t="shared" ca="1" si="283"/>
        <v>#N/A</v>
      </c>
      <c r="P1488" s="8">
        <f t="shared" ca="1" si="284"/>
        <v>42516</v>
      </c>
      <c r="Q1488" s="6">
        <f ca="1">RANDBETWEEN(2,COUNTA('Recruitment source'!$A:$A))</f>
        <v>3</v>
      </c>
      <c r="R1488" s="8" t="e">
        <f t="shared" ca="1" si="285"/>
        <v>#N/A</v>
      </c>
      <c r="S1488" s="6" t="e">
        <f t="shared" ca="1" si="286"/>
        <v>#N/A</v>
      </c>
      <c r="T1488" s="6">
        <f t="shared" ca="1" si="276"/>
        <v>3</v>
      </c>
      <c r="U1488" s="1">
        <f t="shared" ca="1" si="287"/>
        <v>805</v>
      </c>
    </row>
    <row r="1489" spans="1:21" x14ac:dyDescent="0.2">
      <c r="A1489" s="7" cm="1">
        <f t="array" aca="1" ref="A1489" ca="1">INDEX(Companies!$A:$A,RANDBETWEEN(2,COUNTA(Companies!$A:$A)),1)</f>
        <v>2</v>
      </c>
      <c r="B1489" s="5">
        <f t="shared" si="277"/>
        <v>1488</v>
      </c>
      <c r="C1489" s="6">
        <f t="shared" ca="1" si="278"/>
        <v>1</v>
      </c>
      <c r="D1489" s="7">
        <f ca="1">IF($B1489 = 1 + N("Presidente"),
    127,
    IF($B1489 = 2 + N("Vice-Presidente"),
        72,
        IF($B1489 = 3 + N("Secretária bilíngue"),
            13,
            RANDBETWEEN(5,COUNT(Name!$A:$A) + 1)
        )
    )
)</f>
        <v>61</v>
      </c>
      <c r="E1489" s="7" t="str">
        <f ca="1" xml:space="preserve">
VLOOKUP(
  $D1489,
  Name!$A:$B,
  2,
  FALSE
)
&amp; " " &amp;
IF($B1489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Augusto Malafaia Aguiar</v>
      </c>
      <c r="F1489" s="7">
        <v>2</v>
      </c>
      <c r="G1489" s="7" cm="1">
        <f t="array" aca="1" ref="G1489" ca="1">INDEX(States!$B:$B,RANDBETWEEN(2,COUNTA(States!$A:$A)),1)</f>
        <v>10</v>
      </c>
      <c r="H1489" s="7" t="str">
        <f ca="1">VLOOKUP($D1489,Name!$A:$C,3,FALSE)</f>
        <v>M</v>
      </c>
      <c r="I1489" s="7" cm="1">
        <f t="array" aca="1" ref="I1489" ca="1">INDEX('Marital status'!$A:$A,RANDBETWEEN(2,COUNTA('Marital status'!$A:$A)),1)</f>
        <v>2</v>
      </c>
      <c r="J1489" s="7">
        <f t="shared" ca="1" si="279"/>
        <v>2</v>
      </c>
      <c r="K1489" s="8">
        <f t="shared" ca="1" si="280"/>
        <v>37517</v>
      </c>
      <c r="L1489" s="6">
        <f t="shared" ca="1" si="281"/>
        <v>5</v>
      </c>
      <c r="M1489" s="7">
        <f ca="1" xml:space="preserve">
  IF(OR($N1489 = 2, $N1489 = 3, $N1489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489" s="6">
        <f t="shared" ca="1" si="282"/>
        <v>8</v>
      </c>
      <c r="O1489" s="6">
        <f t="shared" ca="1" si="283"/>
        <v>2</v>
      </c>
      <c r="P1489" s="8">
        <f t="shared" ca="1" si="284"/>
        <v>40471</v>
      </c>
      <c r="Q1489" s="6">
        <f ca="1">RANDBETWEEN(2,COUNTA('Recruitment source'!$A:$A))</f>
        <v>6</v>
      </c>
      <c r="R1489" s="8" t="e">
        <f t="shared" ca="1" si="285"/>
        <v>#N/A</v>
      </c>
      <c r="S1489" s="6" t="e">
        <f t="shared" ca="1" si="286"/>
        <v>#N/A</v>
      </c>
      <c r="T1489" s="6">
        <f t="shared" ca="1" si="276"/>
        <v>2</v>
      </c>
      <c r="U1489" s="1">
        <f t="shared" ca="1" si="287"/>
        <v>2080</v>
      </c>
    </row>
    <row r="1490" spans="1:21" x14ac:dyDescent="0.2">
      <c r="A1490" s="7" cm="1">
        <f t="array" aca="1" ref="A1490" ca="1">INDEX(Companies!$A:$A,RANDBETWEEN(2,COUNTA(Companies!$A:$A)),1)</f>
        <v>2</v>
      </c>
      <c r="B1490" s="5">
        <f t="shared" si="277"/>
        <v>1489</v>
      </c>
      <c r="C1490" s="6">
        <f t="shared" ca="1" si="278"/>
        <v>1</v>
      </c>
      <c r="D1490" s="7">
        <f ca="1">IF($B1490 = 1 + N("Presidente"),
    127,
    IF($B1490 = 2 + N("Vice-Presidente"),
        72,
        IF($B1490 = 3 + N("Secretária bilíngue"),
            13,
            RANDBETWEEN(5,COUNT(Name!$A:$A) + 1)
        )
    )
)</f>
        <v>122</v>
      </c>
      <c r="E1490" s="7" t="str">
        <f ca="1" xml:space="preserve">
VLOOKUP(
  $D1490,
  Name!$A:$B,
  2,
  FALSE
)
&amp; " " &amp;
IF($B1490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Emanuel Barreto Oliveira</v>
      </c>
      <c r="F1490" s="7">
        <v>2</v>
      </c>
      <c r="G1490" s="7" cm="1">
        <f t="array" aca="1" ref="G1490" ca="1">INDEX(States!$B:$B,RANDBETWEEN(2,COUNTA(States!$A:$A)),1)</f>
        <v>7</v>
      </c>
      <c r="H1490" s="7" t="str">
        <f ca="1">VLOOKUP($D1490,Name!$A:$C,3,FALSE)</f>
        <v>M</v>
      </c>
      <c r="I1490" s="7" cm="1">
        <f t="array" aca="1" ref="I1490" ca="1">INDEX('Marital status'!$A:$A,RANDBETWEEN(2,COUNTA('Marital status'!$A:$A)),1)</f>
        <v>5</v>
      </c>
      <c r="J1490" s="7">
        <f t="shared" ca="1" si="279"/>
        <v>2</v>
      </c>
      <c r="K1490" s="8">
        <f t="shared" ca="1" si="280"/>
        <v>30601</v>
      </c>
      <c r="L1490" s="6">
        <f t="shared" ca="1" si="281"/>
        <v>4</v>
      </c>
      <c r="M1490" s="7">
        <f ca="1" xml:space="preserve">
  IF(OR($N1490 = 2, $N1490 = 3, $N1490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490" s="6">
        <f t="shared" ca="1" si="282"/>
        <v>6</v>
      </c>
      <c r="O1490" s="6" t="e">
        <f t="shared" ca="1" si="283"/>
        <v>#N/A</v>
      </c>
      <c r="P1490" s="8">
        <f t="shared" ca="1" si="284"/>
        <v>40438</v>
      </c>
      <c r="Q1490" s="6">
        <f ca="1">RANDBETWEEN(2,COUNTA('Recruitment source'!$A:$A))</f>
        <v>2</v>
      </c>
      <c r="R1490" s="8" t="e">
        <f t="shared" ca="1" si="285"/>
        <v>#N/A</v>
      </c>
      <c r="S1490" s="6" t="e">
        <f t="shared" ca="1" si="286"/>
        <v>#N/A</v>
      </c>
      <c r="T1490" s="6">
        <f t="shared" ca="1" si="276"/>
        <v>2</v>
      </c>
      <c r="U1490" s="1">
        <f t="shared" ca="1" si="287"/>
        <v>805</v>
      </c>
    </row>
    <row r="1491" spans="1:21" x14ac:dyDescent="0.2">
      <c r="A1491" s="7" cm="1">
        <f t="array" aca="1" ref="A1491" ca="1">INDEX(Companies!$A:$A,RANDBETWEEN(2,COUNTA(Companies!$A:$A)),1)</f>
        <v>2</v>
      </c>
      <c r="B1491" s="5">
        <f t="shared" si="277"/>
        <v>1490</v>
      </c>
      <c r="C1491" s="6">
        <f t="shared" ca="1" si="278"/>
        <v>1</v>
      </c>
      <c r="D1491" s="7">
        <f ca="1">IF($B1491 = 1 + N("Presidente"),
    127,
    IF($B1491 = 2 + N("Vice-Presidente"),
        72,
        IF($B1491 = 3 + N("Secretária bilíngue"),
            13,
            RANDBETWEEN(5,COUNT(Name!$A:$A) + 1)
        )
    )
)</f>
        <v>295</v>
      </c>
      <c r="E1491" s="7" t="str">
        <f ca="1" xml:space="preserve">
VLOOKUP(
  $D1491,
  Name!$A:$B,
  2,
  FALSE
)
&amp; " " &amp;
IF($B1491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 Brasão Ferrão</v>
      </c>
      <c r="F1491" s="7">
        <v>2</v>
      </c>
      <c r="G1491" s="7" cm="1">
        <f t="array" aca="1" ref="G1491" ca="1">INDEX(States!$B:$B,RANDBETWEEN(2,COUNTA(States!$A:$A)),1)</f>
        <v>17</v>
      </c>
      <c r="H1491" s="7" t="str">
        <f ca="1">VLOOKUP($D1491,Name!$A:$C,3,FALSE)</f>
        <v>M</v>
      </c>
      <c r="I1491" s="7" cm="1">
        <f t="array" aca="1" ref="I1491" ca="1">INDEX('Marital status'!$A:$A,RANDBETWEEN(2,COUNTA('Marital status'!$A:$A)),1)</f>
        <v>3</v>
      </c>
      <c r="J1491" s="7">
        <f t="shared" ca="1" si="279"/>
        <v>3</v>
      </c>
      <c r="K1491" s="8">
        <f t="shared" ca="1" si="280"/>
        <v>36292</v>
      </c>
      <c r="L1491" s="6">
        <f t="shared" ca="1" si="281"/>
        <v>5</v>
      </c>
      <c r="M1491" s="7">
        <f ca="1" xml:space="preserve">
  IF(OR($N1491 = 2, $N1491 = 3, $N1491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491" s="6">
        <f t="shared" ca="1" si="282"/>
        <v>8</v>
      </c>
      <c r="O1491" s="6">
        <f t="shared" ca="1" si="283"/>
        <v>4</v>
      </c>
      <c r="P1491" s="8">
        <f t="shared" ca="1" si="284"/>
        <v>41710</v>
      </c>
      <c r="Q1491" s="6">
        <f ca="1">RANDBETWEEN(2,COUNTA('Recruitment source'!$A:$A))</f>
        <v>4</v>
      </c>
      <c r="R1491" s="8" t="e">
        <f t="shared" ca="1" si="285"/>
        <v>#N/A</v>
      </c>
      <c r="S1491" s="6" t="e">
        <f t="shared" ca="1" si="286"/>
        <v>#N/A</v>
      </c>
      <c r="T1491" s="6">
        <f t="shared" ca="1" si="276"/>
        <v>5</v>
      </c>
      <c r="U1491" s="1">
        <f t="shared" ca="1" si="287"/>
        <v>2000</v>
      </c>
    </row>
    <row r="1492" spans="1:21" x14ac:dyDescent="0.2">
      <c r="A1492" s="7" cm="1">
        <f t="array" aca="1" ref="A1492" ca="1">INDEX(Companies!$A:$A,RANDBETWEEN(2,COUNTA(Companies!$A:$A)),1)</f>
        <v>2</v>
      </c>
      <c r="B1492" s="5">
        <f t="shared" si="277"/>
        <v>1491</v>
      </c>
      <c r="C1492" s="6">
        <f t="shared" ca="1" si="278"/>
        <v>1</v>
      </c>
      <c r="D1492" s="7">
        <f ca="1">IF($B1492 = 1 + N("Presidente"),
    127,
    IF($B1492 = 2 + N("Vice-Presidente"),
        72,
        IF($B1492 = 3 + N("Secretária bilíngue"),
            13,
            RANDBETWEEN(5,COUNT(Name!$A:$A) + 1)
        )
    )
)</f>
        <v>320</v>
      </c>
      <c r="E1492" s="7" t="str">
        <f ca="1" xml:space="preserve">
VLOOKUP(
  $D1492,
  Name!$A:$B,
  2,
  FALSE
)
&amp; " " &amp;
IF($B1492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Péricles Asvilla Rocha</v>
      </c>
      <c r="F1492" s="7">
        <v>2</v>
      </c>
      <c r="G1492" s="7" cm="1">
        <f t="array" aca="1" ref="G1492" ca="1">INDEX(States!$B:$B,RANDBETWEEN(2,COUNTA(States!$A:$A)),1)</f>
        <v>5</v>
      </c>
      <c r="H1492" s="7" t="str">
        <f ca="1">VLOOKUP($D1492,Name!$A:$C,3,FALSE)</f>
        <v>M</v>
      </c>
      <c r="I1492" s="7" cm="1">
        <f t="array" aca="1" ref="I1492" ca="1">INDEX('Marital status'!$A:$A,RANDBETWEEN(2,COUNTA('Marital status'!$A:$A)),1)</f>
        <v>5</v>
      </c>
      <c r="J1492" s="7">
        <f t="shared" ca="1" si="279"/>
        <v>2</v>
      </c>
      <c r="K1492" s="8">
        <f t="shared" ca="1" si="280"/>
        <v>24136</v>
      </c>
      <c r="L1492" s="6">
        <f t="shared" ca="1" si="281"/>
        <v>4</v>
      </c>
      <c r="M1492" s="7">
        <f ca="1" xml:space="preserve">
  IF(OR($N1492 = 2, $N1492 = 3, $N1492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492" s="6">
        <f t="shared" ca="1" si="282"/>
        <v>6</v>
      </c>
      <c r="O1492" s="6" t="e">
        <f t="shared" ca="1" si="283"/>
        <v>#N/A</v>
      </c>
      <c r="P1492" s="8">
        <f t="shared" ca="1" si="284"/>
        <v>38268</v>
      </c>
      <c r="Q1492" s="6">
        <f ca="1">RANDBETWEEN(2,COUNTA('Recruitment source'!$A:$A))</f>
        <v>3</v>
      </c>
      <c r="R1492" s="8" t="e">
        <f t="shared" ca="1" si="285"/>
        <v>#N/A</v>
      </c>
      <c r="S1492" s="6" t="e">
        <f t="shared" ca="1" si="286"/>
        <v>#N/A</v>
      </c>
      <c r="T1492" s="6">
        <f t="shared" ca="1" si="276"/>
        <v>3</v>
      </c>
      <c r="U1492" s="1">
        <f t="shared" ca="1" si="287"/>
        <v>805</v>
      </c>
    </row>
    <row r="1493" spans="1:21" x14ac:dyDescent="0.2">
      <c r="A1493" s="7" cm="1">
        <f t="array" aca="1" ref="A1493" ca="1">INDEX(Companies!$A:$A,RANDBETWEEN(2,COUNTA(Companies!$A:$A)),1)</f>
        <v>2</v>
      </c>
      <c r="B1493" s="5">
        <f t="shared" si="277"/>
        <v>1492</v>
      </c>
      <c r="C1493" s="6">
        <f t="shared" ca="1" si="278"/>
        <v>1</v>
      </c>
      <c r="D1493" s="7">
        <f ca="1">IF($B1493 = 1 + N("Presidente"),
    127,
    IF($B1493 = 2 + N("Vice-Presidente"),
        72,
        IF($B1493 = 3 + N("Secretária bilíngue"),
            13,
            RANDBETWEEN(5,COUNT(Name!$A:$A) + 1)
        )
    )
)</f>
        <v>16</v>
      </c>
      <c r="E1493" s="7" t="str">
        <f ca="1" xml:space="preserve">
VLOOKUP(
  $D1493,
  Name!$A:$B,
  2,
  FALSE
)
&amp; " " &amp;
IF($B1493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Alice de Oliveira Tavares</v>
      </c>
      <c r="F1493" s="7">
        <v>2</v>
      </c>
      <c r="G1493" s="7" cm="1">
        <f t="array" aca="1" ref="G1493" ca="1">INDEX(States!$B:$B,RANDBETWEEN(2,COUNTA(States!$A:$A)),1)</f>
        <v>21</v>
      </c>
      <c r="H1493" s="7" t="str">
        <f ca="1">VLOOKUP($D1493,Name!$A:$C,3,FALSE)</f>
        <v>F</v>
      </c>
      <c r="I1493" s="7" cm="1">
        <f t="array" aca="1" ref="I1493" ca="1">INDEX('Marital status'!$A:$A,RANDBETWEEN(2,COUNTA('Marital status'!$A:$A)),1)</f>
        <v>3</v>
      </c>
      <c r="J1493" s="7">
        <f t="shared" ca="1" si="279"/>
        <v>2</v>
      </c>
      <c r="K1493" s="8">
        <f t="shared" ca="1" si="280"/>
        <v>37018</v>
      </c>
      <c r="L1493" s="6">
        <f t="shared" ca="1" si="281"/>
        <v>4</v>
      </c>
      <c r="M1493" s="7">
        <f ca="1" xml:space="preserve">
  IF(OR($N1493 = 2, $N1493 = 3, $N1493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493" s="6">
        <f t="shared" ca="1" si="282"/>
        <v>8</v>
      </c>
      <c r="O1493" s="6">
        <f t="shared" ca="1" si="283"/>
        <v>4</v>
      </c>
      <c r="P1493" s="8">
        <f t="shared" ca="1" si="284"/>
        <v>37234</v>
      </c>
      <c r="Q1493" s="6">
        <f ca="1">RANDBETWEEN(2,COUNTA('Recruitment source'!$A:$A))</f>
        <v>3</v>
      </c>
      <c r="R1493" s="8" t="e">
        <f t="shared" ca="1" si="285"/>
        <v>#N/A</v>
      </c>
      <c r="S1493" s="6" t="e">
        <f t="shared" ca="1" si="286"/>
        <v>#N/A</v>
      </c>
      <c r="T1493" s="6">
        <f t="shared" ca="1" si="276"/>
        <v>2</v>
      </c>
      <c r="U1493" s="1">
        <f t="shared" ca="1" si="287"/>
        <v>2000</v>
      </c>
    </row>
    <row r="1494" spans="1:21" x14ac:dyDescent="0.2">
      <c r="A1494" s="7" cm="1">
        <f t="array" aca="1" ref="A1494" ca="1">INDEX(Companies!$A:$A,RANDBETWEEN(2,COUNTA(Companies!$A:$A)),1)</f>
        <v>2</v>
      </c>
      <c r="B1494" s="5">
        <f t="shared" si="277"/>
        <v>1493</v>
      </c>
      <c r="C1494" s="6">
        <f t="shared" ca="1" si="278"/>
        <v>1</v>
      </c>
      <c r="D1494" s="7">
        <f ca="1">IF($B1494 = 1 + N("Presidente"),
    127,
    IF($B1494 = 2 + N("Vice-Presidente"),
        72,
        IF($B1494 = 3 + N("Secretária bilíngue"),
            13,
            RANDBETWEEN(5,COUNT(Name!$A:$A) + 1)
        )
    )
)</f>
        <v>89</v>
      </c>
      <c r="E1494" s="7" t="str">
        <f ca="1" xml:space="preserve">
VLOOKUP(
  $D1494,
  Name!$A:$B,
  2,
  FALSE
)
&amp; " " &amp;
IF($B1494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Cauã Padrão Noronha</v>
      </c>
      <c r="F1494" s="7">
        <v>2</v>
      </c>
      <c r="G1494" s="7" cm="1">
        <f t="array" aca="1" ref="G1494" ca="1">INDEX(States!$B:$B,RANDBETWEEN(2,COUNTA(States!$A:$A)),1)</f>
        <v>12</v>
      </c>
      <c r="H1494" s="7" t="str">
        <f ca="1">VLOOKUP($D1494,Name!$A:$C,3,FALSE)</f>
        <v>M</v>
      </c>
      <c r="I1494" s="7" cm="1">
        <f t="array" aca="1" ref="I1494" ca="1">INDEX('Marital status'!$A:$A,RANDBETWEEN(2,COUNTA('Marital status'!$A:$A)),1)</f>
        <v>3</v>
      </c>
      <c r="J1494" s="7">
        <f t="shared" ca="1" si="279"/>
        <v>2</v>
      </c>
      <c r="K1494" s="8">
        <f t="shared" ca="1" si="280"/>
        <v>33313</v>
      </c>
      <c r="L1494" s="6">
        <f t="shared" ca="1" si="281"/>
        <v>4</v>
      </c>
      <c r="M1494" s="7">
        <f ca="1" xml:space="preserve">
  IF(OR($N1494 = 2, $N1494 = 3, $N1494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494" s="6">
        <f t="shared" ca="1" si="282"/>
        <v>7</v>
      </c>
      <c r="O1494" s="6" t="e">
        <f t="shared" ca="1" si="283"/>
        <v>#N/A</v>
      </c>
      <c r="P1494" s="8">
        <f t="shared" ca="1" si="284"/>
        <v>43367</v>
      </c>
      <c r="Q1494" s="6">
        <f ca="1">RANDBETWEEN(2,COUNTA('Recruitment source'!$A:$A))</f>
        <v>2</v>
      </c>
      <c r="R1494" s="8" t="e">
        <f t="shared" ca="1" si="285"/>
        <v>#N/A</v>
      </c>
      <c r="S1494" s="6" t="e">
        <f t="shared" ca="1" si="286"/>
        <v>#N/A</v>
      </c>
      <c r="T1494" s="6">
        <f t="shared" ca="1" si="276"/>
        <v>4</v>
      </c>
      <c r="U1494" s="1">
        <f t="shared" ca="1" si="287"/>
        <v>1085</v>
      </c>
    </row>
    <row r="1495" spans="1:21" x14ac:dyDescent="0.2">
      <c r="A1495" s="7" cm="1">
        <f t="array" aca="1" ref="A1495" ca="1">INDEX(Companies!$A:$A,RANDBETWEEN(2,COUNTA(Companies!$A:$A)),1)</f>
        <v>2</v>
      </c>
      <c r="B1495" s="5">
        <f t="shared" si="277"/>
        <v>1494</v>
      </c>
      <c r="C1495" s="6">
        <f t="shared" ca="1" si="278"/>
        <v>1</v>
      </c>
      <c r="D1495" s="7">
        <f ca="1">IF($B1495 = 1 + N("Presidente"),
    127,
    IF($B1495 = 2 + N("Vice-Presidente"),
        72,
        IF($B1495 = 3 + N("Secretária bilíngue"),
            13,
            RANDBETWEEN(5,COUNT(Name!$A:$A) + 1)
        )
    )
)</f>
        <v>175</v>
      </c>
      <c r="E1495" s="7" t="str">
        <f ca="1" xml:space="preserve">
VLOOKUP(
  $D1495,
  Name!$A:$B,
  2,
  FALSE
)
&amp; " " &amp;
IF($B1495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Isabella Caruso Carvalho</v>
      </c>
      <c r="F1495" s="7">
        <v>2</v>
      </c>
      <c r="G1495" s="7" cm="1">
        <f t="array" aca="1" ref="G1495" ca="1">INDEX(States!$B:$B,RANDBETWEEN(2,COUNTA(States!$A:$A)),1)</f>
        <v>8</v>
      </c>
      <c r="H1495" s="7" t="str">
        <f ca="1">VLOOKUP($D1495,Name!$A:$C,3,FALSE)</f>
        <v>F</v>
      </c>
      <c r="I1495" s="7" cm="1">
        <f t="array" aca="1" ref="I1495" ca="1">INDEX('Marital status'!$A:$A,RANDBETWEEN(2,COUNTA('Marital status'!$A:$A)),1)</f>
        <v>2</v>
      </c>
      <c r="J1495" s="7">
        <f t="shared" ca="1" si="279"/>
        <v>2</v>
      </c>
      <c r="K1495" s="8">
        <f t="shared" ca="1" si="280"/>
        <v>35897</v>
      </c>
      <c r="L1495" s="6">
        <f t="shared" ca="1" si="281"/>
        <v>5</v>
      </c>
      <c r="M1495" s="7">
        <f ca="1" xml:space="preserve">
  IF(OR($N1495 = 2, $N1495 = 3, $N1495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495" s="6">
        <f t="shared" ca="1" si="282"/>
        <v>8</v>
      </c>
      <c r="O1495" s="6">
        <f t="shared" ca="1" si="283"/>
        <v>4</v>
      </c>
      <c r="P1495" s="8">
        <f t="shared" ca="1" si="284"/>
        <v>42582</v>
      </c>
      <c r="Q1495" s="6">
        <f ca="1">RANDBETWEEN(2,COUNTA('Recruitment source'!$A:$A))</f>
        <v>10</v>
      </c>
      <c r="R1495" s="8" t="e">
        <f t="shared" ca="1" si="285"/>
        <v>#N/A</v>
      </c>
      <c r="S1495" s="6" t="e">
        <f t="shared" ca="1" si="286"/>
        <v>#N/A</v>
      </c>
      <c r="T1495" s="6">
        <f t="shared" ca="1" si="276"/>
        <v>5</v>
      </c>
      <c r="U1495" s="1">
        <f t="shared" ca="1" si="287"/>
        <v>2000</v>
      </c>
    </row>
    <row r="1496" spans="1:21" x14ac:dyDescent="0.2">
      <c r="A1496" s="7" cm="1">
        <f t="array" aca="1" ref="A1496" ca="1">INDEX(Companies!$A:$A,RANDBETWEEN(2,COUNTA(Companies!$A:$A)),1)</f>
        <v>2</v>
      </c>
      <c r="B1496" s="5">
        <f t="shared" si="277"/>
        <v>1495</v>
      </c>
      <c r="C1496" s="6">
        <f t="shared" ca="1" si="278"/>
        <v>1</v>
      </c>
      <c r="D1496" s="7">
        <f ca="1">IF($B1496 = 1 + N("Presidente"),
    127,
    IF($B1496 = 2 + N("Vice-Presidente"),
        72,
        IF($B1496 = 3 + N("Secretária bilíngue"),
            13,
            RANDBETWEEN(5,COUNT(Name!$A:$A) + 1)
        )
    )
)</f>
        <v>332</v>
      </c>
      <c r="E1496" s="7" t="str">
        <f ca="1" xml:space="preserve">
VLOOKUP(
  $D1496,
  Name!$A:$B,
  2,
  FALSE
)
&amp; " " &amp;
IF($B1496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Rodrigo Morato Frois</v>
      </c>
      <c r="F1496" s="7">
        <v>2</v>
      </c>
      <c r="G1496" s="7" cm="1">
        <f t="array" aca="1" ref="G1496" ca="1">INDEX(States!$B:$B,RANDBETWEEN(2,COUNTA(States!$A:$A)),1)</f>
        <v>2</v>
      </c>
      <c r="H1496" s="7" t="str">
        <f ca="1">VLOOKUP($D1496,Name!$A:$C,3,FALSE)</f>
        <v>M</v>
      </c>
      <c r="I1496" s="7" cm="1">
        <f t="array" aca="1" ref="I1496" ca="1">INDEX('Marital status'!$A:$A,RANDBETWEEN(2,COUNTA('Marital status'!$A:$A)),1)</f>
        <v>2</v>
      </c>
      <c r="J1496" s="7">
        <f t="shared" ca="1" si="279"/>
        <v>4</v>
      </c>
      <c r="K1496" s="8">
        <f t="shared" ca="1" si="280"/>
        <v>18535</v>
      </c>
      <c r="L1496" s="6">
        <f t="shared" ca="1" si="281"/>
        <v>4</v>
      </c>
      <c r="M1496" s="7">
        <f ca="1" xml:space="preserve">
  IF(OR($N1496 = 2, $N1496 = 3, $N1496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496" s="6">
        <f t="shared" ca="1" si="282"/>
        <v>6</v>
      </c>
      <c r="O1496" s="6" t="e">
        <f t="shared" ca="1" si="283"/>
        <v>#N/A</v>
      </c>
      <c r="P1496" s="8">
        <f t="shared" ca="1" si="284"/>
        <v>42852</v>
      </c>
      <c r="Q1496" s="6">
        <f ca="1">RANDBETWEEN(2,COUNTA('Recruitment source'!$A:$A))</f>
        <v>7</v>
      </c>
      <c r="R1496" s="8" t="e">
        <f t="shared" ca="1" si="285"/>
        <v>#N/A</v>
      </c>
      <c r="S1496" s="6" t="e">
        <f t="shared" ca="1" si="286"/>
        <v>#N/A</v>
      </c>
      <c r="T1496" s="6">
        <f t="shared" ca="1" si="276"/>
        <v>3</v>
      </c>
      <c r="U1496" s="1">
        <f t="shared" ca="1" si="287"/>
        <v>805</v>
      </c>
    </row>
    <row r="1497" spans="1:21" x14ac:dyDescent="0.2">
      <c r="A1497" s="7" cm="1">
        <f t="array" aca="1" ref="A1497" ca="1">INDEX(Companies!$A:$A,RANDBETWEEN(2,COUNTA(Companies!$A:$A)),1)</f>
        <v>2</v>
      </c>
      <c r="B1497" s="5">
        <f t="shared" si="277"/>
        <v>1496</v>
      </c>
      <c r="C1497" s="6">
        <f t="shared" ca="1" si="278"/>
        <v>1</v>
      </c>
      <c r="D1497" s="7">
        <f ca="1">IF($B1497 = 1 + N("Presidente"),
    127,
    IF($B1497 = 2 + N("Vice-Presidente"),
        72,
        IF($B1497 = 3 + N("Secretária bilíngue"),
            13,
            RANDBETWEEN(5,COUNT(Name!$A:$A) + 1)
        )
    )
)</f>
        <v>136</v>
      </c>
      <c r="E1497" s="7" t="str">
        <f ca="1" xml:space="preserve">
VLOOKUP(
  $D1497,
  Name!$A:$B,
  2,
  FALSE
)
&amp; " " &amp;
IF($B1497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Fellipe Negrão Fontana</v>
      </c>
      <c r="F1497" s="7">
        <v>2</v>
      </c>
      <c r="G1497" s="7" cm="1">
        <f t="array" aca="1" ref="G1497" ca="1">INDEX(States!$B:$B,RANDBETWEEN(2,COUNTA(States!$A:$A)),1)</f>
        <v>14</v>
      </c>
      <c r="H1497" s="7" t="str">
        <f ca="1">VLOOKUP($D1497,Name!$A:$C,3,FALSE)</f>
        <v>M</v>
      </c>
      <c r="I1497" s="7" cm="1">
        <f t="array" aca="1" ref="I1497" ca="1">INDEX('Marital status'!$A:$A,RANDBETWEEN(2,COUNTA('Marital status'!$A:$A)),1)</f>
        <v>3</v>
      </c>
      <c r="J1497" s="7">
        <f t="shared" ca="1" si="279"/>
        <v>2</v>
      </c>
      <c r="K1497" s="8">
        <f t="shared" ca="1" si="280"/>
        <v>36143</v>
      </c>
      <c r="L1497" s="6">
        <f t="shared" ca="1" si="281"/>
        <v>5</v>
      </c>
      <c r="M1497" s="7">
        <f ca="1" xml:space="preserve">
  IF(OR($N1497 = 2, $N1497 = 3, $N1497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497" s="6">
        <f t="shared" ca="1" si="282"/>
        <v>8</v>
      </c>
      <c r="O1497" s="6">
        <f t="shared" ca="1" si="283"/>
        <v>4</v>
      </c>
      <c r="P1497" s="8">
        <f t="shared" ca="1" si="284"/>
        <v>43770</v>
      </c>
      <c r="Q1497" s="6">
        <f ca="1">RANDBETWEEN(2,COUNTA('Recruitment source'!$A:$A))</f>
        <v>7</v>
      </c>
      <c r="R1497" s="8" t="e">
        <f t="shared" ca="1" si="285"/>
        <v>#N/A</v>
      </c>
      <c r="S1497" s="6" t="e">
        <f t="shared" ca="1" si="286"/>
        <v>#N/A</v>
      </c>
      <c r="T1497" s="6">
        <f t="shared" ca="1" si="276"/>
        <v>4</v>
      </c>
      <c r="U1497" s="1">
        <f t="shared" ca="1" si="287"/>
        <v>2080</v>
      </c>
    </row>
    <row r="1498" spans="1:21" x14ac:dyDescent="0.2">
      <c r="A1498" s="7" cm="1">
        <f t="array" aca="1" ref="A1498" ca="1">INDEX(Companies!$A:$A,RANDBETWEEN(2,COUNTA(Companies!$A:$A)),1)</f>
        <v>2</v>
      </c>
      <c r="B1498" s="5">
        <f t="shared" si="277"/>
        <v>1497</v>
      </c>
      <c r="C1498" s="6">
        <f t="shared" ca="1" si="278"/>
        <v>1</v>
      </c>
      <c r="D1498" s="7">
        <f ca="1">IF($B1498 = 1 + N("Presidente"),
    127,
    IF($B1498 = 2 + N("Vice-Presidente"),
        72,
        IF($B1498 = 3 + N("Secretária bilíngue"),
            13,
            RANDBETWEEN(5,COUNT(Name!$A:$A) + 1)
        )
    )
)</f>
        <v>326</v>
      </c>
      <c r="E1498" s="7" t="str">
        <f ca="1" xml:space="preserve">
VLOOKUP(
  $D1498,
  Name!$A:$B,
  2,
  FALSE
)
&amp; " " &amp;
IF($B1498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Rainah Barroso Junqueira</v>
      </c>
      <c r="F1498" s="7">
        <v>2</v>
      </c>
      <c r="G1498" s="7" cm="1">
        <f t="array" aca="1" ref="G1498" ca="1">INDEX(States!$B:$B,RANDBETWEEN(2,COUNTA(States!$A:$A)),1)</f>
        <v>9</v>
      </c>
      <c r="H1498" s="7" t="str">
        <f ca="1">VLOOKUP($D1498,Name!$A:$C,3,FALSE)</f>
        <v>F</v>
      </c>
      <c r="I1498" s="7" cm="1">
        <f t="array" aca="1" ref="I1498" ca="1">INDEX('Marital status'!$A:$A,RANDBETWEEN(2,COUNTA('Marital status'!$A:$A)),1)</f>
        <v>6</v>
      </c>
      <c r="J1498" s="7">
        <f t="shared" ca="1" si="279"/>
        <v>3</v>
      </c>
      <c r="K1498" s="8">
        <f t="shared" ca="1" si="280"/>
        <v>30181</v>
      </c>
      <c r="L1498" s="6">
        <f t="shared" ca="1" si="281"/>
        <v>4</v>
      </c>
      <c r="M1498" s="7">
        <f ca="1" xml:space="preserve">
  IF(OR($N1498 = 2, $N1498 = 3, $N1498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498" s="6">
        <f t="shared" ca="1" si="282"/>
        <v>6</v>
      </c>
      <c r="O1498" s="6" t="e">
        <f t="shared" ca="1" si="283"/>
        <v>#N/A</v>
      </c>
      <c r="P1498" s="8">
        <f t="shared" ca="1" si="284"/>
        <v>40333</v>
      </c>
      <c r="Q1498" s="6">
        <f ca="1">RANDBETWEEN(2,COUNTA('Recruitment source'!$A:$A))</f>
        <v>11</v>
      </c>
      <c r="R1498" s="8" t="e">
        <f t="shared" ca="1" si="285"/>
        <v>#N/A</v>
      </c>
      <c r="S1498" s="6" t="e">
        <f t="shared" ca="1" si="286"/>
        <v>#N/A</v>
      </c>
      <c r="T1498" s="6">
        <f t="shared" ca="1" si="276"/>
        <v>2</v>
      </c>
      <c r="U1498" s="1">
        <f t="shared" ca="1" si="287"/>
        <v>805</v>
      </c>
    </row>
    <row r="1499" spans="1:21" x14ac:dyDescent="0.2">
      <c r="A1499" s="7" cm="1">
        <f t="array" aca="1" ref="A1499" ca="1">INDEX(Companies!$A:$A,RANDBETWEEN(2,COUNTA(Companies!$A:$A)),1)</f>
        <v>2</v>
      </c>
      <c r="B1499" s="5">
        <f t="shared" si="277"/>
        <v>1498</v>
      </c>
      <c r="C1499" s="6">
        <f t="shared" ca="1" si="278"/>
        <v>1</v>
      </c>
      <c r="D1499" s="7">
        <f ca="1">IF($B1499 = 1 + N("Presidente"),
    127,
    IF($B1499 = 2 + N("Vice-Presidente"),
        72,
        IF($B1499 = 3 + N("Secretária bilíngue"),
            13,
            RANDBETWEEN(5,COUNT(Name!$A:$A) + 1)
        )
    )
)</f>
        <v>134</v>
      </c>
      <c r="E1499" s="7" t="str">
        <f ca="1" xml:space="preserve">
VLOOKUP(
  $D1499,
  Name!$A:$B,
  2,
  FALSE
)
&amp; " " &amp;
IF($B1499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Eva Chaves Brasil</v>
      </c>
      <c r="F1499" s="7">
        <v>2</v>
      </c>
      <c r="G1499" s="7" cm="1">
        <f t="array" aca="1" ref="G1499" ca="1">INDEX(States!$B:$B,RANDBETWEEN(2,COUNTA(States!$A:$A)),1)</f>
        <v>8</v>
      </c>
      <c r="H1499" s="7" t="str">
        <f ca="1">VLOOKUP($D1499,Name!$A:$C,3,FALSE)</f>
        <v>F</v>
      </c>
      <c r="I1499" s="7" cm="1">
        <f t="array" aca="1" ref="I1499" ca="1">INDEX('Marital status'!$A:$A,RANDBETWEEN(2,COUNTA('Marital status'!$A:$A)),1)</f>
        <v>3</v>
      </c>
      <c r="J1499" s="7">
        <f t="shared" ca="1" si="279"/>
        <v>2</v>
      </c>
      <c r="K1499" s="8">
        <f t="shared" ca="1" si="280"/>
        <v>36023</v>
      </c>
      <c r="L1499" s="6">
        <f t="shared" ca="1" si="281"/>
        <v>4</v>
      </c>
      <c r="M1499" s="7">
        <f ca="1" xml:space="preserve">
  IF(OR($N1499 = 2, $N1499 = 3, $N1499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499" s="6">
        <f t="shared" ca="1" si="282"/>
        <v>8</v>
      </c>
      <c r="O1499" s="6">
        <f t="shared" ca="1" si="283"/>
        <v>3</v>
      </c>
      <c r="P1499" s="8">
        <f t="shared" ca="1" si="284"/>
        <v>38023</v>
      </c>
      <c r="Q1499" s="6">
        <f ca="1">RANDBETWEEN(2,COUNTA('Recruitment source'!$A:$A))</f>
        <v>10</v>
      </c>
      <c r="R1499" s="8" t="e">
        <f t="shared" ca="1" si="285"/>
        <v>#N/A</v>
      </c>
      <c r="S1499" s="6" t="e">
        <f t="shared" ca="1" si="286"/>
        <v>#N/A</v>
      </c>
      <c r="T1499" s="6">
        <f t="shared" ca="1" si="276"/>
        <v>2</v>
      </c>
      <c r="U1499" s="1">
        <f t="shared" ca="1" si="287"/>
        <v>2000</v>
      </c>
    </row>
    <row r="1500" spans="1:21" x14ac:dyDescent="0.2">
      <c r="A1500" s="7" cm="1">
        <f t="array" aca="1" ref="A1500" ca="1">INDEX(Companies!$A:$A,RANDBETWEEN(2,COUNTA(Companies!$A:$A)),1)</f>
        <v>2</v>
      </c>
      <c r="B1500" s="5">
        <f t="shared" si="277"/>
        <v>1499</v>
      </c>
      <c r="C1500" s="6">
        <f t="shared" ca="1" si="278"/>
        <v>1</v>
      </c>
      <c r="D1500" s="7">
        <f ca="1">IF($B1500 = 1 + N("Presidente"),
    127,
    IF($B1500 = 2 + N("Vice-Presidente"),
        72,
        IF($B1500 = 3 + N("Secretária bilíngue"),
            13,
            RANDBETWEEN(5,COUNT(Name!$A:$A) + 1)
        )
    )
)</f>
        <v>31</v>
      </c>
      <c r="E1500" s="7" t="str">
        <f ca="1" xml:space="preserve">
VLOOKUP(
  $D1500,
  Name!$A:$B,
  2,
  FALSE
)
&amp; " " &amp;
IF($B1500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Júlia Café Duarte</v>
      </c>
      <c r="F1500" s="7">
        <v>2</v>
      </c>
      <c r="G1500" s="7" cm="1">
        <f t="array" aca="1" ref="G1500" ca="1">INDEX(States!$B:$B,RANDBETWEEN(2,COUNTA(States!$A:$A)),1)</f>
        <v>11</v>
      </c>
      <c r="H1500" s="7" t="str">
        <f ca="1">VLOOKUP($D1500,Name!$A:$C,3,FALSE)</f>
        <v>F</v>
      </c>
      <c r="I1500" s="7" cm="1">
        <f t="array" aca="1" ref="I1500" ca="1">INDEX('Marital status'!$A:$A,RANDBETWEEN(2,COUNTA('Marital status'!$A:$A)),1)</f>
        <v>3</v>
      </c>
      <c r="J1500" s="7">
        <f t="shared" ca="1" si="279"/>
        <v>2</v>
      </c>
      <c r="K1500" s="8">
        <f t="shared" ca="1" si="280"/>
        <v>33803</v>
      </c>
      <c r="L1500" s="6">
        <f t="shared" ca="1" si="281"/>
        <v>4</v>
      </c>
      <c r="M1500" s="7">
        <f ca="1" xml:space="preserve">
  IF(OR($N1500 = 2, $N1500 = 3, $N1500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500" s="6">
        <f t="shared" ca="1" si="282"/>
        <v>6</v>
      </c>
      <c r="O1500" s="6" t="e">
        <f t="shared" ca="1" si="283"/>
        <v>#N/A</v>
      </c>
      <c r="P1500" s="8">
        <f t="shared" ca="1" si="284"/>
        <v>43956</v>
      </c>
      <c r="Q1500" s="6">
        <f ca="1">RANDBETWEEN(2,COUNTA('Recruitment source'!$A:$A))</f>
        <v>10</v>
      </c>
      <c r="R1500" s="8" t="e">
        <f t="shared" ca="1" si="285"/>
        <v>#N/A</v>
      </c>
      <c r="S1500" s="6" t="e">
        <f t="shared" ca="1" si="286"/>
        <v>#N/A</v>
      </c>
      <c r="T1500" s="6">
        <f t="shared" ca="1" si="276"/>
        <v>3</v>
      </c>
      <c r="U1500" s="1">
        <f t="shared" ca="1" si="287"/>
        <v>805</v>
      </c>
    </row>
    <row r="1501" spans="1:21" x14ac:dyDescent="0.2">
      <c r="A1501" s="7" cm="1">
        <f t="array" aca="1" ref="A1501" ca="1">INDEX(Companies!$A:$A,RANDBETWEEN(2,COUNTA(Companies!$A:$A)),1)</f>
        <v>2</v>
      </c>
      <c r="B1501" s="5">
        <f t="shared" si="277"/>
        <v>1500</v>
      </c>
      <c r="C1501" s="6">
        <f t="shared" ca="1" si="278"/>
        <v>1</v>
      </c>
      <c r="D1501" s="7">
        <f ca="1">IF($B1501 = 1 + N("Presidente"),
    127,
    IF($B1501 = 2 + N("Vice-Presidente"),
        72,
        IF($B1501 = 3 + N("Secretária bilíngue"),
            13,
            RANDBETWEEN(5,COUNT(Name!$A:$A) + 1)
        )
    )
)</f>
        <v>155</v>
      </c>
      <c r="E1501" s="7" t="str">
        <f ca="1" xml:space="preserve">
VLOOKUP(
  $D1501,
  Name!$A:$B,
  2,
  FALSE
)
&amp; " " &amp;
IF($B1501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Gloria Aragão Mello</v>
      </c>
      <c r="F1501" s="7">
        <v>2</v>
      </c>
      <c r="G1501" s="7" cm="1">
        <f t="array" aca="1" ref="G1501" ca="1">INDEX(States!$B:$B,RANDBETWEEN(2,COUNTA(States!$A:$A)),1)</f>
        <v>15</v>
      </c>
      <c r="H1501" s="7" t="str">
        <f ca="1">VLOOKUP($D1501,Name!$A:$C,3,FALSE)</f>
        <v>F</v>
      </c>
      <c r="I1501" s="7" cm="1">
        <f t="array" aca="1" ref="I1501" ca="1">INDEX('Marital status'!$A:$A,RANDBETWEEN(2,COUNTA('Marital status'!$A:$A)),1)</f>
        <v>3</v>
      </c>
      <c r="J1501" s="7">
        <f t="shared" ca="1" si="279"/>
        <v>5</v>
      </c>
      <c r="K1501" s="8">
        <f t="shared" ca="1" si="280"/>
        <v>33874</v>
      </c>
      <c r="L1501" s="6">
        <f t="shared" ca="1" si="281"/>
        <v>4</v>
      </c>
      <c r="M1501" s="7">
        <f ca="1" xml:space="preserve">
  IF(OR($N1501 = 2, $N1501 = 3, $N1501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501" s="6">
        <f t="shared" ca="1" si="282"/>
        <v>8</v>
      </c>
      <c r="O1501" s="6">
        <f t="shared" ca="1" si="283"/>
        <v>4</v>
      </c>
      <c r="P1501" s="8">
        <f t="shared" ca="1" si="284"/>
        <v>43905</v>
      </c>
      <c r="Q1501" s="6">
        <f ca="1">RANDBETWEEN(2,COUNTA('Recruitment source'!$A:$A))</f>
        <v>3</v>
      </c>
      <c r="R1501" s="8" t="e">
        <f t="shared" ca="1" si="285"/>
        <v>#N/A</v>
      </c>
      <c r="S1501" s="6" t="e">
        <f t="shared" ca="1" si="286"/>
        <v>#N/A</v>
      </c>
      <c r="T1501" s="6">
        <f t="shared" ca="1" si="276"/>
        <v>5</v>
      </c>
      <c r="U1501" s="1">
        <f t="shared" ca="1" si="287"/>
        <v>2000</v>
      </c>
    </row>
    <row r="1502" spans="1:21" x14ac:dyDescent="0.2">
      <c r="A1502" s="7" cm="1">
        <f t="array" aca="1" ref="A1502" ca="1">INDEX(Companies!$A:$A,RANDBETWEEN(2,COUNTA(Companies!$A:$A)),1)</f>
        <v>2</v>
      </c>
      <c r="B1502" s="5">
        <f t="shared" si="277"/>
        <v>1501</v>
      </c>
      <c r="C1502" s="6">
        <f t="shared" ca="1" si="278"/>
        <v>1</v>
      </c>
      <c r="D1502" s="7">
        <f ca="1">IF($B1502 = 1 + N("Presidente"),
    127,
    IF($B1502 = 2 + N("Vice-Presidente"),
        72,
        IF($B1502 = 3 + N("Secretária bilíngue"),
            13,
            RANDBETWEEN(5,COUNT(Name!$A:$A) + 1)
        )
    )
)</f>
        <v>15</v>
      </c>
      <c r="E1502" s="7" t="str">
        <f ca="1" xml:space="preserve">
VLOOKUP(
  $D1502,
  Name!$A:$B,
  2,
  FALSE
)
&amp; " " &amp;
IF($B1502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Alexandre Cardozo Paulista</v>
      </c>
      <c r="F1502" s="7">
        <v>2</v>
      </c>
      <c r="G1502" s="7" cm="1">
        <f t="array" aca="1" ref="G1502" ca="1">INDEX(States!$B:$B,RANDBETWEEN(2,COUNTA(States!$A:$A)),1)</f>
        <v>18</v>
      </c>
      <c r="H1502" s="7" t="str">
        <f ca="1">VLOOKUP($D1502,Name!$A:$C,3,FALSE)</f>
        <v>M</v>
      </c>
      <c r="I1502" s="7" cm="1">
        <f t="array" aca="1" ref="I1502" ca="1">INDEX('Marital status'!$A:$A,RANDBETWEEN(2,COUNTA('Marital status'!$A:$A)),1)</f>
        <v>6</v>
      </c>
      <c r="J1502" s="7">
        <f t="shared" ca="1" si="279"/>
        <v>2</v>
      </c>
      <c r="K1502" s="8">
        <f t="shared" ca="1" si="280"/>
        <v>35470</v>
      </c>
      <c r="L1502" s="6">
        <f t="shared" ca="1" si="281"/>
        <v>4</v>
      </c>
      <c r="M1502" s="7">
        <f ca="1" xml:space="preserve">
  IF(OR($N1502 = 2, $N1502 = 3, $N1502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502" s="6">
        <f t="shared" ca="1" si="282"/>
        <v>7</v>
      </c>
      <c r="O1502" s="6" t="e">
        <f t="shared" ca="1" si="283"/>
        <v>#N/A</v>
      </c>
      <c r="P1502" s="8">
        <f t="shared" ca="1" si="284"/>
        <v>38082</v>
      </c>
      <c r="Q1502" s="6">
        <f ca="1">RANDBETWEEN(2,COUNTA('Recruitment source'!$A:$A))</f>
        <v>3</v>
      </c>
      <c r="R1502" s="8" t="e">
        <f t="shared" ca="1" si="285"/>
        <v>#N/A</v>
      </c>
      <c r="S1502" s="6" t="e">
        <f t="shared" ca="1" si="286"/>
        <v>#N/A</v>
      </c>
      <c r="T1502" s="6">
        <f t="shared" ca="1" si="276"/>
        <v>5</v>
      </c>
      <c r="U1502" s="1">
        <f t="shared" ca="1" si="287"/>
        <v>1005</v>
      </c>
    </row>
    <row r="1503" spans="1:21" x14ac:dyDescent="0.2">
      <c r="A1503" s="7" cm="1">
        <f t="array" aca="1" ref="A1503" ca="1">INDEX(Companies!$A:$A,RANDBETWEEN(2,COUNTA(Companies!$A:$A)),1)</f>
        <v>2</v>
      </c>
      <c r="B1503" s="5">
        <f t="shared" si="277"/>
        <v>1502</v>
      </c>
      <c r="C1503" s="6">
        <f t="shared" ca="1" si="278"/>
        <v>1</v>
      </c>
      <c r="D1503" s="7">
        <f ca="1">IF($B1503 = 1 + N("Presidente"),
    127,
    IF($B1503 = 2 + N("Vice-Presidente"),
        72,
        IF($B1503 = 3 + N("Secretária bilíngue"),
            13,
            RANDBETWEEN(5,COUNT(Name!$A:$A) + 1)
        )
    )
)</f>
        <v>34</v>
      </c>
      <c r="E1503" s="7" t="str">
        <f ca="1" xml:space="preserve">
VLOOKUP(
  $D1503,
  Name!$A:$B,
  2,
  FALSE
)
&amp; " " &amp;
IF($B1503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Liz Testa Santacruz</v>
      </c>
      <c r="F1503" s="7">
        <v>2</v>
      </c>
      <c r="G1503" s="7" cm="1">
        <f t="array" aca="1" ref="G1503" ca="1">INDEX(States!$B:$B,RANDBETWEEN(2,COUNTA(States!$A:$A)),1)</f>
        <v>16</v>
      </c>
      <c r="H1503" s="7" t="str">
        <f ca="1">VLOOKUP($D1503,Name!$A:$C,3,FALSE)</f>
        <v>F</v>
      </c>
      <c r="I1503" s="7" cm="1">
        <f t="array" aca="1" ref="I1503" ca="1">INDEX('Marital status'!$A:$A,RANDBETWEEN(2,COUNTA('Marital status'!$A:$A)),1)</f>
        <v>3</v>
      </c>
      <c r="J1503" s="7">
        <f t="shared" ca="1" si="279"/>
        <v>2</v>
      </c>
      <c r="K1503" s="8">
        <f t="shared" ca="1" si="280"/>
        <v>32706</v>
      </c>
      <c r="L1503" s="6">
        <f t="shared" ca="1" si="281"/>
        <v>4</v>
      </c>
      <c r="M1503" s="7">
        <f ca="1" xml:space="preserve">
  IF(OR($N1503 = 2, $N1503 = 3, $N1503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503" s="6">
        <f t="shared" ca="1" si="282"/>
        <v>8</v>
      </c>
      <c r="O1503" s="6">
        <f t="shared" ca="1" si="283"/>
        <v>2</v>
      </c>
      <c r="P1503" s="8">
        <f t="shared" ca="1" si="284"/>
        <v>39220</v>
      </c>
      <c r="Q1503" s="6">
        <f ca="1">RANDBETWEEN(2,COUNTA('Recruitment source'!$A:$A))</f>
        <v>9</v>
      </c>
      <c r="R1503" s="8" t="e">
        <f t="shared" ca="1" si="285"/>
        <v>#N/A</v>
      </c>
      <c r="S1503" s="6" t="e">
        <f t="shared" ca="1" si="286"/>
        <v>#N/A</v>
      </c>
      <c r="T1503" s="6">
        <f t="shared" ca="1" si="276"/>
        <v>3</v>
      </c>
      <c r="U1503" s="1">
        <f t="shared" ca="1" si="287"/>
        <v>2000</v>
      </c>
    </row>
    <row r="1504" spans="1:21" x14ac:dyDescent="0.2">
      <c r="A1504" s="7" cm="1">
        <f t="array" aca="1" ref="A1504" ca="1">INDEX(Companies!$A:$A,RANDBETWEEN(2,COUNTA(Companies!$A:$A)),1)</f>
        <v>2</v>
      </c>
      <c r="B1504" s="5">
        <f t="shared" si="277"/>
        <v>1503</v>
      </c>
      <c r="C1504" s="6">
        <f t="shared" ca="1" si="278"/>
        <v>1</v>
      </c>
      <c r="D1504" s="7">
        <f ca="1">IF($B1504 = 1 + N("Presidente"),
    127,
    IF($B1504 = 2 + N("Vice-Presidente"),
        72,
        IF($B1504 = 3 + N("Secretária bilíngue"),
            13,
            RANDBETWEEN(5,COUNT(Name!$A:$A) + 1)
        )
    )
)</f>
        <v>250</v>
      </c>
      <c r="E1504" s="7" t="str">
        <f ca="1" xml:space="preserve">
VLOOKUP(
  $D1504,
  Name!$A:$B,
  2,
  FALSE
)
&amp; " " &amp;
IF($B1504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Madalena Ramos Garcia</v>
      </c>
      <c r="F1504" s="7">
        <v>2</v>
      </c>
      <c r="G1504" s="7" cm="1">
        <f t="array" aca="1" ref="G1504" ca="1">INDEX(States!$B:$B,RANDBETWEEN(2,COUNTA(States!$A:$A)),1)</f>
        <v>8</v>
      </c>
      <c r="H1504" s="7" t="str">
        <f ca="1">VLOOKUP($D1504,Name!$A:$C,3,FALSE)</f>
        <v>F</v>
      </c>
      <c r="I1504" s="7" cm="1">
        <f t="array" aca="1" ref="I1504" ca="1">INDEX('Marital status'!$A:$A,RANDBETWEEN(2,COUNTA('Marital status'!$A:$A)),1)</f>
        <v>2</v>
      </c>
      <c r="J1504" s="7">
        <f t="shared" ca="1" si="279"/>
        <v>2</v>
      </c>
      <c r="K1504" s="8">
        <f t="shared" ca="1" si="280"/>
        <v>29645</v>
      </c>
      <c r="L1504" s="6">
        <f t="shared" ca="1" si="281"/>
        <v>4</v>
      </c>
      <c r="M1504" s="7">
        <f ca="1" xml:space="preserve">
  IF(OR($N1504 = 2, $N1504 = 3, $N1504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504" s="6">
        <f t="shared" ca="1" si="282"/>
        <v>6</v>
      </c>
      <c r="O1504" s="6" t="e">
        <f t="shared" ca="1" si="283"/>
        <v>#N/A</v>
      </c>
      <c r="P1504" s="8">
        <f t="shared" ca="1" si="284"/>
        <v>39896</v>
      </c>
      <c r="Q1504" s="6">
        <f ca="1">RANDBETWEEN(2,COUNTA('Recruitment source'!$A:$A))</f>
        <v>10</v>
      </c>
      <c r="R1504" s="8" t="e">
        <f t="shared" ca="1" si="285"/>
        <v>#N/A</v>
      </c>
      <c r="S1504" s="6" t="e">
        <f t="shared" ca="1" si="286"/>
        <v>#N/A</v>
      </c>
      <c r="T1504" s="6">
        <f t="shared" ca="1" si="276"/>
        <v>3</v>
      </c>
      <c r="U1504" s="1">
        <f t="shared" ca="1" si="287"/>
        <v>885</v>
      </c>
    </row>
    <row r="1505" spans="1:21" x14ac:dyDescent="0.2">
      <c r="A1505" s="7" cm="1">
        <f t="array" aca="1" ref="A1505" ca="1">INDEX(Companies!$A:$A,RANDBETWEEN(2,COUNTA(Companies!$A:$A)),1)</f>
        <v>2</v>
      </c>
      <c r="B1505" s="5">
        <f t="shared" si="277"/>
        <v>1504</v>
      </c>
      <c r="C1505" s="6">
        <f t="shared" ca="1" si="278"/>
        <v>1</v>
      </c>
      <c r="D1505" s="7">
        <f ca="1">IF($B1505 = 1 + N("Presidente"),
    127,
    IF($B1505 = 2 + N("Vice-Presidente"),
        72,
        IF($B1505 = 3 + N("Secretária bilíngue"),
            13,
            RANDBETWEEN(5,COUNT(Name!$A:$A) + 1)
        )
    )
)</f>
        <v>18</v>
      </c>
      <c r="E1505" s="7" t="str">
        <f ca="1" xml:space="preserve">
VLOOKUP(
  $D1505,
  Name!$A:$B,
  2,
  FALSE
)
&amp; " " &amp;
IF($B1505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Alícia Bianchi Amor</v>
      </c>
      <c r="F1505" s="7">
        <v>2</v>
      </c>
      <c r="G1505" s="7" cm="1">
        <f t="array" aca="1" ref="G1505" ca="1">INDEX(States!$B:$B,RANDBETWEEN(2,COUNTA(States!$A:$A)),1)</f>
        <v>2</v>
      </c>
      <c r="H1505" s="7" t="str">
        <f ca="1">VLOOKUP($D1505,Name!$A:$C,3,FALSE)</f>
        <v>F</v>
      </c>
      <c r="I1505" s="7" cm="1">
        <f t="array" aca="1" ref="I1505" ca="1">INDEX('Marital status'!$A:$A,RANDBETWEEN(2,COUNTA('Marital status'!$A:$A)),1)</f>
        <v>6</v>
      </c>
      <c r="J1505" s="7">
        <f t="shared" ca="1" si="279"/>
        <v>3</v>
      </c>
      <c r="K1505" s="8">
        <f t="shared" ca="1" si="280"/>
        <v>33145</v>
      </c>
      <c r="L1505" s="6">
        <f t="shared" ca="1" si="281"/>
        <v>4</v>
      </c>
      <c r="M1505" s="7">
        <f ca="1" xml:space="preserve">
  IF(OR($N1505 = 2, $N1505 = 3, $N1505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505" s="6">
        <f t="shared" ca="1" si="282"/>
        <v>8</v>
      </c>
      <c r="O1505" s="6">
        <f t="shared" ca="1" si="283"/>
        <v>4</v>
      </c>
      <c r="P1505" s="8">
        <f t="shared" ca="1" si="284"/>
        <v>42367</v>
      </c>
      <c r="Q1505" s="6">
        <f ca="1">RANDBETWEEN(2,COUNTA('Recruitment source'!$A:$A))</f>
        <v>9</v>
      </c>
      <c r="R1505" s="8" t="e">
        <f t="shared" ca="1" si="285"/>
        <v>#N/A</v>
      </c>
      <c r="S1505" s="6" t="e">
        <f t="shared" ca="1" si="286"/>
        <v>#N/A</v>
      </c>
      <c r="T1505" s="6">
        <f t="shared" ca="1" si="276"/>
        <v>3</v>
      </c>
      <c r="U1505" s="1">
        <f t="shared" ca="1" si="287"/>
        <v>2000</v>
      </c>
    </row>
    <row r="1506" spans="1:21" x14ac:dyDescent="0.2">
      <c r="A1506" s="7" cm="1">
        <f t="array" aca="1" ref="A1506" ca="1">INDEX(Companies!$A:$A,RANDBETWEEN(2,COUNTA(Companies!$A:$A)),1)</f>
        <v>2</v>
      </c>
      <c r="B1506" s="5">
        <f t="shared" si="277"/>
        <v>1505</v>
      </c>
      <c r="C1506" s="6">
        <f t="shared" ca="1" si="278"/>
        <v>1</v>
      </c>
      <c r="D1506" s="7">
        <f ca="1">IF($B1506 = 1 + N("Presidente"),
    127,
    IF($B1506 = 2 + N("Vice-Presidente"),
        72,
        IF($B1506 = 3 + N("Secretária bilíngue"),
            13,
            RANDBETWEEN(5,COUNT(Name!$A:$A) + 1)
        )
    )
)</f>
        <v>150</v>
      </c>
      <c r="E1506" s="7" t="str">
        <f ca="1" xml:space="preserve">
VLOOKUP(
  $D1506,
  Name!$A:$B,
  2,
  FALSE
)
&amp; " " &amp;
IF($B1506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Gabriela Nascimento Alencar</v>
      </c>
      <c r="F1506" s="7">
        <v>2</v>
      </c>
      <c r="G1506" s="7" cm="1">
        <f t="array" aca="1" ref="G1506" ca="1">INDEX(States!$B:$B,RANDBETWEEN(2,COUNTA(States!$A:$A)),1)</f>
        <v>4</v>
      </c>
      <c r="H1506" s="7" t="str">
        <f ca="1">VLOOKUP($D1506,Name!$A:$C,3,FALSE)</f>
        <v>F</v>
      </c>
      <c r="I1506" s="7" cm="1">
        <f t="array" aca="1" ref="I1506" ca="1">INDEX('Marital status'!$A:$A,RANDBETWEEN(2,COUNTA('Marital status'!$A:$A)),1)</f>
        <v>4</v>
      </c>
      <c r="J1506" s="7">
        <f t="shared" ca="1" si="279"/>
        <v>2</v>
      </c>
      <c r="K1506" s="8">
        <f t="shared" ca="1" si="280"/>
        <v>32080</v>
      </c>
      <c r="L1506" s="6">
        <f t="shared" ca="1" si="281"/>
        <v>4</v>
      </c>
      <c r="M1506" s="7">
        <f ca="1" xml:space="preserve">
  IF(OR($N1506 = 2, $N1506 = 3, $N1506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506" s="6">
        <f t="shared" ca="1" si="282"/>
        <v>7</v>
      </c>
      <c r="O1506" s="6" t="e">
        <f t="shared" ca="1" si="283"/>
        <v>#N/A</v>
      </c>
      <c r="P1506" s="8">
        <f t="shared" ca="1" si="284"/>
        <v>41227</v>
      </c>
      <c r="Q1506" s="6">
        <f ca="1">RANDBETWEEN(2,COUNTA('Recruitment source'!$A:$A))</f>
        <v>10</v>
      </c>
      <c r="R1506" s="8" t="e">
        <f t="shared" ca="1" si="285"/>
        <v>#N/A</v>
      </c>
      <c r="S1506" s="6" t="e">
        <f t="shared" ca="1" si="286"/>
        <v>#N/A</v>
      </c>
      <c r="T1506" s="6">
        <f t="shared" ca="1" si="276"/>
        <v>2</v>
      </c>
      <c r="U1506" s="1">
        <f t="shared" ca="1" si="287"/>
        <v>1005</v>
      </c>
    </row>
    <row r="1507" spans="1:21" x14ac:dyDescent="0.2">
      <c r="A1507" s="7" cm="1">
        <f t="array" aca="1" ref="A1507" ca="1">INDEX(Companies!$A:$A,RANDBETWEEN(2,COUNTA(Companies!$A:$A)),1)</f>
        <v>2</v>
      </c>
      <c r="B1507" s="5">
        <f t="shared" si="277"/>
        <v>1506</v>
      </c>
      <c r="C1507" s="6">
        <f t="shared" ca="1" si="278"/>
        <v>1</v>
      </c>
      <c r="D1507" s="7">
        <f ca="1">IF($B1507 = 1 + N("Presidente"),
    127,
    IF($B1507 = 2 + N("Vice-Presidente"),
        72,
        IF($B1507 = 3 + N("Secretária bilíngue"),
            13,
            RANDBETWEEN(5,COUNT(Name!$A:$A) + 1)
        )
    )
)</f>
        <v>127</v>
      </c>
      <c r="E1507" s="7" t="str">
        <f ca="1" xml:space="preserve">
VLOOKUP(
  $D1507,
  Name!$A:$B,
  2,
  FALSE
)
&amp; " " &amp;
IF($B1507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Enzo Madureira Cardoso</v>
      </c>
      <c r="F1507" s="7">
        <v>2</v>
      </c>
      <c r="G1507" s="7" cm="1">
        <f t="array" aca="1" ref="G1507" ca="1">INDEX(States!$B:$B,RANDBETWEEN(2,COUNTA(States!$A:$A)),1)</f>
        <v>3</v>
      </c>
      <c r="H1507" s="7" t="str">
        <f ca="1">VLOOKUP($D1507,Name!$A:$C,3,FALSE)</f>
        <v>M</v>
      </c>
      <c r="I1507" s="7" cm="1">
        <f t="array" aca="1" ref="I1507" ca="1">INDEX('Marital status'!$A:$A,RANDBETWEEN(2,COUNTA('Marital status'!$A:$A)),1)</f>
        <v>4</v>
      </c>
      <c r="J1507" s="7">
        <f t="shared" ca="1" si="279"/>
        <v>4</v>
      </c>
      <c r="K1507" s="8">
        <f t="shared" ca="1" si="280"/>
        <v>36918</v>
      </c>
      <c r="L1507" s="6">
        <f t="shared" ca="1" si="281"/>
        <v>4</v>
      </c>
      <c r="M1507" s="7">
        <f ca="1" xml:space="preserve">
  IF(OR($N1507 = 2, $N1507 = 3, $N1507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507" s="6">
        <f t="shared" ca="1" si="282"/>
        <v>8</v>
      </c>
      <c r="O1507" s="6">
        <f t="shared" ca="1" si="283"/>
        <v>2</v>
      </c>
      <c r="P1507" s="8">
        <f t="shared" ca="1" si="284"/>
        <v>41347</v>
      </c>
      <c r="Q1507" s="6">
        <f ca="1">RANDBETWEEN(2,COUNTA('Recruitment source'!$A:$A))</f>
        <v>12</v>
      </c>
      <c r="R1507" s="8" t="e">
        <f t="shared" ca="1" si="285"/>
        <v>#N/A</v>
      </c>
      <c r="S1507" s="6" t="e">
        <f t="shared" ca="1" si="286"/>
        <v>#N/A</v>
      </c>
      <c r="T1507" s="6">
        <f t="shared" ca="1" si="276"/>
        <v>5</v>
      </c>
      <c r="U1507" s="1">
        <f t="shared" ca="1" si="287"/>
        <v>2000</v>
      </c>
    </row>
    <row r="1508" spans="1:21" x14ac:dyDescent="0.2">
      <c r="A1508" s="7" cm="1">
        <f t="array" aca="1" ref="A1508" ca="1">INDEX(Companies!$A:$A,RANDBETWEEN(2,COUNTA(Companies!$A:$A)),1)</f>
        <v>2</v>
      </c>
      <c r="B1508" s="5">
        <f t="shared" si="277"/>
        <v>1507</v>
      </c>
      <c r="C1508" s="6">
        <f t="shared" ca="1" si="278"/>
        <v>1</v>
      </c>
      <c r="D1508" s="7">
        <f ca="1">IF($B1508 = 1 + N("Presidente"),
    127,
    IF($B1508 = 2 + N("Vice-Presidente"),
        72,
        IF($B1508 = 3 + N("Secretária bilíngue"),
            13,
            RANDBETWEEN(5,COUNT(Name!$A:$A) + 1)
        )
    )
)</f>
        <v>7</v>
      </c>
      <c r="E1508" s="7" t="str">
        <f ca="1" xml:space="preserve">
VLOOKUP(
  $D1508,
  Name!$A:$B,
  2,
  FALSE
)
&amp; " " &amp;
IF($B1508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Adelaide Faria Campos</v>
      </c>
      <c r="F1508" s="7">
        <v>2</v>
      </c>
      <c r="G1508" s="7" cm="1">
        <f t="array" aca="1" ref="G1508" ca="1">INDEX(States!$B:$B,RANDBETWEEN(2,COUNTA(States!$A:$A)),1)</f>
        <v>16</v>
      </c>
      <c r="H1508" s="7" t="str">
        <f ca="1">VLOOKUP($D1508,Name!$A:$C,3,FALSE)</f>
        <v>F</v>
      </c>
      <c r="I1508" s="7" cm="1">
        <f t="array" aca="1" ref="I1508" ca="1">INDEX('Marital status'!$A:$A,RANDBETWEEN(2,COUNTA('Marital status'!$A:$A)),1)</f>
        <v>2</v>
      </c>
      <c r="J1508" s="7">
        <f t="shared" ca="1" si="279"/>
        <v>2</v>
      </c>
      <c r="K1508" s="8">
        <f t="shared" ca="1" si="280"/>
        <v>31188</v>
      </c>
      <c r="L1508" s="6">
        <f t="shared" ca="1" si="281"/>
        <v>4</v>
      </c>
      <c r="M1508" s="7">
        <f ca="1" xml:space="preserve">
  IF(OR($N1508 = 2, $N1508 = 3, $N1508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508" s="6">
        <f t="shared" ca="1" si="282"/>
        <v>7</v>
      </c>
      <c r="O1508" s="6" t="e">
        <f t="shared" ca="1" si="283"/>
        <v>#N/A</v>
      </c>
      <c r="P1508" s="8">
        <f t="shared" ca="1" si="284"/>
        <v>44689</v>
      </c>
      <c r="Q1508" s="6">
        <f ca="1">RANDBETWEEN(2,COUNTA('Recruitment source'!$A:$A))</f>
        <v>6</v>
      </c>
      <c r="R1508" s="8" t="e">
        <f t="shared" ca="1" si="285"/>
        <v>#N/A</v>
      </c>
      <c r="S1508" s="6" t="e">
        <f t="shared" ca="1" si="286"/>
        <v>#N/A</v>
      </c>
      <c r="T1508" s="6">
        <f t="shared" ca="1" si="276"/>
        <v>4</v>
      </c>
      <c r="U1508" s="1">
        <f t="shared" ca="1" si="287"/>
        <v>1005</v>
      </c>
    </row>
    <row r="1509" spans="1:21" x14ac:dyDescent="0.2">
      <c r="A1509" s="7" cm="1">
        <f t="array" aca="1" ref="A1509" ca="1">INDEX(Companies!$A:$A,RANDBETWEEN(2,COUNTA(Companies!$A:$A)),1)</f>
        <v>2</v>
      </c>
      <c r="B1509" s="5">
        <f t="shared" si="277"/>
        <v>1508</v>
      </c>
      <c r="C1509" s="6">
        <f t="shared" ca="1" si="278"/>
        <v>1</v>
      </c>
      <c r="D1509" s="7">
        <f ca="1">IF($B1509 = 1 + N("Presidente"),
    127,
    IF($B1509 = 2 + N("Vice-Presidente"),
        72,
        IF($B1509 = 3 + N("Secretária bilíngue"),
            13,
            RANDBETWEEN(5,COUNT(Name!$A:$A) + 1)
        )
    )
)</f>
        <v>292</v>
      </c>
      <c r="E1509" s="7" t="str">
        <f ca="1" xml:space="preserve">
VLOOKUP(
  $D1509,
  Name!$A:$B,
  2,
  FALSE
)
&amp; " " &amp;
IF($B1509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Micaela Alcantara Negrão</v>
      </c>
      <c r="F1509" s="7">
        <v>2</v>
      </c>
      <c r="G1509" s="7" cm="1">
        <f t="array" aca="1" ref="G1509" ca="1">INDEX(States!$B:$B,RANDBETWEEN(2,COUNTA(States!$A:$A)),1)</f>
        <v>12</v>
      </c>
      <c r="H1509" s="7" t="str">
        <f ca="1">VLOOKUP($D1509,Name!$A:$C,3,FALSE)</f>
        <v>F</v>
      </c>
      <c r="I1509" s="7" cm="1">
        <f t="array" aca="1" ref="I1509" ca="1">INDEX('Marital status'!$A:$A,RANDBETWEEN(2,COUNTA('Marital status'!$A:$A)),1)</f>
        <v>2</v>
      </c>
      <c r="J1509" s="7">
        <f t="shared" ca="1" si="279"/>
        <v>2</v>
      </c>
      <c r="K1509" s="8">
        <f t="shared" ca="1" si="280"/>
        <v>37386</v>
      </c>
      <c r="L1509" s="6">
        <f t="shared" ca="1" si="281"/>
        <v>5</v>
      </c>
      <c r="M1509" s="7">
        <f ca="1" xml:space="preserve">
  IF(OR($N1509 = 2, $N1509 = 3, $N1509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509" s="6">
        <f t="shared" ca="1" si="282"/>
        <v>8</v>
      </c>
      <c r="O1509" s="6">
        <f t="shared" ca="1" si="283"/>
        <v>4</v>
      </c>
      <c r="P1509" s="8">
        <f t="shared" ca="1" si="284"/>
        <v>42294</v>
      </c>
      <c r="Q1509" s="6">
        <f ca="1">RANDBETWEEN(2,COUNTA('Recruitment source'!$A:$A))</f>
        <v>5</v>
      </c>
      <c r="R1509" s="8" t="e">
        <f t="shared" ca="1" si="285"/>
        <v>#N/A</v>
      </c>
      <c r="S1509" s="6" t="e">
        <f t="shared" ca="1" si="286"/>
        <v>#N/A</v>
      </c>
      <c r="T1509" s="6">
        <f t="shared" ca="1" si="276"/>
        <v>2</v>
      </c>
      <c r="U1509" s="1">
        <f t="shared" ca="1" si="287"/>
        <v>2000</v>
      </c>
    </row>
    <row r="1510" spans="1:21" x14ac:dyDescent="0.2">
      <c r="A1510" s="7" cm="1">
        <f t="array" aca="1" ref="A1510" ca="1">INDEX(Companies!$A:$A,RANDBETWEEN(2,COUNTA(Companies!$A:$A)),1)</f>
        <v>2</v>
      </c>
      <c r="B1510" s="5">
        <f t="shared" si="277"/>
        <v>1509</v>
      </c>
      <c r="C1510" s="6">
        <f t="shared" ca="1" si="278"/>
        <v>1</v>
      </c>
      <c r="D1510" s="7">
        <f ca="1">IF($B1510 = 1 + N("Presidente"),
    127,
    IF($B1510 = 2 + N("Vice-Presidente"),
        72,
        IF($B1510 = 3 + N("Secretária bilíngue"),
            13,
            RANDBETWEEN(5,COUNT(Name!$A:$A) + 1)
        )
    )
)</f>
        <v>195</v>
      </c>
      <c r="E1510" s="7" t="str">
        <f ca="1" xml:space="preserve">
VLOOKUP(
  $D1510,
  Name!$A:$B,
  2,
  FALSE
)
&amp; " " &amp;
IF($B1510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Joaquim Poeta Vieira</v>
      </c>
      <c r="F1510" s="7">
        <v>2</v>
      </c>
      <c r="G1510" s="7" cm="1">
        <f t="array" aca="1" ref="G1510" ca="1">INDEX(States!$B:$B,RANDBETWEEN(2,COUNTA(States!$A:$A)),1)</f>
        <v>19</v>
      </c>
      <c r="H1510" s="7" t="str">
        <f ca="1">VLOOKUP($D1510,Name!$A:$C,3,FALSE)</f>
        <v>M</v>
      </c>
      <c r="I1510" s="7" cm="1">
        <f t="array" aca="1" ref="I1510" ca="1">INDEX('Marital status'!$A:$A,RANDBETWEEN(2,COUNTA('Marital status'!$A:$A)),1)</f>
        <v>4</v>
      </c>
      <c r="J1510" s="7">
        <f t="shared" ca="1" si="279"/>
        <v>2</v>
      </c>
      <c r="K1510" s="8">
        <f t="shared" ca="1" si="280"/>
        <v>36037</v>
      </c>
      <c r="L1510" s="6">
        <f t="shared" ca="1" si="281"/>
        <v>4</v>
      </c>
      <c r="M1510" s="7">
        <f ca="1" xml:space="preserve">
  IF(OR($N1510 = 2, $N1510 = 3, $N1510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510" s="6">
        <f t="shared" ca="1" si="282"/>
        <v>7</v>
      </c>
      <c r="O1510" s="6" t="e">
        <f t="shared" ca="1" si="283"/>
        <v>#N/A</v>
      </c>
      <c r="P1510" s="8">
        <f t="shared" ca="1" si="284"/>
        <v>36440</v>
      </c>
      <c r="Q1510" s="6">
        <f ca="1">RANDBETWEEN(2,COUNTA('Recruitment source'!$A:$A))</f>
        <v>10</v>
      </c>
      <c r="R1510" s="8" t="e">
        <f t="shared" ca="1" si="285"/>
        <v>#N/A</v>
      </c>
      <c r="S1510" s="6" t="e">
        <f t="shared" ca="1" si="286"/>
        <v>#N/A</v>
      </c>
      <c r="T1510" s="6">
        <f t="shared" ca="1" si="276"/>
        <v>5</v>
      </c>
      <c r="U1510" s="1">
        <f t="shared" ca="1" si="287"/>
        <v>1085</v>
      </c>
    </row>
    <row r="1511" spans="1:21" x14ac:dyDescent="0.2">
      <c r="A1511" s="7" cm="1">
        <f t="array" aca="1" ref="A1511" ca="1">INDEX(Companies!$A:$A,RANDBETWEEN(2,COUNTA(Companies!$A:$A)),1)</f>
        <v>2</v>
      </c>
      <c r="B1511" s="5">
        <f t="shared" si="277"/>
        <v>1510</v>
      </c>
      <c r="C1511" s="6">
        <f t="shared" ca="1" si="278"/>
        <v>1</v>
      </c>
      <c r="D1511" s="7">
        <f ca="1">IF($B1511 = 1 + N("Presidente"),
    127,
    IF($B1511 = 2 + N("Vice-Presidente"),
        72,
        IF($B1511 = 3 + N("Secretária bilíngue"),
            13,
            RANDBETWEEN(5,COUNT(Name!$A:$A) + 1)
        )
    )
)</f>
        <v>97</v>
      </c>
      <c r="E1511" s="7" t="str">
        <f ca="1" xml:space="preserve">
VLOOKUP(
  $D1511,
  Name!$A:$B,
  2,
  FALSE
)
&amp; " " &amp;
IF($B1511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Claudia Anunciação Testa</v>
      </c>
      <c r="F1511" s="7">
        <v>2</v>
      </c>
      <c r="G1511" s="7" cm="1">
        <f t="array" aca="1" ref="G1511" ca="1">INDEX(States!$B:$B,RANDBETWEEN(2,COUNTA(States!$A:$A)),1)</f>
        <v>3</v>
      </c>
      <c r="H1511" s="7" t="str">
        <f ca="1">VLOOKUP($D1511,Name!$A:$C,3,FALSE)</f>
        <v>F</v>
      </c>
      <c r="I1511" s="7" cm="1">
        <f t="array" aca="1" ref="I1511" ca="1">INDEX('Marital status'!$A:$A,RANDBETWEEN(2,COUNTA('Marital status'!$A:$A)),1)</f>
        <v>2</v>
      </c>
      <c r="J1511" s="7">
        <f t="shared" ca="1" si="279"/>
        <v>2</v>
      </c>
      <c r="K1511" s="8">
        <f t="shared" ca="1" si="280"/>
        <v>33278</v>
      </c>
      <c r="L1511" s="6">
        <f t="shared" ca="1" si="281"/>
        <v>4</v>
      </c>
      <c r="M1511" s="7">
        <f ca="1" xml:space="preserve">
  IF(OR($N1511 = 2, $N1511 = 3, $N1511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511" s="6">
        <f t="shared" ca="1" si="282"/>
        <v>8</v>
      </c>
      <c r="O1511" s="6">
        <f t="shared" ca="1" si="283"/>
        <v>4</v>
      </c>
      <c r="P1511" s="8">
        <f t="shared" ca="1" si="284"/>
        <v>44101</v>
      </c>
      <c r="Q1511" s="6">
        <f ca="1">RANDBETWEEN(2,COUNTA('Recruitment source'!$A:$A))</f>
        <v>9</v>
      </c>
      <c r="R1511" s="8" t="e">
        <f t="shared" ca="1" si="285"/>
        <v>#N/A</v>
      </c>
      <c r="S1511" s="6" t="e">
        <f t="shared" ca="1" si="286"/>
        <v>#N/A</v>
      </c>
      <c r="T1511" s="6">
        <f t="shared" ca="1" si="276"/>
        <v>4</v>
      </c>
      <c r="U1511" s="1">
        <f t="shared" ca="1" si="287"/>
        <v>2000</v>
      </c>
    </row>
    <row r="1512" spans="1:21" x14ac:dyDescent="0.2">
      <c r="A1512" s="7" cm="1">
        <f t="array" aca="1" ref="A1512" ca="1">INDEX(Companies!$A:$A,RANDBETWEEN(2,COUNTA(Companies!$A:$A)),1)</f>
        <v>2</v>
      </c>
      <c r="B1512" s="5">
        <f t="shared" si="277"/>
        <v>1511</v>
      </c>
      <c r="C1512" s="6">
        <f t="shared" ca="1" si="278"/>
        <v>1</v>
      </c>
      <c r="D1512" s="7">
        <f ca="1">IF($B1512 = 1 + N("Presidente"),
    127,
    IF($B1512 = 2 + N("Vice-Presidente"),
        72,
        IF($B1512 = 3 + N("Secretária bilíngue"),
            13,
            RANDBETWEEN(5,COUNT(Name!$A:$A) + 1)
        )
    )
)</f>
        <v>351</v>
      </c>
      <c r="E1512" s="7" t="str">
        <f ca="1" xml:space="preserve">
VLOOKUP(
  $D1512,
  Name!$A:$B,
  2,
  FALSE
)
&amp; " " &amp;
IF($B1512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Vera Lucia Monteiro Romano</v>
      </c>
      <c r="F1512" s="7">
        <v>2</v>
      </c>
      <c r="G1512" s="7" cm="1">
        <f t="array" aca="1" ref="G1512" ca="1">INDEX(States!$B:$B,RANDBETWEEN(2,COUNTA(States!$A:$A)),1)</f>
        <v>5</v>
      </c>
      <c r="H1512" s="7" t="str">
        <f ca="1">VLOOKUP($D1512,Name!$A:$C,3,FALSE)</f>
        <v>F</v>
      </c>
      <c r="I1512" s="7" cm="1">
        <f t="array" aca="1" ref="I1512" ca="1">INDEX('Marital status'!$A:$A,RANDBETWEEN(2,COUNTA('Marital status'!$A:$A)),1)</f>
        <v>2</v>
      </c>
      <c r="J1512" s="7">
        <f t="shared" ca="1" si="279"/>
        <v>3</v>
      </c>
      <c r="K1512" s="8">
        <f t="shared" ca="1" si="280"/>
        <v>28264</v>
      </c>
      <c r="L1512" s="6">
        <f t="shared" ca="1" si="281"/>
        <v>4</v>
      </c>
      <c r="M1512" s="7">
        <f ca="1" xml:space="preserve">
  IF(OR($N1512 = 2, $N1512 = 3, $N1512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512" s="6">
        <f t="shared" ca="1" si="282"/>
        <v>6</v>
      </c>
      <c r="O1512" s="6" t="e">
        <f t="shared" ca="1" si="283"/>
        <v>#N/A</v>
      </c>
      <c r="P1512" s="8">
        <f t="shared" ca="1" si="284"/>
        <v>39006</v>
      </c>
      <c r="Q1512" s="6">
        <f ca="1">RANDBETWEEN(2,COUNTA('Recruitment source'!$A:$A))</f>
        <v>8</v>
      </c>
      <c r="R1512" s="8" t="e">
        <f t="shared" ca="1" si="285"/>
        <v>#N/A</v>
      </c>
      <c r="S1512" s="6" t="e">
        <f t="shared" ca="1" si="286"/>
        <v>#N/A</v>
      </c>
      <c r="T1512" s="6">
        <f t="shared" ca="1" si="276"/>
        <v>2</v>
      </c>
      <c r="U1512" s="1">
        <f t="shared" ca="1" si="287"/>
        <v>805</v>
      </c>
    </row>
    <row r="1513" spans="1:21" x14ac:dyDescent="0.2">
      <c r="A1513" s="7" cm="1">
        <f t="array" aca="1" ref="A1513" ca="1">INDEX(Companies!$A:$A,RANDBETWEEN(2,COUNTA(Companies!$A:$A)),1)</f>
        <v>2</v>
      </c>
      <c r="B1513" s="5">
        <f t="shared" si="277"/>
        <v>1512</v>
      </c>
      <c r="C1513" s="6">
        <f t="shared" ca="1" si="278"/>
        <v>1</v>
      </c>
      <c r="D1513" s="7">
        <f ca="1">IF($B1513 = 1 + N("Presidente"),
    127,
    IF($B1513 = 2 + N("Vice-Presidente"),
        72,
        IF($B1513 = 3 + N("Secretária bilíngue"),
            13,
            RANDBETWEEN(5,COUNT(Name!$A:$A) + 1)
        )
    )
)</f>
        <v>317</v>
      </c>
      <c r="E1513" s="7" t="str">
        <f ca="1" xml:space="preserve">
VLOOKUP(
  $D1513,
  Name!$A:$B,
  2,
  FALSE
)
&amp; " " &amp;
IF($B1513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Henrique Auth Ferrão</v>
      </c>
      <c r="F1513" s="7">
        <v>2</v>
      </c>
      <c r="G1513" s="7" cm="1">
        <f t="array" aca="1" ref="G1513" ca="1">INDEX(States!$B:$B,RANDBETWEEN(2,COUNTA(States!$A:$A)),1)</f>
        <v>5</v>
      </c>
      <c r="H1513" s="7" t="str">
        <f ca="1">VLOOKUP($D1513,Name!$A:$C,3,FALSE)</f>
        <v>M</v>
      </c>
      <c r="I1513" s="7" cm="1">
        <f t="array" aca="1" ref="I1513" ca="1">INDEX('Marital status'!$A:$A,RANDBETWEEN(2,COUNTA('Marital status'!$A:$A)),1)</f>
        <v>5</v>
      </c>
      <c r="J1513" s="7">
        <f t="shared" ca="1" si="279"/>
        <v>2</v>
      </c>
      <c r="K1513" s="8">
        <f t="shared" ca="1" si="280"/>
        <v>34681</v>
      </c>
      <c r="L1513" s="6">
        <f t="shared" ca="1" si="281"/>
        <v>5</v>
      </c>
      <c r="M1513" s="7">
        <f ca="1" xml:space="preserve">
  IF(OR($N1513 = 2, $N1513 = 3, $N1513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513" s="6">
        <f t="shared" ca="1" si="282"/>
        <v>8</v>
      </c>
      <c r="O1513" s="6">
        <f t="shared" ca="1" si="283"/>
        <v>2</v>
      </c>
      <c r="P1513" s="8">
        <f t="shared" ca="1" si="284"/>
        <v>38803</v>
      </c>
      <c r="Q1513" s="6">
        <f ca="1">RANDBETWEEN(2,COUNTA('Recruitment source'!$A:$A))</f>
        <v>5</v>
      </c>
      <c r="R1513" s="8" t="e">
        <f t="shared" ca="1" si="285"/>
        <v>#N/A</v>
      </c>
      <c r="S1513" s="6" t="e">
        <f t="shared" ca="1" si="286"/>
        <v>#N/A</v>
      </c>
      <c r="T1513" s="6">
        <f t="shared" ca="1" si="276"/>
        <v>5</v>
      </c>
      <c r="U1513" s="1">
        <f t="shared" ca="1" si="287"/>
        <v>2080</v>
      </c>
    </row>
    <row r="1514" spans="1:21" x14ac:dyDescent="0.2">
      <c r="A1514" s="7" cm="1">
        <f t="array" aca="1" ref="A1514" ca="1">INDEX(Companies!$A:$A,RANDBETWEEN(2,COUNTA(Companies!$A:$A)),1)</f>
        <v>2</v>
      </c>
      <c r="B1514" s="5">
        <f t="shared" si="277"/>
        <v>1513</v>
      </c>
      <c r="C1514" s="6">
        <f t="shared" ca="1" si="278"/>
        <v>1</v>
      </c>
      <c r="D1514" s="7">
        <f ca="1">IF($B1514 = 1 + N("Presidente"),
    127,
    IF($B1514 = 2 + N("Vice-Presidente"),
        72,
        IF($B1514 = 3 + N("Secretária bilíngue"),
            13,
            RANDBETWEEN(5,COUNT(Name!$A:$A) + 1)
        )
    )
)</f>
        <v>337</v>
      </c>
      <c r="E1514" s="7" t="str">
        <f ca="1" xml:space="preserve">
VLOOKUP(
  $D1514,
  Name!$A:$B,
  2,
  FALSE
)
&amp; " " &amp;
IF($B1514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Sarah Greco Teixeira</v>
      </c>
      <c r="F1514" s="7">
        <v>2</v>
      </c>
      <c r="G1514" s="7" cm="1">
        <f t="array" aca="1" ref="G1514" ca="1">INDEX(States!$B:$B,RANDBETWEEN(2,COUNTA(States!$A:$A)),1)</f>
        <v>15</v>
      </c>
      <c r="H1514" s="7" t="str">
        <f ca="1">VLOOKUP($D1514,Name!$A:$C,3,FALSE)</f>
        <v>F</v>
      </c>
      <c r="I1514" s="7" cm="1">
        <f t="array" aca="1" ref="I1514" ca="1">INDEX('Marital status'!$A:$A,RANDBETWEEN(2,COUNTA('Marital status'!$A:$A)),1)</f>
        <v>3</v>
      </c>
      <c r="J1514" s="7">
        <f t="shared" ca="1" si="279"/>
        <v>2</v>
      </c>
      <c r="K1514" s="8">
        <f t="shared" ca="1" si="280"/>
        <v>30376</v>
      </c>
      <c r="L1514" s="6">
        <f t="shared" ca="1" si="281"/>
        <v>4</v>
      </c>
      <c r="M1514" s="7">
        <f ca="1" xml:space="preserve">
  IF(OR($N1514 = 2, $N1514 = 3, $N1514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514" s="6">
        <f t="shared" ca="1" si="282"/>
        <v>7</v>
      </c>
      <c r="O1514" s="6" t="e">
        <f t="shared" ca="1" si="283"/>
        <v>#N/A</v>
      </c>
      <c r="P1514" s="8">
        <f t="shared" ca="1" si="284"/>
        <v>40866</v>
      </c>
      <c r="Q1514" s="6">
        <f ca="1">RANDBETWEEN(2,COUNTA('Recruitment source'!$A:$A))</f>
        <v>5</v>
      </c>
      <c r="R1514" s="8" t="e">
        <f t="shared" ca="1" si="285"/>
        <v>#N/A</v>
      </c>
      <c r="S1514" s="6" t="e">
        <f t="shared" ca="1" si="286"/>
        <v>#N/A</v>
      </c>
      <c r="T1514" s="6">
        <f t="shared" ca="1" si="276"/>
        <v>3</v>
      </c>
      <c r="U1514" s="1">
        <f t="shared" ca="1" si="287"/>
        <v>1085</v>
      </c>
    </row>
    <row r="1515" spans="1:21" x14ac:dyDescent="0.2">
      <c r="A1515" s="7" cm="1">
        <f t="array" aca="1" ref="A1515" ca="1">INDEX(Companies!$A:$A,RANDBETWEEN(2,COUNTA(Companies!$A:$A)),1)</f>
        <v>2</v>
      </c>
      <c r="B1515" s="5">
        <f t="shared" si="277"/>
        <v>1514</v>
      </c>
      <c r="C1515" s="6">
        <f t="shared" ca="1" si="278"/>
        <v>1</v>
      </c>
      <c r="D1515" s="7">
        <f ca="1">IF($B1515 = 1 + N("Presidente"),
    127,
    IF($B1515 = 2 + N("Vice-Presidente"),
        72,
        IF($B1515 = 3 + N("Secretária bilíngue"),
            13,
            RANDBETWEEN(5,COUNT(Name!$A:$A) + 1)
        )
    )
)</f>
        <v>268</v>
      </c>
      <c r="E1515" s="7" t="str">
        <f ca="1" xml:space="preserve">
VLOOKUP(
  $D1515,
  Name!$A:$B,
  2,
  FALSE
)
&amp; " " &amp;
IF($B1515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Isis Mazza Vieira</v>
      </c>
      <c r="F1515" s="7">
        <v>2</v>
      </c>
      <c r="G1515" s="7" cm="1">
        <f t="array" aca="1" ref="G1515" ca="1">INDEX(States!$B:$B,RANDBETWEEN(2,COUNTA(States!$A:$A)),1)</f>
        <v>2</v>
      </c>
      <c r="H1515" s="7" t="str">
        <f ca="1">VLOOKUP($D1515,Name!$A:$C,3,FALSE)</f>
        <v>F</v>
      </c>
      <c r="I1515" s="7" cm="1">
        <f t="array" aca="1" ref="I1515" ca="1">INDEX('Marital status'!$A:$A,RANDBETWEEN(2,COUNTA('Marital status'!$A:$A)),1)</f>
        <v>4</v>
      </c>
      <c r="J1515" s="7">
        <f t="shared" ca="1" si="279"/>
        <v>2</v>
      </c>
      <c r="K1515" s="8">
        <f t="shared" ca="1" si="280"/>
        <v>35523</v>
      </c>
      <c r="L1515" s="6">
        <f t="shared" ca="1" si="281"/>
        <v>5</v>
      </c>
      <c r="M1515" s="7">
        <f ca="1" xml:space="preserve">
  IF(OR($N1515 = 2, $N1515 = 3, $N1515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515" s="6">
        <f t="shared" ca="1" si="282"/>
        <v>8</v>
      </c>
      <c r="O1515" s="6">
        <f t="shared" ca="1" si="283"/>
        <v>2</v>
      </c>
      <c r="P1515" s="8">
        <f t="shared" ca="1" si="284"/>
        <v>42942</v>
      </c>
      <c r="Q1515" s="6">
        <f ca="1">RANDBETWEEN(2,COUNTA('Recruitment source'!$A:$A))</f>
        <v>10</v>
      </c>
      <c r="R1515" s="8" t="e">
        <f t="shared" ca="1" si="285"/>
        <v>#N/A</v>
      </c>
      <c r="S1515" s="6" t="e">
        <f t="shared" ca="1" si="286"/>
        <v>#N/A</v>
      </c>
      <c r="T1515" s="6">
        <f t="shared" ca="1" si="276"/>
        <v>4</v>
      </c>
      <c r="U1515" s="1">
        <f t="shared" ca="1" si="287"/>
        <v>2000</v>
      </c>
    </row>
    <row r="1516" spans="1:21" x14ac:dyDescent="0.2">
      <c r="A1516" s="7" cm="1">
        <f t="array" aca="1" ref="A1516" ca="1">INDEX(Companies!$A:$A,RANDBETWEEN(2,COUNTA(Companies!$A:$A)),1)</f>
        <v>2</v>
      </c>
      <c r="B1516" s="5">
        <f t="shared" si="277"/>
        <v>1515</v>
      </c>
      <c r="C1516" s="6">
        <f t="shared" ca="1" si="278"/>
        <v>1</v>
      </c>
      <c r="D1516" s="7">
        <f ca="1">IF($B1516 = 1 + N("Presidente"),
    127,
    IF($B1516 = 2 + N("Vice-Presidente"),
        72,
        IF($B1516 = 3 + N("Secretária bilíngue"),
            13,
            RANDBETWEEN(5,COUNT(Name!$A:$A) + 1)
        )
    )
)</f>
        <v>34</v>
      </c>
      <c r="E1516" s="7" t="str">
        <f ca="1" xml:space="preserve">
VLOOKUP(
  $D1516,
  Name!$A:$B,
  2,
  FALSE
)
&amp; " " &amp;
IF($B1516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Liz Carneiro Barbieri</v>
      </c>
      <c r="F1516" s="7">
        <v>2</v>
      </c>
      <c r="G1516" s="7" cm="1">
        <f t="array" aca="1" ref="G1516" ca="1">INDEX(States!$B:$B,RANDBETWEEN(2,COUNTA(States!$A:$A)),1)</f>
        <v>6</v>
      </c>
      <c r="H1516" s="7" t="str">
        <f ca="1">VLOOKUP($D1516,Name!$A:$C,3,FALSE)</f>
        <v>F</v>
      </c>
      <c r="I1516" s="7" cm="1">
        <f t="array" aca="1" ref="I1516" ca="1">INDEX('Marital status'!$A:$A,RANDBETWEEN(2,COUNTA('Marital status'!$A:$A)),1)</f>
        <v>4</v>
      </c>
      <c r="J1516" s="7">
        <f t="shared" ca="1" si="279"/>
        <v>2</v>
      </c>
      <c r="K1516" s="8">
        <f t="shared" ca="1" si="280"/>
        <v>33413</v>
      </c>
      <c r="L1516" s="6">
        <f t="shared" ca="1" si="281"/>
        <v>4</v>
      </c>
      <c r="M1516" s="7">
        <f ca="1" xml:space="preserve">
  IF(OR($N1516 = 2, $N1516 = 3, $N1516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516" s="6">
        <f t="shared" ca="1" si="282"/>
        <v>7</v>
      </c>
      <c r="O1516" s="6" t="e">
        <f t="shared" ca="1" si="283"/>
        <v>#N/A</v>
      </c>
      <c r="P1516" s="8">
        <f t="shared" ca="1" si="284"/>
        <v>36219</v>
      </c>
      <c r="Q1516" s="6">
        <f ca="1">RANDBETWEEN(2,COUNTA('Recruitment source'!$A:$A))</f>
        <v>4</v>
      </c>
      <c r="R1516" s="8" t="e">
        <f t="shared" ca="1" si="285"/>
        <v>#N/A</v>
      </c>
      <c r="S1516" s="6" t="e">
        <f t="shared" ca="1" si="286"/>
        <v>#N/A</v>
      </c>
      <c r="T1516" s="6">
        <f t="shared" ca="1" si="276"/>
        <v>4</v>
      </c>
      <c r="U1516" s="1">
        <f t="shared" ca="1" si="287"/>
        <v>1085</v>
      </c>
    </row>
    <row r="1517" spans="1:21" x14ac:dyDescent="0.2">
      <c r="A1517" s="7" cm="1">
        <f t="array" aca="1" ref="A1517" ca="1">INDEX(Companies!$A:$A,RANDBETWEEN(2,COUNTA(Companies!$A:$A)),1)</f>
        <v>2</v>
      </c>
      <c r="B1517" s="5">
        <f t="shared" si="277"/>
        <v>1516</v>
      </c>
      <c r="C1517" s="6">
        <f t="shared" ca="1" si="278"/>
        <v>1</v>
      </c>
      <c r="D1517" s="7">
        <f ca="1">IF($B1517 = 1 + N("Presidente"),
    127,
    IF($B1517 = 2 + N("Vice-Presidente"),
        72,
        IF($B1517 = 3 + N("Secretária bilíngue"),
            13,
            RANDBETWEEN(5,COUNT(Name!$A:$A) + 1)
        )
    )
)</f>
        <v>346</v>
      </c>
      <c r="E1517" s="7" t="str">
        <f ca="1" xml:space="preserve">
VLOOKUP(
  $D1517,
  Name!$A:$B,
  2,
  FALSE
)
&amp; " " &amp;
IF($B1517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Tomas Aguiar Carneiro</v>
      </c>
      <c r="F1517" s="7">
        <v>2</v>
      </c>
      <c r="G1517" s="7" cm="1">
        <f t="array" aca="1" ref="G1517" ca="1">INDEX(States!$B:$B,RANDBETWEEN(2,COUNTA(States!$A:$A)),1)</f>
        <v>7</v>
      </c>
      <c r="H1517" s="7" t="str">
        <f ca="1">VLOOKUP($D1517,Name!$A:$C,3,FALSE)</f>
        <v>M</v>
      </c>
      <c r="I1517" s="7" cm="1">
        <f t="array" aca="1" ref="I1517" ca="1">INDEX('Marital status'!$A:$A,RANDBETWEEN(2,COUNTA('Marital status'!$A:$A)),1)</f>
        <v>4</v>
      </c>
      <c r="J1517" s="7">
        <f t="shared" ca="1" si="279"/>
        <v>2</v>
      </c>
      <c r="K1517" s="8">
        <f t="shared" ca="1" si="280"/>
        <v>33034</v>
      </c>
      <c r="L1517" s="6">
        <f t="shared" ca="1" si="281"/>
        <v>5</v>
      </c>
      <c r="M1517" s="7">
        <f ca="1" xml:space="preserve">
  IF(OR($N1517 = 2, $N1517 = 3, $N1517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517" s="6">
        <f t="shared" ca="1" si="282"/>
        <v>8</v>
      </c>
      <c r="O1517" s="6">
        <f t="shared" ca="1" si="283"/>
        <v>4</v>
      </c>
      <c r="P1517" s="8">
        <f t="shared" ca="1" si="284"/>
        <v>40039</v>
      </c>
      <c r="Q1517" s="6">
        <f ca="1">RANDBETWEEN(2,COUNTA('Recruitment source'!$A:$A))</f>
        <v>8</v>
      </c>
      <c r="R1517" s="8" t="e">
        <f t="shared" ca="1" si="285"/>
        <v>#N/A</v>
      </c>
      <c r="S1517" s="6" t="e">
        <f t="shared" ca="1" si="286"/>
        <v>#N/A</v>
      </c>
      <c r="T1517" s="6">
        <f t="shared" ca="1" si="276"/>
        <v>5</v>
      </c>
      <c r="U1517" s="1">
        <f t="shared" ca="1" si="287"/>
        <v>2100</v>
      </c>
    </row>
    <row r="1518" spans="1:21" x14ac:dyDescent="0.2">
      <c r="A1518" s="7" cm="1">
        <f t="array" aca="1" ref="A1518" ca="1">INDEX(Companies!$A:$A,RANDBETWEEN(2,COUNTA(Companies!$A:$A)),1)</f>
        <v>2</v>
      </c>
      <c r="B1518" s="5">
        <f t="shared" si="277"/>
        <v>1517</v>
      </c>
      <c r="C1518" s="6">
        <f t="shared" ca="1" si="278"/>
        <v>1</v>
      </c>
      <c r="D1518" s="7">
        <f ca="1">IF($B1518 = 1 + N("Presidente"),
    127,
    IF($B1518 = 2 + N("Vice-Presidente"),
        72,
        IF($B1518 = 3 + N("Secretária bilíngue"),
            13,
            RANDBETWEEN(5,COUNT(Name!$A:$A) + 1)
        )
    )
)</f>
        <v>68</v>
      </c>
      <c r="E1518" s="7" t="str">
        <f ca="1" xml:space="preserve">
VLOOKUP(
  $D1518,
  Name!$A:$B,
  2,
  FALSE
)
&amp; " " &amp;
IF($B1518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Benício Barros Moreira</v>
      </c>
      <c r="F1518" s="7">
        <v>2</v>
      </c>
      <c r="G1518" s="7" cm="1">
        <f t="array" aca="1" ref="G1518" ca="1">INDEX(States!$B:$B,RANDBETWEEN(2,COUNTA(States!$A:$A)),1)</f>
        <v>10</v>
      </c>
      <c r="H1518" s="7" t="str">
        <f ca="1">VLOOKUP($D1518,Name!$A:$C,3,FALSE)</f>
        <v>M</v>
      </c>
      <c r="I1518" s="7" cm="1">
        <f t="array" aca="1" ref="I1518" ca="1">INDEX('Marital status'!$A:$A,RANDBETWEEN(2,COUNTA('Marital status'!$A:$A)),1)</f>
        <v>3</v>
      </c>
      <c r="J1518" s="7">
        <f t="shared" ca="1" si="279"/>
        <v>4</v>
      </c>
      <c r="K1518" s="8">
        <f t="shared" ca="1" si="280"/>
        <v>30969</v>
      </c>
      <c r="L1518" s="6">
        <f t="shared" ca="1" si="281"/>
        <v>4</v>
      </c>
      <c r="M1518" s="7">
        <f ca="1" xml:space="preserve">
  IF(OR($N1518 = 2, $N1518 = 3, $N1518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518" s="6">
        <f t="shared" ca="1" si="282"/>
        <v>6</v>
      </c>
      <c r="O1518" s="6" t="e">
        <f t="shared" ca="1" si="283"/>
        <v>#N/A</v>
      </c>
      <c r="P1518" s="8">
        <f t="shared" ca="1" si="284"/>
        <v>44069</v>
      </c>
      <c r="Q1518" s="6">
        <f ca="1">RANDBETWEEN(2,COUNTA('Recruitment source'!$A:$A))</f>
        <v>9</v>
      </c>
      <c r="R1518" s="8" t="e">
        <f t="shared" ca="1" si="285"/>
        <v>#N/A</v>
      </c>
      <c r="S1518" s="6" t="e">
        <f t="shared" ca="1" si="286"/>
        <v>#N/A</v>
      </c>
      <c r="T1518" s="6">
        <f t="shared" ca="1" si="276"/>
        <v>5</v>
      </c>
      <c r="U1518" s="1">
        <f t="shared" ca="1" si="287"/>
        <v>805</v>
      </c>
    </row>
    <row r="1519" spans="1:21" x14ac:dyDescent="0.2">
      <c r="A1519" s="7" cm="1">
        <f t="array" aca="1" ref="A1519" ca="1">INDEX(Companies!$A:$A,RANDBETWEEN(2,COUNTA(Companies!$A:$A)),1)</f>
        <v>2</v>
      </c>
      <c r="B1519" s="5">
        <f t="shared" si="277"/>
        <v>1518</v>
      </c>
      <c r="C1519" s="6">
        <f t="shared" ca="1" si="278"/>
        <v>1</v>
      </c>
      <c r="D1519" s="7">
        <f ca="1">IF($B1519 = 1 + N("Presidente"),
    127,
    IF($B1519 = 2 + N("Vice-Presidente"),
        72,
        IF($B1519 = 3 + N("Secretária bilíngue"),
            13,
            RANDBETWEEN(5,COUNT(Name!$A:$A) + 1)
        )
    )
)</f>
        <v>231</v>
      </c>
      <c r="E1519" s="7" t="str">
        <f ca="1" xml:space="preserve">
VLOOKUP(
  $D1519,
  Name!$A:$B,
  2,
  FALSE
)
&amp; " " &amp;
IF($B1519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Lorenna Frois Botelho</v>
      </c>
      <c r="F1519" s="7">
        <v>2</v>
      </c>
      <c r="G1519" s="7" cm="1">
        <f t="array" aca="1" ref="G1519" ca="1">INDEX(States!$B:$B,RANDBETWEEN(2,COUNTA(States!$A:$A)),1)</f>
        <v>18</v>
      </c>
      <c r="H1519" s="7" t="str">
        <f ca="1">VLOOKUP($D1519,Name!$A:$C,3,FALSE)</f>
        <v>F</v>
      </c>
      <c r="I1519" s="7" cm="1">
        <f t="array" aca="1" ref="I1519" ca="1">INDEX('Marital status'!$A:$A,RANDBETWEEN(2,COUNTA('Marital status'!$A:$A)),1)</f>
        <v>2</v>
      </c>
      <c r="J1519" s="7">
        <f t="shared" ca="1" si="279"/>
        <v>3</v>
      </c>
      <c r="K1519" s="8">
        <f t="shared" ca="1" si="280"/>
        <v>32473</v>
      </c>
      <c r="L1519" s="6">
        <f t="shared" ca="1" si="281"/>
        <v>5</v>
      </c>
      <c r="M1519" s="7">
        <f ca="1" xml:space="preserve">
  IF(OR($N1519 = 2, $N1519 = 3, $N1519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519" s="6">
        <f t="shared" ca="1" si="282"/>
        <v>8</v>
      </c>
      <c r="O1519" s="6">
        <f t="shared" ca="1" si="283"/>
        <v>2</v>
      </c>
      <c r="P1519" s="8">
        <f t="shared" ca="1" si="284"/>
        <v>37895</v>
      </c>
      <c r="Q1519" s="6">
        <f ca="1">RANDBETWEEN(2,COUNTA('Recruitment source'!$A:$A))</f>
        <v>3</v>
      </c>
      <c r="R1519" s="8" t="e">
        <f t="shared" ca="1" si="285"/>
        <v>#N/A</v>
      </c>
      <c r="S1519" s="6" t="e">
        <f t="shared" ca="1" si="286"/>
        <v>#N/A</v>
      </c>
      <c r="T1519" s="6">
        <f t="shared" ca="1" si="276"/>
        <v>2</v>
      </c>
      <c r="U1519" s="1">
        <f t="shared" ca="1" si="287"/>
        <v>2080</v>
      </c>
    </row>
    <row r="1520" spans="1:21" x14ac:dyDescent="0.2">
      <c r="A1520" s="7" cm="1">
        <f t="array" aca="1" ref="A1520" ca="1">INDEX(Companies!$A:$A,RANDBETWEEN(2,COUNTA(Companies!$A:$A)),1)</f>
        <v>2</v>
      </c>
      <c r="B1520" s="5">
        <f t="shared" si="277"/>
        <v>1519</v>
      </c>
      <c r="C1520" s="6">
        <f t="shared" ca="1" si="278"/>
        <v>1</v>
      </c>
      <c r="D1520" s="7">
        <f ca="1">IF($B1520 = 1 + N("Presidente"),
    127,
    IF($B1520 = 2 + N("Vice-Presidente"),
        72,
        IF($B1520 = 3 + N("Secretária bilíngue"),
            13,
            RANDBETWEEN(5,COUNT(Name!$A:$A) + 1)
        )
    )
)</f>
        <v>47</v>
      </c>
      <c r="E1520" s="7" t="str">
        <f ca="1" xml:space="preserve">
VLOOKUP(
  $D1520,
  Name!$A:$B,
  2,
  FALSE
)
&amp; " " &amp;
IF($B1520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Anne Caroline Colombo Zil</v>
      </c>
      <c r="F1520" s="7">
        <v>2</v>
      </c>
      <c r="G1520" s="7" cm="1">
        <f t="array" aca="1" ref="G1520" ca="1">INDEX(States!$B:$B,RANDBETWEEN(2,COUNTA(States!$A:$A)),1)</f>
        <v>21</v>
      </c>
      <c r="H1520" s="7" t="str">
        <f ca="1">VLOOKUP($D1520,Name!$A:$C,3,FALSE)</f>
        <v>F</v>
      </c>
      <c r="I1520" s="7" cm="1">
        <f t="array" aca="1" ref="I1520" ca="1">INDEX('Marital status'!$A:$A,RANDBETWEEN(2,COUNTA('Marital status'!$A:$A)),1)</f>
        <v>4</v>
      </c>
      <c r="J1520" s="7">
        <f t="shared" ca="1" si="279"/>
        <v>5</v>
      </c>
      <c r="K1520" s="8">
        <f t="shared" ca="1" si="280"/>
        <v>30459</v>
      </c>
      <c r="L1520" s="6">
        <f t="shared" ca="1" si="281"/>
        <v>4</v>
      </c>
      <c r="M1520" s="7">
        <f ca="1" xml:space="preserve">
  IF(OR($N1520 = 2, $N1520 = 3, $N1520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520" s="6">
        <f t="shared" ca="1" si="282"/>
        <v>6</v>
      </c>
      <c r="O1520" s="6" t="e">
        <f t="shared" ca="1" si="283"/>
        <v>#N/A</v>
      </c>
      <c r="P1520" s="8">
        <f t="shared" ca="1" si="284"/>
        <v>43221</v>
      </c>
      <c r="Q1520" s="6">
        <f ca="1">RANDBETWEEN(2,COUNTA('Recruitment source'!$A:$A))</f>
        <v>11</v>
      </c>
      <c r="R1520" s="8" t="e">
        <f t="shared" ca="1" si="285"/>
        <v>#N/A</v>
      </c>
      <c r="S1520" s="6" t="e">
        <f t="shared" ca="1" si="286"/>
        <v>#N/A</v>
      </c>
      <c r="T1520" s="6">
        <f t="shared" ca="1" si="276"/>
        <v>5</v>
      </c>
      <c r="U1520" s="1">
        <f t="shared" ca="1" si="287"/>
        <v>805</v>
      </c>
    </row>
    <row r="1521" spans="1:21" x14ac:dyDescent="0.2">
      <c r="A1521" s="7" cm="1">
        <f t="array" aca="1" ref="A1521" ca="1">INDEX(Companies!$A:$A,RANDBETWEEN(2,COUNTA(Companies!$A:$A)),1)</f>
        <v>2</v>
      </c>
      <c r="B1521" s="5">
        <f t="shared" si="277"/>
        <v>1520</v>
      </c>
      <c r="C1521" s="6">
        <f t="shared" ca="1" si="278"/>
        <v>1</v>
      </c>
      <c r="D1521" s="7">
        <f ca="1">IF($B1521 = 1 + N("Presidente"),
    127,
    IF($B1521 = 2 + N("Vice-Presidente"),
        72,
        IF($B1521 = 3 + N("Secretária bilíngue"),
            13,
            RANDBETWEEN(5,COUNT(Name!$A:$A) + 1)
        )
    )
)</f>
        <v>36</v>
      </c>
      <c r="E1521" s="7" t="str">
        <f ca="1" xml:space="preserve">
VLOOKUP(
  $D1521,
  Name!$A:$B,
  2,
  FALSE
)
&amp; " " &amp;
IF($B1521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Sophia Alcantara Barbieri</v>
      </c>
      <c r="F1521" s="7">
        <v>2</v>
      </c>
      <c r="G1521" s="7" cm="1">
        <f t="array" aca="1" ref="G1521" ca="1">INDEX(States!$B:$B,RANDBETWEEN(2,COUNTA(States!$A:$A)),1)</f>
        <v>10</v>
      </c>
      <c r="H1521" s="7" t="str">
        <f ca="1">VLOOKUP($D1521,Name!$A:$C,3,FALSE)</f>
        <v>F</v>
      </c>
      <c r="I1521" s="7" cm="1">
        <f t="array" aca="1" ref="I1521" ca="1">INDEX('Marital status'!$A:$A,RANDBETWEEN(2,COUNTA('Marital status'!$A:$A)),1)</f>
        <v>6</v>
      </c>
      <c r="J1521" s="7">
        <f t="shared" ca="1" si="279"/>
        <v>2</v>
      </c>
      <c r="K1521" s="8">
        <f t="shared" ca="1" si="280"/>
        <v>36269</v>
      </c>
      <c r="L1521" s="6">
        <f t="shared" ca="1" si="281"/>
        <v>4</v>
      </c>
      <c r="M1521" s="7">
        <f ca="1" xml:space="preserve">
  IF(OR($N1521 = 2, $N1521 = 3, $N1521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521" s="6">
        <f t="shared" ca="1" si="282"/>
        <v>8</v>
      </c>
      <c r="O1521" s="6">
        <f t="shared" ca="1" si="283"/>
        <v>4</v>
      </c>
      <c r="P1521" s="8">
        <f t="shared" ca="1" si="284"/>
        <v>44042</v>
      </c>
      <c r="Q1521" s="6">
        <f ca="1">RANDBETWEEN(2,COUNTA('Recruitment source'!$A:$A))</f>
        <v>5</v>
      </c>
      <c r="R1521" s="8" t="e">
        <f t="shared" ca="1" si="285"/>
        <v>#N/A</v>
      </c>
      <c r="S1521" s="6" t="e">
        <f t="shared" ca="1" si="286"/>
        <v>#N/A</v>
      </c>
      <c r="T1521" s="6">
        <f t="shared" ca="1" si="276"/>
        <v>4</v>
      </c>
      <c r="U1521" s="1">
        <f t="shared" ca="1" si="287"/>
        <v>2000</v>
      </c>
    </row>
    <row r="1522" spans="1:21" x14ac:dyDescent="0.2">
      <c r="A1522" s="7" cm="1">
        <f t="array" aca="1" ref="A1522" ca="1">INDEX(Companies!$A:$A,RANDBETWEEN(2,COUNTA(Companies!$A:$A)),1)</f>
        <v>2</v>
      </c>
      <c r="B1522" s="5">
        <f t="shared" si="277"/>
        <v>1521</v>
      </c>
      <c r="C1522" s="6">
        <f t="shared" ca="1" si="278"/>
        <v>1</v>
      </c>
      <c r="D1522" s="7">
        <f ca="1">IF($B1522 = 1 + N("Presidente"),
    127,
    IF($B1522 = 2 + N("Vice-Presidente"),
        72,
        IF($B1522 = 3 + N("Secretária bilíngue"),
            13,
            RANDBETWEEN(5,COUNT(Name!$A:$A) + 1)
        )
    )
)</f>
        <v>238</v>
      </c>
      <c r="E1522" s="7" t="str">
        <f ca="1" xml:space="preserve">
VLOOKUP(
  $D1522,
  Name!$A:$B,
  2,
  FALSE
)
&amp; " " &amp;
IF($B1522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Lucas Leone Alves</v>
      </c>
      <c r="F1522" s="7">
        <v>2</v>
      </c>
      <c r="G1522" s="7" cm="1">
        <f t="array" aca="1" ref="G1522" ca="1">INDEX(States!$B:$B,RANDBETWEEN(2,COUNTA(States!$A:$A)),1)</f>
        <v>16</v>
      </c>
      <c r="H1522" s="7" t="str">
        <f ca="1">VLOOKUP($D1522,Name!$A:$C,3,FALSE)</f>
        <v>M</v>
      </c>
      <c r="I1522" s="7" cm="1">
        <f t="array" aca="1" ref="I1522" ca="1">INDEX('Marital status'!$A:$A,RANDBETWEEN(2,COUNTA('Marital status'!$A:$A)),1)</f>
        <v>6</v>
      </c>
      <c r="J1522" s="7">
        <f t="shared" ca="1" si="279"/>
        <v>2</v>
      </c>
      <c r="K1522" s="8">
        <f t="shared" ca="1" si="280"/>
        <v>24937</v>
      </c>
      <c r="L1522" s="6">
        <f t="shared" ca="1" si="281"/>
        <v>4</v>
      </c>
      <c r="M1522" s="7">
        <f ca="1" xml:space="preserve">
  IF(OR($N1522 = 2, $N1522 = 3, $N1522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522" s="6">
        <f t="shared" ca="1" si="282"/>
        <v>6</v>
      </c>
      <c r="O1522" s="6" t="e">
        <f t="shared" ca="1" si="283"/>
        <v>#N/A</v>
      </c>
      <c r="P1522" s="8">
        <f t="shared" ca="1" si="284"/>
        <v>37074</v>
      </c>
      <c r="Q1522" s="6">
        <f ca="1">RANDBETWEEN(2,COUNTA('Recruitment source'!$A:$A))</f>
        <v>10</v>
      </c>
      <c r="R1522" s="8" t="e">
        <f t="shared" ca="1" si="285"/>
        <v>#N/A</v>
      </c>
      <c r="S1522" s="6" t="e">
        <f t="shared" ca="1" si="286"/>
        <v>#N/A</v>
      </c>
      <c r="T1522" s="6">
        <f t="shared" ca="1" si="276"/>
        <v>3</v>
      </c>
      <c r="U1522" s="1">
        <f t="shared" ca="1" si="287"/>
        <v>805</v>
      </c>
    </row>
    <row r="1523" spans="1:21" x14ac:dyDescent="0.2">
      <c r="A1523" s="7" cm="1">
        <f t="array" aca="1" ref="A1523" ca="1">INDEX(Companies!$A:$A,RANDBETWEEN(2,COUNTA(Companies!$A:$A)),1)</f>
        <v>2</v>
      </c>
      <c r="B1523" s="5">
        <f t="shared" si="277"/>
        <v>1522</v>
      </c>
      <c r="C1523" s="6">
        <f t="shared" ca="1" si="278"/>
        <v>1</v>
      </c>
      <c r="D1523" s="7">
        <f ca="1">IF($B1523 = 1 + N("Presidente"),
    127,
    IF($B1523 = 2 + N("Vice-Presidente"),
        72,
        IF($B1523 = 3 + N("Secretária bilíngue"),
            13,
            RANDBETWEEN(5,COUNT(Name!$A:$A) + 1)
        )
    )
)</f>
        <v>48</v>
      </c>
      <c r="E1523" s="7" t="str">
        <f ca="1" xml:space="preserve">
VLOOKUP(
  $D1523,
  Name!$A:$B,
  2,
  FALSE
)
&amp; " " &amp;
IF($B1523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Anthony Lima Nascimento</v>
      </c>
      <c r="F1523" s="7">
        <v>2</v>
      </c>
      <c r="G1523" s="7" cm="1">
        <f t="array" aca="1" ref="G1523" ca="1">INDEX(States!$B:$B,RANDBETWEEN(2,COUNTA(States!$A:$A)),1)</f>
        <v>17</v>
      </c>
      <c r="H1523" s="7" t="str">
        <f ca="1">VLOOKUP($D1523,Name!$A:$C,3,FALSE)</f>
        <v>M</v>
      </c>
      <c r="I1523" s="7" cm="1">
        <f t="array" aca="1" ref="I1523" ca="1">INDEX('Marital status'!$A:$A,RANDBETWEEN(2,COUNTA('Marital status'!$A:$A)),1)</f>
        <v>5</v>
      </c>
      <c r="J1523" s="7">
        <f t="shared" ca="1" si="279"/>
        <v>2</v>
      </c>
      <c r="K1523" s="8">
        <f t="shared" ca="1" si="280"/>
        <v>34328</v>
      </c>
      <c r="L1523" s="6">
        <f t="shared" ca="1" si="281"/>
        <v>5</v>
      </c>
      <c r="M1523" s="7">
        <f ca="1" xml:space="preserve">
  IF(OR($N1523 = 2, $N1523 = 3, $N1523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523" s="6">
        <f t="shared" ca="1" si="282"/>
        <v>8</v>
      </c>
      <c r="O1523" s="6">
        <f t="shared" ca="1" si="283"/>
        <v>4</v>
      </c>
      <c r="P1523" s="8">
        <f t="shared" ca="1" si="284"/>
        <v>39328</v>
      </c>
      <c r="Q1523" s="6">
        <f ca="1">RANDBETWEEN(2,COUNTA('Recruitment source'!$A:$A))</f>
        <v>12</v>
      </c>
      <c r="R1523" s="8" t="e">
        <f t="shared" ca="1" si="285"/>
        <v>#N/A</v>
      </c>
      <c r="S1523" s="6" t="e">
        <f t="shared" ca="1" si="286"/>
        <v>#N/A</v>
      </c>
      <c r="T1523" s="6">
        <f t="shared" ca="1" si="276"/>
        <v>4</v>
      </c>
      <c r="U1523" s="1">
        <f t="shared" ca="1" si="287"/>
        <v>2000</v>
      </c>
    </row>
    <row r="1524" spans="1:21" x14ac:dyDescent="0.2">
      <c r="A1524" s="7" cm="1">
        <f t="array" aca="1" ref="A1524" ca="1">INDEX(Companies!$A:$A,RANDBETWEEN(2,COUNTA(Companies!$A:$A)),1)</f>
        <v>2</v>
      </c>
      <c r="B1524" s="5">
        <f t="shared" si="277"/>
        <v>1523</v>
      </c>
      <c r="C1524" s="6">
        <f t="shared" ca="1" si="278"/>
        <v>1</v>
      </c>
      <c r="D1524" s="7">
        <f ca="1">IF($B1524 = 1 + N("Presidente"),
    127,
    IF($B1524 = 2 + N("Vice-Presidente"),
        72,
        IF($B1524 = 3 + N("Secretária bilíngue"),
            13,
            RANDBETWEEN(5,COUNT(Name!$A:$A) + 1)
        )
    )
)</f>
        <v>97</v>
      </c>
      <c r="E1524" s="7" t="str">
        <f ca="1" xml:space="preserve">
VLOOKUP(
  $D1524,
  Name!$A:$B,
  2,
  FALSE
)
&amp; " " &amp;
IF($B1524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Claudia Peçanha Martins</v>
      </c>
      <c r="F1524" s="7">
        <v>2</v>
      </c>
      <c r="G1524" s="7" cm="1">
        <f t="array" aca="1" ref="G1524" ca="1">INDEX(States!$B:$B,RANDBETWEEN(2,COUNTA(States!$A:$A)),1)</f>
        <v>11</v>
      </c>
      <c r="H1524" s="7" t="str">
        <f ca="1">VLOOKUP($D1524,Name!$A:$C,3,FALSE)</f>
        <v>F</v>
      </c>
      <c r="I1524" s="7" cm="1">
        <f t="array" aca="1" ref="I1524" ca="1">INDEX('Marital status'!$A:$A,RANDBETWEEN(2,COUNTA('Marital status'!$A:$A)),1)</f>
        <v>3</v>
      </c>
      <c r="J1524" s="7">
        <f t="shared" ca="1" si="279"/>
        <v>2</v>
      </c>
      <c r="K1524" s="8">
        <f t="shared" ca="1" si="280"/>
        <v>32246</v>
      </c>
      <c r="L1524" s="6">
        <f t="shared" ca="1" si="281"/>
        <v>4</v>
      </c>
      <c r="M1524" s="7">
        <f ca="1" xml:space="preserve">
  IF(OR($N1524 = 2, $N1524 = 3, $N1524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524" s="6">
        <f t="shared" ca="1" si="282"/>
        <v>6</v>
      </c>
      <c r="O1524" s="6" t="e">
        <f t="shared" ca="1" si="283"/>
        <v>#N/A</v>
      </c>
      <c r="P1524" s="8">
        <f t="shared" ca="1" si="284"/>
        <v>43138</v>
      </c>
      <c r="Q1524" s="6">
        <f ca="1">RANDBETWEEN(2,COUNTA('Recruitment source'!$A:$A))</f>
        <v>2</v>
      </c>
      <c r="R1524" s="8" t="e">
        <f t="shared" ca="1" si="285"/>
        <v>#N/A</v>
      </c>
      <c r="S1524" s="6" t="e">
        <f t="shared" ca="1" si="286"/>
        <v>#N/A</v>
      </c>
      <c r="T1524" s="6">
        <f t="shared" ca="1" si="276"/>
        <v>3</v>
      </c>
      <c r="U1524" s="1">
        <f t="shared" ca="1" si="287"/>
        <v>885</v>
      </c>
    </row>
    <row r="1525" spans="1:21" x14ac:dyDescent="0.2">
      <c r="A1525" s="7" cm="1">
        <f t="array" aca="1" ref="A1525" ca="1">INDEX(Companies!$A:$A,RANDBETWEEN(2,COUNTA(Companies!$A:$A)),1)</f>
        <v>2</v>
      </c>
      <c r="B1525" s="5">
        <f t="shared" si="277"/>
        <v>1524</v>
      </c>
      <c r="C1525" s="6">
        <f t="shared" ca="1" si="278"/>
        <v>1</v>
      </c>
      <c r="D1525" s="7">
        <f ca="1">IF($B1525 = 1 + N("Presidente"),
    127,
    IF($B1525 = 2 + N("Vice-Presidente"),
        72,
        IF($B1525 = 3 + N("Secretária bilíngue"),
            13,
            RANDBETWEEN(5,COUNT(Name!$A:$A) + 1)
        )
    )
)</f>
        <v>263</v>
      </c>
      <c r="E1525" s="7" t="str">
        <f ca="1" xml:space="preserve">
VLOOKUP(
  $D1525,
  Name!$A:$B,
  2,
  FALSE
)
&amp; " " &amp;
IF($B1525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Fernanda Ferrão Marques</v>
      </c>
      <c r="F1525" s="7">
        <v>2</v>
      </c>
      <c r="G1525" s="7" cm="1">
        <f t="array" aca="1" ref="G1525" ca="1">INDEX(States!$B:$B,RANDBETWEEN(2,COUNTA(States!$A:$A)),1)</f>
        <v>14</v>
      </c>
      <c r="H1525" s="7" t="str">
        <f ca="1">VLOOKUP($D1525,Name!$A:$C,3,FALSE)</f>
        <v>F</v>
      </c>
      <c r="I1525" s="7" cm="1">
        <f t="array" aca="1" ref="I1525" ca="1">INDEX('Marital status'!$A:$A,RANDBETWEEN(2,COUNTA('Marital status'!$A:$A)),1)</f>
        <v>2</v>
      </c>
      <c r="J1525" s="7">
        <f t="shared" ca="1" si="279"/>
        <v>2</v>
      </c>
      <c r="K1525" s="8">
        <f t="shared" ca="1" si="280"/>
        <v>36075</v>
      </c>
      <c r="L1525" s="6">
        <f t="shared" ca="1" si="281"/>
        <v>4</v>
      </c>
      <c r="M1525" s="7">
        <f ca="1" xml:space="preserve">
  IF(OR($N1525 = 2, $N1525 = 3, $N1525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525" s="6">
        <f t="shared" ca="1" si="282"/>
        <v>8</v>
      </c>
      <c r="O1525" s="6">
        <f t="shared" ca="1" si="283"/>
        <v>4</v>
      </c>
      <c r="P1525" s="8">
        <f t="shared" ca="1" si="284"/>
        <v>40535</v>
      </c>
      <c r="Q1525" s="6">
        <f ca="1">RANDBETWEEN(2,COUNTA('Recruitment source'!$A:$A))</f>
        <v>4</v>
      </c>
      <c r="R1525" s="8" t="e">
        <f t="shared" ca="1" si="285"/>
        <v>#N/A</v>
      </c>
      <c r="S1525" s="6" t="e">
        <f t="shared" ca="1" si="286"/>
        <v>#N/A</v>
      </c>
      <c r="T1525" s="6">
        <f t="shared" ca="1" si="276"/>
        <v>4</v>
      </c>
      <c r="U1525" s="1">
        <f t="shared" ca="1" si="287"/>
        <v>2000</v>
      </c>
    </row>
    <row r="1526" spans="1:21" x14ac:dyDescent="0.2">
      <c r="A1526" s="7" cm="1">
        <f t="array" aca="1" ref="A1526" ca="1">INDEX(Companies!$A:$A,RANDBETWEEN(2,COUNTA(Companies!$A:$A)),1)</f>
        <v>2</v>
      </c>
      <c r="B1526" s="5">
        <f t="shared" si="277"/>
        <v>1525</v>
      </c>
      <c r="C1526" s="6">
        <f t="shared" ca="1" si="278"/>
        <v>1</v>
      </c>
      <c r="D1526" s="7">
        <f ca="1">IF($B1526 = 1 + N("Presidente"),
    127,
    IF($B1526 = 2 + N("Vice-Presidente"),
        72,
        IF($B1526 = 3 + N("Secretária bilíngue"),
            13,
            RANDBETWEEN(5,COUNT(Name!$A:$A) + 1)
        )
    )
)</f>
        <v>315</v>
      </c>
      <c r="E1526" s="7" t="str">
        <f ca="1" xml:space="preserve">
VLOOKUP(
  $D1526,
  Name!$A:$B,
  2,
  FALSE
)
&amp; " " &amp;
IF($B1526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Peter Aguiar Caminha</v>
      </c>
      <c r="F1526" s="7">
        <v>2</v>
      </c>
      <c r="G1526" s="7" cm="1">
        <f t="array" aca="1" ref="G1526" ca="1">INDEX(States!$B:$B,RANDBETWEEN(2,COUNTA(States!$A:$A)),1)</f>
        <v>21</v>
      </c>
      <c r="H1526" s="7" t="str">
        <f ca="1">VLOOKUP($D1526,Name!$A:$C,3,FALSE)</f>
        <v>M</v>
      </c>
      <c r="I1526" s="7" cm="1">
        <f t="array" aca="1" ref="I1526" ca="1">INDEX('Marital status'!$A:$A,RANDBETWEEN(2,COUNTA('Marital status'!$A:$A)),1)</f>
        <v>3</v>
      </c>
      <c r="J1526" s="7">
        <f t="shared" ca="1" si="279"/>
        <v>3</v>
      </c>
      <c r="K1526" s="8">
        <f t="shared" ca="1" si="280"/>
        <v>25828</v>
      </c>
      <c r="L1526" s="6">
        <f t="shared" ca="1" si="281"/>
        <v>4</v>
      </c>
      <c r="M1526" s="7">
        <f ca="1" xml:space="preserve">
  IF(OR($N1526 = 2, $N1526 = 3, $N1526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526" s="6">
        <f t="shared" ca="1" si="282"/>
        <v>6</v>
      </c>
      <c r="O1526" s="6" t="e">
        <f t="shared" ca="1" si="283"/>
        <v>#N/A</v>
      </c>
      <c r="P1526" s="8">
        <f t="shared" ca="1" si="284"/>
        <v>38334</v>
      </c>
      <c r="Q1526" s="6">
        <f ca="1">RANDBETWEEN(2,COUNTA('Recruitment source'!$A:$A))</f>
        <v>2</v>
      </c>
      <c r="R1526" s="8" t="e">
        <f t="shared" ca="1" si="285"/>
        <v>#N/A</v>
      </c>
      <c r="S1526" s="6" t="e">
        <f t="shared" ca="1" si="286"/>
        <v>#N/A</v>
      </c>
      <c r="T1526" s="6">
        <f t="shared" ca="1" si="276"/>
        <v>5</v>
      </c>
      <c r="U1526" s="1">
        <f t="shared" ca="1" si="287"/>
        <v>805</v>
      </c>
    </row>
    <row r="1527" spans="1:21" x14ac:dyDescent="0.2">
      <c r="A1527" s="7" cm="1">
        <f t="array" aca="1" ref="A1527" ca="1">INDEX(Companies!$A:$A,RANDBETWEEN(2,COUNTA(Companies!$A:$A)),1)</f>
        <v>2</v>
      </c>
      <c r="B1527" s="5">
        <f t="shared" si="277"/>
        <v>1526</v>
      </c>
      <c r="C1527" s="6">
        <f t="shared" ca="1" si="278"/>
        <v>1</v>
      </c>
      <c r="D1527" s="7">
        <f ca="1">IF($B1527 = 1 + N("Presidente"),
    127,
    IF($B1527 = 2 + N("Vice-Presidente"),
        72,
        IF($B1527 = 3 + N("Secretária bilíngue"),
            13,
            RANDBETWEEN(5,COUNT(Name!$A:$A) + 1)
        )
    )
)</f>
        <v>69</v>
      </c>
      <c r="E1527" s="7" t="str">
        <f ca="1" xml:space="preserve">
VLOOKUP(
  $D1527,
  Name!$A:$B,
  2,
  FALSE
)
&amp; " " &amp;
IF($B1527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Benjamin Alvarenga Saragoça</v>
      </c>
      <c r="F1527" s="7">
        <v>2</v>
      </c>
      <c r="G1527" s="7" cm="1">
        <f t="array" aca="1" ref="G1527" ca="1">INDEX(States!$B:$B,RANDBETWEEN(2,COUNTA(States!$A:$A)),1)</f>
        <v>10</v>
      </c>
      <c r="H1527" s="7" t="str">
        <f ca="1">VLOOKUP($D1527,Name!$A:$C,3,FALSE)</f>
        <v>M</v>
      </c>
      <c r="I1527" s="7" cm="1">
        <f t="array" aca="1" ref="I1527" ca="1">INDEX('Marital status'!$A:$A,RANDBETWEEN(2,COUNTA('Marital status'!$A:$A)),1)</f>
        <v>3</v>
      </c>
      <c r="J1527" s="7">
        <f t="shared" ca="1" si="279"/>
        <v>2</v>
      </c>
      <c r="K1527" s="8">
        <f t="shared" ca="1" si="280"/>
        <v>33053</v>
      </c>
      <c r="L1527" s="6">
        <f t="shared" ca="1" si="281"/>
        <v>4</v>
      </c>
      <c r="M1527" s="7">
        <f ca="1" xml:space="preserve">
  IF(OR($N1527 = 2, $N1527 = 3, $N1527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527" s="6">
        <f t="shared" ca="1" si="282"/>
        <v>8</v>
      </c>
      <c r="O1527" s="6">
        <f t="shared" ca="1" si="283"/>
        <v>3</v>
      </c>
      <c r="P1527" s="8">
        <f t="shared" ca="1" si="284"/>
        <v>44097</v>
      </c>
      <c r="Q1527" s="6">
        <f ca="1">RANDBETWEEN(2,COUNTA('Recruitment source'!$A:$A))</f>
        <v>7</v>
      </c>
      <c r="R1527" s="8" t="e">
        <f t="shared" ca="1" si="285"/>
        <v>#N/A</v>
      </c>
      <c r="S1527" s="6" t="e">
        <f t="shared" ca="1" si="286"/>
        <v>#N/A</v>
      </c>
      <c r="T1527" s="6">
        <f t="shared" ca="1" si="276"/>
        <v>5</v>
      </c>
      <c r="U1527" s="1">
        <f t="shared" ca="1" si="287"/>
        <v>2000</v>
      </c>
    </row>
    <row r="1528" spans="1:21" x14ac:dyDescent="0.2">
      <c r="A1528" s="7" cm="1">
        <f t="array" aca="1" ref="A1528" ca="1">INDEX(Companies!$A:$A,RANDBETWEEN(2,COUNTA(Companies!$A:$A)),1)</f>
        <v>2</v>
      </c>
      <c r="B1528" s="5">
        <f t="shared" si="277"/>
        <v>1527</v>
      </c>
      <c r="C1528" s="6">
        <f t="shared" ca="1" si="278"/>
        <v>1</v>
      </c>
      <c r="D1528" s="7">
        <f ca="1">IF($B1528 = 1 + N("Presidente"),
    127,
    IF($B1528 = 2 + N("Vice-Presidente"),
        72,
        IF($B1528 = 3 + N("Secretária bilíngue"),
            13,
            RANDBETWEEN(5,COUNT(Name!$A:$A) + 1)
        )
    )
)</f>
        <v>129</v>
      </c>
      <c r="E1528" s="7" t="str">
        <f ca="1" xml:space="preserve">
VLOOKUP(
  $D1528,
  Name!$A:$B,
  2,
  FALSE
)
&amp; " " &amp;
IF($B1528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Enzo Miguel Oliveira Araújo</v>
      </c>
      <c r="F1528" s="7">
        <v>2</v>
      </c>
      <c r="G1528" s="7" cm="1">
        <f t="array" aca="1" ref="G1528" ca="1">INDEX(States!$B:$B,RANDBETWEEN(2,COUNTA(States!$A:$A)),1)</f>
        <v>18</v>
      </c>
      <c r="H1528" s="7" t="str">
        <f ca="1">VLOOKUP($D1528,Name!$A:$C,3,FALSE)</f>
        <v>M</v>
      </c>
      <c r="I1528" s="7" cm="1">
        <f t="array" aca="1" ref="I1528" ca="1">INDEX('Marital status'!$A:$A,RANDBETWEEN(2,COUNTA('Marital status'!$A:$A)),1)</f>
        <v>3</v>
      </c>
      <c r="J1528" s="7">
        <f t="shared" ca="1" si="279"/>
        <v>2</v>
      </c>
      <c r="K1528" s="8">
        <f t="shared" ca="1" si="280"/>
        <v>35735</v>
      </c>
      <c r="L1528" s="6">
        <f t="shared" ca="1" si="281"/>
        <v>4</v>
      </c>
      <c r="M1528" s="7">
        <f ca="1" xml:space="preserve">
  IF(OR($N1528 = 2, $N1528 = 3, $N1528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528" s="6">
        <f t="shared" ca="1" si="282"/>
        <v>7</v>
      </c>
      <c r="O1528" s="6" t="e">
        <f t="shared" ca="1" si="283"/>
        <v>#N/A</v>
      </c>
      <c r="P1528" s="8">
        <f t="shared" ca="1" si="284"/>
        <v>38425</v>
      </c>
      <c r="Q1528" s="6">
        <f ca="1">RANDBETWEEN(2,COUNTA('Recruitment source'!$A:$A))</f>
        <v>9</v>
      </c>
      <c r="R1528" s="8" t="e">
        <f t="shared" ca="1" si="285"/>
        <v>#N/A</v>
      </c>
      <c r="S1528" s="6" t="e">
        <f t="shared" ca="1" si="286"/>
        <v>#N/A</v>
      </c>
      <c r="T1528" s="6">
        <f t="shared" ca="1" si="276"/>
        <v>4</v>
      </c>
      <c r="U1528" s="1">
        <f t="shared" ca="1" si="287"/>
        <v>1005</v>
      </c>
    </row>
    <row r="1529" spans="1:21" x14ac:dyDescent="0.2">
      <c r="A1529" s="7" cm="1">
        <f t="array" aca="1" ref="A1529" ca="1">INDEX(Companies!$A:$A,RANDBETWEEN(2,COUNTA(Companies!$A:$A)),1)</f>
        <v>2</v>
      </c>
      <c r="B1529" s="5">
        <f t="shared" si="277"/>
        <v>1528</v>
      </c>
      <c r="C1529" s="6">
        <f t="shared" ca="1" si="278"/>
        <v>1</v>
      </c>
      <c r="D1529" s="7">
        <f ca="1">IF($B1529 = 1 + N("Presidente"),
    127,
    IF($B1529 = 2 + N("Vice-Presidente"),
        72,
        IF($B1529 = 3 + N("Secretária bilíngue"),
            13,
            RANDBETWEEN(5,COUNT(Name!$A:$A) + 1)
        )
    )
)</f>
        <v>34</v>
      </c>
      <c r="E1529" s="7" t="str">
        <f ca="1" xml:space="preserve">
VLOOKUP(
  $D1529,
  Name!$A:$B,
  2,
  FALSE
)
&amp; " " &amp;
IF($B1529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Liz Albuquerque Salvador</v>
      </c>
      <c r="F1529" s="7">
        <v>2</v>
      </c>
      <c r="G1529" s="7" cm="1">
        <f t="array" aca="1" ref="G1529" ca="1">INDEX(States!$B:$B,RANDBETWEEN(2,COUNTA(States!$A:$A)),1)</f>
        <v>9</v>
      </c>
      <c r="H1529" s="7" t="str">
        <f ca="1">VLOOKUP($D1529,Name!$A:$C,3,FALSE)</f>
        <v>F</v>
      </c>
      <c r="I1529" s="7" cm="1">
        <f t="array" aca="1" ref="I1529" ca="1">INDEX('Marital status'!$A:$A,RANDBETWEEN(2,COUNTA('Marital status'!$A:$A)),1)</f>
        <v>4</v>
      </c>
      <c r="J1529" s="7">
        <f t="shared" ca="1" si="279"/>
        <v>4</v>
      </c>
      <c r="K1529" s="8">
        <f t="shared" ca="1" si="280"/>
        <v>34461</v>
      </c>
      <c r="L1529" s="6">
        <f t="shared" ca="1" si="281"/>
        <v>5</v>
      </c>
      <c r="M1529" s="7">
        <f ca="1" xml:space="preserve">
  IF(OR($N1529 = 2, $N1529 = 3, $N1529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529" s="6">
        <f t="shared" ca="1" si="282"/>
        <v>8</v>
      </c>
      <c r="O1529" s="6">
        <f t="shared" ca="1" si="283"/>
        <v>4</v>
      </c>
      <c r="P1529" s="8">
        <f t="shared" ca="1" si="284"/>
        <v>43255</v>
      </c>
      <c r="Q1529" s="6">
        <f ca="1">RANDBETWEEN(2,COUNTA('Recruitment source'!$A:$A))</f>
        <v>11</v>
      </c>
      <c r="R1529" s="8" t="e">
        <f t="shared" ca="1" si="285"/>
        <v>#N/A</v>
      </c>
      <c r="S1529" s="6" t="e">
        <f t="shared" ca="1" si="286"/>
        <v>#N/A</v>
      </c>
      <c r="T1529" s="6">
        <f t="shared" ca="1" si="276"/>
        <v>3</v>
      </c>
      <c r="U1529" s="1">
        <f t="shared" ca="1" si="287"/>
        <v>2000</v>
      </c>
    </row>
    <row r="1530" spans="1:21" x14ac:dyDescent="0.2">
      <c r="A1530" s="7" cm="1">
        <f t="array" aca="1" ref="A1530" ca="1">INDEX(Companies!$A:$A,RANDBETWEEN(2,COUNTA(Companies!$A:$A)),1)</f>
        <v>2</v>
      </c>
      <c r="B1530" s="5">
        <f t="shared" si="277"/>
        <v>1529</v>
      </c>
      <c r="C1530" s="6">
        <f t="shared" ca="1" si="278"/>
        <v>1</v>
      </c>
      <c r="D1530" s="7">
        <f ca="1">IF($B1530 = 1 + N("Presidente"),
    127,
    IF($B1530 = 2 + N("Vice-Presidente"),
        72,
        IF($B1530 = 3 + N("Secretária bilíngue"),
            13,
            RANDBETWEEN(5,COUNT(Name!$A:$A) + 1)
        )
    )
)</f>
        <v>283</v>
      </c>
      <c r="E1530" s="7" t="str">
        <f ca="1" xml:space="preserve">
VLOOKUP(
  $D1530,
  Name!$A:$B,
  2,
  FALSE
)
&amp; " " &amp;
IF($B1530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Marta Lombardi Brasão</v>
      </c>
      <c r="F1530" s="7">
        <v>2</v>
      </c>
      <c r="G1530" s="7" cm="1">
        <f t="array" aca="1" ref="G1530" ca="1">INDEX(States!$B:$B,RANDBETWEEN(2,COUNTA(States!$A:$A)),1)</f>
        <v>5</v>
      </c>
      <c r="H1530" s="7" t="str">
        <f ca="1">VLOOKUP($D1530,Name!$A:$C,3,FALSE)</f>
        <v>F</v>
      </c>
      <c r="I1530" s="7" cm="1">
        <f t="array" aca="1" ref="I1530" ca="1">INDEX('Marital status'!$A:$A,RANDBETWEEN(2,COUNTA('Marital status'!$A:$A)),1)</f>
        <v>5</v>
      </c>
      <c r="J1530" s="7">
        <f t="shared" ca="1" si="279"/>
        <v>2</v>
      </c>
      <c r="K1530" s="8">
        <f t="shared" ca="1" si="280"/>
        <v>20980</v>
      </c>
      <c r="L1530" s="6">
        <f t="shared" ca="1" si="281"/>
        <v>4</v>
      </c>
      <c r="M1530" s="7">
        <f ca="1" xml:space="preserve">
  IF(OR($N1530 = 2, $N1530 = 3, $N1530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530" s="6">
        <f t="shared" ca="1" si="282"/>
        <v>6</v>
      </c>
      <c r="O1530" s="6" t="e">
        <f t="shared" ca="1" si="283"/>
        <v>#N/A</v>
      </c>
      <c r="P1530" s="8">
        <f t="shared" ca="1" si="284"/>
        <v>39005</v>
      </c>
      <c r="Q1530" s="6">
        <f ca="1">RANDBETWEEN(2,COUNTA('Recruitment source'!$A:$A))</f>
        <v>7</v>
      </c>
      <c r="R1530" s="8" t="e">
        <f t="shared" ca="1" si="285"/>
        <v>#N/A</v>
      </c>
      <c r="S1530" s="6" t="e">
        <f t="shared" ca="1" si="286"/>
        <v>#N/A</v>
      </c>
      <c r="T1530" s="6">
        <f t="shared" ca="1" si="276"/>
        <v>4</v>
      </c>
      <c r="U1530" s="1">
        <f t="shared" ca="1" si="287"/>
        <v>805</v>
      </c>
    </row>
    <row r="1531" spans="1:21" x14ac:dyDescent="0.2">
      <c r="A1531" s="7" cm="1">
        <f t="array" aca="1" ref="A1531" ca="1">INDEX(Companies!$A:$A,RANDBETWEEN(2,COUNTA(Companies!$A:$A)),1)</f>
        <v>2</v>
      </c>
      <c r="B1531" s="5">
        <f t="shared" si="277"/>
        <v>1530</v>
      </c>
      <c r="C1531" s="6">
        <f t="shared" ca="1" si="278"/>
        <v>1</v>
      </c>
      <c r="D1531" s="7">
        <f ca="1">IF($B1531 = 1 + N("Presidente"),
    127,
    IF($B1531 = 2 + N("Vice-Presidente"),
        72,
        IF($B1531 = 3 + N("Secretária bilíngue"),
            13,
            RANDBETWEEN(5,COUNT(Name!$A:$A) + 1)
        )
    )
)</f>
        <v>168</v>
      </c>
      <c r="E1531" s="7" t="str">
        <f ca="1" xml:space="preserve">
VLOOKUP(
  $D1531,
  Name!$A:$B,
  2,
  FALSE
)
&amp; " " &amp;
IF($B1531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Henry Caminha Lima</v>
      </c>
      <c r="F1531" s="7">
        <v>2</v>
      </c>
      <c r="G1531" s="7" cm="1">
        <f t="array" aca="1" ref="G1531" ca="1">INDEX(States!$B:$B,RANDBETWEEN(2,COUNTA(States!$A:$A)),1)</f>
        <v>6</v>
      </c>
      <c r="H1531" s="7" t="str">
        <f ca="1">VLOOKUP($D1531,Name!$A:$C,3,FALSE)</f>
        <v>M</v>
      </c>
      <c r="I1531" s="7" cm="1">
        <f t="array" aca="1" ref="I1531" ca="1">INDEX('Marital status'!$A:$A,RANDBETWEEN(2,COUNTA('Marital status'!$A:$A)),1)</f>
        <v>6</v>
      </c>
      <c r="J1531" s="7">
        <f t="shared" ca="1" si="279"/>
        <v>2</v>
      </c>
      <c r="K1531" s="8">
        <f t="shared" ca="1" si="280"/>
        <v>37549</v>
      </c>
      <c r="L1531" s="6">
        <f t="shared" ca="1" si="281"/>
        <v>4</v>
      </c>
      <c r="M1531" s="7">
        <f ca="1" xml:space="preserve">
  IF(OR($N1531 = 2, $N1531 = 3, $N1531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531" s="6">
        <f t="shared" ca="1" si="282"/>
        <v>8</v>
      </c>
      <c r="O1531" s="6">
        <f t="shared" ca="1" si="283"/>
        <v>2</v>
      </c>
      <c r="P1531" s="8">
        <f t="shared" ca="1" si="284"/>
        <v>41736</v>
      </c>
      <c r="Q1531" s="6">
        <f ca="1">RANDBETWEEN(2,COUNTA('Recruitment source'!$A:$A))</f>
        <v>5</v>
      </c>
      <c r="R1531" s="8" t="e">
        <f t="shared" ca="1" si="285"/>
        <v>#N/A</v>
      </c>
      <c r="S1531" s="6" t="e">
        <f t="shared" ca="1" si="286"/>
        <v>#N/A</v>
      </c>
      <c r="T1531" s="6">
        <f t="shared" ca="1" si="276"/>
        <v>5</v>
      </c>
      <c r="U1531" s="1">
        <f t="shared" ca="1" si="287"/>
        <v>2000</v>
      </c>
    </row>
    <row r="1532" spans="1:21" x14ac:dyDescent="0.2">
      <c r="A1532" s="7" cm="1">
        <f t="array" aca="1" ref="A1532" ca="1">INDEX(Companies!$A:$A,RANDBETWEEN(2,COUNTA(Companies!$A:$A)),1)</f>
        <v>2</v>
      </c>
      <c r="B1532" s="5">
        <f t="shared" si="277"/>
        <v>1531</v>
      </c>
      <c r="C1532" s="6">
        <f t="shared" ca="1" si="278"/>
        <v>1</v>
      </c>
      <c r="D1532" s="7">
        <f ca="1">IF($B1532 = 1 + N("Presidente"),
    127,
    IF($B1532 = 2 + N("Vice-Presidente"),
        72,
        IF($B1532 = 3 + N("Secretária bilíngue"),
            13,
            RANDBETWEEN(5,COUNT(Name!$A:$A) + 1)
        )
    )
)</f>
        <v>88</v>
      </c>
      <c r="E1532" s="7" t="str">
        <f ca="1" xml:space="preserve">
VLOOKUP(
  $D1532,
  Name!$A:$B,
  2,
  FALSE
)
&amp; " " &amp;
IF($B1532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Catarina Mello Gouveia</v>
      </c>
      <c r="F1532" s="7">
        <v>2</v>
      </c>
      <c r="G1532" s="7" cm="1">
        <f t="array" aca="1" ref="G1532" ca="1">INDEX(States!$B:$B,RANDBETWEEN(2,COUNTA(States!$A:$A)),1)</f>
        <v>13</v>
      </c>
      <c r="H1532" s="7" t="str">
        <f ca="1">VLOOKUP($D1532,Name!$A:$C,3,FALSE)</f>
        <v>F</v>
      </c>
      <c r="I1532" s="7" cm="1">
        <f t="array" aca="1" ref="I1532" ca="1">INDEX('Marital status'!$A:$A,RANDBETWEEN(2,COUNTA('Marital status'!$A:$A)),1)</f>
        <v>5</v>
      </c>
      <c r="J1532" s="7">
        <f t="shared" ca="1" si="279"/>
        <v>6</v>
      </c>
      <c r="K1532" s="8">
        <f t="shared" ca="1" si="280"/>
        <v>33575</v>
      </c>
      <c r="L1532" s="6">
        <f t="shared" ca="1" si="281"/>
        <v>4</v>
      </c>
      <c r="M1532" s="7">
        <f ca="1" xml:space="preserve">
  IF(OR($N1532 = 2, $N1532 = 3, $N1532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532" s="6">
        <f t="shared" ca="1" si="282"/>
        <v>7</v>
      </c>
      <c r="O1532" s="6" t="e">
        <f t="shared" ca="1" si="283"/>
        <v>#N/A</v>
      </c>
      <c r="P1532" s="8">
        <f t="shared" ca="1" si="284"/>
        <v>42295</v>
      </c>
      <c r="Q1532" s="6">
        <f ca="1">RANDBETWEEN(2,COUNTA('Recruitment source'!$A:$A))</f>
        <v>11</v>
      </c>
      <c r="R1532" s="8" t="e">
        <f t="shared" ca="1" si="285"/>
        <v>#N/A</v>
      </c>
      <c r="S1532" s="6" t="e">
        <f t="shared" ca="1" si="286"/>
        <v>#N/A</v>
      </c>
      <c r="T1532" s="6">
        <f t="shared" ca="1" si="276"/>
        <v>2</v>
      </c>
      <c r="U1532" s="1">
        <f t="shared" ca="1" si="287"/>
        <v>1085</v>
      </c>
    </row>
    <row r="1533" spans="1:21" x14ac:dyDescent="0.2">
      <c r="A1533" s="7" cm="1">
        <f t="array" aca="1" ref="A1533" ca="1">INDEX(Companies!$A:$A,RANDBETWEEN(2,COUNTA(Companies!$A:$A)),1)</f>
        <v>2</v>
      </c>
      <c r="B1533" s="5">
        <f t="shared" si="277"/>
        <v>1532</v>
      </c>
      <c r="C1533" s="6">
        <f t="shared" ca="1" si="278"/>
        <v>1</v>
      </c>
      <c r="D1533" s="7">
        <f ca="1">IF($B1533 = 1 + N("Presidente"),
    127,
    IF($B1533 = 2 + N("Vice-Presidente"),
        72,
        IF($B1533 = 3 + N("Secretária bilíngue"),
            13,
            RANDBETWEEN(5,COUNT(Name!$A:$A) + 1)
        )
    )
)</f>
        <v>255</v>
      </c>
      <c r="E1533" s="7" t="str">
        <f ca="1" xml:space="preserve">
VLOOKUP(
  $D1533,
  Name!$A:$B,
  2,
  FALSE
)
&amp; " " &amp;
IF($B1533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Manuela Auth Negrão</v>
      </c>
      <c r="F1533" s="7">
        <v>2</v>
      </c>
      <c r="G1533" s="7" cm="1">
        <f t="array" aca="1" ref="G1533" ca="1">INDEX(States!$B:$B,RANDBETWEEN(2,COUNTA(States!$A:$A)),1)</f>
        <v>18</v>
      </c>
      <c r="H1533" s="7" t="str">
        <f ca="1">VLOOKUP($D1533,Name!$A:$C,3,FALSE)</f>
        <v>F</v>
      </c>
      <c r="I1533" s="7" cm="1">
        <f t="array" aca="1" ref="I1533" ca="1">INDEX('Marital status'!$A:$A,RANDBETWEEN(2,COUNTA('Marital status'!$A:$A)),1)</f>
        <v>6</v>
      </c>
      <c r="J1533" s="7">
        <f t="shared" ca="1" si="279"/>
        <v>3</v>
      </c>
      <c r="K1533" s="8">
        <f t="shared" ca="1" si="280"/>
        <v>36693</v>
      </c>
      <c r="L1533" s="6">
        <f t="shared" ca="1" si="281"/>
        <v>5</v>
      </c>
      <c r="M1533" s="7">
        <f ca="1" xml:space="preserve">
  IF(OR($N1533 = 2, $N1533 = 3, $N1533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533" s="6">
        <f t="shared" ca="1" si="282"/>
        <v>8</v>
      </c>
      <c r="O1533" s="6">
        <f t="shared" ca="1" si="283"/>
        <v>3</v>
      </c>
      <c r="P1533" s="8">
        <f t="shared" ca="1" si="284"/>
        <v>41859</v>
      </c>
      <c r="Q1533" s="6">
        <f ca="1">RANDBETWEEN(2,COUNTA('Recruitment source'!$A:$A))</f>
        <v>8</v>
      </c>
      <c r="R1533" s="8" t="e">
        <f t="shared" ca="1" si="285"/>
        <v>#N/A</v>
      </c>
      <c r="S1533" s="6" t="e">
        <f t="shared" ca="1" si="286"/>
        <v>#N/A</v>
      </c>
      <c r="T1533" s="6">
        <f t="shared" ca="1" si="276"/>
        <v>2</v>
      </c>
      <c r="U1533" s="1">
        <f t="shared" ca="1" si="287"/>
        <v>2000</v>
      </c>
    </row>
    <row r="1534" spans="1:21" x14ac:dyDescent="0.2">
      <c r="A1534" s="7" cm="1">
        <f t="array" aca="1" ref="A1534" ca="1">INDEX(Companies!$A:$A,RANDBETWEEN(2,COUNTA(Companies!$A:$A)),1)</f>
        <v>2</v>
      </c>
      <c r="B1534" s="5">
        <f t="shared" si="277"/>
        <v>1533</v>
      </c>
      <c r="C1534" s="6">
        <f t="shared" ca="1" si="278"/>
        <v>1</v>
      </c>
      <c r="D1534" s="7">
        <f ca="1">IF($B1534 = 1 + N("Presidente"),
    127,
    IF($B1534 = 2 + N("Vice-Presidente"),
        72,
        IF($B1534 = 3 + N("Secretária bilíngue"),
            13,
            RANDBETWEEN(5,COUNT(Name!$A:$A) + 1)
        )
    )
)</f>
        <v>148</v>
      </c>
      <c r="E1534" s="7" t="str">
        <f ca="1" xml:space="preserve">
VLOOKUP(
  $D1534,
  Name!$A:$B,
  2,
  FALSE
)
&amp; " " &amp;
IF($B1534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Frankin Zil Cardozo</v>
      </c>
      <c r="F1534" s="7">
        <v>2</v>
      </c>
      <c r="G1534" s="7" cm="1">
        <f t="array" aca="1" ref="G1534" ca="1">INDEX(States!$B:$B,RANDBETWEEN(2,COUNTA(States!$A:$A)),1)</f>
        <v>4</v>
      </c>
      <c r="H1534" s="7" t="str">
        <f ca="1">VLOOKUP($D1534,Name!$A:$C,3,FALSE)</f>
        <v>M</v>
      </c>
      <c r="I1534" s="7" cm="1">
        <f t="array" aca="1" ref="I1534" ca="1">INDEX('Marital status'!$A:$A,RANDBETWEEN(2,COUNTA('Marital status'!$A:$A)),1)</f>
        <v>2</v>
      </c>
      <c r="J1534" s="7">
        <f t="shared" ca="1" si="279"/>
        <v>2</v>
      </c>
      <c r="K1534" s="8">
        <f t="shared" ca="1" si="280"/>
        <v>20580</v>
      </c>
      <c r="L1534" s="6">
        <f t="shared" ca="1" si="281"/>
        <v>4</v>
      </c>
      <c r="M1534" s="7">
        <f ca="1" xml:space="preserve">
  IF(OR($N1534 = 2, $N1534 = 3, $N1534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534" s="6">
        <f t="shared" ca="1" si="282"/>
        <v>6</v>
      </c>
      <c r="O1534" s="6" t="e">
        <f t="shared" ca="1" si="283"/>
        <v>#N/A</v>
      </c>
      <c r="P1534" s="8">
        <f t="shared" ca="1" si="284"/>
        <v>39780</v>
      </c>
      <c r="Q1534" s="6">
        <f ca="1">RANDBETWEEN(2,COUNTA('Recruitment source'!$A:$A))</f>
        <v>7</v>
      </c>
      <c r="R1534" s="8" t="e">
        <f t="shared" ca="1" si="285"/>
        <v>#N/A</v>
      </c>
      <c r="S1534" s="6" t="e">
        <f t="shared" ca="1" si="286"/>
        <v>#N/A</v>
      </c>
      <c r="T1534" s="6">
        <f t="shared" ca="1" si="276"/>
        <v>4</v>
      </c>
      <c r="U1534" s="1">
        <f t="shared" ca="1" si="287"/>
        <v>805</v>
      </c>
    </row>
    <row r="1535" spans="1:21" x14ac:dyDescent="0.2">
      <c r="A1535" s="7" cm="1">
        <f t="array" aca="1" ref="A1535" ca="1">INDEX(Companies!$A:$A,RANDBETWEEN(2,COUNTA(Companies!$A:$A)),1)</f>
        <v>2</v>
      </c>
      <c r="B1535" s="5">
        <f t="shared" si="277"/>
        <v>1534</v>
      </c>
      <c r="C1535" s="6">
        <f t="shared" ca="1" si="278"/>
        <v>1</v>
      </c>
      <c r="D1535" s="7">
        <f ca="1">IF($B1535 = 1 + N("Presidente"),
    127,
    IF($B1535 = 2 + N("Vice-Presidente"),
        72,
        IF($B1535 = 3 + N("Secretária bilíngue"),
            13,
            RANDBETWEEN(5,COUNT(Name!$A:$A) + 1)
        )
    )
)</f>
        <v>186</v>
      </c>
      <c r="E1535" s="7" t="str">
        <f ca="1" xml:space="preserve">
VLOOKUP(
  $D1535,
  Name!$A:$B,
  2,
  FALSE
)
&amp; " " &amp;
IF($B1535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Gabriel Poeta Mello</v>
      </c>
      <c r="F1535" s="7">
        <v>2</v>
      </c>
      <c r="G1535" s="7" cm="1">
        <f t="array" aca="1" ref="G1535" ca="1">INDEX(States!$B:$B,RANDBETWEEN(2,COUNTA(States!$A:$A)),1)</f>
        <v>16</v>
      </c>
      <c r="H1535" s="7" t="str">
        <f ca="1">VLOOKUP($D1535,Name!$A:$C,3,FALSE)</f>
        <v>M</v>
      </c>
      <c r="I1535" s="7" cm="1">
        <f t="array" aca="1" ref="I1535" ca="1">INDEX('Marital status'!$A:$A,RANDBETWEEN(2,COUNTA('Marital status'!$A:$A)),1)</f>
        <v>3</v>
      </c>
      <c r="J1535" s="7">
        <f t="shared" ca="1" si="279"/>
        <v>2</v>
      </c>
      <c r="K1535" s="8">
        <f t="shared" ca="1" si="280"/>
        <v>33485</v>
      </c>
      <c r="L1535" s="6">
        <f t="shared" ca="1" si="281"/>
        <v>5</v>
      </c>
      <c r="M1535" s="7">
        <f ca="1" xml:space="preserve">
  IF(OR($N1535 = 2, $N1535 = 3, $N1535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535" s="6">
        <f t="shared" ca="1" si="282"/>
        <v>8</v>
      </c>
      <c r="O1535" s="6">
        <f t="shared" ca="1" si="283"/>
        <v>3</v>
      </c>
      <c r="P1535" s="8">
        <f t="shared" ca="1" si="284"/>
        <v>44423</v>
      </c>
      <c r="Q1535" s="6">
        <f ca="1">RANDBETWEEN(2,COUNTA('Recruitment source'!$A:$A))</f>
        <v>12</v>
      </c>
      <c r="R1535" s="8" t="e">
        <f t="shared" ca="1" si="285"/>
        <v>#N/A</v>
      </c>
      <c r="S1535" s="6" t="e">
        <f t="shared" ca="1" si="286"/>
        <v>#N/A</v>
      </c>
      <c r="T1535" s="6">
        <f t="shared" ca="1" si="276"/>
        <v>4</v>
      </c>
      <c r="U1535" s="1">
        <f t="shared" ca="1" si="287"/>
        <v>2000</v>
      </c>
    </row>
    <row r="1536" spans="1:21" x14ac:dyDescent="0.2">
      <c r="A1536" s="7" cm="1">
        <f t="array" aca="1" ref="A1536" ca="1">INDEX(Companies!$A:$A,RANDBETWEEN(2,COUNTA(Companies!$A:$A)),1)</f>
        <v>2</v>
      </c>
      <c r="B1536" s="5">
        <f t="shared" si="277"/>
        <v>1535</v>
      </c>
      <c r="C1536" s="6">
        <f t="shared" ca="1" si="278"/>
        <v>1</v>
      </c>
      <c r="D1536" s="7">
        <f ca="1">IF($B1536 = 1 + N("Presidente"),
    127,
    IF($B1536 = 2 + N("Vice-Presidente"),
        72,
        IF($B1536 = 3 + N("Secretária bilíngue"),
            13,
            RANDBETWEEN(5,COUNT(Name!$A:$A) + 1)
        )
    )
)</f>
        <v>34</v>
      </c>
      <c r="E1536" s="7" t="str">
        <f ca="1" xml:space="preserve">
VLOOKUP(
  $D1536,
  Name!$A:$B,
  2,
  FALSE
)
&amp; " " &amp;
IF($B1536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Liz Camargo Batista</v>
      </c>
      <c r="F1536" s="7">
        <v>2</v>
      </c>
      <c r="G1536" s="7" cm="1">
        <f t="array" aca="1" ref="G1536" ca="1">INDEX(States!$B:$B,RANDBETWEEN(2,COUNTA(States!$A:$A)),1)</f>
        <v>8</v>
      </c>
      <c r="H1536" s="7" t="str">
        <f ca="1">VLOOKUP($D1536,Name!$A:$C,3,FALSE)</f>
        <v>F</v>
      </c>
      <c r="I1536" s="7" cm="1">
        <f t="array" aca="1" ref="I1536" ca="1">INDEX('Marital status'!$A:$A,RANDBETWEEN(2,COUNTA('Marital status'!$A:$A)),1)</f>
        <v>3</v>
      </c>
      <c r="J1536" s="7">
        <f t="shared" ca="1" si="279"/>
        <v>2</v>
      </c>
      <c r="K1536" s="8">
        <f t="shared" ca="1" si="280"/>
        <v>28968</v>
      </c>
      <c r="L1536" s="6">
        <f t="shared" ca="1" si="281"/>
        <v>4</v>
      </c>
      <c r="M1536" s="7">
        <f ca="1" xml:space="preserve">
  IF(OR($N1536 = 2, $N1536 = 3, $N1536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536" s="6">
        <f t="shared" ca="1" si="282"/>
        <v>7</v>
      </c>
      <c r="O1536" s="6" t="e">
        <f t="shared" ca="1" si="283"/>
        <v>#N/A</v>
      </c>
      <c r="P1536" s="8">
        <f t="shared" ca="1" si="284"/>
        <v>43004</v>
      </c>
      <c r="Q1536" s="6">
        <f ca="1">RANDBETWEEN(2,COUNTA('Recruitment source'!$A:$A))</f>
        <v>2</v>
      </c>
      <c r="R1536" s="8" t="e">
        <f t="shared" ca="1" si="285"/>
        <v>#N/A</v>
      </c>
      <c r="S1536" s="6" t="e">
        <f t="shared" ca="1" si="286"/>
        <v>#N/A</v>
      </c>
      <c r="T1536" s="6">
        <f t="shared" ca="1" si="276"/>
        <v>2</v>
      </c>
      <c r="U1536" s="1">
        <f t="shared" ca="1" si="287"/>
        <v>1085</v>
      </c>
    </row>
    <row r="1537" spans="1:21" x14ac:dyDescent="0.2">
      <c r="A1537" s="7" cm="1">
        <f t="array" aca="1" ref="A1537" ca="1">INDEX(Companies!$A:$A,RANDBETWEEN(2,COUNTA(Companies!$A:$A)),1)</f>
        <v>2</v>
      </c>
      <c r="B1537" s="5">
        <f t="shared" si="277"/>
        <v>1536</v>
      </c>
      <c r="C1537" s="6">
        <f t="shared" ca="1" si="278"/>
        <v>1</v>
      </c>
      <c r="D1537" s="7">
        <f ca="1">IF($B1537 = 1 + N("Presidente"),
    127,
    IF($B1537 = 2 + N("Vice-Presidente"),
        72,
        IF($B1537 = 3 + N("Secretária bilíngue"),
            13,
            RANDBETWEEN(5,COUNT(Name!$A:$A) + 1)
        )
    )
)</f>
        <v>271</v>
      </c>
      <c r="E1537" s="7" t="str">
        <f ca="1" xml:space="preserve">
VLOOKUP(
  $D1537,
  Name!$A:$B,
  2,
  FALSE
)
&amp; " " &amp;
IF($B1537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Luiza Bactista Costa</v>
      </c>
      <c r="F1537" s="7">
        <v>2</v>
      </c>
      <c r="G1537" s="7" cm="1">
        <f t="array" aca="1" ref="G1537" ca="1">INDEX(States!$B:$B,RANDBETWEEN(2,COUNTA(States!$A:$A)),1)</f>
        <v>16</v>
      </c>
      <c r="H1537" s="7" t="str">
        <f ca="1">VLOOKUP($D1537,Name!$A:$C,3,FALSE)</f>
        <v>F</v>
      </c>
      <c r="I1537" s="7" cm="1">
        <f t="array" aca="1" ref="I1537" ca="1">INDEX('Marital status'!$A:$A,RANDBETWEEN(2,COUNTA('Marital status'!$A:$A)),1)</f>
        <v>3</v>
      </c>
      <c r="J1537" s="7">
        <f t="shared" ca="1" si="279"/>
        <v>2</v>
      </c>
      <c r="K1537" s="8">
        <f t="shared" ca="1" si="280"/>
        <v>35443</v>
      </c>
      <c r="L1537" s="6">
        <f t="shared" ca="1" si="281"/>
        <v>5</v>
      </c>
      <c r="M1537" s="7">
        <f ca="1" xml:space="preserve">
  IF(OR($N1537 = 2, $N1537 = 3, $N1537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537" s="6">
        <f t="shared" ca="1" si="282"/>
        <v>8</v>
      </c>
      <c r="O1537" s="6">
        <f t="shared" ca="1" si="283"/>
        <v>4</v>
      </c>
      <c r="P1537" s="8">
        <f t="shared" ca="1" si="284"/>
        <v>44599</v>
      </c>
      <c r="Q1537" s="6">
        <f ca="1">RANDBETWEEN(2,COUNTA('Recruitment source'!$A:$A))</f>
        <v>7</v>
      </c>
      <c r="R1537" s="8" t="e">
        <f t="shared" ca="1" si="285"/>
        <v>#N/A</v>
      </c>
      <c r="S1537" s="6" t="e">
        <f t="shared" ca="1" si="286"/>
        <v>#N/A</v>
      </c>
      <c r="T1537" s="6">
        <f t="shared" ca="1" si="276"/>
        <v>2</v>
      </c>
      <c r="U1537" s="1">
        <f t="shared" ca="1" si="287"/>
        <v>2000</v>
      </c>
    </row>
    <row r="1538" spans="1:21" x14ac:dyDescent="0.2">
      <c r="A1538" s="7" cm="1">
        <f t="array" aca="1" ref="A1538" ca="1">INDEX(Companies!$A:$A,RANDBETWEEN(2,COUNTA(Companies!$A:$A)),1)</f>
        <v>2</v>
      </c>
      <c r="B1538" s="5">
        <f t="shared" si="277"/>
        <v>1537</v>
      </c>
      <c r="C1538" s="6">
        <f t="shared" ca="1" si="278"/>
        <v>1</v>
      </c>
      <c r="D1538" s="7">
        <f ca="1">IF($B1538 = 1 + N("Presidente"),
    127,
    IF($B1538 = 2 + N("Vice-Presidente"),
        72,
        IF($B1538 = 3 + N("Secretária bilíngue"),
            13,
            RANDBETWEEN(5,COUNT(Name!$A:$A) + 1)
        )
    )
)</f>
        <v>58</v>
      </c>
      <c r="E1538" s="7" t="str">
        <f ca="1" xml:space="preserve">
VLOOKUP(
  $D1538,
  Name!$A:$B,
  2,
  FALSE
)
&amp; " " &amp;
IF($B1538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Miguel Sousa Arruda</v>
      </c>
      <c r="F1538" s="7">
        <v>2</v>
      </c>
      <c r="G1538" s="7" cm="1">
        <f t="array" aca="1" ref="G1538" ca="1">INDEX(States!$B:$B,RANDBETWEEN(2,COUNTA(States!$A:$A)),1)</f>
        <v>2</v>
      </c>
      <c r="H1538" s="7" t="str">
        <f ca="1">VLOOKUP($D1538,Name!$A:$C,3,FALSE)</f>
        <v>M</v>
      </c>
      <c r="I1538" s="7" cm="1">
        <f t="array" aca="1" ref="I1538" ca="1">INDEX('Marital status'!$A:$A,RANDBETWEEN(2,COUNTA('Marital status'!$A:$A)),1)</f>
        <v>6</v>
      </c>
      <c r="J1538" s="7">
        <f t="shared" ca="1" si="279"/>
        <v>2</v>
      </c>
      <c r="K1538" s="8">
        <f t="shared" ca="1" si="280"/>
        <v>32832</v>
      </c>
      <c r="L1538" s="6">
        <f t="shared" ca="1" si="281"/>
        <v>4</v>
      </c>
      <c r="M1538" s="7">
        <f ca="1" xml:space="preserve">
  IF(OR($N1538 = 2, $N1538 = 3, $N1538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538" s="6">
        <f t="shared" ca="1" si="282"/>
        <v>7</v>
      </c>
      <c r="O1538" s="6" t="e">
        <f t="shared" ca="1" si="283"/>
        <v>#N/A</v>
      </c>
      <c r="P1538" s="8">
        <f t="shared" ca="1" si="284"/>
        <v>36903</v>
      </c>
      <c r="Q1538" s="6">
        <f ca="1">RANDBETWEEN(2,COUNTA('Recruitment source'!$A:$A))</f>
        <v>7</v>
      </c>
      <c r="R1538" s="8" t="e">
        <f t="shared" ca="1" si="285"/>
        <v>#N/A</v>
      </c>
      <c r="S1538" s="6" t="e">
        <f t="shared" ca="1" si="286"/>
        <v>#N/A</v>
      </c>
      <c r="T1538" s="6">
        <f t="shared" ref="T1538:T1601" ca="1" si="288" xml:space="preserve">
IF(
 ISNA($R1538),
 IF(
   $N1538 = 2,
   5,
   IF(
     OR($N1538=3,$N1538=4,$N1538=5),
     RANDBETWEEN(4,5),
     IF(
       OR($N1538=11,$N1538=12),
       RANDBETWEEN(3,5),
       RANDBETWEEN(2,5)
     )
   )
 ),
 RANDBETWEEN(1,3)
)</f>
        <v>5</v>
      </c>
      <c r="U1538" s="1">
        <f t="shared" ca="1" si="287"/>
        <v>1005</v>
      </c>
    </row>
    <row r="1539" spans="1:21" x14ac:dyDescent="0.2">
      <c r="A1539" s="7" cm="1">
        <f t="array" aca="1" ref="A1539" ca="1">INDEX(Companies!$A:$A,RANDBETWEEN(2,COUNTA(Companies!$A:$A)),1)</f>
        <v>2</v>
      </c>
      <c r="B1539" s="5">
        <f t="shared" ref="B1539:B1602" si="289">ROW() - 1</f>
        <v>1538</v>
      </c>
      <c r="C1539" s="6">
        <f t="shared" ref="C1539:C1602" ca="1" si="290">IF(ISNA($R1539),1,0)</f>
        <v>1</v>
      </c>
      <c r="D1539" s="7">
        <f ca="1">IF($B1539 = 1 + N("Presidente"),
    127,
    IF($B1539 = 2 + N("Vice-Presidente"),
        72,
        IF($B1539 = 3 + N("Secretária bilíngue"),
            13,
            RANDBETWEEN(5,COUNT(Name!$A:$A) + 1)
        )
    )
)</f>
        <v>330</v>
      </c>
      <c r="E1539" s="7" t="str">
        <f ca="1" xml:space="preserve">
VLOOKUP(
  $D1539,
  Name!$A:$B,
  2,
  FALSE
)
&amp; " " &amp;
IF($B1539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Rebecca Barros Padrão</v>
      </c>
      <c r="F1539" s="7">
        <v>2</v>
      </c>
      <c r="G1539" s="7" cm="1">
        <f t="array" aca="1" ref="G1539" ca="1">INDEX(States!$B:$B,RANDBETWEEN(2,COUNTA(States!$A:$A)),1)</f>
        <v>6</v>
      </c>
      <c r="H1539" s="7" t="str">
        <f ca="1">VLOOKUP($D1539,Name!$A:$C,3,FALSE)</f>
        <v>F</v>
      </c>
      <c r="I1539" s="7" cm="1">
        <f t="array" aca="1" ref="I1539" ca="1">INDEX('Marital status'!$A:$A,RANDBETWEEN(2,COUNTA('Marital status'!$A:$A)),1)</f>
        <v>4</v>
      </c>
      <c r="J1539" s="7">
        <f t="shared" ref="J1539:J1602" ca="1" si="291" xml:space="preserve">
IF(AND($N1539 &gt;= 2, $N1539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5</v>
      </c>
      <c r="K1539" s="8">
        <f t="shared" ref="K1539:K1602" ca="1" si="292" xml:space="preserve">
IF($N1539 = 5 + N("CEO"),
    TODAY() - 16340,
    IF($N1539 = 8 + N("Secretary"),
        RANDBETWEEN(TODAY() - 12418.5, TODAY()-6574.5),
        IF(OR($N1539 = 7, $N1539 = 14),
            RANDBETWEEN(TODAY() - 16071, TODAY() - 8766),
            IF(OR($N1539 = 13, $N1539 = 12, $N1539 = 11),
                RANDBETWEEN(TODAY() - 27393.75, TODAY() - 12783.75),
                RANDBETWEEN(TODAY() - 27393.75, TODAY()-10957.5)
            )
        )
    )
)</f>
        <v>32527</v>
      </c>
      <c r="L1539" s="6">
        <f t="shared" ref="L1539:L1602" ca="1" si="293" xml:space="preserve">
IF(OR($N1539 = 2, $N1539 = 3) + N("Se for presidente ou vice-presidente"),
    7 + N("Doutor"),
    IF($N1539 = 4 + N("Se for diretor"),
        RANDBETWEEN(5,7) + N("Graduate school or Master’s degree or Doctorate"),
        IF($N1539 = 11 + N("Se for gerente"),
            RANDBETWEEN(4,6) + N("Undergraduate degree or Graduate school or Master’s degree"),
            IF(AND($N1539 &gt;= 8, $N1539 &lt;= 10) + N("If coordinator or specialist or analyst"),
                RANDBETWEEN(4,5),
                4
            )
        )
    )
)</f>
        <v>4</v>
      </c>
      <c r="M1539" s="7">
        <f ca="1" xml:space="preserve">
  IF(OR($N1539 = 2, $N1539 = 3, $N1539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539" s="6">
        <f t="shared" ref="N1539:N1602" ca="1" si="294" xml:space="preserve">
IF($B1539 = 1 + N("Se matrícula for 1"),
  2 + N("Presidente"),
  IF($B1539 = 2 + N("Se matrícula for 2"),
    3 + N("Vice-presidente"),
    IF($B1539 = 3 + N("Se matrícula for 3"),
      5 + N("Secretária bilíngue"),
      IF(AND($B1539 &gt;= 4, $B1539 &lt;=14),
        4 + N("Diretor"),
        IF(AND($B1539 &gt;= 15, $B1539 &lt;= 25),
          11 + N("Manager"),
          IF(AND($B1539 &gt;= 26, $B1539 &lt;= 36),
            10 + N("Coordinador"),
            IF(AND($B1539 &gt;= 37, $B1539 &lt;= 47),
              9 + N("Especialista"),
                IF(MOD($B1539,2) = 0,
                  8 + N("Analista"),
                  RANDBETWEEN(6,7) + N("Estagiário ou Trainee")
                )
            )
          )
        )
      )
    )
  )
)</f>
        <v>8</v>
      </c>
      <c r="O1539" s="6">
        <f t="shared" ref="O1539:O1602" ca="1" si="295" xml:space="preserve">
IF($N1539 =8 + N("Analyst"),
    RANDBETWEEN(2, 4) + N("Jr, Pleno, Sr"),
    NA()
)</f>
        <v>3</v>
      </c>
      <c r="P1539" s="8">
        <f t="shared" ref="P1539:P1602" ca="1" si="296" xml:space="preserve">
IF(
   $N1539=2 + N("Presidente"),
   36161,
   IF(
       OR(
         $N1539=3 + N("Vice-Presidente"),
         $N1539=4 + N("Diretor"),
         $N1539=5 + N("Secretária bilíngue")
       ),
       RANDBETWEEN(36161,36411),
       IF(
         ((TODAY() - $K1539) / 365) &lt; 19,
         TODAY(),
         RANDBETWEEN(36161,TODAY())
       )
   )
)</f>
        <v>37556</v>
      </c>
      <c r="Q1539" s="6">
        <f ca="1">RANDBETWEEN(2,COUNTA('Recruitment source'!$A:$A))</f>
        <v>9</v>
      </c>
      <c r="R1539" s="8" t="e">
        <f t="shared" ref="R1539:R1602" ca="1" si="297" xml:space="preserve">
IF(MOD(
     ROW(),111
   )=0,
   RANDBETWEEN($P1539 + 1,TODAY() - 1),NA()
)</f>
        <v>#N/A</v>
      </c>
      <c r="S1539" s="6" t="e">
        <f t="shared" ref="S1539:S1602" ca="1" si="298" xml:space="preserve">
IF(
  ISNA(R1539),
  NA(),
  RANDBETWEEN(2,IF($H1539="F",10,9))
)</f>
        <v>#N/A</v>
      </c>
      <c r="T1539" s="6">
        <f t="shared" ca="1" si="288"/>
        <v>3</v>
      </c>
      <c r="U1539" s="1">
        <f t="shared" ref="U1539:U1602" ca="1" si="299" xml:space="preserve">
IF($N1539 = 2 + N("Presidente"),
    25000,
    IF($N1539 = 3 + N("Vice-presidente"),
        23000,
        IF(OR($N1539 = 5, $N1539= 10, $N1539 = 9) + N("Secretária bilíngue ou coordenador ou especialista"),
            8000,
            IF($N1539 = 4 + N("Diretor"),
                15000,
                IF($N1539 = 11 + N("Gerente"),
                    12000,
                    IF($N1539 = 6 + N("Estagiário"),
                        805,
                        IF($N1539 = 7 + N("Trainee"),
                            1005,
                            IF($N1539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IF($L1539 = 7,
  100,
  IF($L1539 = 8,
    200,
    IF($L1539 = 9,
      300,
      IF($L1539 = 10,
        400,
        0
      )
    )
  )
)
+
N("Adicional no salário por área")
+
IF($M1539 = 14 + N("Tecnologia da Informação"),
  120,
  IF($M1539 = 16 + N("Vendas"),
    110,
    IF($M1539 = 15 + N("Jurídico"),
      100,
      IF(OR($M1539 = 8, $M1539 = 9, $M1539 = 11) + N("Recursos humanos ou comercial ou comunicação e marketing"),
        80,
        0
      )
    )
  )
)
+
N("Adicionando pegadinha")
+
IF(AND($M1539 = 13, $N1539 = 8) + N("Se for de vendas e analista"),
  IF($J1539 = 2,
    50,
    0
  )
  +
  IF($H1539 = "M",
    50,
    0
  ),
  0
)</f>
        <v>2000</v>
      </c>
    </row>
    <row r="1540" spans="1:21" x14ac:dyDescent="0.2">
      <c r="A1540" s="7" cm="1">
        <f t="array" aca="1" ref="A1540" ca="1">INDEX(Companies!$A:$A,RANDBETWEEN(2,COUNTA(Companies!$A:$A)),1)</f>
        <v>2</v>
      </c>
      <c r="B1540" s="5">
        <f t="shared" si="289"/>
        <v>1539</v>
      </c>
      <c r="C1540" s="6">
        <f t="shared" ca="1" si="290"/>
        <v>1</v>
      </c>
      <c r="D1540" s="7">
        <f ca="1">IF($B1540 = 1 + N("Presidente"),
    127,
    IF($B1540 = 2 + N("Vice-Presidente"),
        72,
        IF($B1540 = 3 + N("Secretária bilíngue"),
            13,
            RANDBETWEEN(5,COUNT(Name!$A:$A) + 1)
        )
    )
)</f>
        <v>51</v>
      </c>
      <c r="E1540" s="7" t="str">
        <f ca="1" xml:space="preserve">
VLOOKUP(
  $D1540,
  Name!$A:$B,
  2,
  FALSE
)
&amp; " " &amp;
IF($B1540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Antônia Cunha Alves</v>
      </c>
      <c r="F1540" s="7">
        <v>2</v>
      </c>
      <c r="G1540" s="7" cm="1">
        <f t="array" aca="1" ref="G1540" ca="1">INDEX(States!$B:$B,RANDBETWEEN(2,COUNTA(States!$A:$A)),1)</f>
        <v>4</v>
      </c>
      <c r="H1540" s="7" t="str">
        <f ca="1">VLOOKUP($D1540,Name!$A:$C,3,FALSE)</f>
        <v>F</v>
      </c>
      <c r="I1540" s="7" cm="1">
        <f t="array" aca="1" ref="I1540" ca="1">INDEX('Marital status'!$A:$A,RANDBETWEEN(2,COUNTA('Marital status'!$A:$A)),1)</f>
        <v>6</v>
      </c>
      <c r="J1540" s="7">
        <f t="shared" ca="1" si="291"/>
        <v>4</v>
      </c>
      <c r="K1540" s="8">
        <f t="shared" ca="1" si="292"/>
        <v>28008</v>
      </c>
      <c r="L1540" s="6">
        <f t="shared" ca="1" si="293"/>
        <v>4</v>
      </c>
      <c r="M1540" s="7">
        <f ca="1" xml:space="preserve">
  IF(OR($N1540 = 2, $N1540 = 3, $N1540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540" s="6">
        <f t="shared" ca="1" si="294"/>
        <v>6</v>
      </c>
      <c r="O1540" s="6" t="e">
        <f t="shared" ca="1" si="295"/>
        <v>#N/A</v>
      </c>
      <c r="P1540" s="8">
        <f t="shared" ca="1" si="296"/>
        <v>37406</v>
      </c>
      <c r="Q1540" s="6">
        <f ca="1">RANDBETWEEN(2,COUNTA('Recruitment source'!$A:$A))</f>
        <v>11</v>
      </c>
      <c r="R1540" s="8" t="e">
        <f t="shared" ca="1" si="297"/>
        <v>#N/A</v>
      </c>
      <c r="S1540" s="6" t="e">
        <f t="shared" ca="1" si="298"/>
        <v>#N/A</v>
      </c>
      <c r="T1540" s="6">
        <f t="shared" ca="1" si="288"/>
        <v>3</v>
      </c>
      <c r="U1540" s="1">
        <f t="shared" ca="1" si="299"/>
        <v>805</v>
      </c>
    </row>
    <row r="1541" spans="1:21" x14ac:dyDescent="0.2">
      <c r="A1541" s="7" cm="1">
        <f t="array" aca="1" ref="A1541" ca="1">INDEX(Companies!$A:$A,RANDBETWEEN(2,COUNTA(Companies!$A:$A)),1)</f>
        <v>2</v>
      </c>
      <c r="B1541" s="5">
        <f t="shared" si="289"/>
        <v>1540</v>
      </c>
      <c r="C1541" s="6">
        <f t="shared" ca="1" si="290"/>
        <v>1</v>
      </c>
      <c r="D1541" s="7">
        <f ca="1">IF($B1541 = 1 + N("Presidente"),
    127,
    IF($B1541 = 2 + N("Vice-Presidente"),
        72,
        IF($B1541 = 3 + N("Secretária bilíngue"),
            13,
            RANDBETWEEN(5,COUNT(Name!$A:$A) + 1)
        )
    )
)</f>
        <v>142</v>
      </c>
      <c r="E1541" s="7" t="str">
        <f ca="1" xml:space="preserve">
VLOOKUP(
  $D1541,
  Name!$A:$B,
  2,
  FALSE
)
&amp; " " &amp;
IF($B1541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Flaviano Santoro Alvaregna</v>
      </c>
      <c r="F1541" s="7">
        <v>2</v>
      </c>
      <c r="G1541" s="7" cm="1">
        <f t="array" aca="1" ref="G1541" ca="1">INDEX(States!$B:$B,RANDBETWEEN(2,COUNTA(States!$A:$A)),1)</f>
        <v>3</v>
      </c>
      <c r="H1541" s="7" t="str">
        <f ca="1">VLOOKUP($D1541,Name!$A:$C,3,FALSE)</f>
        <v>M</v>
      </c>
      <c r="I1541" s="7" cm="1">
        <f t="array" aca="1" ref="I1541" ca="1">INDEX('Marital status'!$A:$A,RANDBETWEEN(2,COUNTA('Marital status'!$A:$A)),1)</f>
        <v>4</v>
      </c>
      <c r="J1541" s="7">
        <f t="shared" ca="1" si="291"/>
        <v>2</v>
      </c>
      <c r="K1541" s="8">
        <f t="shared" ca="1" si="292"/>
        <v>36698</v>
      </c>
      <c r="L1541" s="6">
        <f t="shared" ca="1" si="293"/>
        <v>4</v>
      </c>
      <c r="M1541" s="7">
        <f ca="1" xml:space="preserve">
  IF(OR($N1541 = 2, $N1541 = 3, $N1541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541" s="6">
        <f t="shared" ca="1" si="294"/>
        <v>8</v>
      </c>
      <c r="O1541" s="6">
        <f t="shared" ca="1" si="295"/>
        <v>2</v>
      </c>
      <c r="P1541" s="8">
        <f t="shared" ca="1" si="296"/>
        <v>41465</v>
      </c>
      <c r="Q1541" s="6">
        <f ca="1">RANDBETWEEN(2,COUNTA('Recruitment source'!$A:$A))</f>
        <v>5</v>
      </c>
      <c r="R1541" s="8" t="e">
        <f t="shared" ca="1" si="297"/>
        <v>#N/A</v>
      </c>
      <c r="S1541" s="6" t="e">
        <f t="shared" ca="1" si="298"/>
        <v>#N/A</v>
      </c>
      <c r="T1541" s="6">
        <f t="shared" ca="1" si="288"/>
        <v>3</v>
      </c>
      <c r="U1541" s="1">
        <f t="shared" ca="1" si="299"/>
        <v>2080</v>
      </c>
    </row>
    <row r="1542" spans="1:21" x14ac:dyDescent="0.2">
      <c r="A1542" s="7" cm="1">
        <f t="array" aca="1" ref="A1542" ca="1">INDEX(Companies!$A:$A,RANDBETWEEN(2,COUNTA(Companies!$A:$A)),1)</f>
        <v>2</v>
      </c>
      <c r="B1542" s="5">
        <f t="shared" si="289"/>
        <v>1541</v>
      </c>
      <c r="C1542" s="6">
        <f t="shared" ca="1" si="290"/>
        <v>1</v>
      </c>
      <c r="D1542" s="7">
        <f ca="1">IF($B1542 = 1 + N("Presidente"),
    127,
    IF($B1542 = 2 + N("Vice-Presidente"),
        72,
        IF($B1542 = 3 + N("Secretária bilíngue"),
            13,
            RANDBETWEEN(5,COUNT(Name!$A:$A) + 1)
        )
    )
)</f>
        <v>355</v>
      </c>
      <c r="E1542" s="7" t="str">
        <f ca="1" xml:space="preserve">
VLOOKUP(
  $D1542,
  Name!$A:$B,
  2,
  FALSE
)
&amp; " " &amp;
IF($B1542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Victor Hugo Camargo Barboza</v>
      </c>
      <c r="F1542" s="7">
        <v>2</v>
      </c>
      <c r="G1542" s="7" cm="1">
        <f t="array" aca="1" ref="G1542" ca="1">INDEX(States!$B:$B,RANDBETWEEN(2,COUNTA(States!$A:$A)),1)</f>
        <v>2</v>
      </c>
      <c r="H1542" s="7" t="str">
        <f ca="1">VLOOKUP($D1542,Name!$A:$C,3,FALSE)</f>
        <v>M</v>
      </c>
      <c r="I1542" s="7" cm="1">
        <f t="array" aca="1" ref="I1542" ca="1">INDEX('Marital status'!$A:$A,RANDBETWEEN(2,COUNTA('Marital status'!$A:$A)),1)</f>
        <v>3</v>
      </c>
      <c r="J1542" s="7">
        <f t="shared" ca="1" si="291"/>
        <v>2</v>
      </c>
      <c r="K1542" s="8">
        <f t="shared" ca="1" si="292"/>
        <v>35251</v>
      </c>
      <c r="L1542" s="6">
        <f t="shared" ca="1" si="293"/>
        <v>4</v>
      </c>
      <c r="M1542" s="7">
        <f ca="1" xml:space="preserve">
  IF(OR($N1542 = 2, $N1542 = 3, $N1542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542" s="6">
        <f t="shared" ca="1" si="294"/>
        <v>7</v>
      </c>
      <c r="O1542" s="6" t="e">
        <f t="shared" ca="1" si="295"/>
        <v>#N/A</v>
      </c>
      <c r="P1542" s="8">
        <f t="shared" ca="1" si="296"/>
        <v>37147</v>
      </c>
      <c r="Q1542" s="6">
        <f ca="1">RANDBETWEEN(2,COUNTA('Recruitment source'!$A:$A))</f>
        <v>4</v>
      </c>
      <c r="R1542" s="8" t="e">
        <f t="shared" ca="1" si="297"/>
        <v>#N/A</v>
      </c>
      <c r="S1542" s="6" t="e">
        <f t="shared" ca="1" si="298"/>
        <v>#N/A</v>
      </c>
      <c r="T1542" s="6">
        <f t="shared" ca="1" si="288"/>
        <v>5</v>
      </c>
      <c r="U1542" s="1">
        <f t="shared" ca="1" si="299"/>
        <v>1005</v>
      </c>
    </row>
    <row r="1543" spans="1:21" x14ac:dyDescent="0.2">
      <c r="A1543" s="7" cm="1">
        <f t="array" aca="1" ref="A1543" ca="1">INDEX(Companies!$A:$A,RANDBETWEEN(2,COUNTA(Companies!$A:$A)),1)</f>
        <v>2</v>
      </c>
      <c r="B1543" s="5">
        <f t="shared" si="289"/>
        <v>1542</v>
      </c>
      <c r="C1543" s="6">
        <f t="shared" ca="1" si="290"/>
        <v>1</v>
      </c>
      <c r="D1543" s="7">
        <f ca="1">IF($B1543 = 1 + N("Presidente"),
    127,
    IF($B1543 = 2 + N("Vice-Presidente"),
        72,
        IF($B1543 = 3 + N("Secretária bilíngue"),
            13,
            RANDBETWEEN(5,COUNT(Name!$A:$A) + 1)
        )
    )
)</f>
        <v>11</v>
      </c>
      <c r="E1543" s="7" t="str">
        <f ca="1" xml:space="preserve">
VLOOKUP(
  $D1543,
  Name!$A:$B,
  2,
  FALSE
)
&amp; " " &amp;
IF($B1543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Agatha Café Frois</v>
      </c>
      <c r="F1543" s="7">
        <v>2</v>
      </c>
      <c r="G1543" s="7" cm="1">
        <f t="array" aca="1" ref="G1543" ca="1">INDEX(States!$B:$B,RANDBETWEEN(2,COUNTA(States!$A:$A)),1)</f>
        <v>3</v>
      </c>
      <c r="H1543" s="7" t="str">
        <f ca="1">VLOOKUP($D1543,Name!$A:$C,3,FALSE)</f>
        <v>F</v>
      </c>
      <c r="I1543" s="7" cm="1">
        <f t="array" aca="1" ref="I1543" ca="1">INDEX('Marital status'!$A:$A,RANDBETWEEN(2,COUNTA('Marital status'!$A:$A)),1)</f>
        <v>4</v>
      </c>
      <c r="J1543" s="7">
        <f t="shared" ca="1" si="291"/>
        <v>2</v>
      </c>
      <c r="K1543" s="8">
        <f t="shared" ca="1" si="292"/>
        <v>35344</v>
      </c>
      <c r="L1543" s="6">
        <f t="shared" ca="1" si="293"/>
        <v>5</v>
      </c>
      <c r="M1543" s="7">
        <f ca="1" xml:space="preserve">
  IF(OR($N1543 = 2, $N1543 = 3, $N1543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543" s="6">
        <f t="shared" ca="1" si="294"/>
        <v>8</v>
      </c>
      <c r="O1543" s="6">
        <f t="shared" ca="1" si="295"/>
        <v>3</v>
      </c>
      <c r="P1543" s="8">
        <f t="shared" ca="1" si="296"/>
        <v>39579</v>
      </c>
      <c r="Q1543" s="6">
        <f ca="1">RANDBETWEEN(2,COUNTA('Recruitment source'!$A:$A))</f>
        <v>4</v>
      </c>
      <c r="R1543" s="8" t="e">
        <f t="shared" ca="1" si="297"/>
        <v>#N/A</v>
      </c>
      <c r="S1543" s="6" t="e">
        <f t="shared" ca="1" si="298"/>
        <v>#N/A</v>
      </c>
      <c r="T1543" s="6">
        <f t="shared" ca="1" si="288"/>
        <v>3</v>
      </c>
      <c r="U1543" s="1">
        <f t="shared" ca="1" si="299"/>
        <v>2050</v>
      </c>
    </row>
    <row r="1544" spans="1:21" x14ac:dyDescent="0.2">
      <c r="A1544" s="7" cm="1">
        <f t="array" aca="1" ref="A1544" ca="1">INDEX(Companies!$A:$A,RANDBETWEEN(2,COUNTA(Companies!$A:$A)),1)</f>
        <v>2</v>
      </c>
      <c r="B1544" s="5">
        <f t="shared" si="289"/>
        <v>1543</v>
      </c>
      <c r="C1544" s="6">
        <f t="shared" ca="1" si="290"/>
        <v>1</v>
      </c>
      <c r="D1544" s="7">
        <f ca="1">IF($B1544 = 1 + N("Presidente"),
    127,
    IF($B1544 = 2 + N("Vice-Presidente"),
        72,
        IF($B1544 = 3 + N("Secretária bilíngue"),
            13,
            RANDBETWEEN(5,COUNT(Name!$A:$A) + 1)
        )
    )
)</f>
        <v>250</v>
      </c>
      <c r="E1544" s="7" t="str">
        <f ca="1" xml:space="preserve">
VLOOKUP(
  $D1544,
  Name!$A:$B,
  2,
  FALSE
)
&amp; " " &amp;
IF($B1544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Madalena Nunes Noronha</v>
      </c>
      <c r="F1544" s="7">
        <v>2</v>
      </c>
      <c r="G1544" s="7" cm="1">
        <f t="array" aca="1" ref="G1544" ca="1">INDEX(States!$B:$B,RANDBETWEEN(2,COUNTA(States!$A:$A)),1)</f>
        <v>3</v>
      </c>
      <c r="H1544" s="7" t="str">
        <f ca="1">VLOOKUP($D1544,Name!$A:$C,3,FALSE)</f>
        <v>F</v>
      </c>
      <c r="I1544" s="7" cm="1">
        <f t="array" aca="1" ref="I1544" ca="1">INDEX('Marital status'!$A:$A,RANDBETWEEN(2,COUNTA('Marital status'!$A:$A)),1)</f>
        <v>5</v>
      </c>
      <c r="J1544" s="7">
        <f t="shared" ca="1" si="291"/>
        <v>2</v>
      </c>
      <c r="K1544" s="8">
        <f t="shared" ca="1" si="292"/>
        <v>34670</v>
      </c>
      <c r="L1544" s="6">
        <f t="shared" ca="1" si="293"/>
        <v>4</v>
      </c>
      <c r="M1544" s="7">
        <f ca="1" xml:space="preserve">
  IF(OR($N1544 = 2, $N1544 = 3, $N1544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544" s="6">
        <f t="shared" ca="1" si="294"/>
        <v>7</v>
      </c>
      <c r="O1544" s="6" t="e">
        <f t="shared" ca="1" si="295"/>
        <v>#N/A</v>
      </c>
      <c r="P1544" s="8">
        <f t="shared" ca="1" si="296"/>
        <v>38756</v>
      </c>
      <c r="Q1544" s="6">
        <f ca="1">RANDBETWEEN(2,COUNTA('Recruitment source'!$A:$A))</f>
        <v>11</v>
      </c>
      <c r="R1544" s="8" t="e">
        <f t="shared" ca="1" si="297"/>
        <v>#N/A</v>
      </c>
      <c r="S1544" s="6" t="e">
        <f t="shared" ca="1" si="298"/>
        <v>#N/A</v>
      </c>
      <c r="T1544" s="6">
        <f t="shared" ca="1" si="288"/>
        <v>4</v>
      </c>
      <c r="U1544" s="1">
        <f t="shared" ca="1" si="299"/>
        <v>1005</v>
      </c>
    </row>
    <row r="1545" spans="1:21" x14ac:dyDescent="0.2">
      <c r="A1545" s="7" cm="1">
        <f t="array" aca="1" ref="A1545" ca="1">INDEX(Companies!$A:$A,RANDBETWEEN(2,COUNTA(Companies!$A:$A)),1)</f>
        <v>2</v>
      </c>
      <c r="B1545" s="5">
        <f t="shared" si="289"/>
        <v>1544</v>
      </c>
      <c r="C1545" s="6">
        <f t="shared" ca="1" si="290"/>
        <v>1</v>
      </c>
      <c r="D1545" s="7">
        <f ca="1">IF($B1545 = 1 + N("Presidente"),
    127,
    IF($B1545 = 2 + N("Vice-Presidente"),
        72,
        IF($B1545 = 3 + N("Secretária bilíngue"),
            13,
            RANDBETWEEN(5,COUNT(Name!$A:$A) + 1)
        )
    )
)</f>
        <v>121</v>
      </c>
      <c r="E1545" s="7" t="str">
        <f ca="1" xml:space="preserve">
VLOOKUP(
  $D1545,
  Name!$A:$B,
  2,
  FALSE
)
&amp; " " &amp;
IF($B1545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Eloá Soares Fontana</v>
      </c>
      <c r="F1545" s="7">
        <v>2</v>
      </c>
      <c r="G1545" s="7" cm="1">
        <f t="array" aca="1" ref="G1545" ca="1">INDEX(States!$B:$B,RANDBETWEEN(2,COUNTA(States!$A:$A)),1)</f>
        <v>9</v>
      </c>
      <c r="H1545" s="7" t="str">
        <f ca="1">VLOOKUP($D1545,Name!$A:$C,3,FALSE)</f>
        <v>F</v>
      </c>
      <c r="I1545" s="7" cm="1">
        <f t="array" aca="1" ref="I1545" ca="1">INDEX('Marital status'!$A:$A,RANDBETWEEN(2,COUNTA('Marital status'!$A:$A)),1)</f>
        <v>6</v>
      </c>
      <c r="J1545" s="7">
        <f t="shared" ca="1" si="291"/>
        <v>2</v>
      </c>
      <c r="K1545" s="8">
        <f t="shared" ca="1" si="292"/>
        <v>36387</v>
      </c>
      <c r="L1545" s="6">
        <f t="shared" ca="1" si="293"/>
        <v>5</v>
      </c>
      <c r="M1545" s="7">
        <f ca="1" xml:space="preserve">
  IF(OR($N1545 = 2, $N1545 = 3, $N1545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545" s="6">
        <f t="shared" ca="1" si="294"/>
        <v>8</v>
      </c>
      <c r="O1545" s="6">
        <f t="shared" ca="1" si="295"/>
        <v>4</v>
      </c>
      <c r="P1545" s="8">
        <f t="shared" ca="1" si="296"/>
        <v>44052</v>
      </c>
      <c r="Q1545" s="6">
        <f ca="1">RANDBETWEEN(2,COUNTA('Recruitment source'!$A:$A))</f>
        <v>3</v>
      </c>
      <c r="R1545" s="8" t="e">
        <f t="shared" ca="1" si="297"/>
        <v>#N/A</v>
      </c>
      <c r="S1545" s="6" t="e">
        <f t="shared" ca="1" si="298"/>
        <v>#N/A</v>
      </c>
      <c r="T1545" s="6">
        <f t="shared" ca="1" si="288"/>
        <v>3</v>
      </c>
      <c r="U1545" s="1">
        <f t="shared" ca="1" si="299"/>
        <v>2050</v>
      </c>
    </row>
    <row r="1546" spans="1:21" x14ac:dyDescent="0.2">
      <c r="A1546" s="7" cm="1">
        <f t="array" aca="1" ref="A1546" ca="1">INDEX(Companies!$A:$A,RANDBETWEEN(2,COUNTA(Companies!$A:$A)),1)</f>
        <v>2</v>
      </c>
      <c r="B1546" s="5">
        <f t="shared" si="289"/>
        <v>1545</v>
      </c>
      <c r="C1546" s="6">
        <f t="shared" ca="1" si="290"/>
        <v>1</v>
      </c>
      <c r="D1546" s="7">
        <f ca="1">IF($B1546 = 1 + N("Presidente"),
    127,
    IF($B1546 = 2 + N("Vice-Presidente"),
        72,
        IF($B1546 = 3 + N("Secretária bilíngue"),
            13,
            RANDBETWEEN(5,COUNT(Name!$A:$A) + 1)
        )
    )
)</f>
        <v>338</v>
      </c>
      <c r="E1546" s="7" t="str">
        <f ca="1" xml:space="preserve">
VLOOKUP(
  $D1546,
  Name!$A:$B,
  2,
  FALSE
)
&amp; " " &amp;
IF($B1546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Sophia Andrioli Bandeira</v>
      </c>
      <c r="F1546" s="7">
        <v>2</v>
      </c>
      <c r="G1546" s="7" cm="1">
        <f t="array" aca="1" ref="G1546" ca="1">INDEX(States!$B:$B,RANDBETWEEN(2,COUNTA(States!$A:$A)),1)</f>
        <v>7</v>
      </c>
      <c r="H1546" s="7" t="str">
        <f ca="1">VLOOKUP($D1546,Name!$A:$C,3,FALSE)</f>
        <v>F</v>
      </c>
      <c r="I1546" s="7" cm="1">
        <f t="array" aca="1" ref="I1546" ca="1">INDEX('Marital status'!$A:$A,RANDBETWEEN(2,COUNTA('Marital status'!$A:$A)),1)</f>
        <v>4</v>
      </c>
      <c r="J1546" s="7">
        <f t="shared" ca="1" si="291"/>
        <v>2</v>
      </c>
      <c r="K1546" s="8">
        <f t="shared" ca="1" si="292"/>
        <v>33697</v>
      </c>
      <c r="L1546" s="6">
        <f t="shared" ca="1" si="293"/>
        <v>4</v>
      </c>
      <c r="M1546" s="7">
        <f ca="1" xml:space="preserve">
  IF(OR($N1546 = 2, $N1546 = 3, $N1546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546" s="6">
        <f t="shared" ca="1" si="294"/>
        <v>7</v>
      </c>
      <c r="O1546" s="6" t="e">
        <f t="shared" ca="1" si="295"/>
        <v>#N/A</v>
      </c>
      <c r="P1546" s="8">
        <f t="shared" ca="1" si="296"/>
        <v>38453</v>
      </c>
      <c r="Q1546" s="6">
        <f ca="1">RANDBETWEEN(2,COUNTA('Recruitment source'!$A:$A))</f>
        <v>2</v>
      </c>
      <c r="R1546" s="8" t="e">
        <f t="shared" ca="1" si="297"/>
        <v>#N/A</v>
      </c>
      <c r="S1546" s="6" t="e">
        <f t="shared" ca="1" si="298"/>
        <v>#N/A</v>
      </c>
      <c r="T1546" s="6">
        <f t="shared" ca="1" si="288"/>
        <v>4</v>
      </c>
      <c r="U1546" s="1">
        <f t="shared" ca="1" si="299"/>
        <v>1005</v>
      </c>
    </row>
    <row r="1547" spans="1:21" x14ac:dyDescent="0.2">
      <c r="A1547" s="7" cm="1">
        <f t="array" aca="1" ref="A1547" ca="1">INDEX(Companies!$A:$A,RANDBETWEEN(2,COUNTA(Companies!$A:$A)),1)</f>
        <v>2</v>
      </c>
      <c r="B1547" s="5">
        <f t="shared" si="289"/>
        <v>1546</v>
      </c>
      <c r="C1547" s="6">
        <f t="shared" ca="1" si="290"/>
        <v>1</v>
      </c>
      <c r="D1547" s="7">
        <f ca="1">IF($B1547 = 1 + N("Presidente"),
    127,
    IF($B1547 = 2 + N("Vice-Presidente"),
        72,
        IF($B1547 = 3 + N("Secretária bilíngue"),
            13,
            RANDBETWEEN(5,COUNT(Name!$A:$A) + 1)
        )
    )
)</f>
        <v>324</v>
      </c>
      <c r="E1547" s="7" t="str">
        <f ca="1" xml:space="preserve">
VLOOKUP(
  $D1547,
  Name!$A:$B,
  2,
  FALSE
)
&amp; " " &amp;
IF($B1547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Rafael Andrioli Bermudes</v>
      </c>
      <c r="F1547" s="7">
        <v>2</v>
      </c>
      <c r="G1547" s="7" cm="1">
        <f t="array" aca="1" ref="G1547" ca="1">INDEX(States!$B:$B,RANDBETWEEN(2,COUNTA(States!$A:$A)),1)</f>
        <v>15</v>
      </c>
      <c r="H1547" s="7" t="str">
        <f ca="1">VLOOKUP($D1547,Name!$A:$C,3,FALSE)</f>
        <v>M</v>
      </c>
      <c r="I1547" s="7" cm="1">
        <f t="array" aca="1" ref="I1547" ca="1">INDEX('Marital status'!$A:$A,RANDBETWEEN(2,COUNTA('Marital status'!$A:$A)),1)</f>
        <v>3</v>
      </c>
      <c r="J1547" s="7">
        <f t="shared" ca="1" si="291"/>
        <v>3</v>
      </c>
      <c r="K1547" s="8">
        <f t="shared" ca="1" si="292"/>
        <v>32840</v>
      </c>
      <c r="L1547" s="6">
        <f t="shared" ca="1" si="293"/>
        <v>5</v>
      </c>
      <c r="M1547" s="7">
        <f ca="1" xml:space="preserve">
  IF(OR($N1547 = 2, $N1547 = 3, $N1547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547" s="6">
        <f t="shared" ca="1" si="294"/>
        <v>8</v>
      </c>
      <c r="O1547" s="6">
        <f t="shared" ca="1" si="295"/>
        <v>4</v>
      </c>
      <c r="P1547" s="8">
        <f t="shared" ca="1" si="296"/>
        <v>41270</v>
      </c>
      <c r="Q1547" s="6">
        <f ca="1">RANDBETWEEN(2,COUNTA('Recruitment source'!$A:$A))</f>
        <v>5</v>
      </c>
      <c r="R1547" s="8" t="e">
        <f t="shared" ca="1" si="297"/>
        <v>#N/A</v>
      </c>
      <c r="S1547" s="6" t="e">
        <f t="shared" ca="1" si="298"/>
        <v>#N/A</v>
      </c>
      <c r="T1547" s="6">
        <f t="shared" ca="1" si="288"/>
        <v>5</v>
      </c>
      <c r="U1547" s="1">
        <f t="shared" ca="1" si="299"/>
        <v>2050</v>
      </c>
    </row>
    <row r="1548" spans="1:21" x14ac:dyDescent="0.2">
      <c r="A1548" s="7" cm="1">
        <f t="array" aca="1" ref="A1548" ca="1">INDEX(Companies!$A:$A,RANDBETWEEN(2,COUNTA(Companies!$A:$A)),1)</f>
        <v>2</v>
      </c>
      <c r="B1548" s="5">
        <f t="shared" si="289"/>
        <v>1547</v>
      </c>
      <c r="C1548" s="6">
        <f t="shared" ca="1" si="290"/>
        <v>1</v>
      </c>
      <c r="D1548" s="7">
        <f ca="1">IF($B1548 = 1 + N("Presidente"),
    127,
    IF($B1548 = 2 + N("Vice-Presidente"),
        72,
        IF($B1548 = 3 + N("Secretária bilíngue"),
            13,
            RANDBETWEEN(5,COUNT(Name!$A:$A) + 1)
        )
    )
)</f>
        <v>183</v>
      </c>
      <c r="E1548" s="7" t="str">
        <f ca="1" xml:space="preserve">
VLOOKUP(
  $D1548,
  Name!$A:$B,
  2,
  FALSE
)
&amp; " " &amp;
IF($B1548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Joanah Conti Moura</v>
      </c>
      <c r="F1548" s="7">
        <v>2</v>
      </c>
      <c r="G1548" s="7" cm="1">
        <f t="array" aca="1" ref="G1548" ca="1">INDEX(States!$B:$B,RANDBETWEEN(2,COUNTA(States!$A:$A)),1)</f>
        <v>13</v>
      </c>
      <c r="H1548" s="7" t="str">
        <f ca="1">VLOOKUP($D1548,Name!$A:$C,3,FALSE)</f>
        <v>F</v>
      </c>
      <c r="I1548" s="7" cm="1">
        <f t="array" aca="1" ref="I1548" ca="1">INDEX('Marital status'!$A:$A,RANDBETWEEN(2,COUNTA('Marital status'!$A:$A)),1)</f>
        <v>5</v>
      </c>
      <c r="J1548" s="7">
        <f t="shared" ca="1" si="291"/>
        <v>2</v>
      </c>
      <c r="K1548" s="8">
        <f t="shared" ca="1" si="292"/>
        <v>22323</v>
      </c>
      <c r="L1548" s="6">
        <f t="shared" ca="1" si="293"/>
        <v>4</v>
      </c>
      <c r="M1548" s="7">
        <f ca="1" xml:space="preserve">
  IF(OR($N1548 = 2, $N1548 = 3, $N1548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548" s="6">
        <f t="shared" ca="1" si="294"/>
        <v>6</v>
      </c>
      <c r="O1548" s="6" t="e">
        <f t="shared" ca="1" si="295"/>
        <v>#N/A</v>
      </c>
      <c r="P1548" s="8">
        <f t="shared" ca="1" si="296"/>
        <v>39019</v>
      </c>
      <c r="Q1548" s="6">
        <f ca="1">RANDBETWEEN(2,COUNTA('Recruitment source'!$A:$A))</f>
        <v>12</v>
      </c>
      <c r="R1548" s="8" t="e">
        <f t="shared" ca="1" si="297"/>
        <v>#N/A</v>
      </c>
      <c r="S1548" s="6" t="e">
        <f t="shared" ca="1" si="298"/>
        <v>#N/A</v>
      </c>
      <c r="T1548" s="6">
        <f t="shared" ca="1" si="288"/>
        <v>2</v>
      </c>
      <c r="U1548" s="1">
        <f t="shared" ca="1" si="299"/>
        <v>805</v>
      </c>
    </row>
    <row r="1549" spans="1:21" x14ac:dyDescent="0.2">
      <c r="A1549" s="7" cm="1">
        <f t="array" aca="1" ref="A1549" ca="1">INDEX(Companies!$A:$A,RANDBETWEEN(2,COUNTA(Companies!$A:$A)),1)</f>
        <v>2</v>
      </c>
      <c r="B1549" s="5">
        <f t="shared" si="289"/>
        <v>1548</v>
      </c>
      <c r="C1549" s="6">
        <f t="shared" ca="1" si="290"/>
        <v>1</v>
      </c>
      <c r="D1549" s="7">
        <f ca="1">IF($B1549 = 1 + N("Presidente"),
    127,
    IF($B1549 = 2 + N("Vice-Presidente"),
        72,
        IF($B1549 = 3 + N("Secretária bilíngue"),
            13,
            RANDBETWEEN(5,COUNT(Name!$A:$A) + 1)
        )
    )
)</f>
        <v>119</v>
      </c>
      <c r="E1549" s="7" t="str">
        <f ca="1" xml:space="preserve">
VLOOKUP(
  $D1549,
  Name!$A:$B,
  2,
  FALSE
)
&amp; " " &amp;
IF($B1549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Elisa Ferrara Zil</v>
      </c>
      <c r="F1549" s="7">
        <v>2</v>
      </c>
      <c r="G1549" s="7" cm="1">
        <f t="array" aca="1" ref="G1549" ca="1">INDEX(States!$B:$B,RANDBETWEEN(2,COUNTA(States!$A:$A)),1)</f>
        <v>5</v>
      </c>
      <c r="H1549" s="7" t="str">
        <f ca="1">VLOOKUP($D1549,Name!$A:$C,3,FALSE)</f>
        <v>F</v>
      </c>
      <c r="I1549" s="7" cm="1">
        <f t="array" aca="1" ref="I1549" ca="1">INDEX('Marital status'!$A:$A,RANDBETWEEN(2,COUNTA('Marital status'!$A:$A)),1)</f>
        <v>3</v>
      </c>
      <c r="J1549" s="7">
        <f t="shared" ca="1" si="291"/>
        <v>2</v>
      </c>
      <c r="K1549" s="8">
        <f t="shared" ca="1" si="292"/>
        <v>36632</v>
      </c>
      <c r="L1549" s="6">
        <f t="shared" ca="1" si="293"/>
        <v>4</v>
      </c>
      <c r="M1549" s="7">
        <f ca="1" xml:space="preserve">
  IF(OR($N1549 = 2, $N1549 = 3, $N1549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549" s="6">
        <f t="shared" ca="1" si="294"/>
        <v>8</v>
      </c>
      <c r="O1549" s="6">
        <f t="shared" ca="1" si="295"/>
        <v>2</v>
      </c>
      <c r="P1549" s="8">
        <f t="shared" ca="1" si="296"/>
        <v>42110</v>
      </c>
      <c r="Q1549" s="6">
        <f ca="1">RANDBETWEEN(2,COUNTA('Recruitment source'!$A:$A))</f>
        <v>11</v>
      </c>
      <c r="R1549" s="8" t="e">
        <f t="shared" ca="1" si="297"/>
        <v>#N/A</v>
      </c>
      <c r="S1549" s="6" t="e">
        <f t="shared" ca="1" si="298"/>
        <v>#N/A</v>
      </c>
      <c r="T1549" s="6">
        <f t="shared" ca="1" si="288"/>
        <v>5</v>
      </c>
      <c r="U1549" s="1">
        <f t="shared" ca="1" si="299"/>
        <v>2000</v>
      </c>
    </row>
    <row r="1550" spans="1:21" x14ac:dyDescent="0.2">
      <c r="A1550" s="7" cm="1">
        <f t="array" aca="1" ref="A1550" ca="1">INDEX(Companies!$A:$A,RANDBETWEEN(2,COUNTA(Companies!$A:$A)),1)</f>
        <v>2</v>
      </c>
      <c r="B1550" s="5">
        <f t="shared" si="289"/>
        <v>1549</v>
      </c>
      <c r="C1550" s="6">
        <f t="shared" ca="1" si="290"/>
        <v>1</v>
      </c>
      <c r="D1550" s="7">
        <f ca="1">IF($B1550 = 1 + N("Presidente"),
    127,
    IF($B1550 = 2 + N("Vice-Presidente"),
        72,
        IF($B1550 = 3 + N("Secretária bilíngue"),
            13,
            RANDBETWEEN(5,COUNT(Name!$A:$A) + 1)
        )
    )
)</f>
        <v>348</v>
      </c>
      <c r="E1550" s="7" t="str">
        <f ca="1" xml:space="preserve">
VLOOKUP(
  $D1550,
  Name!$A:$B,
  2,
  FALSE
)
&amp; " " &amp;
IF($B1550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Vagner Martini Junqueira</v>
      </c>
      <c r="F1550" s="7">
        <v>2</v>
      </c>
      <c r="G1550" s="7" cm="1">
        <f t="array" aca="1" ref="G1550" ca="1">INDEX(States!$B:$B,RANDBETWEEN(2,COUNTA(States!$A:$A)),1)</f>
        <v>13</v>
      </c>
      <c r="H1550" s="7" t="str">
        <f ca="1">VLOOKUP($D1550,Name!$A:$C,3,FALSE)</f>
        <v>M</v>
      </c>
      <c r="I1550" s="7" cm="1">
        <f t="array" aca="1" ref="I1550" ca="1">INDEX('Marital status'!$A:$A,RANDBETWEEN(2,COUNTA('Marital status'!$A:$A)),1)</f>
        <v>3</v>
      </c>
      <c r="J1550" s="7">
        <f t="shared" ca="1" si="291"/>
        <v>2</v>
      </c>
      <c r="K1550" s="8">
        <f t="shared" ca="1" si="292"/>
        <v>29812</v>
      </c>
      <c r="L1550" s="6">
        <f t="shared" ca="1" si="293"/>
        <v>4</v>
      </c>
      <c r="M1550" s="7">
        <f ca="1" xml:space="preserve">
  IF(OR($N1550 = 2, $N1550 = 3, $N1550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550" s="6">
        <f t="shared" ca="1" si="294"/>
        <v>7</v>
      </c>
      <c r="O1550" s="6" t="e">
        <f t="shared" ca="1" si="295"/>
        <v>#N/A</v>
      </c>
      <c r="P1550" s="8">
        <f t="shared" ca="1" si="296"/>
        <v>43797</v>
      </c>
      <c r="Q1550" s="6">
        <f ca="1">RANDBETWEEN(2,COUNTA('Recruitment source'!$A:$A))</f>
        <v>2</v>
      </c>
      <c r="R1550" s="8" t="e">
        <f t="shared" ca="1" si="297"/>
        <v>#N/A</v>
      </c>
      <c r="S1550" s="6" t="e">
        <f t="shared" ca="1" si="298"/>
        <v>#N/A</v>
      </c>
      <c r="T1550" s="6">
        <f t="shared" ca="1" si="288"/>
        <v>3</v>
      </c>
      <c r="U1550" s="1">
        <f t="shared" ca="1" si="299"/>
        <v>1005</v>
      </c>
    </row>
    <row r="1551" spans="1:21" x14ac:dyDescent="0.2">
      <c r="A1551" s="7" cm="1">
        <f t="array" aca="1" ref="A1551" ca="1">INDEX(Companies!$A:$A,RANDBETWEEN(2,COUNTA(Companies!$A:$A)),1)</f>
        <v>2</v>
      </c>
      <c r="B1551" s="5">
        <f t="shared" si="289"/>
        <v>1550</v>
      </c>
      <c r="C1551" s="6">
        <f t="shared" ca="1" si="290"/>
        <v>1</v>
      </c>
      <c r="D1551" s="7">
        <f ca="1">IF($B1551 = 1 + N("Presidente"),
    127,
    IF($B1551 = 2 + N("Vice-Presidente"),
        72,
        IF($B1551 = 3 + N("Secretária bilíngue"),
            13,
            RANDBETWEEN(5,COUNT(Name!$A:$A) + 1)
        )
    )
)</f>
        <v>60</v>
      </c>
      <c r="E1551" s="7" t="str">
        <f ca="1" xml:space="preserve">
VLOOKUP(
  $D1551,
  Name!$A:$B,
  2,
  FALSE
)
&amp; " " &amp;
IF($B1551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Augusta Pedrosa Leitão</v>
      </c>
      <c r="F1551" s="7">
        <v>2</v>
      </c>
      <c r="G1551" s="7" cm="1">
        <f t="array" aca="1" ref="G1551" ca="1">INDEX(States!$B:$B,RANDBETWEEN(2,COUNTA(States!$A:$A)),1)</f>
        <v>11</v>
      </c>
      <c r="H1551" s="7" t="str">
        <f ca="1">VLOOKUP($D1551,Name!$A:$C,3,FALSE)</f>
        <v>F</v>
      </c>
      <c r="I1551" s="7" cm="1">
        <f t="array" aca="1" ref="I1551" ca="1">INDEX('Marital status'!$A:$A,RANDBETWEEN(2,COUNTA('Marital status'!$A:$A)),1)</f>
        <v>2</v>
      </c>
      <c r="J1551" s="7">
        <f t="shared" ca="1" si="291"/>
        <v>4</v>
      </c>
      <c r="K1551" s="8">
        <f t="shared" ca="1" si="292"/>
        <v>33880</v>
      </c>
      <c r="L1551" s="6">
        <f t="shared" ca="1" si="293"/>
        <v>5</v>
      </c>
      <c r="M1551" s="7">
        <f ca="1" xml:space="preserve">
  IF(OR($N1551 = 2, $N1551 = 3, $N1551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551" s="6">
        <f t="shared" ca="1" si="294"/>
        <v>8</v>
      </c>
      <c r="O1551" s="6">
        <f t="shared" ca="1" si="295"/>
        <v>2</v>
      </c>
      <c r="P1551" s="8">
        <f t="shared" ca="1" si="296"/>
        <v>41625</v>
      </c>
      <c r="Q1551" s="6">
        <f ca="1">RANDBETWEEN(2,COUNTA('Recruitment source'!$A:$A))</f>
        <v>6</v>
      </c>
      <c r="R1551" s="8" t="e">
        <f t="shared" ca="1" si="297"/>
        <v>#N/A</v>
      </c>
      <c r="S1551" s="6" t="e">
        <f t="shared" ca="1" si="298"/>
        <v>#N/A</v>
      </c>
      <c r="T1551" s="6">
        <f t="shared" ca="1" si="288"/>
        <v>3</v>
      </c>
      <c r="U1551" s="1">
        <f t="shared" ca="1" si="299"/>
        <v>2080</v>
      </c>
    </row>
    <row r="1552" spans="1:21" x14ac:dyDescent="0.2">
      <c r="A1552" s="7" cm="1">
        <f t="array" aca="1" ref="A1552" ca="1">INDEX(Companies!$A:$A,RANDBETWEEN(2,COUNTA(Companies!$A:$A)),1)</f>
        <v>2</v>
      </c>
      <c r="B1552" s="5">
        <f t="shared" si="289"/>
        <v>1551</v>
      </c>
      <c r="C1552" s="6">
        <f t="shared" ca="1" si="290"/>
        <v>1</v>
      </c>
      <c r="D1552" s="7">
        <f ca="1">IF($B1552 = 1 + N("Presidente"),
    127,
    IF($B1552 = 2 + N("Vice-Presidente"),
        72,
        IF($B1552 = 3 + N("Secretária bilíngue"),
            13,
            RANDBETWEEN(5,COUNT(Name!$A:$A) + 1)
        )
    )
)</f>
        <v>47</v>
      </c>
      <c r="E1552" s="7" t="str">
        <f ca="1" xml:space="preserve">
VLOOKUP(
  $D1552,
  Name!$A:$B,
  2,
  FALSE
)
&amp; " " &amp;
IF($B1552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Anne Caroline Pedrosa Aragão</v>
      </c>
      <c r="F1552" s="7">
        <v>2</v>
      </c>
      <c r="G1552" s="7" cm="1">
        <f t="array" aca="1" ref="G1552" ca="1">INDEX(States!$B:$B,RANDBETWEEN(2,COUNTA(States!$A:$A)),1)</f>
        <v>15</v>
      </c>
      <c r="H1552" s="7" t="str">
        <f ca="1">VLOOKUP($D1552,Name!$A:$C,3,FALSE)</f>
        <v>F</v>
      </c>
      <c r="I1552" s="7" cm="1">
        <f t="array" aca="1" ref="I1552" ca="1">INDEX('Marital status'!$A:$A,RANDBETWEEN(2,COUNTA('Marital status'!$A:$A)),1)</f>
        <v>5</v>
      </c>
      <c r="J1552" s="7">
        <f t="shared" ca="1" si="291"/>
        <v>2</v>
      </c>
      <c r="K1552" s="8">
        <f t="shared" ca="1" si="292"/>
        <v>30298</v>
      </c>
      <c r="L1552" s="6">
        <f t="shared" ca="1" si="293"/>
        <v>4</v>
      </c>
      <c r="M1552" s="7">
        <f ca="1" xml:space="preserve">
  IF(OR($N1552 = 2, $N1552 = 3, $N1552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552" s="6">
        <f t="shared" ca="1" si="294"/>
        <v>7</v>
      </c>
      <c r="O1552" s="6" t="e">
        <f t="shared" ca="1" si="295"/>
        <v>#N/A</v>
      </c>
      <c r="P1552" s="8">
        <f t="shared" ca="1" si="296"/>
        <v>37584</v>
      </c>
      <c r="Q1552" s="6">
        <f ca="1">RANDBETWEEN(2,COUNTA('Recruitment source'!$A:$A))</f>
        <v>12</v>
      </c>
      <c r="R1552" s="8" t="e">
        <f t="shared" ca="1" si="297"/>
        <v>#N/A</v>
      </c>
      <c r="S1552" s="6" t="e">
        <f t="shared" ca="1" si="298"/>
        <v>#N/A</v>
      </c>
      <c r="T1552" s="6">
        <f t="shared" ca="1" si="288"/>
        <v>3</v>
      </c>
      <c r="U1552" s="1">
        <f t="shared" ca="1" si="299"/>
        <v>1005</v>
      </c>
    </row>
    <row r="1553" spans="1:21" x14ac:dyDescent="0.2">
      <c r="A1553" s="7" cm="1">
        <f t="array" aca="1" ref="A1553" ca="1">INDEX(Companies!$A:$A,RANDBETWEEN(2,COUNTA(Companies!$A:$A)),1)</f>
        <v>2</v>
      </c>
      <c r="B1553" s="5">
        <f t="shared" si="289"/>
        <v>1552</v>
      </c>
      <c r="C1553" s="6">
        <f t="shared" ca="1" si="290"/>
        <v>1</v>
      </c>
      <c r="D1553" s="7">
        <f ca="1">IF($B1553 = 1 + N("Presidente"),
    127,
    IF($B1553 = 2 + N("Vice-Presidente"),
        72,
        IF($B1553 = 3 + N("Secretária bilíngue"),
            13,
            RANDBETWEEN(5,COUNT(Name!$A:$A) + 1)
        )
    )
)</f>
        <v>255</v>
      </c>
      <c r="E1553" s="7" t="str">
        <f ca="1" xml:space="preserve">
VLOOKUP(
  $D1553,
  Name!$A:$B,
  2,
  FALSE
)
&amp; " " &amp;
IF($B1553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Manuela Santacruz Cardoso</v>
      </c>
      <c r="F1553" s="7">
        <v>2</v>
      </c>
      <c r="G1553" s="7" cm="1">
        <f t="array" aca="1" ref="G1553" ca="1">INDEX(States!$B:$B,RANDBETWEEN(2,COUNTA(States!$A:$A)),1)</f>
        <v>19</v>
      </c>
      <c r="H1553" s="7" t="str">
        <f ca="1">VLOOKUP($D1553,Name!$A:$C,3,FALSE)</f>
        <v>F</v>
      </c>
      <c r="I1553" s="7" cm="1">
        <f t="array" aca="1" ref="I1553" ca="1">INDEX('Marital status'!$A:$A,RANDBETWEEN(2,COUNTA('Marital status'!$A:$A)),1)</f>
        <v>5</v>
      </c>
      <c r="J1553" s="7">
        <f t="shared" ca="1" si="291"/>
        <v>2</v>
      </c>
      <c r="K1553" s="8">
        <f t="shared" ca="1" si="292"/>
        <v>35977</v>
      </c>
      <c r="L1553" s="6">
        <f t="shared" ca="1" si="293"/>
        <v>4</v>
      </c>
      <c r="M1553" s="7">
        <f ca="1" xml:space="preserve">
  IF(OR($N1553 = 2, $N1553 = 3, $N1553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553" s="6">
        <f t="shared" ca="1" si="294"/>
        <v>8</v>
      </c>
      <c r="O1553" s="6">
        <f t="shared" ca="1" si="295"/>
        <v>3</v>
      </c>
      <c r="P1553" s="8">
        <f t="shared" ca="1" si="296"/>
        <v>43220</v>
      </c>
      <c r="Q1553" s="6">
        <f ca="1">RANDBETWEEN(2,COUNTA('Recruitment source'!$A:$A))</f>
        <v>12</v>
      </c>
      <c r="R1553" s="8" t="e">
        <f t="shared" ca="1" si="297"/>
        <v>#N/A</v>
      </c>
      <c r="S1553" s="6" t="e">
        <f t="shared" ca="1" si="298"/>
        <v>#N/A</v>
      </c>
      <c r="T1553" s="6">
        <f t="shared" ca="1" si="288"/>
        <v>5</v>
      </c>
      <c r="U1553" s="1">
        <f t="shared" ca="1" si="299"/>
        <v>2080</v>
      </c>
    </row>
    <row r="1554" spans="1:21" x14ac:dyDescent="0.2">
      <c r="A1554" s="7" cm="1">
        <f t="array" aca="1" ref="A1554" ca="1">INDEX(Companies!$A:$A,RANDBETWEEN(2,COUNTA(Companies!$A:$A)),1)</f>
        <v>2</v>
      </c>
      <c r="B1554" s="5">
        <f t="shared" si="289"/>
        <v>1553</v>
      </c>
      <c r="C1554" s="6">
        <f t="shared" ca="1" si="290"/>
        <v>0</v>
      </c>
      <c r="D1554" s="7">
        <f ca="1">IF($B1554 = 1 + N("Presidente"),
    127,
    IF($B1554 = 2 + N("Vice-Presidente"),
        72,
        IF($B1554 = 3 + N("Secretária bilíngue"),
            13,
            RANDBETWEEN(5,COUNT(Name!$A:$A) + 1)
        )
    )
)</f>
        <v>336</v>
      </c>
      <c r="E1554" s="7" t="str">
        <f ca="1" xml:space="preserve">
VLOOKUP(
  $D1554,
  Name!$A:$B,
  2,
  FALSE
)
&amp; " " &amp;
IF($B1554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Samuel Santos Alves</v>
      </c>
      <c r="F1554" s="7">
        <v>2</v>
      </c>
      <c r="G1554" s="7" cm="1">
        <f t="array" aca="1" ref="G1554" ca="1">INDEX(States!$B:$B,RANDBETWEEN(2,COUNTA(States!$A:$A)),1)</f>
        <v>13</v>
      </c>
      <c r="H1554" s="7" t="str">
        <f ca="1">VLOOKUP($D1554,Name!$A:$C,3,FALSE)</f>
        <v>M</v>
      </c>
      <c r="I1554" s="7" cm="1">
        <f t="array" aca="1" ref="I1554" ca="1">INDEX('Marital status'!$A:$A,RANDBETWEEN(2,COUNTA('Marital status'!$A:$A)),1)</f>
        <v>5</v>
      </c>
      <c r="J1554" s="7">
        <f t="shared" ca="1" si="291"/>
        <v>3</v>
      </c>
      <c r="K1554" s="8">
        <f t="shared" ca="1" si="292"/>
        <v>31139</v>
      </c>
      <c r="L1554" s="6">
        <f t="shared" ca="1" si="293"/>
        <v>4</v>
      </c>
      <c r="M1554" s="7">
        <f ca="1" xml:space="preserve">
  IF(OR($N1554 = 2, $N1554 = 3, $N1554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554" s="6">
        <f t="shared" ca="1" si="294"/>
        <v>7</v>
      </c>
      <c r="O1554" s="6" t="e">
        <f t="shared" ca="1" si="295"/>
        <v>#N/A</v>
      </c>
      <c r="P1554" s="8">
        <f t="shared" ca="1" si="296"/>
        <v>42964</v>
      </c>
      <c r="Q1554" s="6">
        <f ca="1">RANDBETWEEN(2,COUNTA('Recruitment source'!$A:$A))</f>
        <v>9</v>
      </c>
      <c r="R1554" s="8">
        <f t="shared" ca="1" si="297"/>
        <v>44300</v>
      </c>
      <c r="S1554" s="6">
        <f t="shared" ca="1" si="298"/>
        <v>5</v>
      </c>
      <c r="T1554" s="6">
        <f t="shared" ca="1" si="288"/>
        <v>1</v>
      </c>
      <c r="U1554" s="1">
        <f t="shared" ca="1" si="299"/>
        <v>1085</v>
      </c>
    </row>
    <row r="1555" spans="1:21" x14ac:dyDescent="0.2">
      <c r="A1555" s="7" cm="1">
        <f t="array" aca="1" ref="A1555" ca="1">INDEX(Companies!$A:$A,RANDBETWEEN(2,COUNTA(Companies!$A:$A)),1)</f>
        <v>2</v>
      </c>
      <c r="B1555" s="5">
        <f t="shared" si="289"/>
        <v>1554</v>
      </c>
      <c r="C1555" s="6">
        <f t="shared" ca="1" si="290"/>
        <v>1</v>
      </c>
      <c r="D1555" s="7">
        <f ca="1">IF($B1555 = 1 + N("Presidente"),
    127,
    IF($B1555 = 2 + N("Vice-Presidente"),
        72,
        IF($B1555 = 3 + N("Secretária bilíngue"),
            13,
            RANDBETWEEN(5,COUNT(Name!$A:$A) + 1)
        )
    )
)</f>
        <v>136</v>
      </c>
      <c r="E1555" s="7" t="str">
        <f ca="1" xml:space="preserve">
VLOOKUP(
  $D1555,
  Name!$A:$B,
  2,
  FALSE
)
&amp; " " &amp;
IF($B1555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Fellipe Pasquim Romano</v>
      </c>
      <c r="F1555" s="7">
        <v>2</v>
      </c>
      <c r="G1555" s="7" cm="1">
        <f t="array" aca="1" ref="G1555" ca="1">INDEX(States!$B:$B,RANDBETWEEN(2,COUNTA(States!$A:$A)),1)</f>
        <v>16</v>
      </c>
      <c r="H1555" s="7" t="str">
        <f ca="1">VLOOKUP($D1555,Name!$A:$C,3,FALSE)</f>
        <v>M</v>
      </c>
      <c r="I1555" s="7" cm="1">
        <f t="array" aca="1" ref="I1555" ca="1">INDEX('Marital status'!$A:$A,RANDBETWEEN(2,COUNTA('Marital status'!$A:$A)),1)</f>
        <v>4</v>
      </c>
      <c r="J1555" s="7">
        <f t="shared" ca="1" si="291"/>
        <v>2</v>
      </c>
      <c r="K1555" s="8">
        <f t="shared" ca="1" si="292"/>
        <v>34379</v>
      </c>
      <c r="L1555" s="6">
        <f t="shared" ca="1" si="293"/>
        <v>4</v>
      </c>
      <c r="M1555" s="7">
        <f ca="1" xml:space="preserve">
  IF(OR($N1555 = 2, $N1555 = 3, $N1555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555" s="6">
        <f t="shared" ca="1" si="294"/>
        <v>8</v>
      </c>
      <c r="O1555" s="6">
        <f t="shared" ca="1" si="295"/>
        <v>4</v>
      </c>
      <c r="P1555" s="8">
        <f t="shared" ca="1" si="296"/>
        <v>43117</v>
      </c>
      <c r="Q1555" s="6">
        <f ca="1">RANDBETWEEN(2,COUNTA('Recruitment source'!$A:$A))</f>
        <v>9</v>
      </c>
      <c r="R1555" s="8" t="e">
        <f t="shared" ca="1" si="297"/>
        <v>#N/A</v>
      </c>
      <c r="S1555" s="6" t="e">
        <f t="shared" ca="1" si="298"/>
        <v>#N/A</v>
      </c>
      <c r="T1555" s="6">
        <f t="shared" ca="1" si="288"/>
        <v>5</v>
      </c>
      <c r="U1555" s="1">
        <f t="shared" ca="1" si="299"/>
        <v>2000</v>
      </c>
    </row>
    <row r="1556" spans="1:21" x14ac:dyDescent="0.2">
      <c r="A1556" s="7" cm="1">
        <f t="array" aca="1" ref="A1556" ca="1">INDEX(Companies!$A:$A,RANDBETWEEN(2,COUNTA(Companies!$A:$A)),1)</f>
        <v>2</v>
      </c>
      <c r="B1556" s="5">
        <f t="shared" si="289"/>
        <v>1555</v>
      </c>
      <c r="C1556" s="6">
        <f t="shared" ca="1" si="290"/>
        <v>1</v>
      </c>
      <c r="D1556" s="7">
        <f ca="1">IF($B1556 = 1 + N("Presidente"),
    127,
    IF($B1556 = 2 + N("Vice-Presidente"),
        72,
        IF($B1556 = 3 + N("Secretária bilíngue"),
            13,
            RANDBETWEEN(5,COUNT(Name!$A:$A) + 1)
        )
    )
)</f>
        <v>62</v>
      </c>
      <c r="E1556" s="7" t="str">
        <f ca="1" xml:space="preserve">
VLOOKUP(
  $D1556,
  Name!$A:$B,
  2,
  FALSE
)
&amp; " " &amp;
IF($B1556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Aurora Abranches Batista</v>
      </c>
      <c r="F1556" s="7">
        <v>2</v>
      </c>
      <c r="G1556" s="7" cm="1">
        <f t="array" aca="1" ref="G1556" ca="1">INDEX(States!$B:$B,RANDBETWEEN(2,COUNTA(States!$A:$A)),1)</f>
        <v>6</v>
      </c>
      <c r="H1556" s="7" t="str">
        <f ca="1">VLOOKUP($D1556,Name!$A:$C,3,FALSE)</f>
        <v>F</v>
      </c>
      <c r="I1556" s="7" cm="1">
        <f t="array" aca="1" ref="I1556" ca="1">INDEX('Marital status'!$A:$A,RANDBETWEEN(2,COUNTA('Marital status'!$A:$A)),1)</f>
        <v>3</v>
      </c>
      <c r="J1556" s="7">
        <f t="shared" ca="1" si="291"/>
        <v>2</v>
      </c>
      <c r="K1556" s="8">
        <f t="shared" ca="1" si="292"/>
        <v>21404</v>
      </c>
      <c r="L1556" s="6">
        <f t="shared" ca="1" si="293"/>
        <v>4</v>
      </c>
      <c r="M1556" s="7">
        <f ca="1" xml:space="preserve">
  IF(OR($N1556 = 2, $N1556 = 3, $N1556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556" s="6">
        <f t="shared" ca="1" si="294"/>
        <v>6</v>
      </c>
      <c r="O1556" s="6" t="e">
        <f t="shared" ca="1" si="295"/>
        <v>#N/A</v>
      </c>
      <c r="P1556" s="8">
        <f t="shared" ca="1" si="296"/>
        <v>37463</v>
      </c>
      <c r="Q1556" s="6">
        <f ca="1">RANDBETWEEN(2,COUNTA('Recruitment source'!$A:$A))</f>
        <v>10</v>
      </c>
      <c r="R1556" s="8" t="e">
        <f t="shared" ca="1" si="297"/>
        <v>#N/A</v>
      </c>
      <c r="S1556" s="6" t="e">
        <f t="shared" ca="1" si="298"/>
        <v>#N/A</v>
      </c>
      <c r="T1556" s="6">
        <f t="shared" ca="1" si="288"/>
        <v>4</v>
      </c>
      <c r="U1556" s="1">
        <f t="shared" ca="1" si="299"/>
        <v>805</v>
      </c>
    </row>
    <row r="1557" spans="1:21" x14ac:dyDescent="0.2">
      <c r="A1557" s="7" cm="1">
        <f t="array" aca="1" ref="A1557" ca="1">INDEX(Companies!$A:$A,RANDBETWEEN(2,COUNTA(Companies!$A:$A)),1)</f>
        <v>2</v>
      </c>
      <c r="B1557" s="5">
        <f t="shared" si="289"/>
        <v>1556</v>
      </c>
      <c r="C1557" s="6">
        <f t="shared" ca="1" si="290"/>
        <v>1</v>
      </c>
      <c r="D1557" s="7">
        <f ca="1">IF($B1557 = 1 + N("Presidente"),
    127,
    IF($B1557 = 2 + N("Vice-Presidente"),
        72,
        IF($B1557 = 3 + N("Secretária bilíngue"),
            13,
            RANDBETWEEN(5,COUNT(Name!$A:$A) + 1)
        )
    )
)</f>
        <v>219</v>
      </c>
      <c r="E1557" s="7" t="str">
        <f ca="1" xml:space="preserve">
VLOOKUP(
  $D1557,
  Name!$A:$B,
  2,
  FALSE
)
&amp; " " &amp;
IF($B1557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Larissa Noronha Cardozo</v>
      </c>
      <c r="F1557" s="7">
        <v>2</v>
      </c>
      <c r="G1557" s="7" cm="1">
        <f t="array" aca="1" ref="G1557" ca="1">INDEX(States!$B:$B,RANDBETWEEN(2,COUNTA(States!$A:$A)),1)</f>
        <v>10</v>
      </c>
      <c r="H1557" s="7" t="str">
        <f ca="1">VLOOKUP($D1557,Name!$A:$C,3,FALSE)</f>
        <v>F</v>
      </c>
      <c r="I1557" s="7" cm="1">
        <f t="array" aca="1" ref="I1557" ca="1">INDEX('Marital status'!$A:$A,RANDBETWEEN(2,COUNTA('Marital status'!$A:$A)),1)</f>
        <v>4</v>
      </c>
      <c r="J1557" s="7">
        <f t="shared" ca="1" si="291"/>
        <v>2</v>
      </c>
      <c r="K1557" s="8">
        <f t="shared" ca="1" si="292"/>
        <v>35166</v>
      </c>
      <c r="L1557" s="6">
        <f t="shared" ca="1" si="293"/>
        <v>5</v>
      </c>
      <c r="M1557" s="7">
        <f ca="1" xml:space="preserve">
  IF(OR($N1557 = 2, $N1557 = 3, $N1557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557" s="6">
        <f t="shared" ca="1" si="294"/>
        <v>8</v>
      </c>
      <c r="O1557" s="6">
        <f t="shared" ca="1" si="295"/>
        <v>4</v>
      </c>
      <c r="P1557" s="8">
        <f t="shared" ca="1" si="296"/>
        <v>40384</v>
      </c>
      <c r="Q1557" s="6">
        <f ca="1">RANDBETWEEN(2,COUNTA('Recruitment source'!$A:$A))</f>
        <v>7</v>
      </c>
      <c r="R1557" s="8" t="e">
        <f t="shared" ca="1" si="297"/>
        <v>#N/A</v>
      </c>
      <c r="S1557" s="6" t="e">
        <f t="shared" ca="1" si="298"/>
        <v>#N/A</v>
      </c>
      <c r="T1557" s="6">
        <f t="shared" ca="1" si="288"/>
        <v>4</v>
      </c>
      <c r="U1557" s="1">
        <f t="shared" ca="1" si="299"/>
        <v>2000</v>
      </c>
    </row>
    <row r="1558" spans="1:21" x14ac:dyDescent="0.2">
      <c r="A1558" s="7" cm="1">
        <f t="array" aca="1" ref="A1558" ca="1">INDEX(Companies!$A:$A,RANDBETWEEN(2,COUNTA(Companies!$A:$A)),1)</f>
        <v>2</v>
      </c>
      <c r="B1558" s="5">
        <f t="shared" si="289"/>
        <v>1557</v>
      </c>
      <c r="C1558" s="6">
        <f t="shared" ca="1" si="290"/>
        <v>1</v>
      </c>
      <c r="D1558" s="7">
        <f ca="1">IF($B1558 = 1 + N("Presidente"),
    127,
    IF($B1558 = 2 + N("Vice-Presidente"),
        72,
        IF($B1558 = 3 + N("Secretária bilíngue"),
            13,
            RANDBETWEEN(5,COUNT(Name!$A:$A) + 1)
        )
    )
)</f>
        <v>327</v>
      </c>
      <c r="E1558" s="7" t="str">
        <f ca="1" xml:space="preserve">
VLOOKUP(
  $D1558,
  Name!$A:$B,
  2,
  FALSE
)
&amp; " " &amp;
IF($B1558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Raquel Farina Sousa</v>
      </c>
      <c r="F1558" s="7">
        <v>2</v>
      </c>
      <c r="G1558" s="7" cm="1">
        <f t="array" aca="1" ref="G1558" ca="1">INDEX(States!$B:$B,RANDBETWEEN(2,COUNTA(States!$A:$A)),1)</f>
        <v>16</v>
      </c>
      <c r="H1558" s="7" t="str">
        <f ca="1">VLOOKUP($D1558,Name!$A:$C,3,FALSE)</f>
        <v>F</v>
      </c>
      <c r="I1558" s="7" cm="1">
        <f t="array" aca="1" ref="I1558" ca="1">INDEX('Marital status'!$A:$A,RANDBETWEEN(2,COUNTA('Marital status'!$A:$A)),1)</f>
        <v>3</v>
      </c>
      <c r="J1558" s="7">
        <f t="shared" ca="1" si="291"/>
        <v>5</v>
      </c>
      <c r="K1558" s="8">
        <f t="shared" ca="1" si="292"/>
        <v>32843</v>
      </c>
      <c r="L1558" s="6">
        <f t="shared" ca="1" si="293"/>
        <v>4</v>
      </c>
      <c r="M1558" s="7">
        <f ca="1" xml:space="preserve">
  IF(OR($N1558 = 2, $N1558 = 3, $N1558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558" s="6">
        <f t="shared" ca="1" si="294"/>
        <v>6</v>
      </c>
      <c r="O1558" s="6" t="e">
        <f t="shared" ca="1" si="295"/>
        <v>#N/A</v>
      </c>
      <c r="P1558" s="8">
        <f t="shared" ca="1" si="296"/>
        <v>37076</v>
      </c>
      <c r="Q1558" s="6">
        <f ca="1">RANDBETWEEN(2,COUNTA('Recruitment source'!$A:$A))</f>
        <v>8</v>
      </c>
      <c r="R1558" s="8" t="e">
        <f t="shared" ca="1" si="297"/>
        <v>#N/A</v>
      </c>
      <c r="S1558" s="6" t="e">
        <f t="shared" ca="1" si="298"/>
        <v>#N/A</v>
      </c>
      <c r="T1558" s="6">
        <f t="shared" ca="1" si="288"/>
        <v>2</v>
      </c>
      <c r="U1558" s="1">
        <f t="shared" ca="1" si="299"/>
        <v>805</v>
      </c>
    </row>
    <row r="1559" spans="1:21" x14ac:dyDescent="0.2">
      <c r="A1559" s="7" cm="1">
        <f t="array" aca="1" ref="A1559" ca="1">INDEX(Companies!$A:$A,RANDBETWEEN(2,COUNTA(Companies!$A:$A)),1)</f>
        <v>2</v>
      </c>
      <c r="B1559" s="5">
        <f t="shared" si="289"/>
        <v>1558</v>
      </c>
      <c r="C1559" s="6">
        <f t="shared" ca="1" si="290"/>
        <v>1</v>
      </c>
      <c r="D1559" s="7">
        <f ca="1">IF($B1559 = 1 + N("Presidente"),
    127,
    IF($B1559 = 2 + N("Vice-Presidente"),
        72,
        IF($B1559 = 3 + N("Secretária bilíngue"),
            13,
            RANDBETWEEN(5,COUNT(Name!$A:$A) + 1)
        )
    )
)</f>
        <v>209</v>
      </c>
      <c r="E1559" s="7" t="str">
        <f ca="1" xml:space="preserve">
VLOOKUP(
  $D1559,
  Name!$A:$B,
  2,
  FALSE
)
&amp; " " &amp;
IF($B1559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Katerine Moraes Pinto</v>
      </c>
      <c r="F1559" s="7">
        <v>2</v>
      </c>
      <c r="G1559" s="7" cm="1">
        <f t="array" aca="1" ref="G1559" ca="1">INDEX(States!$B:$B,RANDBETWEEN(2,COUNTA(States!$A:$A)),1)</f>
        <v>3</v>
      </c>
      <c r="H1559" s="7" t="str">
        <f ca="1">VLOOKUP($D1559,Name!$A:$C,3,FALSE)</f>
        <v>F</v>
      </c>
      <c r="I1559" s="7" cm="1">
        <f t="array" aca="1" ref="I1559" ca="1">INDEX('Marital status'!$A:$A,RANDBETWEEN(2,COUNTA('Marital status'!$A:$A)),1)</f>
        <v>3</v>
      </c>
      <c r="J1559" s="7">
        <f t="shared" ca="1" si="291"/>
        <v>2</v>
      </c>
      <c r="K1559" s="8">
        <f t="shared" ca="1" si="292"/>
        <v>32984</v>
      </c>
      <c r="L1559" s="6">
        <f t="shared" ca="1" si="293"/>
        <v>5</v>
      </c>
      <c r="M1559" s="7">
        <f ca="1" xml:space="preserve">
  IF(OR($N1559 = 2, $N1559 = 3, $N1559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559" s="6">
        <f t="shared" ca="1" si="294"/>
        <v>8</v>
      </c>
      <c r="O1559" s="6">
        <f t="shared" ca="1" si="295"/>
        <v>3</v>
      </c>
      <c r="P1559" s="8">
        <f t="shared" ca="1" si="296"/>
        <v>39517</v>
      </c>
      <c r="Q1559" s="6">
        <f ca="1">RANDBETWEEN(2,COUNTA('Recruitment source'!$A:$A))</f>
        <v>8</v>
      </c>
      <c r="R1559" s="8" t="e">
        <f t="shared" ca="1" si="297"/>
        <v>#N/A</v>
      </c>
      <c r="S1559" s="6" t="e">
        <f t="shared" ca="1" si="298"/>
        <v>#N/A</v>
      </c>
      <c r="T1559" s="6">
        <f t="shared" ca="1" si="288"/>
        <v>2</v>
      </c>
      <c r="U1559" s="1">
        <f t="shared" ca="1" si="299"/>
        <v>2000</v>
      </c>
    </row>
    <row r="1560" spans="1:21" x14ac:dyDescent="0.2">
      <c r="A1560" s="7" cm="1">
        <f t="array" aca="1" ref="A1560" ca="1">INDEX(Companies!$A:$A,RANDBETWEEN(2,COUNTA(Companies!$A:$A)),1)</f>
        <v>2</v>
      </c>
      <c r="B1560" s="5">
        <f t="shared" si="289"/>
        <v>1559</v>
      </c>
      <c r="C1560" s="6">
        <f t="shared" ca="1" si="290"/>
        <v>1</v>
      </c>
      <c r="D1560" s="7">
        <f ca="1">IF($B1560 = 1 + N("Presidente"),
    127,
    IF($B1560 = 2 + N("Vice-Presidente"),
        72,
        IF($B1560 = 3 + N("Secretária bilíngue"),
            13,
            RANDBETWEEN(5,COUNT(Name!$A:$A) + 1)
        )
    )
)</f>
        <v>12</v>
      </c>
      <c r="E1560" s="7" t="str">
        <f ca="1" xml:space="preserve">
VLOOKUP(
  $D1560,
  Name!$A:$B,
  2,
  FALSE
)
&amp; " " &amp;
IF($B1560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Alana Alvarenga Teixeira</v>
      </c>
      <c r="F1560" s="7">
        <v>2</v>
      </c>
      <c r="G1560" s="7" cm="1">
        <f t="array" aca="1" ref="G1560" ca="1">INDEX(States!$B:$B,RANDBETWEEN(2,COUNTA(States!$A:$A)),1)</f>
        <v>13</v>
      </c>
      <c r="H1560" s="7" t="str">
        <f ca="1">VLOOKUP($D1560,Name!$A:$C,3,FALSE)</f>
        <v>F</v>
      </c>
      <c r="I1560" s="7" cm="1">
        <f t="array" aca="1" ref="I1560" ca="1">INDEX('Marital status'!$A:$A,RANDBETWEEN(2,COUNTA('Marital status'!$A:$A)),1)</f>
        <v>2</v>
      </c>
      <c r="J1560" s="7">
        <f t="shared" ca="1" si="291"/>
        <v>2</v>
      </c>
      <c r="K1560" s="8">
        <f t="shared" ca="1" si="292"/>
        <v>26206</v>
      </c>
      <c r="L1560" s="6">
        <f t="shared" ca="1" si="293"/>
        <v>4</v>
      </c>
      <c r="M1560" s="7">
        <f ca="1" xml:space="preserve">
  IF(OR($N1560 = 2, $N1560 = 3, $N1560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560" s="6">
        <f t="shared" ca="1" si="294"/>
        <v>6</v>
      </c>
      <c r="O1560" s="6" t="e">
        <f t="shared" ca="1" si="295"/>
        <v>#N/A</v>
      </c>
      <c r="P1560" s="8">
        <f t="shared" ca="1" si="296"/>
        <v>37528</v>
      </c>
      <c r="Q1560" s="6">
        <f ca="1">RANDBETWEEN(2,COUNTA('Recruitment source'!$A:$A))</f>
        <v>4</v>
      </c>
      <c r="R1560" s="8" t="e">
        <f t="shared" ca="1" si="297"/>
        <v>#N/A</v>
      </c>
      <c r="S1560" s="6" t="e">
        <f t="shared" ca="1" si="298"/>
        <v>#N/A</v>
      </c>
      <c r="T1560" s="6">
        <f t="shared" ca="1" si="288"/>
        <v>5</v>
      </c>
      <c r="U1560" s="1">
        <f t="shared" ca="1" si="299"/>
        <v>805</v>
      </c>
    </row>
    <row r="1561" spans="1:21" x14ac:dyDescent="0.2">
      <c r="A1561" s="7" cm="1">
        <f t="array" aca="1" ref="A1561" ca="1">INDEX(Companies!$A:$A,RANDBETWEEN(2,COUNTA(Companies!$A:$A)),1)</f>
        <v>2</v>
      </c>
      <c r="B1561" s="5">
        <f t="shared" si="289"/>
        <v>1560</v>
      </c>
      <c r="C1561" s="6">
        <f t="shared" ca="1" si="290"/>
        <v>1</v>
      </c>
      <c r="D1561" s="7">
        <f ca="1">IF($B1561 = 1 + N("Presidente"),
    127,
    IF($B1561 = 2 + N("Vice-Presidente"),
        72,
        IF($B1561 = 3 + N("Secretária bilíngue"),
            13,
            RANDBETWEEN(5,COUNT(Name!$A:$A) + 1)
        )
    )
)</f>
        <v>347</v>
      </c>
      <c r="E1561" s="7" t="str">
        <f ca="1" xml:space="preserve">
VLOOKUP(
  $D1561,
  Name!$A:$B,
  2,
  FALSE
)
&amp; " " &amp;
IF($B1561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Tomás Braga Barbosa</v>
      </c>
      <c r="F1561" s="7">
        <v>2</v>
      </c>
      <c r="G1561" s="7" cm="1">
        <f t="array" aca="1" ref="G1561" ca="1">INDEX(States!$B:$B,RANDBETWEEN(2,COUNTA(States!$A:$A)),1)</f>
        <v>17</v>
      </c>
      <c r="H1561" s="7" t="str">
        <f ca="1">VLOOKUP($D1561,Name!$A:$C,3,FALSE)</f>
        <v>M</v>
      </c>
      <c r="I1561" s="7" cm="1">
        <f t="array" aca="1" ref="I1561" ca="1">INDEX('Marital status'!$A:$A,RANDBETWEEN(2,COUNTA('Marital status'!$A:$A)),1)</f>
        <v>6</v>
      </c>
      <c r="J1561" s="7">
        <f t="shared" ca="1" si="291"/>
        <v>3</v>
      </c>
      <c r="K1561" s="8">
        <f t="shared" ca="1" si="292"/>
        <v>36559</v>
      </c>
      <c r="L1561" s="6">
        <f t="shared" ca="1" si="293"/>
        <v>5</v>
      </c>
      <c r="M1561" s="7">
        <f ca="1" xml:space="preserve">
  IF(OR($N1561 = 2, $N1561 = 3, $N1561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561" s="6">
        <f t="shared" ca="1" si="294"/>
        <v>8</v>
      </c>
      <c r="O1561" s="6">
        <f t="shared" ca="1" si="295"/>
        <v>3</v>
      </c>
      <c r="P1561" s="8">
        <f t="shared" ca="1" si="296"/>
        <v>38354</v>
      </c>
      <c r="Q1561" s="6">
        <f ca="1">RANDBETWEEN(2,COUNTA('Recruitment source'!$A:$A))</f>
        <v>3</v>
      </c>
      <c r="R1561" s="8" t="e">
        <f t="shared" ca="1" si="297"/>
        <v>#N/A</v>
      </c>
      <c r="S1561" s="6" t="e">
        <f t="shared" ca="1" si="298"/>
        <v>#N/A</v>
      </c>
      <c r="T1561" s="6">
        <f t="shared" ca="1" si="288"/>
        <v>3</v>
      </c>
      <c r="U1561" s="1">
        <f t="shared" ca="1" si="299"/>
        <v>2080</v>
      </c>
    </row>
    <row r="1562" spans="1:21" x14ac:dyDescent="0.2">
      <c r="A1562" s="7" cm="1">
        <f t="array" aca="1" ref="A1562" ca="1">INDEX(Companies!$A:$A,RANDBETWEEN(2,COUNTA(Companies!$A:$A)),1)</f>
        <v>2</v>
      </c>
      <c r="B1562" s="5">
        <f t="shared" si="289"/>
        <v>1561</v>
      </c>
      <c r="C1562" s="6">
        <f t="shared" ca="1" si="290"/>
        <v>1</v>
      </c>
      <c r="D1562" s="7">
        <f ca="1">IF($B1562 = 1 + N("Presidente"),
    127,
    IF($B1562 = 2 + N("Vice-Presidente"),
        72,
        IF($B1562 = 3 + N("Secretária bilíngue"),
            13,
            RANDBETWEEN(5,COUNT(Name!$A:$A) + 1)
        )
    )
)</f>
        <v>113</v>
      </c>
      <c r="E1562" s="7" t="str">
        <f ca="1" xml:space="preserve">
VLOOKUP(
  $D1562,
  Name!$A:$B,
  2,
  FALSE
)
&amp; " " &amp;
IF($B1562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Desiré Cunha Sousa</v>
      </c>
      <c r="F1562" s="7">
        <v>2</v>
      </c>
      <c r="G1562" s="7" cm="1">
        <f t="array" aca="1" ref="G1562" ca="1">INDEX(States!$B:$B,RANDBETWEEN(2,COUNTA(States!$A:$A)),1)</f>
        <v>18</v>
      </c>
      <c r="H1562" s="7" t="str">
        <f ca="1">VLOOKUP($D1562,Name!$A:$C,3,FALSE)</f>
        <v>F</v>
      </c>
      <c r="I1562" s="7" cm="1">
        <f t="array" aca="1" ref="I1562" ca="1">INDEX('Marital status'!$A:$A,RANDBETWEEN(2,COUNTA('Marital status'!$A:$A)),1)</f>
        <v>6</v>
      </c>
      <c r="J1562" s="7">
        <f t="shared" ca="1" si="291"/>
        <v>4</v>
      </c>
      <c r="K1562" s="8">
        <f t="shared" ca="1" si="292"/>
        <v>26088</v>
      </c>
      <c r="L1562" s="6">
        <f t="shared" ca="1" si="293"/>
        <v>4</v>
      </c>
      <c r="M1562" s="7">
        <f ca="1" xml:space="preserve">
  IF(OR($N1562 = 2, $N1562 = 3, $N1562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562" s="6">
        <f t="shared" ca="1" si="294"/>
        <v>6</v>
      </c>
      <c r="O1562" s="6" t="e">
        <f t="shared" ca="1" si="295"/>
        <v>#N/A</v>
      </c>
      <c r="P1562" s="8">
        <f t="shared" ca="1" si="296"/>
        <v>40134</v>
      </c>
      <c r="Q1562" s="6">
        <f ca="1">RANDBETWEEN(2,COUNTA('Recruitment source'!$A:$A))</f>
        <v>7</v>
      </c>
      <c r="R1562" s="8" t="e">
        <f t="shared" ca="1" si="297"/>
        <v>#N/A</v>
      </c>
      <c r="S1562" s="6" t="e">
        <f t="shared" ca="1" si="298"/>
        <v>#N/A</v>
      </c>
      <c r="T1562" s="6">
        <f t="shared" ca="1" si="288"/>
        <v>5</v>
      </c>
      <c r="U1562" s="1">
        <f t="shared" ca="1" si="299"/>
        <v>805</v>
      </c>
    </row>
    <row r="1563" spans="1:21" x14ac:dyDescent="0.2">
      <c r="A1563" s="7" cm="1">
        <f t="array" aca="1" ref="A1563" ca="1">INDEX(Companies!$A:$A,RANDBETWEEN(2,COUNTA(Companies!$A:$A)),1)</f>
        <v>2</v>
      </c>
      <c r="B1563" s="5">
        <f t="shared" si="289"/>
        <v>1562</v>
      </c>
      <c r="C1563" s="6">
        <f t="shared" ca="1" si="290"/>
        <v>1</v>
      </c>
      <c r="D1563" s="7">
        <f ca="1">IF($B1563 = 1 + N("Presidente"),
    127,
    IF($B1563 = 2 + N("Vice-Presidente"),
        72,
        IF($B1563 = 3 + N("Secretária bilíngue"),
            13,
            RANDBETWEEN(5,COUNT(Name!$A:$A) + 1)
        )
    )
)</f>
        <v>309</v>
      </c>
      <c r="E1563" s="7" t="str">
        <f ca="1" xml:space="preserve">
VLOOKUP(
  $D1563,
  Name!$A:$B,
  2,
  FALSE
)
&amp; " " &amp;
IF($B1563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Octávio Amor Ramos</v>
      </c>
      <c r="F1563" s="7">
        <v>2</v>
      </c>
      <c r="G1563" s="7" cm="1">
        <f t="array" aca="1" ref="G1563" ca="1">INDEX(States!$B:$B,RANDBETWEEN(2,COUNTA(States!$A:$A)),1)</f>
        <v>14</v>
      </c>
      <c r="H1563" s="7" t="str">
        <f ca="1">VLOOKUP($D1563,Name!$A:$C,3,FALSE)</f>
        <v>M</v>
      </c>
      <c r="I1563" s="7" cm="1">
        <f t="array" aca="1" ref="I1563" ca="1">INDEX('Marital status'!$A:$A,RANDBETWEEN(2,COUNTA('Marital status'!$A:$A)),1)</f>
        <v>6</v>
      </c>
      <c r="J1563" s="7">
        <f t="shared" ca="1" si="291"/>
        <v>2</v>
      </c>
      <c r="K1563" s="8">
        <f t="shared" ca="1" si="292"/>
        <v>36930</v>
      </c>
      <c r="L1563" s="6">
        <f t="shared" ca="1" si="293"/>
        <v>4</v>
      </c>
      <c r="M1563" s="7">
        <f ca="1" xml:space="preserve">
  IF(OR($N1563 = 2, $N1563 = 3, $N1563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563" s="6">
        <f t="shared" ca="1" si="294"/>
        <v>8</v>
      </c>
      <c r="O1563" s="6">
        <f t="shared" ca="1" si="295"/>
        <v>4</v>
      </c>
      <c r="P1563" s="8">
        <f t="shared" ca="1" si="296"/>
        <v>40395</v>
      </c>
      <c r="Q1563" s="6">
        <f ca="1">RANDBETWEEN(2,COUNTA('Recruitment source'!$A:$A))</f>
        <v>4</v>
      </c>
      <c r="R1563" s="8" t="e">
        <f t="shared" ca="1" si="297"/>
        <v>#N/A</v>
      </c>
      <c r="S1563" s="6" t="e">
        <f t="shared" ca="1" si="298"/>
        <v>#N/A</v>
      </c>
      <c r="T1563" s="6">
        <f t="shared" ca="1" si="288"/>
        <v>2</v>
      </c>
      <c r="U1563" s="1">
        <f t="shared" ca="1" si="299"/>
        <v>2080</v>
      </c>
    </row>
    <row r="1564" spans="1:21" x14ac:dyDescent="0.2">
      <c r="A1564" s="7" cm="1">
        <f t="array" aca="1" ref="A1564" ca="1">INDEX(Companies!$A:$A,RANDBETWEEN(2,COUNTA(Companies!$A:$A)),1)</f>
        <v>2</v>
      </c>
      <c r="B1564" s="5">
        <f t="shared" si="289"/>
        <v>1563</v>
      </c>
      <c r="C1564" s="6">
        <f t="shared" ca="1" si="290"/>
        <v>1</v>
      </c>
      <c r="D1564" s="7">
        <f ca="1">IF($B1564 = 1 + N("Presidente"),
    127,
    IF($B1564 = 2 + N("Vice-Presidente"),
        72,
        IF($B1564 = 3 + N("Secretária bilíngue"),
            13,
            RANDBETWEEN(5,COUNT(Name!$A:$A) + 1)
        )
    )
)</f>
        <v>14</v>
      </c>
      <c r="E1564" s="7" t="str">
        <f ca="1" xml:space="preserve">
VLOOKUP(
  $D1564,
  Name!$A:$B,
  2,
  FALSE
)
&amp; " " &amp;
IF($B1564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Alexander Veiga Pinheiro</v>
      </c>
      <c r="F1564" s="7">
        <v>2</v>
      </c>
      <c r="G1564" s="7" cm="1">
        <f t="array" aca="1" ref="G1564" ca="1">INDEX(States!$B:$B,RANDBETWEEN(2,COUNTA(States!$A:$A)),1)</f>
        <v>10</v>
      </c>
      <c r="H1564" s="7" t="str">
        <f ca="1">VLOOKUP($D1564,Name!$A:$C,3,FALSE)</f>
        <v>M</v>
      </c>
      <c r="I1564" s="7" cm="1">
        <f t="array" aca="1" ref="I1564" ca="1">INDEX('Marital status'!$A:$A,RANDBETWEEN(2,COUNTA('Marital status'!$A:$A)),1)</f>
        <v>2</v>
      </c>
      <c r="J1564" s="7">
        <f t="shared" ca="1" si="291"/>
        <v>2</v>
      </c>
      <c r="K1564" s="8">
        <f t="shared" ca="1" si="292"/>
        <v>31562</v>
      </c>
      <c r="L1564" s="6">
        <f t="shared" ca="1" si="293"/>
        <v>4</v>
      </c>
      <c r="M1564" s="7">
        <f ca="1" xml:space="preserve">
  IF(OR($N1564 = 2, $N1564 = 3, $N1564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564" s="6">
        <f t="shared" ca="1" si="294"/>
        <v>6</v>
      </c>
      <c r="O1564" s="6" t="e">
        <f t="shared" ca="1" si="295"/>
        <v>#N/A</v>
      </c>
      <c r="P1564" s="8">
        <f t="shared" ca="1" si="296"/>
        <v>39232</v>
      </c>
      <c r="Q1564" s="6">
        <f ca="1">RANDBETWEEN(2,COUNTA('Recruitment source'!$A:$A))</f>
        <v>9</v>
      </c>
      <c r="R1564" s="8" t="e">
        <f t="shared" ca="1" si="297"/>
        <v>#N/A</v>
      </c>
      <c r="S1564" s="6" t="e">
        <f t="shared" ca="1" si="298"/>
        <v>#N/A</v>
      </c>
      <c r="T1564" s="6">
        <f t="shared" ca="1" si="288"/>
        <v>4</v>
      </c>
      <c r="U1564" s="1">
        <f t="shared" ca="1" si="299"/>
        <v>805</v>
      </c>
    </row>
    <row r="1565" spans="1:21" x14ac:dyDescent="0.2">
      <c r="A1565" s="7" cm="1">
        <f t="array" aca="1" ref="A1565" ca="1">INDEX(Companies!$A:$A,RANDBETWEEN(2,COUNTA(Companies!$A:$A)),1)</f>
        <v>2</v>
      </c>
      <c r="B1565" s="5">
        <f t="shared" si="289"/>
        <v>1564</v>
      </c>
      <c r="C1565" s="6">
        <f t="shared" ca="1" si="290"/>
        <v>1</v>
      </c>
      <c r="D1565" s="7">
        <f ca="1">IF($B1565 = 1 + N("Presidente"),
    127,
    IF($B1565 = 2 + N("Vice-Presidente"),
        72,
        IF($B1565 = 3 + N("Secretária bilíngue"),
            13,
            RANDBETWEEN(5,COUNT(Name!$A:$A) + 1)
        )
    )
)</f>
        <v>248</v>
      </c>
      <c r="E1565" s="7" t="str">
        <f ca="1" xml:space="preserve">
VLOOKUP(
  $D1565,
  Name!$A:$B,
  2,
  FALSE
)
&amp; " " &amp;
IF($B1565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Luiza Borba Martinelli</v>
      </c>
      <c r="F1565" s="7">
        <v>2</v>
      </c>
      <c r="G1565" s="7" cm="1">
        <f t="array" aca="1" ref="G1565" ca="1">INDEX(States!$B:$B,RANDBETWEEN(2,COUNTA(States!$A:$A)),1)</f>
        <v>17</v>
      </c>
      <c r="H1565" s="7" t="str">
        <f ca="1">VLOOKUP($D1565,Name!$A:$C,3,FALSE)</f>
        <v>F</v>
      </c>
      <c r="I1565" s="7" cm="1">
        <f t="array" aca="1" ref="I1565" ca="1">INDEX('Marital status'!$A:$A,RANDBETWEEN(2,COUNTA('Marital status'!$A:$A)),1)</f>
        <v>6</v>
      </c>
      <c r="J1565" s="7">
        <f t="shared" ca="1" si="291"/>
        <v>2</v>
      </c>
      <c r="K1565" s="8">
        <f t="shared" ca="1" si="292"/>
        <v>37122</v>
      </c>
      <c r="L1565" s="6">
        <f t="shared" ca="1" si="293"/>
        <v>4</v>
      </c>
      <c r="M1565" s="7">
        <f ca="1" xml:space="preserve">
  IF(OR($N1565 = 2, $N1565 = 3, $N1565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565" s="6">
        <f t="shared" ca="1" si="294"/>
        <v>8</v>
      </c>
      <c r="O1565" s="6">
        <f t="shared" ca="1" si="295"/>
        <v>2</v>
      </c>
      <c r="P1565" s="8">
        <f t="shared" ca="1" si="296"/>
        <v>40790</v>
      </c>
      <c r="Q1565" s="6">
        <f ca="1">RANDBETWEEN(2,COUNTA('Recruitment source'!$A:$A))</f>
        <v>8</v>
      </c>
      <c r="R1565" s="8" t="e">
        <f t="shared" ca="1" si="297"/>
        <v>#N/A</v>
      </c>
      <c r="S1565" s="6" t="e">
        <f t="shared" ca="1" si="298"/>
        <v>#N/A</v>
      </c>
      <c r="T1565" s="6">
        <f t="shared" ca="1" si="288"/>
        <v>3</v>
      </c>
      <c r="U1565" s="1">
        <f t="shared" ca="1" si="299"/>
        <v>2000</v>
      </c>
    </row>
    <row r="1566" spans="1:21" x14ac:dyDescent="0.2">
      <c r="A1566" s="7" cm="1">
        <f t="array" aca="1" ref="A1566" ca="1">INDEX(Companies!$A:$A,RANDBETWEEN(2,COUNTA(Companies!$A:$A)),1)</f>
        <v>2</v>
      </c>
      <c r="B1566" s="5">
        <f t="shared" si="289"/>
        <v>1565</v>
      </c>
      <c r="C1566" s="6">
        <f t="shared" ca="1" si="290"/>
        <v>1</v>
      </c>
      <c r="D1566" s="7">
        <f ca="1">IF($B1566 = 1 + N("Presidente"),
    127,
    IF($B1566 = 2 + N("Vice-Presidente"),
        72,
        IF($B1566 = 3 + N("Secretária bilíngue"),
            13,
            RANDBETWEEN(5,COUNT(Name!$A:$A) + 1)
        )
    )
)</f>
        <v>275</v>
      </c>
      <c r="E1566" s="7" t="str">
        <f ca="1" xml:space="preserve">
VLOOKUP(
  $D1566,
  Name!$A:$B,
  2,
  FALSE
)
&amp; " " &amp;
IF($B1566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Vitória Gonçalves Ramos</v>
      </c>
      <c r="F1566" s="7">
        <v>2</v>
      </c>
      <c r="G1566" s="7" cm="1">
        <f t="array" aca="1" ref="G1566" ca="1">INDEX(States!$B:$B,RANDBETWEEN(2,COUNTA(States!$A:$A)),1)</f>
        <v>11</v>
      </c>
      <c r="H1566" s="7" t="str">
        <f ca="1">VLOOKUP($D1566,Name!$A:$C,3,FALSE)</f>
        <v>F</v>
      </c>
      <c r="I1566" s="7" cm="1">
        <f t="array" aca="1" ref="I1566" ca="1">INDEX('Marital status'!$A:$A,RANDBETWEEN(2,COUNTA('Marital status'!$A:$A)),1)</f>
        <v>6</v>
      </c>
      <c r="J1566" s="7">
        <f t="shared" ca="1" si="291"/>
        <v>2</v>
      </c>
      <c r="K1566" s="8">
        <f t="shared" ca="1" si="292"/>
        <v>33615</v>
      </c>
      <c r="L1566" s="6">
        <f t="shared" ca="1" si="293"/>
        <v>4</v>
      </c>
      <c r="M1566" s="7">
        <f ca="1" xml:space="preserve">
  IF(OR($N1566 = 2, $N1566 = 3, $N1566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566" s="6">
        <f t="shared" ca="1" si="294"/>
        <v>7</v>
      </c>
      <c r="O1566" s="6" t="e">
        <f t="shared" ca="1" si="295"/>
        <v>#N/A</v>
      </c>
      <c r="P1566" s="8">
        <f t="shared" ca="1" si="296"/>
        <v>43010</v>
      </c>
      <c r="Q1566" s="6">
        <f ca="1">RANDBETWEEN(2,COUNTA('Recruitment source'!$A:$A))</f>
        <v>4</v>
      </c>
      <c r="R1566" s="8" t="e">
        <f t="shared" ca="1" si="297"/>
        <v>#N/A</v>
      </c>
      <c r="S1566" s="6" t="e">
        <f t="shared" ca="1" si="298"/>
        <v>#N/A</v>
      </c>
      <c r="T1566" s="6">
        <f t="shared" ca="1" si="288"/>
        <v>2</v>
      </c>
      <c r="U1566" s="1">
        <f t="shared" ca="1" si="299"/>
        <v>1005</v>
      </c>
    </row>
    <row r="1567" spans="1:21" x14ac:dyDescent="0.2">
      <c r="A1567" s="7" cm="1">
        <f t="array" aca="1" ref="A1567" ca="1">INDEX(Companies!$A:$A,RANDBETWEEN(2,COUNTA(Companies!$A:$A)),1)</f>
        <v>2</v>
      </c>
      <c r="B1567" s="5">
        <f t="shared" si="289"/>
        <v>1566</v>
      </c>
      <c r="C1567" s="6">
        <f t="shared" ca="1" si="290"/>
        <v>1</v>
      </c>
      <c r="D1567" s="7">
        <f ca="1">IF($B1567 = 1 + N("Presidente"),
    127,
    IF($B1567 = 2 + N("Vice-Presidente"),
        72,
        IF($B1567 = 3 + N("Secretária bilíngue"),
            13,
            RANDBETWEEN(5,COUNT(Name!$A:$A) + 1)
        )
    )
)</f>
        <v>44</v>
      </c>
      <c r="E1567" s="7" t="str">
        <f ca="1" xml:space="preserve">
VLOOKUP(
  $D1567,
  Name!$A:$B,
  2,
  FALSE
)
&amp; " " &amp;
IF($B1567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Carolina Colombo sobrenome</v>
      </c>
      <c r="F1567" s="7">
        <v>2</v>
      </c>
      <c r="G1567" s="7" cm="1">
        <f t="array" aca="1" ref="G1567" ca="1">INDEX(States!$B:$B,RANDBETWEEN(2,COUNTA(States!$A:$A)),1)</f>
        <v>10</v>
      </c>
      <c r="H1567" s="7" t="str">
        <f ca="1">VLOOKUP($D1567,Name!$A:$C,3,FALSE)</f>
        <v>F</v>
      </c>
      <c r="I1567" s="7" cm="1">
        <f t="array" aca="1" ref="I1567" ca="1">INDEX('Marital status'!$A:$A,RANDBETWEEN(2,COUNTA('Marital status'!$A:$A)),1)</f>
        <v>5</v>
      </c>
      <c r="J1567" s="7">
        <f t="shared" ca="1" si="291"/>
        <v>2</v>
      </c>
      <c r="K1567" s="8">
        <f t="shared" ca="1" si="292"/>
        <v>36180</v>
      </c>
      <c r="L1567" s="6">
        <f t="shared" ca="1" si="293"/>
        <v>4</v>
      </c>
      <c r="M1567" s="7">
        <f ca="1" xml:space="preserve">
  IF(OR($N1567 = 2, $N1567 = 3, $N1567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567" s="6">
        <f t="shared" ca="1" si="294"/>
        <v>8</v>
      </c>
      <c r="O1567" s="6">
        <f t="shared" ca="1" si="295"/>
        <v>3</v>
      </c>
      <c r="P1567" s="8">
        <f t="shared" ca="1" si="296"/>
        <v>44520</v>
      </c>
      <c r="Q1567" s="6">
        <f ca="1">RANDBETWEEN(2,COUNTA('Recruitment source'!$A:$A))</f>
        <v>2</v>
      </c>
      <c r="R1567" s="8" t="e">
        <f t="shared" ca="1" si="297"/>
        <v>#N/A</v>
      </c>
      <c r="S1567" s="6" t="e">
        <f t="shared" ca="1" si="298"/>
        <v>#N/A</v>
      </c>
      <c r="T1567" s="6">
        <f t="shared" ca="1" si="288"/>
        <v>3</v>
      </c>
      <c r="U1567" s="1">
        <f t="shared" ca="1" si="299"/>
        <v>2000</v>
      </c>
    </row>
    <row r="1568" spans="1:21" x14ac:dyDescent="0.2">
      <c r="A1568" s="7" cm="1">
        <f t="array" aca="1" ref="A1568" ca="1">INDEX(Companies!$A:$A,RANDBETWEEN(2,COUNTA(Companies!$A:$A)),1)</f>
        <v>2</v>
      </c>
      <c r="B1568" s="5">
        <f t="shared" si="289"/>
        <v>1567</v>
      </c>
      <c r="C1568" s="6">
        <f t="shared" ca="1" si="290"/>
        <v>1</v>
      </c>
      <c r="D1568" s="7">
        <f ca="1">IF($B1568 = 1 + N("Presidente"),
    127,
    IF($B1568 = 2 + N("Vice-Presidente"),
        72,
        IF($B1568 = 3 + N("Secretária bilíngue"),
            13,
            RANDBETWEEN(5,COUNT(Name!$A:$A) + 1)
        )
    )
)</f>
        <v>279</v>
      </c>
      <c r="E1568" s="7" t="str">
        <f ca="1" xml:space="preserve">
VLOOKUP(
  $D1568,
  Name!$A:$B,
  2,
  FALSE
)
&amp; " " &amp;
IF($B1568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Mariane Bragança Moreira</v>
      </c>
      <c r="F1568" s="7">
        <v>2</v>
      </c>
      <c r="G1568" s="7" cm="1">
        <f t="array" aca="1" ref="G1568" ca="1">INDEX(States!$B:$B,RANDBETWEEN(2,COUNTA(States!$A:$A)),1)</f>
        <v>4</v>
      </c>
      <c r="H1568" s="7" t="str">
        <f ca="1">VLOOKUP($D1568,Name!$A:$C,3,FALSE)</f>
        <v>F</v>
      </c>
      <c r="I1568" s="7" cm="1">
        <f t="array" aca="1" ref="I1568" ca="1">INDEX('Marital status'!$A:$A,RANDBETWEEN(2,COUNTA('Marital status'!$A:$A)),1)</f>
        <v>4</v>
      </c>
      <c r="J1568" s="7">
        <f t="shared" ca="1" si="291"/>
        <v>3</v>
      </c>
      <c r="K1568" s="8">
        <f t="shared" ca="1" si="292"/>
        <v>34670</v>
      </c>
      <c r="L1568" s="6">
        <f t="shared" ca="1" si="293"/>
        <v>4</v>
      </c>
      <c r="M1568" s="7">
        <f ca="1" xml:space="preserve">
  IF(OR($N1568 = 2, $N1568 = 3, $N1568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568" s="6">
        <f t="shared" ca="1" si="294"/>
        <v>7</v>
      </c>
      <c r="O1568" s="6" t="e">
        <f t="shared" ca="1" si="295"/>
        <v>#N/A</v>
      </c>
      <c r="P1568" s="8">
        <f t="shared" ca="1" si="296"/>
        <v>44559</v>
      </c>
      <c r="Q1568" s="6">
        <f ca="1">RANDBETWEEN(2,COUNTA('Recruitment source'!$A:$A))</f>
        <v>4</v>
      </c>
      <c r="R1568" s="8" t="e">
        <f t="shared" ca="1" si="297"/>
        <v>#N/A</v>
      </c>
      <c r="S1568" s="6" t="e">
        <f t="shared" ca="1" si="298"/>
        <v>#N/A</v>
      </c>
      <c r="T1568" s="6">
        <f t="shared" ca="1" si="288"/>
        <v>5</v>
      </c>
      <c r="U1568" s="1">
        <f t="shared" ca="1" si="299"/>
        <v>1085</v>
      </c>
    </row>
    <row r="1569" spans="1:21" x14ac:dyDescent="0.2">
      <c r="A1569" s="7" cm="1">
        <f t="array" aca="1" ref="A1569" ca="1">INDEX(Companies!$A:$A,RANDBETWEEN(2,COUNTA(Companies!$A:$A)),1)</f>
        <v>2</v>
      </c>
      <c r="B1569" s="5">
        <f t="shared" si="289"/>
        <v>1568</v>
      </c>
      <c r="C1569" s="6">
        <f t="shared" ca="1" si="290"/>
        <v>1</v>
      </c>
      <c r="D1569" s="7">
        <f ca="1">IF($B1569 = 1 + N("Presidente"),
    127,
    IF($B1569 = 2 + N("Vice-Presidente"),
        72,
        IF($B1569 = 3 + N("Secretária bilíngue"),
            13,
            RANDBETWEEN(5,COUNT(Name!$A:$A) + 1)
        )
    )
)</f>
        <v>176</v>
      </c>
      <c r="E1569" s="7" t="str">
        <f ca="1" xml:space="preserve">
VLOOKUP(
  $D1569,
  Name!$A:$B,
  2,
  FALSE
)
&amp; " " &amp;
IF($B1569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Isabelle Cunha Pimentel</v>
      </c>
      <c r="F1569" s="7">
        <v>2</v>
      </c>
      <c r="G1569" s="7" cm="1">
        <f t="array" aca="1" ref="G1569" ca="1">INDEX(States!$B:$B,RANDBETWEEN(2,COUNTA(States!$A:$A)),1)</f>
        <v>12</v>
      </c>
      <c r="H1569" s="7" t="str">
        <f ca="1">VLOOKUP($D1569,Name!$A:$C,3,FALSE)</f>
        <v>F</v>
      </c>
      <c r="I1569" s="7" cm="1">
        <f t="array" aca="1" ref="I1569" ca="1">INDEX('Marital status'!$A:$A,RANDBETWEEN(2,COUNTA('Marital status'!$A:$A)),1)</f>
        <v>4</v>
      </c>
      <c r="J1569" s="7">
        <f t="shared" ca="1" si="291"/>
        <v>2</v>
      </c>
      <c r="K1569" s="8">
        <f t="shared" ca="1" si="292"/>
        <v>37175</v>
      </c>
      <c r="L1569" s="6">
        <f t="shared" ca="1" si="293"/>
        <v>5</v>
      </c>
      <c r="M1569" s="7">
        <f ca="1" xml:space="preserve">
  IF(OR($N1569 = 2, $N1569 = 3, $N1569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569" s="6">
        <f t="shared" ca="1" si="294"/>
        <v>8</v>
      </c>
      <c r="O1569" s="6">
        <f t="shared" ca="1" si="295"/>
        <v>3</v>
      </c>
      <c r="P1569" s="8">
        <f t="shared" ca="1" si="296"/>
        <v>43312</v>
      </c>
      <c r="Q1569" s="6">
        <f ca="1">RANDBETWEEN(2,COUNTA('Recruitment source'!$A:$A))</f>
        <v>9</v>
      </c>
      <c r="R1569" s="8" t="e">
        <f t="shared" ca="1" si="297"/>
        <v>#N/A</v>
      </c>
      <c r="S1569" s="6" t="e">
        <f t="shared" ca="1" si="298"/>
        <v>#N/A</v>
      </c>
      <c r="T1569" s="6">
        <f t="shared" ca="1" si="288"/>
        <v>3</v>
      </c>
      <c r="U1569" s="1">
        <f t="shared" ca="1" si="299"/>
        <v>2000</v>
      </c>
    </row>
    <row r="1570" spans="1:21" x14ac:dyDescent="0.2">
      <c r="A1570" s="7" cm="1">
        <f t="array" aca="1" ref="A1570" ca="1">INDEX(Companies!$A:$A,RANDBETWEEN(2,COUNTA(Companies!$A:$A)),1)</f>
        <v>2</v>
      </c>
      <c r="B1570" s="5">
        <f t="shared" si="289"/>
        <v>1569</v>
      </c>
      <c r="C1570" s="6">
        <f t="shared" ca="1" si="290"/>
        <v>1</v>
      </c>
      <c r="D1570" s="7">
        <f ca="1">IF($B1570 = 1 + N("Presidente"),
    127,
    IF($B1570 = 2 + N("Vice-Presidente"),
        72,
        IF($B1570 = 3 + N("Secretária bilíngue"),
            13,
            RANDBETWEEN(5,COUNT(Name!$A:$A) + 1)
        )
    )
)</f>
        <v>168</v>
      </c>
      <c r="E1570" s="7" t="str">
        <f ca="1" xml:space="preserve">
VLOOKUP(
  $D1570,
  Name!$A:$B,
  2,
  FALSE
)
&amp; " " &amp;
IF($B1570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Henry Alencar Rocha</v>
      </c>
      <c r="F1570" s="7">
        <v>2</v>
      </c>
      <c r="G1570" s="7" cm="1">
        <f t="array" aca="1" ref="G1570" ca="1">INDEX(States!$B:$B,RANDBETWEEN(2,COUNTA(States!$A:$A)),1)</f>
        <v>3</v>
      </c>
      <c r="H1570" s="7" t="str">
        <f ca="1">VLOOKUP($D1570,Name!$A:$C,3,FALSE)</f>
        <v>M</v>
      </c>
      <c r="I1570" s="7" cm="1">
        <f t="array" aca="1" ref="I1570" ca="1">INDEX('Marital status'!$A:$A,RANDBETWEEN(2,COUNTA('Marital status'!$A:$A)),1)</f>
        <v>3</v>
      </c>
      <c r="J1570" s="7">
        <f t="shared" ca="1" si="291"/>
        <v>2</v>
      </c>
      <c r="K1570" s="8">
        <f t="shared" ca="1" si="292"/>
        <v>29561</v>
      </c>
      <c r="L1570" s="6">
        <f t="shared" ca="1" si="293"/>
        <v>4</v>
      </c>
      <c r="M1570" s="7">
        <f ca="1" xml:space="preserve">
  IF(OR($N1570 = 2, $N1570 = 3, $N1570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570" s="6">
        <f t="shared" ca="1" si="294"/>
        <v>7</v>
      </c>
      <c r="O1570" s="6" t="e">
        <f t="shared" ca="1" si="295"/>
        <v>#N/A</v>
      </c>
      <c r="P1570" s="8">
        <f t="shared" ca="1" si="296"/>
        <v>40578</v>
      </c>
      <c r="Q1570" s="6">
        <f ca="1">RANDBETWEEN(2,COUNTA('Recruitment source'!$A:$A))</f>
        <v>12</v>
      </c>
      <c r="R1570" s="8" t="e">
        <f t="shared" ca="1" si="297"/>
        <v>#N/A</v>
      </c>
      <c r="S1570" s="6" t="e">
        <f t="shared" ca="1" si="298"/>
        <v>#N/A</v>
      </c>
      <c r="T1570" s="6">
        <f t="shared" ca="1" si="288"/>
        <v>4</v>
      </c>
      <c r="U1570" s="1">
        <f t="shared" ca="1" si="299"/>
        <v>1005</v>
      </c>
    </row>
    <row r="1571" spans="1:21" x14ac:dyDescent="0.2">
      <c r="A1571" s="7" cm="1">
        <f t="array" aca="1" ref="A1571" ca="1">INDEX(Companies!$A:$A,RANDBETWEEN(2,COUNTA(Companies!$A:$A)),1)</f>
        <v>2</v>
      </c>
      <c r="B1571" s="5">
        <f t="shared" si="289"/>
        <v>1570</v>
      </c>
      <c r="C1571" s="6">
        <f t="shared" ca="1" si="290"/>
        <v>1</v>
      </c>
      <c r="D1571" s="7">
        <f ca="1">IF($B1571 = 1 + N("Presidente"),
    127,
    IF($B1571 = 2 + N("Vice-Presidente"),
        72,
        IF($B1571 = 3 + N("Secretária bilíngue"),
            13,
            RANDBETWEEN(5,COUNT(Name!$A:$A) + 1)
        )
    )
)</f>
        <v>53</v>
      </c>
      <c r="E1571" s="7" t="str">
        <f ca="1" xml:space="preserve">
VLOOKUP(
  $D1571,
  Name!$A:$B,
  2,
  FALSE
)
&amp; " " &amp;
IF($B1571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Aquiles Ramos Mariani</v>
      </c>
      <c r="F1571" s="7">
        <v>2</v>
      </c>
      <c r="G1571" s="7" cm="1">
        <f t="array" aca="1" ref="G1571" ca="1">INDEX(States!$B:$B,RANDBETWEEN(2,COUNTA(States!$A:$A)),1)</f>
        <v>3</v>
      </c>
      <c r="H1571" s="7" t="str">
        <f ca="1">VLOOKUP($D1571,Name!$A:$C,3,FALSE)</f>
        <v>M</v>
      </c>
      <c r="I1571" s="7" cm="1">
        <f t="array" aca="1" ref="I1571" ca="1">INDEX('Marital status'!$A:$A,RANDBETWEEN(2,COUNTA('Marital status'!$A:$A)),1)</f>
        <v>6</v>
      </c>
      <c r="J1571" s="7">
        <f t="shared" ca="1" si="291"/>
        <v>2</v>
      </c>
      <c r="K1571" s="8">
        <f t="shared" ca="1" si="292"/>
        <v>36419</v>
      </c>
      <c r="L1571" s="6">
        <f t="shared" ca="1" si="293"/>
        <v>4</v>
      </c>
      <c r="M1571" s="7">
        <f ca="1" xml:space="preserve">
  IF(OR($N1571 = 2, $N1571 = 3, $N1571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571" s="6">
        <f t="shared" ca="1" si="294"/>
        <v>8</v>
      </c>
      <c r="O1571" s="6">
        <f t="shared" ca="1" si="295"/>
        <v>2</v>
      </c>
      <c r="P1571" s="8">
        <f t="shared" ca="1" si="296"/>
        <v>39169</v>
      </c>
      <c r="Q1571" s="6">
        <f ca="1">RANDBETWEEN(2,COUNTA('Recruitment source'!$A:$A))</f>
        <v>11</v>
      </c>
      <c r="R1571" s="8" t="e">
        <f t="shared" ca="1" si="297"/>
        <v>#N/A</v>
      </c>
      <c r="S1571" s="6" t="e">
        <f t="shared" ca="1" si="298"/>
        <v>#N/A</v>
      </c>
      <c r="T1571" s="6">
        <f t="shared" ca="1" si="288"/>
        <v>4</v>
      </c>
      <c r="U1571" s="1">
        <f t="shared" ca="1" si="299"/>
        <v>2100</v>
      </c>
    </row>
    <row r="1572" spans="1:21" x14ac:dyDescent="0.2">
      <c r="A1572" s="7" cm="1">
        <f t="array" aca="1" ref="A1572" ca="1">INDEX(Companies!$A:$A,RANDBETWEEN(2,COUNTA(Companies!$A:$A)),1)</f>
        <v>2</v>
      </c>
      <c r="B1572" s="5">
        <f t="shared" si="289"/>
        <v>1571</v>
      </c>
      <c r="C1572" s="6">
        <f t="shared" ca="1" si="290"/>
        <v>1</v>
      </c>
      <c r="D1572" s="7">
        <f ca="1">IF($B1572 = 1 + N("Presidente"),
    127,
    IF($B1572 = 2 + N("Vice-Presidente"),
        72,
        IF($B1572 = 3 + N("Secretária bilíngue"),
            13,
            RANDBETWEEN(5,COUNT(Name!$A:$A) + 1)
        )
    )
)</f>
        <v>137</v>
      </c>
      <c r="E1572" s="7" t="str">
        <f ca="1" xml:space="preserve">
VLOOKUP(
  $D1572,
  Name!$A:$B,
  2,
  FALSE
)
&amp; " " &amp;
IF($B1572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Fernanda Alves Moreira</v>
      </c>
      <c r="F1572" s="7">
        <v>2</v>
      </c>
      <c r="G1572" s="7" cm="1">
        <f t="array" aca="1" ref="G1572" ca="1">INDEX(States!$B:$B,RANDBETWEEN(2,COUNTA(States!$A:$A)),1)</f>
        <v>2</v>
      </c>
      <c r="H1572" s="7" t="str">
        <f ca="1">VLOOKUP($D1572,Name!$A:$C,3,FALSE)</f>
        <v>F</v>
      </c>
      <c r="I1572" s="7" cm="1">
        <f t="array" aca="1" ref="I1572" ca="1">INDEX('Marital status'!$A:$A,RANDBETWEEN(2,COUNTA('Marital status'!$A:$A)),1)</f>
        <v>4</v>
      </c>
      <c r="J1572" s="7">
        <f t="shared" ca="1" si="291"/>
        <v>2</v>
      </c>
      <c r="K1572" s="8">
        <f t="shared" ca="1" si="292"/>
        <v>33650</v>
      </c>
      <c r="L1572" s="6">
        <f t="shared" ca="1" si="293"/>
        <v>4</v>
      </c>
      <c r="M1572" s="7">
        <f ca="1" xml:space="preserve">
  IF(OR($N1572 = 2, $N1572 = 3, $N1572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572" s="6">
        <f t="shared" ca="1" si="294"/>
        <v>7</v>
      </c>
      <c r="O1572" s="6" t="e">
        <f t="shared" ca="1" si="295"/>
        <v>#N/A</v>
      </c>
      <c r="P1572" s="8">
        <f t="shared" ca="1" si="296"/>
        <v>41433</v>
      </c>
      <c r="Q1572" s="6">
        <f ca="1">RANDBETWEEN(2,COUNTA('Recruitment source'!$A:$A))</f>
        <v>5</v>
      </c>
      <c r="R1572" s="8" t="e">
        <f t="shared" ca="1" si="297"/>
        <v>#N/A</v>
      </c>
      <c r="S1572" s="6" t="e">
        <f t="shared" ca="1" si="298"/>
        <v>#N/A</v>
      </c>
      <c r="T1572" s="6">
        <f t="shared" ca="1" si="288"/>
        <v>3</v>
      </c>
      <c r="U1572" s="1">
        <f t="shared" ca="1" si="299"/>
        <v>1005</v>
      </c>
    </row>
    <row r="1573" spans="1:21" x14ac:dyDescent="0.2">
      <c r="A1573" s="7" cm="1">
        <f t="array" aca="1" ref="A1573" ca="1">INDEX(Companies!$A:$A,RANDBETWEEN(2,COUNTA(Companies!$A:$A)),1)</f>
        <v>2</v>
      </c>
      <c r="B1573" s="5">
        <f t="shared" si="289"/>
        <v>1572</v>
      </c>
      <c r="C1573" s="6">
        <f t="shared" ca="1" si="290"/>
        <v>1</v>
      </c>
      <c r="D1573" s="7">
        <f ca="1">IF($B1573 = 1 + N("Presidente"),
    127,
    IF($B1573 = 2 + N("Vice-Presidente"),
        72,
        IF($B1573 = 3 + N("Secretária bilíngue"),
            13,
            RANDBETWEEN(5,COUNT(Name!$A:$A) + 1)
        )
    )
)</f>
        <v>101</v>
      </c>
      <c r="E1573" s="7" t="str">
        <f ca="1" xml:space="preserve">
VLOOKUP(
  $D1573,
  Name!$A:$B,
  2,
  FALSE
)
&amp; " " &amp;
IF($B1573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Daniel Madureira Lima</v>
      </c>
      <c r="F1573" s="7">
        <v>2</v>
      </c>
      <c r="G1573" s="7" cm="1">
        <f t="array" aca="1" ref="G1573" ca="1">INDEX(States!$B:$B,RANDBETWEEN(2,COUNTA(States!$A:$A)),1)</f>
        <v>19</v>
      </c>
      <c r="H1573" s="7" t="str">
        <f ca="1">VLOOKUP($D1573,Name!$A:$C,3,FALSE)</f>
        <v>M</v>
      </c>
      <c r="I1573" s="7" cm="1">
        <f t="array" aca="1" ref="I1573" ca="1">INDEX('Marital status'!$A:$A,RANDBETWEEN(2,COUNTA('Marital status'!$A:$A)),1)</f>
        <v>6</v>
      </c>
      <c r="J1573" s="7">
        <f t="shared" ca="1" si="291"/>
        <v>4</v>
      </c>
      <c r="K1573" s="8">
        <f t="shared" ca="1" si="292"/>
        <v>34419</v>
      </c>
      <c r="L1573" s="6">
        <f t="shared" ca="1" si="293"/>
        <v>5</v>
      </c>
      <c r="M1573" s="7">
        <f ca="1" xml:space="preserve">
  IF(OR($N1573 = 2, $N1573 = 3, $N1573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573" s="6">
        <f t="shared" ca="1" si="294"/>
        <v>8</v>
      </c>
      <c r="O1573" s="6">
        <f t="shared" ca="1" si="295"/>
        <v>4</v>
      </c>
      <c r="P1573" s="8">
        <f t="shared" ca="1" si="296"/>
        <v>41101</v>
      </c>
      <c r="Q1573" s="6">
        <f ca="1">RANDBETWEEN(2,COUNTA('Recruitment source'!$A:$A))</f>
        <v>9</v>
      </c>
      <c r="R1573" s="8" t="e">
        <f t="shared" ca="1" si="297"/>
        <v>#N/A</v>
      </c>
      <c r="S1573" s="6" t="e">
        <f t="shared" ca="1" si="298"/>
        <v>#N/A</v>
      </c>
      <c r="T1573" s="6">
        <f t="shared" ca="1" si="288"/>
        <v>4</v>
      </c>
      <c r="U1573" s="1">
        <f t="shared" ca="1" si="299"/>
        <v>2080</v>
      </c>
    </row>
    <row r="1574" spans="1:21" x14ac:dyDescent="0.2">
      <c r="A1574" s="7" cm="1">
        <f t="array" aca="1" ref="A1574" ca="1">INDEX(Companies!$A:$A,RANDBETWEEN(2,COUNTA(Companies!$A:$A)),1)</f>
        <v>2</v>
      </c>
      <c r="B1574" s="5">
        <f t="shared" si="289"/>
        <v>1573</v>
      </c>
      <c r="C1574" s="6">
        <f t="shared" ca="1" si="290"/>
        <v>1</v>
      </c>
      <c r="D1574" s="7">
        <f ca="1">IF($B1574 = 1 + N("Presidente"),
    127,
    IF($B1574 = 2 + N("Vice-Presidente"),
        72,
        IF($B1574 = 3 + N("Secretária bilíngue"),
            13,
            RANDBETWEEN(5,COUNT(Name!$A:$A) + 1)
        )
    )
)</f>
        <v>318</v>
      </c>
      <c r="E1574" s="7" t="str">
        <f ca="1" xml:space="preserve">
VLOOKUP(
  $D1574,
  Name!$A:$B,
  2,
  FALSE
)
&amp; " " &amp;
IF($B1574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Lucas Braga Anunciação</v>
      </c>
      <c r="F1574" s="7">
        <v>2</v>
      </c>
      <c r="G1574" s="7" cm="1">
        <f t="array" aca="1" ref="G1574" ca="1">INDEX(States!$B:$B,RANDBETWEEN(2,COUNTA(States!$A:$A)),1)</f>
        <v>14</v>
      </c>
      <c r="H1574" s="7" t="str">
        <f ca="1">VLOOKUP($D1574,Name!$A:$C,3,FALSE)</f>
        <v>M</v>
      </c>
      <c r="I1574" s="7" cm="1">
        <f t="array" aca="1" ref="I1574" ca="1">INDEX('Marital status'!$A:$A,RANDBETWEEN(2,COUNTA('Marital status'!$A:$A)),1)</f>
        <v>3</v>
      </c>
      <c r="J1574" s="7">
        <f t="shared" ca="1" si="291"/>
        <v>2</v>
      </c>
      <c r="K1574" s="8">
        <f t="shared" ca="1" si="292"/>
        <v>32055</v>
      </c>
      <c r="L1574" s="6">
        <f t="shared" ca="1" si="293"/>
        <v>4</v>
      </c>
      <c r="M1574" s="7">
        <f ca="1" xml:space="preserve">
  IF(OR($N1574 = 2, $N1574 = 3, $N1574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574" s="6">
        <f t="shared" ca="1" si="294"/>
        <v>7</v>
      </c>
      <c r="O1574" s="6" t="e">
        <f t="shared" ca="1" si="295"/>
        <v>#N/A</v>
      </c>
      <c r="P1574" s="8">
        <f t="shared" ca="1" si="296"/>
        <v>40983</v>
      </c>
      <c r="Q1574" s="6">
        <f ca="1">RANDBETWEEN(2,COUNTA('Recruitment source'!$A:$A))</f>
        <v>3</v>
      </c>
      <c r="R1574" s="8" t="e">
        <f t="shared" ca="1" si="297"/>
        <v>#N/A</v>
      </c>
      <c r="S1574" s="6" t="e">
        <f t="shared" ca="1" si="298"/>
        <v>#N/A</v>
      </c>
      <c r="T1574" s="6">
        <f t="shared" ca="1" si="288"/>
        <v>4</v>
      </c>
      <c r="U1574" s="1">
        <f t="shared" ca="1" si="299"/>
        <v>1005</v>
      </c>
    </row>
    <row r="1575" spans="1:21" x14ac:dyDescent="0.2">
      <c r="A1575" s="7" cm="1">
        <f t="array" aca="1" ref="A1575" ca="1">INDEX(Companies!$A:$A,RANDBETWEEN(2,COUNTA(Companies!$A:$A)),1)</f>
        <v>2</v>
      </c>
      <c r="B1575" s="5">
        <f t="shared" si="289"/>
        <v>1574</v>
      </c>
      <c r="C1575" s="6">
        <f t="shared" ca="1" si="290"/>
        <v>1</v>
      </c>
      <c r="D1575" s="7">
        <f ca="1">IF($B1575 = 1 + N("Presidente"),
    127,
    IF($B1575 = 2 + N("Vice-Presidente"),
        72,
        IF($B1575 = 3 + N("Secretária bilíngue"),
            13,
            RANDBETWEEN(5,COUNT(Name!$A:$A) + 1)
        )
    )
)</f>
        <v>94</v>
      </c>
      <c r="E1575" s="7" t="str">
        <f ca="1" xml:space="preserve">
VLOOKUP(
  $D1575,
  Name!$A:$B,
  2,
  FALSE
)
&amp; " " &amp;
IF($B1575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Clara Moretti Tavarez</v>
      </c>
      <c r="F1575" s="7">
        <v>2</v>
      </c>
      <c r="G1575" s="7" cm="1">
        <f t="array" aca="1" ref="G1575" ca="1">INDEX(States!$B:$B,RANDBETWEEN(2,COUNTA(States!$A:$A)),1)</f>
        <v>16</v>
      </c>
      <c r="H1575" s="7" t="str">
        <f ca="1">VLOOKUP($D1575,Name!$A:$C,3,FALSE)</f>
        <v>F</v>
      </c>
      <c r="I1575" s="7" cm="1">
        <f t="array" aca="1" ref="I1575" ca="1">INDEX('Marital status'!$A:$A,RANDBETWEEN(2,COUNTA('Marital status'!$A:$A)),1)</f>
        <v>5</v>
      </c>
      <c r="J1575" s="7">
        <f t="shared" ca="1" si="291"/>
        <v>3</v>
      </c>
      <c r="K1575" s="8">
        <f t="shared" ca="1" si="292"/>
        <v>32785</v>
      </c>
      <c r="L1575" s="6">
        <f t="shared" ca="1" si="293"/>
        <v>4</v>
      </c>
      <c r="M1575" s="7">
        <f ca="1" xml:space="preserve">
  IF(OR($N1575 = 2, $N1575 = 3, $N1575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575" s="6">
        <f t="shared" ca="1" si="294"/>
        <v>8</v>
      </c>
      <c r="O1575" s="6">
        <f t="shared" ca="1" si="295"/>
        <v>4</v>
      </c>
      <c r="P1575" s="8">
        <f t="shared" ca="1" si="296"/>
        <v>44216</v>
      </c>
      <c r="Q1575" s="6">
        <f ca="1">RANDBETWEEN(2,COUNTA('Recruitment source'!$A:$A))</f>
        <v>8</v>
      </c>
      <c r="R1575" s="8" t="e">
        <f t="shared" ca="1" si="297"/>
        <v>#N/A</v>
      </c>
      <c r="S1575" s="6" t="e">
        <f t="shared" ca="1" si="298"/>
        <v>#N/A</v>
      </c>
      <c r="T1575" s="6">
        <f t="shared" ca="1" si="288"/>
        <v>3</v>
      </c>
      <c r="U1575" s="1">
        <f t="shared" ca="1" si="299"/>
        <v>2000</v>
      </c>
    </row>
    <row r="1576" spans="1:21" x14ac:dyDescent="0.2">
      <c r="A1576" s="7" cm="1">
        <f t="array" aca="1" ref="A1576" ca="1">INDEX(Companies!$A:$A,RANDBETWEEN(2,COUNTA(Companies!$A:$A)),1)</f>
        <v>2</v>
      </c>
      <c r="B1576" s="5">
        <f t="shared" si="289"/>
        <v>1575</v>
      </c>
      <c r="C1576" s="6">
        <f t="shared" ca="1" si="290"/>
        <v>1</v>
      </c>
      <c r="D1576" s="7">
        <f ca="1">IF($B1576 = 1 + N("Presidente"),
    127,
    IF($B1576 = 2 + N("Vice-Presidente"),
        72,
        IF($B1576 = 3 + N("Secretária bilíngue"),
            13,
            RANDBETWEEN(5,COUNT(Name!$A:$A) + 1)
        )
    )
)</f>
        <v>211</v>
      </c>
      <c r="E1576" s="7" t="str">
        <f ca="1" xml:space="preserve">
VLOOKUP(
  $D1576,
  Name!$A:$B,
  2,
  FALSE
)
&amp; " " &amp;
IF($B1576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Kauê Bactista Furtado</v>
      </c>
      <c r="F1576" s="7">
        <v>2</v>
      </c>
      <c r="G1576" s="7" cm="1">
        <f t="array" aca="1" ref="G1576" ca="1">INDEX(States!$B:$B,RANDBETWEEN(2,COUNTA(States!$A:$A)),1)</f>
        <v>21</v>
      </c>
      <c r="H1576" s="7" t="str">
        <f ca="1">VLOOKUP($D1576,Name!$A:$C,3,FALSE)</f>
        <v>M</v>
      </c>
      <c r="I1576" s="7" cm="1">
        <f t="array" aca="1" ref="I1576" ca="1">INDEX('Marital status'!$A:$A,RANDBETWEEN(2,COUNTA('Marital status'!$A:$A)),1)</f>
        <v>3</v>
      </c>
      <c r="J1576" s="7">
        <f t="shared" ca="1" si="291"/>
        <v>2</v>
      </c>
      <c r="K1576" s="8">
        <f t="shared" ca="1" si="292"/>
        <v>27801</v>
      </c>
      <c r="L1576" s="6">
        <f t="shared" ca="1" si="293"/>
        <v>4</v>
      </c>
      <c r="M1576" s="7">
        <f ca="1" xml:space="preserve">
  IF(OR($N1576 = 2, $N1576 = 3, $N1576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576" s="6">
        <f t="shared" ca="1" si="294"/>
        <v>6</v>
      </c>
      <c r="O1576" s="6" t="e">
        <f t="shared" ca="1" si="295"/>
        <v>#N/A</v>
      </c>
      <c r="P1576" s="8">
        <f t="shared" ca="1" si="296"/>
        <v>42736</v>
      </c>
      <c r="Q1576" s="6">
        <f ca="1">RANDBETWEEN(2,COUNTA('Recruitment source'!$A:$A))</f>
        <v>4</v>
      </c>
      <c r="R1576" s="8" t="e">
        <f t="shared" ca="1" si="297"/>
        <v>#N/A</v>
      </c>
      <c r="S1576" s="6" t="e">
        <f t="shared" ca="1" si="298"/>
        <v>#N/A</v>
      </c>
      <c r="T1576" s="6">
        <f t="shared" ca="1" si="288"/>
        <v>5</v>
      </c>
      <c r="U1576" s="1">
        <f t="shared" ca="1" si="299"/>
        <v>805</v>
      </c>
    </row>
    <row r="1577" spans="1:21" x14ac:dyDescent="0.2">
      <c r="A1577" s="7" cm="1">
        <f t="array" aca="1" ref="A1577" ca="1">INDEX(Companies!$A:$A,RANDBETWEEN(2,COUNTA(Companies!$A:$A)),1)</f>
        <v>2</v>
      </c>
      <c r="B1577" s="5">
        <f t="shared" si="289"/>
        <v>1576</v>
      </c>
      <c r="C1577" s="6">
        <f t="shared" ca="1" si="290"/>
        <v>1</v>
      </c>
      <c r="D1577" s="7">
        <f ca="1">IF($B1577 = 1 + N("Presidente"),
    127,
    IF($B1577 = 2 + N("Vice-Presidente"),
        72,
        IF($B1577 = 3 + N("Secretária bilíngue"),
            13,
            RANDBETWEEN(5,COUNT(Name!$A:$A) + 1)
        )
    )
)</f>
        <v>71</v>
      </c>
      <c r="E1577" s="7" t="str">
        <f ca="1" xml:space="preserve">
VLOOKUP(
  $D1577,
  Name!$A:$B,
  2,
  FALSE
)
&amp; " " &amp;
IF($B1577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Bernardo Bragança Gomes</v>
      </c>
      <c r="F1577" s="7">
        <v>2</v>
      </c>
      <c r="G1577" s="7" cm="1">
        <f t="array" aca="1" ref="G1577" ca="1">INDEX(States!$B:$B,RANDBETWEEN(2,COUNTA(States!$A:$A)),1)</f>
        <v>9</v>
      </c>
      <c r="H1577" s="7" t="str">
        <f ca="1">VLOOKUP($D1577,Name!$A:$C,3,FALSE)</f>
        <v>M</v>
      </c>
      <c r="I1577" s="7" cm="1">
        <f t="array" aca="1" ref="I1577" ca="1">INDEX('Marital status'!$A:$A,RANDBETWEEN(2,COUNTA('Marital status'!$A:$A)),1)</f>
        <v>5</v>
      </c>
      <c r="J1577" s="7">
        <f t="shared" ca="1" si="291"/>
        <v>5</v>
      </c>
      <c r="K1577" s="8">
        <f t="shared" ca="1" si="292"/>
        <v>33948</v>
      </c>
      <c r="L1577" s="6">
        <f t="shared" ca="1" si="293"/>
        <v>4</v>
      </c>
      <c r="M1577" s="7">
        <f ca="1" xml:space="preserve">
  IF(OR($N1577 = 2, $N1577 = 3, $N1577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577" s="6">
        <f t="shared" ca="1" si="294"/>
        <v>8</v>
      </c>
      <c r="O1577" s="6">
        <f t="shared" ca="1" si="295"/>
        <v>3</v>
      </c>
      <c r="P1577" s="8">
        <f t="shared" ca="1" si="296"/>
        <v>37913</v>
      </c>
      <c r="Q1577" s="6">
        <f ca="1">RANDBETWEEN(2,COUNTA('Recruitment source'!$A:$A))</f>
        <v>10</v>
      </c>
      <c r="R1577" s="8" t="e">
        <f t="shared" ca="1" si="297"/>
        <v>#N/A</v>
      </c>
      <c r="S1577" s="6" t="e">
        <f t="shared" ca="1" si="298"/>
        <v>#N/A</v>
      </c>
      <c r="T1577" s="6">
        <f t="shared" ca="1" si="288"/>
        <v>5</v>
      </c>
      <c r="U1577" s="1">
        <f t="shared" ca="1" si="299"/>
        <v>2000</v>
      </c>
    </row>
    <row r="1578" spans="1:21" x14ac:dyDescent="0.2">
      <c r="A1578" s="7" cm="1">
        <f t="array" aca="1" ref="A1578" ca="1">INDEX(Companies!$A:$A,RANDBETWEEN(2,COUNTA(Companies!$A:$A)),1)</f>
        <v>2</v>
      </c>
      <c r="B1578" s="5">
        <f t="shared" si="289"/>
        <v>1577</v>
      </c>
      <c r="C1578" s="6">
        <f t="shared" ca="1" si="290"/>
        <v>1</v>
      </c>
      <c r="D1578" s="7">
        <f ca="1">IF($B1578 = 1 + N("Presidente"),
    127,
    IF($B1578 = 2 + N("Vice-Presidente"),
        72,
        IF($B1578 = 3 + N("Secretária bilíngue"),
            13,
            RANDBETWEEN(5,COUNT(Name!$A:$A) + 1)
        )
    )
)</f>
        <v>80</v>
      </c>
      <c r="E1578" s="7" t="str">
        <f ca="1" xml:space="preserve">
VLOOKUP(
  $D1578,
  Name!$A:$B,
  2,
  FALSE
)
&amp; " " &amp;
IF($B1578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Byatriz Ildelfonso Castro</v>
      </c>
      <c r="F1578" s="7">
        <v>2</v>
      </c>
      <c r="G1578" s="7" cm="1">
        <f t="array" aca="1" ref="G1578" ca="1">INDEX(States!$B:$B,RANDBETWEEN(2,COUNTA(States!$A:$A)),1)</f>
        <v>19</v>
      </c>
      <c r="H1578" s="7" t="str">
        <f ca="1">VLOOKUP($D1578,Name!$A:$C,3,FALSE)</f>
        <v>F</v>
      </c>
      <c r="I1578" s="7" cm="1">
        <f t="array" aca="1" ref="I1578" ca="1">INDEX('Marital status'!$A:$A,RANDBETWEEN(2,COUNTA('Marital status'!$A:$A)),1)</f>
        <v>2</v>
      </c>
      <c r="J1578" s="7">
        <f t="shared" ca="1" si="291"/>
        <v>2</v>
      </c>
      <c r="K1578" s="8">
        <f t="shared" ca="1" si="292"/>
        <v>27838</v>
      </c>
      <c r="L1578" s="6">
        <f t="shared" ca="1" si="293"/>
        <v>4</v>
      </c>
      <c r="M1578" s="7">
        <f ca="1" xml:space="preserve">
  IF(OR($N1578 = 2, $N1578 = 3, $N1578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578" s="6">
        <f t="shared" ca="1" si="294"/>
        <v>6</v>
      </c>
      <c r="O1578" s="6" t="e">
        <f t="shared" ca="1" si="295"/>
        <v>#N/A</v>
      </c>
      <c r="P1578" s="8">
        <f t="shared" ca="1" si="296"/>
        <v>43028</v>
      </c>
      <c r="Q1578" s="6">
        <f ca="1">RANDBETWEEN(2,COUNTA('Recruitment source'!$A:$A))</f>
        <v>6</v>
      </c>
      <c r="R1578" s="8" t="e">
        <f t="shared" ca="1" si="297"/>
        <v>#N/A</v>
      </c>
      <c r="S1578" s="6" t="e">
        <f t="shared" ca="1" si="298"/>
        <v>#N/A</v>
      </c>
      <c r="T1578" s="6">
        <f t="shared" ca="1" si="288"/>
        <v>5</v>
      </c>
      <c r="U1578" s="1">
        <f t="shared" ca="1" si="299"/>
        <v>885</v>
      </c>
    </row>
    <row r="1579" spans="1:21" x14ac:dyDescent="0.2">
      <c r="A1579" s="7" cm="1">
        <f t="array" aca="1" ref="A1579" ca="1">INDEX(Companies!$A:$A,RANDBETWEEN(2,COUNTA(Companies!$A:$A)),1)</f>
        <v>2</v>
      </c>
      <c r="B1579" s="5">
        <f t="shared" si="289"/>
        <v>1578</v>
      </c>
      <c r="C1579" s="6">
        <f t="shared" ca="1" si="290"/>
        <v>1</v>
      </c>
      <c r="D1579" s="7">
        <f ca="1">IF($B1579 = 1 + N("Presidente"),
    127,
    IF($B1579 = 2 + N("Vice-Presidente"),
        72,
        IF($B1579 = 3 + N("Secretária bilíngue"),
            13,
            RANDBETWEEN(5,COUNT(Name!$A:$A) + 1)
        )
    )
)</f>
        <v>73</v>
      </c>
      <c r="E1579" s="7" t="str">
        <f ca="1" xml:space="preserve">
VLOOKUP(
  $D1579,
  Name!$A:$B,
  2,
  FALSE
)
&amp; " " &amp;
IF($B1579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Bianca Mazza Martini</v>
      </c>
      <c r="F1579" s="7">
        <v>2</v>
      </c>
      <c r="G1579" s="7" cm="1">
        <f t="array" aca="1" ref="G1579" ca="1">INDEX(States!$B:$B,RANDBETWEEN(2,COUNTA(States!$A:$A)),1)</f>
        <v>15</v>
      </c>
      <c r="H1579" s="7" t="str">
        <f ca="1">VLOOKUP($D1579,Name!$A:$C,3,FALSE)</f>
        <v>F</v>
      </c>
      <c r="I1579" s="7" cm="1">
        <f t="array" aca="1" ref="I1579" ca="1">INDEX('Marital status'!$A:$A,RANDBETWEEN(2,COUNTA('Marital status'!$A:$A)),1)</f>
        <v>6</v>
      </c>
      <c r="J1579" s="7">
        <f t="shared" ca="1" si="291"/>
        <v>2</v>
      </c>
      <c r="K1579" s="8">
        <f t="shared" ca="1" si="292"/>
        <v>35181</v>
      </c>
      <c r="L1579" s="6">
        <f t="shared" ca="1" si="293"/>
        <v>4</v>
      </c>
      <c r="M1579" s="7">
        <f ca="1" xml:space="preserve">
  IF(OR($N1579 = 2, $N1579 = 3, $N1579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579" s="6">
        <f t="shared" ca="1" si="294"/>
        <v>8</v>
      </c>
      <c r="O1579" s="6">
        <f t="shared" ca="1" si="295"/>
        <v>3</v>
      </c>
      <c r="P1579" s="8">
        <f t="shared" ca="1" si="296"/>
        <v>44005</v>
      </c>
      <c r="Q1579" s="6">
        <f ca="1">RANDBETWEEN(2,COUNTA('Recruitment source'!$A:$A))</f>
        <v>10</v>
      </c>
      <c r="R1579" s="8" t="e">
        <f t="shared" ca="1" si="297"/>
        <v>#N/A</v>
      </c>
      <c r="S1579" s="6" t="e">
        <f t="shared" ca="1" si="298"/>
        <v>#N/A</v>
      </c>
      <c r="T1579" s="6">
        <f t="shared" ca="1" si="288"/>
        <v>3</v>
      </c>
      <c r="U1579" s="1">
        <f t="shared" ca="1" si="299"/>
        <v>2080</v>
      </c>
    </row>
    <row r="1580" spans="1:21" x14ac:dyDescent="0.2">
      <c r="A1580" s="7" cm="1">
        <f t="array" aca="1" ref="A1580" ca="1">INDEX(Companies!$A:$A,RANDBETWEEN(2,COUNTA(Companies!$A:$A)),1)</f>
        <v>2</v>
      </c>
      <c r="B1580" s="5">
        <f t="shared" si="289"/>
        <v>1579</v>
      </c>
      <c r="C1580" s="6">
        <f t="shared" ca="1" si="290"/>
        <v>1</v>
      </c>
      <c r="D1580" s="7">
        <f ca="1">IF($B1580 = 1 + N("Presidente"),
    127,
    IF($B1580 = 2 + N("Vice-Presidente"),
        72,
        IF($B1580 = 3 + N("Secretária bilíngue"),
            13,
            RANDBETWEEN(5,COUNT(Name!$A:$A) + 1)
        )
    )
)</f>
        <v>57</v>
      </c>
      <c r="E1580" s="7" t="str">
        <f ca="1" xml:space="preserve">
VLOOKUP(
  $D1580,
  Name!$A:$B,
  2,
  FALSE
)
&amp; " " &amp;
IF($B1580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Henrique Alcantara Evangelista</v>
      </c>
      <c r="F1580" s="7">
        <v>2</v>
      </c>
      <c r="G1580" s="7" cm="1">
        <f t="array" aca="1" ref="G1580" ca="1">INDEX(States!$B:$B,RANDBETWEEN(2,COUNTA(States!$A:$A)),1)</f>
        <v>18</v>
      </c>
      <c r="H1580" s="7" t="str">
        <f ca="1">VLOOKUP($D1580,Name!$A:$C,3,FALSE)</f>
        <v>M</v>
      </c>
      <c r="I1580" s="7" cm="1">
        <f t="array" aca="1" ref="I1580" ca="1">INDEX('Marital status'!$A:$A,RANDBETWEEN(2,COUNTA('Marital status'!$A:$A)),1)</f>
        <v>2</v>
      </c>
      <c r="J1580" s="7">
        <f t="shared" ca="1" si="291"/>
        <v>2</v>
      </c>
      <c r="K1580" s="8">
        <f t="shared" ca="1" si="292"/>
        <v>34789</v>
      </c>
      <c r="L1580" s="6">
        <f t="shared" ca="1" si="293"/>
        <v>4</v>
      </c>
      <c r="M1580" s="7">
        <f ca="1" xml:space="preserve">
  IF(OR($N1580 = 2, $N1580 = 3, $N1580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580" s="6">
        <f t="shared" ca="1" si="294"/>
        <v>7</v>
      </c>
      <c r="O1580" s="6" t="e">
        <f t="shared" ca="1" si="295"/>
        <v>#N/A</v>
      </c>
      <c r="P1580" s="8">
        <f t="shared" ca="1" si="296"/>
        <v>43481</v>
      </c>
      <c r="Q1580" s="6">
        <f ca="1">RANDBETWEEN(2,COUNTA('Recruitment source'!$A:$A))</f>
        <v>9</v>
      </c>
      <c r="R1580" s="8" t="e">
        <f t="shared" ca="1" si="297"/>
        <v>#N/A</v>
      </c>
      <c r="S1580" s="6" t="e">
        <f t="shared" ca="1" si="298"/>
        <v>#N/A</v>
      </c>
      <c r="T1580" s="6">
        <f t="shared" ca="1" si="288"/>
        <v>5</v>
      </c>
      <c r="U1580" s="1">
        <f t="shared" ca="1" si="299"/>
        <v>1005</v>
      </c>
    </row>
    <row r="1581" spans="1:21" x14ac:dyDescent="0.2">
      <c r="A1581" s="7" cm="1">
        <f t="array" aca="1" ref="A1581" ca="1">INDEX(Companies!$A:$A,RANDBETWEEN(2,COUNTA(Companies!$A:$A)),1)</f>
        <v>2</v>
      </c>
      <c r="B1581" s="5">
        <f t="shared" si="289"/>
        <v>1580</v>
      </c>
      <c r="C1581" s="6">
        <f t="shared" ca="1" si="290"/>
        <v>1</v>
      </c>
      <c r="D1581" s="7">
        <f ca="1">IF($B1581 = 1 + N("Presidente"),
    127,
    IF($B1581 = 2 + N("Vice-Presidente"),
        72,
        IF($B1581 = 3 + N("Secretária bilíngue"),
            13,
            RANDBETWEEN(5,COUNT(Name!$A:$A) + 1)
        )
    )
)</f>
        <v>94</v>
      </c>
      <c r="E1581" s="7" t="str">
        <f ca="1" xml:space="preserve">
VLOOKUP(
  $D1581,
  Name!$A:$B,
  2,
  FALSE
)
&amp; " " &amp;
IF($B1581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Clara Abranches Gomes</v>
      </c>
      <c r="F1581" s="7">
        <v>2</v>
      </c>
      <c r="G1581" s="7" cm="1">
        <f t="array" aca="1" ref="G1581" ca="1">INDEX(States!$B:$B,RANDBETWEEN(2,COUNTA(States!$A:$A)),1)</f>
        <v>14</v>
      </c>
      <c r="H1581" s="7" t="str">
        <f ca="1">VLOOKUP($D1581,Name!$A:$C,3,FALSE)</f>
        <v>F</v>
      </c>
      <c r="I1581" s="7" cm="1">
        <f t="array" aca="1" ref="I1581" ca="1">INDEX('Marital status'!$A:$A,RANDBETWEEN(2,COUNTA('Marital status'!$A:$A)),1)</f>
        <v>3</v>
      </c>
      <c r="J1581" s="7">
        <f t="shared" ca="1" si="291"/>
        <v>2</v>
      </c>
      <c r="K1581" s="8">
        <f t="shared" ca="1" si="292"/>
        <v>34605</v>
      </c>
      <c r="L1581" s="6">
        <f t="shared" ca="1" si="293"/>
        <v>4</v>
      </c>
      <c r="M1581" s="7">
        <f ca="1" xml:space="preserve">
  IF(OR($N1581 = 2, $N1581 = 3, $N1581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581" s="6">
        <f t="shared" ca="1" si="294"/>
        <v>8</v>
      </c>
      <c r="O1581" s="6">
        <f t="shared" ca="1" si="295"/>
        <v>2</v>
      </c>
      <c r="P1581" s="8">
        <f t="shared" ca="1" si="296"/>
        <v>37446</v>
      </c>
      <c r="Q1581" s="6">
        <f ca="1">RANDBETWEEN(2,COUNTA('Recruitment source'!$A:$A))</f>
        <v>11</v>
      </c>
      <c r="R1581" s="8" t="e">
        <f t="shared" ca="1" si="297"/>
        <v>#N/A</v>
      </c>
      <c r="S1581" s="6" t="e">
        <f t="shared" ca="1" si="298"/>
        <v>#N/A</v>
      </c>
      <c r="T1581" s="6">
        <f t="shared" ca="1" si="288"/>
        <v>2</v>
      </c>
      <c r="U1581" s="1">
        <f t="shared" ca="1" si="299"/>
        <v>2000</v>
      </c>
    </row>
    <row r="1582" spans="1:21" x14ac:dyDescent="0.2">
      <c r="A1582" s="7" cm="1">
        <f t="array" aca="1" ref="A1582" ca="1">INDEX(Companies!$A:$A,RANDBETWEEN(2,COUNTA(Companies!$A:$A)),1)</f>
        <v>2</v>
      </c>
      <c r="B1582" s="5">
        <f t="shared" si="289"/>
        <v>1581</v>
      </c>
      <c r="C1582" s="6">
        <f t="shared" ca="1" si="290"/>
        <v>1</v>
      </c>
      <c r="D1582" s="7">
        <f ca="1">IF($B1582 = 1 + N("Presidente"),
    127,
    IF($B1582 = 2 + N("Vice-Presidente"),
        72,
        IF($B1582 = 3 + N("Secretária bilíngue"),
            13,
            RANDBETWEEN(5,COUNT(Name!$A:$A) + 1)
        )
    )
)</f>
        <v>140</v>
      </c>
      <c r="E1582" s="7" t="str">
        <f ca="1" xml:space="preserve">
VLOOKUP(
  $D1582,
  Name!$A:$B,
  2,
  FALSE
)
&amp; " " &amp;
IF($B1582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Manuel Medeiros Moreira</v>
      </c>
      <c r="F1582" s="7">
        <v>2</v>
      </c>
      <c r="G1582" s="7" cm="1">
        <f t="array" aca="1" ref="G1582" ca="1">INDEX(States!$B:$B,RANDBETWEEN(2,COUNTA(States!$A:$A)),1)</f>
        <v>11</v>
      </c>
      <c r="H1582" s="7" t="str">
        <f ca="1">VLOOKUP($D1582,Name!$A:$C,3,FALSE)</f>
        <v>M</v>
      </c>
      <c r="I1582" s="7" cm="1">
        <f t="array" aca="1" ref="I1582" ca="1">INDEX('Marital status'!$A:$A,RANDBETWEEN(2,COUNTA('Marital status'!$A:$A)),1)</f>
        <v>4</v>
      </c>
      <c r="J1582" s="7">
        <f t="shared" ca="1" si="291"/>
        <v>3</v>
      </c>
      <c r="K1582" s="8">
        <f t="shared" ca="1" si="292"/>
        <v>20913</v>
      </c>
      <c r="L1582" s="6">
        <f t="shared" ca="1" si="293"/>
        <v>4</v>
      </c>
      <c r="M1582" s="7">
        <f ca="1" xml:space="preserve">
  IF(OR($N1582 = 2, $N1582 = 3, $N1582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582" s="6">
        <f t="shared" ca="1" si="294"/>
        <v>6</v>
      </c>
      <c r="O1582" s="6" t="e">
        <f t="shared" ca="1" si="295"/>
        <v>#N/A</v>
      </c>
      <c r="P1582" s="8">
        <f t="shared" ca="1" si="296"/>
        <v>41485</v>
      </c>
      <c r="Q1582" s="6">
        <f ca="1">RANDBETWEEN(2,COUNTA('Recruitment source'!$A:$A))</f>
        <v>12</v>
      </c>
      <c r="R1582" s="8" t="e">
        <f t="shared" ca="1" si="297"/>
        <v>#N/A</v>
      </c>
      <c r="S1582" s="6" t="e">
        <f t="shared" ca="1" si="298"/>
        <v>#N/A</v>
      </c>
      <c r="T1582" s="6">
        <f t="shared" ca="1" si="288"/>
        <v>3</v>
      </c>
      <c r="U1582" s="1">
        <f t="shared" ca="1" si="299"/>
        <v>885</v>
      </c>
    </row>
    <row r="1583" spans="1:21" x14ac:dyDescent="0.2">
      <c r="A1583" s="7" cm="1">
        <f t="array" aca="1" ref="A1583" ca="1">INDEX(Companies!$A:$A,RANDBETWEEN(2,COUNTA(Companies!$A:$A)),1)</f>
        <v>2</v>
      </c>
      <c r="B1583" s="5">
        <f t="shared" si="289"/>
        <v>1582</v>
      </c>
      <c r="C1583" s="6">
        <f t="shared" ca="1" si="290"/>
        <v>1</v>
      </c>
      <c r="D1583" s="7">
        <f ca="1">IF($B1583 = 1 + N("Presidente"),
    127,
    IF($B1583 = 2 + N("Vice-Presidente"),
        72,
        IF($B1583 = 3 + N("Secretária bilíngue"),
            13,
            RANDBETWEEN(5,COUNT(Name!$A:$A) + 1)
        )
    )
)</f>
        <v>38</v>
      </c>
      <c r="E1583" s="7" t="str">
        <f ca="1" xml:space="preserve">
VLOOKUP(
  $D1583,
  Name!$A:$B,
  2,
  FALSE
)
&amp; " " &amp;
IF($B1583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Analu Pasquim Rodrigues</v>
      </c>
      <c r="F1583" s="7">
        <v>2</v>
      </c>
      <c r="G1583" s="7" cm="1">
        <f t="array" aca="1" ref="G1583" ca="1">INDEX(States!$B:$B,RANDBETWEEN(2,COUNTA(States!$A:$A)),1)</f>
        <v>7</v>
      </c>
      <c r="H1583" s="7" t="str">
        <f ca="1">VLOOKUP($D1583,Name!$A:$C,3,FALSE)</f>
        <v>F</v>
      </c>
      <c r="I1583" s="7" cm="1">
        <f t="array" aca="1" ref="I1583" ca="1">INDEX('Marital status'!$A:$A,RANDBETWEEN(2,COUNTA('Marital status'!$A:$A)),1)</f>
        <v>3</v>
      </c>
      <c r="J1583" s="7">
        <f t="shared" ca="1" si="291"/>
        <v>2</v>
      </c>
      <c r="K1583" s="8">
        <f t="shared" ca="1" si="292"/>
        <v>35688</v>
      </c>
      <c r="L1583" s="6">
        <f t="shared" ca="1" si="293"/>
        <v>4</v>
      </c>
      <c r="M1583" s="7">
        <f ca="1" xml:space="preserve">
  IF(OR($N1583 = 2, $N1583 = 3, $N1583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583" s="6">
        <f t="shared" ca="1" si="294"/>
        <v>8</v>
      </c>
      <c r="O1583" s="6">
        <f t="shared" ca="1" si="295"/>
        <v>2</v>
      </c>
      <c r="P1583" s="8">
        <f t="shared" ca="1" si="296"/>
        <v>42850</v>
      </c>
      <c r="Q1583" s="6">
        <f ca="1">RANDBETWEEN(2,COUNTA('Recruitment source'!$A:$A))</f>
        <v>11</v>
      </c>
      <c r="R1583" s="8" t="e">
        <f t="shared" ca="1" si="297"/>
        <v>#N/A</v>
      </c>
      <c r="S1583" s="6" t="e">
        <f t="shared" ca="1" si="298"/>
        <v>#N/A</v>
      </c>
      <c r="T1583" s="6">
        <f t="shared" ca="1" si="288"/>
        <v>2</v>
      </c>
      <c r="U1583" s="1">
        <f t="shared" ca="1" si="299"/>
        <v>2080</v>
      </c>
    </row>
    <row r="1584" spans="1:21" x14ac:dyDescent="0.2">
      <c r="A1584" s="7" cm="1">
        <f t="array" aca="1" ref="A1584" ca="1">INDEX(Companies!$A:$A,RANDBETWEEN(2,COUNTA(Companies!$A:$A)),1)</f>
        <v>2</v>
      </c>
      <c r="B1584" s="5">
        <f t="shared" si="289"/>
        <v>1583</v>
      </c>
      <c r="C1584" s="6">
        <f t="shared" ca="1" si="290"/>
        <v>1</v>
      </c>
      <c r="D1584" s="7">
        <f ca="1">IF($B1584 = 1 + N("Presidente"),
    127,
    IF($B1584 = 2 + N("Vice-Presidente"),
        72,
        IF($B1584 = 3 + N("Secretária bilíngue"),
            13,
            RANDBETWEEN(5,COUNT(Name!$A:$A) + 1)
        )
    )
)</f>
        <v>284</v>
      </c>
      <c r="E1584" s="7" t="str">
        <f ca="1" xml:space="preserve">
VLOOKUP(
  $D1584,
  Name!$A:$B,
  2,
  FALSE
)
&amp; " " &amp;
IF($B1584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Martim Esteves Cândido</v>
      </c>
      <c r="F1584" s="7">
        <v>2</v>
      </c>
      <c r="G1584" s="7" cm="1">
        <f t="array" aca="1" ref="G1584" ca="1">INDEX(States!$B:$B,RANDBETWEEN(2,COUNTA(States!$A:$A)),1)</f>
        <v>9</v>
      </c>
      <c r="H1584" s="7" t="str">
        <f ca="1">VLOOKUP($D1584,Name!$A:$C,3,FALSE)</f>
        <v>M</v>
      </c>
      <c r="I1584" s="7" cm="1">
        <f t="array" aca="1" ref="I1584" ca="1">INDEX('Marital status'!$A:$A,RANDBETWEEN(2,COUNTA('Marital status'!$A:$A)),1)</f>
        <v>5</v>
      </c>
      <c r="J1584" s="7">
        <f t="shared" ca="1" si="291"/>
        <v>4</v>
      </c>
      <c r="K1584" s="8">
        <f t="shared" ca="1" si="292"/>
        <v>32915</v>
      </c>
      <c r="L1584" s="6">
        <f t="shared" ca="1" si="293"/>
        <v>4</v>
      </c>
      <c r="M1584" s="7">
        <f ca="1" xml:space="preserve">
  IF(OR($N1584 = 2, $N1584 = 3, $N1584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584" s="6">
        <f t="shared" ca="1" si="294"/>
        <v>6</v>
      </c>
      <c r="O1584" s="6" t="e">
        <f t="shared" ca="1" si="295"/>
        <v>#N/A</v>
      </c>
      <c r="P1584" s="8">
        <f t="shared" ca="1" si="296"/>
        <v>43482</v>
      </c>
      <c r="Q1584" s="6">
        <f ca="1">RANDBETWEEN(2,COUNTA('Recruitment source'!$A:$A))</f>
        <v>10</v>
      </c>
      <c r="R1584" s="8" t="e">
        <f t="shared" ca="1" si="297"/>
        <v>#N/A</v>
      </c>
      <c r="S1584" s="6" t="e">
        <f t="shared" ca="1" si="298"/>
        <v>#N/A</v>
      </c>
      <c r="T1584" s="6">
        <f t="shared" ca="1" si="288"/>
        <v>3</v>
      </c>
      <c r="U1584" s="1">
        <f t="shared" ca="1" si="299"/>
        <v>805</v>
      </c>
    </row>
    <row r="1585" spans="1:21" x14ac:dyDescent="0.2">
      <c r="A1585" s="7" cm="1">
        <f t="array" aca="1" ref="A1585" ca="1">INDEX(Companies!$A:$A,RANDBETWEEN(2,COUNTA(Companies!$A:$A)),1)</f>
        <v>2</v>
      </c>
      <c r="B1585" s="5">
        <f t="shared" si="289"/>
        <v>1584</v>
      </c>
      <c r="C1585" s="6">
        <f t="shared" ca="1" si="290"/>
        <v>1</v>
      </c>
      <c r="D1585" s="7">
        <f ca="1">IF($B1585 = 1 + N("Presidente"),
    127,
    IF($B1585 = 2 + N("Vice-Presidente"),
        72,
        IF($B1585 = 3 + N("Secretária bilíngue"),
            13,
            RANDBETWEEN(5,COUNT(Name!$A:$A) + 1)
        )
    )
)</f>
        <v>170</v>
      </c>
      <c r="E1585" s="7" t="str">
        <f ca="1" xml:space="preserve">
VLOOKUP(
  $D1585,
  Name!$A:$B,
  2,
  FALSE
)
&amp; " " &amp;
IF($B1585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Iara Siqueira Andrade</v>
      </c>
      <c r="F1585" s="7">
        <v>2</v>
      </c>
      <c r="G1585" s="7" cm="1">
        <f t="array" aca="1" ref="G1585" ca="1">INDEX(States!$B:$B,RANDBETWEEN(2,COUNTA(States!$A:$A)),1)</f>
        <v>21</v>
      </c>
      <c r="H1585" s="7" t="str">
        <f ca="1">VLOOKUP($D1585,Name!$A:$C,3,FALSE)</f>
        <v>F</v>
      </c>
      <c r="I1585" s="7" cm="1">
        <f t="array" aca="1" ref="I1585" ca="1">INDEX('Marital status'!$A:$A,RANDBETWEEN(2,COUNTA('Marital status'!$A:$A)),1)</f>
        <v>4</v>
      </c>
      <c r="J1585" s="7">
        <f t="shared" ca="1" si="291"/>
        <v>2</v>
      </c>
      <c r="K1585" s="8">
        <f t="shared" ca="1" si="292"/>
        <v>34245</v>
      </c>
      <c r="L1585" s="6">
        <f t="shared" ca="1" si="293"/>
        <v>4</v>
      </c>
      <c r="M1585" s="7">
        <f ca="1" xml:space="preserve">
  IF(OR($N1585 = 2, $N1585 = 3, $N1585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585" s="6">
        <f t="shared" ca="1" si="294"/>
        <v>8</v>
      </c>
      <c r="O1585" s="6">
        <f t="shared" ca="1" si="295"/>
        <v>4</v>
      </c>
      <c r="P1585" s="8">
        <f t="shared" ca="1" si="296"/>
        <v>43307</v>
      </c>
      <c r="Q1585" s="6">
        <f ca="1">RANDBETWEEN(2,COUNTA('Recruitment source'!$A:$A))</f>
        <v>4</v>
      </c>
      <c r="R1585" s="8" t="e">
        <f t="shared" ca="1" si="297"/>
        <v>#N/A</v>
      </c>
      <c r="S1585" s="6" t="e">
        <f t="shared" ca="1" si="298"/>
        <v>#N/A</v>
      </c>
      <c r="T1585" s="6">
        <f t="shared" ca="1" si="288"/>
        <v>2</v>
      </c>
      <c r="U1585" s="1">
        <f t="shared" ca="1" si="299"/>
        <v>2000</v>
      </c>
    </row>
    <row r="1586" spans="1:21" x14ac:dyDescent="0.2">
      <c r="A1586" s="7" cm="1">
        <f t="array" aca="1" ref="A1586" ca="1">INDEX(Companies!$A:$A,RANDBETWEEN(2,COUNTA(Companies!$A:$A)),1)</f>
        <v>2</v>
      </c>
      <c r="B1586" s="5">
        <f t="shared" si="289"/>
        <v>1585</v>
      </c>
      <c r="C1586" s="6">
        <f t="shared" ca="1" si="290"/>
        <v>1</v>
      </c>
      <c r="D1586" s="7">
        <f ca="1">IF($B1586 = 1 + N("Presidente"),
    127,
    IF($B1586 = 2 + N("Vice-Presidente"),
        72,
        IF($B1586 = 3 + N("Secretária bilíngue"),
            13,
            RANDBETWEEN(5,COUNT(Name!$A:$A) + 1)
        )
    )
)</f>
        <v>302</v>
      </c>
      <c r="E1586" s="7" t="str">
        <f ca="1" xml:space="preserve">
VLOOKUP(
  $D1586,
  Name!$A:$B,
  2,
  FALSE
)
&amp; " " &amp;
IF($B1586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Natália Madureira Marino</v>
      </c>
      <c r="F1586" s="7">
        <v>2</v>
      </c>
      <c r="G1586" s="7" cm="1">
        <f t="array" aca="1" ref="G1586" ca="1">INDEX(States!$B:$B,RANDBETWEEN(2,COUNTA(States!$A:$A)),1)</f>
        <v>11</v>
      </c>
      <c r="H1586" s="7" t="str">
        <f ca="1">VLOOKUP($D1586,Name!$A:$C,3,FALSE)</f>
        <v>F</v>
      </c>
      <c r="I1586" s="7" cm="1">
        <f t="array" aca="1" ref="I1586" ca="1">INDEX('Marital status'!$A:$A,RANDBETWEEN(2,COUNTA('Marital status'!$A:$A)),1)</f>
        <v>2</v>
      </c>
      <c r="J1586" s="7">
        <f t="shared" ca="1" si="291"/>
        <v>2</v>
      </c>
      <c r="K1586" s="8">
        <f t="shared" ca="1" si="292"/>
        <v>20726</v>
      </c>
      <c r="L1586" s="6">
        <f t="shared" ca="1" si="293"/>
        <v>4</v>
      </c>
      <c r="M1586" s="7">
        <f ca="1" xml:space="preserve">
  IF(OR($N1586 = 2, $N1586 = 3, $N1586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586" s="6">
        <f t="shared" ca="1" si="294"/>
        <v>6</v>
      </c>
      <c r="O1586" s="6" t="e">
        <f t="shared" ca="1" si="295"/>
        <v>#N/A</v>
      </c>
      <c r="P1586" s="8">
        <f t="shared" ca="1" si="296"/>
        <v>37112</v>
      </c>
      <c r="Q1586" s="6">
        <f ca="1">RANDBETWEEN(2,COUNTA('Recruitment source'!$A:$A))</f>
        <v>11</v>
      </c>
      <c r="R1586" s="8" t="e">
        <f t="shared" ca="1" si="297"/>
        <v>#N/A</v>
      </c>
      <c r="S1586" s="6" t="e">
        <f t="shared" ca="1" si="298"/>
        <v>#N/A</v>
      </c>
      <c r="T1586" s="6">
        <f t="shared" ca="1" si="288"/>
        <v>2</v>
      </c>
      <c r="U1586" s="1">
        <f t="shared" ca="1" si="299"/>
        <v>805</v>
      </c>
    </row>
    <row r="1587" spans="1:21" x14ac:dyDescent="0.2">
      <c r="A1587" s="7" cm="1">
        <f t="array" aca="1" ref="A1587" ca="1">INDEX(Companies!$A:$A,RANDBETWEEN(2,COUNTA(Companies!$A:$A)),1)</f>
        <v>2</v>
      </c>
      <c r="B1587" s="5">
        <f t="shared" si="289"/>
        <v>1586</v>
      </c>
      <c r="C1587" s="6">
        <f t="shared" ca="1" si="290"/>
        <v>1</v>
      </c>
      <c r="D1587" s="7">
        <f ca="1">IF($B1587 = 1 + N("Presidente"),
    127,
    IF($B1587 = 2 + N("Vice-Presidente"),
        72,
        IF($B1587 = 3 + N("Secretária bilíngue"),
            13,
            RANDBETWEEN(5,COUNT(Name!$A:$A) + 1)
        )
    )
)</f>
        <v>47</v>
      </c>
      <c r="E1587" s="7" t="str">
        <f ca="1" xml:space="preserve">
VLOOKUP(
  $D1587,
  Name!$A:$B,
  2,
  FALSE
)
&amp; " " &amp;
IF($B1587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Anne Caroline Madureira Rossi</v>
      </c>
      <c r="F1587" s="7">
        <v>2</v>
      </c>
      <c r="G1587" s="7" cm="1">
        <f t="array" aca="1" ref="G1587" ca="1">INDEX(States!$B:$B,RANDBETWEEN(2,COUNTA(States!$A:$A)),1)</f>
        <v>16</v>
      </c>
      <c r="H1587" s="7" t="str">
        <f ca="1">VLOOKUP($D1587,Name!$A:$C,3,FALSE)</f>
        <v>F</v>
      </c>
      <c r="I1587" s="7" cm="1">
        <f t="array" aca="1" ref="I1587" ca="1">INDEX('Marital status'!$A:$A,RANDBETWEEN(2,COUNTA('Marital status'!$A:$A)),1)</f>
        <v>2</v>
      </c>
      <c r="J1587" s="7">
        <f t="shared" ca="1" si="291"/>
        <v>2</v>
      </c>
      <c r="K1587" s="8">
        <f t="shared" ca="1" si="292"/>
        <v>35598</v>
      </c>
      <c r="L1587" s="6">
        <f t="shared" ca="1" si="293"/>
        <v>4</v>
      </c>
      <c r="M1587" s="7">
        <f ca="1" xml:space="preserve">
  IF(OR($N1587 = 2, $N1587 = 3, $N1587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587" s="6">
        <f t="shared" ca="1" si="294"/>
        <v>8</v>
      </c>
      <c r="O1587" s="6">
        <f t="shared" ca="1" si="295"/>
        <v>3</v>
      </c>
      <c r="P1587" s="8">
        <f t="shared" ca="1" si="296"/>
        <v>42573</v>
      </c>
      <c r="Q1587" s="6">
        <f ca="1">RANDBETWEEN(2,COUNTA('Recruitment source'!$A:$A))</f>
        <v>3</v>
      </c>
      <c r="R1587" s="8" t="e">
        <f t="shared" ca="1" si="297"/>
        <v>#N/A</v>
      </c>
      <c r="S1587" s="6" t="e">
        <f t="shared" ca="1" si="298"/>
        <v>#N/A</v>
      </c>
      <c r="T1587" s="6">
        <f t="shared" ca="1" si="288"/>
        <v>3</v>
      </c>
      <c r="U1587" s="1">
        <f t="shared" ca="1" si="299"/>
        <v>2050</v>
      </c>
    </row>
    <row r="1588" spans="1:21" x14ac:dyDescent="0.2">
      <c r="A1588" s="7" cm="1">
        <f t="array" aca="1" ref="A1588" ca="1">INDEX(Companies!$A:$A,RANDBETWEEN(2,COUNTA(Companies!$A:$A)),1)</f>
        <v>2</v>
      </c>
      <c r="B1588" s="5">
        <f t="shared" si="289"/>
        <v>1587</v>
      </c>
      <c r="C1588" s="6">
        <f t="shared" ca="1" si="290"/>
        <v>1</v>
      </c>
      <c r="D1588" s="7">
        <f ca="1">IF($B1588 = 1 + N("Presidente"),
    127,
    IF($B1588 = 2 + N("Vice-Presidente"),
        72,
        IF($B1588 = 3 + N("Secretária bilíngue"),
            13,
            RANDBETWEEN(5,COUNT(Name!$A:$A) + 1)
        )
    )
)</f>
        <v>141</v>
      </c>
      <c r="E1588" s="7" t="str">
        <f ca="1" xml:space="preserve">
VLOOKUP(
  $D1588,
  Name!$A:$B,
  2,
  FALSE
)
&amp; " " &amp;
IF($B1588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Filipe Ramos Rocha</v>
      </c>
      <c r="F1588" s="7">
        <v>2</v>
      </c>
      <c r="G1588" s="7" cm="1">
        <f t="array" aca="1" ref="G1588" ca="1">INDEX(States!$B:$B,RANDBETWEEN(2,COUNTA(States!$A:$A)),1)</f>
        <v>12</v>
      </c>
      <c r="H1588" s="7" t="str">
        <f ca="1">VLOOKUP($D1588,Name!$A:$C,3,FALSE)</f>
        <v>M</v>
      </c>
      <c r="I1588" s="7" cm="1">
        <f t="array" aca="1" ref="I1588" ca="1">INDEX('Marital status'!$A:$A,RANDBETWEEN(2,COUNTA('Marital status'!$A:$A)),1)</f>
        <v>4</v>
      </c>
      <c r="J1588" s="7">
        <f t="shared" ca="1" si="291"/>
        <v>2</v>
      </c>
      <c r="K1588" s="8">
        <f t="shared" ca="1" si="292"/>
        <v>34250</v>
      </c>
      <c r="L1588" s="6">
        <f t="shared" ca="1" si="293"/>
        <v>4</v>
      </c>
      <c r="M1588" s="7">
        <f ca="1" xml:space="preserve">
  IF(OR($N1588 = 2, $N1588 = 3, $N1588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588" s="6">
        <f t="shared" ca="1" si="294"/>
        <v>7</v>
      </c>
      <c r="O1588" s="6" t="e">
        <f t="shared" ca="1" si="295"/>
        <v>#N/A</v>
      </c>
      <c r="P1588" s="8">
        <f t="shared" ca="1" si="296"/>
        <v>41377</v>
      </c>
      <c r="Q1588" s="6">
        <f ca="1">RANDBETWEEN(2,COUNTA('Recruitment source'!$A:$A))</f>
        <v>7</v>
      </c>
      <c r="R1588" s="8" t="e">
        <f t="shared" ca="1" si="297"/>
        <v>#N/A</v>
      </c>
      <c r="S1588" s="6" t="e">
        <f t="shared" ca="1" si="298"/>
        <v>#N/A</v>
      </c>
      <c r="T1588" s="6">
        <f t="shared" ca="1" si="288"/>
        <v>3</v>
      </c>
      <c r="U1588" s="1">
        <f t="shared" ca="1" si="299"/>
        <v>1005</v>
      </c>
    </row>
    <row r="1589" spans="1:21" x14ac:dyDescent="0.2">
      <c r="A1589" s="7" cm="1">
        <f t="array" aca="1" ref="A1589" ca="1">INDEX(Companies!$A:$A,RANDBETWEEN(2,COUNTA(Companies!$A:$A)),1)</f>
        <v>2</v>
      </c>
      <c r="B1589" s="5">
        <f t="shared" si="289"/>
        <v>1588</v>
      </c>
      <c r="C1589" s="6">
        <f t="shared" ca="1" si="290"/>
        <v>1</v>
      </c>
      <c r="D1589" s="7">
        <f ca="1">IF($B1589 = 1 + N("Presidente"),
    127,
    IF($B1589 = 2 + N("Vice-Presidente"),
        72,
        IF($B1589 = 3 + N("Secretária bilíngue"),
            13,
            RANDBETWEEN(5,COUNT(Name!$A:$A) + 1)
        )
    )
)</f>
        <v>86</v>
      </c>
      <c r="E1589" s="7" t="str">
        <f ca="1" xml:space="preserve">
VLOOKUP(
  $D1589,
  Name!$A:$B,
  2,
  FALSE
)
&amp; " " &amp;
IF($B1589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Carolina Bispo Mendes</v>
      </c>
      <c r="F1589" s="7">
        <v>2</v>
      </c>
      <c r="G1589" s="7" cm="1">
        <f t="array" aca="1" ref="G1589" ca="1">INDEX(States!$B:$B,RANDBETWEEN(2,COUNTA(States!$A:$A)),1)</f>
        <v>11</v>
      </c>
      <c r="H1589" s="7" t="str">
        <f ca="1">VLOOKUP($D1589,Name!$A:$C,3,FALSE)</f>
        <v>F</v>
      </c>
      <c r="I1589" s="7" cm="1">
        <f t="array" aca="1" ref="I1589" ca="1">INDEX('Marital status'!$A:$A,RANDBETWEEN(2,COUNTA('Marital status'!$A:$A)),1)</f>
        <v>3</v>
      </c>
      <c r="J1589" s="7">
        <f t="shared" ca="1" si="291"/>
        <v>3</v>
      </c>
      <c r="K1589" s="8">
        <f t="shared" ca="1" si="292"/>
        <v>36696</v>
      </c>
      <c r="L1589" s="6">
        <f t="shared" ca="1" si="293"/>
        <v>4</v>
      </c>
      <c r="M1589" s="7">
        <f ca="1" xml:space="preserve">
  IF(OR($N1589 = 2, $N1589 = 3, $N1589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589" s="6">
        <f t="shared" ca="1" si="294"/>
        <v>8</v>
      </c>
      <c r="O1589" s="6">
        <f t="shared" ca="1" si="295"/>
        <v>2</v>
      </c>
      <c r="P1589" s="8">
        <f t="shared" ca="1" si="296"/>
        <v>39655</v>
      </c>
      <c r="Q1589" s="6">
        <f ca="1">RANDBETWEEN(2,COUNTA('Recruitment source'!$A:$A))</f>
        <v>6</v>
      </c>
      <c r="R1589" s="8" t="e">
        <f t="shared" ca="1" si="297"/>
        <v>#N/A</v>
      </c>
      <c r="S1589" s="6" t="e">
        <f t="shared" ca="1" si="298"/>
        <v>#N/A</v>
      </c>
      <c r="T1589" s="6">
        <f t="shared" ca="1" si="288"/>
        <v>2</v>
      </c>
      <c r="U1589" s="1">
        <f t="shared" ca="1" si="299"/>
        <v>2080</v>
      </c>
    </row>
    <row r="1590" spans="1:21" x14ac:dyDescent="0.2">
      <c r="A1590" s="7" cm="1">
        <f t="array" aca="1" ref="A1590" ca="1">INDEX(Companies!$A:$A,RANDBETWEEN(2,COUNTA(Companies!$A:$A)),1)</f>
        <v>2</v>
      </c>
      <c r="B1590" s="5">
        <f t="shared" si="289"/>
        <v>1589</v>
      </c>
      <c r="C1590" s="6">
        <f t="shared" ca="1" si="290"/>
        <v>1</v>
      </c>
      <c r="D1590" s="7">
        <f ca="1">IF($B1590 = 1 + N("Presidente"),
    127,
    IF($B1590 = 2 + N("Vice-Presidente"),
        72,
        IF($B1590 = 3 + N("Secretária bilíngue"),
            13,
            RANDBETWEEN(5,COUNT(Name!$A:$A) + 1)
        )
    )
)</f>
        <v>36</v>
      </c>
      <c r="E1590" s="7" t="str">
        <f ca="1" xml:space="preserve">
VLOOKUP(
  $D1590,
  Name!$A:$B,
  2,
  FALSE
)
&amp; " " &amp;
IF($B1590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Sophia Cabral Bicalho</v>
      </c>
      <c r="F1590" s="7">
        <v>2</v>
      </c>
      <c r="G1590" s="7" cm="1">
        <f t="array" aca="1" ref="G1590" ca="1">INDEX(States!$B:$B,RANDBETWEEN(2,COUNTA(States!$A:$A)),1)</f>
        <v>14</v>
      </c>
      <c r="H1590" s="7" t="str">
        <f ca="1">VLOOKUP($D1590,Name!$A:$C,3,FALSE)</f>
        <v>F</v>
      </c>
      <c r="I1590" s="7" cm="1">
        <f t="array" aca="1" ref="I1590" ca="1">INDEX('Marital status'!$A:$A,RANDBETWEEN(2,COUNTA('Marital status'!$A:$A)),1)</f>
        <v>6</v>
      </c>
      <c r="J1590" s="7">
        <f t="shared" ca="1" si="291"/>
        <v>2</v>
      </c>
      <c r="K1590" s="8">
        <f t="shared" ca="1" si="292"/>
        <v>30804</v>
      </c>
      <c r="L1590" s="6">
        <f t="shared" ca="1" si="293"/>
        <v>4</v>
      </c>
      <c r="M1590" s="7">
        <f ca="1" xml:space="preserve">
  IF(OR($N1590 = 2, $N1590 = 3, $N1590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590" s="6">
        <f t="shared" ca="1" si="294"/>
        <v>6</v>
      </c>
      <c r="O1590" s="6" t="e">
        <f t="shared" ca="1" si="295"/>
        <v>#N/A</v>
      </c>
      <c r="P1590" s="8">
        <f t="shared" ca="1" si="296"/>
        <v>42459</v>
      </c>
      <c r="Q1590" s="6">
        <f ca="1">RANDBETWEEN(2,COUNTA('Recruitment source'!$A:$A))</f>
        <v>3</v>
      </c>
      <c r="R1590" s="8" t="e">
        <f t="shared" ca="1" si="297"/>
        <v>#N/A</v>
      </c>
      <c r="S1590" s="6" t="e">
        <f t="shared" ca="1" si="298"/>
        <v>#N/A</v>
      </c>
      <c r="T1590" s="6">
        <f t="shared" ca="1" si="288"/>
        <v>2</v>
      </c>
      <c r="U1590" s="1">
        <f t="shared" ca="1" si="299"/>
        <v>885</v>
      </c>
    </row>
    <row r="1591" spans="1:21" x14ac:dyDescent="0.2">
      <c r="A1591" s="7" cm="1">
        <f t="array" aca="1" ref="A1591" ca="1">INDEX(Companies!$A:$A,RANDBETWEEN(2,COUNTA(Companies!$A:$A)),1)</f>
        <v>2</v>
      </c>
      <c r="B1591" s="5">
        <f t="shared" si="289"/>
        <v>1590</v>
      </c>
      <c r="C1591" s="6">
        <f t="shared" ca="1" si="290"/>
        <v>1</v>
      </c>
      <c r="D1591" s="7">
        <f ca="1">IF($B1591 = 1 + N("Presidente"),
    127,
    IF($B1591 = 2 + N("Vice-Presidente"),
        72,
        IF($B1591 = 3 + N("Secretária bilíngue"),
            13,
            RANDBETWEEN(5,COUNT(Name!$A:$A) + 1)
        )
    )
)</f>
        <v>235</v>
      </c>
      <c r="E1591" s="7" t="str">
        <f ca="1" xml:space="preserve">
VLOOKUP(
  $D1591,
  Name!$A:$B,
  2,
  FALSE
)
&amp; " " &amp;
IF($B1591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 Batista Fernandes</v>
      </c>
      <c r="F1591" s="7">
        <v>2</v>
      </c>
      <c r="G1591" s="7" cm="1">
        <f t="array" aca="1" ref="G1591" ca="1">INDEX(States!$B:$B,RANDBETWEEN(2,COUNTA(States!$A:$A)),1)</f>
        <v>21</v>
      </c>
      <c r="H1591" s="7" t="str">
        <f ca="1">VLOOKUP($D1591,Name!$A:$C,3,FALSE)</f>
        <v>M</v>
      </c>
      <c r="I1591" s="7" cm="1">
        <f t="array" aca="1" ref="I1591" ca="1">INDEX('Marital status'!$A:$A,RANDBETWEEN(2,COUNTA('Marital status'!$A:$A)),1)</f>
        <v>5</v>
      </c>
      <c r="J1591" s="7">
        <f t="shared" ca="1" si="291"/>
        <v>2</v>
      </c>
      <c r="K1591" s="8">
        <f t="shared" ca="1" si="292"/>
        <v>35869</v>
      </c>
      <c r="L1591" s="6">
        <f t="shared" ca="1" si="293"/>
        <v>5</v>
      </c>
      <c r="M1591" s="7">
        <f ca="1" xml:space="preserve">
  IF(OR($N1591 = 2, $N1591 = 3, $N1591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591" s="6">
        <f t="shared" ca="1" si="294"/>
        <v>8</v>
      </c>
      <c r="O1591" s="6">
        <f t="shared" ca="1" si="295"/>
        <v>2</v>
      </c>
      <c r="P1591" s="8">
        <f t="shared" ca="1" si="296"/>
        <v>37534</v>
      </c>
      <c r="Q1591" s="6">
        <f ca="1">RANDBETWEEN(2,COUNTA('Recruitment source'!$A:$A))</f>
        <v>9</v>
      </c>
      <c r="R1591" s="8" t="e">
        <f t="shared" ca="1" si="297"/>
        <v>#N/A</v>
      </c>
      <c r="S1591" s="6" t="e">
        <f t="shared" ca="1" si="298"/>
        <v>#N/A</v>
      </c>
      <c r="T1591" s="6">
        <f t="shared" ca="1" si="288"/>
        <v>4</v>
      </c>
      <c r="U1591" s="1">
        <f t="shared" ca="1" si="299"/>
        <v>2000</v>
      </c>
    </row>
    <row r="1592" spans="1:21" x14ac:dyDescent="0.2">
      <c r="A1592" s="7" cm="1">
        <f t="array" aca="1" ref="A1592" ca="1">INDEX(Companies!$A:$A,RANDBETWEEN(2,COUNTA(Companies!$A:$A)),1)</f>
        <v>2</v>
      </c>
      <c r="B1592" s="5">
        <f t="shared" si="289"/>
        <v>1591</v>
      </c>
      <c r="C1592" s="6">
        <f t="shared" ca="1" si="290"/>
        <v>1</v>
      </c>
      <c r="D1592" s="7">
        <f ca="1">IF($B1592 = 1 + N("Presidente"),
    127,
    IF($B1592 = 2 + N("Vice-Presidente"),
        72,
        IF($B1592 = 3 + N("Secretária bilíngue"),
            13,
            RANDBETWEEN(5,COUNT(Name!$A:$A) + 1)
        )
    )
)</f>
        <v>279</v>
      </c>
      <c r="E1592" s="7" t="str">
        <f ca="1" xml:space="preserve">
VLOOKUP(
  $D1592,
  Name!$A:$B,
  2,
  FALSE
)
&amp; " " &amp;
IF($B1592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Mariane Cândido Abranches</v>
      </c>
      <c r="F1592" s="7">
        <v>2</v>
      </c>
      <c r="G1592" s="7" cm="1">
        <f t="array" aca="1" ref="G1592" ca="1">INDEX(States!$B:$B,RANDBETWEEN(2,COUNTA(States!$A:$A)),1)</f>
        <v>15</v>
      </c>
      <c r="H1592" s="7" t="str">
        <f ca="1">VLOOKUP($D1592,Name!$A:$C,3,FALSE)</f>
        <v>F</v>
      </c>
      <c r="I1592" s="7" cm="1">
        <f t="array" aca="1" ref="I1592" ca="1">INDEX('Marital status'!$A:$A,RANDBETWEEN(2,COUNTA('Marital status'!$A:$A)),1)</f>
        <v>4</v>
      </c>
      <c r="J1592" s="7">
        <f t="shared" ca="1" si="291"/>
        <v>2</v>
      </c>
      <c r="K1592" s="8">
        <f t="shared" ca="1" si="292"/>
        <v>25316</v>
      </c>
      <c r="L1592" s="6">
        <f t="shared" ca="1" si="293"/>
        <v>4</v>
      </c>
      <c r="M1592" s="7">
        <f ca="1" xml:space="preserve">
  IF(OR($N1592 = 2, $N1592 = 3, $N1592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592" s="6">
        <f t="shared" ca="1" si="294"/>
        <v>6</v>
      </c>
      <c r="O1592" s="6" t="e">
        <f t="shared" ca="1" si="295"/>
        <v>#N/A</v>
      </c>
      <c r="P1592" s="8">
        <f t="shared" ca="1" si="296"/>
        <v>39016</v>
      </c>
      <c r="Q1592" s="6">
        <f ca="1">RANDBETWEEN(2,COUNTA('Recruitment source'!$A:$A))</f>
        <v>3</v>
      </c>
      <c r="R1592" s="8" t="e">
        <f t="shared" ca="1" si="297"/>
        <v>#N/A</v>
      </c>
      <c r="S1592" s="6" t="e">
        <f t="shared" ca="1" si="298"/>
        <v>#N/A</v>
      </c>
      <c r="T1592" s="6">
        <f t="shared" ca="1" si="288"/>
        <v>3</v>
      </c>
      <c r="U1592" s="1">
        <f t="shared" ca="1" si="299"/>
        <v>805</v>
      </c>
    </row>
    <row r="1593" spans="1:21" x14ac:dyDescent="0.2">
      <c r="A1593" s="7" cm="1">
        <f t="array" aca="1" ref="A1593" ca="1">INDEX(Companies!$A:$A,RANDBETWEEN(2,COUNTA(Companies!$A:$A)),1)</f>
        <v>2</v>
      </c>
      <c r="B1593" s="5">
        <f t="shared" si="289"/>
        <v>1592</v>
      </c>
      <c r="C1593" s="6">
        <f t="shared" ca="1" si="290"/>
        <v>1</v>
      </c>
      <c r="D1593" s="7">
        <f ca="1">IF($B1593 = 1 + N("Presidente"),
    127,
    IF($B1593 = 2 + N("Vice-Presidente"),
        72,
        IF($B1593 = 3 + N("Secretária bilíngue"),
            13,
            RANDBETWEEN(5,COUNT(Name!$A:$A) + 1)
        )
    )
)</f>
        <v>297</v>
      </c>
      <c r="E1593" s="7" t="str">
        <f ca="1" xml:space="preserve">
VLOOKUP(
  $D1593,
  Name!$A:$B,
  2,
  FALSE
)
&amp; " " &amp;
IF($B1593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Miguelito Leone de Oliveira</v>
      </c>
      <c r="F1593" s="7">
        <v>2</v>
      </c>
      <c r="G1593" s="7" cm="1">
        <f t="array" aca="1" ref="G1593" ca="1">INDEX(States!$B:$B,RANDBETWEEN(2,COUNTA(States!$A:$A)),1)</f>
        <v>4</v>
      </c>
      <c r="H1593" s="7" t="str">
        <f ca="1">VLOOKUP($D1593,Name!$A:$C,3,FALSE)</f>
        <v>M</v>
      </c>
      <c r="I1593" s="7" cm="1">
        <f t="array" aca="1" ref="I1593" ca="1">INDEX('Marital status'!$A:$A,RANDBETWEEN(2,COUNTA('Marital status'!$A:$A)),1)</f>
        <v>4</v>
      </c>
      <c r="J1593" s="7">
        <f t="shared" ca="1" si="291"/>
        <v>2</v>
      </c>
      <c r="K1593" s="8">
        <f t="shared" ca="1" si="292"/>
        <v>36576</v>
      </c>
      <c r="L1593" s="6">
        <f t="shared" ca="1" si="293"/>
        <v>4</v>
      </c>
      <c r="M1593" s="7">
        <f ca="1" xml:space="preserve">
  IF(OR($N1593 = 2, $N1593 = 3, $N1593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593" s="6">
        <f t="shared" ca="1" si="294"/>
        <v>8</v>
      </c>
      <c r="O1593" s="6">
        <f t="shared" ca="1" si="295"/>
        <v>2</v>
      </c>
      <c r="P1593" s="8">
        <f t="shared" ca="1" si="296"/>
        <v>39338</v>
      </c>
      <c r="Q1593" s="6">
        <f ca="1">RANDBETWEEN(2,COUNTA('Recruitment source'!$A:$A))</f>
        <v>3</v>
      </c>
      <c r="R1593" s="8" t="e">
        <f t="shared" ca="1" si="297"/>
        <v>#N/A</v>
      </c>
      <c r="S1593" s="6" t="e">
        <f t="shared" ca="1" si="298"/>
        <v>#N/A</v>
      </c>
      <c r="T1593" s="6">
        <f t="shared" ca="1" si="288"/>
        <v>5</v>
      </c>
      <c r="U1593" s="1">
        <f t="shared" ca="1" si="299"/>
        <v>2000</v>
      </c>
    </row>
    <row r="1594" spans="1:21" x14ac:dyDescent="0.2">
      <c r="A1594" s="7" cm="1">
        <f t="array" aca="1" ref="A1594" ca="1">INDEX(Companies!$A:$A,RANDBETWEEN(2,COUNTA(Companies!$A:$A)),1)</f>
        <v>2</v>
      </c>
      <c r="B1594" s="5">
        <f t="shared" si="289"/>
        <v>1593</v>
      </c>
      <c r="C1594" s="6">
        <f t="shared" ca="1" si="290"/>
        <v>1</v>
      </c>
      <c r="D1594" s="7">
        <f ca="1">IF($B1594 = 1 + N("Presidente"),
    127,
    IF($B1594 = 2 + N("Vice-Presidente"),
        72,
        IF($B1594 = 3 + N("Secretária bilíngue"),
            13,
            RANDBETWEEN(5,COUNT(Name!$A:$A) + 1)
        )
    )
)</f>
        <v>222</v>
      </c>
      <c r="E1594" s="7" t="str">
        <f ca="1" xml:space="preserve">
VLOOKUP(
  $D1594,
  Name!$A:$B,
  2,
  FALSE
)
&amp; " " &amp;
IF($B1594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Lavignia Vieira Aguiar</v>
      </c>
      <c r="F1594" s="7">
        <v>2</v>
      </c>
      <c r="G1594" s="7" cm="1">
        <f t="array" aca="1" ref="G1594" ca="1">INDEX(States!$B:$B,RANDBETWEEN(2,COUNTA(States!$A:$A)),1)</f>
        <v>8</v>
      </c>
      <c r="H1594" s="7" t="str">
        <f ca="1">VLOOKUP($D1594,Name!$A:$C,3,FALSE)</f>
        <v>F</v>
      </c>
      <c r="I1594" s="7" cm="1">
        <f t="array" aca="1" ref="I1594" ca="1">INDEX('Marital status'!$A:$A,RANDBETWEEN(2,COUNTA('Marital status'!$A:$A)),1)</f>
        <v>4</v>
      </c>
      <c r="J1594" s="7">
        <f t="shared" ca="1" si="291"/>
        <v>2</v>
      </c>
      <c r="K1594" s="8">
        <f t="shared" ca="1" si="292"/>
        <v>34335</v>
      </c>
      <c r="L1594" s="6">
        <f t="shared" ca="1" si="293"/>
        <v>4</v>
      </c>
      <c r="M1594" s="7">
        <f ca="1" xml:space="preserve">
  IF(OR($N1594 = 2, $N1594 = 3, $N1594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594" s="6">
        <f t="shared" ca="1" si="294"/>
        <v>7</v>
      </c>
      <c r="O1594" s="6" t="e">
        <f t="shared" ca="1" si="295"/>
        <v>#N/A</v>
      </c>
      <c r="P1594" s="8">
        <f t="shared" ca="1" si="296"/>
        <v>40107</v>
      </c>
      <c r="Q1594" s="6">
        <f ca="1">RANDBETWEEN(2,COUNTA('Recruitment source'!$A:$A))</f>
        <v>10</v>
      </c>
      <c r="R1594" s="8" t="e">
        <f t="shared" ca="1" si="297"/>
        <v>#N/A</v>
      </c>
      <c r="S1594" s="6" t="e">
        <f t="shared" ca="1" si="298"/>
        <v>#N/A</v>
      </c>
      <c r="T1594" s="6">
        <f t="shared" ca="1" si="288"/>
        <v>2</v>
      </c>
      <c r="U1594" s="1">
        <f t="shared" ca="1" si="299"/>
        <v>1085</v>
      </c>
    </row>
    <row r="1595" spans="1:21" x14ac:dyDescent="0.2">
      <c r="A1595" s="7" cm="1">
        <f t="array" aca="1" ref="A1595" ca="1">INDEX(Companies!$A:$A,RANDBETWEEN(2,COUNTA(Companies!$A:$A)),1)</f>
        <v>2</v>
      </c>
      <c r="B1595" s="5">
        <f t="shared" si="289"/>
        <v>1594</v>
      </c>
      <c r="C1595" s="6">
        <f t="shared" ca="1" si="290"/>
        <v>1</v>
      </c>
      <c r="D1595" s="7">
        <f ca="1">IF($B1595 = 1 + N("Presidente"),
    127,
    IF($B1595 = 2 + N("Vice-Presidente"),
        72,
        IF($B1595 = 3 + N("Secretária bilíngue"),
            13,
            RANDBETWEEN(5,COUNT(Name!$A:$A) + 1)
        )
    )
)</f>
        <v>160</v>
      </c>
      <c r="E1595" s="7" t="str">
        <f ca="1" xml:space="preserve">
VLOOKUP(
  $D1595,
  Name!$A:$B,
  2,
  FALSE
)
&amp; " " &amp;
IF($B1595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Hector Araújo Rinaldi</v>
      </c>
      <c r="F1595" s="7">
        <v>2</v>
      </c>
      <c r="G1595" s="7" cm="1">
        <f t="array" aca="1" ref="G1595" ca="1">INDEX(States!$B:$B,RANDBETWEEN(2,COUNTA(States!$A:$A)),1)</f>
        <v>16</v>
      </c>
      <c r="H1595" s="7" t="str">
        <f ca="1">VLOOKUP($D1595,Name!$A:$C,3,FALSE)</f>
        <v>M</v>
      </c>
      <c r="I1595" s="7" cm="1">
        <f t="array" aca="1" ref="I1595" ca="1">INDEX('Marital status'!$A:$A,RANDBETWEEN(2,COUNTA('Marital status'!$A:$A)),1)</f>
        <v>2</v>
      </c>
      <c r="J1595" s="7">
        <f t="shared" ca="1" si="291"/>
        <v>4</v>
      </c>
      <c r="K1595" s="8">
        <f t="shared" ca="1" si="292"/>
        <v>35629</v>
      </c>
      <c r="L1595" s="6">
        <f t="shared" ca="1" si="293"/>
        <v>5</v>
      </c>
      <c r="M1595" s="7">
        <f ca="1" xml:space="preserve">
  IF(OR($N1595 = 2, $N1595 = 3, $N1595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595" s="6">
        <f t="shared" ca="1" si="294"/>
        <v>8</v>
      </c>
      <c r="O1595" s="6">
        <f t="shared" ca="1" si="295"/>
        <v>3</v>
      </c>
      <c r="P1595" s="8">
        <f t="shared" ca="1" si="296"/>
        <v>38527</v>
      </c>
      <c r="Q1595" s="6">
        <f ca="1">RANDBETWEEN(2,COUNTA('Recruitment source'!$A:$A))</f>
        <v>11</v>
      </c>
      <c r="R1595" s="8" t="e">
        <f t="shared" ca="1" si="297"/>
        <v>#N/A</v>
      </c>
      <c r="S1595" s="6" t="e">
        <f t="shared" ca="1" si="298"/>
        <v>#N/A</v>
      </c>
      <c r="T1595" s="6">
        <f t="shared" ca="1" si="288"/>
        <v>3</v>
      </c>
      <c r="U1595" s="1">
        <f t="shared" ca="1" si="299"/>
        <v>2000</v>
      </c>
    </row>
    <row r="1596" spans="1:21" x14ac:dyDescent="0.2">
      <c r="A1596" s="7" cm="1">
        <f t="array" aca="1" ref="A1596" ca="1">INDEX(Companies!$A:$A,RANDBETWEEN(2,COUNTA(Companies!$A:$A)),1)</f>
        <v>2</v>
      </c>
      <c r="B1596" s="5">
        <f t="shared" si="289"/>
        <v>1595</v>
      </c>
      <c r="C1596" s="6">
        <f t="shared" ca="1" si="290"/>
        <v>1</v>
      </c>
      <c r="D1596" s="7">
        <f ca="1">IF($B1596 = 1 + N("Presidente"),
    127,
    IF($B1596 = 2 + N("Vice-Presidente"),
        72,
        IF($B1596 = 3 + N("Secretária bilíngue"),
            13,
            RANDBETWEEN(5,COUNT(Name!$A:$A) + 1)
        )
    )
)</f>
        <v>223</v>
      </c>
      <c r="E1596" s="7" t="str">
        <f ca="1" xml:space="preserve">
VLOOKUP(
  $D1596,
  Name!$A:$B,
  2,
  FALSE
)
&amp; " " &amp;
IF($B1596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Leonardo Bianchi Campos</v>
      </c>
      <c r="F1596" s="7">
        <v>2</v>
      </c>
      <c r="G1596" s="7" cm="1">
        <f t="array" aca="1" ref="G1596" ca="1">INDEX(States!$B:$B,RANDBETWEEN(2,COUNTA(States!$A:$A)),1)</f>
        <v>21</v>
      </c>
      <c r="H1596" s="7" t="str">
        <f ca="1">VLOOKUP($D1596,Name!$A:$C,3,FALSE)</f>
        <v>M</v>
      </c>
      <c r="I1596" s="7" cm="1">
        <f t="array" aca="1" ref="I1596" ca="1">INDEX('Marital status'!$A:$A,RANDBETWEEN(2,COUNTA('Marital status'!$A:$A)),1)</f>
        <v>6</v>
      </c>
      <c r="J1596" s="7">
        <f t="shared" ca="1" si="291"/>
        <v>5</v>
      </c>
      <c r="K1596" s="8">
        <f t="shared" ca="1" si="292"/>
        <v>30224</v>
      </c>
      <c r="L1596" s="6">
        <f t="shared" ca="1" si="293"/>
        <v>4</v>
      </c>
      <c r="M1596" s="7">
        <f ca="1" xml:space="preserve">
  IF(OR($N1596 = 2, $N1596 = 3, $N1596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596" s="6">
        <f t="shared" ca="1" si="294"/>
        <v>6</v>
      </c>
      <c r="O1596" s="6" t="e">
        <f t="shared" ca="1" si="295"/>
        <v>#N/A</v>
      </c>
      <c r="P1596" s="8">
        <f t="shared" ca="1" si="296"/>
        <v>42314</v>
      </c>
      <c r="Q1596" s="6">
        <f ca="1">RANDBETWEEN(2,COUNTA('Recruitment source'!$A:$A))</f>
        <v>7</v>
      </c>
      <c r="R1596" s="8" t="e">
        <f t="shared" ca="1" si="297"/>
        <v>#N/A</v>
      </c>
      <c r="S1596" s="6" t="e">
        <f t="shared" ca="1" si="298"/>
        <v>#N/A</v>
      </c>
      <c r="T1596" s="6">
        <f t="shared" ca="1" si="288"/>
        <v>3</v>
      </c>
      <c r="U1596" s="1">
        <f t="shared" ca="1" si="299"/>
        <v>805</v>
      </c>
    </row>
    <row r="1597" spans="1:21" x14ac:dyDescent="0.2">
      <c r="A1597" s="7" cm="1">
        <f t="array" aca="1" ref="A1597" ca="1">INDEX(Companies!$A:$A,RANDBETWEEN(2,COUNTA(Companies!$A:$A)),1)</f>
        <v>2</v>
      </c>
      <c r="B1597" s="5">
        <f t="shared" si="289"/>
        <v>1596</v>
      </c>
      <c r="C1597" s="6">
        <f t="shared" ca="1" si="290"/>
        <v>1</v>
      </c>
      <c r="D1597" s="7">
        <f ca="1">IF($B1597 = 1 + N("Presidente"),
    127,
    IF($B1597 = 2 + N("Vice-Presidente"),
        72,
        IF($B1597 = 3 + N("Secretária bilíngue"),
            13,
            RANDBETWEEN(5,COUNT(Name!$A:$A) + 1)
        )
    )
)</f>
        <v>298</v>
      </c>
      <c r="E1597" s="7" t="str">
        <f ca="1" xml:space="preserve">
VLOOKUP(
  $D1597,
  Name!$A:$B,
  2,
  FALSE
)
&amp; " " &amp;
IF($B1597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Milena Tavares Santana</v>
      </c>
      <c r="F1597" s="7">
        <v>2</v>
      </c>
      <c r="G1597" s="7" cm="1">
        <f t="array" aca="1" ref="G1597" ca="1">INDEX(States!$B:$B,RANDBETWEEN(2,COUNTA(States!$A:$A)),1)</f>
        <v>19</v>
      </c>
      <c r="H1597" s="7" t="str">
        <f ca="1">VLOOKUP($D1597,Name!$A:$C,3,FALSE)</f>
        <v>F</v>
      </c>
      <c r="I1597" s="7" cm="1">
        <f t="array" aca="1" ref="I1597" ca="1">INDEX('Marital status'!$A:$A,RANDBETWEEN(2,COUNTA('Marital status'!$A:$A)),1)</f>
        <v>5</v>
      </c>
      <c r="J1597" s="7">
        <f t="shared" ca="1" si="291"/>
        <v>2</v>
      </c>
      <c r="K1597" s="8">
        <f t="shared" ca="1" si="292"/>
        <v>33575</v>
      </c>
      <c r="L1597" s="6">
        <f t="shared" ca="1" si="293"/>
        <v>4</v>
      </c>
      <c r="M1597" s="7">
        <f ca="1" xml:space="preserve">
  IF(OR($N1597 = 2, $N1597 = 3, $N1597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597" s="6">
        <f t="shared" ca="1" si="294"/>
        <v>8</v>
      </c>
      <c r="O1597" s="6">
        <f t="shared" ca="1" si="295"/>
        <v>2</v>
      </c>
      <c r="P1597" s="8">
        <f t="shared" ca="1" si="296"/>
        <v>40458</v>
      </c>
      <c r="Q1597" s="6">
        <f ca="1">RANDBETWEEN(2,COUNTA('Recruitment source'!$A:$A))</f>
        <v>9</v>
      </c>
      <c r="R1597" s="8" t="e">
        <f t="shared" ca="1" si="297"/>
        <v>#N/A</v>
      </c>
      <c r="S1597" s="6" t="e">
        <f t="shared" ca="1" si="298"/>
        <v>#N/A</v>
      </c>
      <c r="T1597" s="6">
        <f t="shared" ca="1" si="288"/>
        <v>5</v>
      </c>
      <c r="U1597" s="1">
        <f t="shared" ca="1" si="299"/>
        <v>2050</v>
      </c>
    </row>
    <row r="1598" spans="1:21" x14ac:dyDescent="0.2">
      <c r="A1598" s="7" cm="1">
        <f t="array" aca="1" ref="A1598" ca="1">INDEX(Companies!$A:$A,RANDBETWEEN(2,COUNTA(Companies!$A:$A)),1)</f>
        <v>2</v>
      </c>
      <c r="B1598" s="5">
        <f t="shared" si="289"/>
        <v>1597</v>
      </c>
      <c r="C1598" s="6">
        <f t="shared" ca="1" si="290"/>
        <v>1</v>
      </c>
      <c r="D1598" s="7">
        <f ca="1">IF($B1598 = 1 + N("Presidente"),
    127,
    IF($B1598 = 2 + N("Vice-Presidente"),
        72,
        IF($B1598 = 3 + N("Secretária bilíngue"),
            13,
            RANDBETWEEN(5,COUNT(Name!$A:$A) + 1)
        )
    )
)</f>
        <v>294</v>
      </c>
      <c r="E1598" s="7" t="str">
        <f ca="1" xml:space="preserve">
VLOOKUP(
  $D1598,
  Name!$A:$B,
  2,
  FALSE
)
&amp; " " &amp;
IF($B1598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Michel Alves Colombo</v>
      </c>
      <c r="F1598" s="7">
        <v>2</v>
      </c>
      <c r="G1598" s="7" cm="1">
        <f t="array" aca="1" ref="G1598" ca="1">INDEX(States!$B:$B,RANDBETWEEN(2,COUNTA(States!$A:$A)),1)</f>
        <v>3</v>
      </c>
      <c r="H1598" s="7" t="str">
        <f ca="1">VLOOKUP($D1598,Name!$A:$C,3,FALSE)</f>
        <v>M</v>
      </c>
      <c r="I1598" s="7" cm="1">
        <f t="array" aca="1" ref="I1598" ca="1">INDEX('Marital status'!$A:$A,RANDBETWEEN(2,COUNTA('Marital status'!$A:$A)),1)</f>
        <v>3</v>
      </c>
      <c r="J1598" s="7">
        <f t="shared" ca="1" si="291"/>
        <v>2</v>
      </c>
      <c r="K1598" s="8">
        <f t="shared" ca="1" si="292"/>
        <v>23244</v>
      </c>
      <c r="L1598" s="6">
        <f t="shared" ca="1" si="293"/>
        <v>4</v>
      </c>
      <c r="M1598" s="7">
        <f ca="1" xml:space="preserve">
  IF(OR($N1598 = 2, $N1598 = 3, $N1598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598" s="6">
        <f t="shared" ca="1" si="294"/>
        <v>6</v>
      </c>
      <c r="O1598" s="6" t="e">
        <f t="shared" ca="1" si="295"/>
        <v>#N/A</v>
      </c>
      <c r="P1598" s="8">
        <f t="shared" ca="1" si="296"/>
        <v>39358</v>
      </c>
      <c r="Q1598" s="6">
        <f ca="1">RANDBETWEEN(2,COUNTA('Recruitment source'!$A:$A))</f>
        <v>5</v>
      </c>
      <c r="R1598" s="8" t="e">
        <f t="shared" ca="1" si="297"/>
        <v>#N/A</v>
      </c>
      <c r="S1598" s="6" t="e">
        <f t="shared" ca="1" si="298"/>
        <v>#N/A</v>
      </c>
      <c r="T1598" s="6">
        <f t="shared" ca="1" si="288"/>
        <v>5</v>
      </c>
      <c r="U1598" s="1">
        <f t="shared" ca="1" si="299"/>
        <v>805</v>
      </c>
    </row>
    <row r="1599" spans="1:21" x14ac:dyDescent="0.2">
      <c r="A1599" s="7" cm="1">
        <f t="array" aca="1" ref="A1599" ca="1">INDEX(Companies!$A:$A,RANDBETWEEN(2,COUNTA(Companies!$A:$A)),1)</f>
        <v>2</v>
      </c>
      <c r="B1599" s="5">
        <f t="shared" si="289"/>
        <v>1598</v>
      </c>
      <c r="C1599" s="6">
        <f t="shared" ca="1" si="290"/>
        <v>1</v>
      </c>
      <c r="D1599" s="7">
        <f ca="1">IF($B1599 = 1 + N("Presidente"),
    127,
    IF($B1599 = 2 + N("Vice-Presidente"),
        72,
        IF($B1599 = 3 + N("Secretária bilíngue"),
            13,
            RANDBETWEEN(5,COUNT(Name!$A:$A) + 1)
        )
    )
)</f>
        <v>221</v>
      </c>
      <c r="E1599" s="7" t="str">
        <f ca="1" xml:space="preserve">
VLOOKUP(
  $D1599,
  Name!$A:$B,
  2,
  FALSE
)
&amp; " " &amp;
IF($B1599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Lavínia Giordano Camargo</v>
      </c>
      <c r="F1599" s="7">
        <v>2</v>
      </c>
      <c r="G1599" s="7" cm="1">
        <f t="array" aca="1" ref="G1599" ca="1">INDEX(States!$B:$B,RANDBETWEEN(2,COUNTA(States!$A:$A)),1)</f>
        <v>18</v>
      </c>
      <c r="H1599" s="7" t="str">
        <f ca="1">VLOOKUP($D1599,Name!$A:$C,3,FALSE)</f>
        <v>F</v>
      </c>
      <c r="I1599" s="7" cm="1">
        <f t="array" aca="1" ref="I1599" ca="1">INDEX('Marital status'!$A:$A,RANDBETWEEN(2,COUNTA('Marital status'!$A:$A)),1)</f>
        <v>6</v>
      </c>
      <c r="J1599" s="7">
        <f t="shared" ca="1" si="291"/>
        <v>2</v>
      </c>
      <c r="K1599" s="8">
        <f t="shared" ca="1" si="292"/>
        <v>38045</v>
      </c>
      <c r="L1599" s="6">
        <f t="shared" ca="1" si="293"/>
        <v>5</v>
      </c>
      <c r="M1599" s="7">
        <f ca="1" xml:space="preserve">
  IF(OR($N1599 = 2, $N1599 = 3, $N1599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599" s="6">
        <f t="shared" ca="1" si="294"/>
        <v>8</v>
      </c>
      <c r="O1599" s="6">
        <f t="shared" ca="1" si="295"/>
        <v>2</v>
      </c>
      <c r="P1599" s="8">
        <f t="shared" ca="1" si="296"/>
        <v>44838</v>
      </c>
      <c r="Q1599" s="6">
        <f ca="1">RANDBETWEEN(2,COUNTA('Recruitment source'!$A:$A))</f>
        <v>2</v>
      </c>
      <c r="R1599" s="8" t="e">
        <f t="shared" ca="1" si="297"/>
        <v>#N/A</v>
      </c>
      <c r="S1599" s="6" t="e">
        <f t="shared" ca="1" si="298"/>
        <v>#N/A</v>
      </c>
      <c r="T1599" s="6">
        <f t="shared" ca="1" si="288"/>
        <v>4</v>
      </c>
      <c r="U1599" s="1">
        <f t="shared" ca="1" si="299"/>
        <v>2000</v>
      </c>
    </row>
    <row r="1600" spans="1:21" x14ac:dyDescent="0.2">
      <c r="A1600" s="7" cm="1">
        <f t="array" aca="1" ref="A1600" ca="1">INDEX(Companies!$A:$A,RANDBETWEEN(2,COUNTA(Companies!$A:$A)),1)</f>
        <v>2</v>
      </c>
      <c r="B1600" s="5">
        <f t="shared" si="289"/>
        <v>1599</v>
      </c>
      <c r="C1600" s="6">
        <f t="shared" ca="1" si="290"/>
        <v>1</v>
      </c>
      <c r="D1600" s="7">
        <f ca="1">IF($B1600 = 1 + N("Presidente"),
    127,
    IF($B1600 = 2 + N("Vice-Presidente"),
        72,
        IF($B1600 = 3 + N("Secretária bilíngue"),
            13,
            RANDBETWEEN(5,COUNT(Name!$A:$A) + 1)
        )
    )
)</f>
        <v>184</v>
      </c>
      <c r="E1600" s="7" t="str">
        <f ca="1" xml:space="preserve">
VLOOKUP(
  $D1600,
  Name!$A:$B,
  2,
  FALSE
)
&amp; " " &amp;
IF($B1600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Joanna Barros Cunha</v>
      </c>
      <c r="F1600" s="7">
        <v>2</v>
      </c>
      <c r="G1600" s="7" cm="1">
        <f t="array" aca="1" ref="G1600" ca="1">INDEX(States!$B:$B,RANDBETWEEN(2,COUNTA(States!$A:$A)),1)</f>
        <v>16</v>
      </c>
      <c r="H1600" s="7" t="str">
        <f ca="1">VLOOKUP($D1600,Name!$A:$C,3,FALSE)</f>
        <v>F</v>
      </c>
      <c r="I1600" s="7" cm="1">
        <f t="array" aca="1" ref="I1600" ca="1">INDEX('Marital status'!$A:$A,RANDBETWEEN(2,COUNTA('Marital status'!$A:$A)),1)</f>
        <v>6</v>
      </c>
      <c r="J1600" s="7">
        <f t="shared" ca="1" si="291"/>
        <v>2</v>
      </c>
      <c r="K1600" s="8">
        <f t="shared" ca="1" si="292"/>
        <v>32451</v>
      </c>
      <c r="L1600" s="6">
        <f t="shared" ca="1" si="293"/>
        <v>4</v>
      </c>
      <c r="M1600" s="7">
        <f ca="1" xml:space="preserve">
  IF(OR($N1600 = 2, $N1600 = 3, $N1600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600" s="6">
        <f t="shared" ca="1" si="294"/>
        <v>6</v>
      </c>
      <c r="O1600" s="6" t="e">
        <f t="shared" ca="1" si="295"/>
        <v>#N/A</v>
      </c>
      <c r="P1600" s="8">
        <f t="shared" ca="1" si="296"/>
        <v>40948</v>
      </c>
      <c r="Q1600" s="6">
        <f ca="1">RANDBETWEEN(2,COUNTA('Recruitment source'!$A:$A))</f>
        <v>4</v>
      </c>
      <c r="R1600" s="8" t="e">
        <f t="shared" ca="1" si="297"/>
        <v>#N/A</v>
      </c>
      <c r="S1600" s="6" t="e">
        <f t="shared" ca="1" si="298"/>
        <v>#N/A</v>
      </c>
      <c r="T1600" s="6">
        <f t="shared" ca="1" si="288"/>
        <v>5</v>
      </c>
      <c r="U1600" s="1">
        <f t="shared" ca="1" si="299"/>
        <v>885</v>
      </c>
    </row>
    <row r="1601" spans="1:21" x14ac:dyDescent="0.2">
      <c r="A1601" s="7" cm="1">
        <f t="array" aca="1" ref="A1601" ca="1">INDEX(Companies!$A:$A,RANDBETWEEN(2,COUNTA(Companies!$A:$A)),1)</f>
        <v>2</v>
      </c>
      <c r="B1601" s="5">
        <f t="shared" si="289"/>
        <v>1600</v>
      </c>
      <c r="C1601" s="6">
        <f t="shared" ca="1" si="290"/>
        <v>1</v>
      </c>
      <c r="D1601" s="7">
        <f ca="1">IF($B1601 = 1 + N("Presidente"),
    127,
    IF($B1601 = 2 + N("Vice-Presidente"),
        72,
        IF($B1601 = 3 + N("Secretária bilíngue"),
            13,
            RANDBETWEEN(5,COUNT(Name!$A:$A) + 1)
        )
    )
)</f>
        <v>197</v>
      </c>
      <c r="E1601" s="7" t="str">
        <f ca="1" xml:space="preserve">
VLOOKUP(
  $D1601,
  Name!$A:$B,
  2,
  FALSE
)
&amp; " " &amp;
IF($B1601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Sacramento Garcia</v>
      </c>
      <c r="F1601" s="7">
        <v>2</v>
      </c>
      <c r="G1601" s="7" cm="1">
        <f t="array" aca="1" ref="G1601" ca="1">INDEX(States!$B:$B,RANDBETWEEN(2,COUNTA(States!$A:$A)),1)</f>
        <v>8</v>
      </c>
      <c r="H1601" s="7" t="str">
        <f ca="1">VLOOKUP($D1601,Name!$A:$C,3,FALSE)</f>
        <v>M</v>
      </c>
      <c r="I1601" s="7" cm="1">
        <f t="array" aca="1" ref="I1601" ca="1">INDEX('Marital status'!$A:$A,RANDBETWEEN(2,COUNTA('Marital status'!$A:$A)),1)</f>
        <v>4</v>
      </c>
      <c r="J1601" s="7">
        <f t="shared" ca="1" si="291"/>
        <v>2</v>
      </c>
      <c r="K1601" s="8">
        <f t="shared" ca="1" si="292"/>
        <v>36794</v>
      </c>
      <c r="L1601" s="6">
        <f t="shared" ca="1" si="293"/>
        <v>5</v>
      </c>
      <c r="M1601" s="7">
        <f ca="1" xml:space="preserve">
  IF(OR($N1601 = 2, $N1601 = 3, $N1601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601" s="6">
        <f t="shared" ca="1" si="294"/>
        <v>8</v>
      </c>
      <c r="O1601" s="6">
        <f t="shared" ca="1" si="295"/>
        <v>3</v>
      </c>
      <c r="P1601" s="8">
        <f t="shared" ca="1" si="296"/>
        <v>39400</v>
      </c>
      <c r="Q1601" s="6">
        <f ca="1">RANDBETWEEN(2,COUNTA('Recruitment source'!$A:$A))</f>
        <v>9</v>
      </c>
      <c r="R1601" s="8" t="e">
        <f t="shared" ca="1" si="297"/>
        <v>#N/A</v>
      </c>
      <c r="S1601" s="6" t="e">
        <f t="shared" ca="1" si="298"/>
        <v>#N/A</v>
      </c>
      <c r="T1601" s="6">
        <f t="shared" ca="1" si="288"/>
        <v>5</v>
      </c>
      <c r="U1601" s="1">
        <f t="shared" ca="1" si="299"/>
        <v>2000</v>
      </c>
    </row>
    <row r="1602" spans="1:21" x14ac:dyDescent="0.2">
      <c r="A1602" s="7" cm="1">
        <f t="array" aca="1" ref="A1602" ca="1">INDEX(Companies!$A:$A,RANDBETWEEN(2,COUNTA(Companies!$A:$A)),1)</f>
        <v>2</v>
      </c>
      <c r="B1602" s="5">
        <f t="shared" si="289"/>
        <v>1601</v>
      </c>
      <c r="C1602" s="6">
        <f t="shared" ca="1" si="290"/>
        <v>1</v>
      </c>
      <c r="D1602" s="7">
        <f ca="1">IF($B1602 = 1 + N("Presidente"),
    127,
    IF($B1602 = 2 + N("Vice-Presidente"),
        72,
        IF($B1602 = 3 + N("Secretária bilíngue"),
            13,
            RANDBETWEEN(5,COUNT(Name!$A:$A) + 1)
        )
    )
)</f>
        <v>319</v>
      </c>
      <c r="E1602" s="7" t="str">
        <f ca="1" xml:space="preserve">
VLOOKUP(
  $D1602,
  Name!$A:$B,
  2,
  FALSE
)
&amp; " " &amp;
IF($B1602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Miguel Oliveira Pellegrini</v>
      </c>
      <c r="F1602" s="7">
        <v>2</v>
      </c>
      <c r="G1602" s="7" cm="1">
        <f t="array" aca="1" ref="G1602" ca="1">INDEX(States!$B:$B,RANDBETWEEN(2,COUNTA(States!$A:$A)),1)</f>
        <v>13</v>
      </c>
      <c r="H1602" s="7" t="str">
        <f ca="1">VLOOKUP($D1602,Name!$A:$C,3,FALSE)</f>
        <v>M</v>
      </c>
      <c r="I1602" s="7" cm="1">
        <f t="array" aca="1" ref="I1602" ca="1">INDEX('Marital status'!$A:$A,RANDBETWEEN(2,COUNTA('Marital status'!$A:$A)),1)</f>
        <v>2</v>
      </c>
      <c r="J1602" s="7">
        <f t="shared" ca="1" si="291"/>
        <v>2</v>
      </c>
      <c r="K1602" s="8">
        <f t="shared" ca="1" si="292"/>
        <v>32694</v>
      </c>
      <c r="L1602" s="6">
        <f t="shared" ca="1" si="293"/>
        <v>4</v>
      </c>
      <c r="M1602" s="7">
        <f ca="1" xml:space="preserve">
  IF(OR($N1602 = 2, $N1602 = 3, $N1602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602" s="6">
        <f t="shared" ca="1" si="294"/>
        <v>7</v>
      </c>
      <c r="O1602" s="6" t="e">
        <f t="shared" ca="1" si="295"/>
        <v>#N/A</v>
      </c>
      <c r="P1602" s="8">
        <f t="shared" ca="1" si="296"/>
        <v>39778</v>
      </c>
      <c r="Q1602" s="6">
        <f ca="1">RANDBETWEEN(2,COUNTA('Recruitment source'!$A:$A))</f>
        <v>8</v>
      </c>
      <c r="R1602" s="8" t="e">
        <f t="shared" ca="1" si="297"/>
        <v>#N/A</v>
      </c>
      <c r="S1602" s="6" t="e">
        <f t="shared" ca="1" si="298"/>
        <v>#N/A</v>
      </c>
      <c r="T1602" s="6">
        <f t="shared" ref="T1602:T1665" ca="1" si="300" xml:space="preserve">
IF(
 ISNA($R1602),
 IF(
   $N1602 = 2,
   5,
   IF(
     OR($N1602=3,$N1602=4,$N1602=5),
     RANDBETWEEN(4,5),
     IF(
       OR($N1602=11,$N1602=12),
       RANDBETWEEN(3,5),
       RANDBETWEEN(2,5)
     )
   )
 ),
 RANDBETWEEN(1,3)
)</f>
        <v>4</v>
      </c>
      <c r="U1602" s="1">
        <f t="shared" ca="1" si="299"/>
        <v>1005</v>
      </c>
    </row>
    <row r="1603" spans="1:21" x14ac:dyDescent="0.2">
      <c r="A1603" s="7" cm="1">
        <f t="array" aca="1" ref="A1603" ca="1">INDEX(Companies!$A:$A,RANDBETWEEN(2,COUNTA(Companies!$A:$A)),1)</f>
        <v>2</v>
      </c>
      <c r="B1603" s="5">
        <f t="shared" ref="B1603:B1666" si="301">ROW() - 1</f>
        <v>1602</v>
      </c>
      <c r="C1603" s="6">
        <f t="shared" ref="C1603:C1666" ca="1" si="302">IF(ISNA($R1603),1,0)</f>
        <v>1</v>
      </c>
      <c r="D1603" s="7">
        <f ca="1">IF($B1603 = 1 + N("Presidente"),
    127,
    IF($B1603 = 2 + N("Vice-Presidente"),
        72,
        IF($B1603 = 3 + N("Secretária bilíngue"),
            13,
            RANDBETWEEN(5,COUNT(Name!$A:$A) + 1)
        )
    )
)</f>
        <v>243</v>
      </c>
      <c r="E1603" s="7" t="str">
        <f ca="1" xml:space="preserve">
VLOOKUP(
  $D1603,
  Name!$A:$B,
  2,
  FALSE
)
&amp; " " &amp;
IF($B1603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Felipe Mendes Botelho</v>
      </c>
      <c r="F1603" s="7">
        <v>2</v>
      </c>
      <c r="G1603" s="7" cm="1">
        <f t="array" aca="1" ref="G1603" ca="1">INDEX(States!$B:$B,RANDBETWEEN(2,COUNTA(States!$A:$A)),1)</f>
        <v>18</v>
      </c>
      <c r="H1603" s="7" t="str">
        <f ca="1">VLOOKUP($D1603,Name!$A:$C,3,FALSE)</f>
        <v>M</v>
      </c>
      <c r="I1603" s="7" cm="1">
        <f t="array" aca="1" ref="I1603" ca="1">INDEX('Marital status'!$A:$A,RANDBETWEEN(2,COUNTA('Marital status'!$A:$A)),1)</f>
        <v>5</v>
      </c>
      <c r="J1603" s="7">
        <f t="shared" ref="J1603:J1666" ca="1" si="303" xml:space="preserve">
IF(AND($N1603 &gt;= 2, $N1603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3</v>
      </c>
      <c r="K1603" s="8">
        <f t="shared" ref="K1603:K1666" ca="1" si="304" xml:space="preserve">
IF($N1603 = 5 + N("CEO"),
    TODAY() - 16340,
    IF($N1603 = 8 + N("Secretary"),
        RANDBETWEEN(TODAY() - 12418.5, TODAY()-6574.5),
        IF(OR($N1603 = 7, $N1603 = 14),
            RANDBETWEEN(TODAY() - 16071, TODAY() - 8766),
            IF(OR($N1603 = 13, $N1603 = 12, $N1603 = 11),
                RANDBETWEEN(TODAY() - 27393.75, TODAY() - 12783.75),
                RANDBETWEEN(TODAY() - 27393.75, TODAY()-10957.5)
            )
        )
    )
)</f>
        <v>37762</v>
      </c>
      <c r="L1603" s="6">
        <f t="shared" ref="L1603:L1666" ca="1" si="305" xml:space="preserve">
IF(OR($N1603 = 2, $N1603 = 3) + N("Se for presidente ou vice-presidente"),
    7 + N("Doutor"),
    IF($N1603 = 4 + N("Se for diretor"),
        RANDBETWEEN(5,7) + N("Graduate school or Master’s degree or Doctorate"),
        IF($N1603 = 11 + N("Se for gerente"),
            RANDBETWEEN(4,6) + N("Undergraduate degree or Graduate school or Master’s degree"),
            IF(AND($N1603 &gt;= 8, $N1603 &lt;= 10) + N("If coordinator or specialist or analyst"),
                RANDBETWEEN(4,5),
                4
            )
        )
    )
)</f>
        <v>5</v>
      </c>
      <c r="M1603" s="7">
        <f ca="1" xml:space="preserve">
  IF(OR($N1603 = 2, $N1603 = 3, $N1603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603" s="6">
        <f t="shared" ref="N1603:N1666" ca="1" si="306" xml:space="preserve">
IF($B1603 = 1 + N("Se matrícula for 1"),
  2 + N("Presidente"),
  IF($B1603 = 2 + N("Se matrícula for 2"),
    3 + N("Vice-presidente"),
    IF($B1603 = 3 + N("Se matrícula for 3"),
      5 + N("Secretária bilíngue"),
      IF(AND($B1603 &gt;= 4, $B1603 &lt;=14),
        4 + N("Diretor"),
        IF(AND($B1603 &gt;= 15, $B1603 &lt;= 25),
          11 + N("Manager"),
          IF(AND($B1603 &gt;= 26, $B1603 &lt;= 36),
            10 + N("Coordinador"),
            IF(AND($B1603 &gt;= 37, $B1603 &lt;= 47),
              9 + N("Especialista"),
                IF(MOD($B1603,2) = 0,
                  8 + N("Analista"),
                  RANDBETWEEN(6,7) + N("Estagiário ou Trainee")
                )
            )
          )
        )
      )
    )
  )
)</f>
        <v>8</v>
      </c>
      <c r="O1603" s="6">
        <f t="shared" ref="O1603:O1666" ca="1" si="307" xml:space="preserve">
IF($N1603 =8 + N("Analyst"),
    RANDBETWEEN(2, 4) + N("Jr, Pleno, Sr"),
    NA()
)</f>
        <v>3</v>
      </c>
      <c r="P1603" s="8">
        <f t="shared" ref="P1603:P1666" ca="1" si="308" xml:space="preserve">
IF(
   $N1603=2 + N("Presidente"),
   36161,
   IF(
       OR(
         $N1603=3 + N("Vice-Presidente"),
         $N1603=4 + N("Diretor"),
         $N1603=5 + N("Secretária bilíngue")
       ),
       RANDBETWEEN(36161,36411),
       IF(
         ((TODAY() - $K1603) / 365) &lt; 19,
         TODAY(),
         RANDBETWEEN(36161,TODAY())
       )
   )
)</f>
        <v>44497</v>
      </c>
      <c r="Q1603" s="6">
        <f ca="1">RANDBETWEEN(2,COUNTA('Recruitment source'!$A:$A))</f>
        <v>4</v>
      </c>
      <c r="R1603" s="8" t="e">
        <f t="shared" ref="R1603:R1666" ca="1" si="309" xml:space="preserve">
IF(MOD(
     ROW(),111
   )=0,
   RANDBETWEEN($P1603 + 1,TODAY() - 1),NA()
)</f>
        <v>#N/A</v>
      </c>
      <c r="S1603" s="6" t="e">
        <f t="shared" ref="S1603:S1666" ca="1" si="310" xml:space="preserve">
IF(
  ISNA(R1603),
  NA(),
  RANDBETWEEN(2,IF($H1603="F",10,9))
)</f>
        <v>#N/A</v>
      </c>
      <c r="T1603" s="6">
        <f t="shared" ca="1" si="300"/>
        <v>3</v>
      </c>
      <c r="U1603" s="1">
        <f t="shared" ref="U1603:U1666" ca="1" si="311" xml:space="preserve">
IF($N1603 = 2 + N("Presidente"),
    25000,
    IF($N1603 = 3 + N("Vice-presidente"),
        23000,
        IF(OR($N1603 = 5, $N1603= 10, $N1603 = 9) + N("Secretária bilíngue ou coordenador ou especialista"),
            8000,
            IF($N1603 = 4 + N("Diretor"),
                15000,
                IF($N1603 = 11 + N("Gerente"),
                    12000,
                    IF($N1603 = 6 + N("Estagiário"),
                        805,
                        IF($N1603 = 7 + N("Trainee"),
                            1005,
                            IF($N1603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IF($L1603 = 7,
  100,
  IF($L1603 = 8,
    200,
    IF($L1603 = 9,
      300,
      IF($L1603 = 10,
        400,
        0
      )
    )
  )
)
+
N("Adicional no salário por área")
+
IF($M1603 = 14 + N("Tecnologia da Informação"),
  120,
  IF($M1603 = 16 + N("Vendas"),
    110,
    IF($M1603 = 15 + N("Jurídico"),
      100,
      IF(OR($M1603 = 8, $M1603 = 9, $M1603 = 11) + N("Recursos humanos ou comercial ou comunicação e marketing"),
        80,
        0
      )
    )
  )
)
+
N("Adicionando pegadinha")
+
IF(AND($M1603 = 13, $N1603 = 8) + N("Se for de vendas e analista"),
  IF($J1603 = 2,
    50,
    0
  )
  +
  IF($H1603 = "M",
    50,
    0
  ),
  0
)</f>
        <v>2080</v>
      </c>
    </row>
    <row r="1604" spans="1:21" x14ac:dyDescent="0.2">
      <c r="A1604" s="7" cm="1">
        <f t="array" aca="1" ref="A1604" ca="1">INDEX(Companies!$A:$A,RANDBETWEEN(2,COUNTA(Companies!$A:$A)),1)</f>
        <v>2</v>
      </c>
      <c r="B1604" s="5">
        <f t="shared" si="301"/>
        <v>1603</v>
      </c>
      <c r="C1604" s="6">
        <f t="shared" ca="1" si="302"/>
        <v>1</v>
      </c>
      <c r="D1604" s="7">
        <f ca="1">IF($B1604 = 1 + N("Presidente"),
    127,
    IF($B1604 = 2 + N("Vice-Presidente"),
        72,
        IF($B1604 = 3 + N("Secretária bilíngue"),
            13,
            RANDBETWEEN(5,COUNT(Name!$A:$A) + 1)
        )
    )
)</f>
        <v>363</v>
      </c>
      <c r="E1604" s="7" t="str">
        <f ca="1" xml:space="preserve">
VLOOKUP(
  $D1604,
  Name!$A:$B,
  2,
  FALSE
)
&amp; " " &amp;
IF($B1604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Yago Leite Pasquim</v>
      </c>
      <c r="F1604" s="7">
        <v>2</v>
      </c>
      <c r="G1604" s="7" cm="1">
        <f t="array" aca="1" ref="G1604" ca="1">INDEX(States!$B:$B,RANDBETWEEN(2,COUNTA(States!$A:$A)),1)</f>
        <v>3</v>
      </c>
      <c r="H1604" s="7" t="str">
        <f ca="1">VLOOKUP($D1604,Name!$A:$C,3,FALSE)</f>
        <v>M</v>
      </c>
      <c r="I1604" s="7" cm="1">
        <f t="array" aca="1" ref="I1604" ca="1">INDEX('Marital status'!$A:$A,RANDBETWEEN(2,COUNTA('Marital status'!$A:$A)),1)</f>
        <v>5</v>
      </c>
      <c r="J1604" s="7">
        <f t="shared" ca="1" si="303"/>
        <v>2</v>
      </c>
      <c r="K1604" s="8">
        <f t="shared" ca="1" si="304"/>
        <v>31719</v>
      </c>
      <c r="L1604" s="6">
        <f t="shared" ca="1" si="305"/>
        <v>4</v>
      </c>
      <c r="M1604" s="7">
        <f ca="1" xml:space="preserve">
  IF(OR($N1604 = 2, $N1604 = 3, $N1604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604" s="6">
        <f t="shared" ca="1" si="306"/>
        <v>6</v>
      </c>
      <c r="O1604" s="6" t="e">
        <f t="shared" ca="1" si="307"/>
        <v>#N/A</v>
      </c>
      <c r="P1604" s="8">
        <f t="shared" ca="1" si="308"/>
        <v>44119</v>
      </c>
      <c r="Q1604" s="6">
        <f ca="1">RANDBETWEEN(2,COUNTA('Recruitment source'!$A:$A))</f>
        <v>10</v>
      </c>
      <c r="R1604" s="8" t="e">
        <f t="shared" ca="1" si="309"/>
        <v>#N/A</v>
      </c>
      <c r="S1604" s="6" t="e">
        <f t="shared" ca="1" si="310"/>
        <v>#N/A</v>
      </c>
      <c r="T1604" s="6">
        <f t="shared" ca="1" si="300"/>
        <v>4</v>
      </c>
      <c r="U1604" s="1">
        <f t="shared" ca="1" si="311"/>
        <v>805</v>
      </c>
    </row>
    <row r="1605" spans="1:21" x14ac:dyDescent="0.2">
      <c r="A1605" s="7" cm="1">
        <f t="array" aca="1" ref="A1605" ca="1">INDEX(Companies!$A:$A,RANDBETWEEN(2,COUNTA(Companies!$A:$A)),1)</f>
        <v>2</v>
      </c>
      <c r="B1605" s="5">
        <f t="shared" si="301"/>
        <v>1604</v>
      </c>
      <c r="C1605" s="6">
        <f t="shared" ca="1" si="302"/>
        <v>1</v>
      </c>
      <c r="D1605" s="7">
        <f ca="1">IF($B1605 = 1 + N("Presidente"),
    127,
    IF($B1605 = 2 + N("Vice-Presidente"),
        72,
        IF($B1605 = 3 + N("Secretária bilíngue"),
            13,
            RANDBETWEEN(5,COUNT(Name!$A:$A) + 1)
        )
    )
)</f>
        <v>142</v>
      </c>
      <c r="E1605" s="7" t="str">
        <f ca="1" xml:space="preserve">
VLOOKUP(
  $D1605,
  Name!$A:$B,
  2,
  FALSE
)
&amp; " " &amp;
IF($B1605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Flaviano Pimenta Colombo</v>
      </c>
      <c r="F1605" s="7">
        <v>2</v>
      </c>
      <c r="G1605" s="7" cm="1">
        <f t="array" aca="1" ref="G1605" ca="1">INDEX(States!$B:$B,RANDBETWEEN(2,COUNTA(States!$A:$A)),1)</f>
        <v>15</v>
      </c>
      <c r="H1605" s="7" t="str">
        <f ca="1">VLOOKUP($D1605,Name!$A:$C,3,FALSE)</f>
        <v>M</v>
      </c>
      <c r="I1605" s="7" cm="1">
        <f t="array" aca="1" ref="I1605" ca="1">INDEX('Marital status'!$A:$A,RANDBETWEEN(2,COUNTA('Marital status'!$A:$A)),1)</f>
        <v>3</v>
      </c>
      <c r="J1605" s="7">
        <f t="shared" ca="1" si="303"/>
        <v>2</v>
      </c>
      <c r="K1605" s="8">
        <f t="shared" ca="1" si="304"/>
        <v>34944</v>
      </c>
      <c r="L1605" s="6">
        <f t="shared" ca="1" si="305"/>
        <v>4</v>
      </c>
      <c r="M1605" s="7">
        <f ca="1" xml:space="preserve">
  IF(OR($N1605 = 2, $N1605 = 3, $N1605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605" s="6">
        <f t="shared" ca="1" si="306"/>
        <v>8</v>
      </c>
      <c r="O1605" s="6">
        <f t="shared" ca="1" si="307"/>
        <v>2</v>
      </c>
      <c r="P1605" s="8">
        <f t="shared" ca="1" si="308"/>
        <v>39117</v>
      </c>
      <c r="Q1605" s="6">
        <f ca="1">RANDBETWEEN(2,COUNTA('Recruitment source'!$A:$A))</f>
        <v>2</v>
      </c>
      <c r="R1605" s="8" t="e">
        <f t="shared" ca="1" si="309"/>
        <v>#N/A</v>
      </c>
      <c r="S1605" s="6" t="e">
        <f t="shared" ca="1" si="310"/>
        <v>#N/A</v>
      </c>
      <c r="T1605" s="6">
        <f t="shared" ca="1" si="300"/>
        <v>5</v>
      </c>
      <c r="U1605" s="1">
        <f t="shared" ca="1" si="311"/>
        <v>2080</v>
      </c>
    </row>
    <row r="1606" spans="1:21" x14ac:dyDescent="0.2">
      <c r="A1606" s="7" cm="1">
        <f t="array" aca="1" ref="A1606" ca="1">INDEX(Companies!$A:$A,RANDBETWEEN(2,COUNTA(Companies!$A:$A)),1)</f>
        <v>2</v>
      </c>
      <c r="B1606" s="5">
        <f t="shared" si="301"/>
        <v>1605</v>
      </c>
      <c r="C1606" s="6">
        <f t="shared" ca="1" si="302"/>
        <v>1</v>
      </c>
      <c r="D1606" s="7">
        <f ca="1">IF($B1606 = 1 + N("Presidente"),
    127,
    IF($B1606 = 2 + N("Vice-Presidente"),
        72,
        IF($B1606 = 3 + N("Secretária bilíngue"),
            13,
            RANDBETWEEN(5,COUNT(Name!$A:$A) + 1)
        )
    )
)</f>
        <v>21</v>
      </c>
      <c r="E1606" s="7" t="str">
        <f ca="1" xml:space="preserve">
VLOOKUP(
  $D1606,
  Name!$A:$B,
  2,
  FALSE
)
&amp; " " &amp;
IF($B1606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Allana Medeiros Pedroso</v>
      </c>
      <c r="F1606" s="7">
        <v>2</v>
      </c>
      <c r="G1606" s="7" cm="1">
        <f t="array" aca="1" ref="G1606" ca="1">INDEX(States!$B:$B,RANDBETWEEN(2,COUNTA(States!$A:$A)),1)</f>
        <v>13</v>
      </c>
      <c r="H1606" s="7" t="str">
        <f ca="1">VLOOKUP($D1606,Name!$A:$C,3,FALSE)</f>
        <v>F</v>
      </c>
      <c r="I1606" s="7" cm="1">
        <f t="array" aca="1" ref="I1606" ca="1">INDEX('Marital status'!$A:$A,RANDBETWEEN(2,COUNTA('Marital status'!$A:$A)),1)</f>
        <v>2</v>
      </c>
      <c r="J1606" s="7">
        <f t="shared" ca="1" si="303"/>
        <v>4</v>
      </c>
      <c r="K1606" s="8">
        <f t="shared" ca="1" si="304"/>
        <v>25930</v>
      </c>
      <c r="L1606" s="6">
        <f t="shared" ca="1" si="305"/>
        <v>4</v>
      </c>
      <c r="M1606" s="7">
        <f ca="1" xml:space="preserve">
  IF(OR($N1606 = 2, $N1606 = 3, $N1606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606" s="6">
        <f t="shared" ca="1" si="306"/>
        <v>6</v>
      </c>
      <c r="O1606" s="6" t="e">
        <f t="shared" ca="1" si="307"/>
        <v>#N/A</v>
      </c>
      <c r="P1606" s="8">
        <f t="shared" ca="1" si="308"/>
        <v>38435</v>
      </c>
      <c r="Q1606" s="6">
        <f ca="1">RANDBETWEEN(2,COUNTA('Recruitment source'!$A:$A))</f>
        <v>6</v>
      </c>
      <c r="R1606" s="8" t="e">
        <f t="shared" ca="1" si="309"/>
        <v>#N/A</v>
      </c>
      <c r="S1606" s="6" t="e">
        <f t="shared" ca="1" si="310"/>
        <v>#N/A</v>
      </c>
      <c r="T1606" s="6">
        <f t="shared" ca="1" si="300"/>
        <v>5</v>
      </c>
      <c r="U1606" s="1">
        <f t="shared" ca="1" si="311"/>
        <v>805</v>
      </c>
    </row>
    <row r="1607" spans="1:21" x14ac:dyDescent="0.2">
      <c r="A1607" s="7" cm="1">
        <f t="array" aca="1" ref="A1607" ca="1">INDEX(Companies!$A:$A,RANDBETWEEN(2,COUNTA(Companies!$A:$A)),1)</f>
        <v>2</v>
      </c>
      <c r="B1607" s="5">
        <f t="shared" si="301"/>
        <v>1606</v>
      </c>
      <c r="C1607" s="6">
        <f t="shared" ca="1" si="302"/>
        <v>1</v>
      </c>
      <c r="D1607" s="7">
        <f ca="1">IF($B1607 = 1 + N("Presidente"),
    127,
    IF($B1607 = 2 + N("Vice-Presidente"),
        72,
        IF($B1607 = 3 + N("Secretária bilíngue"),
            13,
            RANDBETWEEN(5,COUNT(Name!$A:$A) + 1)
        )
    )
)</f>
        <v>195</v>
      </c>
      <c r="E1607" s="7" t="str">
        <f ca="1" xml:space="preserve">
VLOOKUP(
  $D1607,
  Name!$A:$B,
  2,
  FALSE
)
&amp; " " &amp;
IF($B1607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Joaquim Simões Anjos</v>
      </c>
      <c r="F1607" s="7">
        <v>2</v>
      </c>
      <c r="G1607" s="7" cm="1">
        <f t="array" aca="1" ref="G1607" ca="1">INDEX(States!$B:$B,RANDBETWEEN(2,COUNTA(States!$A:$A)),1)</f>
        <v>10</v>
      </c>
      <c r="H1607" s="7" t="str">
        <f ca="1">VLOOKUP($D1607,Name!$A:$C,3,FALSE)</f>
        <v>M</v>
      </c>
      <c r="I1607" s="7" cm="1">
        <f t="array" aca="1" ref="I1607" ca="1">INDEX('Marital status'!$A:$A,RANDBETWEEN(2,COUNTA('Marital status'!$A:$A)),1)</f>
        <v>5</v>
      </c>
      <c r="J1607" s="7">
        <f t="shared" ca="1" si="303"/>
        <v>2</v>
      </c>
      <c r="K1607" s="8">
        <f t="shared" ca="1" si="304"/>
        <v>37341</v>
      </c>
      <c r="L1607" s="6">
        <f t="shared" ca="1" si="305"/>
        <v>5</v>
      </c>
      <c r="M1607" s="7">
        <f ca="1" xml:space="preserve">
  IF(OR($N1607 = 2, $N1607 = 3, $N1607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607" s="6">
        <f t="shared" ca="1" si="306"/>
        <v>8</v>
      </c>
      <c r="O1607" s="6">
        <f t="shared" ca="1" si="307"/>
        <v>2</v>
      </c>
      <c r="P1607" s="8">
        <f t="shared" ca="1" si="308"/>
        <v>41415</v>
      </c>
      <c r="Q1607" s="6">
        <f ca="1">RANDBETWEEN(2,COUNTA('Recruitment source'!$A:$A))</f>
        <v>2</v>
      </c>
      <c r="R1607" s="8" t="e">
        <f t="shared" ca="1" si="309"/>
        <v>#N/A</v>
      </c>
      <c r="S1607" s="6" t="e">
        <f t="shared" ca="1" si="310"/>
        <v>#N/A</v>
      </c>
      <c r="T1607" s="6">
        <f t="shared" ca="1" si="300"/>
        <v>3</v>
      </c>
      <c r="U1607" s="1">
        <f t="shared" ca="1" si="311"/>
        <v>2000</v>
      </c>
    </row>
    <row r="1608" spans="1:21" x14ac:dyDescent="0.2">
      <c r="A1608" s="7" cm="1">
        <f t="array" aca="1" ref="A1608" ca="1">INDEX(Companies!$A:$A,RANDBETWEEN(2,COUNTA(Companies!$A:$A)),1)</f>
        <v>2</v>
      </c>
      <c r="B1608" s="5">
        <f t="shared" si="301"/>
        <v>1607</v>
      </c>
      <c r="C1608" s="6">
        <f t="shared" ca="1" si="302"/>
        <v>1</v>
      </c>
      <c r="D1608" s="7">
        <f ca="1">IF($B1608 = 1 + N("Presidente"),
    127,
    IF($B1608 = 2 + N("Vice-Presidente"),
        72,
        IF($B1608 = 3 + N("Secretária bilíngue"),
            13,
            RANDBETWEEN(5,COUNT(Name!$A:$A) + 1)
        )
    )
)</f>
        <v>225</v>
      </c>
      <c r="E1608" s="7" t="str">
        <f ca="1" xml:space="preserve">
VLOOKUP(
  $D1608,
  Name!$A:$B,
  2,
  FALSE
)
&amp; " " &amp;
IF($B1608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Levi Santana Aguiar</v>
      </c>
      <c r="F1608" s="7">
        <v>2</v>
      </c>
      <c r="G1608" s="7" cm="1">
        <f t="array" aca="1" ref="G1608" ca="1">INDEX(States!$B:$B,RANDBETWEEN(2,COUNTA(States!$A:$A)),1)</f>
        <v>12</v>
      </c>
      <c r="H1608" s="7" t="str">
        <f ca="1">VLOOKUP($D1608,Name!$A:$C,3,FALSE)</f>
        <v>M</v>
      </c>
      <c r="I1608" s="7" cm="1">
        <f t="array" aca="1" ref="I1608" ca="1">INDEX('Marital status'!$A:$A,RANDBETWEEN(2,COUNTA('Marital status'!$A:$A)),1)</f>
        <v>6</v>
      </c>
      <c r="J1608" s="7">
        <f t="shared" ca="1" si="303"/>
        <v>2</v>
      </c>
      <c r="K1608" s="8">
        <f t="shared" ca="1" si="304"/>
        <v>30636</v>
      </c>
      <c r="L1608" s="6">
        <f t="shared" ca="1" si="305"/>
        <v>4</v>
      </c>
      <c r="M1608" s="7">
        <f ca="1" xml:space="preserve">
  IF(OR($N1608 = 2, $N1608 = 3, $N1608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608" s="6">
        <f t="shared" ca="1" si="306"/>
        <v>7</v>
      </c>
      <c r="O1608" s="6" t="e">
        <f t="shared" ca="1" si="307"/>
        <v>#N/A</v>
      </c>
      <c r="P1608" s="8">
        <f t="shared" ca="1" si="308"/>
        <v>41547</v>
      </c>
      <c r="Q1608" s="6">
        <f ca="1">RANDBETWEEN(2,COUNTA('Recruitment source'!$A:$A))</f>
        <v>10</v>
      </c>
      <c r="R1608" s="8" t="e">
        <f t="shared" ca="1" si="309"/>
        <v>#N/A</v>
      </c>
      <c r="S1608" s="6" t="e">
        <f t="shared" ca="1" si="310"/>
        <v>#N/A</v>
      </c>
      <c r="T1608" s="6">
        <f t="shared" ca="1" si="300"/>
        <v>2</v>
      </c>
      <c r="U1608" s="1">
        <f t="shared" ca="1" si="311"/>
        <v>1005</v>
      </c>
    </row>
    <row r="1609" spans="1:21" x14ac:dyDescent="0.2">
      <c r="A1609" s="7" cm="1">
        <f t="array" aca="1" ref="A1609" ca="1">INDEX(Companies!$A:$A,RANDBETWEEN(2,COUNTA(Companies!$A:$A)),1)</f>
        <v>2</v>
      </c>
      <c r="B1609" s="5">
        <f t="shared" si="301"/>
        <v>1608</v>
      </c>
      <c r="C1609" s="6">
        <f t="shared" ca="1" si="302"/>
        <v>1</v>
      </c>
      <c r="D1609" s="7">
        <f ca="1">IF($B1609 = 1 + N("Presidente"),
    127,
    IF($B1609 = 2 + N("Vice-Presidente"),
        72,
        IF($B1609 = 3 + N("Secretária bilíngue"),
            13,
            RANDBETWEEN(5,COUNT(Name!$A:$A) + 1)
        )
    )
)</f>
        <v>74</v>
      </c>
      <c r="E1609" s="7" t="str">
        <f ca="1" xml:space="preserve">
VLOOKUP(
  $D1609,
  Name!$A:$B,
  2,
  FALSE
)
&amp; " " &amp;
IF($B1609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Brenda Barbosa Marques</v>
      </c>
      <c r="F1609" s="7">
        <v>2</v>
      </c>
      <c r="G1609" s="7" cm="1">
        <f t="array" aca="1" ref="G1609" ca="1">INDEX(States!$B:$B,RANDBETWEEN(2,COUNTA(States!$A:$A)),1)</f>
        <v>14</v>
      </c>
      <c r="H1609" s="7" t="str">
        <f ca="1">VLOOKUP($D1609,Name!$A:$C,3,FALSE)</f>
        <v>F</v>
      </c>
      <c r="I1609" s="7" cm="1">
        <f t="array" aca="1" ref="I1609" ca="1">INDEX('Marital status'!$A:$A,RANDBETWEEN(2,COUNTA('Marital status'!$A:$A)),1)</f>
        <v>2</v>
      </c>
      <c r="J1609" s="7">
        <f t="shared" ca="1" si="303"/>
        <v>2</v>
      </c>
      <c r="K1609" s="8">
        <f t="shared" ca="1" si="304"/>
        <v>37135</v>
      </c>
      <c r="L1609" s="6">
        <f t="shared" ca="1" si="305"/>
        <v>5</v>
      </c>
      <c r="M1609" s="7">
        <f ca="1" xml:space="preserve">
  IF(OR($N1609 = 2, $N1609 = 3, $N1609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609" s="6">
        <f t="shared" ca="1" si="306"/>
        <v>8</v>
      </c>
      <c r="O1609" s="6">
        <f t="shared" ca="1" si="307"/>
        <v>2</v>
      </c>
      <c r="P1609" s="8">
        <f t="shared" ca="1" si="308"/>
        <v>38490</v>
      </c>
      <c r="Q1609" s="6">
        <f ca="1">RANDBETWEEN(2,COUNTA('Recruitment source'!$A:$A))</f>
        <v>12</v>
      </c>
      <c r="R1609" s="8" t="e">
        <f t="shared" ca="1" si="309"/>
        <v>#N/A</v>
      </c>
      <c r="S1609" s="6" t="e">
        <f t="shared" ca="1" si="310"/>
        <v>#N/A</v>
      </c>
      <c r="T1609" s="6">
        <f t="shared" ca="1" si="300"/>
        <v>5</v>
      </c>
      <c r="U1609" s="1">
        <f t="shared" ca="1" si="311"/>
        <v>2000</v>
      </c>
    </row>
    <row r="1610" spans="1:21" x14ac:dyDescent="0.2">
      <c r="A1610" s="7" cm="1">
        <f t="array" aca="1" ref="A1610" ca="1">INDEX(Companies!$A:$A,RANDBETWEEN(2,COUNTA(Companies!$A:$A)),1)</f>
        <v>2</v>
      </c>
      <c r="B1610" s="5">
        <f t="shared" si="301"/>
        <v>1609</v>
      </c>
      <c r="C1610" s="6">
        <f t="shared" ca="1" si="302"/>
        <v>1</v>
      </c>
      <c r="D1610" s="7">
        <f ca="1">IF($B1610 = 1 + N("Presidente"),
    127,
    IF($B1610 = 2 + N("Vice-Presidente"),
        72,
        IF($B1610 = 3 + N("Secretária bilíngue"),
            13,
            RANDBETWEEN(5,COUNT(Name!$A:$A) + 1)
        )
    )
)</f>
        <v>171</v>
      </c>
      <c r="E1610" s="7" t="str">
        <f ca="1" xml:space="preserve">
VLOOKUP(
  $D1610,
  Name!$A:$B,
  2,
  FALSE
)
&amp; " " &amp;
IF($B1610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Íris Vieira Nunes</v>
      </c>
      <c r="F1610" s="7">
        <v>2</v>
      </c>
      <c r="G1610" s="7" cm="1">
        <f t="array" aca="1" ref="G1610" ca="1">INDEX(States!$B:$B,RANDBETWEEN(2,COUNTA(States!$A:$A)),1)</f>
        <v>12</v>
      </c>
      <c r="H1610" s="7" t="str">
        <f ca="1">VLOOKUP($D1610,Name!$A:$C,3,FALSE)</f>
        <v>F</v>
      </c>
      <c r="I1610" s="7" cm="1">
        <f t="array" aca="1" ref="I1610" ca="1">INDEX('Marital status'!$A:$A,RANDBETWEEN(2,COUNTA('Marital status'!$A:$A)),1)</f>
        <v>3</v>
      </c>
      <c r="J1610" s="7">
        <f t="shared" ca="1" si="303"/>
        <v>3</v>
      </c>
      <c r="K1610" s="8">
        <f t="shared" ca="1" si="304"/>
        <v>31092</v>
      </c>
      <c r="L1610" s="6">
        <f t="shared" ca="1" si="305"/>
        <v>4</v>
      </c>
      <c r="M1610" s="7">
        <f ca="1" xml:space="preserve">
  IF(OR($N1610 = 2, $N1610 = 3, $N1610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610" s="6">
        <f t="shared" ca="1" si="306"/>
        <v>7</v>
      </c>
      <c r="O1610" s="6" t="e">
        <f t="shared" ca="1" si="307"/>
        <v>#N/A</v>
      </c>
      <c r="P1610" s="8">
        <f t="shared" ca="1" si="308"/>
        <v>44768</v>
      </c>
      <c r="Q1610" s="6">
        <f ca="1">RANDBETWEEN(2,COUNTA('Recruitment source'!$A:$A))</f>
        <v>7</v>
      </c>
      <c r="R1610" s="8" t="e">
        <f t="shared" ca="1" si="309"/>
        <v>#N/A</v>
      </c>
      <c r="S1610" s="6" t="e">
        <f t="shared" ca="1" si="310"/>
        <v>#N/A</v>
      </c>
      <c r="T1610" s="6">
        <f t="shared" ca="1" si="300"/>
        <v>4</v>
      </c>
      <c r="U1610" s="1">
        <f t="shared" ca="1" si="311"/>
        <v>1085</v>
      </c>
    </row>
    <row r="1611" spans="1:21" x14ac:dyDescent="0.2">
      <c r="A1611" s="7" cm="1">
        <f t="array" aca="1" ref="A1611" ca="1">INDEX(Companies!$A:$A,RANDBETWEEN(2,COUNTA(Companies!$A:$A)),1)</f>
        <v>2</v>
      </c>
      <c r="B1611" s="5">
        <f t="shared" si="301"/>
        <v>1610</v>
      </c>
      <c r="C1611" s="6">
        <f t="shared" ca="1" si="302"/>
        <v>1</v>
      </c>
      <c r="D1611" s="7">
        <f ca="1">IF($B1611 = 1 + N("Presidente"),
    127,
    IF($B1611 = 2 + N("Vice-Presidente"),
        72,
        IF($B1611 = 3 + N("Secretária bilíngue"),
            13,
            RANDBETWEEN(5,COUNT(Name!$A:$A) + 1)
        )
    )
)</f>
        <v>32</v>
      </c>
      <c r="E1611" s="7" t="str">
        <f ca="1" xml:space="preserve">
VLOOKUP(
  $D1611,
  Name!$A:$B,
  2,
  FALSE
)
&amp; " " &amp;
IF($B1611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Laura Alvarenga Moraes</v>
      </c>
      <c r="F1611" s="7">
        <v>2</v>
      </c>
      <c r="G1611" s="7" cm="1">
        <f t="array" aca="1" ref="G1611" ca="1">INDEX(States!$B:$B,RANDBETWEEN(2,COUNTA(States!$A:$A)),1)</f>
        <v>21</v>
      </c>
      <c r="H1611" s="7" t="str">
        <f ca="1">VLOOKUP($D1611,Name!$A:$C,3,FALSE)</f>
        <v>F</v>
      </c>
      <c r="I1611" s="7" cm="1">
        <f t="array" aca="1" ref="I1611" ca="1">INDEX('Marital status'!$A:$A,RANDBETWEEN(2,COUNTA('Marital status'!$A:$A)),1)</f>
        <v>3</v>
      </c>
      <c r="J1611" s="7">
        <f t="shared" ca="1" si="303"/>
        <v>2</v>
      </c>
      <c r="K1611" s="8">
        <f t="shared" ca="1" si="304"/>
        <v>35686</v>
      </c>
      <c r="L1611" s="6">
        <f t="shared" ca="1" si="305"/>
        <v>4</v>
      </c>
      <c r="M1611" s="7">
        <f ca="1" xml:space="preserve">
  IF(OR($N1611 = 2, $N1611 = 3, $N1611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611" s="6">
        <f t="shared" ca="1" si="306"/>
        <v>8</v>
      </c>
      <c r="O1611" s="6">
        <f t="shared" ca="1" si="307"/>
        <v>2</v>
      </c>
      <c r="P1611" s="8">
        <f t="shared" ca="1" si="308"/>
        <v>39341</v>
      </c>
      <c r="Q1611" s="6">
        <f ca="1">RANDBETWEEN(2,COUNTA('Recruitment source'!$A:$A))</f>
        <v>2</v>
      </c>
      <c r="R1611" s="8" t="e">
        <f t="shared" ca="1" si="309"/>
        <v>#N/A</v>
      </c>
      <c r="S1611" s="6" t="e">
        <f t="shared" ca="1" si="310"/>
        <v>#N/A</v>
      </c>
      <c r="T1611" s="6">
        <f t="shared" ca="1" si="300"/>
        <v>2</v>
      </c>
      <c r="U1611" s="1">
        <f t="shared" ca="1" si="311"/>
        <v>2000</v>
      </c>
    </row>
    <row r="1612" spans="1:21" x14ac:dyDescent="0.2">
      <c r="A1612" s="7" cm="1">
        <f t="array" aca="1" ref="A1612" ca="1">INDEX(Companies!$A:$A,RANDBETWEEN(2,COUNTA(Companies!$A:$A)),1)</f>
        <v>2</v>
      </c>
      <c r="B1612" s="5">
        <f t="shared" si="301"/>
        <v>1611</v>
      </c>
      <c r="C1612" s="6">
        <f t="shared" ca="1" si="302"/>
        <v>1</v>
      </c>
      <c r="D1612" s="7">
        <f ca="1">IF($B1612 = 1 + N("Presidente"),
    127,
    IF($B1612 = 2 + N("Vice-Presidente"),
        72,
        IF($B1612 = 3 + N("Secretária bilíngue"),
            13,
            RANDBETWEEN(5,COUNT(Name!$A:$A) + 1)
        )
    )
)</f>
        <v>158</v>
      </c>
      <c r="E1612" s="7" t="str">
        <f ca="1" xml:space="preserve">
VLOOKUP(
  $D1612,
  Name!$A:$B,
  2,
  FALSE
)
&amp; " " &amp;
IF($B1612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Guilherme Augusto Rizzo Malafaia</v>
      </c>
      <c r="F1612" s="7">
        <v>2</v>
      </c>
      <c r="G1612" s="7" cm="1">
        <f t="array" aca="1" ref="G1612" ca="1">INDEX(States!$B:$B,RANDBETWEEN(2,COUNTA(States!$A:$A)),1)</f>
        <v>6</v>
      </c>
      <c r="H1612" s="7" t="str">
        <f ca="1">VLOOKUP($D1612,Name!$A:$C,3,FALSE)</f>
        <v>M</v>
      </c>
      <c r="I1612" s="7" cm="1">
        <f t="array" aca="1" ref="I1612" ca="1">INDEX('Marital status'!$A:$A,RANDBETWEEN(2,COUNTA('Marital status'!$A:$A)),1)</f>
        <v>5</v>
      </c>
      <c r="J1612" s="7">
        <f t="shared" ca="1" si="303"/>
        <v>2</v>
      </c>
      <c r="K1612" s="8">
        <f t="shared" ca="1" si="304"/>
        <v>32888</v>
      </c>
      <c r="L1612" s="6">
        <f t="shared" ca="1" si="305"/>
        <v>4</v>
      </c>
      <c r="M1612" s="7">
        <f ca="1" xml:space="preserve">
  IF(OR($N1612 = 2, $N1612 = 3, $N1612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612" s="6">
        <f t="shared" ca="1" si="306"/>
        <v>7</v>
      </c>
      <c r="O1612" s="6" t="e">
        <f t="shared" ca="1" si="307"/>
        <v>#N/A</v>
      </c>
      <c r="P1612" s="8">
        <f t="shared" ca="1" si="308"/>
        <v>40679</v>
      </c>
      <c r="Q1612" s="6">
        <f ca="1">RANDBETWEEN(2,COUNTA('Recruitment source'!$A:$A))</f>
        <v>8</v>
      </c>
      <c r="R1612" s="8" t="e">
        <f t="shared" ca="1" si="309"/>
        <v>#N/A</v>
      </c>
      <c r="S1612" s="6" t="e">
        <f t="shared" ca="1" si="310"/>
        <v>#N/A</v>
      </c>
      <c r="T1612" s="6">
        <f t="shared" ca="1" si="300"/>
        <v>2</v>
      </c>
      <c r="U1612" s="1">
        <f t="shared" ca="1" si="311"/>
        <v>1005</v>
      </c>
    </row>
    <row r="1613" spans="1:21" x14ac:dyDescent="0.2">
      <c r="A1613" s="7" cm="1">
        <f t="array" aca="1" ref="A1613" ca="1">INDEX(Companies!$A:$A,RANDBETWEEN(2,COUNTA(Companies!$A:$A)),1)</f>
        <v>2</v>
      </c>
      <c r="B1613" s="5">
        <f t="shared" si="301"/>
        <v>1612</v>
      </c>
      <c r="C1613" s="6">
        <f t="shared" ca="1" si="302"/>
        <v>1</v>
      </c>
      <c r="D1613" s="7">
        <f ca="1">IF($B1613 = 1 + N("Presidente"),
    127,
    IF($B1613 = 2 + N("Vice-Presidente"),
        72,
        IF($B1613 = 3 + N("Secretária bilíngue"),
            13,
            RANDBETWEEN(5,COUNT(Name!$A:$A) + 1)
        )
    )
)</f>
        <v>241</v>
      </c>
      <c r="E1613" s="7" t="str">
        <f ca="1" xml:space="preserve">
VLOOKUP(
  $D1613,
  Name!$A:$B,
  2,
  FALSE
)
&amp; " " &amp;
IF($B1613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Luccas Souza De Luca</v>
      </c>
      <c r="F1613" s="7">
        <v>2</v>
      </c>
      <c r="G1613" s="7" cm="1">
        <f t="array" aca="1" ref="G1613" ca="1">INDEX(States!$B:$B,RANDBETWEEN(2,COUNTA(States!$A:$A)),1)</f>
        <v>20</v>
      </c>
      <c r="H1613" s="7" t="str">
        <f ca="1">VLOOKUP($D1613,Name!$A:$C,3,FALSE)</f>
        <v>M</v>
      </c>
      <c r="I1613" s="7" cm="1">
        <f t="array" aca="1" ref="I1613" ca="1">INDEX('Marital status'!$A:$A,RANDBETWEEN(2,COUNTA('Marital status'!$A:$A)),1)</f>
        <v>6</v>
      </c>
      <c r="J1613" s="7">
        <f t="shared" ca="1" si="303"/>
        <v>2</v>
      </c>
      <c r="K1613" s="8">
        <f t="shared" ca="1" si="304"/>
        <v>32567</v>
      </c>
      <c r="L1613" s="6">
        <f t="shared" ca="1" si="305"/>
        <v>4</v>
      </c>
      <c r="M1613" s="7">
        <f ca="1" xml:space="preserve">
  IF(OR($N1613 = 2, $N1613 = 3, $N1613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613" s="6">
        <f t="shared" ca="1" si="306"/>
        <v>8</v>
      </c>
      <c r="O1613" s="6">
        <f t="shared" ca="1" si="307"/>
        <v>4</v>
      </c>
      <c r="P1613" s="8">
        <f t="shared" ca="1" si="308"/>
        <v>38187</v>
      </c>
      <c r="Q1613" s="6">
        <f ca="1">RANDBETWEEN(2,COUNTA('Recruitment source'!$A:$A))</f>
        <v>8</v>
      </c>
      <c r="R1613" s="8" t="e">
        <f t="shared" ca="1" si="309"/>
        <v>#N/A</v>
      </c>
      <c r="S1613" s="6" t="e">
        <f t="shared" ca="1" si="310"/>
        <v>#N/A</v>
      </c>
      <c r="T1613" s="6">
        <f t="shared" ca="1" si="300"/>
        <v>5</v>
      </c>
      <c r="U1613" s="1">
        <f t="shared" ca="1" si="311"/>
        <v>2000</v>
      </c>
    </row>
    <row r="1614" spans="1:21" x14ac:dyDescent="0.2">
      <c r="A1614" s="7" cm="1">
        <f t="array" aca="1" ref="A1614" ca="1">INDEX(Companies!$A:$A,RANDBETWEEN(2,COUNTA(Companies!$A:$A)),1)</f>
        <v>2</v>
      </c>
      <c r="B1614" s="5">
        <f t="shared" si="301"/>
        <v>1613</v>
      </c>
      <c r="C1614" s="6">
        <f t="shared" ca="1" si="302"/>
        <v>1</v>
      </c>
      <c r="D1614" s="7">
        <f ca="1">IF($B1614 = 1 + N("Presidente"),
    127,
    IF($B1614 = 2 + N("Vice-Presidente"),
        72,
        IF($B1614 = 3 + N("Secretária bilíngue"),
            13,
            RANDBETWEEN(5,COUNT(Name!$A:$A) + 1)
        )
    )
)</f>
        <v>78</v>
      </c>
      <c r="E1614" s="7" t="str">
        <f ca="1" xml:space="preserve">
VLOOKUP(
  $D1614,
  Name!$A:$B,
  2,
  FALSE
)
&amp; " " &amp;
IF($B1614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Bryan Evangelista Zil</v>
      </c>
      <c r="F1614" s="7">
        <v>2</v>
      </c>
      <c r="G1614" s="7" cm="1">
        <f t="array" aca="1" ref="G1614" ca="1">INDEX(States!$B:$B,RANDBETWEEN(2,COUNTA(States!$A:$A)),1)</f>
        <v>7</v>
      </c>
      <c r="H1614" s="7" t="str">
        <f ca="1">VLOOKUP($D1614,Name!$A:$C,3,FALSE)</f>
        <v>M</v>
      </c>
      <c r="I1614" s="7" cm="1">
        <f t="array" aca="1" ref="I1614" ca="1">INDEX('Marital status'!$A:$A,RANDBETWEEN(2,COUNTA('Marital status'!$A:$A)),1)</f>
        <v>6</v>
      </c>
      <c r="J1614" s="7">
        <f t="shared" ca="1" si="303"/>
        <v>2</v>
      </c>
      <c r="K1614" s="8">
        <f t="shared" ca="1" si="304"/>
        <v>24686</v>
      </c>
      <c r="L1614" s="6">
        <f t="shared" ca="1" si="305"/>
        <v>4</v>
      </c>
      <c r="M1614" s="7">
        <f ca="1" xml:space="preserve">
  IF(OR($N1614 = 2, $N1614 = 3, $N1614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614" s="6">
        <f t="shared" ca="1" si="306"/>
        <v>6</v>
      </c>
      <c r="O1614" s="6" t="e">
        <f t="shared" ca="1" si="307"/>
        <v>#N/A</v>
      </c>
      <c r="P1614" s="8">
        <f t="shared" ca="1" si="308"/>
        <v>42585</v>
      </c>
      <c r="Q1614" s="6">
        <f ca="1">RANDBETWEEN(2,COUNTA('Recruitment source'!$A:$A))</f>
        <v>6</v>
      </c>
      <c r="R1614" s="8" t="e">
        <f t="shared" ca="1" si="309"/>
        <v>#N/A</v>
      </c>
      <c r="S1614" s="6" t="e">
        <f t="shared" ca="1" si="310"/>
        <v>#N/A</v>
      </c>
      <c r="T1614" s="6">
        <f t="shared" ca="1" si="300"/>
        <v>3</v>
      </c>
      <c r="U1614" s="1">
        <f t="shared" ca="1" si="311"/>
        <v>885</v>
      </c>
    </row>
    <row r="1615" spans="1:21" x14ac:dyDescent="0.2">
      <c r="A1615" s="7" cm="1">
        <f t="array" aca="1" ref="A1615" ca="1">INDEX(Companies!$A:$A,RANDBETWEEN(2,COUNTA(Companies!$A:$A)),1)</f>
        <v>2</v>
      </c>
      <c r="B1615" s="5">
        <f t="shared" si="301"/>
        <v>1614</v>
      </c>
      <c r="C1615" s="6">
        <f t="shared" ca="1" si="302"/>
        <v>1</v>
      </c>
      <c r="D1615" s="7">
        <f ca="1">IF($B1615 = 1 + N("Presidente"),
    127,
    IF($B1615 = 2 + N("Vice-Presidente"),
        72,
        IF($B1615 = 3 + N("Secretária bilíngue"),
            13,
            RANDBETWEEN(5,COUNT(Name!$A:$A) + 1)
        )
    )
)</f>
        <v>327</v>
      </c>
      <c r="E1615" s="7" t="str">
        <f ca="1" xml:space="preserve">
VLOOKUP(
  $D1615,
  Name!$A:$B,
  2,
  FALSE
)
&amp; " " &amp;
IF($B1615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Raquel Cardoso Bactista</v>
      </c>
      <c r="F1615" s="7">
        <v>2</v>
      </c>
      <c r="G1615" s="7" cm="1">
        <f t="array" aca="1" ref="G1615" ca="1">INDEX(States!$B:$B,RANDBETWEEN(2,COUNTA(States!$A:$A)),1)</f>
        <v>15</v>
      </c>
      <c r="H1615" s="7" t="str">
        <f ca="1">VLOOKUP($D1615,Name!$A:$C,3,FALSE)</f>
        <v>F</v>
      </c>
      <c r="I1615" s="7" cm="1">
        <f t="array" aca="1" ref="I1615" ca="1">INDEX('Marital status'!$A:$A,RANDBETWEEN(2,COUNTA('Marital status'!$A:$A)),1)</f>
        <v>3</v>
      </c>
      <c r="J1615" s="7">
        <f t="shared" ca="1" si="303"/>
        <v>5</v>
      </c>
      <c r="K1615" s="8">
        <f t="shared" ca="1" si="304"/>
        <v>36214</v>
      </c>
      <c r="L1615" s="6">
        <f t="shared" ca="1" si="305"/>
        <v>5</v>
      </c>
      <c r="M1615" s="7">
        <f ca="1" xml:space="preserve">
  IF(OR($N1615 = 2, $N1615 = 3, $N1615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615" s="6">
        <f t="shared" ca="1" si="306"/>
        <v>8</v>
      </c>
      <c r="O1615" s="6">
        <f t="shared" ca="1" si="307"/>
        <v>3</v>
      </c>
      <c r="P1615" s="8">
        <f t="shared" ca="1" si="308"/>
        <v>43973</v>
      </c>
      <c r="Q1615" s="6">
        <f ca="1">RANDBETWEEN(2,COUNTA('Recruitment source'!$A:$A))</f>
        <v>5</v>
      </c>
      <c r="R1615" s="8" t="e">
        <f t="shared" ca="1" si="309"/>
        <v>#N/A</v>
      </c>
      <c r="S1615" s="6" t="e">
        <f t="shared" ca="1" si="310"/>
        <v>#N/A</v>
      </c>
      <c r="T1615" s="6">
        <f t="shared" ca="1" si="300"/>
        <v>2</v>
      </c>
      <c r="U1615" s="1">
        <f t="shared" ca="1" si="311"/>
        <v>2080</v>
      </c>
    </row>
    <row r="1616" spans="1:21" x14ac:dyDescent="0.2">
      <c r="A1616" s="7" cm="1">
        <f t="array" aca="1" ref="A1616" ca="1">INDEX(Companies!$A:$A,RANDBETWEEN(2,COUNTA(Companies!$A:$A)),1)</f>
        <v>2</v>
      </c>
      <c r="B1616" s="5">
        <f t="shared" si="301"/>
        <v>1615</v>
      </c>
      <c r="C1616" s="6">
        <f t="shared" ca="1" si="302"/>
        <v>1</v>
      </c>
      <c r="D1616" s="7">
        <f ca="1">IF($B1616 = 1 + N("Presidente"),
    127,
    IF($B1616 = 2 + N("Vice-Presidente"),
        72,
        IF($B1616 = 3 + N("Secretária bilíngue"),
            13,
            RANDBETWEEN(5,COUNT(Name!$A:$A) + 1)
        )
    )
)</f>
        <v>206</v>
      </c>
      <c r="E1616" s="7" t="str">
        <f ca="1" xml:space="preserve">
VLOOKUP(
  $D1616,
  Name!$A:$B,
  2,
  FALSE
)
&amp; " " &amp;
IF($B1616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Kamilla Fernandes Barbosa</v>
      </c>
      <c r="F1616" s="7">
        <v>2</v>
      </c>
      <c r="G1616" s="7" cm="1">
        <f t="array" aca="1" ref="G1616" ca="1">INDEX(States!$B:$B,RANDBETWEEN(2,COUNTA(States!$A:$A)),1)</f>
        <v>9</v>
      </c>
      <c r="H1616" s="7" t="str">
        <f ca="1">VLOOKUP($D1616,Name!$A:$C,3,FALSE)</f>
        <v>F</v>
      </c>
      <c r="I1616" s="7" cm="1">
        <f t="array" aca="1" ref="I1616" ca="1">INDEX('Marital status'!$A:$A,RANDBETWEEN(2,COUNTA('Marital status'!$A:$A)),1)</f>
        <v>5</v>
      </c>
      <c r="J1616" s="7">
        <f t="shared" ca="1" si="303"/>
        <v>2</v>
      </c>
      <c r="K1616" s="8">
        <f t="shared" ca="1" si="304"/>
        <v>29369</v>
      </c>
      <c r="L1616" s="6">
        <f t="shared" ca="1" si="305"/>
        <v>4</v>
      </c>
      <c r="M1616" s="7">
        <f ca="1" xml:space="preserve">
  IF(OR($N1616 = 2, $N1616 = 3, $N1616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616" s="6">
        <f t="shared" ca="1" si="306"/>
        <v>6</v>
      </c>
      <c r="O1616" s="6" t="e">
        <f t="shared" ca="1" si="307"/>
        <v>#N/A</v>
      </c>
      <c r="P1616" s="8">
        <f t="shared" ca="1" si="308"/>
        <v>37170</v>
      </c>
      <c r="Q1616" s="6">
        <f ca="1">RANDBETWEEN(2,COUNTA('Recruitment source'!$A:$A))</f>
        <v>4</v>
      </c>
      <c r="R1616" s="8" t="e">
        <f t="shared" ca="1" si="309"/>
        <v>#N/A</v>
      </c>
      <c r="S1616" s="6" t="e">
        <f t="shared" ca="1" si="310"/>
        <v>#N/A</v>
      </c>
      <c r="T1616" s="6">
        <f t="shared" ca="1" si="300"/>
        <v>4</v>
      </c>
      <c r="U1616" s="1">
        <f t="shared" ca="1" si="311"/>
        <v>805</v>
      </c>
    </row>
    <row r="1617" spans="1:21" x14ac:dyDescent="0.2">
      <c r="A1617" s="7" cm="1">
        <f t="array" aca="1" ref="A1617" ca="1">INDEX(Companies!$A:$A,RANDBETWEEN(2,COUNTA(Companies!$A:$A)),1)</f>
        <v>2</v>
      </c>
      <c r="B1617" s="5">
        <f t="shared" si="301"/>
        <v>1616</v>
      </c>
      <c r="C1617" s="6">
        <f t="shared" ca="1" si="302"/>
        <v>1</v>
      </c>
      <c r="D1617" s="7">
        <f ca="1">IF($B1617 = 1 + N("Presidente"),
    127,
    IF($B1617 = 2 + N("Vice-Presidente"),
        72,
        IF($B1617 = 3 + N("Secretária bilíngue"),
            13,
            RANDBETWEEN(5,COUNT(Name!$A:$A) + 1)
        )
    )
)</f>
        <v>190</v>
      </c>
      <c r="E1617" s="7" t="str">
        <f ca="1" xml:space="preserve">
VLOOKUP(
  $D1617,
  Name!$A:$B,
  2,
  FALSE
)
&amp; " " &amp;
IF($B1617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Miguel Camões Monti</v>
      </c>
      <c r="F1617" s="7">
        <v>2</v>
      </c>
      <c r="G1617" s="7" cm="1">
        <f t="array" aca="1" ref="G1617" ca="1">INDEX(States!$B:$B,RANDBETWEEN(2,COUNTA(States!$A:$A)),1)</f>
        <v>6</v>
      </c>
      <c r="H1617" s="7" t="str">
        <f ca="1">VLOOKUP($D1617,Name!$A:$C,3,FALSE)</f>
        <v>M</v>
      </c>
      <c r="I1617" s="7" cm="1">
        <f t="array" aca="1" ref="I1617" ca="1">INDEX('Marital status'!$A:$A,RANDBETWEEN(2,COUNTA('Marital status'!$A:$A)),1)</f>
        <v>5</v>
      </c>
      <c r="J1617" s="7">
        <f t="shared" ca="1" si="303"/>
        <v>4</v>
      </c>
      <c r="K1617" s="8">
        <f t="shared" ca="1" si="304"/>
        <v>34981</v>
      </c>
      <c r="L1617" s="6">
        <f t="shared" ca="1" si="305"/>
        <v>4</v>
      </c>
      <c r="M1617" s="7">
        <f ca="1" xml:space="preserve">
  IF(OR($N1617 = 2, $N1617 = 3, $N1617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617" s="6">
        <f t="shared" ca="1" si="306"/>
        <v>8</v>
      </c>
      <c r="O1617" s="6">
        <f t="shared" ca="1" si="307"/>
        <v>2</v>
      </c>
      <c r="P1617" s="8">
        <f t="shared" ca="1" si="308"/>
        <v>36664</v>
      </c>
      <c r="Q1617" s="6">
        <f ca="1">RANDBETWEEN(2,COUNTA('Recruitment source'!$A:$A))</f>
        <v>12</v>
      </c>
      <c r="R1617" s="8" t="e">
        <f t="shared" ca="1" si="309"/>
        <v>#N/A</v>
      </c>
      <c r="S1617" s="6" t="e">
        <f t="shared" ca="1" si="310"/>
        <v>#N/A</v>
      </c>
      <c r="T1617" s="6">
        <f t="shared" ca="1" si="300"/>
        <v>3</v>
      </c>
      <c r="U1617" s="1">
        <f t="shared" ca="1" si="311"/>
        <v>2000</v>
      </c>
    </row>
    <row r="1618" spans="1:21" x14ac:dyDescent="0.2">
      <c r="A1618" s="7" cm="1">
        <f t="array" aca="1" ref="A1618" ca="1">INDEX(Companies!$A:$A,RANDBETWEEN(2,COUNTA(Companies!$A:$A)),1)</f>
        <v>2</v>
      </c>
      <c r="B1618" s="5">
        <f t="shared" si="301"/>
        <v>1617</v>
      </c>
      <c r="C1618" s="6">
        <f t="shared" ca="1" si="302"/>
        <v>1</v>
      </c>
      <c r="D1618" s="7">
        <f ca="1">IF($B1618 = 1 + N("Presidente"),
    127,
    IF($B1618 = 2 + N("Vice-Presidente"),
        72,
        IF($B1618 = 3 + N("Secretária bilíngue"),
            13,
            RANDBETWEEN(5,COUNT(Name!$A:$A) + 1)
        )
    )
)</f>
        <v>60</v>
      </c>
      <c r="E1618" s="7" t="str">
        <f ca="1" xml:space="preserve">
VLOOKUP(
  $D1618,
  Name!$A:$B,
  2,
  FALSE
)
&amp; " " &amp;
IF($B1618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Augusta Mancini Costatini</v>
      </c>
      <c r="F1618" s="7">
        <v>2</v>
      </c>
      <c r="G1618" s="7" cm="1">
        <f t="array" aca="1" ref="G1618" ca="1">INDEX(States!$B:$B,RANDBETWEEN(2,COUNTA(States!$A:$A)),1)</f>
        <v>21</v>
      </c>
      <c r="H1618" s="7" t="str">
        <f ca="1">VLOOKUP($D1618,Name!$A:$C,3,FALSE)</f>
        <v>F</v>
      </c>
      <c r="I1618" s="7" cm="1">
        <f t="array" aca="1" ref="I1618" ca="1">INDEX('Marital status'!$A:$A,RANDBETWEEN(2,COUNTA('Marital status'!$A:$A)),1)</f>
        <v>5</v>
      </c>
      <c r="J1618" s="7">
        <f t="shared" ca="1" si="303"/>
        <v>2</v>
      </c>
      <c r="K1618" s="8">
        <f t="shared" ca="1" si="304"/>
        <v>34662</v>
      </c>
      <c r="L1618" s="6">
        <f t="shared" ca="1" si="305"/>
        <v>4</v>
      </c>
      <c r="M1618" s="7">
        <f ca="1" xml:space="preserve">
  IF(OR($N1618 = 2, $N1618 = 3, $N1618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618" s="6">
        <f t="shared" ca="1" si="306"/>
        <v>7</v>
      </c>
      <c r="O1618" s="6" t="e">
        <f t="shared" ca="1" si="307"/>
        <v>#N/A</v>
      </c>
      <c r="P1618" s="8">
        <f t="shared" ca="1" si="308"/>
        <v>39699</v>
      </c>
      <c r="Q1618" s="6">
        <f ca="1">RANDBETWEEN(2,COUNTA('Recruitment source'!$A:$A))</f>
        <v>9</v>
      </c>
      <c r="R1618" s="8" t="e">
        <f t="shared" ca="1" si="309"/>
        <v>#N/A</v>
      </c>
      <c r="S1618" s="6" t="e">
        <f t="shared" ca="1" si="310"/>
        <v>#N/A</v>
      </c>
      <c r="T1618" s="6">
        <f t="shared" ca="1" si="300"/>
        <v>5</v>
      </c>
      <c r="U1618" s="1">
        <f t="shared" ca="1" si="311"/>
        <v>1005</v>
      </c>
    </row>
    <row r="1619" spans="1:21" x14ac:dyDescent="0.2">
      <c r="A1619" s="7" cm="1">
        <f t="array" aca="1" ref="A1619" ca="1">INDEX(Companies!$A:$A,RANDBETWEEN(2,COUNTA(Companies!$A:$A)),1)</f>
        <v>2</v>
      </c>
      <c r="B1619" s="5">
        <f t="shared" si="301"/>
        <v>1618</v>
      </c>
      <c r="C1619" s="6">
        <f t="shared" ca="1" si="302"/>
        <v>1</v>
      </c>
      <c r="D1619" s="7">
        <f ca="1">IF($B1619 = 1 + N("Presidente"),
    127,
    IF($B1619 = 2 + N("Vice-Presidente"),
        72,
        IF($B1619 = 3 + N("Secretária bilíngue"),
            13,
            RANDBETWEEN(5,COUNT(Name!$A:$A) + 1)
        )
    )
)</f>
        <v>167</v>
      </c>
      <c r="E1619" s="7" t="str">
        <f ca="1" xml:space="preserve">
VLOOKUP(
  $D1619,
  Name!$A:$B,
  2,
  FALSE
)
&amp; " " &amp;
IF($B1619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Henrique Costa Peçanha</v>
      </c>
      <c r="F1619" s="7">
        <v>2</v>
      </c>
      <c r="G1619" s="7" cm="1">
        <f t="array" aca="1" ref="G1619" ca="1">INDEX(States!$B:$B,RANDBETWEEN(2,COUNTA(States!$A:$A)),1)</f>
        <v>3</v>
      </c>
      <c r="H1619" s="7" t="str">
        <f ca="1">VLOOKUP($D1619,Name!$A:$C,3,FALSE)</f>
        <v>M</v>
      </c>
      <c r="I1619" s="7" cm="1">
        <f t="array" aca="1" ref="I1619" ca="1">INDEX('Marital status'!$A:$A,RANDBETWEEN(2,COUNTA('Marital status'!$A:$A)),1)</f>
        <v>2</v>
      </c>
      <c r="J1619" s="7">
        <f t="shared" ca="1" si="303"/>
        <v>2</v>
      </c>
      <c r="K1619" s="8">
        <f t="shared" ca="1" si="304"/>
        <v>35636</v>
      </c>
      <c r="L1619" s="6">
        <f t="shared" ca="1" si="305"/>
        <v>5</v>
      </c>
      <c r="M1619" s="7">
        <f ca="1" xml:space="preserve">
  IF(OR($N1619 = 2, $N1619 = 3, $N1619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619" s="6">
        <f t="shared" ca="1" si="306"/>
        <v>8</v>
      </c>
      <c r="O1619" s="6">
        <f t="shared" ca="1" si="307"/>
        <v>4</v>
      </c>
      <c r="P1619" s="8">
        <f t="shared" ca="1" si="308"/>
        <v>41056</v>
      </c>
      <c r="Q1619" s="6">
        <f ca="1">RANDBETWEEN(2,COUNTA('Recruitment source'!$A:$A))</f>
        <v>10</v>
      </c>
      <c r="R1619" s="8" t="e">
        <f t="shared" ca="1" si="309"/>
        <v>#N/A</v>
      </c>
      <c r="S1619" s="6" t="e">
        <f t="shared" ca="1" si="310"/>
        <v>#N/A</v>
      </c>
      <c r="T1619" s="6">
        <f t="shared" ca="1" si="300"/>
        <v>5</v>
      </c>
      <c r="U1619" s="1">
        <f t="shared" ca="1" si="311"/>
        <v>2000</v>
      </c>
    </row>
    <row r="1620" spans="1:21" x14ac:dyDescent="0.2">
      <c r="A1620" s="7" cm="1">
        <f t="array" aca="1" ref="A1620" ca="1">INDEX(Companies!$A:$A,RANDBETWEEN(2,COUNTA(Companies!$A:$A)),1)</f>
        <v>2</v>
      </c>
      <c r="B1620" s="5">
        <f t="shared" si="301"/>
        <v>1619</v>
      </c>
      <c r="C1620" s="6">
        <f t="shared" ca="1" si="302"/>
        <v>1</v>
      </c>
      <c r="D1620" s="7">
        <f ca="1">IF($B1620 = 1 + N("Presidente"),
    127,
    IF($B1620 = 2 + N("Vice-Presidente"),
        72,
        IF($B1620 = 3 + N("Secretária bilíngue"),
            13,
            RANDBETWEEN(5,COUNT(Name!$A:$A) + 1)
        )
    )
)</f>
        <v>142</v>
      </c>
      <c r="E1620" s="7" t="str">
        <f ca="1" xml:space="preserve">
VLOOKUP(
  $D1620,
  Name!$A:$B,
  2,
  FALSE
)
&amp; " " &amp;
IF($B1620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Flaviano Cândido Marino</v>
      </c>
      <c r="F1620" s="7">
        <v>2</v>
      </c>
      <c r="G1620" s="7" cm="1">
        <f t="array" aca="1" ref="G1620" ca="1">INDEX(States!$B:$B,RANDBETWEEN(2,COUNTA(States!$A:$A)),1)</f>
        <v>15</v>
      </c>
      <c r="H1620" s="7" t="str">
        <f ca="1">VLOOKUP($D1620,Name!$A:$C,3,FALSE)</f>
        <v>M</v>
      </c>
      <c r="I1620" s="7" cm="1">
        <f t="array" aca="1" ref="I1620" ca="1">INDEX('Marital status'!$A:$A,RANDBETWEEN(2,COUNTA('Marital status'!$A:$A)),1)</f>
        <v>3</v>
      </c>
      <c r="J1620" s="7">
        <f t="shared" ca="1" si="303"/>
        <v>2</v>
      </c>
      <c r="K1620" s="8">
        <f t="shared" ca="1" si="304"/>
        <v>24971</v>
      </c>
      <c r="L1620" s="6">
        <f t="shared" ca="1" si="305"/>
        <v>4</v>
      </c>
      <c r="M1620" s="7">
        <f ca="1" xml:space="preserve">
  IF(OR($N1620 = 2, $N1620 = 3, $N1620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620" s="6">
        <f t="shared" ca="1" si="306"/>
        <v>6</v>
      </c>
      <c r="O1620" s="6" t="e">
        <f t="shared" ca="1" si="307"/>
        <v>#N/A</v>
      </c>
      <c r="P1620" s="8">
        <f t="shared" ca="1" si="308"/>
        <v>43127</v>
      </c>
      <c r="Q1620" s="6">
        <f ca="1">RANDBETWEEN(2,COUNTA('Recruitment source'!$A:$A))</f>
        <v>10</v>
      </c>
      <c r="R1620" s="8" t="e">
        <f t="shared" ca="1" si="309"/>
        <v>#N/A</v>
      </c>
      <c r="S1620" s="6" t="e">
        <f t="shared" ca="1" si="310"/>
        <v>#N/A</v>
      </c>
      <c r="T1620" s="6">
        <f t="shared" ca="1" si="300"/>
        <v>2</v>
      </c>
      <c r="U1620" s="1">
        <f t="shared" ca="1" si="311"/>
        <v>805</v>
      </c>
    </row>
    <row r="1621" spans="1:21" x14ac:dyDescent="0.2">
      <c r="A1621" s="7" cm="1">
        <f t="array" aca="1" ref="A1621" ca="1">INDEX(Companies!$A:$A,RANDBETWEEN(2,COUNTA(Companies!$A:$A)),1)</f>
        <v>2</v>
      </c>
      <c r="B1621" s="5">
        <f t="shared" si="301"/>
        <v>1620</v>
      </c>
      <c r="C1621" s="6">
        <f t="shared" ca="1" si="302"/>
        <v>1</v>
      </c>
      <c r="D1621" s="7">
        <f ca="1">IF($B1621 = 1 + N("Presidente"),
    127,
    IF($B1621 = 2 + N("Vice-Presidente"),
        72,
        IF($B1621 = 3 + N("Secretária bilíngue"),
            13,
            RANDBETWEEN(5,COUNT(Name!$A:$A) + 1)
        )
    )
)</f>
        <v>294</v>
      </c>
      <c r="E1621" s="7" t="str">
        <f ca="1" xml:space="preserve">
VLOOKUP(
  $D1621,
  Name!$A:$B,
  2,
  FALSE
)
&amp; " " &amp;
IF($B1621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Michel Gallo De Luca</v>
      </c>
      <c r="F1621" s="7">
        <v>2</v>
      </c>
      <c r="G1621" s="7" cm="1">
        <f t="array" aca="1" ref="G1621" ca="1">INDEX(States!$B:$B,RANDBETWEEN(2,COUNTA(States!$A:$A)),1)</f>
        <v>17</v>
      </c>
      <c r="H1621" s="7" t="str">
        <f ca="1">VLOOKUP($D1621,Name!$A:$C,3,FALSE)</f>
        <v>M</v>
      </c>
      <c r="I1621" s="7" cm="1">
        <f t="array" aca="1" ref="I1621" ca="1">INDEX('Marital status'!$A:$A,RANDBETWEEN(2,COUNTA('Marital status'!$A:$A)),1)</f>
        <v>5</v>
      </c>
      <c r="J1621" s="7">
        <f t="shared" ca="1" si="303"/>
        <v>2</v>
      </c>
      <c r="K1621" s="8">
        <f t="shared" ca="1" si="304"/>
        <v>36614</v>
      </c>
      <c r="L1621" s="6">
        <f t="shared" ca="1" si="305"/>
        <v>5</v>
      </c>
      <c r="M1621" s="7">
        <f ca="1" xml:space="preserve">
  IF(OR($N1621 = 2, $N1621 = 3, $N1621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621" s="6">
        <f t="shared" ca="1" si="306"/>
        <v>8</v>
      </c>
      <c r="O1621" s="6">
        <f t="shared" ca="1" si="307"/>
        <v>4</v>
      </c>
      <c r="P1621" s="8">
        <f t="shared" ca="1" si="308"/>
        <v>40852</v>
      </c>
      <c r="Q1621" s="6">
        <f ca="1">RANDBETWEEN(2,COUNTA('Recruitment source'!$A:$A))</f>
        <v>5</v>
      </c>
      <c r="R1621" s="8" t="e">
        <f t="shared" ca="1" si="309"/>
        <v>#N/A</v>
      </c>
      <c r="S1621" s="6" t="e">
        <f t="shared" ca="1" si="310"/>
        <v>#N/A</v>
      </c>
      <c r="T1621" s="6">
        <f t="shared" ca="1" si="300"/>
        <v>5</v>
      </c>
      <c r="U1621" s="1">
        <f t="shared" ca="1" si="311"/>
        <v>2000</v>
      </c>
    </row>
    <row r="1622" spans="1:21" x14ac:dyDescent="0.2">
      <c r="A1622" s="7" cm="1">
        <f t="array" aca="1" ref="A1622" ca="1">INDEX(Companies!$A:$A,RANDBETWEEN(2,COUNTA(Companies!$A:$A)),1)</f>
        <v>2</v>
      </c>
      <c r="B1622" s="5">
        <f t="shared" si="301"/>
        <v>1621</v>
      </c>
      <c r="C1622" s="6">
        <f t="shared" ca="1" si="302"/>
        <v>1</v>
      </c>
      <c r="D1622" s="7">
        <f ca="1">IF($B1622 = 1 + N("Presidente"),
    127,
    IF($B1622 = 2 + N("Vice-Presidente"),
        72,
        IF($B1622 = 3 + N("Secretária bilíngue"),
            13,
            RANDBETWEEN(5,COUNT(Name!$A:$A) + 1)
        )
    )
)</f>
        <v>243</v>
      </c>
      <c r="E1622" s="7" t="str">
        <f ca="1" xml:space="preserve">
VLOOKUP(
  $D1622,
  Name!$A:$B,
  2,
  FALSE
)
&amp; " " &amp;
IF($B1622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Felipe Alvarenga Ildelfonso</v>
      </c>
      <c r="F1622" s="7">
        <v>2</v>
      </c>
      <c r="G1622" s="7" cm="1">
        <f t="array" aca="1" ref="G1622" ca="1">INDEX(States!$B:$B,RANDBETWEEN(2,COUNTA(States!$A:$A)),1)</f>
        <v>5</v>
      </c>
      <c r="H1622" s="7" t="str">
        <f ca="1">VLOOKUP($D1622,Name!$A:$C,3,FALSE)</f>
        <v>M</v>
      </c>
      <c r="I1622" s="7" cm="1">
        <f t="array" aca="1" ref="I1622" ca="1">INDEX('Marital status'!$A:$A,RANDBETWEEN(2,COUNTA('Marital status'!$A:$A)),1)</f>
        <v>6</v>
      </c>
      <c r="J1622" s="7">
        <f t="shared" ca="1" si="303"/>
        <v>2</v>
      </c>
      <c r="K1622" s="8">
        <f t="shared" ca="1" si="304"/>
        <v>31459</v>
      </c>
      <c r="L1622" s="6">
        <f t="shared" ca="1" si="305"/>
        <v>4</v>
      </c>
      <c r="M1622" s="7">
        <f ca="1" xml:space="preserve">
  IF(OR($N1622 = 2, $N1622 = 3, $N1622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622" s="6">
        <f t="shared" ca="1" si="306"/>
        <v>7</v>
      </c>
      <c r="O1622" s="6" t="e">
        <f t="shared" ca="1" si="307"/>
        <v>#N/A</v>
      </c>
      <c r="P1622" s="8">
        <f t="shared" ca="1" si="308"/>
        <v>39125</v>
      </c>
      <c r="Q1622" s="6">
        <f ca="1">RANDBETWEEN(2,COUNTA('Recruitment source'!$A:$A))</f>
        <v>4</v>
      </c>
      <c r="R1622" s="8" t="e">
        <f t="shared" ca="1" si="309"/>
        <v>#N/A</v>
      </c>
      <c r="S1622" s="6" t="e">
        <f t="shared" ca="1" si="310"/>
        <v>#N/A</v>
      </c>
      <c r="T1622" s="6">
        <f t="shared" ca="1" si="300"/>
        <v>4</v>
      </c>
      <c r="U1622" s="1">
        <f t="shared" ca="1" si="311"/>
        <v>1085</v>
      </c>
    </row>
    <row r="1623" spans="1:21" x14ac:dyDescent="0.2">
      <c r="A1623" s="7" cm="1">
        <f t="array" aca="1" ref="A1623" ca="1">INDEX(Companies!$A:$A,RANDBETWEEN(2,COUNTA(Companies!$A:$A)),1)</f>
        <v>2</v>
      </c>
      <c r="B1623" s="5">
        <f t="shared" si="301"/>
        <v>1622</v>
      </c>
      <c r="C1623" s="6">
        <f t="shared" ca="1" si="302"/>
        <v>1</v>
      </c>
      <c r="D1623" s="7">
        <f ca="1">IF($B1623 = 1 + N("Presidente"),
    127,
    IF($B1623 = 2 + N("Vice-Presidente"),
        72,
        IF($B1623 = 3 + N("Secretária bilíngue"),
            13,
            RANDBETWEEN(5,COUNT(Name!$A:$A) + 1)
        )
    )
)</f>
        <v>223</v>
      </c>
      <c r="E1623" s="7" t="str">
        <f ca="1" xml:space="preserve">
VLOOKUP(
  $D1623,
  Name!$A:$B,
  2,
  FALSE
)
&amp; " " &amp;
IF($B1623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Leonardo Ferreira Ferrari</v>
      </c>
      <c r="F1623" s="7">
        <v>2</v>
      </c>
      <c r="G1623" s="7" cm="1">
        <f t="array" aca="1" ref="G1623" ca="1">INDEX(States!$B:$B,RANDBETWEEN(2,COUNTA(States!$A:$A)),1)</f>
        <v>2</v>
      </c>
      <c r="H1623" s="7" t="str">
        <f ca="1">VLOOKUP($D1623,Name!$A:$C,3,FALSE)</f>
        <v>M</v>
      </c>
      <c r="I1623" s="7" cm="1">
        <f t="array" aca="1" ref="I1623" ca="1">INDEX('Marital status'!$A:$A,RANDBETWEEN(2,COUNTA('Marital status'!$A:$A)),1)</f>
        <v>5</v>
      </c>
      <c r="J1623" s="7">
        <f t="shared" ca="1" si="303"/>
        <v>2</v>
      </c>
      <c r="K1623" s="8">
        <f t="shared" ca="1" si="304"/>
        <v>37098</v>
      </c>
      <c r="L1623" s="6">
        <f t="shared" ca="1" si="305"/>
        <v>5</v>
      </c>
      <c r="M1623" s="7">
        <f ca="1" xml:space="preserve">
  IF(OR($N1623 = 2, $N1623 = 3, $N1623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623" s="6">
        <f t="shared" ca="1" si="306"/>
        <v>8</v>
      </c>
      <c r="O1623" s="6">
        <f t="shared" ca="1" si="307"/>
        <v>4</v>
      </c>
      <c r="P1623" s="8">
        <f t="shared" ca="1" si="308"/>
        <v>42044</v>
      </c>
      <c r="Q1623" s="6">
        <f ca="1">RANDBETWEEN(2,COUNTA('Recruitment source'!$A:$A))</f>
        <v>8</v>
      </c>
      <c r="R1623" s="8" t="e">
        <f t="shared" ca="1" si="309"/>
        <v>#N/A</v>
      </c>
      <c r="S1623" s="6" t="e">
        <f t="shared" ca="1" si="310"/>
        <v>#N/A</v>
      </c>
      <c r="T1623" s="6">
        <f t="shared" ca="1" si="300"/>
        <v>3</v>
      </c>
      <c r="U1623" s="1">
        <f t="shared" ca="1" si="311"/>
        <v>2000</v>
      </c>
    </row>
    <row r="1624" spans="1:21" x14ac:dyDescent="0.2">
      <c r="A1624" s="7" cm="1">
        <f t="array" aca="1" ref="A1624" ca="1">INDEX(Companies!$A:$A,RANDBETWEEN(2,COUNTA(Companies!$A:$A)),1)</f>
        <v>2</v>
      </c>
      <c r="B1624" s="5">
        <f t="shared" si="301"/>
        <v>1623</v>
      </c>
      <c r="C1624" s="6">
        <f t="shared" ca="1" si="302"/>
        <v>1</v>
      </c>
      <c r="D1624" s="7">
        <f ca="1">IF($B1624 = 1 + N("Presidente"),
    127,
    IF($B1624 = 2 + N("Vice-Presidente"),
        72,
        IF($B1624 = 3 + N("Secretária bilíngue"),
            13,
            RANDBETWEEN(5,COUNT(Name!$A:$A) + 1)
        )
    )
)</f>
        <v>121</v>
      </c>
      <c r="E1624" s="7" t="str">
        <f ca="1" xml:space="preserve">
VLOOKUP(
  $D1624,
  Name!$A:$B,
  2,
  FALSE
)
&amp; " " &amp;
IF($B1624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Eloá Leitão Battaglia</v>
      </c>
      <c r="F1624" s="7">
        <v>2</v>
      </c>
      <c r="G1624" s="7" cm="1">
        <f t="array" aca="1" ref="G1624" ca="1">INDEX(States!$B:$B,RANDBETWEEN(2,COUNTA(States!$A:$A)),1)</f>
        <v>5</v>
      </c>
      <c r="H1624" s="7" t="str">
        <f ca="1">VLOOKUP($D1624,Name!$A:$C,3,FALSE)</f>
        <v>F</v>
      </c>
      <c r="I1624" s="7" cm="1">
        <f t="array" aca="1" ref="I1624" ca="1">INDEX('Marital status'!$A:$A,RANDBETWEEN(2,COUNTA('Marital status'!$A:$A)),1)</f>
        <v>5</v>
      </c>
      <c r="J1624" s="7">
        <f t="shared" ca="1" si="303"/>
        <v>3</v>
      </c>
      <c r="K1624" s="8">
        <f t="shared" ca="1" si="304"/>
        <v>19189</v>
      </c>
      <c r="L1624" s="6">
        <f t="shared" ca="1" si="305"/>
        <v>4</v>
      </c>
      <c r="M1624" s="7">
        <f ca="1" xml:space="preserve">
  IF(OR($N1624 = 2, $N1624 = 3, $N1624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624" s="6">
        <f t="shared" ca="1" si="306"/>
        <v>6</v>
      </c>
      <c r="O1624" s="6" t="e">
        <f t="shared" ca="1" si="307"/>
        <v>#N/A</v>
      </c>
      <c r="P1624" s="8">
        <f t="shared" ca="1" si="308"/>
        <v>44459</v>
      </c>
      <c r="Q1624" s="6">
        <f ca="1">RANDBETWEEN(2,COUNTA('Recruitment source'!$A:$A))</f>
        <v>8</v>
      </c>
      <c r="R1624" s="8" t="e">
        <f t="shared" ca="1" si="309"/>
        <v>#N/A</v>
      </c>
      <c r="S1624" s="6" t="e">
        <f t="shared" ca="1" si="310"/>
        <v>#N/A</v>
      </c>
      <c r="T1624" s="6">
        <f t="shared" ca="1" si="300"/>
        <v>5</v>
      </c>
      <c r="U1624" s="1">
        <f t="shared" ca="1" si="311"/>
        <v>805</v>
      </c>
    </row>
    <row r="1625" spans="1:21" x14ac:dyDescent="0.2">
      <c r="A1625" s="7" cm="1">
        <f t="array" aca="1" ref="A1625" ca="1">INDEX(Companies!$A:$A,RANDBETWEEN(2,COUNTA(Companies!$A:$A)),1)</f>
        <v>2</v>
      </c>
      <c r="B1625" s="5">
        <f t="shared" si="301"/>
        <v>1624</v>
      </c>
      <c r="C1625" s="6">
        <f t="shared" ca="1" si="302"/>
        <v>1</v>
      </c>
      <c r="D1625" s="7">
        <f ca="1">IF($B1625 = 1 + N("Presidente"),
    127,
    IF($B1625 = 2 + N("Vice-Presidente"),
        72,
        IF($B1625 = 3 + N("Secretária bilíngue"),
            13,
            RANDBETWEEN(5,COUNT(Name!$A:$A) + 1)
        )
    )
)</f>
        <v>262</v>
      </c>
      <c r="E1625" s="7" t="str">
        <f ca="1" xml:space="preserve">
VLOOKUP(
  $D1625,
  Name!$A:$B,
  2,
  FALSE
)
&amp; " " &amp;
IF($B1625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Eduarda Aleluia Caruso</v>
      </c>
      <c r="F1625" s="7">
        <v>2</v>
      </c>
      <c r="G1625" s="7" cm="1">
        <f t="array" aca="1" ref="G1625" ca="1">INDEX(States!$B:$B,RANDBETWEEN(2,COUNTA(States!$A:$A)),1)</f>
        <v>14</v>
      </c>
      <c r="H1625" s="7" t="str">
        <f ca="1">VLOOKUP($D1625,Name!$A:$C,3,FALSE)</f>
        <v>F</v>
      </c>
      <c r="I1625" s="7" cm="1">
        <f t="array" aca="1" ref="I1625" ca="1">INDEX('Marital status'!$A:$A,RANDBETWEEN(2,COUNTA('Marital status'!$A:$A)),1)</f>
        <v>6</v>
      </c>
      <c r="J1625" s="7">
        <f t="shared" ca="1" si="303"/>
        <v>2</v>
      </c>
      <c r="K1625" s="8">
        <f t="shared" ca="1" si="304"/>
        <v>36201</v>
      </c>
      <c r="L1625" s="6">
        <f t="shared" ca="1" si="305"/>
        <v>4</v>
      </c>
      <c r="M1625" s="7">
        <f ca="1" xml:space="preserve">
  IF(OR($N1625 = 2, $N1625 = 3, $N1625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625" s="6">
        <f t="shared" ca="1" si="306"/>
        <v>8</v>
      </c>
      <c r="O1625" s="6">
        <f t="shared" ca="1" si="307"/>
        <v>3</v>
      </c>
      <c r="P1625" s="8">
        <f t="shared" ca="1" si="308"/>
        <v>44336</v>
      </c>
      <c r="Q1625" s="6">
        <f ca="1">RANDBETWEEN(2,COUNTA('Recruitment source'!$A:$A))</f>
        <v>4</v>
      </c>
      <c r="R1625" s="8" t="e">
        <f t="shared" ca="1" si="309"/>
        <v>#N/A</v>
      </c>
      <c r="S1625" s="6" t="e">
        <f t="shared" ca="1" si="310"/>
        <v>#N/A</v>
      </c>
      <c r="T1625" s="6">
        <f t="shared" ca="1" si="300"/>
        <v>3</v>
      </c>
      <c r="U1625" s="1">
        <f t="shared" ca="1" si="311"/>
        <v>2000</v>
      </c>
    </row>
    <row r="1626" spans="1:21" x14ac:dyDescent="0.2">
      <c r="A1626" s="7" cm="1">
        <f t="array" aca="1" ref="A1626" ca="1">INDEX(Companies!$A:$A,RANDBETWEEN(2,COUNTA(Companies!$A:$A)),1)</f>
        <v>2</v>
      </c>
      <c r="B1626" s="5">
        <f t="shared" si="301"/>
        <v>1625</v>
      </c>
      <c r="C1626" s="6">
        <f t="shared" ca="1" si="302"/>
        <v>1</v>
      </c>
      <c r="D1626" s="7">
        <f ca="1">IF($B1626 = 1 + N("Presidente"),
    127,
    IF($B1626 = 2 + N("Vice-Presidente"),
        72,
        IF($B1626 = 3 + N("Secretária bilíngue"),
            13,
            RANDBETWEEN(5,COUNT(Name!$A:$A) + 1)
        )
    )
)</f>
        <v>171</v>
      </c>
      <c r="E1626" s="7" t="str">
        <f ca="1" xml:space="preserve">
VLOOKUP(
  $D1626,
  Name!$A:$B,
  2,
  FALSE
)
&amp; " " &amp;
IF($B1626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Íris Araújo Nascimento</v>
      </c>
      <c r="F1626" s="7">
        <v>2</v>
      </c>
      <c r="G1626" s="7" cm="1">
        <f t="array" aca="1" ref="G1626" ca="1">INDEX(States!$B:$B,RANDBETWEEN(2,COUNTA(States!$A:$A)),1)</f>
        <v>9</v>
      </c>
      <c r="H1626" s="7" t="str">
        <f ca="1">VLOOKUP($D1626,Name!$A:$C,3,FALSE)</f>
        <v>F</v>
      </c>
      <c r="I1626" s="7" cm="1">
        <f t="array" aca="1" ref="I1626" ca="1">INDEX('Marital status'!$A:$A,RANDBETWEEN(2,COUNTA('Marital status'!$A:$A)),1)</f>
        <v>3</v>
      </c>
      <c r="J1626" s="7">
        <f t="shared" ca="1" si="303"/>
        <v>2</v>
      </c>
      <c r="K1626" s="8">
        <f t="shared" ca="1" si="304"/>
        <v>30436</v>
      </c>
      <c r="L1626" s="6">
        <f t="shared" ca="1" si="305"/>
        <v>4</v>
      </c>
      <c r="M1626" s="7">
        <f ca="1" xml:space="preserve">
  IF(OR($N1626 = 2, $N1626 = 3, $N1626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626" s="6">
        <f t="shared" ca="1" si="306"/>
        <v>7</v>
      </c>
      <c r="O1626" s="6" t="e">
        <f t="shared" ca="1" si="307"/>
        <v>#N/A</v>
      </c>
      <c r="P1626" s="8">
        <f t="shared" ca="1" si="308"/>
        <v>41727</v>
      </c>
      <c r="Q1626" s="6">
        <f ca="1">RANDBETWEEN(2,COUNTA('Recruitment source'!$A:$A))</f>
        <v>5</v>
      </c>
      <c r="R1626" s="8" t="e">
        <f t="shared" ca="1" si="309"/>
        <v>#N/A</v>
      </c>
      <c r="S1626" s="6" t="e">
        <f t="shared" ca="1" si="310"/>
        <v>#N/A</v>
      </c>
      <c r="T1626" s="6">
        <f t="shared" ca="1" si="300"/>
        <v>3</v>
      </c>
      <c r="U1626" s="1">
        <f t="shared" ca="1" si="311"/>
        <v>1005</v>
      </c>
    </row>
    <row r="1627" spans="1:21" x14ac:dyDescent="0.2">
      <c r="A1627" s="7" cm="1">
        <f t="array" aca="1" ref="A1627" ca="1">INDEX(Companies!$A:$A,RANDBETWEEN(2,COUNTA(Companies!$A:$A)),1)</f>
        <v>2</v>
      </c>
      <c r="B1627" s="5">
        <f t="shared" si="301"/>
        <v>1626</v>
      </c>
      <c r="C1627" s="6">
        <f t="shared" ca="1" si="302"/>
        <v>1</v>
      </c>
      <c r="D1627" s="7">
        <f ca="1">IF($B1627 = 1 + N("Presidente"),
    127,
    IF($B1627 = 2 + N("Vice-Presidente"),
        72,
        IF($B1627 = 3 + N("Secretária bilíngue"),
            13,
            RANDBETWEEN(5,COUNT(Name!$A:$A) + 1)
        )
    )
)</f>
        <v>10</v>
      </c>
      <c r="E1627" s="7" t="str">
        <f ca="1" xml:space="preserve">
VLOOKUP(
  $D1627,
  Name!$A:$B,
  2,
  FALSE
)
&amp; " " &amp;
IF($B1627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Ágata Gomes Ildelfonso</v>
      </c>
      <c r="F1627" s="7">
        <v>2</v>
      </c>
      <c r="G1627" s="7" cm="1">
        <f t="array" aca="1" ref="G1627" ca="1">INDEX(States!$B:$B,RANDBETWEEN(2,COUNTA(States!$A:$A)),1)</f>
        <v>20</v>
      </c>
      <c r="H1627" s="7" t="str">
        <f ca="1">VLOOKUP($D1627,Name!$A:$C,3,FALSE)</f>
        <v>F</v>
      </c>
      <c r="I1627" s="7" cm="1">
        <f t="array" aca="1" ref="I1627" ca="1">INDEX('Marital status'!$A:$A,RANDBETWEEN(2,COUNTA('Marital status'!$A:$A)),1)</f>
        <v>2</v>
      </c>
      <c r="J1627" s="7">
        <f t="shared" ca="1" si="303"/>
        <v>2</v>
      </c>
      <c r="K1627" s="8">
        <f t="shared" ca="1" si="304"/>
        <v>33645</v>
      </c>
      <c r="L1627" s="6">
        <f t="shared" ca="1" si="305"/>
        <v>4</v>
      </c>
      <c r="M1627" s="7">
        <f ca="1" xml:space="preserve">
  IF(OR($N1627 = 2, $N1627 = 3, $N1627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627" s="6">
        <f t="shared" ca="1" si="306"/>
        <v>8</v>
      </c>
      <c r="O1627" s="6">
        <f t="shared" ca="1" si="307"/>
        <v>2</v>
      </c>
      <c r="P1627" s="8">
        <f t="shared" ca="1" si="308"/>
        <v>36634</v>
      </c>
      <c r="Q1627" s="6">
        <f ca="1">RANDBETWEEN(2,COUNTA('Recruitment source'!$A:$A))</f>
        <v>2</v>
      </c>
      <c r="R1627" s="8" t="e">
        <f t="shared" ca="1" si="309"/>
        <v>#N/A</v>
      </c>
      <c r="S1627" s="6" t="e">
        <f t="shared" ca="1" si="310"/>
        <v>#N/A</v>
      </c>
      <c r="T1627" s="6">
        <f t="shared" ca="1" si="300"/>
        <v>2</v>
      </c>
      <c r="U1627" s="1">
        <f t="shared" ca="1" si="311"/>
        <v>2000</v>
      </c>
    </row>
    <row r="1628" spans="1:21" x14ac:dyDescent="0.2">
      <c r="A1628" s="7" cm="1">
        <f t="array" aca="1" ref="A1628" ca="1">INDEX(Companies!$A:$A,RANDBETWEEN(2,COUNTA(Companies!$A:$A)),1)</f>
        <v>2</v>
      </c>
      <c r="B1628" s="5">
        <f t="shared" si="301"/>
        <v>1627</v>
      </c>
      <c r="C1628" s="6">
        <f t="shared" ca="1" si="302"/>
        <v>1</v>
      </c>
      <c r="D1628" s="7">
        <f ca="1">IF($B1628 = 1 + N("Presidente"),
    127,
    IF($B1628 = 2 + N("Vice-Presidente"),
        72,
        IF($B1628 = 3 + N("Secretária bilíngue"),
            13,
            RANDBETWEEN(5,COUNT(Name!$A:$A) + 1)
        )
    )
)</f>
        <v>187</v>
      </c>
      <c r="E1628" s="7" t="str">
        <f ca="1" xml:space="preserve">
VLOOKUP(
  $D1628,
  Name!$A:$B,
  2,
  FALSE
)
&amp; " " &amp;
IF($B1628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Guilherme Alves Amor</v>
      </c>
      <c r="F1628" s="7">
        <v>2</v>
      </c>
      <c r="G1628" s="7" cm="1">
        <f t="array" aca="1" ref="G1628" ca="1">INDEX(States!$B:$B,RANDBETWEEN(2,COUNTA(States!$A:$A)),1)</f>
        <v>18</v>
      </c>
      <c r="H1628" s="7" t="str">
        <f ca="1">VLOOKUP($D1628,Name!$A:$C,3,FALSE)</f>
        <v>M</v>
      </c>
      <c r="I1628" s="7" cm="1">
        <f t="array" aca="1" ref="I1628" ca="1">INDEX('Marital status'!$A:$A,RANDBETWEEN(2,COUNTA('Marital status'!$A:$A)),1)</f>
        <v>2</v>
      </c>
      <c r="J1628" s="7">
        <f t="shared" ca="1" si="303"/>
        <v>4</v>
      </c>
      <c r="K1628" s="8">
        <f t="shared" ca="1" si="304"/>
        <v>29247</v>
      </c>
      <c r="L1628" s="6">
        <f t="shared" ca="1" si="305"/>
        <v>4</v>
      </c>
      <c r="M1628" s="7">
        <f ca="1" xml:space="preserve">
  IF(OR($N1628 = 2, $N1628 = 3, $N1628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628" s="6">
        <f t="shared" ca="1" si="306"/>
        <v>6</v>
      </c>
      <c r="O1628" s="6" t="e">
        <f t="shared" ca="1" si="307"/>
        <v>#N/A</v>
      </c>
      <c r="P1628" s="8">
        <f t="shared" ca="1" si="308"/>
        <v>41518</v>
      </c>
      <c r="Q1628" s="6">
        <f ca="1">RANDBETWEEN(2,COUNTA('Recruitment source'!$A:$A))</f>
        <v>12</v>
      </c>
      <c r="R1628" s="8" t="e">
        <f t="shared" ca="1" si="309"/>
        <v>#N/A</v>
      </c>
      <c r="S1628" s="6" t="e">
        <f t="shared" ca="1" si="310"/>
        <v>#N/A</v>
      </c>
      <c r="T1628" s="6">
        <f t="shared" ca="1" si="300"/>
        <v>4</v>
      </c>
      <c r="U1628" s="1">
        <f t="shared" ca="1" si="311"/>
        <v>805</v>
      </c>
    </row>
    <row r="1629" spans="1:21" x14ac:dyDescent="0.2">
      <c r="A1629" s="7" cm="1">
        <f t="array" aca="1" ref="A1629" ca="1">INDEX(Companies!$A:$A,RANDBETWEEN(2,COUNTA(Companies!$A:$A)),1)</f>
        <v>2</v>
      </c>
      <c r="B1629" s="5">
        <f t="shared" si="301"/>
        <v>1628</v>
      </c>
      <c r="C1629" s="6">
        <f t="shared" ca="1" si="302"/>
        <v>1</v>
      </c>
      <c r="D1629" s="7">
        <f ca="1">IF($B1629 = 1 + N("Presidente"),
    127,
    IF($B1629 = 2 + N("Vice-Presidente"),
        72,
        IF($B1629 = 3 + N("Secretária bilíngue"),
            13,
            RANDBETWEEN(5,COUNT(Name!$A:$A) + 1)
        )
    )
)</f>
        <v>121</v>
      </c>
      <c r="E1629" s="7" t="str">
        <f ca="1" xml:space="preserve">
VLOOKUP(
  $D1629,
  Name!$A:$B,
  2,
  FALSE
)
&amp; " " &amp;
IF($B1629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Eloá Alvaregna Borges</v>
      </c>
      <c r="F1629" s="7">
        <v>2</v>
      </c>
      <c r="G1629" s="7" cm="1">
        <f t="array" aca="1" ref="G1629" ca="1">INDEX(States!$B:$B,RANDBETWEEN(2,COUNTA(States!$A:$A)),1)</f>
        <v>20</v>
      </c>
      <c r="H1629" s="7" t="str">
        <f ca="1">VLOOKUP($D1629,Name!$A:$C,3,FALSE)</f>
        <v>F</v>
      </c>
      <c r="I1629" s="7" cm="1">
        <f t="array" aca="1" ref="I1629" ca="1">INDEX('Marital status'!$A:$A,RANDBETWEEN(2,COUNTA('Marital status'!$A:$A)),1)</f>
        <v>2</v>
      </c>
      <c r="J1629" s="7">
        <f t="shared" ca="1" si="303"/>
        <v>2</v>
      </c>
      <c r="K1629" s="8">
        <f t="shared" ca="1" si="304"/>
        <v>35781</v>
      </c>
      <c r="L1629" s="6">
        <f t="shared" ca="1" si="305"/>
        <v>4</v>
      </c>
      <c r="M1629" s="7">
        <f ca="1" xml:space="preserve">
  IF(OR($N1629 = 2, $N1629 = 3, $N1629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629" s="6">
        <f t="shared" ca="1" si="306"/>
        <v>8</v>
      </c>
      <c r="O1629" s="6">
        <f t="shared" ca="1" si="307"/>
        <v>4</v>
      </c>
      <c r="P1629" s="8">
        <f t="shared" ca="1" si="308"/>
        <v>37671</v>
      </c>
      <c r="Q1629" s="6">
        <f ca="1">RANDBETWEEN(2,COUNTA('Recruitment source'!$A:$A))</f>
        <v>7</v>
      </c>
      <c r="R1629" s="8" t="e">
        <f t="shared" ca="1" si="309"/>
        <v>#N/A</v>
      </c>
      <c r="S1629" s="6" t="e">
        <f t="shared" ca="1" si="310"/>
        <v>#N/A</v>
      </c>
      <c r="T1629" s="6">
        <f t="shared" ca="1" si="300"/>
        <v>3</v>
      </c>
      <c r="U1629" s="1">
        <f t="shared" ca="1" si="311"/>
        <v>2050</v>
      </c>
    </row>
    <row r="1630" spans="1:21" x14ac:dyDescent="0.2">
      <c r="A1630" s="7" cm="1">
        <f t="array" aca="1" ref="A1630" ca="1">INDEX(Companies!$A:$A,RANDBETWEEN(2,COUNTA(Companies!$A:$A)),1)</f>
        <v>2</v>
      </c>
      <c r="B1630" s="5">
        <f t="shared" si="301"/>
        <v>1629</v>
      </c>
      <c r="C1630" s="6">
        <f t="shared" ca="1" si="302"/>
        <v>1</v>
      </c>
      <c r="D1630" s="7">
        <f ca="1">IF($B1630 = 1 + N("Presidente"),
    127,
    IF($B1630 = 2 + N("Vice-Presidente"),
        72,
        IF($B1630 = 3 + N("Secretária bilíngue"),
            13,
            RANDBETWEEN(5,COUNT(Name!$A:$A) + 1)
        )
    )
)</f>
        <v>110</v>
      </c>
      <c r="E1630" s="7" t="str">
        <f ca="1" xml:space="preserve">
VLOOKUP(
  $D1630,
  Name!$A:$B,
  2,
  FALSE
)
&amp; " " &amp;
IF($B1630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Miguel Azeredo Madureira</v>
      </c>
      <c r="F1630" s="7">
        <v>2</v>
      </c>
      <c r="G1630" s="7" cm="1">
        <f t="array" aca="1" ref="G1630" ca="1">INDEX(States!$B:$B,RANDBETWEEN(2,COUNTA(States!$A:$A)),1)</f>
        <v>17</v>
      </c>
      <c r="H1630" s="7" t="str">
        <f ca="1">VLOOKUP($D1630,Name!$A:$C,3,FALSE)</f>
        <v>M</v>
      </c>
      <c r="I1630" s="7" cm="1">
        <f t="array" aca="1" ref="I1630" ca="1">INDEX('Marital status'!$A:$A,RANDBETWEEN(2,COUNTA('Marital status'!$A:$A)),1)</f>
        <v>6</v>
      </c>
      <c r="J1630" s="7">
        <f t="shared" ca="1" si="303"/>
        <v>2</v>
      </c>
      <c r="K1630" s="8">
        <f t="shared" ca="1" si="304"/>
        <v>31066</v>
      </c>
      <c r="L1630" s="6">
        <f t="shared" ca="1" si="305"/>
        <v>4</v>
      </c>
      <c r="M1630" s="7">
        <f ca="1" xml:space="preserve">
  IF(OR($N1630 = 2, $N1630 = 3, $N1630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630" s="6">
        <f t="shared" ca="1" si="306"/>
        <v>6</v>
      </c>
      <c r="O1630" s="6" t="e">
        <f t="shared" ca="1" si="307"/>
        <v>#N/A</v>
      </c>
      <c r="P1630" s="8">
        <f t="shared" ca="1" si="308"/>
        <v>36979</v>
      </c>
      <c r="Q1630" s="6">
        <f ca="1">RANDBETWEEN(2,COUNTA('Recruitment source'!$A:$A))</f>
        <v>11</v>
      </c>
      <c r="R1630" s="8" t="e">
        <f t="shared" ca="1" si="309"/>
        <v>#N/A</v>
      </c>
      <c r="S1630" s="6" t="e">
        <f t="shared" ca="1" si="310"/>
        <v>#N/A</v>
      </c>
      <c r="T1630" s="6">
        <f t="shared" ca="1" si="300"/>
        <v>2</v>
      </c>
      <c r="U1630" s="1">
        <f t="shared" ca="1" si="311"/>
        <v>885</v>
      </c>
    </row>
    <row r="1631" spans="1:21" x14ac:dyDescent="0.2">
      <c r="A1631" s="7" cm="1">
        <f t="array" aca="1" ref="A1631" ca="1">INDEX(Companies!$A:$A,RANDBETWEEN(2,COUNTA(Companies!$A:$A)),1)</f>
        <v>2</v>
      </c>
      <c r="B1631" s="5">
        <f t="shared" si="301"/>
        <v>1630</v>
      </c>
      <c r="C1631" s="6">
        <f t="shared" ca="1" si="302"/>
        <v>1</v>
      </c>
      <c r="D1631" s="7">
        <f ca="1">IF($B1631 = 1 + N("Presidente"),
    127,
    IF($B1631 = 2 + N("Vice-Presidente"),
        72,
        IF($B1631 = 3 + N("Secretária bilíngue"),
            13,
            RANDBETWEEN(5,COUNT(Name!$A:$A) + 1)
        )
    )
)</f>
        <v>85</v>
      </c>
      <c r="E1631" s="7" t="str">
        <f ca="1" xml:space="preserve">
VLOOKUP(
  $D1631,
  Name!$A:$B,
  2,
  FALSE
)
&amp; " " &amp;
IF($B1631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Carlos Eduardo Mello Leitão</v>
      </c>
      <c r="F1631" s="7">
        <v>2</v>
      </c>
      <c r="G1631" s="7" cm="1">
        <f t="array" aca="1" ref="G1631" ca="1">INDEX(States!$B:$B,RANDBETWEEN(2,COUNTA(States!$A:$A)),1)</f>
        <v>7</v>
      </c>
      <c r="H1631" s="7" t="str">
        <f ca="1">VLOOKUP($D1631,Name!$A:$C,3,FALSE)</f>
        <v>M</v>
      </c>
      <c r="I1631" s="7" cm="1">
        <f t="array" aca="1" ref="I1631" ca="1">INDEX('Marital status'!$A:$A,RANDBETWEEN(2,COUNTA('Marital status'!$A:$A)),1)</f>
        <v>2</v>
      </c>
      <c r="J1631" s="7">
        <f t="shared" ca="1" si="303"/>
        <v>3</v>
      </c>
      <c r="K1631" s="8">
        <f t="shared" ca="1" si="304"/>
        <v>35864</v>
      </c>
      <c r="L1631" s="6">
        <f t="shared" ca="1" si="305"/>
        <v>4</v>
      </c>
      <c r="M1631" s="7">
        <f ca="1" xml:space="preserve">
  IF(OR($N1631 = 2, $N1631 = 3, $N1631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631" s="6">
        <f t="shared" ca="1" si="306"/>
        <v>8</v>
      </c>
      <c r="O1631" s="6">
        <f t="shared" ca="1" si="307"/>
        <v>4</v>
      </c>
      <c r="P1631" s="8">
        <f t="shared" ca="1" si="308"/>
        <v>39177</v>
      </c>
      <c r="Q1631" s="6">
        <f ca="1">RANDBETWEEN(2,COUNTA('Recruitment source'!$A:$A))</f>
        <v>3</v>
      </c>
      <c r="R1631" s="8" t="e">
        <f t="shared" ca="1" si="309"/>
        <v>#N/A</v>
      </c>
      <c r="S1631" s="6" t="e">
        <f t="shared" ca="1" si="310"/>
        <v>#N/A</v>
      </c>
      <c r="T1631" s="6">
        <f t="shared" ca="1" si="300"/>
        <v>5</v>
      </c>
      <c r="U1631" s="1">
        <f t="shared" ca="1" si="311"/>
        <v>2000</v>
      </c>
    </row>
    <row r="1632" spans="1:21" x14ac:dyDescent="0.2">
      <c r="A1632" s="7" cm="1">
        <f t="array" aca="1" ref="A1632" ca="1">INDEX(Companies!$A:$A,RANDBETWEEN(2,COUNTA(Companies!$A:$A)),1)</f>
        <v>2</v>
      </c>
      <c r="B1632" s="5">
        <f t="shared" si="301"/>
        <v>1631</v>
      </c>
      <c r="C1632" s="6">
        <f t="shared" ca="1" si="302"/>
        <v>1</v>
      </c>
      <c r="D1632" s="7">
        <f ca="1">IF($B1632 = 1 + N("Presidente"),
    127,
    IF($B1632 = 2 + N("Vice-Presidente"),
        72,
        IF($B1632 = 3 + N("Secretária bilíngue"),
            13,
            RANDBETWEEN(5,COUNT(Name!$A:$A) + 1)
        )
    )
)</f>
        <v>30</v>
      </c>
      <c r="E1632" s="7" t="str">
        <f ca="1" xml:space="preserve">
VLOOKUP(
  $D1632,
  Name!$A:$B,
  2,
  FALSE
)
&amp; " " &amp;
IF($B1632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Clara Esteves Lombardi</v>
      </c>
      <c r="F1632" s="7">
        <v>2</v>
      </c>
      <c r="G1632" s="7" cm="1">
        <f t="array" aca="1" ref="G1632" ca="1">INDEX(States!$B:$B,RANDBETWEEN(2,COUNTA(States!$A:$A)),1)</f>
        <v>14</v>
      </c>
      <c r="H1632" s="7" t="str">
        <f ca="1">VLOOKUP($D1632,Name!$A:$C,3,FALSE)</f>
        <v>F</v>
      </c>
      <c r="I1632" s="7" cm="1">
        <f t="array" aca="1" ref="I1632" ca="1">INDEX('Marital status'!$A:$A,RANDBETWEEN(2,COUNTA('Marital status'!$A:$A)),1)</f>
        <v>2</v>
      </c>
      <c r="J1632" s="7">
        <f t="shared" ca="1" si="303"/>
        <v>2</v>
      </c>
      <c r="K1632" s="8">
        <f t="shared" ca="1" si="304"/>
        <v>33214</v>
      </c>
      <c r="L1632" s="6">
        <f t="shared" ca="1" si="305"/>
        <v>4</v>
      </c>
      <c r="M1632" s="7">
        <f ca="1" xml:space="preserve">
  IF(OR($N1632 = 2, $N1632 = 3, $N1632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632" s="6">
        <f t="shared" ca="1" si="306"/>
        <v>6</v>
      </c>
      <c r="O1632" s="6" t="e">
        <f t="shared" ca="1" si="307"/>
        <v>#N/A</v>
      </c>
      <c r="P1632" s="8">
        <f t="shared" ca="1" si="308"/>
        <v>44119</v>
      </c>
      <c r="Q1632" s="6">
        <f ca="1">RANDBETWEEN(2,COUNTA('Recruitment source'!$A:$A))</f>
        <v>2</v>
      </c>
      <c r="R1632" s="8" t="e">
        <f t="shared" ca="1" si="309"/>
        <v>#N/A</v>
      </c>
      <c r="S1632" s="6" t="e">
        <f t="shared" ca="1" si="310"/>
        <v>#N/A</v>
      </c>
      <c r="T1632" s="6">
        <f t="shared" ca="1" si="300"/>
        <v>2</v>
      </c>
      <c r="U1632" s="1">
        <f t="shared" ca="1" si="311"/>
        <v>805</v>
      </c>
    </row>
    <row r="1633" spans="1:21" x14ac:dyDescent="0.2">
      <c r="A1633" s="7" cm="1">
        <f t="array" aca="1" ref="A1633" ca="1">INDEX(Companies!$A:$A,RANDBETWEEN(2,COUNTA(Companies!$A:$A)),1)</f>
        <v>2</v>
      </c>
      <c r="B1633" s="5">
        <f t="shared" si="301"/>
        <v>1632</v>
      </c>
      <c r="C1633" s="6">
        <f t="shared" ca="1" si="302"/>
        <v>1</v>
      </c>
      <c r="D1633" s="7">
        <f ca="1">IF($B1633 = 1 + N("Presidente"),
    127,
    IF($B1633 = 2 + N("Vice-Presidente"),
        72,
        IF($B1633 = 3 + N("Secretária bilíngue"),
            13,
            RANDBETWEEN(5,COUNT(Name!$A:$A) + 1)
        )
    )
)</f>
        <v>83</v>
      </c>
      <c r="E1633" s="7" t="str">
        <f ca="1" xml:space="preserve">
VLOOKUP(
  $D1633,
  Name!$A:$B,
  2,
  FALSE
)
&amp; " " &amp;
IF($B1633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Camila Luz Conti</v>
      </c>
      <c r="F1633" s="7">
        <v>2</v>
      </c>
      <c r="G1633" s="7" cm="1">
        <f t="array" aca="1" ref="G1633" ca="1">INDEX(States!$B:$B,RANDBETWEEN(2,COUNTA(States!$A:$A)),1)</f>
        <v>6</v>
      </c>
      <c r="H1633" s="7" t="str">
        <f ca="1">VLOOKUP($D1633,Name!$A:$C,3,FALSE)</f>
        <v>F</v>
      </c>
      <c r="I1633" s="7" cm="1">
        <f t="array" aca="1" ref="I1633" ca="1">INDEX('Marital status'!$A:$A,RANDBETWEEN(2,COUNTA('Marital status'!$A:$A)),1)</f>
        <v>5</v>
      </c>
      <c r="J1633" s="7">
        <f t="shared" ca="1" si="303"/>
        <v>2</v>
      </c>
      <c r="K1633" s="8">
        <f t="shared" ca="1" si="304"/>
        <v>32819</v>
      </c>
      <c r="L1633" s="6">
        <f t="shared" ca="1" si="305"/>
        <v>5</v>
      </c>
      <c r="M1633" s="7">
        <f ca="1" xml:space="preserve">
  IF(OR($N1633 = 2, $N1633 = 3, $N1633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633" s="6">
        <f t="shared" ca="1" si="306"/>
        <v>8</v>
      </c>
      <c r="O1633" s="6">
        <f t="shared" ca="1" si="307"/>
        <v>2</v>
      </c>
      <c r="P1633" s="8">
        <f t="shared" ca="1" si="308"/>
        <v>42815</v>
      </c>
      <c r="Q1633" s="6">
        <f ca="1">RANDBETWEEN(2,COUNTA('Recruitment source'!$A:$A))</f>
        <v>7</v>
      </c>
      <c r="R1633" s="8" t="e">
        <f t="shared" ca="1" si="309"/>
        <v>#N/A</v>
      </c>
      <c r="S1633" s="6" t="e">
        <f t="shared" ca="1" si="310"/>
        <v>#N/A</v>
      </c>
      <c r="T1633" s="6">
        <f t="shared" ca="1" si="300"/>
        <v>2</v>
      </c>
      <c r="U1633" s="1">
        <f t="shared" ca="1" si="311"/>
        <v>2080</v>
      </c>
    </row>
    <row r="1634" spans="1:21" x14ac:dyDescent="0.2">
      <c r="A1634" s="7" cm="1">
        <f t="array" aca="1" ref="A1634" ca="1">INDEX(Companies!$A:$A,RANDBETWEEN(2,COUNTA(Companies!$A:$A)),1)</f>
        <v>2</v>
      </c>
      <c r="B1634" s="5">
        <f t="shared" si="301"/>
        <v>1633</v>
      </c>
      <c r="C1634" s="6">
        <f t="shared" ca="1" si="302"/>
        <v>1</v>
      </c>
      <c r="D1634" s="7">
        <f ca="1">IF($B1634 = 1 + N("Presidente"),
    127,
    IF($B1634 = 2 + N("Vice-Presidente"),
        72,
        IF($B1634 = 3 + N("Secretária bilíngue"),
            13,
            RANDBETWEEN(5,COUNT(Name!$A:$A) + 1)
        )
    )
)</f>
        <v>159</v>
      </c>
      <c r="E1634" s="7" t="str">
        <f ca="1" xml:space="preserve">
VLOOKUP(
  $D1634,
  Name!$A:$B,
  2,
  FALSE
)
&amp; " " &amp;
IF($B1634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Gustavo Bactista sobrenome</v>
      </c>
      <c r="F1634" s="7">
        <v>2</v>
      </c>
      <c r="G1634" s="7" cm="1">
        <f t="array" aca="1" ref="G1634" ca="1">INDEX(States!$B:$B,RANDBETWEEN(2,COUNTA(States!$A:$A)),1)</f>
        <v>15</v>
      </c>
      <c r="H1634" s="7" t="str">
        <f ca="1">VLOOKUP($D1634,Name!$A:$C,3,FALSE)</f>
        <v>M</v>
      </c>
      <c r="I1634" s="7" cm="1">
        <f t="array" aca="1" ref="I1634" ca="1">INDEX('Marital status'!$A:$A,RANDBETWEEN(2,COUNTA('Marital status'!$A:$A)),1)</f>
        <v>3</v>
      </c>
      <c r="J1634" s="7">
        <f t="shared" ca="1" si="303"/>
        <v>5</v>
      </c>
      <c r="K1634" s="8">
        <f t="shared" ca="1" si="304"/>
        <v>31760</v>
      </c>
      <c r="L1634" s="6">
        <f t="shared" ca="1" si="305"/>
        <v>4</v>
      </c>
      <c r="M1634" s="7">
        <f ca="1" xml:space="preserve">
  IF(OR($N1634 = 2, $N1634 = 3, $N1634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634" s="6">
        <f t="shared" ca="1" si="306"/>
        <v>6</v>
      </c>
      <c r="O1634" s="6" t="e">
        <f t="shared" ca="1" si="307"/>
        <v>#N/A</v>
      </c>
      <c r="P1634" s="8">
        <f t="shared" ca="1" si="308"/>
        <v>44652</v>
      </c>
      <c r="Q1634" s="6">
        <f ca="1">RANDBETWEEN(2,COUNTA('Recruitment source'!$A:$A))</f>
        <v>11</v>
      </c>
      <c r="R1634" s="8" t="e">
        <f t="shared" ca="1" si="309"/>
        <v>#N/A</v>
      </c>
      <c r="S1634" s="6" t="e">
        <f t="shared" ca="1" si="310"/>
        <v>#N/A</v>
      </c>
      <c r="T1634" s="6">
        <f t="shared" ca="1" si="300"/>
        <v>3</v>
      </c>
      <c r="U1634" s="1">
        <f t="shared" ca="1" si="311"/>
        <v>805</v>
      </c>
    </row>
    <row r="1635" spans="1:21" x14ac:dyDescent="0.2">
      <c r="A1635" s="7" cm="1">
        <f t="array" aca="1" ref="A1635" ca="1">INDEX(Companies!$A:$A,RANDBETWEEN(2,COUNTA(Companies!$A:$A)),1)</f>
        <v>2</v>
      </c>
      <c r="B1635" s="5">
        <f t="shared" si="301"/>
        <v>1634</v>
      </c>
      <c r="C1635" s="6">
        <f t="shared" ca="1" si="302"/>
        <v>1</v>
      </c>
      <c r="D1635" s="7">
        <f ca="1">IF($B1635 = 1 + N("Presidente"),
    127,
    IF($B1635 = 2 + N("Vice-Presidente"),
        72,
        IF($B1635 = 3 + N("Secretária bilíngue"),
            13,
            RANDBETWEEN(5,COUNT(Name!$A:$A) + 1)
        )
    )
)</f>
        <v>141</v>
      </c>
      <c r="E1635" s="7" t="str">
        <f ca="1" xml:space="preserve">
VLOOKUP(
  $D1635,
  Name!$A:$B,
  2,
  FALSE
)
&amp; " " &amp;
IF($B1635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Filipe Holanda Rocha</v>
      </c>
      <c r="F1635" s="7">
        <v>2</v>
      </c>
      <c r="G1635" s="7" cm="1">
        <f t="array" aca="1" ref="G1635" ca="1">INDEX(States!$B:$B,RANDBETWEEN(2,COUNTA(States!$A:$A)),1)</f>
        <v>20</v>
      </c>
      <c r="H1635" s="7" t="str">
        <f ca="1">VLOOKUP($D1635,Name!$A:$C,3,FALSE)</f>
        <v>M</v>
      </c>
      <c r="I1635" s="7" cm="1">
        <f t="array" aca="1" ref="I1635" ca="1">INDEX('Marital status'!$A:$A,RANDBETWEEN(2,COUNTA('Marital status'!$A:$A)),1)</f>
        <v>4</v>
      </c>
      <c r="J1635" s="7">
        <f t="shared" ca="1" si="303"/>
        <v>2</v>
      </c>
      <c r="K1635" s="8">
        <f t="shared" ca="1" si="304"/>
        <v>36610</v>
      </c>
      <c r="L1635" s="6">
        <f t="shared" ca="1" si="305"/>
        <v>5</v>
      </c>
      <c r="M1635" s="7">
        <f ca="1" xml:space="preserve">
  IF(OR($N1635 = 2, $N1635 = 3, $N1635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635" s="6">
        <f t="shared" ca="1" si="306"/>
        <v>8</v>
      </c>
      <c r="O1635" s="6">
        <f t="shared" ca="1" si="307"/>
        <v>2</v>
      </c>
      <c r="P1635" s="8">
        <f t="shared" ca="1" si="308"/>
        <v>40241</v>
      </c>
      <c r="Q1635" s="6">
        <f ca="1">RANDBETWEEN(2,COUNTA('Recruitment source'!$A:$A))</f>
        <v>4</v>
      </c>
      <c r="R1635" s="8" t="e">
        <f t="shared" ca="1" si="309"/>
        <v>#N/A</v>
      </c>
      <c r="S1635" s="6" t="e">
        <f t="shared" ca="1" si="310"/>
        <v>#N/A</v>
      </c>
      <c r="T1635" s="6">
        <f t="shared" ca="1" si="300"/>
        <v>4</v>
      </c>
      <c r="U1635" s="1">
        <f t="shared" ca="1" si="311"/>
        <v>2000</v>
      </c>
    </row>
    <row r="1636" spans="1:21" x14ac:dyDescent="0.2">
      <c r="A1636" s="7" cm="1">
        <f t="array" aca="1" ref="A1636" ca="1">INDEX(Companies!$A:$A,RANDBETWEEN(2,COUNTA(Companies!$A:$A)),1)</f>
        <v>2</v>
      </c>
      <c r="B1636" s="5">
        <f t="shared" si="301"/>
        <v>1635</v>
      </c>
      <c r="C1636" s="6">
        <f t="shared" ca="1" si="302"/>
        <v>1</v>
      </c>
      <c r="D1636" s="7">
        <f ca="1">IF($B1636 = 1 + N("Presidente"),
    127,
    IF($B1636 = 2 + N("Vice-Presidente"),
        72,
        IF($B1636 = 3 + N("Secretária bilíngue"),
            13,
            RANDBETWEEN(5,COUNT(Name!$A:$A) + 1)
        )
    )
)</f>
        <v>208</v>
      </c>
      <c r="E1636" s="7" t="str">
        <f ca="1" xml:space="preserve">
VLOOKUP(
  $D1636,
  Name!$A:$B,
  2,
  FALSE
)
&amp; " " &amp;
IF($B1636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Katarina Furtado Andrade</v>
      </c>
      <c r="F1636" s="7">
        <v>2</v>
      </c>
      <c r="G1636" s="7" cm="1">
        <f t="array" aca="1" ref="G1636" ca="1">INDEX(States!$B:$B,RANDBETWEEN(2,COUNTA(States!$A:$A)),1)</f>
        <v>18</v>
      </c>
      <c r="H1636" s="7" t="str">
        <f ca="1">VLOOKUP($D1636,Name!$A:$C,3,FALSE)</f>
        <v>F</v>
      </c>
      <c r="I1636" s="7" cm="1">
        <f t="array" aca="1" ref="I1636" ca="1">INDEX('Marital status'!$A:$A,RANDBETWEEN(2,COUNTA('Marital status'!$A:$A)),1)</f>
        <v>5</v>
      </c>
      <c r="J1636" s="7">
        <f t="shared" ca="1" si="303"/>
        <v>2</v>
      </c>
      <c r="K1636" s="8">
        <f t="shared" ca="1" si="304"/>
        <v>33943</v>
      </c>
      <c r="L1636" s="6">
        <f t="shared" ca="1" si="305"/>
        <v>4</v>
      </c>
      <c r="M1636" s="7">
        <f ca="1" xml:space="preserve">
  IF(OR($N1636 = 2, $N1636 = 3, $N1636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636" s="6">
        <f t="shared" ca="1" si="306"/>
        <v>7</v>
      </c>
      <c r="O1636" s="6" t="e">
        <f t="shared" ca="1" si="307"/>
        <v>#N/A</v>
      </c>
      <c r="P1636" s="8">
        <f t="shared" ca="1" si="308"/>
        <v>43810</v>
      </c>
      <c r="Q1636" s="6">
        <f ca="1">RANDBETWEEN(2,COUNTA('Recruitment source'!$A:$A))</f>
        <v>8</v>
      </c>
      <c r="R1636" s="8" t="e">
        <f t="shared" ca="1" si="309"/>
        <v>#N/A</v>
      </c>
      <c r="S1636" s="6" t="e">
        <f t="shared" ca="1" si="310"/>
        <v>#N/A</v>
      </c>
      <c r="T1636" s="6">
        <f t="shared" ca="1" si="300"/>
        <v>5</v>
      </c>
      <c r="U1636" s="1">
        <f t="shared" ca="1" si="311"/>
        <v>1005</v>
      </c>
    </row>
    <row r="1637" spans="1:21" x14ac:dyDescent="0.2">
      <c r="A1637" s="7" cm="1">
        <f t="array" aca="1" ref="A1637" ca="1">INDEX(Companies!$A:$A,RANDBETWEEN(2,COUNTA(Companies!$A:$A)),1)</f>
        <v>2</v>
      </c>
      <c r="B1637" s="5">
        <f t="shared" si="301"/>
        <v>1636</v>
      </c>
      <c r="C1637" s="6">
        <f t="shared" ca="1" si="302"/>
        <v>1</v>
      </c>
      <c r="D1637" s="7">
        <f ca="1">IF($B1637 = 1 + N("Presidente"),
    127,
    IF($B1637 = 2 + N("Vice-Presidente"),
        72,
        IF($B1637 = 3 + N("Secretária bilíngue"),
            13,
            RANDBETWEEN(5,COUNT(Name!$A:$A) + 1)
        )
    )
)</f>
        <v>234</v>
      </c>
      <c r="E1637" s="7" t="str">
        <f ca="1" xml:space="preserve">
VLOOKUP(
  $D1637,
  Name!$A:$B,
  2,
  FALSE
)
&amp; " " &amp;
IF($B1637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Louise Marques Pimenta</v>
      </c>
      <c r="F1637" s="7">
        <v>2</v>
      </c>
      <c r="G1637" s="7" cm="1">
        <f t="array" aca="1" ref="G1637" ca="1">INDEX(States!$B:$B,RANDBETWEEN(2,COUNTA(States!$A:$A)),1)</f>
        <v>12</v>
      </c>
      <c r="H1637" s="7" t="str">
        <f ca="1">VLOOKUP($D1637,Name!$A:$C,3,FALSE)</f>
        <v>F</v>
      </c>
      <c r="I1637" s="7" cm="1">
        <f t="array" aca="1" ref="I1637" ca="1">INDEX('Marital status'!$A:$A,RANDBETWEEN(2,COUNTA('Marital status'!$A:$A)),1)</f>
        <v>4</v>
      </c>
      <c r="J1637" s="7">
        <f t="shared" ca="1" si="303"/>
        <v>2</v>
      </c>
      <c r="K1637" s="8">
        <f t="shared" ca="1" si="304"/>
        <v>38098</v>
      </c>
      <c r="L1637" s="6">
        <f t="shared" ca="1" si="305"/>
        <v>5</v>
      </c>
      <c r="M1637" s="7">
        <f ca="1" xml:space="preserve">
  IF(OR($N1637 = 2, $N1637 = 3, $N1637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637" s="6">
        <f t="shared" ca="1" si="306"/>
        <v>8</v>
      </c>
      <c r="O1637" s="6">
        <f t="shared" ca="1" si="307"/>
        <v>4</v>
      </c>
      <c r="P1637" s="8">
        <f t="shared" ca="1" si="308"/>
        <v>44838</v>
      </c>
      <c r="Q1637" s="6">
        <f ca="1">RANDBETWEEN(2,COUNTA('Recruitment source'!$A:$A))</f>
        <v>5</v>
      </c>
      <c r="R1637" s="8" t="e">
        <f t="shared" ca="1" si="309"/>
        <v>#N/A</v>
      </c>
      <c r="S1637" s="6" t="e">
        <f t="shared" ca="1" si="310"/>
        <v>#N/A</v>
      </c>
      <c r="T1637" s="6">
        <f t="shared" ca="1" si="300"/>
        <v>4</v>
      </c>
      <c r="U1637" s="1">
        <f t="shared" ca="1" si="311"/>
        <v>2080</v>
      </c>
    </row>
    <row r="1638" spans="1:21" x14ac:dyDescent="0.2">
      <c r="A1638" s="7" cm="1">
        <f t="array" aca="1" ref="A1638" ca="1">INDEX(Companies!$A:$A,RANDBETWEEN(2,COUNTA(Companies!$A:$A)),1)</f>
        <v>2</v>
      </c>
      <c r="B1638" s="5">
        <f t="shared" si="301"/>
        <v>1637</v>
      </c>
      <c r="C1638" s="6">
        <f t="shared" ca="1" si="302"/>
        <v>1</v>
      </c>
      <c r="D1638" s="7">
        <f ca="1">IF($B1638 = 1 + N("Presidente"),
    127,
    IF($B1638 = 2 + N("Vice-Presidente"),
        72,
        IF($B1638 = 3 + N("Secretária bilíngue"),
            13,
            RANDBETWEEN(5,COUNT(Name!$A:$A) + 1)
        )
    )
)</f>
        <v>358</v>
      </c>
      <c r="E1638" s="7" t="str">
        <f ca="1" xml:space="preserve">
VLOOKUP(
  $D1638,
  Name!$A:$B,
  2,
  FALSE
)
&amp; " " &amp;
IF($B1638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Vinícius Marino Ricci</v>
      </c>
      <c r="F1638" s="7">
        <v>2</v>
      </c>
      <c r="G1638" s="7" cm="1">
        <f t="array" aca="1" ref="G1638" ca="1">INDEX(States!$B:$B,RANDBETWEEN(2,COUNTA(States!$A:$A)),1)</f>
        <v>15</v>
      </c>
      <c r="H1638" s="7" t="str">
        <f ca="1">VLOOKUP($D1638,Name!$A:$C,3,FALSE)</f>
        <v>M</v>
      </c>
      <c r="I1638" s="7" cm="1">
        <f t="array" aca="1" ref="I1638" ca="1">INDEX('Marital status'!$A:$A,RANDBETWEEN(2,COUNTA('Marital status'!$A:$A)),1)</f>
        <v>5</v>
      </c>
      <c r="J1638" s="7">
        <f t="shared" ca="1" si="303"/>
        <v>3</v>
      </c>
      <c r="K1638" s="8">
        <f t="shared" ca="1" si="304"/>
        <v>18840</v>
      </c>
      <c r="L1638" s="6">
        <f t="shared" ca="1" si="305"/>
        <v>4</v>
      </c>
      <c r="M1638" s="7">
        <f ca="1" xml:space="preserve">
  IF(OR($N1638 = 2, $N1638 = 3, $N1638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638" s="6">
        <f t="shared" ca="1" si="306"/>
        <v>6</v>
      </c>
      <c r="O1638" s="6" t="e">
        <f t="shared" ca="1" si="307"/>
        <v>#N/A</v>
      </c>
      <c r="P1638" s="8">
        <f t="shared" ca="1" si="308"/>
        <v>39355</v>
      </c>
      <c r="Q1638" s="6">
        <f ca="1">RANDBETWEEN(2,COUNTA('Recruitment source'!$A:$A))</f>
        <v>3</v>
      </c>
      <c r="R1638" s="8" t="e">
        <f t="shared" ca="1" si="309"/>
        <v>#N/A</v>
      </c>
      <c r="S1638" s="6" t="e">
        <f t="shared" ca="1" si="310"/>
        <v>#N/A</v>
      </c>
      <c r="T1638" s="6">
        <f t="shared" ca="1" si="300"/>
        <v>4</v>
      </c>
      <c r="U1638" s="1">
        <f t="shared" ca="1" si="311"/>
        <v>805</v>
      </c>
    </row>
    <row r="1639" spans="1:21" x14ac:dyDescent="0.2">
      <c r="A1639" s="7" cm="1">
        <f t="array" aca="1" ref="A1639" ca="1">INDEX(Companies!$A:$A,RANDBETWEEN(2,COUNTA(Companies!$A:$A)),1)</f>
        <v>2</v>
      </c>
      <c r="B1639" s="5">
        <f t="shared" si="301"/>
        <v>1638</v>
      </c>
      <c r="C1639" s="6">
        <f t="shared" ca="1" si="302"/>
        <v>1</v>
      </c>
      <c r="D1639" s="7">
        <f ca="1">IF($B1639 = 1 + N("Presidente"),
    127,
    IF($B1639 = 2 + N("Vice-Presidente"),
        72,
        IF($B1639 = 3 + N("Secretária bilíngue"),
            13,
            RANDBETWEEN(5,COUNT(Name!$A:$A) + 1)
        )
    )
)</f>
        <v>339</v>
      </c>
      <c r="E1639" s="7" t="str">
        <f ca="1" xml:space="preserve">
VLOOKUP(
  $D1639,
  Name!$A:$B,
  2,
  FALSE
)
&amp; " " &amp;
IF($B1639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Sophie Teixeira Fernandes</v>
      </c>
      <c r="F1639" s="7">
        <v>2</v>
      </c>
      <c r="G1639" s="7" cm="1">
        <f t="array" aca="1" ref="G1639" ca="1">INDEX(States!$B:$B,RANDBETWEEN(2,COUNTA(States!$A:$A)),1)</f>
        <v>16</v>
      </c>
      <c r="H1639" s="7" t="str">
        <f ca="1">VLOOKUP($D1639,Name!$A:$C,3,FALSE)</f>
        <v>F</v>
      </c>
      <c r="I1639" s="7" cm="1">
        <f t="array" aca="1" ref="I1639" ca="1">INDEX('Marital status'!$A:$A,RANDBETWEEN(2,COUNTA('Marital status'!$A:$A)),1)</f>
        <v>4</v>
      </c>
      <c r="J1639" s="7">
        <f t="shared" ca="1" si="303"/>
        <v>4</v>
      </c>
      <c r="K1639" s="8">
        <f t="shared" ca="1" si="304"/>
        <v>36761</v>
      </c>
      <c r="L1639" s="6">
        <f t="shared" ca="1" si="305"/>
        <v>5</v>
      </c>
      <c r="M1639" s="7">
        <f ca="1" xml:space="preserve">
  IF(OR($N1639 = 2, $N1639 = 3, $N1639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639" s="6">
        <f t="shared" ca="1" si="306"/>
        <v>8</v>
      </c>
      <c r="O1639" s="6">
        <f t="shared" ca="1" si="307"/>
        <v>2</v>
      </c>
      <c r="P1639" s="8">
        <f t="shared" ca="1" si="308"/>
        <v>44710</v>
      </c>
      <c r="Q1639" s="6">
        <f ca="1">RANDBETWEEN(2,COUNTA('Recruitment source'!$A:$A))</f>
        <v>6</v>
      </c>
      <c r="R1639" s="8" t="e">
        <f t="shared" ca="1" si="309"/>
        <v>#N/A</v>
      </c>
      <c r="S1639" s="6" t="e">
        <f t="shared" ca="1" si="310"/>
        <v>#N/A</v>
      </c>
      <c r="T1639" s="6">
        <f t="shared" ca="1" si="300"/>
        <v>2</v>
      </c>
      <c r="U1639" s="1">
        <f t="shared" ca="1" si="311"/>
        <v>2000</v>
      </c>
    </row>
    <row r="1640" spans="1:21" x14ac:dyDescent="0.2">
      <c r="A1640" s="7" cm="1">
        <f t="array" aca="1" ref="A1640" ca="1">INDEX(Companies!$A:$A,RANDBETWEEN(2,COUNTA(Companies!$A:$A)),1)</f>
        <v>2</v>
      </c>
      <c r="B1640" s="5">
        <f t="shared" si="301"/>
        <v>1639</v>
      </c>
      <c r="C1640" s="6">
        <f t="shared" ca="1" si="302"/>
        <v>1</v>
      </c>
      <c r="D1640" s="7">
        <f ca="1">IF($B1640 = 1 + N("Presidente"),
    127,
    IF($B1640 = 2 + N("Vice-Presidente"),
        72,
        IF($B1640 = 3 + N("Secretária bilíngue"),
            13,
            RANDBETWEEN(5,COUNT(Name!$A:$A) + 1)
        )
    )
)</f>
        <v>65</v>
      </c>
      <c r="E1640" s="7" t="str">
        <f ca="1" xml:space="preserve">
VLOOKUP(
  $D1640,
  Name!$A:$B,
  2,
  FALSE
)
&amp; " " &amp;
IF($B1640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Bárbara Esposito Arruda</v>
      </c>
      <c r="F1640" s="7">
        <v>2</v>
      </c>
      <c r="G1640" s="7" cm="1">
        <f t="array" aca="1" ref="G1640" ca="1">INDEX(States!$B:$B,RANDBETWEEN(2,COUNTA(States!$A:$A)),1)</f>
        <v>17</v>
      </c>
      <c r="H1640" s="7" t="str">
        <f ca="1">VLOOKUP($D1640,Name!$A:$C,3,FALSE)</f>
        <v>F</v>
      </c>
      <c r="I1640" s="7" cm="1">
        <f t="array" aca="1" ref="I1640" ca="1">INDEX('Marital status'!$A:$A,RANDBETWEEN(2,COUNTA('Marital status'!$A:$A)),1)</f>
        <v>3</v>
      </c>
      <c r="J1640" s="7">
        <f t="shared" ca="1" si="303"/>
        <v>2</v>
      </c>
      <c r="K1640" s="8">
        <f t="shared" ca="1" si="304"/>
        <v>33913</v>
      </c>
      <c r="L1640" s="6">
        <f t="shared" ca="1" si="305"/>
        <v>4</v>
      </c>
      <c r="M1640" s="7">
        <f ca="1" xml:space="preserve">
  IF(OR($N1640 = 2, $N1640 = 3, $N1640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640" s="6">
        <f t="shared" ca="1" si="306"/>
        <v>7</v>
      </c>
      <c r="O1640" s="6" t="e">
        <f t="shared" ca="1" si="307"/>
        <v>#N/A</v>
      </c>
      <c r="P1640" s="8">
        <f t="shared" ca="1" si="308"/>
        <v>36446</v>
      </c>
      <c r="Q1640" s="6">
        <f ca="1">RANDBETWEEN(2,COUNTA('Recruitment source'!$A:$A))</f>
        <v>9</v>
      </c>
      <c r="R1640" s="8" t="e">
        <f t="shared" ca="1" si="309"/>
        <v>#N/A</v>
      </c>
      <c r="S1640" s="6" t="e">
        <f t="shared" ca="1" si="310"/>
        <v>#N/A</v>
      </c>
      <c r="T1640" s="6">
        <f t="shared" ca="1" si="300"/>
        <v>5</v>
      </c>
      <c r="U1640" s="1">
        <f t="shared" ca="1" si="311"/>
        <v>1005</v>
      </c>
    </row>
    <row r="1641" spans="1:21" x14ac:dyDescent="0.2">
      <c r="A1641" s="7" cm="1">
        <f t="array" aca="1" ref="A1641" ca="1">INDEX(Companies!$A:$A,RANDBETWEEN(2,COUNTA(Companies!$A:$A)),1)</f>
        <v>2</v>
      </c>
      <c r="B1641" s="5">
        <f t="shared" si="301"/>
        <v>1640</v>
      </c>
      <c r="C1641" s="6">
        <f t="shared" ca="1" si="302"/>
        <v>1</v>
      </c>
      <c r="D1641" s="7">
        <f ca="1">IF($B1641 = 1 + N("Presidente"),
    127,
    IF($B1641 = 2 + N("Vice-Presidente"),
        72,
        IF($B1641 = 3 + N("Secretária bilíngue"),
            13,
            RANDBETWEEN(5,COUNT(Name!$A:$A) + 1)
        )
    )
)</f>
        <v>155</v>
      </c>
      <c r="E1641" s="7" t="str">
        <f ca="1" xml:space="preserve">
VLOOKUP(
  $D1641,
  Name!$A:$B,
  2,
  FALSE
)
&amp; " " &amp;
IF($B1641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Gloria Andrade Nascimento</v>
      </c>
      <c r="F1641" s="7">
        <v>2</v>
      </c>
      <c r="G1641" s="7" cm="1">
        <f t="array" aca="1" ref="G1641" ca="1">INDEX(States!$B:$B,RANDBETWEEN(2,COUNTA(States!$A:$A)),1)</f>
        <v>7</v>
      </c>
      <c r="H1641" s="7" t="str">
        <f ca="1">VLOOKUP($D1641,Name!$A:$C,3,FALSE)</f>
        <v>F</v>
      </c>
      <c r="I1641" s="7" cm="1">
        <f t="array" aca="1" ref="I1641" ca="1">INDEX('Marital status'!$A:$A,RANDBETWEEN(2,COUNTA('Marital status'!$A:$A)),1)</f>
        <v>4</v>
      </c>
      <c r="J1641" s="7">
        <f t="shared" ca="1" si="303"/>
        <v>2</v>
      </c>
      <c r="K1641" s="8">
        <f t="shared" ca="1" si="304"/>
        <v>34913</v>
      </c>
      <c r="L1641" s="6">
        <f t="shared" ca="1" si="305"/>
        <v>5</v>
      </c>
      <c r="M1641" s="7">
        <f ca="1" xml:space="preserve">
  IF(OR($N1641 = 2, $N1641 = 3, $N1641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641" s="6">
        <f t="shared" ca="1" si="306"/>
        <v>8</v>
      </c>
      <c r="O1641" s="6">
        <f t="shared" ca="1" si="307"/>
        <v>3</v>
      </c>
      <c r="P1641" s="8">
        <f t="shared" ca="1" si="308"/>
        <v>39424</v>
      </c>
      <c r="Q1641" s="6">
        <f ca="1">RANDBETWEEN(2,COUNTA('Recruitment source'!$A:$A))</f>
        <v>4</v>
      </c>
      <c r="R1641" s="8" t="e">
        <f t="shared" ca="1" si="309"/>
        <v>#N/A</v>
      </c>
      <c r="S1641" s="6" t="e">
        <f t="shared" ca="1" si="310"/>
        <v>#N/A</v>
      </c>
      <c r="T1641" s="6">
        <f t="shared" ca="1" si="300"/>
        <v>5</v>
      </c>
      <c r="U1641" s="1">
        <f t="shared" ca="1" si="311"/>
        <v>2000</v>
      </c>
    </row>
    <row r="1642" spans="1:21" x14ac:dyDescent="0.2">
      <c r="A1642" s="7" cm="1">
        <f t="array" aca="1" ref="A1642" ca="1">INDEX(Companies!$A:$A,RANDBETWEEN(2,COUNTA(Companies!$A:$A)),1)</f>
        <v>2</v>
      </c>
      <c r="B1642" s="5">
        <f t="shared" si="301"/>
        <v>1641</v>
      </c>
      <c r="C1642" s="6">
        <f t="shared" ca="1" si="302"/>
        <v>1</v>
      </c>
      <c r="D1642" s="7">
        <f ca="1">IF($B1642 = 1 + N("Presidente"),
    127,
    IF($B1642 = 2 + N("Vice-Presidente"),
        72,
        IF($B1642 = 3 + N("Secretária bilíngue"),
            13,
            RANDBETWEEN(5,COUNT(Name!$A:$A) + 1)
        )
    )
)</f>
        <v>300</v>
      </c>
      <c r="E1642" s="7" t="str">
        <f ca="1" xml:space="preserve">
VLOOKUP(
  $D1642,
  Name!$A:$B,
  2,
  FALSE
)
&amp; " " &amp;
IF($B1642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Muricy Mendes Caminha</v>
      </c>
      <c r="F1642" s="7">
        <v>2</v>
      </c>
      <c r="G1642" s="7" cm="1">
        <f t="array" aca="1" ref="G1642" ca="1">INDEX(States!$B:$B,RANDBETWEEN(2,COUNTA(States!$A:$A)),1)</f>
        <v>16</v>
      </c>
      <c r="H1642" s="7" t="str">
        <f ca="1">VLOOKUP($D1642,Name!$A:$C,3,FALSE)</f>
        <v>M</v>
      </c>
      <c r="I1642" s="7" cm="1">
        <f t="array" aca="1" ref="I1642" ca="1">INDEX('Marital status'!$A:$A,RANDBETWEEN(2,COUNTA('Marital status'!$A:$A)),1)</f>
        <v>3</v>
      </c>
      <c r="J1642" s="7">
        <f t="shared" ca="1" si="303"/>
        <v>2</v>
      </c>
      <c r="K1642" s="8">
        <f t="shared" ca="1" si="304"/>
        <v>30061</v>
      </c>
      <c r="L1642" s="6">
        <f t="shared" ca="1" si="305"/>
        <v>4</v>
      </c>
      <c r="M1642" s="7">
        <f ca="1" xml:space="preserve">
  IF(OR($N1642 = 2, $N1642 = 3, $N1642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642" s="6">
        <f t="shared" ca="1" si="306"/>
        <v>7</v>
      </c>
      <c r="O1642" s="6" t="e">
        <f t="shared" ca="1" si="307"/>
        <v>#N/A</v>
      </c>
      <c r="P1642" s="8">
        <f t="shared" ca="1" si="308"/>
        <v>43602</v>
      </c>
      <c r="Q1642" s="6">
        <f ca="1">RANDBETWEEN(2,COUNTA('Recruitment source'!$A:$A))</f>
        <v>2</v>
      </c>
      <c r="R1642" s="8" t="e">
        <f t="shared" ca="1" si="309"/>
        <v>#N/A</v>
      </c>
      <c r="S1642" s="6" t="e">
        <f t="shared" ca="1" si="310"/>
        <v>#N/A</v>
      </c>
      <c r="T1642" s="6">
        <f t="shared" ca="1" si="300"/>
        <v>4</v>
      </c>
      <c r="U1642" s="1">
        <f t="shared" ca="1" si="311"/>
        <v>1085</v>
      </c>
    </row>
    <row r="1643" spans="1:21" x14ac:dyDescent="0.2">
      <c r="A1643" s="7" cm="1">
        <f t="array" aca="1" ref="A1643" ca="1">INDEX(Companies!$A:$A,RANDBETWEEN(2,COUNTA(Companies!$A:$A)),1)</f>
        <v>2</v>
      </c>
      <c r="B1643" s="5">
        <f t="shared" si="301"/>
        <v>1642</v>
      </c>
      <c r="C1643" s="6">
        <f t="shared" ca="1" si="302"/>
        <v>1</v>
      </c>
      <c r="D1643" s="7">
        <f ca="1">IF($B1643 = 1 + N("Presidente"),
    127,
    IF($B1643 = 2 + N("Vice-Presidente"),
        72,
        IF($B1643 = 3 + N("Secretária bilíngue"),
            13,
            RANDBETWEEN(5,COUNT(Name!$A:$A) + 1)
        )
    )
)</f>
        <v>308</v>
      </c>
      <c r="E1643" s="7" t="str">
        <f ca="1" xml:space="preserve">
VLOOKUP(
  $D1643,
  Name!$A:$B,
  2,
  FALSE
)
&amp; " " &amp;
IF($B1643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Noah Monteiro Martinelli</v>
      </c>
      <c r="F1643" s="7">
        <v>2</v>
      </c>
      <c r="G1643" s="7" cm="1">
        <f t="array" aca="1" ref="G1643" ca="1">INDEX(States!$B:$B,RANDBETWEEN(2,COUNTA(States!$A:$A)),1)</f>
        <v>8</v>
      </c>
      <c r="H1643" s="7" t="str">
        <f ca="1">VLOOKUP($D1643,Name!$A:$C,3,FALSE)</f>
        <v>M</v>
      </c>
      <c r="I1643" s="7" cm="1">
        <f t="array" aca="1" ref="I1643" ca="1">INDEX('Marital status'!$A:$A,RANDBETWEEN(2,COUNTA('Marital status'!$A:$A)),1)</f>
        <v>6</v>
      </c>
      <c r="J1643" s="7">
        <f t="shared" ca="1" si="303"/>
        <v>2</v>
      </c>
      <c r="K1643" s="8">
        <f t="shared" ca="1" si="304"/>
        <v>35487</v>
      </c>
      <c r="L1643" s="6">
        <f t="shared" ca="1" si="305"/>
        <v>5</v>
      </c>
      <c r="M1643" s="7">
        <f ca="1" xml:space="preserve">
  IF(OR($N1643 = 2, $N1643 = 3, $N1643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643" s="6">
        <f t="shared" ca="1" si="306"/>
        <v>8</v>
      </c>
      <c r="O1643" s="6">
        <f t="shared" ca="1" si="307"/>
        <v>2</v>
      </c>
      <c r="P1643" s="8">
        <f t="shared" ca="1" si="308"/>
        <v>38090</v>
      </c>
      <c r="Q1643" s="6">
        <f ca="1">RANDBETWEEN(2,COUNTA('Recruitment source'!$A:$A))</f>
        <v>10</v>
      </c>
      <c r="R1643" s="8" t="e">
        <f t="shared" ca="1" si="309"/>
        <v>#N/A</v>
      </c>
      <c r="S1643" s="6" t="e">
        <f t="shared" ca="1" si="310"/>
        <v>#N/A</v>
      </c>
      <c r="T1643" s="6">
        <f t="shared" ca="1" si="300"/>
        <v>4</v>
      </c>
      <c r="U1643" s="1">
        <f t="shared" ca="1" si="311"/>
        <v>2000</v>
      </c>
    </row>
    <row r="1644" spans="1:21" x14ac:dyDescent="0.2">
      <c r="A1644" s="7" cm="1">
        <f t="array" aca="1" ref="A1644" ca="1">INDEX(Companies!$A:$A,RANDBETWEEN(2,COUNTA(Companies!$A:$A)),1)</f>
        <v>2</v>
      </c>
      <c r="B1644" s="5">
        <f t="shared" si="301"/>
        <v>1643</v>
      </c>
      <c r="C1644" s="6">
        <f t="shared" ca="1" si="302"/>
        <v>1</v>
      </c>
      <c r="D1644" s="7">
        <f ca="1">IF($B1644 = 1 + N("Presidente"),
    127,
    IF($B1644 = 2 + N("Vice-Presidente"),
        72,
        IF($B1644 = 3 + N("Secretária bilíngue"),
            13,
            RANDBETWEEN(5,COUNT(Name!$A:$A) + 1)
        )
    )
)</f>
        <v>58</v>
      </c>
      <c r="E1644" s="7" t="str">
        <f ca="1" xml:space="preserve">
VLOOKUP(
  $D1644,
  Name!$A:$B,
  2,
  FALSE
)
&amp; " " &amp;
IF($B1644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Miguel Evangelista Resende</v>
      </c>
      <c r="F1644" s="7">
        <v>2</v>
      </c>
      <c r="G1644" s="7" cm="1">
        <f t="array" aca="1" ref="G1644" ca="1">INDEX(States!$B:$B,RANDBETWEEN(2,COUNTA(States!$A:$A)),1)</f>
        <v>7</v>
      </c>
      <c r="H1644" s="7" t="str">
        <f ca="1">VLOOKUP($D1644,Name!$A:$C,3,FALSE)</f>
        <v>M</v>
      </c>
      <c r="I1644" s="7" cm="1">
        <f t="array" aca="1" ref="I1644" ca="1">INDEX('Marital status'!$A:$A,RANDBETWEEN(2,COUNTA('Marital status'!$A:$A)),1)</f>
        <v>3</v>
      </c>
      <c r="J1644" s="7">
        <f t="shared" ca="1" si="303"/>
        <v>2</v>
      </c>
      <c r="K1644" s="8">
        <f t="shared" ca="1" si="304"/>
        <v>19494</v>
      </c>
      <c r="L1644" s="6">
        <f t="shared" ca="1" si="305"/>
        <v>4</v>
      </c>
      <c r="M1644" s="7">
        <f ca="1" xml:space="preserve">
  IF(OR($N1644 = 2, $N1644 = 3, $N1644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644" s="6">
        <f t="shared" ca="1" si="306"/>
        <v>6</v>
      </c>
      <c r="O1644" s="6" t="e">
        <f t="shared" ca="1" si="307"/>
        <v>#N/A</v>
      </c>
      <c r="P1644" s="8">
        <f t="shared" ca="1" si="308"/>
        <v>41146</v>
      </c>
      <c r="Q1644" s="6">
        <f ca="1">RANDBETWEEN(2,COUNTA('Recruitment source'!$A:$A))</f>
        <v>8</v>
      </c>
      <c r="R1644" s="8" t="e">
        <f t="shared" ca="1" si="309"/>
        <v>#N/A</v>
      </c>
      <c r="S1644" s="6" t="e">
        <f t="shared" ca="1" si="310"/>
        <v>#N/A</v>
      </c>
      <c r="T1644" s="6">
        <f t="shared" ca="1" si="300"/>
        <v>3</v>
      </c>
      <c r="U1644" s="1">
        <f t="shared" ca="1" si="311"/>
        <v>805</v>
      </c>
    </row>
    <row r="1645" spans="1:21" x14ac:dyDescent="0.2">
      <c r="A1645" s="7" cm="1">
        <f t="array" aca="1" ref="A1645" ca="1">INDEX(Companies!$A:$A,RANDBETWEEN(2,COUNTA(Companies!$A:$A)),1)</f>
        <v>2</v>
      </c>
      <c r="B1645" s="5">
        <f t="shared" si="301"/>
        <v>1644</v>
      </c>
      <c r="C1645" s="6">
        <f t="shared" ca="1" si="302"/>
        <v>1</v>
      </c>
      <c r="D1645" s="7">
        <f ca="1">IF($B1645 = 1 + N("Presidente"),
    127,
    IF($B1645 = 2 + N("Vice-Presidente"),
        72,
        IF($B1645 = 3 + N("Secretária bilíngue"),
            13,
            RANDBETWEEN(5,COUNT(Name!$A:$A) + 1)
        )
    )
)</f>
        <v>135</v>
      </c>
      <c r="E1645" s="7" t="str">
        <f ca="1" xml:space="preserve">
VLOOKUP(
  $D1645,
  Name!$A:$B,
  2,
  FALSE
)
&amp; " " &amp;
IF($B1645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Felipe Galli Camacho</v>
      </c>
      <c r="F1645" s="7">
        <v>2</v>
      </c>
      <c r="G1645" s="7" cm="1">
        <f t="array" aca="1" ref="G1645" ca="1">INDEX(States!$B:$B,RANDBETWEEN(2,COUNTA(States!$A:$A)),1)</f>
        <v>16</v>
      </c>
      <c r="H1645" s="7" t="str">
        <f ca="1">VLOOKUP($D1645,Name!$A:$C,3,FALSE)</f>
        <v>M</v>
      </c>
      <c r="I1645" s="7" cm="1">
        <f t="array" aca="1" ref="I1645" ca="1">INDEX('Marital status'!$A:$A,RANDBETWEEN(2,COUNTA('Marital status'!$A:$A)),1)</f>
        <v>5</v>
      </c>
      <c r="J1645" s="7">
        <f t="shared" ca="1" si="303"/>
        <v>3</v>
      </c>
      <c r="K1645" s="8">
        <f t="shared" ca="1" si="304"/>
        <v>33610</v>
      </c>
      <c r="L1645" s="6">
        <f t="shared" ca="1" si="305"/>
        <v>4</v>
      </c>
      <c r="M1645" s="7">
        <f ca="1" xml:space="preserve">
  IF(OR($N1645 = 2, $N1645 = 3, $N1645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645" s="6">
        <f t="shared" ca="1" si="306"/>
        <v>8</v>
      </c>
      <c r="O1645" s="6">
        <f t="shared" ca="1" si="307"/>
        <v>3</v>
      </c>
      <c r="P1645" s="8">
        <f t="shared" ca="1" si="308"/>
        <v>42555</v>
      </c>
      <c r="Q1645" s="6">
        <f ca="1">RANDBETWEEN(2,COUNTA('Recruitment source'!$A:$A))</f>
        <v>6</v>
      </c>
      <c r="R1645" s="8" t="e">
        <f t="shared" ca="1" si="309"/>
        <v>#N/A</v>
      </c>
      <c r="S1645" s="6" t="e">
        <f t="shared" ca="1" si="310"/>
        <v>#N/A</v>
      </c>
      <c r="T1645" s="6">
        <f t="shared" ca="1" si="300"/>
        <v>3</v>
      </c>
      <c r="U1645" s="1">
        <f t="shared" ca="1" si="311"/>
        <v>2080</v>
      </c>
    </row>
    <row r="1646" spans="1:21" x14ac:dyDescent="0.2">
      <c r="A1646" s="7" cm="1">
        <f t="array" aca="1" ref="A1646" ca="1">INDEX(Companies!$A:$A,RANDBETWEEN(2,COUNTA(Companies!$A:$A)),1)</f>
        <v>2</v>
      </c>
      <c r="B1646" s="5">
        <f t="shared" si="301"/>
        <v>1645</v>
      </c>
      <c r="C1646" s="6">
        <f t="shared" ca="1" si="302"/>
        <v>1</v>
      </c>
      <c r="D1646" s="7">
        <f ca="1">IF($B1646 = 1 + N("Presidente"),
    127,
    IF($B1646 = 2 + N("Vice-Presidente"),
        72,
        IF($B1646 = 3 + N("Secretária bilíngue"),
            13,
            RANDBETWEEN(5,COUNT(Name!$A:$A) + 1)
        )
    )
)</f>
        <v>84</v>
      </c>
      <c r="E1646" s="7" t="str">
        <f ca="1" xml:space="preserve">
VLOOKUP(
  $D1646,
  Name!$A:$B,
  2,
  FALSE
)
&amp; " " &amp;
IF($B1646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Carlos Noronha Barbosa</v>
      </c>
      <c r="F1646" s="7">
        <v>2</v>
      </c>
      <c r="G1646" s="7" cm="1">
        <f t="array" aca="1" ref="G1646" ca="1">INDEX(States!$B:$B,RANDBETWEEN(2,COUNTA(States!$A:$A)),1)</f>
        <v>6</v>
      </c>
      <c r="H1646" s="7" t="str">
        <f ca="1">VLOOKUP($D1646,Name!$A:$C,3,FALSE)</f>
        <v>M</v>
      </c>
      <c r="I1646" s="7" cm="1">
        <f t="array" aca="1" ref="I1646" ca="1">INDEX('Marital status'!$A:$A,RANDBETWEEN(2,COUNTA('Marital status'!$A:$A)),1)</f>
        <v>5</v>
      </c>
      <c r="J1646" s="7">
        <f t="shared" ca="1" si="303"/>
        <v>2</v>
      </c>
      <c r="K1646" s="8">
        <f t="shared" ca="1" si="304"/>
        <v>34046</v>
      </c>
      <c r="L1646" s="6">
        <f t="shared" ca="1" si="305"/>
        <v>4</v>
      </c>
      <c r="M1646" s="7">
        <f ca="1" xml:space="preserve">
  IF(OR($N1646 = 2, $N1646 = 3, $N1646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646" s="6">
        <f t="shared" ca="1" si="306"/>
        <v>7</v>
      </c>
      <c r="O1646" s="6" t="e">
        <f t="shared" ca="1" si="307"/>
        <v>#N/A</v>
      </c>
      <c r="P1646" s="8">
        <f t="shared" ca="1" si="308"/>
        <v>41700</v>
      </c>
      <c r="Q1646" s="6">
        <f ca="1">RANDBETWEEN(2,COUNTA('Recruitment source'!$A:$A))</f>
        <v>6</v>
      </c>
      <c r="R1646" s="8" t="e">
        <f t="shared" ca="1" si="309"/>
        <v>#N/A</v>
      </c>
      <c r="S1646" s="6" t="e">
        <f t="shared" ca="1" si="310"/>
        <v>#N/A</v>
      </c>
      <c r="T1646" s="6">
        <f t="shared" ca="1" si="300"/>
        <v>5</v>
      </c>
      <c r="U1646" s="1">
        <f t="shared" ca="1" si="311"/>
        <v>1005</v>
      </c>
    </row>
    <row r="1647" spans="1:21" x14ac:dyDescent="0.2">
      <c r="A1647" s="7" cm="1">
        <f t="array" aca="1" ref="A1647" ca="1">INDEX(Companies!$A:$A,RANDBETWEEN(2,COUNTA(Companies!$A:$A)),1)</f>
        <v>2</v>
      </c>
      <c r="B1647" s="5">
        <f t="shared" si="301"/>
        <v>1646</v>
      </c>
      <c r="C1647" s="6">
        <f t="shared" ca="1" si="302"/>
        <v>1</v>
      </c>
      <c r="D1647" s="7">
        <f ca="1">IF($B1647 = 1 + N("Presidente"),
    127,
    IF($B1647 = 2 + N("Vice-Presidente"),
        72,
        IF($B1647 = 3 + N("Secretária bilíngue"),
            13,
            RANDBETWEEN(5,COUNT(Name!$A:$A) + 1)
        )
    )
)</f>
        <v>97</v>
      </c>
      <c r="E1647" s="7" t="str">
        <f ca="1" xml:space="preserve">
VLOOKUP(
  $D1647,
  Name!$A:$B,
  2,
  FALSE
)
&amp; " " &amp;
IF($B1647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Claudia Cunha Russo</v>
      </c>
      <c r="F1647" s="7">
        <v>2</v>
      </c>
      <c r="G1647" s="7" cm="1">
        <f t="array" aca="1" ref="G1647" ca="1">INDEX(States!$B:$B,RANDBETWEEN(2,COUNTA(States!$A:$A)),1)</f>
        <v>7</v>
      </c>
      <c r="H1647" s="7" t="str">
        <f ca="1">VLOOKUP($D1647,Name!$A:$C,3,FALSE)</f>
        <v>F</v>
      </c>
      <c r="I1647" s="7" cm="1">
        <f t="array" aca="1" ref="I1647" ca="1">INDEX('Marital status'!$A:$A,RANDBETWEEN(2,COUNTA('Marital status'!$A:$A)),1)</f>
        <v>3</v>
      </c>
      <c r="J1647" s="7">
        <f t="shared" ca="1" si="303"/>
        <v>2</v>
      </c>
      <c r="K1647" s="8">
        <f t="shared" ca="1" si="304"/>
        <v>33214</v>
      </c>
      <c r="L1647" s="6">
        <f t="shared" ca="1" si="305"/>
        <v>5</v>
      </c>
      <c r="M1647" s="7">
        <f ca="1" xml:space="preserve">
  IF(OR($N1647 = 2, $N1647 = 3, $N1647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647" s="6">
        <f t="shared" ca="1" si="306"/>
        <v>8</v>
      </c>
      <c r="O1647" s="6">
        <f t="shared" ca="1" si="307"/>
        <v>2</v>
      </c>
      <c r="P1647" s="8">
        <f t="shared" ca="1" si="308"/>
        <v>41799</v>
      </c>
      <c r="Q1647" s="6">
        <f ca="1">RANDBETWEEN(2,COUNTA('Recruitment source'!$A:$A))</f>
        <v>12</v>
      </c>
      <c r="R1647" s="8" t="e">
        <f t="shared" ca="1" si="309"/>
        <v>#N/A</v>
      </c>
      <c r="S1647" s="6" t="e">
        <f t="shared" ca="1" si="310"/>
        <v>#N/A</v>
      </c>
      <c r="T1647" s="6">
        <f t="shared" ca="1" si="300"/>
        <v>5</v>
      </c>
      <c r="U1647" s="1">
        <f t="shared" ca="1" si="311"/>
        <v>2080</v>
      </c>
    </row>
    <row r="1648" spans="1:21" x14ac:dyDescent="0.2">
      <c r="A1648" s="7" cm="1">
        <f t="array" aca="1" ref="A1648" ca="1">INDEX(Companies!$A:$A,RANDBETWEEN(2,COUNTA(Companies!$A:$A)),1)</f>
        <v>2</v>
      </c>
      <c r="B1648" s="5">
        <f t="shared" si="301"/>
        <v>1647</v>
      </c>
      <c r="C1648" s="6">
        <f t="shared" ca="1" si="302"/>
        <v>1</v>
      </c>
      <c r="D1648" s="7">
        <f ca="1">IF($B1648 = 1 + N("Presidente"),
    127,
    IF($B1648 = 2 + N("Vice-Presidente"),
        72,
        IF($B1648 = 3 + N("Secretária bilíngue"),
            13,
            RANDBETWEEN(5,COUNT(Name!$A:$A) + 1)
        )
    )
)</f>
        <v>111</v>
      </c>
      <c r="E1648" s="7" t="str">
        <f ca="1" xml:space="preserve">
VLOOKUP(
  $D1648,
  Name!$A:$B,
  2,
  FALSE
)
&amp; " " &amp;
IF($B1648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Débora Madureira Pedrosa</v>
      </c>
      <c r="F1648" s="7">
        <v>2</v>
      </c>
      <c r="G1648" s="7" cm="1">
        <f t="array" aca="1" ref="G1648" ca="1">INDEX(States!$B:$B,RANDBETWEEN(2,COUNTA(States!$A:$A)),1)</f>
        <v>16</v>
      </c>
      <c r="H1648" s="7" t="str">
        <f ca="1">VLOOKUP($D1648,Name!$A:$C,3,FALSE)</f>
        <v>F</v>
      </c>
      <c r="I1648" s="7" cm="1">
        <f t="array" aca="1" ref="I1648" ca="1">INDEX('Marital status'!$A:$A,RANDBETWEEN(2,COUNTA('Marital status'!$A:$A)),1)</f>
        <v>2</v>
      </c>
      <c r="J1648" s="7">
        <f t="shared" ca="1" si="303"/>
        <v>2</v>
      </c>
      <c r="K1648" s="8">
        <f t="shared" ca="1" si="304"/>
        <v>29761</v>
      </c>
      <c r="L1648" s="6">
        <f t="shared" ca="1" si="305"/>
        <v>4</v>
      </c>
      <c r="M1648" s="7">
        <f ca="1" xml:space="preserve">
  IF(OR($N1648 = 2, $N1648 = 3, $N1648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648" s="6">
        <f t="shared" ca="1" si="306"/>
        <v>6</v>
      </c>
      <c r="O1648" s="6" t="e">
        <f t="shared" ca="1" si="307"/>
        <v>#N/A</v>
      </c>
      <c r="P1648" s="8">
        <f t="shared" ca="1" si="308"/>
        <v>40207</v>
      </c>
      <c r="Q1648" s="6">
        <f ca="1">RANDBETWEEN(2,COUNTA('Recruitment source'!$A:$A))</f>
        <v>12</v>
      </c>
      <c r="R1648" s="8" t="e">
        <f t="shared" ca="1" si="309"/>
        <v>#N/A</v>
      </c>
      <c r="S1648" s="6" t="e">
        <f t="shared" ca="1" si="310"/>
        <v>#N/A</v>
      </c>
      <c r="T1648" s="6">
        <f t="shared" ca="1" si="300"/>
        <v>3</v>
      </c>
      <c r="U1648" s="1">
        <f t="shared" ca="1" si="311"/>
        <v>885</v>
      </c>
    </row>
    <row r="1649" spans="1:21" x14ac:dyDescent="0.2">
      <c r="A1649" s="7" cm="1">
        <f t="array" aca="1" ref="A1649" ca="1">INDEX(Companies!$A:$A,RANDBETWEEN(2,COUNTA(Companies!$A:$A)),1)</f>
        <v>2</v>
      </c>
      <c r="B1649" s="5">
        <f t="shared" si="301"/>
        <v>1648</v>
      </c>
      <c r="C1649" s="6">
        <f t="shared" ca="1" si="302"/>
        <v>1</v>
      </c>
      <c r="D1649" s="7">
        <f ca="1">IF($B1649 = 1 + N("Presidente"),
    127,
    IF($B1649 = 2 + N("Vice-Presidente"),
        72,
        IF($B1649 = 3 + N("Secretária bilíngue"),
            13,
            RANDBETWEEN(5,COUNT(Name!$A:$A) + 1)
        )
    )
)</f>
        <v>220</v>
      </c>
      <c r="E1649" s="7" t="str">
        <f ca="1" xml:space="preserve">
VLOOKUP(
  $D1649,
  Name!$A:$B,
  2,
  FALSE
)
&amp; " " &amp;
IF($B1649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Laura Esposito Dias</v>
      </c>
      <c r="F1649" s="7">
        <v>2</v>
      </c>
      <c r="G1649" s="7" cm="1">
        <f t="array" aca="1" ref="G1649" ca="1">INDEX(States!$B:$B,RANDBETWEEN(2,COUNTA(States!$A:$A)),1)</f>
        <v>15</v>
      </c>
      <c r="H1649" s="7" t="str">
        <f ca="1">VLOOKUP($D1649,Name!$A:$C,3,FALSE)</f>
        <v>F</v>
      </c>
      <c r="I1649" s="7" cm="1">
        <f t="array" aca="1" ref="I1649" ca="1">INDEX('Marital status'!$A:$A,RANDBETWEEN(2,COUNTA('Marital status'!$A:$A)),1)</f>
        <v>3</v>
      </c>
      <c r="J1649" s="7">
        <f t="shared" ca="1" si="303"/>
        <v>2</v>
      </c>
      <c r="K1649" s="8">
        <f t="shared" ca="1" si="304"/>
        <v>37207</v>
      </c>
      <c r="L1649" s="6">
        <f t="shared" ca="1" si="305"/>
        <v>5</v>
      </c>
      <c r="M1649" s="7">
        <f ca="1" xml:space="preserve">
  IF(OR($N1649 = 2, $N1649 = 3, $N1649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649" s="6">
        <f t="shared" ca="1" si="306"/>
        <v>8</v>
      </c>
      <c r="O1649" s="6">
        <f t="shared" ca="1" si="307"/>
        <v>4</v>
      </c>
      <c r="P1649" s="8">
        <f t="shared" ca="1" si="308"/>
        <v>41371</v>
      </c>
      <c r="Q1649" s="6">
        <f ca="1">RANDBETWEEN(2,COUNTA('Recruitment source'!$A:$A))</f>
        <v>10</v>
      </c>
      <c r="R1649" s="8" t="e">
        <f t="shared" ca="1" si="309"/>
        <v>#N/A</v>
      </c>
      <c r="S1649" s="6" t="e">
        <f t="shared" ca="1" si="310"/>
        <v>#N/A</v>
      </c>
      <c r="T1649" s="6">
        <f t="shared" ca="1" si="300"/>
        <v>5</v>
      </c>
      <c r="U1649" s="1">
        <f t="shared" ca="1" si="311"/>
        <v>2000</v>
      </c>
    </row>
    <row r="1650" spans="1:21" x14ac:dyDescent="0.2">
      <c r="A1650" s="7" cm="1">
        <f t="array" aca="1" ref="A1650" ca="1">INDEX(Companies!$A:$A,RANDBETWEEN(2,COUNTA(Companies!$A:$A)),1)</f>
        <v>2</v>
      </c>
      <c r="B1650" s="5">
        <f t="shared" si="301"/>
        <v>1649</v>
      </c>
      <c r="C1650" s="6">
        <f t="shared" ca="1" si="302"/>
        <v>1</v>
      </c>
      <c r="D1650" s="7">
        <f ca="1">IF($B1650 = 1 + N("Presidente"),
    127,
    IF($B1650 = 2 + N("Vice-Presidente"),
        72,
        IF($B1650 = 3 + N("Secretária bilíngue"),
            13,
            RANDBETWEEN(5,COUNT(Name!$A:$A) + 1)
        )
    )
)</f>
        <v>255</v>
      </c>
      <c r="E1650" s="7" t="str">
        <f ca="1" xml:space="preserve">
VLOOKUP(
  $D1650,
  Name!$A:$B,
  2,
  FALSE
)
&amp; " " &amp;
IF($B1650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Manuela Medeiros Moraes</v>
      </c>
      <c r="F1650" s="7">
        <v>2</v>
      </c>
      <c r="G1650" s="7" cm="1">
        <f t="array" aca="1" ref="G1650" ca="1">INDEX(States!$B:$B,RANDBETWEEN(2,COUNTA(States!$A:$A)),1)</f>
        <v>3</v>
      </c>
      <c r="H1650" s="7" t="str">
        <f ca="1">VLOOKUP($D1650,Name!$A:$C,3,FALSE)</f>
        <v>F</v>
      </c>
      <c r="I1650" s="7" cm="1">
        <f t="array" aca="1" ref="I1650" ca="1">INDEX('Marital status'!$A:$A,RANDBETWEEN(2,COUNTA('Marital status'!$A:$A)),1)</f>
        <v>6</v>
      </c>
      <c r="J1650" s="7">
        <f t="shared" ca="1" si="303"/>
        <v>4</v>
      </c>
      <c r="K1650" s="8">
        <f t="shared" ca="1" si="304"/>
        <v>35237</v>
      </c>
      <c r="L1650" s="6">
        <f t="shared" ca="1" si="305"/>
        <v>4</v>
      </c>
      <c r="M1650" s="7">
        <f ca="1" xml:space="preserve">
  IF(OR($N1650 = 2, $N1650 = 3, $N1650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650" s="6">
        <f t="shared" ca="1" si="306"/>
        <v>7</v>
      </c>
      <c r="O1650" s="6" t="e">
        <f t="shared" ca="1" si="307"/>
        <v>#N/A</v>
      </c>
      <c r="P1650" s="8">
        <f t="shared" ca="1" si="308"/>
        <v>44436</v>
      </c>
      <c r="Q1650" s="6">
        <f ca="1">RANDBETWEEN(2,COUNTA('Recruitment source'!$A:$A))</f>
        <v>12</v>
      </c>
      <c r="R1650" s="8" t="e">
        <f t="shared" ca="1" si="309"/>
        <v>#N/A</v>
      </c>
      <c r="S1650" s="6" t="e">
        <f t="shared" ca="1" si="310"/>
        <v>#N/A</v>
      </c>
      <c r="T1650" s="6">
        <f t="shared" ca="1" si="300"/>
        <v>3</v>
      </c>
      <c r="U1650" s="1">
        <f t="shared" ca="1" si="311"/>
        <v>1085</v>
      </c>
    </row>
    <row r="1651" spans="1:21" x14ac:dyDescent="0.2">
      <c r="A1651" s="7" cm="1">
        <f t="array" aca="1" ref="A1651" ca="1">INDEX(Companies!$A:$A,RANDBETWEEN(2,COUNTA(Companies!$A:$A)),1)</f>
        <v>2</v>
      </c>
      <c r="B1651" s="5">
        <f t="shared" si="301"/>
        <v>1650</v>
      </c>
      <c r="C1651" s="6">
        <f t="shared" ca="1" si="302"/>
        <v>1</v>
      </c>
      <c r="D1651" s="7">
        <f ca="1">IF($B1651 = 1 + N("Presidente"),
    127,
    IF($B1651 = 2 + N("Vice-Presidente"),
        72,
        IF($B1651 = 3 + N("Secretária bilíngue"),
            13,
            RANDBETWEEN(5,COUNT(Name!$A:$A) + 1)
        )
    )
)</f>
        <v>225</v>
      </c>
      <c r="E1651" s="7" t="str">
        <f ca="1" xml:space="preserve">
VLOOKUP(
  $D1651,
  Name!$A:$B,
  2,
  FALSE
)
&amp; " " &amp;
IF($B1651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Levi Abranches Abranches</v>
      </c>
      <c r="F1651" s="7">
        <v>2</v>
      </c>
      <c r="G1651" s="7" cm="1">
        <f t="array" aca="1" ref="G1651" ca="1">INDEX(States!$B:$B,RANDBETWEEN(2,COUNTA(States!$A:$A)),1)</f>
        <v>19</v>
      </c>
      <c r="H1651" s="7" t="str">
        <f ca="1">VLOOKUP($D1651,Name!$A:$C,3,FALSE)</f>
        <v>M</v>
      </c>
      <c r="I1651" s="7" cm="1">
        <f t="array" aca="1" ref="I1651" ca="1">INDEX('Marital status'!$A:$A,RANDBETWEEN(2,COUNTA('Marital status'!$A:$A)),1)</f>
        <v>2</v>
      </c>
      <c r="J1651" s="7">
        <f t="shared" ca="1" si="303"/>
        <v>2</v>
      </c>
      <c r="K1651" s="8">
        <f t="shared" ca="1" si="304"/>
        <v>33875</v>
      </c>
      <c r="L1651" s="6">
        <f t="shared" ca="1" si="305"/>
        <v>5</v>
      </c>
      <c r="M1651" s="7">
        <f ca="1" xml:space="preserve">
  IF(OR($N1651 = 2, $N1651 = 3, $N1651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651" s="6">
        <f t="shared" ca="1" si="306"/>
        <v>8</v>
      </c>
      <c r="O1651" s="6">
        <f t="shared" ca="1" si="307"/>
        <v>4</v>
      </c>
      <c r="P1651" s="8">
        <f t="shared" ca="1" si="308"/>
        <v>37216</v>
      </c>
      <c r="Q1651" s="6">
        <f ca="1">RANDBETWEEN(2,COUNTA('Recruitment source'!$A:$A))</f>
        <v>2</v>
      </c>
      <c r="R1651" s="8" t="e">
        <f t="shared" ca="1" si="309"/>
        <v>#N/A</v>
      </c>
      <c r="S1651" s="6" t="e">
        <f t="shared" ca="1" si="310"/>
        <v>#N/A</v>
      </c>
      <c r="T1651" s="6">
        <f t="shared" ca="1" si="300"/>
        <v>3</v>
      </c>
      <c r="U1651" s="1">
        <f t="shared" ca="1" si="311"/>
        <v>2000</v>
      </c>
    </row>
    <row r="1652" spans="1:21" x14ac:dyDescent="0.2">
      <c r="A1652" s="7" cm="1">
        <f t="array" aca="1" ref="A1652" ca="1">INDEX(Companies!$A:$A,RANDBETWEEN(2,COUNTA(Companies!$A:$A)),1)</f>
        <v>2</v>
      </c>
      <c r="B1652" s="5">
        <f t="shared" si="301"/>
        <v>1651</v>
      </c>
      <c r="C1652" s="6">
        <f t="shared" ca="1" si="302"/>
        <v>1</v>
      </c>
      <c r="D1652" s="7">
        <f ca="1">IF($B1652 = 1 + N("Presidente"),
    127,
    IF($B1652 = 2 + N("Vice-Presidente"),
        72,
        IF($B1652 = 3 + N("Secretária bilíngue"),
            13,
            RANDBETWEEN(5,COUNT(Name!$A:$A) + 1)
        )
    )
)</f>
        <v>102</v>
      </c>
      <c r="E1652" s="7" t="str">
        <f ca="1" xml:space="preserve">
VLOOKUP(
  $D1652,
  Name!$A:$B,
  2,
  FALSE
)
&amp; " " &amp;
IF($B1652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Danilo Zil Medeiros</v>
      </c>
      <c r="F1652" s="7">
        <v>2</v>
      </c>
      <c r="G1652" s="7" cm="1">
        <f t="array" aca="1" ref="G1652" ca="1">INDEX(States!$B:$B,RANDBETWEEN(2,COUNTA(States!$A:$A)),1)</f>
        <v>13</v>
      </c>
      <c r="H1652" s="7" t="str">
        <f ca="1">VLOOKUP($D1652,Name!$A:$C,3,FALSE)</f>
        <v>M</v>
      </c>
      <c r="I1652" s="7" cm="1">
        <f t="array" aca="1" ref="I1652" ca="1">INDEX('Marital status'!$A:$A,RANDBETWEEN(2,COUNTA('Marital status'!$A:$A)),1)</f>
        <v>5</v>
      </c>
      <c r="J1652" s="7">
        <f t="shared" ca="1" si="303"/>
        <v>3</v>
      </c>
      <c r="K1652" s="8">
        <f t="shared" ca="1" si="304"/>
        <v>30401</v>
      </c>
      <c r="L1652" s="6">
        <f t="shared" ca="1" si="305"/>
        <v>4</v>
      </c>
      <c r="M1652" s="7">
        <f ca="1" xml:space="preserve">
  IF(OR($N1652 = 2, $N1652 = 3, $N1652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652" s="6">
        <f t="shared" ca="1" si="306"/>
        <v>7</v>
      </c>
      <c r="O1652" s="6" t="e">
        <f t="shared" ca="1" si="307"/>
        <v>#N/A</v>
      </c>
      <c r="P1652" s="8">
        <f t="shared" ca="1" si="308"/>
        <v>39819</v>
      </c>
      <c r="Q1652" s="6">
        <f ca="1">RANDBETWEEN(2,COUNTA('Recruitment source'!$A:$A))</f>
        <v>7</v>
      </c>
      <c r="R1652" s="8" t="e">
        <f t="shared" ca="1" si="309"/>
        <v>#N/A</v>
      </c>
      <c r="S1652" s="6" t="e">
        <f t="shared" ca="1" si="310"/>
        <v>#N/A</v>
      </c>
      <c r="T1652" s="6">
        <f t="shared" ca="1" si="300"/>
        <v>3</v>
      </c>
      <c r="U1652" s="1">
        <f t="shared" ca="1" si="311"/>
        <v>1005</v>
      </c>
    </row>
    <row r="1653" spans="1:21" x14ac:dyDescent="0.2">
      <c r="A1653" s="7" cm="1">
        <f t="array" aca="1" ref="A1653" ca="1">INDEX(Companies!$A:$A,RANDBETWEEN(2,COUNTA(Companies!$A:$A)),1)</f>
        <v>2</v>
      </c>
      <c r="B1653" s="5">
        <f t="shared" si="301"/>
        <v>1652</v>
      </c>
      <c r="C1653" s="6">
        <f t="shared" ca="1" si="302"/>
        <v>1</v>
      </c>
      <c r="D1653" s="7">
        <f ca="1">IF($B1653 = 1 + N("Presidente"),
    127,
    IF($B1653 = 2 + N("Vice-Presidente"),
        72,
        IF($B1653 = 3 + N("Secretária bilíngue"),
            13,
            RANDBETWEEN(5,COUNT(Name!$A:$A) + 1)
        )
    )
)</f>
        <v>301</v>
      </c>
      <c r="E1653" s="7" t="str">
        <f ca="1" xml:space="preserve">
VLOOKUP(
  $D1653,
  Name!$A:$B,
  2,
  FALSE
)
&amp; " " &amp;
IF($B1653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Murilo Aguiar Barros</v>
      </c>
      <c r="F1653" s="7">
        <v>2</v>
      </c>
      <c r="G1653" s="7" cm="1">
        <f t="array" aca="1" ref="G1653" ca="1">INDEX(States!$B:$B,RANDBETWEEN(2,COUNTA(States!$A:$A)),1)</f>
        <v>10</v>
      </c>
      <c r="H1653" s="7" t="str">
        <f ca="1">VLOOKUP($D1653,Name!$A:$C,3,FALSE)</f>
        <v>M</v>
      </c>
      <c r="I1653" s="7" cm="1">
        <f t="array" aca="1" ref="I1653" ca="1">INDEX('Marital status'!$A:$A,RANDBETWEEN(2,COUNTA('Marital status'!$A:$A)),1)</f>
        <v>3</v>
      </c>
      <c r="J1653" s="7">
        <f t="shared" ca="1" si="303"/>
        <v>5</v>
      </c>
      <c r="K1653" s="8">
        <f t="shared" ca="1" si="304"/>
        <v>36877</v>
      </c>
      <c r="L1653" s="6">
        <f t="shared" ca="1" si="305"/>
        <v>4</v>
      </c>
      <c r="M1653" s="7">
        <f ca="1" xml:space="preserve">
  IF(OR($N1653 = 2, $N1653 = 3, $N1653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653" s="6">
        <f t="shared" ca="1" si="306"/>
        <v>8</v>
      </c>
      <c r="O1653" s="6">
        <f t="shared" ca="1" si="307"/>
        <v>2</v>
      </c>
      <c r="P1653" s="8">
        <f t="shared" ca="1" si="308"/>
        <v>43948</v>
      </c>
      <c r="Q1653" s="6">
        <f ca="1">RANDBETWEEN(2,COUNTA('Recruitment source'!$A:$A))</f>
        <v>11</v>
      </c>
      <c r="R1653" s="8" t="e">
        <f t="shared" ca="1" si="309"/>
        <v>#N/A</v>
      </c>
      <c r="S1653" s="6" t="e">
        <f t="shared" ca="1" si="310"/>
        <v>#N/A</v>
      </c>
      <c r="T1653" s="6">
        <f t="shared" ca="1" si="300"/>
        <v>2</v>
      </c>
      <c r="U1653" s="1">
        <f t="shared" ca="1" si="311"/>
        <v>2080</v>
      </c>
    </row>
    <row r="1654" spans="1:21" x14ac:dyDescent="0.2">
      <c r="A1654" s="7" cm="1">
        <f t="array" aca="1" ref="A1654" ca="1">INDEX(Companies!$A:$A,RANDBETWEEN(2,COUNTA(Companies!$A:$A)),1)</f>
        <v>2</v>
      </c>
      <c r="B1654" s="5">
        <f t="shared" si="301"/>
        <v>1653</v>
      </c>
      <c r="C1654" s="6">
        <f t="shared" ca="1" si="302"/>
        <v>1</v>
      </c>
      <c r="D1654" s="7">
        <f ca="1">IF($B1654 = 1 + N("Presidente"),
    127,
    IF($B1654 = 2 + N("Vice-Presidente"),
        72,
        IF($B1654 = 3 + N("Secretária bilíngue"),
            13,
            RANDBETWEEN(5,COUNT(Name!$A:$A) + 1)
        )
    )
)</f>
        <v>334</v>
      </c>
      <c r="E1654" s="7" t="str">
        <f ca="1" xml:space="preserve">
VLOOKUP(
  $D1654,
  Name!$A:$B,
  2,
  FALSE
)
&amp; " " &amp;
IF($B1654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Ryan Colombo Nunes</v>
      </c>
      <c r="F1654" s="7">
        <v>2</v>
      </c>
      <c r="G1654" s="7" cm="1">
        <f t="array" aca="1" ref="G1654" ca="1">INDEX(States!$B:$B,RANDBETWEEN(2,COUNTA(States!$A:$A)),1)</f>
        <v>12</v>
      </c>
      <c r="H1654" s="7" t="str">
        <f ca="1">VLOOKUP($D1654,Name!$A:$C,3,FALSE)</f>
        <v>M</v>
      </c>
      <c r="I1654" s="7" cm="1">
        <f t="array" aca="1" ref="I1654" ca="1">INDEX('Marital status'!$A:$A,RANDBETWEEN(2,COUNTA('Marital status'!$A:$A)),1)</f>
        <v>6</v>
      </c>
      <c r="J1654" s="7">
        <f t="shared" ca="1" si="303"/>
        <v>2</v>
      </c>
      <c r="K1654" s="8">
        <f t="shared" ca="1" si="304"/>
        <v>33570</v>
      </c>
      <c r="L1654" s="6">
        <f t="shared" ca="1" si="305"/>
        <v>4</v>
      </c>
      <c r="M1654" s="7">
        <f ca="1" xml:space="preserve">
  IF(OR($N1654 = 2, $N1654 = 3, $N1654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654" s="6">
        <f t="shared" ca="1" si="306"/>
        <v>7</v>
      </c>
      <c r="O1654" s="6" t="e">
        <f t="shared" ca="1" si="307"/>
        <v>#N/A</v>
      </c>
      <c r="P1654" s="8">
        <f t="shared" ca="1" si="308"/>
        <v>36718</v>
      </c>
      <c r="Q1654" s="6">
        <f ca="1">RANDBETWEEN(2,COUNTA('Recruitment source'!$A:$A))</f>
        <v>12</v>
      </c>
      <c r="R1654" s="8" t="e">
        <f t="shared" ca="1" si="309"/>
        <v>#N/A</v>
      </c>
      <c r="S1654" s="6" t="e">
        <f t="shared" ca="1" si="310"/>
        <v>#N/A</v>
      </c>
      <c r="T1654" s="6">
        <f t="shared" ca="1" si="300"/>
        <v>4</v>
      </c>
      <c r="U1654" s="1">
        <f t="shared" ca="1" si="311"/>
        <v>1005</v>
      </c>
    </row>
    <row r="1655" spans="1:21" x14ac:dyDescent="0.2">
      <c r="A1655" s="7" cm="1">
        <f t="array" aca="1" ref="A1655" ca="1">INDEX(Companies!$A:$A,RANDBETWEEN(2,COUNTA(Companies!$A:$A)),1)</f>
        <v>2</v>
      </c>
      <c r="B1655" s="5">
        <f t="shared" si="301"/>
        <v>1654</v>
      </c>
      <c r="C1655" s="6">
        <f t="shared" ca="1" si="302"/>
        <v>1</v>
      </c>
      <c r="D1655" s="7">
        <f ca="1">IF($B1655 = 1 + N("Presidente"),
    127,
    IF($B1655 = 2 + N("Vice-Presidente"),
        72,
        IF($B1655 = 3 + N("Secretária bilíngue"),
            13,
            RANDBETWEEN(5,COUNT(Name!$A:$A) + 1)
        )
    )
)</f>
        <v>86</v>
      </c>
      <c r="E1655" s="7" t="str">
        <f ca="1" xml:space="preserve">
VLOOKUP(
  $D1655,
  Name!$A:$B,
  2,
  FALSE
)
&amp; " " &amp;
IF($B1655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Carolina Ildelfonso Leite</v>
      </c>
      <c r="F1655" s="7">
        <v>2</v>
      </c>
      <c r="G1655" s="7" cm="1">
        <f t="array" aca="1" ref="G1655" ca="1">INDEX(States!$B:$B,RANDBETWEEN(2,COUNTA(States!$A:$A)),1)</f>
        <v>14</v>
      </c>
      <c r="H1655" s="7" t="str">
        <f ca="1">VLOOKUP($D1655,Name!$A:$C,3,FALSE)</f>
        <v>F</v>
      </c>
      <c r="I1655" s="7" cm="1">
        <f t="array" aca="1" ref="I1655" ca="1">INDEX('Marital status'!$A:$A,RANDBETWEEN(2,COUNTA('Marital status'!$A:$A)),1)</f>
        <v>4</v>
      </c>
      <c r="J1655" s="7">
        <f t="shared" ca="1" si="303"/>
        <v>2</v>
      </c>
      <c r="K1655" s="8">
        <f t="shared" ca="1" si="304"/>
        <v>35564</v>
      </c>
      <c r="L1655" s="6">
        <f t="shared" ca="1" si="305"/>
        <v>4</v>
      </c>
      <c r="M1655" s="7">
        <f ca="1" xml:space="preserve">
  IF(OR($N1655 = 2, $N1655 = 3, $N1655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655" s="6">
        <f t="shared" ca="1" si="306"/>
        <v>8</v>
      </c>
      <c r="O1655" s="6">
        <f t="shared" ca="1" si="307"/>
        <v>4</v>
      </c>
      <c r="P1655" s="8">
        <f t="shared" ca="1" si="308"/>
        <v>43235</v>
      </c>
      <c r="Q1655" s="6">
        <f ca="1">RANDBETWEEN(2,COUNTA('Recruitment source'!$A:$A))</f>
        <v>7</v>
      </c>
      <c r="R1655" s="8" t="e">
        <f t="shared" ca="1" si="309"/>
        <v>#N/A</v>
      </c>
      <c r="S1655" s="6" t="e">
        <f t="shared" ca="1" si="310"/>
        <v>#N/A</v>
      </c>
      <c r="T1655" s="6">
        <f t="shared" ca="1" si="300"/>
        <v>3</v>
      </c>
      <c r="U1655" s="1">
        <f t="shared" ca="1" si="311"/>
        <v>2000</v>
      </c>
    </row>
    <row r="1656" spans="1:21" x14ac:dyDescent="0.2">
      <c r="A1656" s="7" cm="1">
        <f t="array" aca="1" ref="A1656" ca="1">INDEX(Companies!$A:$A,RANDBETWEEN(2,COUNTA(Companies!$A:$A)),1)</f>
        <v>2</v>
      </c>
      <c r="B1656" s="5">
        <f t="shared" si="301"/>
        <v>1655</v>
      </c>
      <c r="C1656" s="6">
        <f t="shared" ca="1" si="302"/>
        <v>1</v>
      </c>
      <c r="D1656" s="7">
        <f ca="1">IF($B1656 = 1 + N("Presidente"),
    127,
    IF($B1656 = 2 + N("Vice-Presidente"),
        72,
        IF($B1656 = 3 + N("Secretária bilíngue"),
            13,
            RANDBETWEEN(5,COUNT(Name!$A:$A) + 1)
        )
    )
)</f>
        <v>134</v>
      </c>
      <c r="E1656" s="7" t="str">
        <f ca="1" xml:space="preserve">
VLOOKUP(
  $D1656,
  Name!$A:$B,
  2,
  FALSE
)
&amp; " " &amp;
IF($B1656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Eva Tavares Costatini</v>
      </c>
      <c r="F1656" s="7">
        <v>2</v>
      </c>
      <c r="G1656" s="7" cm="1">
        <f t="array" aca="1" ref="G1656" ca="1">INDEX(States!$B:$B,RANDBETWEEN(2,COUNTA(States!$A:$A)),1)</f>
        <v>6</v>
      </c>
      <c r="H1656" s="7" t="str">
        <f ca="1">VLOOKUP($D1656,Name!$A:$C,3,FALSE)</f>
        <v>F</v>
      </c>
      <c r="I1656" s="7" cm="1">
        <f t="array" aca="1" ref="I1656" ca="1">INDEX('Marital status'!$A:$A,RANDBETWEEN(2,COUNTA('Marital status'!$A:$A)),1)</f>
        <v>4</v>
      </c>
      <c r="J1656" s="7">
        <f t="shared" ca="1" si="303"/>
        <v>2</v>
      </c>
      <c r="K1656" s="8">
        <f t="shared" ca="1" si="304"/>
        <v>30304</v>
      </c>
      <c r="L1656" s="6">
        <f t="shared" ca="1" si="305"/>
        <v>4</v>
      </c>
      <c r="M1656" s="7">
        <f ca="1" xml:space="preserve">
  IF(OR($N1656 = 2, $N1656 = 3, $N1656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656" s="6">
        <f t="shared" ca="1" si="306"/>
        <v>6</v>
      </c>
      <c r="O1656" s="6" t="e">
        <f t="shared" ca="1" si="307"/>
        <v>#N/A</v>
      </c>
      <c r="P1656" s="8">
        <f t="shared" ca="1" si="308"/>
        <v>42360</v>
      </c>
      <c r="Q1656" s="6">
        <f ca="1">RANDBETWEEN(2,COUNTA('Recruitment source'!$A:$A))</f>
        <v>8</v>
      </c>
      <c r="R1656" s="8" t="e">
        <f t="shared" ca="1" si="309"/>
        <v>#N/A</v>
      </c>
      <c r="S1656" s="6" t="e">
        <f t="shared" ca="1" si="310"/>
        <v>#N/A</v>
      </c>
      <c r="T1656" s="6">
        <f t="shared" ca="1" si="300"/>
        <v>4</v>
      </c>
      <c r="U1656" s="1">
        <f t="shared" ca="1" si="311"/>
        <v>885</v>
      </c>
    </row>
    <row r="1657" spans="1:21" x14ac:dyDescent="0.2">
      <c r="A1657" s="7" cm="1">
        <f t="array" aca="1" ref="A1657" ca="1">INDEX(Companies!$A:$A,RANDBETWEEN(2,COUNTA(Companies!$A:$A)),1)</f>
        <v>2</v>
      </c>
      <c r="B1657" s="5">
        <f t="shared" si="301"/>
        <v>1656</v>
      </c>
      <c r="C1657" s="6">
        <f t="shared" ca="1" si="302"/>
        <v>1</v>
      </c>
      <c r="D1657" s="7">
        <f ca="1">IF($B1657 = 1 + N("Presidente"),
    127,
    IF($B1657 = 2 + N("Vice-Presidente"),
        72,
        IF($B1657 = 3 + N("Secretária bilíngue"),
            13,
            RANDBETWEEN(5,COUNT(Name!$A:$A) + 1)
        )
    )
)</f>
        <v>59</v>
      </c>
      <c r="E1657" s="7" t="str">
        <f ca="1" xml:space="preserve">
VLOOKUP(
  $D1657,
  Name!$A:$B,
  2,
  FALSE
)
&amp; " " &amp;
IF($B1657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Artur dos Santos Barboza</v>
      </c>
      <c r="F1657" s="7">
        <v>2</v>
      </c>
      <c r="G1657" s="7" cm="1">
        <f t="array" aca="1" ref="G1657" ca="1">INDEX(States!$B:$B,RANDBETWEEN(2,COUNTA(States!$A:$A)),1)</f>
        <v>2</v>
      </c>
      <c r="H1657" s="7" t="str">
        <f ca="1">VLOOKUP($D1657,Name!$A:$C,3,FALSE)</f>
        <v>M</v>
      </c>
      <c r="I1657" s="7" cm="1">
        <f t="array" aca="1" ref="I1657" ca="1">INDEX('Marital status'!$A:$A,RANDBETWEEN(2,COUNTA('Marital status'!$A:$A)),1)</f>
        <v>3</v>
      </c>
      <c r="J1657" s="7">
        <f t="shared" ca="1" si="303"/>
        <v>2</v>
      </c>
      <c r="K1657" s="8">
        <f t="shared" ca="1" si="304"/>
        <v>35601</v>
      </c>
      <c r="L1657" s="6">
        <f t="shared" ca="1" si="305"/>
        <v>5</v>
      </c>
      <c r="M1657" s="7">
        <f ca="1" xml:space="preserve">
  IF(OR($N1657 = 2, $N1657 = 3, $N1657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657" s="6">
        <f t="shared" ca="1" si="306"/>
        <v>8</v>
      </c>
      <c r="O1657" s="6">
        <f t="shared" ca="1" si="307"/>
        <v>3</v>
      </c>
      <c r="P1657" s="8">
        <f t="shared" ca="1" si="308"/>
        <v>38419</v>
      </c>
      <c r="Q1657" s="6">
        <f ca="1">RANDBETWEEN(2,COUNTA('Recruitment source'!$A:$A))</f>
        <v>5</v>
      </c>
      <c r="R1657" s="8" t="e">
        <f t="shared" ca="1" si="309"/>
        <v>#N/A</v>
      </c>
      <c r="S1657" s="6" t="e">
        <f t="shared" ca="1" si="310"/>
        <v>#N/A</v>
      </c>
      <c r="T1657" s="6">
        <f t="shared" ca="1" si="300"/>
        <v>4</v>
      </c>
      <c r="U1657" s="1">
        <f t="shared" ca="1" si="311"/>
        <v>2080</v>
      </c>
    </row>
    <row r="1658" spans="1:21" x14ac:dyDescent="0.2">
      <c r="A1658" s="7" cm="1">
        <f t="array" aca="1" ref="A1658" ca="1">INDEX(Companies!$A:$A,RANDBETWEEN(2,COUNTA(Companies!$A:$A)),1)</f>
        <v>2</v>
      </c>
      <c r="B1658" s="5">
        <f t="shared" si="301"/>
        <v>1657</v>
      </c>
      <c r="C1658" s="6">
        <f t="shared" ca="1" si="302"/>
        <v>1</v>
      </c>
      <c r="D1658" s="7">
        <f ca="1">IF($B1658 = 1 + N("Presidente"),
    127,
    IF($B1658 = 2 + N("Vice-Presidente"),
        72,
        IF($B1658 = 3 + N("Secretária bilíngue"),
            13,
            RANDBETWEEN(5,COUNT(Name!$A:$A) + 1)
        )
    )
)</f>
        <v>187</v>
      </c>
      <c r="E1658" s="7" t="str">
        <f ca="1" xml:space="preserve">
VLOOKUP(
  $D1658,
  Name!$A:$B,
  2,
  FALSE
)
&amp; " " &amp;
IF($B1658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Guilherme Giordano Tavarez</v>
      </c>
      <c r="F1658" s="7">
        <v>2</v>
      </c>
      <c r="G1658" s="7" cm="1">
        <f t="array" aca="1" ref="G1658" ca="1">INDEX(States!$B:$B,RANDBETWEEN(2,COUNTA(States!$A:$A)),1)</f>
        <v>13</v>
      </c>
      <c r="H1658" s="7" t="str">
        <f ca="1">VLOOKUP($D1658,Name!$A:$C,3,FALSE)</f>
        <v>M</v>
      </c>
      <c r="I1658" s="7" cm="1">
        <f t="array" aca="1" ref="I1658" ca="1">INDEX('Marital status'!$A:$A,RANDBETWEEN(2,COUNTA('Marital status'!$A:$A)),1)</f>
        <v>4</v>
      </c>
      <c r="J1658" s="7">
        <f t="shared" ca="1" si="303"/>
        <v>2</v>
      </c>
      <c r="K1658" s="8">
        <f t="shared" ca="1" si="304"/>
        <v>35658</v>
      </c>
      <c r="L1658" s="6">
        <f t="shared" ca="1" si="305"/>
        <v>4</v>
      </c>
      <c r="M1658" s="7">
        <f ca="1" xml:space="preserve">
  IF(OR($N1658 = 2, $N1658 = 3, $N1658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658" s="6">
        <f t="shared" ca="1" si="306"/>
        <v>7</v>
      </c>
      <c r="O1658" s="6" t="e">
        <f t="shared" ca="1" si="307"/>
        <v>#N/A</v>
      </c>
      <c r="P1658" s="8">
        <f t="shared" ca="1" si="308"/>
        <v>43115</v>
      </c>
      <c r="Q1658" s="6">
        <f ca="1">RANDBETWEEN(2,COUNTA('Recruitment source'!$A:$A))</f>
        <v>10</v>
      </c>
      <c r="R1658" s="8" t="e">
        <f t="shared" ca="1" si="309"/>
        <v>#N/A</v>
      </c>
      <c r="S1658" s="6" t="e">
        <f t="shared" ca="1" si="310"/>
        <v>#N/A</v>
      </c>
      <c r="T1658" s="6">
        <f t="shared" ca="1" si="300"/>
        <v>4</v>
      </c>
      <c r="U1658" s="1">
        <f t="shared" ca="1" si="311"/>
        <v>1085</v>
      </c>
    </row>
    <row r="1659" spans="1:21" x14ac:dyDescent="0.2">
      <c r="A1659" s="7" cm="1">
        <f t="array" aca="1" ref="A1659" ca="1">INDEX(Companies!$A:$A,RANDBETWEEN(2,COUNTA(Companies!$A:$A)),1)</f>
        <v>2</v>
      </c>
      <c r="B1659" s="5">
        <f t="shared" si="301"/>
        <v>1658</v>
      </c>
      <c r="C1659" s="6">
        <f t="shared" ca="1" si="302"/>
        <v>1</v>
      </c>
      <c r="D1659" s="7">
        <f ca="1">IF($B1659 = 1 + N("Presidente"),
    127,
    IF($B1659 = 2 + N("Vice-Presidente"),
        72,
        IF($B1659 = 3 + N("Secretária bilíngue"),
            13,
            RANDBETWEEN(5,COUNT(Name!$A:$A) + 1)
        )
    )
)</f>
        <v>129</v>
      </c>
      <c r="E1659" s="7" t="str">
        <f ca="1" xml:space="preserve">
VLOOKUP(
  $D1659,
  Name!$A:$B,
  2,
  FALSE
)
&amp; " " &amp;
IF($B1659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Enzo Miguel Santos Oliveira</v>
      </c>
      <c r="F1659" s="7">
        <v>2</v>
      </c>
      <c r="G1659" s="7" cm="1">
        <f t="array" aca="1" ref="G1659" ca="1">INDEX(States!$B:$B,RANDBETWEEN(2,COUNTA(States!$A:$A)),1)</f>
        <v>18</v>
      </c>
      <c r="H1659" s="7" t="str">
        <f ca="1">VLOOKUP($D1659,Name!$A:$C,3,FALSE)</f>
        <v>M</v>
      </c>
      <c r="I1659" s="7" cm="1">
        <f t="array" aca="1" ref="I1659" ca="1">INDEX('Marital status'!$A:$A,RANDBETWEEN(2,COUNTA('Marital status'!$A:$A)),1)</f>
        <v>2</v>
      </c>
      <c r="J1659" s="7">
        <f t="shared" ca="1" si="303"/>
        <v>3</v>
      </c>
      <c r="K1659" s="8">
        <f t="shared" ca="1" si="304"/>
        <v>33264</v>
      </c>
      <c r="L1659" s="6">
        <f t="shared" ca="1" si="305"/>
        <v>4</v>
      </c>
      <c r="M1659" s="7">
        <f ca="1" xml:space="preserve">
  IF(OR($N1659 = 2, $N1659 = 3, $N1659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659" s="6">
        <f t="shared" ca="1" si="306"/>
        <v>8</v>
      </c>
      <c r="O1659" s="6">
        <f t="shared" ca="1" si="307"/>
        <v>3</v>
      </c>
      <c r="P1659" s="8">
        <f t="shared" ca="1" si="308"/>
        <v>43605</v>
      </c>
      <c r="Q1659" s="6">
        <f ca="1">RANDBETWEEN(2,COUNTA('Recruitment source'!$A:$A))</f>
        <v>8</v>
      </c>
      <c r="R1659" s="8" t="e">
        <f t="shared" ca="1" si="309"/>
        <v>#N/A</v>
      </c>
      <c r="S1659" s="6" t="e">
        <f t="shared" ca="1" si="310"/>
        <v>#N/A</v>
      </c>
      <c r="T1659" s="6">
        <f t="shared" ca="1" si="300"/>
        <v>5</v>
      </c>
      <c r="U1659" s="1">
        <f t="shared" ca="1" si="311"/>
        <v>2000</v>
      </c>
    </row>
    <row r="1660" spans="1:21" x14ac:dyDescent="0.2">
      <c r="A1660" s="7" cm="1">
        <f t="array" aca="1" ref="A1660" ca="1">INDEX(Companies!$A:$A,RANDBETWEEN(2,COUNTA(Companies!$A:$A)),1)</f>
        <v>2</v>
      </c>
      <c r="B1660" s="5">
        <f t="shared" si="301"/>
        <v>1659</v>
      </c>
      <c r="C1660" s="6">
        <f t="shared" ca="1" si="302"/>
        <v>1</v>
      </c>
      <c r="D1660" s="7">
        <f ca="1">IF($B1660 = 1 + N("Presidente"),
    127,
    IF($B1660 = 2 + N("Vice-Presidente"),
        72,
        IF($B1660 = 3 + N("Secretária bilíngue"),
            13,
            RANDBETWEEN(5,COUNT(Name!$A:$A) + 1)
        )
    )
)</f>
        <v>242</v>
      </c>
      <c r="E1660" s="7" t="str">
        <f ca="1" xml:space="preserve">
VLOOKUP(
  $D1660,
  Name!$A:$B,
  2,
  FALSE
)
&amp; " " &amp;
IF($B1660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Luisa Gomes Badu</v>
      </c>
      <c r="F1660" s="7">
        <v>2</v>
      </c>
      <c r="G1660" s="7" cm="1">
        <f t="array" aca="1" ref="G1660" ca="1">INDEX(States!$B:$B,RANDBETWEEN(2,COUNTA(States!$A:$A)),1)</f>
        <v>10</v>
      </c>
      <c r="H1660" s="7" t="str">
        <f ca="1">VLOOKUP($D1660,Name!$A:$C,3,FALSE)</f>
        <v>F</v>
      </c>
      <c r="I1660" s="7" cm="1">
        <f t="array" aca="1" ref="I1660" ca="1">INDEX('Marital status'!$A:$A,RANDBETWEEN(2,COUNTA('Marital status'!$A:$A)),1)</f>
        <v>4</v>
      </c>
      <c r="J1660" s="7">
        <f t="shared" ca="1" si="303"/>
        <v>2</v>
      </c>
      <c r="K1660" s="8">
        <f t="shared" ca="1" si="304"/>
        <v>30508</v>
      </c>
      <c r="L1660" s="6">
        <f t="shared" ca="1" si="305"/>
        <v>4</v>
      </c>
      <c r="M1660" s="7">
        <f ca="1" xml:space="preserve">
  IF(OR($N1660 = 2, $N1660 = 3, $N1660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660" s="6">
        <f t="shared" ca="1" si="306"/>
        <v>7</v>
      </c>
      <c r="O1660" s="6" t="e">
        <f t="shared" ca="1" si="307"/>
        <v>#N/A</v>
      </c>
      <c r="P1660" s="8">
        <f t="shared" ca="1" si="308"/>
        <v>40904</v>
      </c>
      <c r="Q1660" s="6">
        <f ca="1">RANDBETWEEN(2,COUNTA('Recruitment source'!$A:$A))</f>
        <v>12</v>
      </c>
      <c r="R1660" s="8" t="e">
        <f t="shared" ca="1" si="309"/>
        <v>#N/A</v>
      </c>
      <c r="S1660" s="6" t="e">
        <f t="shared" ca="1" si="310"/>
        <v>#N/A</v>
      </c>
      <c r="T1660" s="6">
        <f t="shared" ca="1" si="300"/>
        <v>3</v>
      </c>
      <c r="U1660" s="1">
        <f t="shared" ca="1" si="311"/>
        <v>1005</v>
      </c>
    </row>
    <row r="1661" spans="1:21" x14ac:dyDescent="0.2">
      <c r="A1661" s="7" cm="1">
        <f t="array" aca="1" ref="A1661" ca="1">INDEX(Companies!$A:$A,RANDBETWEEN(2,COUNTA(Companies!$A:$A)),1)</f>
        <v>2</v>
      </c>
      <c r="B1661" s="5">
        <f t="shared" si="301"/>
        <v>1660</v>
      </c>
      <c r="C1661" s="6">
        <f t="shared" ca="1" si="302"/>
        <v>1</v>
      </c>
      <c r="D1661" s="7">
        <f ca="1">IF($B1661 = 1 + N("Presidente"),
    127,
    IF($B1661 = 2 + N("Vice-Presidente"),
        72,
        IF($B1661 = 3 + N("Secretária bilíngue"),
            13,
            RANDBETWEEN(5,COUNT(Name!$A:$A) + 1)
        )
    )
)</f>
        <v>123</v>
      </c>
      <c r="E1661" s="7" t="str">
        <f ca="1" xml:space="preserve">
VLOOKUP(
  $D1661,
  Name!$A:$B,
  2,
  FALSE
)
&amp; " " &amp;
IF($B1661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Emanuelly de Oliveira Gouveia</v>
      </c>
      <c r="F1661" s="7">
        <v>2</v>
      </c>
      <c r="G1661" s="7" cm="1">
        <f t="array" aca="1" ref="G1661" ca="1">INDEX(States!$B:$B,RANDBETWEEN(2,COUNTA(States!$A:$A)),1)</f>
        <v>9</v>
      </c>
      <c r="H1661" s="7" t="str">
        <f ca="1">VLOOKUP($D1661,Name!$A:$C,3,FALSE)</f>
        <v>F</v>
      </c>
      <c r="I1661" s="7" cm="1">
        <f t="array" aca="1" ref="I1661" ca="1">INDEX('Marital status'!$A:$A,RANDBETWEEN(2,COUNTA('Marital status'!$A:$A)),1)</f>
        <v>2</v>
      </c>
      <c r="J1661" s="7">
        <f t="shared" ca="1" si="303"/>
        <v>4</v>
      </c>
      <c r="K1661" s="8">
        <f t="shared" ca="1" si="304"/>
        <v>36457</v>
      </c>
      <c r="L1661" s="6">
        <f t="shared" ca="1" si="305"/>
        <v>4</v>
      </c>
      <c r="M1661" s="7">
        <f ca="1" xml:space="preserve">
  IF(OR($N1661 = 2, $N1661 = 3, $N1661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661" s="6">
        <f t="shared" ca="1" si="306"/>
        <v>8</v>
      </c>
      <c r="O1661" s="6">
        <f t="shared" ca="1" si="307"/>
        <v>4</v>
      </c>
      <c r="P1661" s="8">
        <f t="shared" ca="1" si="308"/>
        <v>40436</v>
      </c>
      <c r="Q1661" s="6">
        <f ca="1">RANDBETWEEN(2,COUNTA('Recruitment source'!$A:$A))</f>
        <v>8</v>
      </c>
      <c r="R1661" s="8" t="e">
        <f t="shared" ca="1" si="309"/>
        <v>#N/A</v>
      </c>
      <c r="S1661" s="6" t="e">
        <f t="shared" ca="1" si="310"/>
        <v>#N/A</v>
      </c>
      <c r="T1661" s="6">
        <f t="shared" ca="1" si="300"/>
        <v>5</v>
      </c>
      <c r="U1661" s="1">
        <f t="shared" ca="1" si="311"/>
        <v>2000</v>
      </c>
    </row>
    <row r="1662" spans="1:21" x14ac:dyDescent="0.2">
      <c r="A1662" s="7" cm="1">
        <f t="array" aca="1" ref="A1662" ca="1">INDEX(Companies!$A:$A,RANDBETWEEN(2,COUNTA(Companies!$A:$A)),1)</f>
        <v>2</v>
      </c>
      <c r="B1662" s="5">
        <f t="shared" si="301"/>
        <v>1661</v>
      </c>
      <c r="C1662" s="6">
        <f t="shared" ca="1" si="302"/>
        <v>1</v>
      </c>
      <c r="D1662" s="7">
        <f ca="1">IF($B1662 = 1 + N("Presidente"),
    127,
    IF($B1662 = 2 + N("Vice-Presidente"),
        72,
        IF($B1662 = 3 + N("Secretária bilíngue"),
            13,
            RANDBETWEEN(5,COUNT(Name!$A:$A) + 1)
        )
    )
)</f>
        <v>169</v>
      </c>
      <c r="E1662" s="7" t="str">
        <f ca="1" xml:space="preserve">
VLOOKUP(
  $D1662,
  Name!$A:$B,
  2,
  FALSE
)
&amp; " " &amp;
IF($B1662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Ian Poeta Trindade</v>
      </c>
      <c r="F1662" s="7">
        <v>2</v>
      </c>
      <c r="G1662" s="7" cm="1">
        <f t="array" aca="1" ref="G1662" ca="1">INDEX(States!$B:$B,RANDBETWEEN(2,COUNTA(States!$A:$A)),1)</f>
        <v>11</v>
      </c>
      <c r="H1662" s="7" t="str">
        <f ca="1">VLOOKUP($D1662,Name!$A:$C,3,FALSE)</f>
        <v>M</v>
      </c>
      <c r="I1662" s="7" cm="1">
        <f t="array" aca="1" ref="I1662" ca="1">INDEX('Marital status'!$A:$A,RANDBETWEEN(2,COUNTA('Marital status'!$A:$A)),1)</f>
        <v>3</v>
      </c>
      <c r="J1662" s="7">
        <f t="shared" ca="1" si="303"/>
        <v>2</v>
      </c>
      <c r="K1662" s="8">
        <f t="shared" ca="1" si="304"/>
        <v>25350</v>
      </c>
      <c r="L1662" s="6">
        <f t="shared" ca="1" si="305"/>
        <v>4</v>
      </c>
      <c r="M1662" s="7">
        <f ca="1" xml:space="preserve">
  IF(OR($N1662 = 2, $N1662 = 3, $N1662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662" s="6">
        <f t="shared" ca="1" si="306"/>
        <v>6</v>
      </c>
      <c r="O1662" s="6" t="e">
        <f t="shared" ca="1" si="307"/>
        <v>#N/A</v>
      </c>
      <c r="P1662" s="8">
        <f t="shared" ca="1" si="308"/>
        <v>43420</v>
      </c>
      <c r="Q1662" s="6">
        <f ca="1">RANDBETWEEN(2,COUNTA('Recruitment source'!$A:$A))</f>
        <v>2</v>
      </c>
      <c r="R1662" s="8" t="e">
        <f t="shared" ca="1" si="309"/>
        <v>#N/A</v>
      </c>
      <c r="S1662" s="6" t="e">
        <f t="shared" ca="1" si="310"/>
        <v>#N/A</v>
      </c>
      <c r="T1662" s="6">
        <f t="shared" ca="1" si="300"/>
        <v>4</v>
      </c>
      <c r="U1662" s="1">
        <f t="shared" ca="1" si="311"/>
        <v>805</v>
      </c>
    </row>
    <row r="1663" spans="1:21" x14ac:dyDescent="0.2">
      <c r="A1663" s="7" cm="1">
        <f t="array" aca="1" ref="A1663" ca="1">INDEX(Companies!$A:$A,RANDBETWEEN(2,COUNTA(Companies!$A:$A)),1)</f>
        <v>2</v>
      </c>
      <c r="B1663" s="5">
        <f t="shared" si="301"/>
        <v>1662</v>
      </c>
      <c r="C1663" s="6">
        <f t="shared" ca="1" si="302"/>
        <v>1</v>
      </c>
      <c r="D1663" s="7">
        <f ca="1">IF($B1663 = 1 + N("Presidente"),
    127,
    IF($B1663 = 2 + N("Vice-Presidente"),
        72,
        IF($B1663 = 3 + N("Secretária bilíngue"),
            13,
            RANDBETWEEN(5,COUNT(Name!$A:$A) + 1)
        )
    )
)</f>
        <v>245</v>
      </c>
      <c r="E1663" s="7" t="str">
        <f ca="1" xml:space="preserve">
VLOOKUP(
  $D1663,
  Name!$A:$B,
  2,
  FALSE
)
&amp; " " &amp;
IF($B1663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Henrique Martini Moretti</v>
      </c>
      <c r="F1663" s="7">
        <v>2</v>
      </c>
      <c r="G1663" s="7" cm="1">
        <f t="array" aca="1" ref="G1663" ca="1">INDEX(States!$B:$B,RANDBETWEEN(2,COUNTA(States!$A:$A)),1)</f>
        <v>21</v>
      </c>
      <c r="H1663" s="7" t="str">
        <f ca="1">VLOOKUP($D1663,Name!$A:$C,3,FALSE)</f>
        <v>M</v>
      </c>
      <c r="I1663" s="7" cm="1">
        <f t="array" aca="1" ref="I1663" ca="1">INDEX('Marital status'!$A:$A,RANDBETWEEN(2,COUNTA('Marital status'!$A:$A)),1)</f>
        <v>6</v>
      </c>
      <c r="J1663" s="7">
        <f t="shared" ca="1" si="303"/>
        <v>2</v>
      </c>
      <c r="K1663" s="8">
        <f t="shared" ca="1" si="304"/>
        <v>38147</v>
      </c>
      <c r="L1663" s="6">
        <f t="shared" ca="1" si="305"/>
        <v>4</v>
      </c>
      <c r="M1663" s="7">
        <f ca="1" xml:space="preserve">
  IF(OR($N1663 = 2, $N1663 = 3, $N1663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663" s="6">
        <f t="shared" ca="1" si="306"/>
        <v>8</v>
      </c>
      <c r="O1663" s="6">
        <f t="shared" ca="1" si="307"/>
        <v>2</v>
      </c>
      <c r="P1663" s="8">
        <f t="shared" ca="1" si="308"/>
        <v>44838</v>
      </c>
      <c r="Q1663" s="6">
        <f ca="1">RANDBETWEEN(2,COUNTA('Recruitment source'!$A:$A))</f>
        <v>11</v>
      </c>
      <c r="R1663" s="8" t="e">
        <f t="shared" ca="1" si="309"/>
        <v>#N/A</v>
      </c>
      <c r="S1663" s="6" t="e">
        <f t="shared" ca="1" si="310"/>
        <v>#N/A</v>
      </c>
      <c r="T1663" s="6">
        <f t="shared" ca="1" si="300"/>
        <v>3</v>
      </c>
      <c r="U1663" s="1">
        <f t="shared" ca="1" si="311"/>
        <v>2100</v>
      </c>
    </row>
    <row r="1664" spans="1:21" x14ac:dyDescent="0.2">
      <c r="A1664" s="7" cm="1">
        <f t="array" aca="1" ref="A1664" ca="1">INDEX(Companies!$A:$A,RANDBETWEEN(2,COUNTA(Companies!$A:$A)),1)</f>
        <v>2</v>
      </c>
      <c r="B1664" s="5">
        <f t="shared" si="301"/>
        <v>1663</v>
      </c>
      <c r="C1664" s="6">
        <f t="shared" ca="1" si="302"/>
        <v>1</v>
      </c>
      <c r="D1664" s="7">
        <f ca="1">IF($B1664 = 1 + N("Presidente"),
    127,
    IF($B1664 = 2 + N("Vice-Presidente"),
        72,
        IF($B1664 = 3 + N("Secretária bilíngue"),
            13,
            RANDBETWEEN(5,COUNT(Name!$A:$A) + 1)
        )
    )
)</f>
        <v>19</v>
      </c>
      <c r="E1664" s="7" t="str">
        <f ca="1" xml:space="preserve">
VLOOKUP(
  $D1664,
  Name!$A:$B,
  2,
  FALSE
)
&amp; " " &amp;
IF($B1664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Aline Paulista Negreiros</v>
      </c>
      <c r="F1664" s="7">
        <v>2</v>
      </c>
      <c r="G1664" s="7" cm="1">
        <f t="array" aca="1" ref="G1664" ca="1">INDEX(States!$B:$B,RANDBETWEEN(2,COUNTA(States!$A:$A)),1)</f>
        <v>10</v>
      </c>
      <c r="H1664" s="7" t="str">
        <f ca="1">VLOOKUP($D1664,Name!$A:$C,3,FALSE)</f>
        <v>F</v>
      </c>
      <c r="I1664" s="7" cm="1">
        <f t="array" aca="1" ref="I1664" ca="1">INDEX('Marital status'!$A:$A,RANDBETWEEN(2,COUNTA('Marital status'!$A:$A)),1)</f>
        <v>2</v>
      </c>
      <c r="J1664" s="7">
        <f t="shared" ca="1" si="303"/>
        <v>2</v>
      </c>
      <c r="K1664" s="8">
        <f t="shared" ca="1" si="304"/>
        <v>18672</v>
      </c>
      <c r="L1664" s="6">
        <f t="shared" ca="1" si="305"/>
        <v>4</v>
      </c>
      <c r="M1664" s="7">
        <f ca="1" xml:space="preserve">
  IF(OR($N1664 = 2, $N1664 = 3, $N1664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664" s="6">
        <f t="shared" ca="1" si="306"/>
        <v>6</v>
      </c>
      <c r="O1664" s="6" t="e">
        <f t="shared" ca="1" si="307"/>
        <v>#N/A</v>
      </c>
      <c r="P1664" s="8">
        <f t="shared" ca="1" si="308"/>
        <v>42083</v>
      </c>
      <c r="Q1664" s="6">
        <f ca="1">RANDBETWEEN(2,COUNTA('Recruitment source'!$A:$A))</f>
        <v>12</v>
      </c>
      <c r="R1664" s="8" t="e">
        <f t="shared" ca="1" si="309"/>
        <v>#N/A</v>
      </c>
      <c r="S1664" s="6" t="e">
        <f t="shared" ca="1" si="310"/>
        <v>#N/A</v>
      </c>
      <c r="T1664" s="6">
        <f t="shared" ca="1" si="300"/>
        <v>3</v>
      </c>
      <c r="U1664" s="1">
        <f t="shared" ca="1" si="311"/>
        <v>805</v>
      </c>
    </row>
    <row r="1665" spans="1:21" x14ac:dyDescent="0.2">
      <c r="A1665" s="7" cm="1">
        <f t="array" aca="1" ref="A1665" ca="1">INDEX(Companies!$A:$A,RANDBETWEEN(2,COUNTA(Companies!$A:$A)),1)</f>
        <v>2</v>
      </c>
      <c r="B1665" s="5">
        <f t="shared" si="301"/>
        <v>1664</v>
      </c>
      <c r="C1665" s="6">
        <f t="shared" ca="1" si="302"/>
        <v>0</v>
      </c>
      <c r="D1665" s="7">
        <f ca="1">IF($B1665 = 1 + N("Presidente"),
    127,
    IF($B1665 = 2 + N("Vice-Presidente"),
        72,
        IF($B1665 = 3 + N("Secretária bilíngue"),
            13,
            RANDBETWEEN(5,COUNT(Name!$A:$A) + 1)
        )
    )
)</f>
        <v>286</v>
      </c>
      <c r="E1665" s="7" t="str">
        <f ca="1" xml:space="preserve">
VLOOKUP(
  $D1665,
  Name!$A:$B,
  2,
  FALSE
)
&amp; " " &amp;
IF($B1665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Mateus Marino Miranda</v>
      </c>
      <c r="F1665" s="7">
        <v>2</v>
      </c>
      <c r="G1665" s="7" cm="1">
        <f t="array" aca="1" ref="G1665" ca="1">INDEX(States!$B:$B,RANDBETWEEN(2,COUNTA(States!$A:$A)),1)</f>
        <v>9</v>
      </c>
      <c r="H1665" s="7" t="str">
        <f ca="1">VLOOKUP($D1665,Name!$A:$C,3,FALSE)</f>
        <v>M</v>
      </c>
      <c r="I1665" s="7" cm="1">
        <f t="array" aca="1" ref="I1665" ca="1">INDEX('Marital status'!$A:$A,RANDBETWEEN(2,COUNTA('Marital status'!$A:$A)),1)</f>
        <v>3</v>
      </c>
      <c r="J1665" s="7">
        <f t="shared" ca="1" si="303"/>
        <v>2</v>
      </c>
      <c r="K1665" s="8">
        <f t="shared" ca="1" si="304"/>
        <v>33471</v>
      </c>
      <c r="L1665" s="6">
        <f t="shared" ca="1" si="305"/>
        <v>4</v>
      </c>
      <c r="M1665" s="7">
        <f ca="1" xml:space="preserve">
  IF(OR($N1665 = 2, $N1665 = 3, $N1665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665" s="6">
        <f t="shared" ca="1" si="306"/>
        <v>8</v>
      </c>
      <c r="O1665" s="6">
        <f t="shared" ca="1" si="307"/>
        <v>2</v>
      </c>
      <c r="P1665" s="8">
        <f t="shared" ca="1" si="308"/>
        <v>40145</v>
      </c>
      <c r="Q1665" s="6">
        <f ca="1">RANDBETWEEN(2,COUNTA('Recruitment source'!$A:$A))</f>
        <v>4</v>
      </c>
      <c r="R1665" s="8">
        <f t="shared" ca="1" si="309"/>
        <v>42396</v>
      </c>
      <c r="S1665" s="6">
        <f t="shared" ca="1" si="310"/>
        <v>7</v>
      </c>
      <c r="T1665" s="6">
        <f t="shared" ca="1" si="300"/>
        <v>1</v>
      </c>
      <c r="U1665" s="1">
        <f t="shared" ca="1" si="311"/>
        <v>2000</v>
      </c>
    </row>
    <row r="1666" spans="1:21" x14ac:dyDescent="0.2">
      <c r="A1666" s="7" cm="1">
        <f t="array" aca="1" ref="A1666" ca="1">INDEX(Companies!$A:$A,RANDBETWEEN(2,COUNTA(Companies!$A:$A)),1)</f>
        <v>2</v>
      </c>
      <c r="B1666" s="5">
        <f t="shared" si="301"/>
        <v>1665</v>
      </c>
      <c r="C1666" s="6">
        <f t="shared" ca="1" si="302"/>
        <v>1</v>
      </c>
      <c r="D1666" s="7">
        <f ca="1">IF($B1666 = 1 + N("Presidente"),
    127,
    IF($B1666 = 2 + N("Vice-Presidente"),
        72,
        IF($B1666 = 3 + N("Secretária bilíngue"),
            13,
            RANDBETWEEN(5,COUNT(Name!$A:$A) + 1)
        )
    )
)</f>
        <v>58</v>
      </c>
      <c r="E1666" s="7" t="str">
        <f ca="1" xml:space="preserve">
VLOOKUP(
  $D1666,
  Name!$A:$B,
  2,
  FALSE
)
&amp; " " &amp;
IF($B1666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Miguel Rinaldi Moreira</v>
      </c>
      <c r="F1666" s="7">
        <v>2</v>
      </c>
      <c r="G1666" s="7" cm="1">
        <f t="array" aca="1" ref="G1666" ca="1">INDEX(States!$B:$B,RANDBETWEEN(2,COUNTA(States!$A:$A)),1)</f>
        <v>2</v>
      </c>
      <c r="H1666" s="7" t="str">
        <f ca="1">VLOOKUP($D1666,Name!$A:$C,3,FALSE)</f>
        <v>M</v>
      </c>
      <c r="I1666" s="7" cm="1">
        <f t="array" aca="1" ref="I1666" ca="1">INDEX('Marital status'!$A:$A,RANDBETWEEN(2,COUNTA('Marital status'!$A:$A)),1)</f>
        <v>2</v>
      </c>
      <c r="J1666" s="7">
        <f t="shared" ca="1" si="303"/>
        <v>3</v>
      </c>
      <c r="K1666" s="8">
        <f t="shared" ca="1" si="304"/>
        <v>26746</v>
      </c>
      <c r="L1666" s="6">
        <f t="shared" ca="1" si="305"/>
        <v>4</v>
      </c>
      <c r="M1666" s="7">
        <f ca="1" xml:space="preserve">
  IF(OR($N1666 = 2, $N1666 = 3, $N1666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666" s="6">
        <f t="shared" ca="1" si="306"/>
        <v>6</v>
      </c>
      <c r="O1666" s="6" t="e">
        <f t="shared" ca="1" si="307"/>
        <v>#N/A</v>
      </c>
      <c r="P1666" s="8">
        <f t="shared" ca="1" si="308"/>
        <v>41649</v>
      </c>
      <c r="Q1666" s="6">
        <f ca="1">RANDBETWEEN(2,COUNTA('Recruitment source'!$A:$A))</f>
        <v>2</v>
      </c>
      <c r="R1666" s="8" t="e">
        <f t="shared" ca="1" si="309"/>
        <v>#N/A</v>
      </c>
      <c r="S1666" s="6" t="e">
        <f t="shared" ca="1" si="310"/>
        <v>#N/A</v>
      </c>
      <c r="T1666" s="6">
        <f t="shared" ref="T1666:T1729" ca="1" si="312" xml:space="preserve">
IF(
 ISNA($R1666),
 IF(
   $N1666 = 2,
   5,
   IF(
     OR($N1666=3,$N1666=4,$N1666=5),
     RANDBETWEEN(4,5),
     IF(
       OR($N1666=11,$N1666=12),
       RANDBETWEEN(3,5),
       RANDBETWEEN(2,5)
     )
   )
 ),
 RANDBETWEEN(1,3)
)</f>
        <v>4</v>
      </c>
      <c r="U1666" s="1">
        <f t="shared" ca="1" si="311"/>
        <v>885</v>
      </c>
    </row>
    <row r="1667" spans="1:21" x14ac:dyDescent="0.2">
      <c r="A1667" s="7" cm="1">
        <f t="array" aca="1" ref="A1667" ca="1">INDEX(Companies!$A:$A,RANDBETWEEN(2,COUNTA(Companies!$A:$A)),1)</f>
        <v>2</v>
      </c>
      <c r="B1667" s="5">
        <f t="shared" ref="B1667:B1730" si="313">ROW() - 1</f>
        <v>1666</v>
      </c>
      <c r="C1667" s="6">
        <f t="shared" ref="C1667:C1730" ca="1" si="314">IF(ISNA($R1667),1,0)</f>
        <v>1</v>
      </c>
      <c r="D1667" s="7">
        <f ca="1">IF($B1667 = 1 + N("Presidente"),
    127,
    IF($B1667 = 2 + N("Vice-Presidente"),
        72,
        IF($B1667 = 3 + N("Secretária bilíngue"),
            13,
            RANDBETWEEN(5,COUNT(Name!$A:$A) + 1)
        )
    )
)</f>
        <v>342</v>
      </c>
      <c r="E1667" s="7" t="str">
        <f ca="1" xml:space="preserve">
VLOOKUP(
  $D1667,
  Name!$A:$B,
  2,
  FALSE
)
&amp; " " &amp;
IF($B1667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Théo Sousa Camargo</v>
      </c>
      <c r="F1667" s="7">
        <v>2</v>
      </c>
      <c r="G1667" s="7" cm="1">
        <f t="array" aca="1" ref="G1667" ca="1">INDEX(States!$B:$B,RANDBETWEEN(2,COUNTA(States!$A:$A)),1)</f>
        <v>10</v>
      </c>
      <c r="H1667" s="7" t="str">
        <f ca="1">VLOOKUP($D1667,Name!$A:$C,3,FALSE)</f>
        <v>M</v>
      </c>
      <c r="I1667" s="7" cm="1">
        <f t="array" aca="1" ref="I1667" ca="1">INDEX('Marital status'!$A:$A,RANDBETWEEN(2,COUNTA('Marital status'!$A:$A)),1)</f>
        <v>3</v>
      </c>
      <c r="J1667" s="7">
        <f t="shared" ref="J1667:J1730" ca="1" si="315" xml:space="preserve">
IF(AND($N1667 &gt;= 2, $N1667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1667" s="8">
        <f t="shared" ref="K1667:K1730" ca="1" si="316" xml:space="preserve">
IF($N1667 = 5 + N("CEO"),
    TODAY() - 16340,
    IF($N1667 = 8 + N("Secretary"),
        RANDBETWEEN(TODAY() - 12418.5, TODAY()-6574.5),
        IF(OR($N1667 = 7, $N1667 = 14),
            RANDBETWEEN(TODAY() - 16071, TODAY() - 8766),
            IF(OR($N1667 = 13, $N1667 = 12, $N1667 = 11),
                RANDBETWEEN(TODAY() - 27393.75, TODAY() - 12783.75),
                RANDBETWEEN(TODAY() - 27393.75, TODAY()-10957.5)
            )
        )
    )
)</f>
        <v>33004</v>
      </c>
      <c r="L1667" s="6">
        <f t="shared" ref="L1667:L1730" ca="1" si="317" xml:space="preserve">
IF(OR($N1667 = 2, $N1667 = 3) + N("Se for presidente ou vice-presidente"),
    7 + N("Doutor"),
    IF($N1667 = 4 + N("Se for diretor"),
        RANDBETWEEN(5,7) + N("Graduate school or Master’s degree or Doctorate"),
        IF($N1667 = 11 + N("Se for gerente"),
            RANDBETWEEN(4,6) + N("Undergraduate degree or Graduate school or Master’s degree"),
            IF(AND($N1667 &gt;= 8, $N1667 &lt;= 10) + N("If coordinator or specialist or analyst"),
                RANDBETWEEN(4,5),
                4
            )
        )
    )
)</f>
        <v>5</v>
      </c>
      <c r="M1667" s="7">
        <f ca="1" xml:space="preserve">
  IF(OR($N1667 = 2, $N1667 = 3, $N1667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667" s="6">
        <f t="shared" ref="N1667:N1730" ca="1" si="318" xml:space="preserve">
IF($B1667 = 1 + N("Se matrícula for 1"),
  2 + N("Presidente"),
  IF($B1667 = 2 + N("Se matrícula for 2"),
    3 + N("Vice-presidente"),
    IF($B1667 = 3 + N("Se matrícula for 3"),
      5 + N("Secretária bilíngue"),
      IF(AND($B1667 &gt;= 4, $B1667 &lt;=14),
        4 + N("Diretor"),
        IF(AND($B1667 &gt;= 15, $B1667 &lt;= 25),
          11 + N("Manager"),
          IF(AND($B1667 &gt;= 26, $B1667 &lt;= 36),
            10 + N("Coordinador"),
            IF(AND($B1667 &gt;= 37, $B1667 &lt;= 47),
              9 + N("Especialista"),
                IF(MOD($B1667,2) = 0,
                  8 + N("Analista"),
                  RANDBETWEEN(6,7) + N("Estagiário ou Trainee")
                )
            )
          )
        )
      )
    )
  )
)</f>
        <v>8</v>
      </c>
      <c r="O1667" s="6">
        <f t="shared" ref="O1667:O1730" ca="1" si="319" xml:space="preserve">
IF($N1667 =8 + N("Analyst"),
    RANDBETWEEN(2, 4) + N("Jr, Pleno, Sr"),
    NA()
)</f>
        <v>2</v>
      </c>
      <c r="P1667" s="8">
        <f t="shared" ref="P1667:P1730" ca="1" si="320" xml:space="preserve">
IF(
   $N1667=2 + N("Presidente"),
   36161,
   IF(
       OR(
         $N1667=3 + N("Vice-Presidente"),
         $N1667=4 + N("Diretor"),
         $N1667=5 + N("Secretária bilíngue")
       ),
       RANDBETWEEN(36161,36411),
       IF(
         ((TODAY() - $K1667) / 365) &lt; 19,
         TODAY(),
         RANDBETWEEN(36161,TODAY())
       )
   )
)</f>
        <v>37628</v>
      </c>
      <c r="Q1667" s="6">
        <f ca="1">RANDBETWEEN(2,COUNTA('Recruitment source'!$A:$A))</f>
        <v>5</v>
      </c>
      <c r="R1667" s="8" t="e">
        <f t="shared" ref="R1667:R1730" ca="1" si="321" xml:space="preserve">
IF(MOD(
     ROW(),111
   )=0,
   RANDBETWEEN($P1667 + 1,TODAY() - 1),NA()
)</f>
        <v>#N/A</v>
      </c>
      <c r="S1667" s="6" t="e">
        <f t="shared" ref="S1667:S1730" ca="1" si="322" xml:space="preserve">
IF(
  ISNA(R1667),
  NA(),
  RANDBETWEEN(2,IF($H1667="F",10,9))
)</f>
        <v>#N/A</v>
      </c>
      <c r="T1667" s="6">
        <f t="shared" ca="1" si="312"/>
        <v>3</v>
      </c>
      <c r="U1667" s="1">
        <f t="shared" ref="U1667:U1730" ca="1" si="323" xml:space="preserve">
IF($N1667 = 2 + N("Presidente"),
    25000,
    IF($N1667 = 3 + N("Vice-presidente"),
        23000,
        IF(OR($N1667 = 5, $N1667= 10, $N1667 = 9) + N("Secretária bilíngue ou coordenador ou especialista"),
            8000,
            IF($N1667 = 4 + N("Diretor"),
                15000,
                IF($N1667 = 11 + N("Gerente"),
                    12000,
                    IF($N1667 = 6 + N("Estagiário"),
                        805,
                        IF($N1667 = 7 + N("Trainee"),
                            1005,
                            IF($N1667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IF($L1667 = 7,
  100,
  IF($L1667 = 8,
    200,
    IF($L1667 = 9,
      300,
      IF($L1667 = 10,
        400,
        0
      )
    )
  )
)
+
N("Adicional no salário por área")
+
IF($M1667 = 14 + N("Tecnologia da Informação"),
  120,
  IF($M1667 = 16 + N("Vendas"),
    110,
    IF($M1667 = 15 + N("Jurídico"),
      100,
      IF(OR($M1667 = 8, $M1667 = 9, $M1667 = 11) + N("Recursos humanos ou comercial ou comunicação e marketing"),
        80,
        0
      )
    )
  )
)
+
N("Adicionando pegadinha")
+
IF(AND($M1667 = 13, $N1667 = 8) + N("Se for de vendas e analista"),
  IF($J1667 = 2,
    50,
    0
  )
  +
  IF($H1667 = "M",
    50,
    0
  ),
  0
)</f>
        <v>2000</v>
      </c>
    </row>
    <row r="1668" spans="1:21" x14ac:dyDescent="0.2">
      <c r="A1668" s="7" cm="1">
        <f t="array" aca="1" ref="A1668" ca="1">INDEX(Companies!$A:$A,RANDBETWEEN(2,COUNTA(Companies!$A:$A)),1)</f>
        <v>2</v>
      </c>
      <c r="B1668" s="5">
        <f t="shared" si="313"/>
        <v>1667</v>
      </c>
      <c r="C1668" s="6">
        <f t="shared" ca="1" si="314"/>
        <v>1</v>
      </c>
      <c r="D1668" s="7">
        <f ca="1">IF($B1668 = 1 + N("Presidente"),
    127,
    IF($B1668 = 2 + N("Vice-Presidente"),
        72,
        IF($B1668 = 3 + N("Secretária bilíngue"),
            13,
            RANDBETWEEN(5,COUNT(Name!$A:$A) + 1)
        )
    )
)</f>
        <v>90</v>
      </c>
      <c r="E1668" s="7" t="str">
        <f ca="1" xml:space="preserve">
VLOOKUP(
  $D1668,
  Name!$A:$B,
  2,
  FALSE
)
&amp; " " &amp;
IF($B1668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Caue Amor Fernandes</v>
      </c>
      <c r="F1668" s="7">
        <v>2</v>
      </c>
      <c r="G1668" s="7" cm="1">
        <f t="array" aca="1" ref="G1668" ca="1">INDEX(States!$B:$B,RANDBETWEEN(2,COUNTA(States!$A:$A)),1)</f>
        <v>12</v>
      </c>
      <c r="H1668" s="7" t="str">
        <f ca="1">VLOOKUP($D1668,Name!$A:$C,3,FALSE)</f>
        <v>M</v>
      </c>
      <c r="I1668" s="7" cm="1">
        <f t="array" aca="1" ref="I1668" ca="1">INDEX('Marital status'!$A:$A,RANDBETWEEN(2,COUNTA('Marital status'!$A:$A)),1)</f>
        <v>5</v>
      </c>
      <c r="J1668" s="7">
        <f t="shared" ca="1" si="315"/>
        <v>2</v>
      </c>
      <c r="K1668" s="8">
        <f t="shared" ca="1" si="316"/>
        <v>36000</v>
      </c>
      <c r="L1668" s="6">
        <f t="shared" ca="1" si="317"/>
        <v>4</v>
      </c>
      <c r="M1668" s="7">
        <f ca="1" xml:space="preserve">
  IF(OR($N1668 = 2, $N1668 = 3, $N1668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668" s="6">
        <f t="shared" ca="1" si="318"/>
        <v>7</v>
      </c>
      <c r="O1668" s="6" t="e">
        <f t="shared" ca="1" si="319"/>
        <v>#N/A</v>
      </c>
      <c r="P1668" s="8">
        <f t="shared" ca="1" si="320"/>
        <v>41331</v>
      </c>
      <c r="Q1668" s="6">
        <f ca="1">RANDBETWEEN(2,COUNTA('Recruitment source'!$A:$A))</f>
        <v>10</v>
      </c>
      <c r="R1668" s="8" t="e">
        <f t="shared" ca="1" si="321"/>
        <v>#N/A</v>
      </c>
      <c r="S1668" s="6" t="e">
        <f t="shared" ca="1" si="322"/>
        <v>#N/A</v>
      </c>
      <c r="T1668" s="6">
        <f t="shared" ca="1" si="312"/>
        <v>2</v>
      </c>
      <c r="U1668" s="1">
        <f t="shared" ca="1" si="323"/>
        <v>1005</v>
      </c>
    </row>
    <row r="1669" spans="1:21" x14ac:dyDescent="0.2">
      <c r="A1669" s="7" cm="1">
        <f t="array" aca="1" ref="A1669" ca="1">INDEX(Companies!$A:$A,RANDBETWEEN(2,COUNTA(Companies!$A:$A)),1)</f>
        <v>2</v>
      </c>
      <c r="B1669" s="5">
        <f t="shared" si="313"/>
        <v>1668</v>
      </c>
      <c r="C1669" s="6">
        <f t="shared" ca="1" si="314"/>
        <v>1</v>
      </c>
      <c r="D1669" s="7">
        <f ca="1">IF($B1669 = 1 + N("Presidente"),
    127,
    IF($B1669 = 2 + N("Vice-Presidente"),
        72,
        IF($B1669 = 3 + N("Secretária bilíngue"),
            13,
            RANDBETWEEN(5,COUNT(Name!$A:$A) + 1)
        )
    )
)</f>
        <v>335</v>
      </c>
      <c r="E1669" s="7" t="str">
        <f ca="1" xml:space="preserve">
VLOOKUP(
  $D1669,
  Name!$A:$B,
  2,
  FALSE
)
&amp; " " &amp;
IF($B1669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Sammuel Siqueira Nunes</v>
      </c>
      <c r="F1669" s="7">
        <v>2</v>
      </c>
      <c r="G1669" s="7" cm="1">
        <f t="array" aca="1" ref="G1669" ca="1">INDEX(States!$B:$B,RANDBETWEEN(2,COUNTA(States!$A:$A)),1)</f>
        <v>21</v>
      </c>
      <c r="H1669" s="7" t="str">
        <f ca="1">VLOOKUP($D1669,Name!$A:$C,3,FALSE)</f>
        <v>M</v>
      </c>
      <c r="I1669" s="7" cm="1">
        <f t="array" aca="1" ref="I1669" ca="1">INDEX('Marital status'!$A:$A,RANDBETWEEN(2,COUNTA('Marital status'!$A:$A)),1)</f>
        <v>3</v>
      </c>
      <c r="J1669" s="7">
        <f t="shared" ca="1" si="315"/>
        <v>2</v>
      </c>
      <c r="K1669" s="8">
        <f t="shared" ca="1" si="316"/>
        <v>37216</v>
      </c>
      <c r="L1669" s="6">
        <f t="shared" ca="1" si="317"/>
        <v>5</v>
      </c>
      <c r="M1669" s="7">
        <f ca="1" xml:space="preserve">
  IF(OR($N1669 = 2, $N1669 = 3, $N1669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669" s="6">
        <f t="shared" ca="1" si="318"/>
        <v>8</v>
      </c>
      <c r="O1669" s="6">
        <f t="shared" ca="1" si="319"/>
        <v>4</v>
      </c>
      <c r="P1669" s="8">
        <f t="shared" ca="1" si="320"/>
        <v>44157</v>
      </c>
      <c r="Q1669" s="6">
        <f ca="1">RANDBETWEEN(2,COUNTA('Recruitment source'!$A:$A))</f>
        <v>8</v>
      </c>
      <c r="R1669" s="8" t="e">
        <f t="shared" ca="1" si="321"/>
        <v>#N/A</v>
      </c>
      <c r="S1669" s="6" t="e">
        <f t="shared" ca="1" si="322"/>
        <v>#N/A</v>
      </c>
      <c r="T1669" s="6">
        <f t="shared" ca="1" si="312"/>
        <v>5</v>
      </c>
      <c r="U1669" s="1">
        <f t="shared" ca="1" si="323"/>
        <v>2000</v>
      </c>
    </row>
    <row r="1670" spans="1:21" x14ac:dyDescent="0.2">
      <c r="A1670" s="7" cm="1">
        <f t="array" aca="1" ref="A1670" ca="1">INDEX(Companies!$A:$A,RANDBETWEEN(2,COUNTA(Companies!$A:$A)),1)</f>
        <v>2</v>
      </c>
      <c r="B1670" s="5">
        <f t="shared" si="313"/>
        <v>1669</v>
      </c>
      <c r="C1670" s="6">
        <f t="shared" ca="1" si="314"/>
        <v>1</v>
      </c>
      <c r="D1670" s="7">
        <f ca="1">IF($B1670 = 1 + N("Presidente"),
    127,
    IF($B1670 = 2 + N("Vice-Presidente"),
        72,
        IF($B1670 = 3 + N("Secretária bilíngue"),
            13,
            RANDBETWEEN(5,COUNT(Name!$A:$A) + 1)
        )
    )
)</f>
        <v>176</v>
      </c>
      <c r="E1670" s="7" t="str">
        <f ca="1" xml:space="preserve">
VLOOKUP(
  $D1670,
  Name!$A:$B,
  2,
  FALSE
)
&amp; " " &amp;
IF($B1670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Isabelle Costa Asvilla</v>
      </c>
      <c r="F1670" s="7">
        <v>2</v>
      </c>
      <c r="G1670" s="7" cm="1">
        <f t="array" aca="1" ref="G1670" ca="1">INDEX(States!$B:$B,RANDBETWEEN(2,COUNTA(States!$A:$A)),1)</f>
        <v>7</v>
      </c>
      <c r="H1670" s="7" t="str">
        <f ca="1">VLOOKUP($D1670,Name!$A:$C,3,FALSE)</f>
        <v>F</v>
      </c>
      <c r="I1670" s="7" cm="1">
        <f t="array" aca="1" ref="I1670" ca="1">INDEX('Marital status'!$A:$A,RANDBETWEEN(2,COUNTA('Marital status'!$A:$A)),1)</f>
        <v>3</v>
      </c>
      <c r="J1670" s="7">
        <f t="shared" ca="1" si="315"/>
        <v>2</v>
      </c>
      <c r="K1670" s="8">
        <f t="shared" ca="1" si="316"/>
        <v>21992</v>
      </c>
      <c r="L1670" s="6">
        <f t="shared" ca="1" si="317"/>
        <v>4</v>
      </c>
      <c r="M1670" s="7">
        <f ca="1" xml:space="preserve">
  IF(OR($N1670 = 2, $N1670 = 3, $N1670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670" s="6">
        <f t="shared" ca="1" si="318"/>
        <v>6</v>
      </c>
      <c r="O1670" s="6" t="e">
        <f t="shared" ca="1" si="319"/>
        <v>#N/A</v>
      </c>
      <c r="P1670" s="8">
        <f t="shared" ca="1" si="320"/>
        <v>44606</v>
      </c>
      <c r="Q1670" s="6">
        <f ca="1">RANDBETWEEN(2,COUNTA('Recruitment source'!$A:$A))</f>
        <v>3</v>
      </c>
      <c r="R1670" s="8" t="e">
        <f t="shared" ca="1" si="321"/>
        <v>#N/A</v>
      </c>
      <c r="S1670" s="6" t="e">
        <f t="shared" ca="1" si="322"/>
        <v>#N/A</v>
      </c>
      <c r="T1670" s="6">
        <f t="shared" ca="1" si="312"/>
        <v>4</v>
      </c>
      <c r="U1670" s="1">
        <f t="shared" ca="1" si="323"/>
        <v>805</v>
      </c>
    </row>
    <row r="1671" spans="1:21" x14ac:dyDescent="0.2">
      <c r="A1671" s="7" cm="1">
        <f t="array" aca="1" ref="A1671" ca="1">INDEX(Companies!$A:$A,RANDBETWEEN(2,COUNTA(Companies!$A:$A)),1)</f>
        <v>2</v>
      </c>
      <c r="B1671" s="5">
        <f t="shared" si="313"/>
        <v>1670</v>
      </c>
      <c r="C1671" s="6">
        <f t="shared" ca="1" si="314"/>
        <v>1</v>
      </c>
      <c r="D1671" s="7">
        <f ca="1">IF($B1671 = 1 + N("Presidente"),
    127,
    IF($B1671 = 2 + N("Vice-Presidente"),
        72,
        IF($B1671 = 3 + N("Secretária bilíngue"),
            13,
            RANDBETWEEN(5,COUNT(Name!$A:$A) + 1)
        )
    )
)</f>
        <v>197</v>
      </c>
      <c r="E1671" s="7" t="str">
        <f ca="1" xml:space="preserve">
VLOOKUP(
  $D1671,
  Name!$A:$B,
  2,
  FALSE
)
&amp; " " &amp;
IF($B1671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Ricci Barros</v>
      </c>
      <c r="F1671" s="7">
        <v>2</v>
      </c>
      <c r="G1671" s="7" cm="1">
        <f t="array" aca="1" ref="G1671" ca="1">INDEX(States!$B:$B,RANDBETWEEN(2,COUNTA(States!$A:$A)),1)</f>
        <v>17</v>
      </c>
      <c r="H1671" s="7" t="str">
        <f ca="1">VLOOKUP($D1671,Name!$A:$C,3,FALSE)</f>
        <v>M</v>
      </c>
      <c r="I1671" s="7" cm="1">
        <f t="array" aca="1" ref="I1671" ca="1">INDEX('Marital status'!$A:$A,RANDBETWEEN(2,COUNTA('Marital status'!$A:$A)),1)</f>
        <v>3</v>
      </c>
      <c r="J1671" s="7">
        <f t="shared" ca="1" si="315"/>
        <v>2</v>
      </c>
      <c r="K1671" s="8">
        <f t="shared" ca="1" si="316"/>
        <v>37824</v>
      </c>
      <c r="L1671" s="6">
        <f t="shared" ca="1" si="317"/>
        <v>5</v>
      </c>
      <c r="M1671" s="7">
        <f ca="1" xml:space="preserve">
  IF(OR($N1671 = 2, $N1671 = 3, $N1671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671" s="6">
        <f t="shared" ca="1" si="318"/>
        <v>8</v>
      </c>
      <c r="O1671" s="6">
        <f t="shared" ca="1" si="319"/>
        <v>4</v>
      </c>
      <c r="P1671" s="8">
        <f t="shared" ca="1" si="320"/>
        <v>38776</v>
      </c>
      <c r="Q1671" s="6">
        <f ca="1">RANDBETWEEN(2,COUNTA('Recruitment source'!$A:$A))</f>
        <v>5</v>
      </c>
      <c r="R1671" s="8" t="e">
        <f t="shared" ca="1" si="321"/>
        <v>#N/A</v>
      </c>
      <c r="S1671" s="6" t="e">
        <f t="shared" ca="1" si="322"/>
        <v>#N/A</v>
      </c>
      <c r="T1671" s="6">
        <f t="shared" ca="1" si="312"/>
        <v>4</v>
      </c>
      <c r="U1671" s="1">
        <f t="shared" ca="1" si="323"/>
        <v>2000</v>
      </c>
    </row>
    <row r="1672" spans="1:21" x14ac:dyDescent="0.2">
      <c r="A1672" s="7" cm="1">
        <f t="array" aca="1" ref="A1672" ca="1">INDEX(Companies!$A:$A,RANDBETWEEN(2,COUNTA(Companies!$A:$A)),1)</f>
        <v>2</v>
      </c>
      <c r="B1672" s="5">
        <f t="shared" si="313"/>
        <v>1671</v>
      </c>
      <c r="C1672" s="6">
        <f t="shared" ca="1" si="314"/>
        <v>1</v>
      </c>
      <c r="D1672" s="7">
        <f ca="1">IF($B1672 = 1 + N("Presidente"),
    127,
    IF($B1672 = 2 + N("Vice-Presidente"),
        72,
        IF($B1672 = 3 + N("Secretária bilíngue"),
            13,
            RANDBETWEEN(5,COUNT(Name!$A:$A) + 1)
        )
    )
)</f>
        <v>154</v>
      </c>
      <c r="E1672" s="7" t="str">
        <f ca="1" xml:space="preserve">
VLOOKUP(
  $D1672,
  Name!$A:$B,
  2,
  FALSE
)
&amp; " " &amp;
IF($B1672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Giovanna Mancini Costa</v>
      </c>
      <c r="F1672" s="7">
        <v>2</v>
      </c>
      <c r="G1672" s="7" cm="1">
        <f t="array" aca="1" ref="G1672" ca="1">INDEX(States!$B:$B,RANDBETWEEN(2,COUNTA(States!$A:$A)),1)</f>
        <v>3</v>
      </c>
      <c r="H1672" s="7" t="str">
        <f ca="1">VLOOKUP($D1672,Name!$A:$C,3,FALSE)</f>
        <v>F</v>
      </c>
      <c r="I1672" s="7" cm="1">
        <f t="array" aca="1" ref="I1672" ca="1">INDEX('Marital status'!$A:$A,RANDBETWEEN(2,COUNTA('Marital status'!$A:$A)),1)</f>
        <v>2</v>
      </c>
      <c r="J1672" s="7">
        <f t="shared" ca="1" si="315"/>
        <v>5</v>
      </c>
      <c r="K1672" s="8">
        <f t="shared" ca="1" si="316"/>
        <v>32272</v>
      </c>
      <c r="L1672" s="6">
        <f t="shared" ca="1" si="317"/>
        <v>4</v>
      </c>
      <c r="M1672" s="7">
        <f ca="1" xml:space="preserve">
  IF(OR($N1672 = 2, $N1672 = 3, $N1672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672" s="6">
        <f t="shared" ca="1" si="318"/>
        <v>7</v>
      </c>
      <c r="O1672" s="6" t="e">
        <f t="shared" ca="1" si="319"/>
        <v>#N/A</v>
      </c>
      <c r="P1672" s="8">
        <f t="shared" ca="1" si="320"/>
        <v>38156</v>
      </c>
      <c r="Q1672" s="6">
        <f ca="1">RANDBETWEEN(2,COUNTA('Recruitment source'!$A:$A))</f>
        <v>3</v>
      </c>
      <c r="R1672" s="8" t="e">
        <f t="shared" ca="1" si="321"/>
        <v>#N/A</v>
      </c>
      <c r="S1672" s="6" t="e">
        <f t="shared" ca="1" si="322"/>
        <v>#N/A</v>
      </c>
      <c r="T1672" s="6">
        <f t="shared" ca="1" si="312"/>
        <v>3</v>
      </c>
      <c r="U1672" s="1">
        <f t="shared" ca="1" si="323"/>
        <v>1005</v>
      </c>
    </row>
    <row r="1673" spans="1:21" x14ac:dyDescent="0.2">
      <c r="A1673" s="7" cm="1">
        <f t="array" aca="1" ref="A1673" ca="1">INDEX(Companies!$A:$A,RANDBETWEEN(2,COUNTA(Companies!$A:$A)),1)</f>
        <v>2</v>
      </c>
      <c r="B1673" s="5">
        <f t="shared" si="313"/>
        <v>1672</v>
      </c>
      <c r="C1673" s="6">
        <f t="shared" ca="1" si="314"/>
        <v>1</v>
      </c>
      <c r="D1673" s="7">
        <f ca="1">IF($B1673 = 1 + N("Presidente"),
    127,
    IF($B1673 = 2 + N("Vice-Presidente"),
        72,
        IF($B1673 = 3 + N("Secretária bilíngue"),
            13,
            RANDBETWEEN(5,COUNT(Name!$A:$A) + 1)
        )
    )
)</f>
        <v>361</v>
      </c>
      <c r="E1673" s="7" t="str">
        <f ca="1" xml:space="preserve">
VLOOKUP(
  $D1673,
  Name!$A:$B,
  2,
  FALSE
)
&amp; " " &amp;
IF($B1673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Wagner Rinaldi Andrioli</v>
      </c>
      <c r="F1673" s="7">
        <v>2</v>
      </c>
      <c r="G1673" s="7" cm="1">
        <f t="array" aca="1" ref="G1673" ca="1">INDEX(States!$B:$B,RANDBETWEEN(2,COUNTA(States!$A:$A)),1)</f>
        <v>2</v>
      </c>
      <c r="H1673" s="7" t="str">
        <f ca="1">VLOOKUP($D1673,Name!$A:$C,3,FALSE)</f>
        <v>M</v>
      </c>
      <c r="I1673" s="7" cm="1">
        <f t="array" aca="1" ref="I1673" ca="1">INDEX('Marital status'!$A:$A,RANDBETWEEN(2,COUNTA('Marital status'!$A:$A)),1)</f>
        <v>6</v>
      </c>
      <c r="J1673" s="7">
        <f t="shared" ca="1" si="315"/>
        <v>3</v>
      </c>
      <c r="K1673" s="8">
        <f t="shared" ca="1" si="316"/>
        <v>36965</v>
      </c>
      <c r="L1673" s="6">
        <f t="shared" ca="1" si="317"/>
        <v>4</v>
      </c>
      <c r="M1673" s="7">
        <f ca="1" xml:space="preserve">
  IF(OR($N1673 = 2, $N1673 = 3, $N1673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673" s="6">
        <f t="shared" ca="1" si="318"/>
        <v>8</v>
      </c>
      <c r="O1673" s="6">
        <f t="shared" ca="1" si="319"/>
        <v>2</v>
      </c>
      <c r="P1673" s="8">
        <f t="shared" ca="1" si="320"/>
        <v>43827</v>
      </c>
      <c r="Q1673" s="6">
        <f ca="1">RANDBETWEEN(2,COUNTA('Recruitment source'!$A:$A))</f>
        <v>2</v>
      </c>
      <c r="R1673" s="8" t="e">
        <f t="shared" ca="1" si="321"/>
        <v>#N/A</v>
      </c>
      <c r="S1673" s="6" t="e">
        <f t="shared" ca="1" si="322"/>
        <v>#N/A</v>
      </c>
      <c r="T1673" s="6">
        <f t="shared" ca="1" si="312"/>
        <v>2</v>
      </c>
      <c r="U1673" s="1">
        <f t="shared" ca="1" si="323"/>
        <v>2080</v>
      </c>
    </row>
    <row r="1674" spans="1:21" x14ac:dyDescent="0.2">
      <c r="A1674" s="7" cm="1">
        <f t="array" aca="1" ref="A1674" ca="1">INDEX(Companies!$A:$A,RANDBETWEEN(2,COUNTA(Companies!$A:$A)),1)</f>
        <v>2</v>
      </c>
      <c r="B1674" s="5">
        <f t="shared" si="313"/>
        <v>1673</v>
      </c>
      <c r="C1674" s="6">
        <f t="shared" ca="1" si="314"/>
        <v>1</v>
      </c>
      <c r="D1674" s="7">
        <f ca="1">IF($B1674 = 1 + N("Presidente"),
    127,
    IF($B1674 = 2 + N("Vice-Presidente"),
        72,
        IF($B1674 = 3 + N("Secretária bilíngue"),
            13,
            RANDBETWEEN(5,COUNT(Name!$A:$A) + 1)
        )
    )
)</f>
        <v>98</v>
      </c>
      <c r="E1674" s="7" t="str">
        <f ca="1" xml:space="preserve">
VLOOKUP(
  $D1674,
  Name!$A:$B,
  2,
  FALSE
)
&amp; " " &amp;
IF($B1674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Claudio Gallo Ferrara</v>
      </c>
      <c r="F1674" s="7">
        <v>2</v>
      </c>
      <c r="G1674" s="7" cm="1">
        <f t="array" aca="1" ref="G1674" ca="1">INDEX(States!$B:$B,RANDBETWEEN(2,COUNTA(States!$A:$A)),1)</f>
        <v>4</v>
      </c>
      <c r="H1674" s="7" t="str">
        <f ca="1">VLOOKUP($D1674,Name!$A:$C,3,FALSE)</f>
        <v>M</v>
      </c>
      <c r="I1674" s="7" cm="1">
        <f t="array" aca="1" ref="I1674" ca="1">INDEX('Marital status'!$A:$A,RANDBETWEEN(2,COUNTA('Marital status'!$A:$A)),1)</f>
        <v>4</v>
      </c>
      <c r="J1674" s="7">
        <f t="shared" ca="1" si="315"/>
        <v>2</v>
      </c>
      <c r="K1674" s="8">
        <f t="shared" ca="1" si="316"/>
        <v>30364</v>
      </c>
      <c r="L1674" s="6">
        <f t="shared" ca="1" si="317"/>
        <v>4</v>
      </c>
      <c r="M1674" s="7">
        <f ca="1" xml:space="preserve">
  IF(OR($N1674 = 2, $N1674 = 3, $N1674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674" s="6">
        <f t="shared" ca="1" si="318"/>
        <v>7</v>
      </c>
      <c r="O1674" s="6" t="e">
        <f t="shared" ca="1" si="319"/>
        <v>#N/A</v>
      </c>
      <c r="P1674" s="8">
        <f t="shared" ca="1" si="320"/>
        <v>43428</v>
      </c>
      <c r="Q1674" s="6">
        <f ca="1">RANDBETWEEN(2,COUNTA('Recruitment source'!$A:$A))</f>
        <v>2</v>
      </c>
      <c r="R1674" s="8" t="e">
        <f t="shared" ca="1" si="321"/>
        <v>#N/A</v>
      </c>
      <c r="S1674" s="6" t="e">
        <f t="shared" ca="1" si="322"/>
        <v>#N/A</v>
      </c>
      <c r="T1674" s="6">
        <f t="shared" ca="1" si="312"/>
        <v>5</v>
      </c>
      <c r="U1674" s="1">
        <f t="shared" ca="1" si="323"/>
        <v>1085</v>
      </c>
    </row>
    <row r="1675" spans="1:21" x14ac:dyDescent="0.2">
      <c r="A1675" s="7" cm="1">
        <f t="array" aca="1" ref="A1675" ca="1">INDEX(Companies!$A:$A,RANDBETWEEN(2,COUNTA(Companies!$A:$A)),1)</f>
        <v>2</v>
      </c>
      <c r="B1675" s="5">
        <f t="shared" si="313"/>
        <v>1674</v>
      </c>
      <c r="C1675" s="6">
        <f t="shared" ca="1" si="314"/>
        <v>1</v>
      </c>
      <c r="D1675" s="7">
        <f ca="1">IF($B1675 = 1 + N("Presidente"),
    127,
    IF($B1675 = 2 + N("Vice-Presidente"),
        72,
        IF($B1675 = 3 + N("Secretária bilíngue"),
            13,
            RANDBETWEEN(5,COUNT(Name!$A:$A) + 1)
        )
    )
)</f>
        <v>274</v>
      </c>
      <c r="E1675" s="7" t="str">
        <f ca="1" xml:space="preserve">
VLOOKUP(
  $D1675,
  Name!$A:$B,
  2,
  FALSE
)
&amp; " " &amp;
IF($B1675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Valentina Seixas Pinto</v>
      </c>
      <c r="F1675" s="7">
        <v>2</v>
      </c>
      <c r="G1675" s="7" cm="1">
        <f t="array" aca="1" ref="G1675" ca="1">INDEX(States!$B:$B,RANDBETWEEN(2,COUNTA(States!$A:$A)),1)</f>
        <v>20</v>
      </c>
      <c r="H1675" s="7" t="str">
        <f ca="1">VLOOKUP($D1675,Name!$A:$C,3,FALSE)</f>
        <v>F</v>
      </c>
      <c r="I1675" s="7" cm="1">
        <f t="array" aca="1" ref="I1675" ca="1">INDEX('Marital status'!$A:$A,RANDBETWEEN(2,COUNTA('Marital status'!$A:$A)),1)</f>
        <v>2</v>
      </c>
      <c r="J1675" s="7">
        <f t="shared" ca="1" si="315"/>
        <v>2</v>
      </c>
      <c r="K1675" s="8">
        <f t="shared" ca="1" si="316"/>
        <v>36952</v>
      </c>
      <c r="L1675" s="6">
        <f t="shared" ca="1" si="317"/>
        <v>4</v>
      </c>
      <c r="M1675" s="7">
        <f ca="1" xml:space="preserve">
  IF(OR($N1675 = 2, $N1675 = 3, $N1675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675" s="6">
        <f t="shared" ca="1" si="318"/>
        <v>8</v>
      </c>
      <c r="O1675" s="6">
        <f t="shared" ca="1" si="319"/>
        <v>3</v>
      </c>
      <c r="P1675" s="8">
        <f t="shared" ca="1" si="320"/>
        <v>38910</v>
      </c>
      <c r="Q1675" s="6">
        <f ca="1">RANDBETWEEN(2,COUNTA('Recruitment source'!$A:$A))</f>
        <v>2</v>
      </c>
      <c r="R1675" s="8" t="e">
        <f t="shared" ca="1" si="321"/>
        <v>#N/A</v>
      </c>
      <c r="S1675" s="6" t="e">
        <f t="shared" ca="1" si="322"/>
        <v>#N/A</v>
      </c>
      <c r="T1675" s="6">
        <f t="shared" ca="1" si="312"/>
        <v>3</v>
      </c>
      <c r="U1675" s="1">
        <f t="shared" ca="1" si="323"/>
        <v>2080</v>
      </c>
    </row>
    <row r="1676" spans="1:21" x14ac:dyDescent="0.2">
      <c r="A1676" s="7" cm="1">
        <f t="array" aca="1" ref="A1676" ca="1">INDEX(Companies!$A:$A,RANDBETWEEN(2,COUNTA(Companies!$A:$A)),1)</f>
        <v>2</v>
      </c>
      <c r="B1676" s="5">
        <f t="shared" si="313"/>
        <v>1675</v>
      </c>
      <c r="C1676" s="6">
        <f t="shared" ca="1" si="314"/>
        <v>1</v>
      </c>
      <c r="D1676" s="7">
        <f ca="1">IF($B1676 = 1 + N("Presidente"),
    127,
    IF($B1676 = 2 + N("Vice-Presidente"),
        72,
        IF($B1676 = 3 + N("Secretária bilíngue"),
            13,
            RANDBETWEEN(5,COUNT(Name!$A:$A) + 1)
        )
    )
)</f>
        <v>199</v>
      </c>
      <c r="E1676" s="7" t="str">
        <f ca="1" xml:space="preserve">
VLOOKUP(
  $D1676,
  Name!$A:$B,
  2,
  FALSE
)
&amp; " " &amp;
IF($B1676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Francisco Bragança Zil</v>
      </c>
      <c r="F1676" s="7">
        <v>2</v>
      </c>
      <c r="G1676" s="7" cm="1">
        <f t="array" aca="1" ref="G1676" ca="1">INDEX(States!$B:$B,RANDBETWEEN(2,COUNTA(States!$A:$A)),1)</f>
        <v>3</v>
      </c>
      <c r="H1676" s="7" t="str">
        <f ca="1">VLOOKUP($D1676,Name!$A:$C,3,FALSE)</f>
        <v>M</v>
      </c>
      <c r="I1676" s="7" cm="1">
        <f t="array" aca="1" ref="I1676" ca="1">INDEX('Marital status'!$A:$A,RANDBETWEEN(2,COUNTA('Marital status'!$A:$A)),1)</f>
        <v>2</v>
      </c>
      <c r="J1676" s="7">
        <f t="shared" ca="1" si="315"/>
        <v>2</v>
      </c>
      <c r="K1676" s="8">
        <f t="shared" ca="1" si="316"/>
        <v>31745</v>
      </c>
      <c r="L1676" s="6">
        <f t="shared" ca="1" si="317"/>
        <v>4</v>
      </c>
      <c r="M1676" s="7">
        <f ca="1" xml:space="preserve">
  IF(OR($N1676 = 2, $N1676 = 3, $N1676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676" s="6">
        <f t="shared" ca="1" si="318"/>
        <v>7</v>
      </c>
      <c r="O1676" s="6" t="e">
        <f t="shared" ca="1" si="319"/>
        <v>#N/A</v>
      </c>
      <c r="P1676" s="8">
        <f t="shared" ca="1" si="320"/>
        <v>37443</v>
      </c>
      <c r="Q1676" s="6">
        <f ca="1">RANDBETWEEN(2,COUNTA('Recruitment source'!$A:$A))</f>
        <v>11</v>
      </c>
      <c r="R1676" s="8" t="e">
        <f t="shared" ca="1" si="321"/>
        <v>#N/A</v>
      </c>
      <c r="S1676" s="6" t="e">
        <f t="shared" ca="1" si="322"/>
        <v>#N/A</v>
      </c>
      <c r="T1676" s="6">
        <f t="shared" ca="1" si="312"/>
        <v>3</v>
      </c>
      <c r="U1676" s="1">
        <f t="shared" ca="1" si="323"/>
        <v>1005</v>
      </c>
    </row>
    <row r="1677" spans="1:21" x14ac:dyDescent="0.2">
      <c r="A1677" s="7" cm="1">
        <f t="array" aca="1" ref="A1677" ca="1">INDEX(Companies!$A:$A,RANDBETWEEN(2,COUNTA(Companies!$A:$A)),1)</f>
        <v>2</v>
      </c>
      <c r="B1677" s="5">
        <f t="shared" si="313"/>
        <v>1676</v>
      </c>
      <c r="C1677" s="6">
        <f t="shared" ca="1" si="314"/>
        <v>1</v>
      </c>
      <c r="D1677" s="7">
        <f ca="1">IF($B1677 = 1 + N("Presidente"),
    127,
    IF($B1677 = 2 + N("Vice-Presidente"),
        72,
        IF($B1677 = 3 + N("Secretária bilíngue"),
            13,
            RANDBETWEEN(5,COUNT(Name!$A:$A) + 1)
        )
    )
)</f>
        <v>108</v>
      </c>
      <c r="E1677" s="7" t="str">
        <f ca="1" xml:space="preserve">
VLOOKUP(
  $D1677,
  Name!$A:$B,
  2,
  FALSE
)
&amp; " " &amp;
IF($B1677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Luccas Tavarez Ribeiro</v>
      </c>
      <c r="F1677" s="7">
        <v>2</v>
      </c>
      <c r="G1677" s="7" cm="1">
        <f t="array" aca="1" ref="G1677" ca="1">INDEX(States!$B:$B,RANDBETWEEN(2,COUNTA(States!$A:$A)),1)</f>
        <v>21</v>
      </c>
      <c r="H1677" s="7" t="str">
        <f ca="1">VLOOKUP($D1677,Name!$A:$C,3,FALSE)</f>
        <v>M</v>
      </c>
      <c r="I1677" s="7" cm="1">
        <f t="array" aca="1" ref="I1677" ca="1">INDEX('Marital status'!$A:$A,RANDBETWEEN(2,COUNTA('Marital status'!$A:$A)),1)</f>
        <v>6</v>
      </c>
      <c r="J1677" s="7">
        <f t="shared" ca="1" si="315"/>
        <v>2</v>
      </c>
      <c r="K1677" s="8">
        <f t="shared" ca="1" si="316"/>
        <v>34533</v>
      </c>
      <c r="L1677" s="6">
        <f t="shared" ca="1" si="317"/>
        <v>5</v>
      </c>
      <c r="M1677" s="7">
        <f ca="1" xml:space="preserve">
  IF(OR($N1677 = 2, $N1677 = 3, $N1677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677" s="6">
        <f t="shared" ca="1" si="318"/>
        <v>8</v>
      </c>
      <c r="O1677" s="6">
        <f t="shared" ca="1" si="319"/>
        <v>4</v>
      </c>
      <c r="P1677" s="8">
        <f t="shared" ca="1" si="320"/>
        <v>37018</v>
      </c>
      <c r="Q1677" s="6">
        <f ca="1">RANDBETWEEN(2,COUNTA('Recruitment source'!$A:$A))</f>
        <v>5</v>
      </c>
      <c r="R1677" s="8" t="e">
        <f t="shared" ca="1" si="321"/>
        <v>#N/A</v>
      </c>
      <c r="S1677" s="6" t="e">
        <f t="shared" ca="1" si="322"/>
        <v>#N/A</v>
      </c>
      <c r="T1677" s="6">
        <f t="shared" ca="1" si="312"/>
        <v>2</v>
      </c>
      <c r="U1677" s="1">
        <f t="shared" ca="1" si="323"/>
        <v>2000</v>
      </c>
    </row>
    <row r="1678" spans="1:21" x14ac:dyDescent="0.2">
      <c r="A1678" s="7" cm="1">
        <f t="array" aca="1" ref="A1678" ca="1">INDEX(Companies!$A:$A,RANDBETWEEN(2,COUNTA(Companies!$A:$A)),1)</f>
        <v>2</v>
      </c>
      <c r="B1678" s="5">
        <f t="shared" si="313"/>
        <v>1677</v>
      </c>
      <c r="C1678" s="6">
        <f t="shared" ca="1" si="314"/>
        <v>1</v>
      </c>
      <c r="D1678" s="7">
        <f ca="1">IF($B1678 = 1 + N("Presidente"),
    127,
    IF($B1678 = 2 + N("Vice-Presidente"),
        72,
        IF($B1678 = 3 + N("Secretária bilíngue"),
            13,
            RANDBETWEEN(5,COUNT(Name!$A:$A) + 1)
        )
    )
)</f>
        <v>175</v>
      </c>
      <c r="E1678" s="7" t="str">
        <f ca="1" xml:space="preserve">
VLOOKUP(
  $D1678,
  Name!$A:$B,
  2,
  FALSE
)
&amp; " " &amp;
IF($B1678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Isabella Morato Siqueira</v>
      </c>
      <c r="F1678" s="7">
        <v>2</v>
      </c>
      <c r="G1678" s="7" cm="1">
        <f t="array" aca="1" ref="G1678" ca="1">INDEX(States!$B:$B,RANDBETWEEN(2,COUNTA(States!$A:$A)),1)</f>
        <v>21</v>
      </c>
      <c r="H1678" s="7" t="str">
        <f ca="1">VLOOKUP($D1678,Name!$A:$C,3,FALSE)</f>
        <v>F</v>
      </c>
      <c r="I1678" s="7" cm="1">
        <f t="array" aca="1" ref="I1678" ca="1">INDEX('Marital status'!$A:$A,RANDBETWEEN(2,COUNTA('Marital status'!$A:$A)),1)</f>
        <v>6</v>
      </c>
      <c r="J1678" s="7">
        <f t="shared" ca="1" si="315"/>
        <v>2</v>
      </c>
      <c r="K1678" s="8">
        <f t="shared" ca="1" si="316"/>
        <v>24786</v>
      </c>
      <c r="L1678" s="6">
        <f t="shared" ca="1" si="317"/>
        <v>4</v>
      </c>
      <c r="M1678" s="7">
        <f ca="1" xml:space="preserve">
  IF(OR($N1678 = 2, $N1678 = 3, $N1678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678" s="6">
        <f t="shared" ca="1" si="318"/>
        <v>6</v>
      </c>
      <c r="O1678" s="6" t="e">
        <f t="shared" ca="1" si="319"/>
        <v>#N/A</v>
      </c>
      <c r="P1678" s="8">
        <f t="shared" ca="1" si="320"/>
        <v>40723</v>
      </c>
      <c r="Q1678" s="6">
        <f ca="1">RANDBETWEEN(2,COUNTA('Recruitment source'!$A:$A))</f>
        <v>9</v>
      </c>
      <c r="R1678" s="8" t="e">
        <f t="shared" ca="1" si="321"/>
        <v>#N/A</v>
      </c>
      <c r="S1678" s="6" t="e">
        <f t="shared" ca="1" si="322"/>
        <v>#N/A</v>
      </c>
      <c r="T1678" s="6">
        <f t="shared" ca="1" si="312"/>
        <v>3</v>
      </c>
      <c r="U1678" s="1">
        <f t="shared" ca="1" si="323"/>
        <v>885</v>
      </c>
    </row>
    <row r="1679" spans="1:21" x14ac:dyDescent="0.2">
      <c r="A1679" s="7" cm="1">
        <f t="array" aca="1" ref="A1679" ca="1">INDEX(Companies!$A:$A,RANDBETWEEN(2,COUNTA(Companies!$A:$A)),1)</f>
        <v>2</v>
      </c>
      <c r="B1679" s="5">
        <f t="shared" si="313"/>
        <v>1678</v>
      </c>
      <c r="C1679" s="6">
        <f t="shared" ca="1" si="314"/>
        <v>1</v>
      </c>
      <c r="D1679" s="7">
        <f ca="1">IF($B1679 = 1 + N("Presidente"),
    127,
    IF($B1679 = 2 + N("Vice-Presidente"),
        72,
        IF($B1679 = 3 + N("Secretária bilíngue"),
            13,
            RANDBETWEEN(5,COUNT(Name!$A:$A) + 1)
        )
    )
)</f>
        <v>31</v>
      </c>
      <c r="E1679" s="7" t="str">
        <f ca="1" xml:space="preserve">
VLOOKUP(
  $D1679,
  Name!$A:$B,
  2,
  FALSE
)
&amp; " " &amp;
IF($B1679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Júlia Santacruz Luz</v>
      </c>
      <c r="F1679" s="7">
        <v>2</v>
      </c>
      <c r="G1679" s="7" cm="1">
        <f t="array" aca="1" ref="G1679" ca="1">INDEX(States!$B:$B,RANDBETWEEN(2,COUNTA(States!$A:$A)),1)</f>
        <v>2</v>
      </c>
      <c r="H1679" s="7" t="str">
        <f ca="1">VLOOKUP($D1679,Name!$A:$C,3,FALSE)</f>
        <v>F</v>
      </c>
      <c r="I1679" s="7" cm="1">
        <f t="array" aca="1" ref="I1679" ca="1">INDEX('Marital status'!$A:$A,RANDBETWEEN(2,COUNTA('Marital status'!$A:$A)),1)</f>
        <v>3</v>
      </c>
      <c r="J1679" s="7">
        <f t="shared" ca="1" si="315"/>
        <v>2</v>
      </c>
      <c r="K1679" s="8">
        <f t="shared" ca="1" si="316"/>
        <v>36718</v>
      </c>
      <c r="L1679" s="6">
        <f t="shared" ca="1" si="317"/>
        <v>4</v>
      </c>
      <c r="M1679" s="7">
        <f ca="1" xml:space="preserve">
  IF(OR($N1679 = 2, $N1679 = 3, $N1679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679" s="6">
        <f t="shared" ca="1" si="318"/>
        <v>8</v>
      </c>
      <c r="O1679" s="6">
        <f t="shared" ca="1" si="319"/>
        <v>2</v>
      </c>
      <c r="P1679" s="8">
        <f t="shared" ca="1" si="320"/>
        <v>37510</v>
      </c>
      <c r="Q1679" s="6">
        <f ca="1">RANDBETWEEN(2,COUNTA('Recruitment source'!$A:$A))</f>
        <v>5</v>
      </c>
      <c r="R1679" s="8" t="e">
        <f t="shared" ca="1" si="321"/>
        <v>#N/A</v>
      </c>
      <c r="S1679" s="6" t="e">
        <f t="shared" ca="1" si="322"/>
        <v>#N/A</v>
      </c>
      <c r="T1679" s="6">
        <f t="shared" ca="1" si="312"/>
        <v>5</v>
      </c>
      <c r="U1679" s="1">
        <f t="shared" ca="1" si="323"/>
        <v>2080</v>
      </c>
    </row>
    <row r="1680" spans="1:21" x14ac:dyDescent="0.2">
      <c r="A1680" s="7" cm="1">
        <f t="array" aca="1" ref="A1680" ca="1">INDEX(Companies!$A:$A,RANDBETWEEN(2,COUNTA(Companies!$A:$A)),1)</f>
        <v>2</v>
      </c>
      <c r="B1680" s="5">
        <f t="shared" si="313"/>
        <v>1679</v>
      </c>
      <c r="C1680" s="6">
        <f t="shared" ca="1" si="314"/>
        <v>1</v>
      </c>
      <c r="D1680" s="7">
        <f ca="1">IF($B1680 = 1 + N("Presidente"),
    127,
    IF($B1680 = 2 + N("Vice-Presidente"),
        72,
        IF($B1680 = 3 + N("Secretária bilíngue"),
            13,
            RANDBETWEEN(5,COUNT(Name!$A:$A) + 1)
        )
    )
)</f>
        <v>32</v>
      </c>
      <c r="E1680" s="7" t="str">
        <f ca="1" xml:space="preserve">
VLOOKUP(
  $D1680,
  Name!$A:$B,
  2,
  FALSE
)
&amp; " " &amp;
IF($B1680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Laura Cardozo Evangelista</v>
      </c>
      <c r="F1680" s="7">
        <v>2</v>
      </c>
      <c r="G1680" s="7" cm="1">
        <f t="array" aca="1" ref="G1680" ca="1">INDEX(States!$B:$B,RANDBETWEEN(2,COUNTA(States!$A:$A)),1)</f>
        <v>12</v>
      </c>
      <c r="H1680" s="7" t="str">
        <f ca="1">VLOOKUP($D1680,Name!$A:$C,3,FALSE)</f>
        <v>F</v>
      </c>
      <c r="I1680" s="7" cm="1">
        <f t="array" aca="1" ref="I1680" ca="1">INDEX('Marital status'!$A:$A,RANDBETWEEN(2,COUNTA('Marital status'!$A:$A)),1)</f>
        <v>6</v>
      </c>
      <c r="J1680" s="7">
        <f t="shared" ca="1" si="315"/>
        <v>3</v>
      </c>
      <c r="K1680" s="8">
        <f t="shared" ca="1" si="316"/>
        <v>32875</v>
      </c>
      <c r="L1680" s="6">
        <f t="shared" ca="1" si="317"/>
        <v>4</v>
      </c>
      <c r="M1680" s="7">
        <f ca="1" xml:space="preserve">
  IF(OR($N1680 = 2, $N1680 = 3, $N1680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680" s="6">
        <f t="shared" ca="1" si="318"/>
        <v>6</v>
      </c>
      <c r="O1680" s="6" t="e">
        <f t="shared" ca="1" si="319"/>
        <v>#N/A</v>
      </c>
      <c r="P1680" s="8">
        <f t="shared" ca="1" si="320"/>
        <v>38447</v>
      </c>
      <c r="Q1680" s="6">
        <f ca="1">RANDBETWEEN(2,COUNTA('Recruitment source'!$A:$A))</f>
        <v>9</v>
      </c>
      <c r="R1680" s="8" t="e">
        <f t="shared" ca="1" si="321"/>
        <v>#N/A</v>
      </c>
      <c r="S1680" s="6" t="e">
        <f t="shared" ca="1" si="322"/>
        <v>#N/A</v>
      </c>
      <c r="T1680" s="6">
        <f t="shared" ca="1" si="312"/>
        <v>4</v>
      </c>
      <c r="U1680" s="1">
        <f t="shared" ca="1" si="323"/>
        <v>885</v>
      </c>
    </row>
    <row r="1681" spans="1:21" x14ac:dyDescent="0.2">
      <c r="A1681" s="7" cm="1">
        <f t="array" aca="1" ref="A1681" ca="1">INDEX(Companies!$A:$A,RANDBETWEEN(2,COUNTA(Companies!$A:$A)),1)</f>
        <v>2</v>
      </c>
      <c r="B1681" s="5">
        <f t="shared" si="313"/>
        <v>1680</v>
      </c>
      <c r="C1681" s="6">
        <f t="shared" ca="1" si="314"/>
        <v>1</v>
      </c>
      <c r="D1681" s="7">
        <f ca="1">IF($B1681 = 1 + N("Presidente"),
    127,
    IF($B1681 = 2 + N("Vice-Presidente"),
        72,
        IF($B1681 = 3 + N("Secretária bilíngue"),
            13,
            RANDBETWEEN(5,COUNT(Name!$A:$A) + 1)
        )
    )
)</f>
        <v>280</v>
      </c>
      <c r="E1681" s="7" t="str">
        <f ca="1" xml:space="preserve">
VLOOKUP(
  $D1681,
  Name!$A:$B,
  2,
  FALSE
)
&amp; " " &amp;
IF($B1681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Marianna Mancini Melo</v>
      </c>
      <c r="F1681" s="7">
        <v>2</v>
      </c>
      <c r="G1681" s="7" cm="1">
        <f t="array" aca="1" ref="G1681" ca="1">INDEX(States!$B:$B,RANDBETWEEN(2,COUNTA(States!$A:$A)),1)</f>
        <v>7</v>
      </c>
      <c r="H1681" s="7" t="str">
        <f ca="1">VLOOKUP($D1681,Name!$A:$C,3,FALSE)</f>
        <v>F</v>
      </c>
      <c r="I1681" s="7" cm="1">
        <f t="array" aca="1" ref="I1681" ca="1">INDEX('Marital status'!$A:$A,RANDBETWEEN(2,COUNTA('Marital status'!$A:$A)),1)</f>
        <v>2</v>
      </c>
      <c r="J1681" s="7">
        <f t="shared" ca="1" si="315"/>
        <v>2</v>
      </c>
      <c r="K1681" s="8">
        <f t="shared" ca="1" si="316"/>
        <v>33165</v>
      </c>
      <c r="L1681" s="6">
        <f t="shared" ca="1" si="317"/>
        <v>4</v>
      </c>
      <c r="M1681" s="7">
        <f ca="1" xml:space="preserve">
  IF(OR($N1681 = 2, $N1681 = 3, $N1681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681" s="6">
        <f t="shared" ca="1" si="318"/>
        <v>8</v>
      </c>
      <c r="O1681" s="6">
        <f t="shared" ca="1" si="319"/>
        <v>3</v>
      </c>
      <c r="P1681" s="8">
        <f t="shared" ca="1" si="320"/>
        <v>40746</v>
      </c>
      <c r="Q1681" s="6">
        <f ca="1">RANDBETWEEN(2,COUNTA('Recruitment source'!$A:$A))</f>
        <v>6</v>
      </c>
      <c r="R1681" s="8" t="e">
        <f t="shared" ca="1" si="321"/>
        <v>#N/A</v>
      </c>
      <c r="S1681" s="6" t="e">
        <f t="shared" ca="1" si="322"/>
        <v>#N/A</v>
      </c>
      <c r="T1681" s="6">
        <f t="shared" ca="1" si="312"/>
        <v>3</v>
      </c>
      <c r="U1681" s="1">
        <f t="shared" ca="1" si="323"/>
        <v>2050</v>
      </c>
    </row>
    <row r="1682" spans="1:21" x14ac:dyDescent="0.2">
      <c r="A1682" s="7" cm="1">
        <f t="array" aca="1" ref="A1682" ca="1">INDEX(Companies!$A:$A,RANDBETWEEN(2,COUNTA(Companies!$A:$A)),1)</f>
        <v>2</v>
      </c>
      <c r="B1682" s="5">
        <f t="shared" si="313"/>
        <v>1681</v>
      </c>
      <c r="C1682" s="6">
        <f t="shared" ca="1" si="314"/>
        <v>1</v>
      </c>
      <c r="D1682" s="7">
        <f ca="1">IF($B1682 = 1 + N("Presidente"),
    127,
    IF($B1682 = 2 + N("Vice-Presidente"),
        72,
        IF($B1682 = 3 + N("Secretária bilíngue"),
            13,
            RANDBETWEEN(5,COUNT(Name!$A:$A) + 1)
        )
    )
)</f>
        <v>191</v>
      </c>
      <c r="E1682" s="7" t="str">
        <f ca="1" xml:space="preserve">
VLOOKUP(
  $D1682,
  Name!$A:$B,
  2,
  FALSE
)
&amp; " " &amp;
IF($B1682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Paulo Rocha Barbosa</v>
      </c>
      <c r="F1682" s="7">
        <v>2</v>
      </c>
      <c r="G1682" s="7" cm="1">
        <f t="array" aca="1" ref="G1682" ca="1">INDEX(States!$B:$B,RANDBETWEEN(2,COUNTA(States!$A:$A)),1)</f>
        <v>11</v>
      </c>
      <c r="H1682" s="7" t="str">
        <f ca="1">VLOOKUP($D1682,Name!$A:$C,3,FALSE)</f>
        <v>M</v>
      </c>
      <c r="I1682" s="7" cm="1">
        <f t="array" aca="1" ref="I1682" ca="1">INDEX('Marital status'!$A:$A,RANDBETWEEN(2,COUNTA('Marital status'!$A:$A)),1)</f>
        <v>2</v>
      </c>
      <c r="J1682" s="7">
        <f t="shared" ca="1" si="315"/>
        <v>2</v>
      </c>
      <c r="K1682" s="8">
        <f t="shared" ca="1" si="316"/>
        <v>28858</v>
      </c>
      <c r="L1682" s="6">
        <f t="shared" ca="1" si="317"/>
        <v>4</v>
      </c>
      <c r="M1682" s="7">
        <f ca="1" xml:space="preserve">
  IF(OR($N1682 = 2, $N1682 = 3, $N1682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682" s="6">
        <f t="shared" ca="1" si="318"/>
        <v>7</v>
      </c>
      <c r="O1682" s="6" t="e">
        <f t="shared" ca="1" si="319"/>
        <v>#N/A</v>
      </c>
      <c r="P1682" s="8">
        <f t="shared" ca="1" si="320"/>
        <v>39044</v>
      </c>
      <c r="Q1682" s="6">
        <f ca="1">RANDBETWEEN(2,COUNTA('Recruitment source'!$A:$A))</f>
        <v>11</v>
      </c>
      <c r="R1682" s="8" t="e">
        <f t="shared" ca="1" si="321"/>
        <v>#N/A</v>
      </c>
      <c r="S1682" s="6" t="e">
        <f t="shared" ca="1" si="322"/>
        <v>#N/A</v>
      </c>
      <c r="T1682" s="6">
        <f t="shared" ca="1" si="312"/>
        <v>2</v>
      </c>
      <c r="U1682" s="1">
        <f t="shared" ca="1" si="323"/>
        <v>1005</v>
      </c>
    </row>
    <row r="1683" spans="1:21" x14ac:dyDescent="0.2">
      <c r="A1683" s="7" cm="1">
        <f t="array" aca="1" ref="A1683" ca="1">INDEX(Companies!$A:$A,RANDBETWEEN(2,COUNTA(Companies!$A:$A)),1)</f>
        <v>2</v>
      </c>
      <c r="B1683" s="5">
        <f t="shared" si="313"/>
        <v>1682</v>
      </c>
      <c r="C1683" s="6">
        <f t="shared" ca="1" si="314"/>
        <v>1</v>
      </c>
      <c r="D1683" s="7">
        <f ca="1">IF($B1683 = 1 + N("Presidente"),
    127,
    IF($B1683 = 2 + N("Vice-Presidente"),
        72,
        IF($B1683 = 3 + N("Secretária bilíngue"),
            13,
            RANDBETWEEN(5,COUNT(Name!$A:$A) + 1)
        )
    )
)</f>
        <v>57</v>
      </c>
      <c r="E1683" s="7" t="str">
        <f ca="1" xml:space="preserve">
VLOOKUP(
  $D1683,
  Name!$A:$B,
  2,
  FALSE
)
&amp; " " &amp;
IF($B1683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Henrique Bermudes Holanda</v>
      </c>
      <c r="F1683" s="7">
        <v>2</v>
      </c>
      <c r="G1683" s="7" cm="1">
        <f t="array" aca="1" ref="G1683" ca="1">INDEX(States!$B:$B,RANDBETWEEN(2,COUNTA(States!$A:$A)),1)</f>
        <v>13</v>
      </c>
      <c r="H1683" s="7" t="str">
        <f ca="1">VLOOKUP($D1683,Name!$A:$C,3,FALSE)</f>
        <v>M</v>
      </c>
      <c r="I1683" s="7" cm="1">
        <f t="array" aca="1" ref="I1683" ca="1">INDEX('Marital status'!$A:$A,RANDBETWEEN(2,COUNTA('Marital status'!$A:$A)),1)</f>
        <v>2</v>
      </c>
      <c r="J1683" s="7">
        <f t="shared" ca="1" si="315"/>
        <v>4</v>
      </c>
      <c r="K1683" s="8">
        <f t="shared" ca="1" si="316"/>
        <v>34723</v>
      </c>
      <c r="L1683" s="6">
        <f t="shared" ca="1" si="317"/>
        <v>5</v>
      </c>
      <c r="M1683" s="7">
        <f ca="1" xml:space="preserve">
  IF(OR($N1683 = 2, $N1683 = 3, $N1683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683" s="6">
        <f t="shared" ca="1" si="318"/>
        <v>8</v>
      </c>
      <c r="O1683" s="6">
        <f t="shared" ca="1" si="319"/>
        <v>3</v>
      </c>
      <c r="P1683" s="8">
        <f t="shared" ca="1" si="320"/>
        <v>42358</v>
      </c>
      <c r="Q1683" s="6">
        <f ca="1">RANDBETWEEN(2,COUNTA('Recruitment source'!$A:$A))</f>
        <v>10</v>
      </c>
      <c r="R1683" s="8" t="e">
        <f t="shared" ca="1" si="321"/>
        <v>#N/A</v>
      </c>
      <c r="S1683" s="6" t="e">
        <f t="shared" ca="1" si="322"/>
        <v>#N/A</v>
      </c>
      <c r="T1683" s="6">
        <f t="shared" ca="1" si="312"/>
        <v>4</v>
      </c>
      <c r="U1683" s="1">
        <f t="shared" ca="1" si="323"/>
        <v>2000</v>
      </c>
    </row>
    <row r="1684" spans="1:21" x14ac:dyDescent="0.2">
      <c r="A1684" s="7" cm="1">
        <f t="array" aca="1" ref="A1684" ca="1">INDEX(Companies!$A:$A,RANDBETWEEN(2,COUNTA(Companies!$A:$A)),1)</f>
        <v>2</v>
      </c>
      <c r="B1684" s="5">
        <f t="shared" si="313"/>
        <v>1683</v>
      </c>
      <c r="C1684" s="6">
        <f t="shared" ca="1" si="314"/>
        <v>1</v>
      </c>
      <c r="D1684" s="7">
        <f ca="1">IF($B1684 = 1 + N("Presidente"),
    127,
    IF($B1684 = 2 + N("Vice-Presidente"),
        72,
        IF($B1684 = 3 + N("Secretária bilíngue"),
            13,
            RANDBETWEEN(5,COUNT(Name!$A:$A) + 1)
        )
    )
)</f>
        <v>47</v>
      </c>
      <c r="E1684" s="7" t="str">
        <f ca="1" xml:space="preserve">
VLOOKUP(
  $D1684,
  Name!$A:$B,
  2,
  FALSE
)
&amp; " " &amp;
IF($B1684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Anne Caroline Pedrosa Frasão</v>
      </c>
      <c r="F1684" s="7">
        <v>2</v>
      </c>
      <c r="G1684" s="7" cm="1">
        <f t="array" aca="1" ref="G1684" ca="1">INDEX(States!$B:$B,RANDBETWEEN(2,COUNTA(States!$A:$A)),1)</f>
        <v>10</v>
      </c>
      <c r="H1684" s="7" t="str">
        <f ca="1">VLOOKUP($D1684,Name!$A:$C,3,FALSE)</f>
        <v>F</v>
      </c>
      <c r="I1684" s="7" cm="1">
        <f t="array" aca="1" ref="I1684" ca="1">INDEX('Marital status'!$A:$A,RANDBETWEEN(2,COUNTA('Marital status'!$A:$A)),1)</f>
        <v>5</v>
      </c>
      <c r="J1684" s="7">
        <f t="shared" ca="1" si="315"/>
        <v>2</v>
      </c>
      <c r="K1684" s="8">
        <f t="shared" ca="1" si="316"/>
        <v>17885</v>
      </c>
      <c r="L1684" s="6">
        <f t="shared" ca="1" si="317"/>
        <v>4</v>
      </c>
      <c r="M1684" s="7">
        <f ca="1" xml:space="preserve">
  IF(OR($N1684 = 2, $N1684 = 3, $N1684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684" s="6">
        <f t="shared" ca="1" si="318"/>
        <v>6</v>
      </c>
      <c r="O1684" s="6" t="e">
        <f t="shared" ca="1" si="319"/>
        <v>#N/A</v>
      </c>
      <c r="P1684" s="8">
        <f t="shared" ca="1" si="320"/>
        <v>39056</v>
      </c>
      <c r="Q1684" s="6">
        <f ca="1">RANDBETWEEN(2,COUNTA('Recruitment source'!$A:$A))</f>
        <v>3</v>
      </c>
      <c r="R1684" s="8" t="e">
        <f t="shared" ca="1" si="321"/>
        <v>#N/A</v>
      </c>
      <c r="S1684" s="6" t="e">
        <f t="shared" ca="1" si="322"/>
        <v>#N/A</v>
      </c>
      <c r="T1684" s="6">
        <f t="shared" ca="1" si="312"/>
        <v>5</v>
      </c>
      <c r="U1684" s="1">
        <f t="shared" ca="1" si="323"/>
        <v>805</v>
      </c>
    </row>
    <row r="1685" spans="1:21" x14ac:dyDescent="0.2">
      <c r="A1685" s="7" cm="1">
        <f t="array" aca="1" ref="A1685" ca="1">INDEX(Companies!$A:$A,RANDBETWEEN(2,COUNTA(Companies!$A:$A)),1)</f>
        <v>2</v>
      </c>
      <c r="B1685" s="5">
        <f t="shared" si="313"/>
        <v>1684</v>
      </c>
      <c r="C1685" s="6">
        <f t="shared" ca="1" si="314"/>
        <v>1</v>
      </c>
      <c r="D1685" s="7">
        <f ca="1">IF($B1685 = 1 + N("Presidente"),
    127,
    IF($B1685 = 2 + N("Vice-Presidente"),
        72,
        IF($B1685 = 3 + N("Secretária bilíngue"),
            13,
            RANDBETWEEN(5,COUNT(Name!$A:$A) + 1)
        )
    )
)</f>
        <v>185</v>
      </c>
      <c r="E1685" s="7" t="str">
        <f ca="1" xml:space="preserve">
VLOOKUP(
  $D1685,
  Name!$A:$B,
  2,
  FALSE
)
&amp; " " &amp;
IF($B1685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Pellegrini Gomes</v>
      </c>
      <c r="F1685" s="7">
        <v>2</v>
      </c>
      <c r="G1685" s="7" cm="1">
        <f t="array" aca="1" ref="G1685" ca="1">INDEX(States!$B:$B,RANDBETWEEN(2,COUNTA(States!$A:$A)),1)</f>
        <v>12</v>
      </c>
      <c r="H1685" s="7" t="str">
        <f ca="1">VLOOKUP($D1685,Name!$A:$C,3,FALSE)</f>
        <v>M</v>
      </c>
      <c r="I1685" s="7" cm="1">
        <f t="array" aca="1" ref="I1685" ca="1">INDEX('Marital status'!$A:$A,RANDBETWEEN(2,COUNTA('Marital status'!$A:$A)),1)</f>
        <v>5</v>
      </c>
      <c r="J1685" s="7">
        <f t="shared" ca="1" si="315"/>
        <v>2</v>
      </c>
      <c r="K1685" s="8">
        <f t="shared" ca="1" si="316"/>
        <v>37785</v>
      </c>
      <c r="L1685" s="6">
        <f t="shared" ca="1" si="317"/>
        <v>4</v>
      </c>
      <c r="M1685" s="7">
        <f ca="1" xml:space="preserve">
  IF(OR($N1685 = 2, $N1685 = 3, $N1685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685" s="6">
        <f t="shared" ca="1" si="318"/>
        <v>8</v>
      </c>
      <c r="O1685" s="6">
        <f t="shared" ca="1" si="319"/>
        <v>2</v>
      </c>
      <c r="P1685" s="8">
        <f t="shared" ca="1" si="320"/>
        <v>43702</v>
      </c>
      <c r="Q1685" s="6">
        <f ca="1">RANDBETWEEN(2,COUNTA('Recruitment source'!$A:$A))</f>
        <v>9</v>
      </c>
      <c r="R1685" s="8" t="e">
        <f t="shared" ca="1" si="321"/>
        <v>#N/A</v>
      </c>
      <c r="S1685" s="6" t="e">
        <f t="shared" ca="1" si="322"/>
        <v>#N/A</v>
      </c>
      <c r="T1685" s="6">
        <f t="shared" ca="1" si="312"/>
        <v>4</v>
      </c>
      <c r="U1685" s="1">
        <f t="shared" ca="1" si="323"/>
        <v>2080</v>
      </c>
    </row>
    <row r="1686" spans="1:21" x14ac:dyDescent="0.2">
      <c r="A1686" s="7" cm="1">
        <f t="array" aca="1" ref="A1686" ca="1">INDEX(Companies!$A:$A,RANDBETWEEN(2,COUNTA(Companies!$A:$A)),1)</f>
        <v>2</v>
      </c>
      <c r="B1686" s="5">
        <f t="shared" si="313"/>
        <v>1685</v>
      </c>
      <c r="C1686" s="6">
        <f t="shared" ca="1" si="314"/>
        <v>1</v>
      </c>
      <c r="D1686" s="7">
        <f ca="1">IF($B1686 = 1 + N("Presidente"),
    127,
    IF($B1686 = 2 + N("Vice-Presidente"),
        72,
        IF($B1686 = 3 + N("Secretária bilíngue"),
            13,
            RANDBETWEEN(5,COUNT(Name!$A:$A) + 1)
        )
    )
)</f>
        <v>110</v>
      </c>
      <c r="E1686" s="7" t="str">
        <f ca="1" xml:space="preserve">
VLOOKUP(
  $D1686,
  Name!$A:$B,
  2,
  FALSE
)
&amp; " " &amp;
IF($B1686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Miguel Noronha Aleluia</v>
      </c>
      <c r="F1686" s="7">
        <v>2</v>
      </c>
      <c r="G1686" s="7" cm="1">
        <f t="array" aca="1" ref="G1686" ca="1">INDEX(States!$B:$B,RANDBETWEEN(2,COUNTA(States!$A:$A)),1)</f>
        <v>21</v>
      </c>
      <c r="H1686" s="7" t="str">
        <f ca="1">VLOOKUP($D1686,Name!$A:$C,3,FALSE)</f>
        <v>M</v>
      </c>
      <c r="I1686" s="7" cm="1">
        <f t="array" aca="1" ref="I1686" ca="1">INDEX('Marital status'!$A:$A,RANDBETWEEN(2,COUNTA('Marital status'!$A:$A)),1)</f>
        <v>3</v>
      </c>
      <c r="J1686" s="7">
        <f t="shared" ca="1" si="315"/>
        <v>2</v>
      </c>
      <c r="K1686" s="8">
        <f t="shared" ca="1" si="316"/>
        <v>26624</v>
      </c>
      <c r="L1686" s="6">
        <f t="shared" ca="1" si="317"/>
        <v>4</v>
      </c>
      <c r="M1686" s="7">
        <f ca="1" xml:space="preserve">
  IF(OR($N1686 = 2, $N1686 = 3, $N1686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686" s="6">
        <f t="shared" ca="1" si="318"/>
        <v>6</v>
      </c>
      <c r="O1686" s="6" t="e">
        <f t="shared" ca="1" si="319"/>
        <v>#N/A</v>
      </c>
      <c r="P1686" s="8">
        <f t="shared" ca="1" si="320"/>
        <v>36448</v>
      </c>
      <c r="Q1686" s="6">
        <f ca="1">RANDBETWEEN(2,COUNTA('Recruitment source'!$A:$A))</f>
        <v>11</v>
      </c>
      <c r="R1686" s="8" t="e">
        <f t="shared" ca="1" si="321"/>
        <v>#N/A</v>
      </c>
      <c r="S1686" s="6" t="e">
        <f t="shared" ca="1" si="322"/>
        <v>#N/A</v>
      </c>
      <c r="T1686" s="6">
        <f t="shared" ca="1" si="312"/>
        <v>4</v>
      </c>
      <c r="U1686" s="1">
        <f t="shared" ca="1" si="323"/>
        <v>805</v>
      </c>
    </row>
    <row r="1687" spans="1:21" x14ac:dyDescent="0.2">
      <c r="A1687" s="7" cm="1">
        <f t="array" aca="1" ref="A1687" ca="1">INDEX(Companies!$A:$A,RANDBETWEEN(2,COUNTA(Companies!$A:$A)),1)</f>
        <v>2</v>
      </c>
      <c r="B1687" s="5">
        <f t="shared" si="313"/>
        <v>1686</v>
      </c>
      <c r="C1687" s="6">
        <f t="shared" ca="1" si="314"/>
        <v>1</v>
      </c>
      <c r="D1687" s="7">
        <f ca="1">IF($B1687 = 1 + N("Presidente"),
    127,
    IF($B1687 = 2 + N("Vice-Presidente"),
        72,
        IF($B1687 = 3 + N("Secretária bilíngue"),
            13,
            RANDBETWEEN(5,COUNT(Name!$A:$A) + 1)
        )
    )
)</f>
        <v>47</v>
      </c>
      <c r="E1687" s="7" t="str">
        <f ca="1" xml:space="preserve">
VLOOKUP(
  $D1687,
  Name!$A:$B,
  2,
  FALSE
)
&amp; " " &amp;
IF($B1687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Anne Caroline Resende sobrenome</v>
      </c>
      <c r="F1687" s="7">
        <v>2</v>
      </c>
      <c r="G1687" s="7" cm="1">
        <f t="array" aca="1" ref="G1687" ca="1">INDEX(States!$B:$B,RANDBETWEEN(2,COUNTA(States!$A:$A)),1)</f>
        <v>2</v>
      </c>
      <c r="H1687" s="7" t="str">
        <f ca="1">VLOOKUP($D1687,Name!$A:$C,3,FALSE)</f>
        <v>F</v>
      </c>
      <c r="I1687" s="7" cm="1">
        <f t="array" aca="1" ref="I1687" ca="1">INDEX('Marital status'!$A:$A,RANDBETWEEN(2,COUNTA('Marital status'!$A:$A)),1)</f>
        <v>3</v>
      </c>
      <c r="J1687" s="7">
        <f t="shared" ca="1" si="315"/>
        <v>3</v>
      </c>
      <c r="K1687" s="8">
        <f t="shared" ca="1" si="316"/>
        <v>36279</v>
      </c>
      <c r="L1687" s="6">
        <f t="shared" ca="1" si="317"/>
        <v>5</v>
      </c>
      <c r="M1687" s="7">
        <f ca="1" xml:space="preserve">
  IF(OR($N1687 = 2, $N1687 = 3, $N1687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687" s="6">
        <f t="shared" ca="1" si="318"/>
        <v>8</v>
      </c>
      <c r="O1687" s="6">
        <f t="shared" ca="1" si="319"/>
        <v>2</v>
      </c>
      <c r="P1687" s="8">
        <f t="shared" ca="1" si="320"/>
        <v>44030</v>
      </c>
      <c r="Q1687" s="6">
        <f ca="1">RANDBETWEEN(2,COUNTA('Recruitment source'!$A:$A))</f>
        <v>2</v>
      </c>
      <c r="R1687" s="8" t="e">
        <f t="shared" ca="1" si="321"/>
        <v>#N/A</v>
      </c>
      <c r="S1687" s="6" t="e">
        <f t="shared" ca="1" si="322"/>
        <v>#N/A</v>
      </c>
      <c r="T1687" s="6">
        <f t="shared" ca="1" si="312"/>
        <v>2</v>
      </c>
      <c r="U1687" s="1">
        <f t="shared" ca="1" si="323"/>
        <v>2080</v>
      </c>
    </row>
    <row r="1688" spans="1:21" x14ac:dyDescent="0.2">
      <c r="A1688" s="7" cm="1">
        <f t="array" aca="1" ref="A1688" ca="1">INDEX(Companies!$A:$A,RANDBETWEEN(2,COUNTA(Companies!$A:$A)),1)</f>
        <v>2</v>
      </c>
      <c r="B1688" s="5">
        <f t="shared" si="313"/>
        <v>1687</v>
      </c>
      <c r="C1688" s="6">
        <f t="shared" ca="1" si="314"/>
        <v>1</v>
      </c>
      <c r="D1688" s="7">
        <f ca="1">IF($B1688 = 1 + N("Presidente"),
    127,
    IF($B1688 = 2 + N("Vice-Presidente"),
        72,
        IF($B1688 = 3 + N("Secretária bilíngue"),
            13,
            RANDBETWEEN(5,COUNT(Name!$A:$A) + 1)
        )
    )
)</f>
        <v>141</v>
      </c>
      <c r="E1688" s="7" t="str">
        <f ca="1" xml:space="preserve">
VLOOKUP(
  $D1688,
  Name!$A:$B,
  2,
  FALSE
)
&amp; " " &amp;
IF($B1688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Filipe Holanda Farina</v>
      </c>
      <c r="F1688" s="7">
        <v>2</v>
      </c>
      <c r="G1688" s="7" cm="1">
        <f t="array" aca="1" ref="G1688" ca="1">INDEX(States!$B:$B,RANDBETWEEN(2,COUNTA(States!$A:$A)),1)</f>
        <v>5</v>
      </c>
      <c r="H1688" s="7" t="str">
        <f ca="1">VLOOKUP($D1688,Name!$A:$C,3,FALSE)</f>
        <v>M</v>
      </c>
      <c r="I1688" s="7" cm="1">
        <f t="array" aca="1" ref="I1688" ca="1">INDEX('Marital status'!$A:$A,RANDBETWEEN(2,COUNTA('Marital status'!$A:$A)),1)</f>
        <v>3</v>
      </c>
      <c r="J1688" s="7">
        <f t="shared" ca="1" si="315"/>
        <v>2</v>
      </c>
      <c r="K1688" s="8">
        <f t="shared" ca="1" si="316"/>
        <v>31111</v>
      </c>
      <c r="L1688" s="6">
        <f t="shared" ca="1" si="317"/>
        <v>4</v>
      </c>
      <c r="M1688" s="7">
        <f ca="1" xml:space="preserve">
  IF(OR($N1688 = 2, $N1688 = 3, $N1688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688" s="6">
        <f t="shared" ca="1" si="318"/>
        <v>7</v>
      </c>
      <c r="O1688" s="6" t="e">
        <f t="shared" ca="1" si="319"/>
        <v>#N/A</v>
      </c>
      <c r="P1688" s="8">
        <f t="shared" ca="1" si="320"/>
        <v>39172</v>
      </c>
      <c r="Q1688" s="6">
        <f ca="1">RANDBETWEEN(2,COUNTA('Recruitment source'!$A:$A))</f>
        <v>5</v>
      </c>
      <c r="R1688" s="8" t="e">
        <f t="shared" ca="1" si="321"/>
        <v>#N/A</v>
      </c>
      <c r="S1688" s="6" t="e">
        <f t="shared" ca="1" si="322"/>
        <v>#N/A</v>
      </c>
      <c r="T1688" s="6">
        <f t="shared" ca="1" si="312"/>
        <v>3</v>
      </c>
      <c r="U1688" s="1">
        <f t="shared" ca="1" si="323"/>
        <v>1005</v>
      </c>
    </row>
    <row r="1689" spans="1:21" x14ac:dyDescent="0.2">
      <c r="A1689" s="7" cm="1">
        <f t="array" aca="1" ref="A1689" ca="1">INDEX(Companies!$A:$A,RANDBETWEEN(2,COUNTA(Companies!$A:$A)),1)</f>
        <v>2</v>
      </c>
      <c r="B1689" s="5">
        <f t="shared" si="313"/>
        <v>1688</v>
      </c>
      <c r="C1689" s="6">
        <f t="shared" ca="1" si="314"/>
        <v>1</v>
      </c>
      <c r="D1689" s="7">
        <f ca="1">IF($B1689 = 1 + N("Presidente"),
    127,
    IF($B1689 = 2 + N("Vice-Presidente"),
        72,
        IF($B1689 = 3 + N("Secretária bilíngue"),
            13,
            RANDBETWEEN(5,COUNT(Name!$A:$A) + 1)
        )
    )
)</f>
        <v>20</v>
      </c>
      <c r="E1689" s="7" t="str">
        <f ca="1" xml:space="preserve">
VLOOKUP(
  $D1689,
  Name!$A:$B,
  2,
  FALSE
)
&amp; " " &amp;
IF($B1689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Alini Bermudes Galli</v>
      </c>
      <c r="F1689" s="7">
        <v>2</v>
      </c>
      <c r="G1689" s="7" cm="1">
        <f t="array" aca="1" ref="G1689" ca="1">INDEX(States!$B:$B,RANDBETWEEN(2,COUNTA(States!$A:$A)),1)</f>
        <v>8</v>
      </c>
      <c r="H1689" s="7" t="str">
        <f ca="1">VLOOKUP($D1689,Name!$A:$C,3,FALSE)</f>
        <v>F</v>
      </c>
      <c r="I1689" s="7" cm="1">
        <f t="array" aca="1" ref="I1689" ca="1">INDEX('Marital status'!$A:$A,RANDBETWEEN(2,COUNTA('Marital status'!$A:$A)),1)</f>
        <v>3</v>
      </c>
      <c r="J1689" s="7">
        <f t="shared" ca="1" si="315"/>
        <v>2</v>
      </c>
      <c r="K1689" s="8">
        <f t="shared" ca="1" si="316"/>
        <v>32719</v>
      </c>
      <c r="L1689" s="6">
        <f t="shared" ca="1" si="317"/>
        <v>5</v>
      </c>
      <c r="M1689" s="7">
        <f ca="1" xml:space="preserve">
  IF(OR($N1689 = 2, $N1689 = 3, $N1689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689" s="6">
        <f t="shared" ca="1" si="318"/>
        <v>8</v>
      </c>
      <c r="O1689" s="6">
        <f t="shared" ca="1" si="319"/>
        <v>4</v>
      </c>
      <c r="P1689" s="8">
        <f t="shared" ca="1" si="320"/>
        <v>41521</v>
      </c>
      <c r="Q1689" s="6">
        <f ca="1">RANDBETWEEN(2,COUNTA('Recruitment source'!$A:$A))</f>
        <v>9</v>
      </c>
      <c r="R1689" s="8" t="e">
        <f t="shared" ca="1" si="321"/>
        <v>#N/A</v>
      </c>
      <c r="S1689" s="6" t="e">
        <f t="shared" ca="1" si="322"/>
        <v>#N/A</v>
      </c>
      <c r="T1689" s="6">
        <f t="shared" ca="1" si="312"/>
        <v>4</v>
      </c>
      <c r="U1689" s="1">
        <f t="shared" ca="1" si="323"/>
        <v>2000</v>
      </c>
    </row>
    <row r="1690" spans="1:21" x14ac:dyDescent="0.2">
      <c r="A1690" s="7" cm="1">
        <f t="array" aca="1" ref="A1690" ca="1">INDEX(Companies!$A:$A,RANDBETWEEN(2,COUNTA(Companies!$A:$A)),1)</f>
        <v>2</v>
      </c>
      <c r="B1690" s="5">
        <f t="shared" si="313"/>
        <v>1689</v>
      </c>
      <c r="C1690" s="6">
        <f t="shared" ca="1" si="314"/>
        <v>1</v>
      </c>
      <c r="D1690" s="7">
        <f ca="1">IF($B1690 = 1 + N("Presidente"),
    127,
    IF($B1690 = 2 + N("Vice-Presidente"),
        72,
        IF($B1690 = 3 + N("Secretária bilíngue"),
            13,
            RANDBETWEEN(5,COUNT(Name!$A:$A) + 1)
        )
    )
)</f>
        <v>328</v>
      </c>
      <c r="E1690" s="7" t="str">
        <f ca="1" xml:space="preserve">
VLOOKUP(
  $D1690,
  Name!$A:$B,
  2,
  FALSE
)
&amp; " " &amp;
IF($B1690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Raul Cunha Trindade</v>
      </c>
      <c r="F1690" s="7">
        <v>2</v>
      </c>
      <c r="G1690" s="7" cm="1">
        <f t="array" aca="1" ref="G1690" ca="1">INDEX(States!$B:$B,RANDBETWEEN(2,COUNTA(States!$A:$A)),1)</f>
        <v>9</v>
      </c>
      <c r="H1690" s="7" t="str">
        <f ca="1">VLOOKUP($D1690,Name!$A:$C,3,FALSE)</f>
        <v>M</v>
      </c>
      <c r="I1690" s="7" cm="1">
        <f t="array" aca="1" ref="I1690" ca="1">INDEX('Marital status'!$A:$A,RANDBETWEEN(2,COUNTA('Marital status'!$A:$A)),1)</f>
        <v>4</v>
      </c>
      <c r="J1690" s="7">
        <f t="shared" ca="1" si="315"/>
        <v>2</v>
      </c>
      <c r="K1690" s="8">
        <f t="shared" ca="1" si="316"/>
        <v>32106</v>
      </c>
      <c r="L1690" s="6">
        <f t="shared" ca="1" si="317"/>
        <v>4</v>
      </c>
      <c r="M1690" s="7">
        <f ca="1" xml:space="preserve">
  IF(OR($N1690 = 2, $N1690 = 3, $N1690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690" s="6">
        <f t="shared" ca="1" si="318"/>
        <v>7</v>
      </c>
      <c r="O1690" s="6" t="e">
        <f t="shared" ca="1" si="319"/>
        <v>#N/A</v>
      </c>
      <c r="P1690" s="8">
        <f t="shared" ca="1" si="320"/>
        <v>44022</v>
      </c>
      <c r="Q1690" s="6">
        <f ca="1">RANDBETWEEN(2,COUNTA('Recruitment source'!$A:$A))</f>
        <v>6</v>
      </c>
      <c r="R1690" s="8" t="e">
        <f t="shared" ca="1" si="321"/>
        <v>#N/A</v>
      </c>
      <c r="S1690" s="6" t="e">
        <f t="shared" ca="1" si="322"/>
        <v>#N/A</v>
      </c>
      <c r="T1690" s="6">
        <f t="shared" ca="1" si="312"/>
        <v>2</v>
      </c>
      <c r="U1690" s="1">
        <f t="shared" ca="1" si="323"/>
        <v>1085</v>
      </c>
    </row>
    <row r="1691" spans="1:21" x14ac:dyDescent="0.2">
      <c r="A1691" s="7" cm="1">
        <f t="array" aca="1" ref="A1691" ca="1">INDEX(Companies!$A:$A,RANDBETWEEN(2,COUNTA(Companies!$A:$A)),1)</f>
        <v>2</v>
      </c>
      <c r="B1691" s="5">
        <f t="shared" si="313"/>
        <v>1690</v>
      </c>
      <c r="C1691" s="6">
        <f t="shared" ca="1" si="314"/>
        <v>1</v>
      </c>
      <c r="D1691" s="7">
        <f ca="1">IF($B1691 = 1 + N("Presidente"),
    127,
    IF($B1691 = 2 + N("Vice-Presidente"),
        72,
        IF($B1691 = 3 + N("Secretária bilíngue"),
            13,
            RANDBETWEEN(5,COUNT(Name!$A:$A) + 1)
        )
    )
)</f>
        <v>232</v>
      </c>
      <c r="E1691" s="7" t="str">
        <f ca="1" xml:space="preserve">
VLOOKUP(
  $D1691,
  Name!$A:$B,
  2,
  FALSE
)
&amp; " " &amp;
IF($B1691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Lorenzo De Luca Moretti</v>
      </c>
      <c r="F1691" s="7">
        <v>2</v>
      </c>
      <c r="G1691" s="7" cm="1">
        <f t="array" aca="1" ref="G1691" ca="1">INDEX(States!$B:$B,RANDBETWEEN(2,COUNTA(States!$A:$A)),1)</f>
        <v>10</v>
      </c>
      <c r="H1691" s="7" t="str">
        <f ca="1">VLOOKUP($D1691,Name!$A:$C,3,FALSE)</f>
        <v>M</v>
      </c>
      <c r="I1691" s="7" cm="1">
        <f t="array" aca="1" ref="I1691" ca="1">INDEX('Marital status'!$A:$A,RANDBETWEEN(2,COUNTA('Marital status'!$A:$A)),1)</f>
        <v>5</v>
      </c>
      <c r="J1691" s="7">
        <f t="shared" ca="1" si="315"/>
        <v>5</v>
      </c>
      <c r="K1691" s="8">
        <f t="shared" ca="1" si="316"/>
        <v>36286</v>
      </c>
      <c r="L1691" s="6">
        <f t="shared" ca="1" si="317"/>
        <v>4</v>
      </c>
      <c r="M1691" s="7">
        <f ca="1" xml:space="preserve">
  IF(OR($N1691 = 2, $N1691 = 3, $N1691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691" s="6">
        <f t="shared" ca="1" si="318"/>
        <v>8</v>
      </c>
      <c r="O1691" s="6">
        <f t="shared" ca="1" si="319"/>
        <v>4</v>
      </c>
      <c r="P1691" s="8">
        <f t="shared" ca="1" si="320"/>
        <v>36172</v>
      </c>
      <c r="Q1691" s="6">
        <f ca="1">RANDBETWEEN(2,COUNTA('Recruitment source'!$A:$A))</f>
        <v>10</v>
      </c>
      <c r="R1691" s="8" t="e">
        <f t="shared" ca="1" si="321"/>
        <v>#N/A</v>
      </c>
      <c r="S1691" s="6" t="e">
        <f t="shared" ca="1" si="322"/>
        <v>#N/A</v>
      </c>
      <c r="T1691" s="6">
        <f t="shared" ca="1" si="312"/>
        <v>2</v>
      </c>
      <c r="U1691" s="1">
        <f t="shared" ca="1" si="323"/>
        <v>2000</v>
      </c>
    </row>
    <row r="1692" spans="1:21" x14ac:dyDescent="0.2">
      <c r="A1692" s="7" cm="1">
        <f t="array" aca="1" ref="A1692" ca="1">INDEX(Companies!$A:$A,RANDBETWEEN(2,COUNTA(Companies!$A:$A)),1)</f>
        <v>2</v>
      </c>
      <c r="B1692" s="5">
        <f t="shared" si="313"/>
        <v>1691</v>
      </c>
      <c r="C1692" s="6">
        <f t="shared" ca="1" si="314"/>
        <v>1</v>
      </c>
      <c r="D1692" s="7">
        <f ca="1">IF($B1692 = 1 + N("Presidente"),
    127,
    IF($B1692 = 2 + N("Vice-Presidente"),
        72,
        IF($B1692 = 3 + N("Secretária bilíngue"),
            13,
            RANDBETWEEN(5,COUNT(Name!$A:$A) + 1)
        )
    )
)</f>
        <v>346</v>
      </c>
      <c r="E1692" s="7" t="str">
        <f ca="1" xml:space="preserve">
VLOOKUP(
  $D1692,
  Name!$A:$B,
  2,
  FALSE
)
&amp; " " &amp;
IF($B1692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Tomas Ramos Alvaregna</v>
      </c>
      <c r="F1692" s="7">
        <v>2</v>
      </c>
      <c r="G1692" s="7" cm="1">
        <f t="array" aca="1" ref="G1692" ca="1">INDEX(States!$B:$B,RANDBETWEEN(2,COUNTA(States!$A:$A)),1)</f>
        <v>4</v>
      </c>
      <c r="H1692" s="7" t="str">
        <f ca="1">VLOOKUP($D1692,Name!$A:$C,3,FALSE)</f>
        <v>M</v>
      </c>
      <c r="I1692" s="7" cm="1">
        <f t="array" aca="1" ref="I1692" ca="1">INDEX('Marital status'!$A:$A,RANDBETWEEN(2,COUNTA('Marital status'!$A:$A)),1)</f>
        <v>4</v>
      </c>
      <c r="J1692" s="7">
        <f t="shared" ca="1" si="315"/>
        <v>2</v>
      </c>
      <c r="K1692" s="8">
        <f t="shared" ca="1" si="316"/>
        <v>29726</v>
      </c>
      <c r="L1692" s="6">
        <f t="shared" ca="1" si="317"/>
        <v>4</v>
      </c>
      <c r="M1692" s="7">
        <f ca="1" xml:space="preserve">
  IF(OR($N1692 = 2, $N1692 = 3, $N1692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692" s="6">
        <f t="shared" ca="1" si="318"/>
        <v>7</v>
      </c>
      <c r="O1692" s="6" t="e">
        <f t="shared" ca="1" si="319"/>
        <v>#N/A</v>
      </c>
      <c r="P1692" s="8">
        <f t="shared" ca="1" si="320"/>
        <v>37473</v>
      </c>
      <c r="Q1692" s="6">
        <f ca="1">RANDBETWEEN(2,COUNTA('Recruitment source'!$A:$A))</f>
        <v>10</v>
      </c>
      <c r="R1692" s="8" t="e">
        <f t="shared" ca="1" si="321"/>
        <v>#N/A</v>
      </c>
      <c r="S1692" s="6" t="e">
        <f t="shared" ca="1" si="322"/>
        <v>#N/A</v>
      </c>
      <c r="T1692" s="6">
        <f t="shared" ca="1" si="312"/>
        <v>3</v>
      </c>
      <c r="U1692" s="1">
        <f t="shared" ca="1" si="323"/>
        <v>1085</v>
      </c>
    </row>
    <row r="1693" spans="1:21" x14ac:dyDescent="0.2">
      <c r="A1693" s="7" cm="1">
        <f t="array" aca="1" ref="A1693" ca="1">INDEX(Companies!$A:$A,RANDBETWEEN(2,COUNTA(Companies!$A:$A)),1)</f>
        <v>2</v>
      </c>
      <c r="B1693" s="5">
        <f t="shared" si="313"/>
        <v>1692</v>
      </c>
      <c r="C1693" s="6">
        <f t="shared" ca="1" si="314"/>
        <v>1</v>
      </c>
      <c r="D1693" s="7">
        <f ca="1">IF($B1693 = 1 + N("Presidente"),
    127,
    IF($B1693 = 2 + N("Vice-Presidente"),
        72,
        IF($B1693 = 3 + N("Secretária bilíngue"),
            13,
            RANDBETWEEN(5,COUNT(Name!$A:$A) + 1)
        )
    )
)</f>
        <v>83</v>
      </c>
      <c r="E1693" s="7" t="str">
        <f ca="1" xml:space="preserve">
VLOOKUP(
  $D1693,
  Name!$A:$B,
  2,
  FALSE
)
&amp; " " &amp;
IF($B1693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Camila Martini Caruso</v>
      </c>
      <c r="F1693" s="7">
        <v>2</v>
      </c>
      <c r="G1693" s="7" cm="1">
        <f t="array" aca="1" ref="G1693" ca="1">INDEX(States!$B:$B,RANDBETWEEN(2,COUNTA(States!$A:$A)),1)</f>
        <v>3</v>
      </c>
      <c r="H1693" s="7" t="str">
        <f ca="1">VLOOKUP($D1693,Name!$A:$C,3,FALSE)</f>
        <v>F</v>
      </c>
      <c r="I1693" s="7" cm="1">
        <f t="array" aca="1" ref="I1693" ca="1">INDEX('Marital status'!$A:$A,RANDBETWEEN(2,COUNTA('Marital status'!$A:$A)),1)</f>
        <v>3</v>
      </c>
      <c r="J1693" s="7">
        <f t="shared" ca="1" si="315"/>
        <v>2</v>
      </c>
      <c r="K1693" s="8">
        <f t="shared" ca="1" si="316"/>
        <v>37650</v>
      </c>
      <c r="L1693" s="6">
        <f t="shared" ca="1" si="317"/>
        <v>5</v>
      </c>
      <c r="M1693" s="7">
        <f ca="1" xml:space="preserve">
  IF(OR($N1693 = 2, $N1693 = 3, $N1693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693" s="6">
        <f t="shared" ca="1" si="318"/>
        <v>8</v>
      </c>
      <c r="O1693" s="6">
        <f t="shared" ca="1" si="319"/>
        <v>3</v>
      </c>
      <c r="P1693" s="8">
        <f t="shared" ca="1" si="320"/>
        <v>36783</v>
      </c>
      <c r="Q1693" s="6">
        <f ca="1">RANDBETWEEN(2,COUNTA('Recruitment source'!$A:$A))</f>
        <v>2</v>
      </c>
      <c r="R1693" s="8" t="e">
        <f t="shared" ca="1" si="321"/>
        <v>#N/A</v>
      </c>
      <c r="S1693" s="6" t="e">
        <f t="shared" ca="1" si="322"/>
        <v>#N/A</v>
      </c>
      <c r="T1693" s="6">
        <f t="shared" ca="1" si="312"/>
        <v>3</v>
      </c>
      <c r="U1693" s="1">
        <f t="shared" ca="1" si="323"/>
        <v>2080</v>
      </c>
    </row>
    <row r="1694" spans="1:21" x14ac:dyDescent="0.2">
      <c r="A1694" s="7" cm="1">
        <f t="array" aca="1" ref="A1694" ca="1">INDEX(Companies!$A:$A,RANDBETWEEN(2,COUNTA(Companies!$A:$A)),1)</f>
        <v>2</v>
      </c>
      <c r="B1694" s="5">
        <f t="shared" si="313"/>
        <v>1693</v>
      </c>
      <c r="C1694" s="6">
        <f t="shared" ca="1" si="314"/>
        <v>1</v>
      </c>
      <c r="D1694" s="7">
        <f ca="1">IF($B1694 = 1 + N("Presidente"),
    127,
    IF($B1694 = 2 + N("Vice-Presidente"),
        72,
        IF($B1694 = 3 + N("Secretária bilíngue"),
            13,
            RANDBETWEEN(5,COUNT(Name!$A:$A) + 1)
        )
    )
)</f>
        <v>218</v>
      </c>
      <c r="E1694" s="7" t="str">
        <f ca="1" xml:space="preserve">
VLOOKUP(
  $D1694,
  Name!$A:$B,
  2,
  FALSE
)
&amp; " " &amp;
IF($B1694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Larisa sobrenome Leone</v>
      </c>
      <c r="F1694" s="7">
        <v>2</v>
      </c>
      <c r="G1694" s="7" cm="1">
        <f t="array" aca="1" ref="G1694" ca="1">INDEX(States!$B:$B,RANDBETWEEN(2,COUNTA(States!$A:$A)),1)</f>
        <v>7</v>
      </c>
      <c r="H1694" s="7" t="str">
        <f ca="1">VLOOKUP($D1694,Name!$A:$C,3,FALSE)</f>
        <v>F</v>
      </c>
      <c r="I1694" s="7" cm="1">
        <f t="array" aca="1" ref="I1694" ca="1">INDEX('Marital status'!$A:$A,RANDBETWEEN(2,COUNTA('Marital status'!$A:$A)),1)</f>
        <v>2</v>
      </c>
      <c r="J1694" s="7">
        <f t="shared" ca="1" si="315"/>
        <v>4</v>
      </c>
      <c r="K1694" s="8">
        <f t="shared" ca="1" si="316"/>
        <v>33493</v>
      </c>
      <c r="L1694" s="6">
        <f t="shared" ca="1" si="317"/>
        <v>4</v>
      </c>
      <c r="M1694" s="7">
        <f ca="1" xml:space="preserve">
  IF(OR($N1694 = 2, $N1694 = 3, $N1694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694" s="6">
        <f t="shared" ca="1" si="318"/>
        <v>7</v>
      </c>
      <c r="O1694" s="6" t="e">
        <f t="shared" ca="1" si="319"/>
        <v>#N/A</v>
      </c>
      <c r="P1694" s="8">
        <f t="shared" ca="1" si="320"/>
        <v>39693</v>
      </c>
      <c r="Q1694" s="6">
        <f ca="1">RANDBETWEEN(2,COUNTA('Recruitment source'!$A:$A))</f>
        <v>10</v>
      </c>
      <c r="R1694" s="8" t="e">
        <f t="shared" ca="1" si="321"/>
        <v>#N/A</v>
      </c>
      <c r="S1694" s="6" t="e">
        <f t="shared" ca="1" si="322"/>
        <v>#N/A</v>
      </c>
      <c r="T1694" s="6">
        <f t="shared" ca="1" si="312"/>
        <v>3</v>
      </c>
      <c r="U1694" s="1">
        <f t="shared" ca="1" si="323"/>
        <v>1005</v>
      </c>
    </row>
    <row r="1695" spans="1:21" x14ac:dyDescent="0.2">
      <c r="A1695" s="7" cm="1">
        <f t="array" aca="1" ref="A1695" ca="1">INDEX(Companies!$A:$A,RANDBETWEEN(2,COUNTA(Companies!$A:$A)),1)</f>
        <v>2</v>
      </c>
      <c r="B1695" s="5">
        <f t="shared" si="313"/>
        <v>1694</v>
      </c>
      <c r="C1695" s="6">
        <f t="shared" ca="1" si="314"/>
        <v>1</v>
      </c>
      <c r="D1695" s="7">
        <f ca="1">IF($B1695 = 1 + N("Presidente"),
    127,
    IF($B1695 = 2 + N("Vice-Presidente"),
        72,
        IF($B1695 = 3 + N("Secretária bilíngue"),
            13,
            RANDBETWEEN(5,COUNT(Name!$A:$A) + 1)
        )
    )
)</f>
        <v>112</v>
      </c>
      <c r="E1695" s="7" t="str">
        <f ca="1" xml:space="preserve">
VLOOKUP(
  $D1695,
  Name!$A:$B,
  2,
  FALSE
)
&amp; " " &amp;
IF($B1695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Deborah Evangelista Lombardi</v>
      </c>
      <c r="F1695" s="7">
        <v>2</v>
      </c>
      <c r="G1695" s="7" cm="1">
        <f t="array" aca="1" ref="G1695" ca="1">INDEX(States!$B:$B,RANDBETWEEN(2,COUNTA(States!$A:$A)),1)</f>
        <v>7</v>
      </c>
      <c r="H1695" s="7" t="str">
        <f ca="1">VLOOKUP($D1695,Name!$A:$C,3,FALSE)</f>
        <v>F</v>
      </c>
      <c r="I1695" s="7" cm="1">
        <f t="array" aca="1" ref="I1695" ca="1">INDEX('Marital status'!$A:$A,RANDBETWEEN(2,COUNTA('Marital status'!$A:$A)),1)</f>
        <v>4</v>
      </c>
      <c r="J1695" s="7">
        <f t="shared" ca="1" si="315"/>
        <v>2</v>
      </c>
      <c r="K1695" s="8">
        <f t="shared" ca="1" si="316"/>
        <v>33452</v>
      </c>
      <c r="L1695" s="6">
        <f t="shared" ca="1" si="317"/>
        <v>4</v>
      </c>
      <c r="M1695" s="7">
        <f ca="1" xml:space="preserve">
  IF(OR($N1695 = 2, $N1695 = 3, $N1695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695" s="6">
        <f t="shared" ca="1" si="318"/>
        <v>8</v>
      </c>
      <c r="O1695" s="6">
        <f t="shared" ca="1" si="319"/>
        <v>4</v>
      </c>
      <c r="P1695" s="8">
        <f t="shared" ca="1" si="320"/>
        <v>38725</v>
      </c>
      <c r="Q1695" s="6">
        <f ca="1">RANDBETWEEN(2,COUNTA('Recruitment source'!$A:$A))</f>
        <v>4</v>
      </c>
      <c r="R1695" s="8" t="e">
        <f t="shared" ca="1" si="321"/>
        <v>#N/A</v>
      </c>
      <c r="S1695" s="6" t="e">
        <f t="shared" ca="1" si="322"/>
        <v>#N/A</v>
      </c>
      <c r="T1695" s="6">
        <f t="shared" ca="1" si="312"/>
        <v>2</v>
      </c>
      <c r="U1695" s="1">
        <f t="shared" ca="1" si="323"/>
        <v>2080</v>
      </c>
    </row>
    <row r="1696" spans="1:21" x14ac:dyDescent="0.2">
      <c r="A1696" s="7" cm="1">
        <f t="array" aca="1" ref="A1696" ca="1">INDEX(Companies!$A:$A,RANDBETWEEN(2,COUNTA(Companies!$A:$A)),1)</f>
        <v>2</v>
      </c>
      <c r="B1696" s="5">
        <f t="shared" si="313"/>
        <v>1695</v>
      </c>
      <c r="C1696" s="6">
        <f t="shared" ca="1" si="314"/>
        <v>1</v>
      </c>
      <c r="D1696" s="7">
        <f ca="1">IF($B1696 = 1 + N("Presidente"),
    127,
    IF($B1696 = 2 + N("Vice-Presidente"),
        72,
        IF($B1696 = 3 + N("Secretária bilíngue"),
            13,
            RANDBETWEEN(5,COUNT(Name!$A:$A) + 1)
        )
    )
)</f>
        <v>243</v>
      </c>
      <c r="E1696" s="7" t="str">
        <f ca="1" xml:space="preserve">
VLOOKUP(
  $D1696,
  Name!$A:$B,
  2,
  FALSE
)
&amp; " " &amp;
IF($B1696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Felipe Luz Gouveia</v>
      </c>
      <c r="F1696" s="7">
        <v>2</v>
      </c>
      <c r="G1696" s="7" cm="1">
        <f t="array" aca="1" ref="G1696" ca="1">INDEX(States!$B:$B,RANDBETWEEN(2,COUNTA(States!$A:$A)),1)</f>
        <v>20</v>
      </c>
      <c r="H1696" s="7" t="str">
        <f ca="1">VLOOKUP($D1696,Name!$A:$C,3,FALSE)</f>
        <v>M</v>
      </c>
      <c r="I1696" s="7" cm="1">
        <f t="array" aca="1" ref="I1696" ca="1">INDEX('Marital status'!$A:$A,RANDBETWEEN(2,COUNTA('Marital status'!$A:$A)),1)</f>
        <v>4</v>
      </c>
      <c r="J1696" s="7">
        <f t="shared" ca="1" si="315"/>
        <v>2</v>
      </c>
      <c r="K1696" s="8">
        <f t="shared" ca="1" si="316"/>
        <v>25313</v>
      </c>
      <c r="L1696" s="6">
        <f t="shared" ca="1" si="317"/>
        <v>4</v>
      </c>
      <c r="M1696" s="7">
        <f ca="1" xml:space="preserve">
  IF(OR($N1696 = 2, $N1696 = 3, $N1696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696" s="6">
        <f t="shared" ca="1" si="318"/>
        <v>6</v>
      </c>
      <c r="O1696" s="6" t="e">
        <f t="shared" ca="1" si="319"/>
        <v>#N/A</v>
      </c>
      <c r="P1696" s="8">
        <f t="shared" ca="1" si="320"/>
        <v>39019</v>
      </c>
      <c r="Q1696" s="6">
        <f ca="1">RANDBETWEEN(2,COUNTA('Recruitment source'!$A:$A))</f>
        <v>10</v>
      </c>
      <c r="R1696" s="8" t="e">
        <f t="shared" ca="1" si="321"/>
        <v>#N/A</v>
      </c>
      <c r="S1696" s="6" t="e">
        <f t="shared" ca="1" si="322"/>
        <v>#N/A</v>
      </c>
      <c r="T1696" s="6">
        <f t="shared" ca="1" si="312"/>
        <v>5</v>
      </c>
      <c r="U1696" s="1">
        <f t="shared" ca="1" si="323"/>
        <v>805</v>
      </c>
    </row>
    <row r="1697" spans="1:21" x14ac:dyDescent="0.2">
      <c r="A1697" s="7" cm="1">
        <f t="array" aca="1" ref="A1697" ca="1">INDEX(Companies!$A:$A,RANDBETWEEN(2,COUNTA(Companies!$A:$A)),1)</f>
        <v>2</v>
      </c>
      <c r="B1697" s="5">
        <f t="shared" si="313"/>
        <v>1696</v>
      </c>
      <c r="C1697" s="6">
        <f t="shared" ca="1" si="314"/>
        <v>1</v>
      </c>
      <c r="D1697" s="7">
        <f ca="1">IF($B1697 = 1 + N("Presidente"),
    127,
    IF($B1697 = 2 + N("Vice-Presidente"),
        72,
        IF($B1697 = 3 + N("Secretária bilíngue"),
            13,
            RANDBETWEEN(5,COUNT(Name!$A:$A) + 1)
        )
    )
)</f>
        <v>104</v>
      </c>
      <c r="E1697" s="7" t="str">
        <f ca="1" xml:space="preserve">
VLOOKUP(
  $D1697,
  Name!$A:$B,
  2,
  FALSE
)
&amp; " " &amp;
IF($B1697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Danylo Santoro Vieira</v>
      </c>
      <c r="F1697" s="7">
        <v>2</v>
      </c>
      <c r="G1697" s="7" cm="1">
        <f t="array" aca="1" ref="G1697" ca="1">INDEX(States!$B:$B,RANDBETWEEN(2,COUNTA(States!$A:$A)),1)</f>
        <v>5</v>
      </c>
      <c r="H1697" s="7" t="str">
        <f ca="1">VLOOKUP($D1697,Name!$A:$C,3,FALSE)</f>
        <v>M</v>
      </c>
      <c r="I1697" s="7" cm="1">
        <f t="array" aca="1" ref="I1697" ca="1">INDEX('Marital status'!$A:$A,RANDBETWEEN(2,COUNTA('Marital status'!$A:$A)),1)</f>
        <v>2</v>
      </c>
      <c r="J1697" s="7">
        <f t="shared" ca="1" si="315"/>
        <v>2</v>
      </c>
      <c r="K1697" s="8">
        <f t="shared" ca="1" si="316"/>
        <v>37894</v>
      </c>
      <c r="L1697" s="6">
        <f t="shared" ca="1" si="317"/>
        <v>5</v>
      </c>
      <c r="M1697" s="7">
        <f ca="1" xml:space="preserve">
  IF(OR($N1697 = 2, $N1697 = 3, $N1697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697" s="6">
        <f t="shared" ca="1" si="318"/>
        <v>8</v>
      </c>
      <c r="O1697" s="6">
        <f t="shared" ca="1" si="319"/>
        <v>2</v>
      </c>
      <c r="P1697" s="8">
        <f t="shared" ca="1" si="320"/>
        <v>38551</v>
      </c>
      <c r="Q1697" s="6">
        <f ca="1">RANDBETWEEN(2,COUNTA('Recruitment source'!$A:$A))</f>
        <v>8</v>
      </c>
      <c r="R1697" s="8" t="e">
        <f t="shared" ca="1" si="321"/>
        <v>#N/A</v>
      </c>
      <c r="S1697" s="6" t="e">
        <f t="shared" ca="1" si="322"/>
        <v>#N/A</v>
      </c>
      <c r="T1697" s="6">
        <f t="shared" ca="1" si="312"/>
        <v>4</v>
      </c>
      <c r="U1697" s="1">
        <f t="shared" ca="1" si="323"/>
        <v>2000</v>
      </c>
    </row>
    <row r="1698" spans="1:21" x14ac:dyDescent="0.2">
      <c r="A1698" s="7" cm="1">
        <f t="array" aca="1" ref="A1698" ca="1">INDEX(Companies!$A:$A,RANDBETWEEN(2,COUNTA(Companies!$A:$A)),1)</f>
        <v>2</v>
      </c>
      <c r="B1698" s="5">
        <f t="shared" si="313"/>
        <v>1697</v>
      </c>
      <c r="C1698" s="6">
        <f t="shared" ca="1" si="314"/>
        <v>1</v>
      </c>
      <c r="D1698" s="7">
        <f ca="1">IF($B1698 = 1 + N("Presidente"),
    127,
    IF($B1698 = 2 + N("Vice-Presidente"),
        72,
        IF($B1698 = 3 + N("Secretária bilíngue"),
            13,
            RANDBETWEEN(5,COUNT(Name!$A:$A) + 1)
        )
    )
)</f>
        <v>20</v>
      </c>
      <c r="E1698" s="7" t="str">
        <f ca="1" xml:space="preserve">
VLOOKUP(
  $D1698,
  Name!$A:$B,
  2,
  FALSE
)
&amp; " " &amp;
IF($B1698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Alini Battaglia Monti</v>
      </c>
      <c r="F1698" s="7">
        <v>2</v>
      </c>
      <c r="G1698" s="7" cm="1">
        <f t="array" aca="1" ref="G1698" ca="1">INDEX(States!$B:$B,RANDBETWEEN(2,COUNTA(States!$A:$A)),1)</f>
        <v>15</v>
      </c>
      <c r="H1698" s="7" t="str">
        <f ca="1">VLOOKUP($D1698,Name!$A:$C,3,FALSE)</f>
        <v>F</v>
      </c>
      <c r="I1698" s="7" cm="1">
        <f t="array" aca="1" ref="I1698" ca="1">INDEX('Marital status'!$A:$A,RANDBETWEEN(2,COUNTA('Marital status'!$A:$A)),1)</f>
        <v>2</v>
      </c>
      <c r="J1698" s="7">
        <f t="shared" ca="1" si="315"/>
        <v>2</v>
      </c>
      <c r="K1698" s="8">
        <f t="shared" ca="1" si="316"/>
        <v>30021</v>
      </c>
      <c r="L1698" s="6">
        <f t="shared" ca="1" si="317"/>
        <v>4</v>
      </c>
      <c r="M1698" s="7">
        <f ca="1" xml:space="preserve">
  IF(OR($N1698 = 2, $N1698 = 3, $N1698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698" s="6">
        <f t="shared" ca="1" si="318"/>
        <v>7</v>
      </c>
      <c r="O1698" s="6" t="e">
        <f t="shared" ca="1" si="319"/>
        <v>#N/A</v>
      </c>
      <c r="P1698" s="8">
        <f t="shared" ca="1" si="320"/>
        <v>40427</v>
      </c>
      <c r="Q1698" s="6">
        <f ca="1">RANDBETWEEN(2,COUNTA('Recruitment source'!$A:$A))</f>
        <v>4</v>
      </c>
      <c r="R1698" s="8" t="e">
        <f t="shared" ca="1" si="321"/>
        <v>#N/A</v>
      </c>
      <c r="S1698" s="6" t="e">
        <f t="shared" ca="1" si="322"/>
        <v>#N/A</v>
      </c>
      <c r="T1698" s="6">
        <f t="shared" ca="1" si="312"/>
        <v>2</v>
      </c>
      <c r="U1698" s="1">
        <f t="shared" ca="1" si="323"/>
        <v>1005</v>
      </c>
    </row>
    <row r="1699" spans="1:21" x14ac:dyDescent="0.2">
      <c r="A1699" s="7" cm="1">
        <f t="array" aca="1" ref="A1699" ca="1">INDEX(Companies!$A:$A,RANDBETWEEN(2,COUNTA(Companies!$A:$A)),1)</f>
        <v>2</v>
      </c>
      <c r="B1699" s="5">
        <f t="shared" si="313"/>
        <v>1698</v>
      </c>
      <c r="C1699" s="6">
        <f t="shared" ca="1" si="314"/>
        <v>1</v>
      </c>
      <c r="D1699" s="7">
        <f ca="1">IF($B1699 = 1 + N("Presidente"),
    127,
    IF($B1699 = 2 + N("Vice-Presidente"),
        72,
        IF($B1699 = 3 + N("Secretária bilíngue"),
            13,
            RANDBETWEEN(5,COUNT(Name!$A:$A) + 1)
        )
    )
)</f>
        <v>142</v>
      </c>
      <c r="E1699" s="7" t="str">
        <f ca="1" xml:space="preserve">
VLOOKUP(
  $D1699,
  Name!$A:$B,
  2,
  FALSE
)
&amp; " " &amp;
IF($B1699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Flaviano Borba Martins</v>
      </c>
      <c r="F1699" s="7">
        <v>2</v>
      </c>
      <c r="G1699" s="7" cm="1">
        <f t="array" aca="1" ref="G1699" ca="1">INDEX(States!$B:$B,RANDBETWEEN(2,COUNTA(States!$A:$A)),1)</f>
        <v>13</v>
      </c>
      <c r="H1699" s="7" t="str">
        <f ca="1">VLOOKUP($D1699,Name!$A:$C,3,FALSE)</f>
        <v>M</v>
      </c>
      <c r="I1699" s="7" cm="1">
        <f t="array" aca="1" ref="I1699" ca="1">INDEX('Marital status'!$A:$A,RANDBETWEEN(2,COUNTA('Marital status'!$A:$A)),1)</f>
        <v>3</v>
      </c>
      <c r="J1699" s="7">
        <f t="shared" ca="1" si="315"/>
        <v>2</v>
      </c>
      <c r="K1699" s="8">
        <f t="shared" ca="1" si="316"/>
        <v>32673</v>
      </c>
      <c r="L1699" s="6">
        <f t="shared" ca="1" si="317"/>
        <v>4</v>
      </c>
      <c r="M1699" s="7">
        <f ca="1" xml:space="preserve">
  IF(OR($N1699 = 2, $N1699 = 3, $N1699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699" s="6">
        <f t="shared" ca="1" si="318"/>
        <v>8</v>
      </c>
      <c r="O1699" s="6">
        <f t="shared" ca="1" si="319"/>
        <v>4</v>
      </c>
      <c r="P1699" s="8">
        <f t="shared" ca="1" si="320"/>
        <v>37882</v>
      </c>
      <c r="Q1699" s="6">
        <f ca="1">RANDBETWEEN(2,COUNTA('Recruitment source'!$A:$A))</f>
        <v>8</v>
      </c>
      <c r="R1699" s="8" t="e">
        <f t="shared" ca="1" si="321"/>
        <v>#N/A</v>
      </c>
      <c r="S1699" s="6" t="e">
        <f t="shared" ca="1" si="322"/>
        <v>#N/A</v>
      </c>
      <c r="T1699" s="6">
        <f t="shared" ca="1" si="312"/>
        <v>4</v>
      </c>
      <c r="U1699" s="1">
        <f t="shared" ca="1" si="323"/>
        <v>2000</v>
      </c>
    </row>
    <row r="1700" spans="1:21" x14ac:dyDescent="0.2">
      <c r="A1700" s="7" cm="1">
        <f t="array" aca="1" ref="A1700" ca="1">INDEX(Companies!$A:$A,RANDBETWEEN(2,COUNTA(Companies!$A:$A)),1)</f>
        <v>2</v>
      </c>
      <c r="B1700" s="5">
        <f t="shared" si="313"/>
        <v>1699</v>
      </c>
      <c r="C1700" s="6">
        <f t="shared" ca="1" si="314"/>
        <v>1</v>
      </c>
      <c r="D1700" s="7">
        <f ca="1">IF($B1700 = 1 + N("Presidente"),
    127,
    IF($B1700 = 2 + N("Vice-Presidente"),
        72,
        IF($B1700 = 3 + N("Secretária bilíngue"),
            13,
            RANDBETWEEN(5,COUNT(Name!$A:$A) + 1)
        )
    )
)</f>
        <v>312</v>
      </c>
      <c r="E1700" s="7" t="str">
        <f ca="1" xml:space="preserve">
VLOOKUP(
  $D1700,
  Name!$A:$B,
  2,
  FALSE
)
&amp; " " &amp;
IF($B1700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Otávio Coelho Lombardi</v>
      </c>
      <c r="F1700" s="7">
        <v>2</v>
      </c>
      <c r="G1700" s="7" cm="1">
        <f t="array" aca="1" ref="G1700" ca="1">INDEX(States!$B:$B,RANDBETWEEN(2,COUNTA(States!$A:$A)),1)</f>
        <v>16</v>
      </c>
      <c r="H1700" s="7" t="str">
        <f ca="1">VLOOKUP($D1700,Name!$A:$C,3,FALSE)</f>
        <v>M</v>
      </c>
      <c r="I1700" s="7" cm="1">
        <f t="array" aca="1" ref="I1700" ca="1">INDEX('Marital status'!$A:$A,RANDBETWEEN(2,COUNTA('Marital status'!$A:$A)),1)</f>
        <v>2</v>
      </c>
      <c r="J1700" s="7">
        <f t="shared" ca="1" si="315"/>
        <v>2</v>
      </c>
      <c r="K1700" s="8">
        <f t="shared" ca="1" si="316"/>
        <v>24168</v>
      </c>
      <c r="L1700" s="6">
        <f t="shared" ca="1" si="317"/>
        <v>4</v>
      </c>
      <c r="M1700" s="7">
        <f ca="1" xml:space="preserve">
  IF(OR($N1700 = 2, $N1700 = 3, $N1700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700" s="6">
        <f t="shared" ca="1" si="318"/>
        <v>6</v>
      </c>
      <c r="O1700" s="6" t="e">
        <f t="shared" ca="1" si="319"/>
        <v>#N/A</v>
      </c>
      <c r="P1700" s="8">
        <f t="shared" ca="1" si="320"/>
        <v>44721</v>
      </c>
      <c r="Q1700" s="6">
        <f ca="1">RANDBETWEEN(2,COUNTA('Recruitment source'!$A:$A))</f>
        <v>8</v>
      </c>
      <c r="R1700" s="8" t="e">
        <f t="shared" ca="1" si="321"/>
        <v>#N/A</v>
      </c>
      <c r="S1700" s="6" t="e">
        <f t="shared" ca="1" si="322"/>
        <v>#N/A</v>
      </c>
      <c r="T1700" s="6">
        <f t="shared" ca="1" si="312"/>
        <v>3</v>
      </c>
      <c r="U1700" s="1">
        <f t="shared" ca="1" si="323"/>
        <v>805</v>
      </c>
    </row>
    <row r="1701" spans="1:21" x14ac:dyDescent="0.2">
      <c r="A1701" s="7" cm="1">
        <f t="array" aca="1" ref="A1701" ca="1">INDEX(Companies!$A:$A,RANDBETWEEN(2,COUNTA(Companies!$A:$A)),1)</f>
        <v>2</v>
      </c>
      <c r="B1701" s="5">
        <f t="shared" si="313"/>
        <v>1700</v>
      </c>
      <c r="C1701" s="6">
        <f t="shared" ca="1" si="314"/>
        <v>1</v>
      </c>
      <c r="D1701" s="7">
        <f ca="1">IF($B1701 = 1 + N("Presidente"),
    127,
    IF($B1701 = 2 + N("Vice-Presidente"),
        72,
        IF($B1701 = 3 + N("Secretária bilíngue"),
            13,
            RANDBETWEEN(5,COUNT(Name!$A:$A) + 1)
        )
    )
)</f>
        <v>175</v>
      </c>
      <c r="E1701" s="7" t="str">
        <f ca="1" xml:space="preserve">
VLOOKUP(
  $D1701,
  Name!$A:$B,
  2,
  FALSE
)
&amp; " " &amp;
IF($B1701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Isabella Alcantara Rinaldi</v>
      </c>
      <c r="F1701" s="7">
        <v>2</v>
      </c>
      <c r="G1701" s="7" cm="1">
        <f t="array" aca="1" ref="G1701" ca="1">INDEX(States!$B:$B,RANDBETWEEN(2,COUNTA(States!$A:$A)),1)</f>
        <v>10</v>
      </c>
      <c r="H1701" s="7" t="str">
        <f ca="1">VLOOKUP($D1701,Name!$A:$C,3,FALSE)</f>
        <v>F</v>
      </c>
      <c r="I1701" s="7" cm="1">
        <f t="array" aca="1" ref="I1701" ca="1">INDEX('Marital status'!$A:$A,RANDBETWEEN(2,COUNTA('Marital status'!$A:$A)),1)</f>
        <v>5</v>
      </c>
      <c r="J1701" s="7">
        <f t="shared" ca="1" si="315"/>
        <v>3</v>
      </c>
      <c r="K1701" s="8">
        <f t="shared" ca="1" si="316"/>
        <v>35704</v>
      </c>
      <c r="L1701" s="6">
        <f t="shared" ca="1" si="317"/>
        <v>4</v>
      </c>
      <c r="M1701" s="7">
        <f ca="1" xml:space="preserve">
  IF(OR($N1701 = 2, $N1701 = 3, $N1701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701" s="6">
        <f t="shared" ca="1" si="318"/>
        <v>8</v>
      </c>
      <c r="O1701" s="6">
        <f t="shared" ca="1" si="319"/>
        <v>3</v>
      </c>
      <c r="P1701" s="8">
        <f t="shared" ca="1" si="320"/>
        <v>39558</v>
      </c>
      <c r="Q1701" s="6">
        <f ca="1">RANDBETWEEN(2,COUNTA('Recruitment source'!$A:$A))</f>
        <v>4</v>
      </c>
      <c r="R1701" s="8" t="e">
        <f t="shared" ca="1" si="321"/>
        <v>#N/A</v>
      </c>
      <c r="S1701" s="6" t="e">
        <f t="shared" ca="1" si="322"/>
        <v>#N/A</v>
      </c>
      <c r="T1701" s="6">
        <f t="shared" ca="1" si="312"/>
        <v>4</v>
      </c>
      <c r="U1701" s="1">
        <f t="shared" ca="1" si="323"/>
        <v>2000</v>
      </c>
    </row>
    <row r="1702" spans="1:21" x14ac:dyDescent="0.2">
      <c r="A1702" s="7" cm="1">
        <f t="array" aca="1" ref="A1702" ca="1">INDEX(Companies!$A:$A,RANDBETWEEN(2,COUNTA(Companies!$A:$A)),1)</f>
        <v>2</v>
      </c>
      <c r="B1702" s="5">
        <f t="shared" si="313"/>
        <v>1701</v>
      </c>
      <c r="C1702" s="6">
        <f t="shared" ca="1" si="314"/>
        <v>1</v>
      </c>
      <c r="D1702" s="7">
        <f ca="1">IF($B1702 = 1 + N("Presidente"),
    127,
    IF($B1702 = 2 + N("Vice-Presidente"),
        72,
        IF($B1702 = 3 + N("Secretária bilíngue"),
            13,
            RANDBETWEEN(5,COUNT(Name!$A:$A) + 1)
        )
    )
)</f>
        <v>74</v>
      </c>
      <c r="E1702" s="7" t="str">
        <f ca="1" xml:space="preserve">
VLOOKUP(
  $D1702,
  Name!$A:$B,
  2,
  FALSE
)
&amp; " " &amp;
IF($B1702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Brenda Cabral Silva</v>
      </c>
      <c r="F1702" s="7">
        <v>2</v>
      </c>
      <c r="G1702" s="7" cm="1">
        <f t="array" aca="1" ref="G1702" ca="1">INDEX(States!$B:$B,RANDBETWEEN(2,COUNTA(States!$A:$A)),1)</f>
        <v>15</v>
      </c>
      <c r="H1702" s="7" t="str">
        <f ca="1">VLOOKUP($D1702,Name!$A:$C,3,FALSE)</f>
        <v>F</v>
      </c>
      <c r="I1702" s="7" cm="1">
        <f t="array" aca="1" ref="I1702" ca="1">INDEX('Marital status'!$A:$A,RANDBETWEEN(2,COUNTA('Marital status'!$A:$A)),1)</f>
        <v>5</v>
      </c>
      <c r="J1702" s="7">
        <f t="shared" ca="1" si="315"/>
        <v>2</v>
      </c>
      <c r="K1702" s="8">
        <f t="shared" ca="1" si="316"/>
        <v>22746</v>
      </c>
      <c r="L1702" s="6">
        <f t="shared" ca="1" si="317"/>
        <v>4</v>
      </c>
      <c r="M1702" s="7">
        <f ca="1" xml:space="preserve">
  IF(OR($N1702 = 2, $N1702 = 3, $N1702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702" s="6">
        <f t="shared" ca="1" si="318"/>
        <v>6</v>
      </c>
      <c r="O1702" s="6" t="e">
        <f t="shared" ca="1" si="319"/>
        <v>#N/A</v>
      </c>
      <c r="P1702" s="8">
        <f t="shared" ca="1" si="320"/>
        <v>40518</v>
      </c>
      <c r="Q1702" s="6">
        <f ca="1">RANDBETWEEN(2,COUNTA('Recruitment source'!$A:$A))</f>
        <v>10</v>
      </c>
      <c r="R1702" s="8" t="e">
        <f t="shared" ca="1" si="321"/>
        <v>#N/A</v>
      </c>
      <c r="S1702" s="6" t="e">
        <f t="shared" ca="1" si="322"/>
        <v>#N/A</v>
      </c>
      <c r="T1702" s="6">
        <f t="shared" ca="1" si="312"/>
        <v>4</v>
      </c>
      <c r="U1702" s="1">
        <f t="shared" ca="1" si="323"/>
        <v>805</v>
      </c>
    </row>
    <row r="1703" spans="1:21" x14ac:dyDescent="0.2">
      <c r="A1703" s="7" cm="1">
        <f t="array" aca="1" ref="A1703" ca="1">INDEX(Companies!$A:$A,RANDBETWEEN(2,COUNTA(Companies!$A:$A)),1)</f>
        <v>2</v>
      </c>
      <c r="B1703" s="5">
        <f t="shared" si="313"/>
        <v>1702</v>
      </c>
      <c r="C1703" s="6">
        <f t="shared" ca="1" si="314"/>
        <v>1</v>
      </c>
      <c r="D1703" s="7">
        <f ca="1">IF($B1703 = 1 + N("Presidente"),
    127,
    IF($B1703 = 2 + N("Vice-Presidente"),
        72,
        IF($B1703 = 3 + N("Secretária bilíngue"),
            13,
            RANDBETWEEN(5,COUNT(Name!$A:$A) + 1)
        )
    )
)</f>
        <v>54</v>
      </c>
      <c r="E1703" s="7" t="str">
        <f ca="1" xml:space="preserve">
VLOOKUP(
  $D1703,
  Name!$A:$B,
  2,
  FALSE
)
&amp; " " &amp;
IF($B1703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Ariela Alvarenga Nunes</v>
      </c>
      <c r="F1703" s="7">
        <v>2</v>
      </c>
      <c r="G1703" s="7" cm="1">
        <f t="array" aca="1" ref="G1703" ca="1">INDEX(States!$B:$B,RANDBETWEEN(2,COUNTA(States!$A:$A)),1)</f>
        <v>7</v>
      </c>
      <c r="H1703" s="7" t="str">
        <f ca="1">VLOOKUP($D1703,Name!$A:$C,3,FALSE)</f>
        <v>F</v>
      </c>
      <c r="I1703" s="7" cm="1">
        <f t="array" aca="1" ref="I1703" ca="1">INDEX('Marital status'!$A:$A,RANDBETWEEN(2,COUNTA('Marital status'!$A:$A)),1)</f>
        <v>3</v>
      </c>
      <c r="J1703" s="7">
        <f t="shared" ca="1" si="315"/>
        <v>2</v>
      </c>
      <c r="K1703" s="8">
        <f t="shared" ca="1" si="316"/>
        <v>36048</v>
      </c>
      <c r="L1703" s="6">
        <f t="shared" ca="1" si="317"/>
        <v>5</v>
      </c>
      <c r="M1703" s="7">
        <f ca="1" xml:space="preserve">
  IF(OR($N1703 = 2, $N1703 = 3, $N1703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703" s="6">
        <f t="shared" ca="1" si="318"/>
        <v>8</v>
      </c>
      <c r="O1703" s="6">
        <f t="shared" ca="1" si="319"/>
        <v>2</v>
      </c>
      <c r="P1703" s="8">
        <f t="shared" ca="1" si="320"/>
        <v>42738</v>
      </c>
      <c r="Q1703" s="6">
        <f ca="1">RANDBETWEEN(2,COUNTA('Recruitment source'!$A:$A))</f>
        <v>9</v>
      </c>
      <c r="R1703" s="8" t="e">
        <f t="shared" ca="1" si="321"/>
        <v>#N/A</v>
      </c>
      <c r="S1703" s="6" t="e">
        <f t="shared" ca="1" si="322"/>
        <v>#N/A</v>
      </c>
      <c r="T1703" s="6">
        <f t="shared" ca="1" si="312"/>
        <v>5</v>
      </c>
      <c r="U1703" s="1">
        <f t="shared" ca="1" si="323"/>
        <v>2000</v>
      </c>
    </row>
    <row r="1704" spans="1:21" x14ac:dyDescent="0.2">
      <c r="A1704" s="7" cm="1">
        <f t="array" aca="1" ref="A1704" ca="1">INDEX(Companies!$A:$A,RANDBETWEEN(2,COUNTA(Companies!$A:$A)),1)</f>
        <v>2</v>
      </c>
      <c r="B1704" s="5">
        <f t="shared" si="313"/>
        <v>1703</v>
      </c>
      <c r="C1704" s="6">
        <f t="shared" ca="1" si="314"/>
        <v>1</v>
      </c>
      <c r="D1704" s="7">
        <f ca="1">IF($B1704 = 1 + N("Presidente"),
    127,
    IF($B1704 = 2 + N("Vice-Presidente"),
        72,
        IF($B1704 = 3 + N("Secretária bilíngue"),
            13,
            RANDBETWEEN(5,COUNT(Name!$A:$A) + 1)
        )
    )
)</f>
        <v>287</v>
      </c>
      <c r="E1704" s="7" t="str">
        <f ca="1" xml:space="preserve">
VLOOKUP(
  $D1704,
  Name!$A:$B,
  2,
  FALSE
)
&amp; " " &amp;
IF($B1704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Matheus Mazza Ildelfonso</v>
      </c>
      <c r="F1704" s="7">
        <v>2</v>
      </c>
      <c r="G1704" s="7" cm="1">
        <f t="array" aca="1" ref="G1704" ca="1">INDEX(States!$B:$B,RANDBETWEEN(2,COUNTA(States!$A:$A)),1)</f>
        <v>8</v>
      </c>
      <c r="H1704" s="7" t="str">
        <f ca="1">VLOOKUP($D1704,Name!$A:$C,3,FALSE)</f>
        <v>M</v>
      </c>
      <c r="I1704" s="7" cm="1">
        <f t="array" aca="1" ref="I1704" ca="1">INDEX('Marital status'!$A:$A,RANDBETWEEN(2,COUNTA('Marital status'!$A:$A)),1)</f>
        <v>3</v>
      </c>
      <c r="J1704" s="7">
        <f t="shared" ca="1" si="315"/>
        <v>2</v>
      </c>
      <c r="K1704" s="8">
        <f t="shared" ca="1" si="316"/>
        <v>35268</v>
      </c>
      <c r="L1704" s="6">
        <f t="shared" ca="1" si="317"/>
        <v>4</v>
      </c>
      <c r="M1704" s="7">
        <f ca="1" xml:space="preserve">
  IF(OR($N1704 = 2, $N1704 = 3, $N1704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704" s="6">
        <f t="shared" ca="1" si="318"/>
        <v>7</v>
      </c>
      <c r="O1704" s="6" t="e">
        <f t="shared" ca="1" si="319"/>
        <v>#N/A</v>
      </c>
      <c r="P1704" s="8">
        <f t="shared" ca="1" si="320"/>
        <v>43199</v>
      </c>
      <c r="Q1704" s="6">
        <f ca="1">RANDBETWEEN(2,COUNTA('Recruitment source'!$A:$A))</f>
        <v>5</v>
      </c>
      <c r="R1704" s="8" t="e">
        <f t="shared" ca="1" si="321"/>
        <v>#N/A</v>
      </c>
      <c r="S1704" s="6" t="e">
        <f t="shared" ca="1" si="322"/>
        <v>#N/A</v>
      </c>
      <c r="T1704" s="6">
        <f t="shared" ca="1" si="312"/>
        <v>4</v>
      </c>
      <c r="U1704" s="1">
        <f t="shared" ca="1" si="323"/>
        <v>1005</v>
      </c>
    </row>
    <row r="1705" spans="1:21" x14ac:dyDescent="0.2">
      <c r="A1705" s="7" cm="1">
        <f t="array" aca="1" ref="A1705" ca="1">INDEX(Companies!$A:$A,RANDBETWEEN(2,COUNTA(Companies!$A:$A)),1)</f>
        <v>2</v>
      </c>
      <c r="B1705" s="5">
        <f t="shared" si="313"/>
        <v>1704</v>
      </c>
      <c r="C1705" s="6">
        <f t="shared" ca="1" si="314"/>
        <v>1</v>
      </c>
      <c r="D1705" s="7">
        <f ca="1">IF($B1705 = 1 + N("Presidente"),
    127,
    IF($B1705 = 2 + N("Vice-Presidente"),
        72,
        IF($B1705 = 3 + N("Secretária bilíngue"),
            13,
            RANDBETWEEN(5,COUNT(Name!$A:$A) + 1)
        )
    )
)</f>
        <v>203</v>
      </c>
      <c r="E1705" s="7" t="str">
        <f ca="1" xml:space="preserve">
VLOOKUP(
  $D1705,
  Name!$A:$B,
  2,
  FALSE
)
&amp; " " &amp;
IF($B1705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Juliana Morato Esposito</v>
      </c>
      <c r="F1705" s="7">
        <v>2</v>
      </c>
      <c r="G1705" s="7" cm="1">
        <f t="array" aca="1" ref="G1705" ca="1">INDEX(States!$B:$B,RANDBETWEEN(2,COUNTA(States!$A:$A)),1)</f>
        <v>8</v>
      </c>
      <c r="H1705" s="7" t="str">
        <f ca="1">VLOOKUP($D1705,Name!$A:$C,3,FALSE)</f>
        <v>F</v>
      </c>
      <c r="I1705" s="7" cm="1">
        <f t="array" aca="1" ref="I1705" ca="1">INDEX('Marital status'!$A:$A,RANDBETWEEN(2,COUNTA('Marital status'!$A:$A)),1)</f>
        <v>5</v>
      </c>
      <c r="J1705" s="7">
        <f t="shared" ca="1" si="315"/>
        <v>4</v>
      </c>
      <c r="K1705" s="8">
        <f t="shared" ca="1" si="316"/>
        <v>33752</v>
      </c>
      <c r="L1705" s="6">
        <f t="shared" ca="1" si="317"/>
        <v>5</v>
      </c>
      <c r="M1705" s="7">
        <f ca="1" xml:space="preserve">
  IF(OR($N1705 = 2, $N1705 = 3, $N1705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705" s="6">
        <f t="shared" ca="1" si="318"/>
        <v>8</v>
      </c>
      <c r="O1705" s="6">
        <f t="shared" ca="1" si="319"/>
        <v>2</v>
      </c>
      <c r="P1705" s="8">
        <f t="shared" ca="1" si="320"/>
        <v>37696</v>
      </c>
      <c r="Q1705" s="6">
        <f ca="1">RANDBETWEEN(2,COUNTA('Recruitment source'!$A:$A))</f>
        <v>12</v>
      </c>
      <c r="R1705" s="8" t="e">
        <f t="shared" ca="1" si="321"/>
        <v>#N/A</v>
      </c>
      <c r="S1705" s="6" t="e">
        <f t="shared" ca="1" si="322"/>
        <v>#N/A</v>
      </c>
      <c r="T1705" s="6">
        <f t="shared" ca="1" si="312"/>
        <v>4</v>
      </c>
      <c r="U1705" s="1">
        <f t="shared" ca="1" si="323"/>
        <v>2000</v>
      </c>
    </row>
    <row r="1706" spans="1:21" x14ac:dyDescent="0.2">
      <c r="A1706" s="7" cm="1">
        <f t="array" aca="1" ref="A1706" ca="1">INDEX(Companies!$A:$A,RANDBETWEEN(2,COUNTA(Companies!$A:$A)),1)</f>
        <v>2</v>
      </c>
      <c r="B1706" s="5">
        <f t="shared" si="313"/>
        <v>1705</v>
      </c>
      <c r="C1706" s="6">
        <f t="shared" ca="1" si="314"/>
        <v>1</v>
      </c>
      <c r="D1706" s="7">
        <f ca="1">IF($B1706 = 1 + N("Presidente"),
    127,
    IF($B1706 = 2 + N("Vice-Presidente"),
        72,
        IF($B1706 = 3 + N("Secretária bilíngue"),
            13,
            RANDBETWEEN(5,COUNT(Name!$A:$A) + 1)
        )
    )
)</f>
        <v>160</v>
      </c>
      <c r="E1706" s="7" t="str">
        <f ca="1" xml:space="preserve">
VLOOKUP(
  $D1706,
  Name!$A:$B,
  2,
  FALSE
)
&amp; " " &amp;
IF($B1706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Hector Alves Camargo</v>
      </c>
      <c r="F1706" s="7">
        <v>2</v>
      </c>
      <c r="G1706" s="7" cm="1">
        <f t="array" aca="1" ref="G1706" ca="1">INDEX(States!$B:$B,RANDBETWEEN(2,COUNTA(States!$A:$A)),1)</f>
        <v>14</v>
      </c>
      <c r="H1706" s="7" t="str">
        <f ca="1">VLOOKUP($D1706,Name!$A:$C,3,FALSE)</f>
        <v>M</v>
      </c>
      <c r="I1706" s="7" cm="1">
        <f t="array" aca="1" ref="I1706" ca="1">INDEX('Marital status'!$A:$A,RANDBETWEEN(2,COUNTA('Marital status'!$A:$A)),1)</f>
        <v>3</v>
      </c>
      <c r="J1706" s="7">
        <f t="shared" ca="1" si="315"/>
        <v>2</v>
      </c>
      <c r="K1706" s="8">
        <f t="shared" ca="1" si="316"/>
        <v>33116</v>
      </c>
      <c r="L1706" s="6">
        <f t="shared" ca="1" si="317"/>
        <v>4</v>
      </c>
      <c r="M1706" s="7">
        <f ca="1" xml:space="preserve">
  IF(OR($N1706 = 2, $N1706 = 3, $N1706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706" s="6">
        <f t="shared" ca="1" si="318"/>
        <v>6</v>
      </c>
      <c r="O1706" s="6" t="e">
        <f t="shared" ca="1" si="319"/>
        <v>#N/A</v>
      </c>
      <c r="P1706" s="8">
        <f t="shared" ca="1" si="320"/>
        <v>37813</v>
      </c>
      <c r="Q1706" s="6">
        <f ca="1">RANDBETWEEN(2,COUNTA('Recruitment source'!$A:$A))</f>
        <v>3</v>
      </c>
      <c r="R1706" s="8" t="e">
        <f t="shared" ca="1" si="321"/>
        <v>#N/A</v>
      </c>
      <c r="S1706" s="6" t="e">
        <f t="shared" ca="1" si="322"/>
        <v>#N/A</v>
      </c>
      <c r="T1706" s="6">
        <f t="shared" ca="1" si="312"/>
        <v>4</v>
      </c>
      <c r="U1706" s="1">
        <f t="shared" ca="1" si="323"/>
        <v>805</v>
      </c>
    </row>
    <row r="1707" spans="1:21" x14ac:dyDescent="0.2">
      <c r="A1707" s="7" cm="1">
        <f t="array" aca="1" ref="A1707" ca="1">INDEX(Companies!$A:$A,RANDBETWEEN(2,COUNTA(Companies!$A:$A)),1)</f>
        <v>2</v>
      </c>
      <c r="B1707" s="5">
        <f t="shared" si="313"/>
        <v>1706</v>
      </c>
      <c r="C1707" s="6">
        <f t="shared" ca="1" si="314"/>
        <v>1</v>
      </c>
      <c r="D1707" s="7">
        <f ca="1">IF($B1707 = 1 + N("Presidente"),
    127,
    IF($B1707 = 2 + N("Vice-Presidente"),
        72,
        IF($B1707 = 3 + N("Secretária bilíngue"),
            13,
            RANDBETWEEN(5,COUNT(Name!$A:$A) + 1)
        )
    )
)</f>
        <v>146</v>
      </c>
      <c r="E1707" s="7" t="str">
        <f ca="1" xml:space="preserve">
VLOOKUP(
  $D1707,
  Name!$A:$B,
  2,
  FALSE
)
&amp; " " &amp;
IF($B1707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Francisco Rinaldi Nunes</v>
      </c>
      <c r="F1707" s="7">
        <v>2</v>
      </c>
      <c r="G1707" s="7" cm="1">
        <f t="array" aca="1" ref="G1707" ca="1">INDEX(States!$B:$B,RANDBETWEEN(2,COUNTA(States!$A:$A)),1)</f>
        <v>6</v>
      </c>
      <c r="H1707" s="7" t="str">
        <f ca="1">VLOOKUP($D1707,Name!$A:$C,3,FALSE)</f>
        <v>M</v>
      </c>
      <c r="I1707" s="7" cm="1">
        <f t="array" aca="1" ref="I1707" ca="1">INDEX('Marital status'!$A:$A,RANDBETWEEN(2,COUNTA('Marital status'!$A:$A)),1)</f>
        <v>6</v>
      </c>
      <c r="J1707" s="7">
        <f t="shared" ca="1" si="315"/>
        <v>2</v>
      </c>
      <c r="K1707" s="8">
        <f t="shared" ca="1" si="316"/>
        <v>37821</v>
      </c>
      <c r="L1707" s="6">
        <f t="shared" ca="1" si="317"/>
        <v>4</v>
      </c>
      <c r="M1707" s="7">
        <f ca="1" xml:space="preserve">
  IF(OR($N1707 = 2, $N1707 = 3, $N1707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707" s="6">
        <f t="shared" ca="1" si="318"/>
        <v>8</v>
      </c>
      <c r="O1707" s="6">
        <f t="shared" ca="1" si="319"/>
        <v>2</v>
      </c>
      <c r="P1707" s="8">
        <f t="shared" ca="1" si="320"/>
        <v>44220</v>
      </c>
      <c r="Q1707" s="6">
        <f ca="1">RANDBETWEEN(2,COUNTA('Recruitment source'!$A:$A))</f>
        <v>9</v>
      </c>
      <c r="R1707" s="8" t="e">
        <f t="shared" ca="1" si="321"/>
        <v>#N/A</v>
      </c>
      <c r="S1707" s="6" t="e">
        <f t="shared" ca="1" si="322"/>
        <v>#N/A</v>
      </c>
      <c r="T1707" s="6">
        <f t="shared" ca="1" si="312"/>
        <v>5</v>
      </c>
      <c r="U1707" s="1">
        <f t="shared" ca="1" si="323"/>
        <v>2000</v>
      </c>
    </row>
    <row r="1708" spans="1:21" x14ac:dyDescent="0.2">
      <c r="A1708" s="7" cm="1">
        <f t="array" aca="1" ref="A1708" ca="1">INDEX(Companies!$A:$A,RANDBETWEEN(2,COUNTA(Companies!$A:$A)),1)</f>
        <v>2</v>
      </c>
      <c r="B1708" s="5">
        <f t="shared" si="313"/>
        <v>1707</v>
      </c>
      <c r="C1708" s="6">
        <f t="shared" ca="1" si="314"/>
        <v>1</v>
      </c>
      <c r="D1708" s="7">
        <f ca="1">IF($B1708 = 1 + N("Presidente"),
    127,
    IF($B1708 = 2 + N("Vice-Presidente"),
        72,
        IF($B1708 = 3 + N("Secretária bilíngue"),
            13,
            RANDBETWEEN(5,COUNT(Name!$A:$A) + 1)
        )
    )
)</f>
        <v>333</v>
      </c>
      <c r="E1708" s="7" t="str">
        <f ca="1" xml:space="preserve">
VLOOKUP(
  $D1708,
  Name!$A:$B,
  2,
  FALSE
)
&amp; " " &amp;
IF($B1708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Ruan Batista Campos</v>
      </c>
      <c r="F1708" s="7">
        <v>2</v>
      </c>
      <c r="G1708" s="7" cm="1">
        <f t="array" aca="1" ref="G1708" ca="1">INDEX(States!$B:$B,RANDBETWEEN(2,COUNTA(States!$A:$A)),1)</f>
        <v>7</v>
      </c>
      <c r="H1708" s="7" t="str">
        <f ca="1">VLOOKUP($D1708,Name!$A:$C,3,FALSE)</f>
        <v>M</v>
      </c>
      <c r="I1708" s="7" cm="1">
        <f t="array" aca="1" ref="I1708" ca="1">INDEX('Marital status'!$A:$A,RANDBETWEEN(2,COUNTA('Marital status'!$A:$A)),1)</f>
        <v>6</v>
      </c>
      <c r="J1708" s="7">
        <f t="shared" ca="1" si="315"/>
        <v>3</v>
      </c>
      <c r="K1708" s="8">
        <f t="shared" ca="1" si="316"/>
        <v>32712</v>
      </c>
      <c r="L1708" s="6">
        <f t="shared" ca="1" si="317"/>
        <v>4</v>
      </c>
      <c r="M1708" s="7">
        <f ca="1" xml:space="preserve">
  IF(OR($N1708 = 2, $N1708 = 3, $N1708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708" s="6">
        <f t="shared" ca="1" si="318"/>
        <v>6</v>
      </c>
      <c r="O1708" s="6" t="e">
        <f t="shared" ca="1" si="319"/>
        <v>#N/A</v>
      </c>
      <c r="P1708" s="8">
        <f t="shared" ca="1" si="320"/>
        <v>43133</v>
      </c>
      <c r="Q1708" s="6">
        <f ca="1">RANDBETWEEN(2,COUNTA('Recruitment source'!$A:$A))</f>
        <v>3</v>
      </c>
      <c r="R1708" s="8" t="e">
        <f t="shared" ca="1" si="321"/>
        <v>#N/A</v>
      </c>
      <c r="S1708" s="6" t="e">
        <f t="shared" ca="1" si="322"/>
        <v>#N/A</v>
      </c>
      <c r="T1708" s="6">
        <f t="shared" ca="1" si="312"/>
        <v>5</v>
      </c>
      <c r="U1708" s="1">
        <f t="shared" ca="1" si="323"/>
        <v>805</v>
      </c>
    </row>
    <row r="1709" spans="1:21" x14ac:dyDescent="0.2">
      <c r="A1709" s="7" cm="1">
        <f t="array" aca="1" ref="A1709" ca="1">INDEX(Companies!$A:$A,RANDBETWEEN(2,COUNTA(Companies!$A:$A)),1)</f>
        <v>2</v>
      </c>
      <c r="B1709" s="5">
        <f t="shared" si="313"/>
        <v>1708</v>
      </c>
      <c r="C1709" s="6">
        <f t="shared" ca="1" si="314"/>
        <v>1</v>
      </c>
      <c r="D1709" s="7">
        <f ca="1">IF($B1709 = 1 + N("Presidente"),
    127,
    IF($B1709 = 2 + N("Vice-Presidente"),
        72,
        IF($B1709 = 3 + N("Secretária bilíngue"),
            13,
            RANDBETWEEN(5,COUNT(Name!$A:$A) + 1)
        )
    )
)</f>
        <v>185</v>
      </c>
      <c r="E1709" s="7" t="str">
        <f ca="1" xml:space="preserve">
VLOOKUP(
  $D1709,
  Name!$A:$B,
  2,
  FALSE
)
&amp; " " &amp;
IF($B1709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Alvim Ferrão</v>
      </c>
      <c r="F1709" s="7">
        <v>2</v>
      </c>
      <c r="G1709" s="7" cm="1">
        <f t="array" aca="1" ref="G1709" ca="1">INDEX(States!$B:$B,RANDBETWEEN(2,COUNTA(States!$A:$A)),1)</f>
        <v>5</v>
      </c>
      <c r="H1709" s="7" t="str">
        <f ca="1">VLOOKUP($D1709,Name!$A:$C,3,FALSE)</f>
        <v>M</v>
      </c>
      <c r="I1709" s="7" cm="1">
        <f t="array" aca="1" ref="I1709" ca="1">INDEX('Marital status'!$A:$A,RANDBETWEEN(2,COUNTA('Marital status'!$A:$A)),1)</f>
        <v>6</v>
      </c>
      <c r="J1709" s="7">
        <f t="shared" ca="1" si="315"/>
        <v>2</v>
      </c>
      <c r="K1709" s="8">
        <f t="shared" ca="1" si="316"/>
        <v>37983</v>
      </c>
      <c r="L1709" s="6">
        <f t="shared" ca="1" si="317"/>
        <v>4</v>
      </c>
      <c r="M1709" s="7">
        <f ca="1" xml:space="preserve">
  IF(OR($N1709 = 2, $N1709 = 3, $N1709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709" s="6">
        <f t="shared" ca="1" si="318"/>
        <v>8</v>
      </c>
      <c r="O1709" s="6">
        <f t="shared" ca="1" si="319"/>
        <v>2</v>
      </c>
      <c r="P1709" s="8">
        <f t="shared" ca="1" si="320"/>
        <v>44838</v>
      </c>
      <c r="Q1709" s="6">
        <f ca="1">RANDBETWEEN(2,COUNTA('Recruitment source'!$A:$A))</f>
        <v>2</v>
      </c>
      <c r="R1709" s="8" t="e">
        <f t="shared" ca="1" si="321"/>
        <v>#N/A</v>
      </c>
      <c r="S1709" s="6" t="e">
        <f t="shared" ca="1" si="322"/>
        <v>#N/A</v>
      </c>
      <c r="T1709" s="6">
        <f t="shared" ca="1" si="312"/>
        <v>3</v>
      </c>
      <c r="U1709" s="1">
        <f t="shared" ca="1" si="323"/>
        <v>2000</v>
      </c>
    </row>
    <row r="1710" spans="1:21" x14ac:dyDescent="0.2">
      <c r="A1710" s="7" cm="1">
        <f t="array" aca="1" ref="A1710" ca="1">INDEX(Companies!$A:$A,RANDBETWEEN(2,COUNTA(Companies!$A:$A)),1)</f>
        <v>2</v>
      </c>
      <c r="B1710" s="5">
        <f t="shared" si="313"/>
        <v>1709</v>
      </c>
      <c r="C1710" s="6">
        <f t="shared" ca="1" si="314"/>
        <v>1</v>
      </c>
      <c r="D1710" s="7">
        <f ca="1">IF($B1710 = 1 + N("Presidente"),
    127,
    IF($B1710 = 2 + N("Vice-Presidente"),
        72,
        IF($B1710 = 3 + N("Secretária bilíngue"),
            13,
            RANDBETWEEN(5,COUNT(Name!$A:$A) + 1)
        )
    )
)</f>
        <v>161</v>
      </c>
      <c r="E1710" s="7" t="str">
        <f ca="1" xml:space="preserve">
VLOOKUP(
  $D1710,
  Name!$A:$B,
  2,
  FALSE
)
&amp; " " &amp;
IF($B1710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Heitor Santacruz Coelho</v>
      </c>
      <c r="F1710" s="7">
        <v>2</v>
      </c>
      <c r="G1710" s="7" cm="1">
        <f t="array" aca="1" ref="G1710" ca="1">INDEX(States!$B:$B,RANDBETWEEN(2,COUNTA(States!$A:$A)),1)</f>
        <v>17</v>
      </c>
      <c r="H1710" s="7" t="str">
        <f ca="1">VLOOKUP($D1710,Name!$A:$C,3,FALSE)</f>
        <v>M</v>
      </c>
      <c r="I1710" s="7" cm="1">
        <f t="array" aca="1" ref="I1710" ca="1">INDEX('Marital status'!$A:$A,RANDBETWEEN(2,COUNTA('Marital status'!$A:$A)),1)</f>
        <v>4</v>
      </c>
      <c r="J1710" s="7">
        <f t="shared" ca="1" si="315"/>
        <v>5</v>
      </c>
      <c r="K1710" s="8">
        <f t="shared" ca="1" si="316"/>
        <v>32382</v>
      </c>
      <c r="L1710" s="6">
        <f t="shared" ca="1" si="317"/>
        <v>4</v>
      </c>
      <c r="M1710" s="7">
        <f ca="1" xml:space="preserve">
  IF(OR($N1710 = 2, $N1710 = 3, $N1710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710" s="6">
        <f t="shared" ca="1" si="318"/>
        <v>6</v>
      </c>
      <c r="O1710" s="6" t="e">
        <f t="shared" ca="1" si="319"/>
        <v>#N/A</v>
      </c>
      <c r="P1710" s="8">
        <f t="shared" ca="1" si="320"/>
        <v>40954</v>
      </c>
      <c r="Q1710" s="6">
        <f ca="1">RANDBETWEEN(2,COUNTA('Recruitment source'!$A:$A))</f>
        <v>6</v>
      </c>
      <c r="R1710" s="8" t="e">
        <f t="shared" ca="1" si="321"/>
        <v>#N/A</v>
      </c>
      <c r="S1710" s="6" t="e">
        <f t="shared" ca="1" si="322"/>
        <v>#N/A</v>
      </c>
      <c r="T1710" s="6">
        <f t="shared" ca="1" si="312"/>
        <v>2</v>
      </c>
      <c r="U1710" s="1">
        <f t="shared" ca="1" si="323"/>
        <v>805</v>
      </c>
    </row>
    <row r="1711" spans="1:21" x14ac:dyDescent="0.2">
      <c r="A1711" s="7" cm="1">
        <f t="array" aca="1" ref="A1711" ca="1">INDEX(Companies!$A:$A,RANDBETWEEN(2,COUNTA(Companies!$A:$A)),1)</f>
        <v>2</v>
      </c>
      <c r="B1711" s="5">
        <f t="shared" si="313"/>
        <v>1710</v>
      </c>
      <c r="C1711" s="6">
        <f t="shared" ca="1" si="314"/>
        <v>1</v>
      </c>
      <c r="D1711" s="7">
        <f ca="1">IF($B1711 = 1 + N("Presidente"),
    127,
    IF($B1711 = 2 + N("Vice-Presidente"),
        72,
        IF($B1711 = 3 + N("Secretária bilíngue"),
            13,
            RANDBETWEEN(5,COUNT(Name!$A:$A) + 1)
        )
    )
)</f>
        <v>360</v>
      </c>
      <c r="E1711" s="7" t="str">
        <f ca="1" xml:space="preserve">
VLOOKUP(
  $D1711,
  Name!$A:$B,
  2,
  FALSE
)
&amp; " " &amp;
IF($B1711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Vitória Siqueira Martins</v>
      </c>
      <c r="F1711" s="7">
        <v>2</v>
      </c>
      <c r="G1711" s="7" cm="1">
        <f t="array" aca="1" ref="G1711" ca="1">INDEX(States!$B:$B,RANDBETWEEN(2,COUNTA(States!$A:$A)),1)</f>
        <v>3</v>
      </c>
      <c r="H1711" s="7" t="str">
        <f ca="1">VLOOKUP($D1711,Name!$A:$C,3,FALSE)</f>
        <v>F</v>
      </c>
      <c r="I1711" s="7" cm="1">
        <f t="array" aca="1" ref="I1711" ca="1">INDEX('Marital status'!$A:$A,RANDBETWEEN(2,COUNTA('Marital status'!$A:$A)),1)</f>
        <v>5</v>
      </c>
      <c r="J1711" s="7">
        <f t="shared" ca="1" si="315"/>
        <v>2</v>
      </c>
      <c r="K1711" s="8">
        <f t="shared" ca="1" si="316"/>
        <v>33377</v>
      </c>
      <c r="L1711" s="6">
        <f t="shared" ca="1" si="317"/>
        <v>4</v>
      </c>
      <c r="M1711" s="7">
        <f ca="1" xml:space="preserve">
  IF(OR($N1711 = 2, $N1711 = 3, $N1711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711" s="6">
        <f t="shared" ca="1" si="318"/>
        <v>8</v>
      </c>
      <c r="O1711" s="6">
        <f t="shared" ca="1" si="319"/>
        <v>4</v>
      </c>
      <c r="P1711" s="8">
        <f t="shared" ca="1" si="320"/>
        <v>40804</v>
      </c>
      <c r="Q1711" s="6">
        <f ca="1">RANDBETWEEN(2,COUNTA('Recruitment source'!$A:$A))</f>
        <v>6</v>
      </c>
      <c r="R1711" s="8" t="e">
        <f t="shared" ca="1" si="321"/>
        <v>#N/A</v>
      </c>
      <c r="S1711" s="6" t="e">
        <f t="shared" ca="1" si="322"/>
        <v>#N/A</v>
      </c>
      <c r="T1711" s="6">
        <f t="shared" ca="1" si="312"/>
        <v>4</v>
      </c>
      <c r="U1711" s="1">
        <f t="shared" ca="1" si="323"/>
        <v>2080</v>
      </c>
    </row>
    <row r="1712" spans="1:21" x14ac:dyDescent="0.2">
      <c r="A1712" s="7" cm="1">
        <f t="array" aca="1" ref="A1712" ca="1">INDEX(Companies!$A:$A,RANDBETWEEN(2,COUNTA(Companies!$A:$A)),1)</f>
        <v>2</v>
      </c>
      <c r="B1712" s="5">
        <f t="shared" si="313"/>
        <v>1711</v>
      </c>
      <c r="C1712" s="6">
        <f t="shared" ca="1" si="314"/>
        <v>1</v>
      </c>
      <c r="D1712" s="7">
        <f ca="1">IF($B1712 = 1 + N("Presidente"),
    127,
    IF($B1712 = 2 + N("Vice-Presidente"),
        72,
        IF($B1712 = 3 + N("Secretária bilíngue"),
            13,
            RANDBETWEEN(5,COUNT(Name!$A:$A) + 1)
        )
    )
)</f>
        <v>299</v>
      </c>
      <c r="E1712" s="7" t="str">
        <f ca="1" xml:space="preserve">
VLOOKUP(
  $D1712,
  Name!$A:$B,
  2,
  FALSE
)
&amp; " " &amp;
IF($B1712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Mirella Borba Leite</v>
      </c>
      <c r="F1712" s="7">
        <v>2</v>
      </c>
      <c r="G1712" s="7" cm="1">
        <f t="array" aca="1" ref="G1712" ca="1">INDEX(States!$B:$B,RANDBETWEEN(2,COUNTA(States!$A:$A)),1)</f>
        <v>11</v>
      </c>
      <c r="H1712" s="7" t="str">
        <f ca="1">VLOOKUP($D1712,Name!$A:$C,3,FALSE)</f>
        <v>F</v>
      </c>
      <c r="I1712" s="7" cm="1">
        <f t="array" aca="1" ref="I1712" ca="1">INDEX('Marital status'!$A:$A,RANDBETWEEN(2,COUNTA('Marital status'!$A:$A)),1)</f>
        <v>5</v>
      </c>
      <c r="J1712" s="7">
        <f t="shared" ca="1" si="315"/>
        <v>2</v>
      </c>
      <c r="K1712" s="8">
        <f t="shared" ca="1" si="316"/>
        <v>34245</v>
      </c>
      <c r="L1712" s="6">
        <f t="shared" ca="1" si="317"/>
        <v>4</v>
      </c>
      <c r="M1712" s="7">
        <f ca="1" xml:space="preserve">
  IF(OR($N1712 = 2, $N1712 = 3, $N1712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712" s="6">
        <f t="shared" ca="1" si="318"/>
        <v>7</v>
      </c>
      <c r="O1712" s="6" t="e">
        <f t="shared" ca="1" si="319"/>
        <v>#N/A</v>
      </c>
      <c r="P1712" s="8">
        <f t="shared" ca="1" si="320"/>
        <v>38714</v>
      </c>
      <c r="Q1712" s="6">
        <f ca="1">RANDBETWEEN(2,COUNTA('Recruitment source'!$A:$A))</f>
        <v>2</v>
      </c>
      <c r="R1712" s="8" t="e">
        <f t="shared" ca="1" si="321"/>
        <v>#N/A</v>
      </c>
      <c r="S1712" s="6" t="e">
        <f t="shared" ca="1" si="322"/>
        <v>#N/A</v>
      </c>
      <c r="T1712" s="6">
        <f t="shared" ca="1" si="312"/>
        <v>3</v>
      </c>
      <c r="U1712" s="1">
        <f t="shared" ca="1" si="323"/>
        <v>1005</v>
      </c>
    </row>
    <row r="1713" spans="1:21" x14ac:dyDescent="0.2">
      <c r="A1713" s="7" cm="1">
        <f t="array" aca="1" ref="A1713" ca="1">INDEX(Companies!$A:$A,RANDBETWEEN(2,COUNTA(Companies!$A:$A)),1)</f>
        <v>2</v>
      </c>
      <c r="B1713" s="5">
        <f t="shared" si="313"/>
        <v>1712</v>
      </c>
      <c r="C1713" s="6">
        <f t="shared" ca="1" si="314"/>
        <v>1</v>
      </c>
      <c r="D1713" s="7">
        <f ca="1">IF($B1713 = 1 + N("Presidente"),
    127,
    IF($B1713 = 2 + N("Vice-Presidente"),
        72,
        IF($B1713 = 3 + N("Secretária bilíngue"),
            13,
            RANDBETWEEN(5,COUNT(Name!$A:$A) + 1)
        )
    )
)</f>
        <v>305</v>
      </c>
      <c r="E1713" s="7" t="str">
        <f ca="1" xml:space="preserve">
VLOOKUP(
  $D1713,
  Name!$A:$B,
  2,
  FALSE
)
&amp; " " &amp;
IF($B1713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Nathan Lima Fernandes</v>
      </c>
      <c r="F1713" s="7">
        <v>2</v>
      </c>
      <c r="G1713" s="7" cm="1">
        <f t="array" aca="1" ref="G1713" ca="1">INDEX(States!$B:$B,RANDBETWEEN(2,COUNTA(States!$A:$A)),1)</f>
        <v>20</v>
      </c>
      <c r="H1713" s="7" t="str">
        <f ca="1">VLOOKUP($D1713,Name!$A:$C,3,FALSE)</f>
        <v>M</v>
      </c>
      <c r="I1713" s="7" cm="1">
        <f t="array" aca="1" ref="I1713" ca="1">INDEX('Marital status'!$A:$A,RANDBETWEEN(2,COUNTA('Marital status'!$A:$A)),1)</f>
        <v>2</v>
      </c>
      <c r="J1713" s="7">
        <f t="shared" ca="1" si="315"/>
        <v>2</v>
      </c>
      <c r="K1713" s="8">
        <f t="shared" ca="1" si="316"/>
        <v>37973</v>
      </c>
      <c r="L1713" s="6">
        <f t="shared" ca="1" si="317"/>
        <v>4</v>
      </c>
      <c r="M1713" s="7">
        <f ca="1" xml:space="preserve">
  IF(OR($N1713 = 2, $N1713 = 3, $N1713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713" s="6">
        <f t="shared" ca="1" si="318"/>
        <v>8</v>
      </c>
      <c r="O1713" s="6">
        <f t="shared" ca="1" si="319"/>
        <v>2</v>
      </c>
      <c r="P1713" s="8">
        <f t="shared" ca="1" si="320"/>
        <v>44838</v>
      </c>
      <c r="Q1713" s="6">
        <f ca="1">RANDBETWEEN(2,COUNTA('Recruitment source'!$A:$A))</f>
        <v>11</v>
      </c>
      <c r="R1713" s="8" t="e">
        <f t="shared" ca="1" si="321"/>
        <v>#N/A</v>
      </c>
      <c r="S1713" s="6" t="e">
        <f t="shared" ca="1" si="322"/>
        <v>#N/A</v>
      </c>
      <c r="T1713" s="6">
        <f t="shared" ca="1" si="312"/>
        <v>5</v>
      </c>
      <c r="U1713" s="1">
        <f t="shared" ca="1" si="323"/>
        <v>2000</v>
      </c>
    </row>
    <row r="1714" spans="1:21" x14ac:dyDescent="0.2">
      <c r="A1714" s="7" cm="1">
        <f t="array" aca="1" ref="A1714" ca="1">INDEX(Companies!$A:$A,RANDBETWEEN(2,COUNTA(Companies!$A:$A)),1)</f>
        <v>2</v>
      </c>
      <c r="B1714" s="5">
        <f t="shared" si="313"/>
        <v>1713</v>
      </c>
      <c r="C1714" s="6">
        <f t="shared" ca="1" si="314"/>
        <v>1</v>
      </c>
      <c r="D1714" s="7">
        <f ca="1">IF($B1714 = 1 + N("Presidente"),
    127,
    IF($B1714 = 2 + N("Vice-Presidente"),
        72,
        IF($B1714 = 3 + N("Secretária bilíngue"),
            13,
            RANDBETWEEN(5,COUNT(Name!$A:$A) + 1)
        )
    )
)</f>
        <v>350</v>
      </c>
      <c r="E1714" s="7" t="str">
        <f ca="1" xml:space="preserve">
VLOOKUP(
  $D1714,
  Name!$A:$B,
  2,
  FALSE
)
&amp; " " &amp;
IF($B1714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Vanessa Ferrão Galli</v>
      </c>
      <c r="F1714" s="7">
        <v>2</v>
      </c>
      <c r="G1714" s="7" cm="1">
        <f t="array" aca="1" ref="G1714" ca="1">INDEX(States!$B:$B,RANDBETWEEN(2,COUNTA(States!$A:$A)),1)</f>
        <v>21</v>
      </c>
      <c r="H1714" s="7" t="str">
        <f ca="1">VLOOKUP($D1714,Name!$A:$C,3,FALSE)</f>
        <v>F</v>
      </c>
      <c r="I1714" s="7" cm="1">
        <f t="array" aca="1" ref="I1714" ca="1">INDEX('Marital status'!$A:$A,RANDBETWEEN(2,COUNTA('Marital status'!$A:$A)),1)</f>
        <v>4</v>
      </c>
      <c r="J1714" s="7">
        <f t="shared" ca="1" si="315"/>
        <v>2</v>
      </c>
      <c r="K1714" s="8">
        <f t="shared" ca="1" si="316"/>
        <v>33356</v>
      </c>
      <c r="L1714" s="6">
        <f t="shared" ca="1" si="317"/>
        <v>4</v>
      </c>
      <c r="M1714" s="7">
        <f ca="1" xml:space="preserve">
  IF(OR($N1714 = 2, $N1714 = 3, $N1714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714" s="6">
        <f t="shared" ca="1" si="318"/>
        <v>7</v>
      </c>
      <c r="O1714" s="6" t="e">
        <f t="shared" ca="1" si="319"/>
        <v>#N/A</v>
      </c>
      <c r="P1714" s="8">
        <f t="shared" ca="1" si="320"/>
        <v>39087</v>
      </c>
      <c r="Q1714" s="6">
        <f ca="1">RANDBETWEEN(2,COUNTA('Recruitment source'!$A:$A))</f>
        <v>2</v>
      </c>
      <c r="R1714" s="8" t="e">
        <f t="shared" ca="1" si="321"/>
        <v>#N/A</v>
      </c>
      <c r="S1714" s="6" t="e">
        <f t="shared" ca="1" si="322"/>
        <v>#N/A</v>
      </c>
      <c r="T1714" s="6">
        <f t="shared" ca="1" si="312"/>
        <v>2</v>
      </c>
      <c r="U1714" s="1">
        <f t="shared" ca="1" si="323"/>
        <v>1005</v>
      </c>
    </row>
    <row r="1715" spans="1:21" x14ac:dyDescent="0.2">
      <c r="A1715" s="7" cm="1">
        <f t="array" aca="1" ref="A1715" ca="1">INDEX(Companies!$A:$A,RANDBETWEEN(2,COUNTA(Companies!$A:$A)),1)</f>
        <v>2</v>
      </c>
      <c r="B1715" s="5">
        <f t="shared" si="313"/>
        <v>1714</v>
      </c>
      <c r="C1715" s="6">
        <f t="shared" ca="1" si="314"/>
        <v>1</v>
      </c>
      <c r="D1715" s="7">
        <f ca="1">IF($B1715 = 1 + N("Presidente"),
    127,
    IF($B1715 = 2 + N("Vice-Presidente"),
        72,
        IF($B1715 = 3 + N("Secretária bilíngue"),
            13,
            RANDBETWEEN(5,COUNT(Name!$A:$A) + 1)
        )
    )
)</f>
        <v>124</v>
      </c>
      <c r="E1715" s="7" t="str">
        <f ca="1" xml:space="preserve">
VLOOKUP(
  $D1715,
  Name!$A:$B,
  2,
  FALSE
)
&amp; " " &amp;
IF($B1715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Emilly Saragoça Monteiro</v>
      </c>
      <c r="F1715" s="7">
        <v>2</v>
      </c>
      <c r="G1715" s="7" cm="1">
        <f t="array" aca="1" ref="G1715" ca="1">INDEX(States!$B:$B,RANDBETWEEN(2,COUNTA(States!$A:$A)),1)</f>
        <v>11</v>
      </c>
      <c r="H1715" s="7" t="str">
        <f ca="1">VLOOKUP($D1715,Name!$A:$C,3,FALSE)</f>
        <v>F</v>
      </c>
      <c r="I1715" s="7" cm="1">
        <f t="array" aca="1" ref="I1715" ca="1">INDEX('Marital status'!$A:$A,RANDBETWEEN(2,COUNTA('Marital status'!$A:$A)),1)</f>
        <v>3</v>
      </c>
      <c r="J1715" s="7">
        <f t="shared" ca="1" si="315"/>
        <v>3</v>
      </c>
      <c r="K1715" s="8">
        <f t="shared" ca="1" si="316"/>
        <v>35015</v>
      </c>
      <c r="L1715" s="6">
        <f t="shared" ca="1" si="317"/>
        <v>4</v>
      </c>
      <c r="M1715" s="7">
        <f ca="1" xml:space="preserve">
  IF(OR($N1715 = 2, $N1715 = 3, $N1715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715" s="6">
        <f t="shared" ca="1" si="318"/>
        <v>8</v>
      </c>
      <c r="O1715" s="6">
        <f t="shared" ca="1" si="319"/>
        <v>3</v>
      </c>
      <c r="P1715" s="8">
        <f t="shared" ca="1" si="320"/>
        <v>39584</v>
      </c>
      <c r="Q1715" s="6">
        <f ca="1">RANDBETWEEN(2,COUNTA('Recruitment source'!$A:$A))</f>
        <v>7</v>
      </c>
      <c r="R1715" s="8" t="e">
        <f t="shared" ca="1" si="321"/>
        <v>#N/A</v>
      </c>
      <c r="S1715" s="6" t="e">
        <f t="shared" ca="1" si="322"/>
        <v>#N/A</v>
      </c>
      <c r="T1715" s="6">
        <f t="shared" ca="1" si="312"/>
        <v>2</v>
      </c>
      <c r="U1715" s="1">
        <f t="shared" ca="1" si="323"/>
        <v>2000</v>
      </c>
    </row>
    <row r="1716" spans="1:21" x14ac:dyDescent="0.2">
      <c r="A1716" s="7" cm="1">
        <f t="array" aca="1" ref="A1716" ca="1">INDEX(Companies!$A:$A,RANDBETWEEN(2,COUNTA(Companies!$A:$A)),1)</f>
        <v>2</v>
      </c>
      <c r="B1716" s="5">
        <f t="shared" si="313"/>
        <v>1715</v>
      </c>
      <c r="C1716" s="6">
        <f t="shared" ca="1" si="314"/>
        <v>1</v>
      </c>
      <c r="D1716" s="7">
        <f ca="1">IF($B1716 = 1 + N("Presidente"),
    127,
    IF($B1716 = 2 + N("Vice-Presidente"),
        72,
        IF($B1716 = 3 + N("Secretária bilíngue"),
            13,
            RANDBETWEEN(5,COUNT(Name!$A:$A) + 1)
        )
    )
)</f>
        <v>280</v>
      </c>
      <c r="E1716" s="7" t="str">
        <f ca="1" xml:space="preserve">
VLOOKUP(
  $D1716,
  Name!$A:$B,
  2,
  FALSE
)
&amp; " " &amp;
IF($B1716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Marianna Nascimento Pellegrini</v>
      </c>
      <c r="F1716" s="7">
        <v>2</v>
      </c>
      <c r="G1716" s="7" cm="1">
        <f t="array" aca="1" ref="G1716" ca="1">INDEX(States!$B:$B,RANDBETWEEN(2,COUNTA(States!$A:$A)),1)</f>
        <v>20</v>
      </c>
      <c r="H1716" s="7" t="str">
        <f ca="1">VLOOKUP($D1716,Name!$A:$C,3,FALSE)</f>
        <v>F</v>
      </c>
      <c r="I1716" s="7" cm="1">
        <f t="array" aca="1" ref="I1716" ca="1">INDEX('Marital status'!$A:$A,RANDBETWEEN(2,COUNTA('Marital status'!$A:$A)),1)</f>
        <v>5</v>
      </c>
      <c r="J1716" s="7">
        <f t="shared" ca="1" si="315"/>
        <v>4</v>
      </c>
      <c r="K1716" s="8">
        <f t="shared" ca="1" si="316"/>
        <v>24745</v>
      </c>
      <c r="L1716" s="6">
        <f t="shared" ca="1" si="317"/>
        <v>4</v>
      </c>
      <c r="M1716" s="7">
        <f ca="1" xml:space="preserve">
  IF(OR($N1716 = 2, $N1716 = 3, $N1716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716" s="6">
        <f t="shared" ca="1" si="318"/>
        <v>6</v>
      </c>
      <c r="O1716" s="6" t="e">
        <f t="shared" ca="1" si="319"/>
        <v>#N/A</v>
      </c>
      <c r="P1716" s="8">
        <f t="shared" ca="1" si="320"/>
        <v>36981</v>
      </c>
      <c r="Q1716" s="6">
        <f ca="1">RANDBETWEEN(2,COUNTA('Recruitment source'!$A:$A))</f>
        <v>12</v>
      </c>
      <c r="R1716" s="8" t="e">
        <f t="shared" ca="1" si="321"/>
        <v>#N/A</v>
      </c>
      <c r="S1716" s="6" t="e">
        <f t="shared" ca="1" si="322"/>
        <v>#N/A</v>
      </c>
      <c r="T1716" s="6">
        <f t="shared" ca="1" si="312"/>
        <v>4</v>
      </c>
      <c r="U1716" s="1">
        <f t="shared" ca="1" si="323"/>
        <v>805</v>
      </c>
    </row>
    <row r="1717" spans="1:21" x14ac:dyDescent="0.2">
      <c r="A1717" s="7" cm="1">
        <f t="array" aca="1" ref="A1717" ca="1">INDEX(Companies!$A:$A,RANDBETWEEN(2,COUNTA(Companies!$A:$A)),1)</f>
        <v>2</v>
      </c>
      <c r="B1717" s="5">
        <f t="shared" si="313"/>
        <v>1716</v>
      </c>
      <c r="C1717" s="6">
        <f t="shared" ca="1" si="314"/>
        <v>1</v>
      </c>
      <c r="D1717" s="7">
        <f ca="1">IF($B1717 = 1 + N("Presidente"),
    127,
    IF($B1717 = 2 + N("Vice-Presidente"),
        72,
        IF($B1717 = 3 + N("Secretária bilíngue"),
            13,
            RANDBETWEEN(5,COUNT(Name!$A:$A) + 1)
        )
    )
)</f>
        <v>144</v>
      </c>
      <c r="E1717" s="7" t="str">
        <f ca="1" xml:space="preserve">
VLOOKUP(
  $D1717,
  Name!$A:$B,
  2,
  FALSE
)
&amp; " " &amp;
IF($B1717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Flávio Pimenta Esteves</v>
      </c>
      <c r="F1717" s="7">
        <v>2</v>
      </c>
      <c r="G1717" s="7" cm="1">
        <f t="array" aca="1" ref="G1717" ca="1">INDEX(States!$B:$B,RANDBETWEEN(2,COUNTA(States!$A:$A)),1)</f>
        <v>10</v>
      </c>
      <c r="H1717" s="7" t="str">
        <f ca="1">VLOOKUP($D1717,Name!$A:$C,3,FALSE)</f>
        <v>M</v>
      </c>
      <c r="I1717" s="7" cm="1">
        <f t="array" aca="1" ref="I1717" ca="1">INDEX('Marital status'!$A:$A,RANDBETWEEN(2,COUNTA('Marital status'!$A:$A)),1)</f>
        <v>2</v>
      </c>
      <c r="J1717" s="7">
        <f t="shared" ca="1" si="315"/>
        <v>2</v>
      </c>
      <c r="K1717" s="8">
        <f t="shared" ca="1" si="316"/>
        <v>35385</v>
      </c>
      <c r="L1717" s="6">
        <f t="shared" ca="1" si="317"/>
        <v>4</v>
      </c>
      <c r="M1717" s="7">
        <f ca="1" xml:space="preserve">
  IF(OR($N1717 = 2, $N1717 = 3, $N1717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717" s="6">
        <f t="shared" ca="1" si="318"/>
        <v>8</v>
      </c>
      <c r="O1717" s="6">
        <f t="shared" ca="1" si="319"/>
        <v>2</v>
      </c>
      <c r="P1717" s="8">
        <f t="shared" ca="1" si="320"/>
        <v>42854</v>
      </c>
      <c r="Q1717" s="6">
        <f ca="1">RANDBETWEEN(2,COUNTA('Recruitment source'!$A:$A))</f>
        <v>9</v>
      </c>
      <c r="R1717" s="8" t="e">
        <f t="shared" ca="1" si="321"/>
        <v>#N/A</v>
      </c>
      <c r="S1717" s="6" t="e">
        <f t="shared" ca="1" si="322"/>
        <v>#N/A</v>
      </c>
      <c r="T1717" s="6">
        <f t="shared" ca="1" si="312"/>
        <v>4</v>
      </c>
      <c r="U1717" s="1">
        <f t="shared" ca="1" si="323"/>
        <v>2080</v>
      </c>
    </row>
    <row r="1718" spans="1:21" x14ac:dyDescent="0.2">
      <c r="A1718" s="7" cm="1">
        <f t="array" aca="1" ref="A1718" ca="1">INDEX(Companies!$A:$A,RANDBETWEEN(2,COUNTA(Companies!$A:$A)),1)</f>
        <v>2</v>
      </c>
      <c r="B1718" s="5">
        <f t="shared" si="313"/>
        <v>1717</v>
      </c>
      <c r="C1718" s="6">
        <f t="shared" ca="1" si="314"/>
        <v>1</v>
      </c>
      <c r="D1718" s="7">
        <f ca="1">IF($B1718 = 1 + N("Presidente"),
    127,
    IF($B1718 = 2 + N("Vice-Presidente"),
        72,
        IF($B1718 = 3 + N("Secretária bilíngue"),
            13,
            RANDBETWEEN(5,COUNT(Name!$A:$A) + 1)
        )
    )
)</f>
        <v>207</v>
      </c>
      <c r="E1718" s="7" t="str">
        <f ca="1" xml:space="preserve">
VLOOKUP(
  $D1718,
  Name!$A:$B,
  2,
  FALSE
)
&amp; " " &amp;
IF($B1718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Kamille Barbieri Pinto</v>
      </c>
      <c r="F1718" s="7">
        <v>2</v>
      </c>
      <c r="G1718" s="7" cm="1">
        <f t="array" aca="1" ref="G1718" ca="1">INDEX(States!$B:$B,RANDBETWEEN(2,COUNTA(States!$A:$A)),1)</f>
        <v>3</v>
      </c>
      <c r="H1718" s="7" t="str">
        <f ca="1">VLOOKUP($D1718,Name!$A:$C,3,FALSE)</f>
        <v>F</v>
      </c>
      <c r="I1718" s="7" cm="1">
        <f t="array" aca="1" ref="I1718" ca="1">INDEX('Marital status'!$A:$A,RANDBETWEEN(2,COUNTA('Marital status'!$A:$A)),1)</f>
        <v>2</v>
      </c>
      <c r="J1718" s="7">
        <f t="shared" ca="1" si="315"/>
        <v>2</v>
      </c>
      <c r="K1718" s="8">
        <f t="shared" ca="1" si="316"/>
        <v>35121</v>
      </c>
      <c r="L1718" s="6">
        <f t="shared" ca="1" si="317"/>
        <v>4</v>
      </c>
      <c r="M1718" s="7">
        <f ca="1" xml:space="preserve">
  IF(OR($N1718 = 2, $N1718 = 3, $N1718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718" s="6">
        <f t="shared" ca="1" si="318"/>
        <v>7</v>
      </c>
      <c r="O1718" s="6" t="e">
        <f t="shared" ca="1" si="319"/>
        <v>#N/A</v>
      </c>
      <c r="P1718" s="8">
        <f t="shared" ca="1" si="320"/>
        <v>37975</v>
      </c>
      <c r="Q1718" s="6">
        <f ca="1">RANDBETWEEN(2,COUNTA('Recruitment source'!$A:$A))</f>
        <v>7</v>
      </c>
      <c r="R1718" s="8" t="e">
        <f t="shared" ca="1" si="321"/>
        <v>#N/A</v>
      </c>
      <c r="S1718" s="6" t="e">
        <f t="shared" ca="1" si="322"/>
        <v>#N/A</v>
      </c>
      <c r="T1718" s="6">
        <f t="shared" ca="1" si="312"/>
        <v>4</v>
      </c>
      <c r="U1718" s="1">
        <f t="shared" ca="1" si="323"/>
        <v>1005</v>
      </c>
    </row>
    <row r="1719" spans="1:21" x14ac:dyDescent="0.2">
      <c r="A1719" s="7" cm="1">
        <f t="array" aca="1" ref="A1719" ca="1">INDEX(Companies!$A:$A,RANDBETWEEN(2,COUNTA(Companies!$A:$A)),1)</f>
        <v>2</v>
      </c>
      <c r="B1719" s="5">
        <f t="shared" si="313"/>
        <v>1718</v>
      </c>
      <c r="C1719" s="6">
        <f t="shared" ca="1" si="314"/>
        <v>1</v>
      </c>
      <c r="D1719" s="7">
        <f ca="1">IF($B1719 = 1 + N("Presidente"),
    127,
    IF($B1719 = 2 + N("Vice-Presidente"),
        72,
        IF($B1719 = 3 + N("Secretária bilíngue"),
            13,
            RANDBETWEEN(5,COUNT(Name!$A:$A) + 1)
        )
    )
)</f>
        <v>109</v>
      </c>
      <c r="E1719" s="7" t="str">
        <f ca="1" xml:space="preserve">
VLOOKUP(
  $D1719,
  Name!$A:$B,
  2,
  FALSE
)
&amp; " " &amp;
IF($B1719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Luiz Moretti Barroso</v>
      </c>
      <c r="F1719" s="7">
        <v>2</v>
      </c>
      <c r="G1719" s="7" cm="1">
        <f t="array" aca="1" ref="G1719" ca="1">INDEX(States!$B:$B,RANDBETWEEN(2,COUNTA(States!$A:$A)),1)</f>
        <v>20</v>
      </c>
      <c r="H1719" s="7" t="str">
        <f ca="1">VLOOKUP($D1719,Name!$A:$C,3,FALSE)</f>
        <v>M</v>
      </c>
      <c r="I1719" s="7" cm="1">
        <f t="array" aca="1" ref="I1719" ca="1">INDEX('Marital status'!$A:$A,RANDBETWEEN(2,COUNTA('Marital status'!$A:$A)),1)</f>
        <v>5</v>
      </c>
      <c r="J1719" s="7">
        <f t="shared" ca="1" si="315"/>
        <v>2</v>
      </c>
      <c r="K1719" s="8">
        <f t="shared" ca="1" si="316"/>
        <v>33888</v>
      </c>
      <c r="L1719" s="6">
        <f t="shared" ca="1" si="317"/>
        <v>5</v>
      </c>
      <c r="M1719" s="7">
        <f ca="1" xml:space="preserve">
  IF(OR($N1719 = 2, $N1719 = 3, $N1719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719" s="6">
        <f t="shared" ca="1" si="318"/>
        <v>8</v>
      </c>
      <c r="O1719" s="6">
        <f t="shared" ca="1" si="319"/>
        <v>4</v>
      </c>
      <c r="P1719" s="8">
        <f t="shared" ca="1" si="320"/>
        <v>43435</v>
      </c>
      <c r="Q1719" s="6">
        <f ca="1">RANDBETWEEN(2,COUNTA('Recruitment source'!$A:$A))</f>
        <v>10</v>
      </c>
      <c r="R1719" s="8" t="e">
        <f t="shared" ca="1" si="321"/>
        <v>#N/A</v>
      </c>
      <c r="S1719" s="6" t="e">
        <f t="shared" ca="1" si="322"/>
        <v>#N/A</v>
      </c>
      <c r="T1719" s="6">
        <f t="shared" ca="1" si="312"/>
        <v>2</v>
      </c>
      <c r="U1719" s="1">
        <f t="shared" ca="1" si="323"/>
        <v>2000</v>
      </c>
    </row>
    <row r="1720" spans="1:21" x14ac:dyDescent="0.2">
      <c r="A1720" s="7" cm="1">
        <f t="array" aca="1" ref="A1720" ca="1">INDEX(Companies!$A:$A,RANDBETWEEN(2,COUNTA(Companies!$A:$A)),1)</f>
        <v>2</v>
      </c>
      <c r="B1720" s="5">
        <f t="shared" si="313"/>
        <v>1719</v>
      </c>
      <c r="C1720" s="6">
        <f t="shared" ca="1" si="314"/>
        <v>1</v>
      </c>
      <c r="D1720" s="7">
        <f ca="1">IF($B1720 = 1 + N("Presidente"),
    127,
    IF($B1720 = 2 + N("Vice-Presidente"),
        72,
        IF($B1720 = 3 + N("Secretária bilíngue"),
            13,
            RANDBETWEEN(5,COUNT(Name!$A:$A) + 1)
        )
    )
)</f>
        <v>149</v>
      </c>
      <c r="E1720" s="7" t="str">
        <f ca="1" xml:space="preserve">
VLOOKUP(
  $D1720,
  Name!$A:$B,
  2,
  FALSE
)
&amp; " " &amp;
IF($B1720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Gabriel Marino Resende</v>
      </c>
      <c r="F1720" s="7">
        <v>2</v>
      </c>
      <c r="G1720" s="7" cm="1">
        <f t="array" aca="1" ref="G1720" ca="1">INDEX(States!$B:$B,RANDBETWEEN(2,COUNTA(States!$A:$A)),1)</f>
        <v>14</v>
      </c>
      <c r="H1720" s="7" t="str">
        <f ca="1">VLOOKUP($D1720,Name!$A:$C,3,FALSE)</f>
        <v>M</v>
      </c>
      <c r="I1720" s="7" cm="1">
        <f t="array" aca="1" ref="I1720" ca="1">INDEX('Marital status'!$A:$A,RANDBETWEEN(2,COUNTA('Marital status'!$A:$A)),1)</f>
        <v>6</v>
      </c>
      <c r="J1720" s="7">
        <f t="shared" ca="1" si="315"/>
        <v>2</v>
      </c>
      <c r="K1720" s="8">
        <f t="shared" ca="1" si="316"/>
        <v>23298</v>
      </c>
      <c r="L1720" s="6">
        <f t="shared" ca="1" si="317"/>
        <v>4</v>
      </c>
      <c r="M1720" s="7">
        <f ca="1" xml:space="preserve">
  IF(OR($N1720 = 2, $N1720 = 3, $N1720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720" s="6">
        <f t="shared" ca="1" si="318"/>
        <v>6</v>
      </c>
      <c r="O1720" s="6" t="e">
        <f t="shared" ca="1" si="319"/>
        <v>#N/A</v>
      </c>
      <c r="P1720" s="8">
        <f t="shared" ca="1" si="320"/>
        <v>37651</v>
      </c>
      <c r="Q1720" s="6">
        <f ca="1">RANDBETWEEN(2,COUNTA('Recruitment source'!$A:$A))</f>
        <v>6</v>
      </c>
      <c r="R1720" s="8" t="e">
        <f t="shared" ca="1" si="321"/>
        <v>#N/A</v>
      </c>
      <c r="S1720" s="6" t="e">
        <f t="shared" ca="1" si="322"/>
        <v>#N/A</v>
      </c>
      <c r="T1720" s="6">
        <f t="shared" ca="1" si="312"/>
        <v>4</v>
      </c>
      <c r="U1720" s="1">
        <f t="shared" ca="1" si="323"/>
        <v>805</v>
      </c>
    </row>
    <row r="1721" spans="1:21" x14ac:dyDescent="0.2">
      <c r="A1721" s="7" cm="1">
        <f t="array" aca="1" ref="A1721" ca="1">INDEX(Companies!$A:$A,RANDBETWEEN(2,COUNTA(Companies!$A:$A)),1)</f>
        <v>2</v>
      </c>
      <c r="B1721" s="5">
        <f t="shared" si="313"/>
        <v>1720</v>
      </c>
      <c r="C1721" s="6">
        <f t="shared" ca="1" si="314"/>
        <v>1</v>
      </c>
      <c r="D1721" s="7">
        <f ca="1">IF($B1721 = 1 + N("Presidente"),
    127,
    IF($B1721 = 2 + N("Vice-Presidente"),
        72,
        IF($B1721 = 3 + N("Secretária bilíngue"),
            13,
            RANDBETWEEN(5,COUNT(Name!$A:$A) + 1)
        )
    )
)</f>
        <v>182</v>
      </c>
      <c r="E1721" s="7" t="str">
        <f ca="1" xml:space="preserve">
VLOOKUP(
  $D1721,
  Name!$A:$B,
  2,
  FALSE
)
&amp; " " &amp;
IF($B1721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Joana Greco Almeida</v>
      </c>
      <c r="F1721" s="7">
        <v>2</v>
      </c>
      <c r="G1721" s="7" cm="1">
        <f t="array" aca="1" ref="G1721" ca="1">INDEX(States!$B:$B,RANDBETWEEN(2,COUNTA(States!$A:$A)),1)</f>
        <v>13</v>
      </c>
      <c r="H1721" s="7" t="str">
        <f ca="1">VLOOKUP($D1721,Name!$A:$C,3,FALSE)</f>
        <v>F</v>
      </c>
      <c r="I1721" s="7" cm="1">
        <f t="array" aca="1" ref="I1721" ca="1">INDEX('Marital status'!$A:$A,RANDBETWEEN(2,COUNTA('Marital status'!$A:$A)),1)</f>
        <v>5</v>
      </c>
      <c r="J1721" s="7">
        <f t="shared" ca="1" si="315"/>
        <v>2</v>
      </c>
      <c r="K1721" s="8">
        <f t="shared" ca="1" si="316"/>
        <v>33568</v>
      </c>
      <c r="L1721" s="6">
        <f t="shared" ca="1" si="317"/>
        <v>4</v>
      </c>
      <c r="M1721" s="7">
        <f ca="1" xml:space="preserve">
  IF(OR($N1721 = 2, $N1721 = 3, $N1721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721" s="6">
        <f t="shared" ca="1" si="318"/>
        <v>8</v>
      </c>
      <c r="O1721" s="6">
        <f t="shared" ca="1" si="319"/>
        <v>2</v>
      </c>
      <c r="P1721" s="8">
        <f t="shared" ca="1" si="320"/>
        <v>44742</v>
      </c>
      <c r="Q1721" s="6">
        <f ca="1">RANDBETWEEN(2,COUNTA('Recruitment source'!$A:$A))</f>
        <v>2</v>
      </c>
      <c r="R1721" s="8" t="e">
        <f t="shared" ca="1" si="321"/>
        <v>#N/A</v>
      </c>
      <c r="S1721" s="6" t="e">
        <f t="shared" ca="1" si="322"/>
        <v>#N/A</v>
      </c>
      <c r="T1721" s="6">
        <f t="shared" ca="1" si="312"/>
        <v>4</v>
      </c>
      <c r="U1721" s="1">
        <f t="shared" ca="1" si="323"/>
        <v>2000</v>
      </c>
    </row>
    <row r="1722" spans="1:21" x14ac:dyDescent="0.2">
      <c r="A1722" s="7" cm="1">
        <f t="array" aca="1" ref="A1722" ca="1">INDEX(Companies!$A:$A,RANDBETWEEN(2,COUNTA(Companies!$A:$A)),1)</f>
        <v>2</v>
      </c>
      <c r="B1722" s="5">
        <f t="shared" si="313"/>
        <v>1721</v>
      </c>
      <c r="C1722" s="6">
        <f t="shared" ca="1" si="314"/>
        <v>1</v>
      </c>
      <c r="D1722" s="7">
        <f ca="1">IF($B1722 = 1 + N("Presidente"),
    127,
    IF($B1722 = 2 + N("Vice-Presidente"),
        72,
        IF($B1722 = 3 + N("Secretária bilíngue"),
            13,
            RANDBETWEEN(5,COUNT(Name!$A:$A) + 1)
        )
    )
)</f>
        <v>316</v>
      </c>
      <c r="E1722" s="7" t="str">
        <f ca="1" xml:space="preserve">
VLOOKUP(
  $D1722,
  Name!$A:$B,
  2,
  FALSE
)
&amp; " " &amp;
IF($B1722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Madureira Moretti</v>
      </c>
      <c r="F1722" s="7">
        <v>2</v>
      </c>
      <c r="G1722" s="7" cm="1">
        <f t="array" aca="1" ref="G1722" ca="1">INDEX(States!$B:$B,RANDBETWEEN(2,COUNTA(States!$A:$A)),1)</f>
        <v>19</v>
      </c>
      <c r="H1722" s="7" t="str">
        <f ca="1">VLOOKUP($D1722,Name!$A:$C,3,FALSE)</f>
        <v>M</v>
      </c>
      <c r="I1722" s="7" cm="1">
        <f t="array" aca="1" ref="I1722" ca="1">INDEX('Marital status'!$A:$A,RANDBETWEEN(2,COUNTA('Marital status'!$A:$A)),1)</f>
        <v>3</v>
      </c>
      <c r="J1722" s="7">
        <f t="shared" ca="1" si="315"/>
        <v>3</v>
      </c>
      <c r="K1722" s="8">
        <f t="shared" ca="1" si="316"/>
        <v>32900</v>
      </c>
      <c r="L1722" s="6">
        <f t="shared" ca="1" si="317"/>
        <v>4</v>
      </c>
      <c r="M1722" s="7">
        <f ca="1" xml:space="preserve">
  IF(OR($N1722 = 2, $N1722 = 3, $N1722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722" s="6">
        <f t="shared" ca="1" si="318"/>
        <v>7</v>
      </c>
      <c r="O1722" s="6" t="e">
        <f t="shared" ca="1" si="319"/>
        <v>#N/A</v>
      </c>
      <c r="P1722" s="8">
        <f t="shared" ca="1" si="320"/>
        <v>38686</v>
      </c>
      <c r="Q1722" s="6">
        <f ca="1">RANDBETWEEN(2,COUNTA('Recruitment source'!$A:$A))</f>
        <v>3</v>
      </c>
      <c r="R1722" s="8" t="e">
        <f t="shared" ca="1" si="321"/>
        <v>#N/A</v>
      </c>
      <c r="S1722" s="6" t="e">
        <f t="shared" ca="1" si="322"/>
        <v>#N/A</v>
      </c>
      <c r="T1722" s="6">
        <f t="shared" ca="1" si="312"/>
        <v>3</v>
      </c>
      <c r="U1722" s="1">
        <f t="shared" ca="1" si="323"/>
        <v>1085</v>
      </c>
    </row>
    <row r="1723" spans="1:21" x14ac:dyDescent="0.2">
      <c r="A1723" s="7" cm="1">
        <f t="array" aca="1" ref="A1723" ca="1">INDEX(Companies!$A:$A,RANDBETWEEN(2,COUNTA(Companies!$A:$A)),1)</f>
        <v>2</v>
      </c>
      <c r="B1723" s="5">
        <f t="shared" si="313"/>
        <v>1722</v>
      </c>
      <c r="C1723" s="6">
        <f t="shared" ca="1" si="314"/>
        <v>1</v>
      </c>
      <c r="D1723" s="7">
        <f ca="1">IF($B1723 = 1 + N("Presidente"),
    127,
    IF($B1723 = 2 + N("Vice-Presidente"),
        72,
        IF($B1723 = 3 + N("Secretária bilíngue"),
            13,
            RANDBETWEEN(5,COUNT(Name!$A:$A) + 1)
        )
    )
)</f>
        <v>191</v>
      </c>
      <c r="E1723" s="7" t="str">
        <f ca="1" xml:space="preserve">
VLOOKUP(
  $D1723,
  Name!$A:$B,
  2,
  FALSE
)
&amp; " " &amp;
IF($B1723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Paulo Esteves Chaves</v>
      </c>
      <c r="F1723" s="7">
        <v>2</v>
      </c>
      <c r="G1723" s="7" cm="1">
        <f t="array" aca="1" ref="G1723" ca="1">INDEX(States!$B:$B,RANDBETWEEN(2,COUNTA(States!$A:$A)),1)</f>
        <v>2</v>
      </c>
      <c r="H1723" s="7" t="str">
        <f ca="1">VLOOKUP($D1723,Name!$A:$C,3,FALSE)</f>
        <v>M</v>
      </c>
      <c r="I1723" s="7" cm="1">
        <f t="array" aca="1" ref="I1723" ca="1">INDEX('Marital status'!$A:$A,RANDBETWEEN(2,COUNTA('Marital status'!$A:$A)),1)</f>
        <v>6</v>
      </c>
      <c r="J1723" s="7">
        <f t="shared" ca="1" si="315"/>
        <v>2</v>
      </c>
      <c r="K1723" s="8">
        <f t="shared" ca="1" si="316"/>
        <v>33222</v>
      </c>
      <c r="L1723" s="6">
        <f t="shared" ca="1" si="317"/>
        <v>5</v>
      </c>
      <c r="M1723" s="7">
        <f ca="1" xml:space="preserve">
  IF(OR($N1723 = 2, $N1723 = 3, $N1723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723" s="6">
        <f t="shared" ca="1" si="318"/>
        <v>8</v>
      </c>
      <c r="O1723" s="6">
        <f t="shared" ca="1" si="319"/>
        <v>3</v>
      </c>
      <c r="P1723" s="8">
        <f t="shared" ca="1" si="320"/>
        <v>39842</v>
      </c>
      <c r="Q1723" s="6">
        <f ca="1">RANDBETWEEN(2,COUNTA('Recruitment source'!$A:$A))</f>
        <v>5</v>
      </c>
      <c r="R1723" s="8" t="e">
        <f t="shared" ca="1" si="321"/>
        <v>#N/A</v>
      </c>
      <c r="S1723" s="6" t="e">
        <f t="shared" ca="1" si="322"/>
        <v>#N/A</v>
      </c>
      <c r="T1723" s="6">
        <f t="shared" ca="1" si="312"/>
        <v>3</v>
      </c>
      <c r="U1723" s="1">
        <f t="shared" ca="1" si="323"/>
        <v>2100</v>
      </c>
    </row>
    <row r="1724" spans="1:21" x14ac:dyDescent="0.2">
      <c r="A1724" s="7" cm="1">
        <f t="array" aca="1" ref="A1724" ca="1">INDEX(Companies!$A:$A,RANDBETWEEN(2,COUNTA(Companies!$A:$A)),1)</f>
        <v>2</v>
      </c>
      <c r="B1724" s="5">
        <f t="shared" si="313"/>
        <v>1723</v>
      </c>
      <c r="C1724" s="6">
        <f t="shared" ca="1" si="314"/>
        <v>1</v>
      </c>
      <c r="D1724" s="7">
        <f ca="1">IF($B1724 = 1 + N("Presidente"),
    127,
    IF($B1724 = 2 + N("Vice-Presidente"),
        72,
        IF($B1724 = 3 + N("Secretária bilíngue"),
            13,
            RANDBETWEEN(5,COUNT(Name!$A:$A) + 1)
        )
    )
)</f>
        <v>323</v>
      </c>
      <c r="E1724" s="7" t="str">
        <f ca="1" xml:space="preserve">
VLOOKUP(
  $D1724,
  Name!$A:$B,
  2,
  FALSE
)
&amp; " " &amp;
IF($B1724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Rachel Vieira Reis</v>
      </c>
      <c r="F1724" s="7">
        <v>2</v>
      </c>
      <c r="G1724" s="7" cm="1">
        <f t="array" aca="1" ref="G1724" ca="1">INDEX(States!$B:$B,RANDBETWEEN(2,COUNTA(States!$A:$A)),1)</f>
        <v>5</v>
      </c>
      <c r="H1724" s="7" t="str">
        <f ca="1">VLOOKUP($D1724,Name!$A:$C,3,FALSE)</f>
        <v>F</v>
      </c>
      <c r="I1724" s="7" cm="1">
        <f t="array" aca="1" ref="I1724" ca="1">INDEX('Marital status'!$A:$A,RANDBETWEEN(2,COUNTA('Marital status'!$A:$A)),1)</f>
        <v>5</v>
      </c>
      <c r="J1724" s="7">
        <f t="shared" ca="1" si="315"/>
        <v>2</v>
      </c>
      <c r="K1724" s="8">
        <f t="shared" ca="1" si="316"/>
        <v>30480</v>
      </c>
      <c r="L1724" s="6">
        <f t="shared" ca="1" si="317"/>
        <v>4</v>
      </c>
      <c r="M1724" s="7">
        <f ca="1" xml:space="preserve">
  IF(OR($N1724 = 2, $N1724 = 3, $N1724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724" s="6">
        <f t="shared" ca="1" si="318"/>
        <v>6</v>
      </c>
      <c r="O1724" s="6" t="e">
        <f t="shared" ca="1" si="319"/>
        <v>#N/A</v>
      </c>
      <c r="P1724" s="8">
        <f t="shared" ca="1" si="320"/>
        <v>40454</v>
      </c>
      <c r="Q1724" s="6">
        <f ca="1">RANDBETWEEN(2,COUNTA('Recruitment source'!$A:$A))</f>
        <v>12</v>
      </c>
      <c r="R1724" s="8" t="e">
        <f t="shared" ca="1" si="321"/>
        <v>#N/A</v>
      </c>
      <c r="S1724" s="6" t="e">
        <f t="shared" ca="1" si="322"/>
        <v>#N/A</v>
      </c>
      <c r="T1724" s="6">
        <f t="shared" ca="1" si="312"/>
        <v>3</v>
      </c>
      <c r="U1724" s="1">
        <f t="shared" ca="1" si="323"/>
        <v>805</v>
      </c>
    </row>
    <row r="1725" spans="1:21" x14ac:dyDescent="0.2">
      <c r="A1725" s="7" cm="1">
        <f t="array" aca="1" ref="A1725" ca="1">INDEX(Companies!$A:$A,RANDBETWEEN(2,COUNTA(Companies!$A:$A)),1)</f>
        <v>2</v>
      </c>
      <c r="B1725" s="5">
        <f t="shared" si="313"/>
        <v>1724</v>
      </c>
      <c r="C1725" s="6">
        <f t="shared" ca="1" si="314"/>
        <v>1</v>
      </c>
      <c r="D1725" s="7">
        <f ca="1">IF($B1725 = 1 + N("Presidente"),
    127,
    IF($B1725 = 2 + N("Vice-Presidente"),
        72,
        IF($B1725 = 3 + N("Secretária bilíngue"),
            13,
            RANDBETWEEN(5,COUNT(Name!$A:$A) + 1)
        )
    )
)</f>
        <v>259</v>
      </c>
      <c r="E1725" s="7" t="str">
        <f ca="1" xml:space="preserve">
VLOOKUP(
  $D1725,
  Name!$A:$B,
  2,
  FALSE
)
&amp; " " &amp;
IF($B1725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Carolina Miranda Figo</v>
      </c>
      <c r="F1725" s="7">
        <v>2</v>
      </c>
      <c r="G1725" s="7" cm="1">
        <f t="array" aca="1" ref="G1725" ca="1">INDEX(States!$B:$B,RANDBETWEEN(2,COUNTA(States!$A:$A)),1)</f>
        <v>6</v>
      </c>
      <c r="H1725" s="7" t="str">
        <f ca="1">VLOOKUP($D1725,Name!$A:$C,3,FALSE)</f>
        <v>F</v>
      </c>
      <c r="I1725" s="7" cm="1">
        <f t="array" aca="1" ref="I1725" ca="1">INDEX('Marital status'!$A:$A,RANDBETWEEN(2,COUNTA('Marital status'!$A:$A)),1)</f>
        <v>6</v>
      </c>
      <c r="J1725" s="7">
        <f t="shared" ca="1" si="315"/>
        <v>2</v>
      </c>
      <c r="K1725" s="8">
        <f t="shared" ca="1" si="316"/>
        <v>34494</v>
      </c>
      <c r="L1725" s="6">
        <f t="shared" ca="1" si="317"/>
        <v>5</v>
      </c>
      <c r="M1725" s="7">
        <f ca="1" xml:space="preserve">
  IF(OR($N1725 = 2, $N1725 = 3, $N1725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725" s="6">
        <f t="shared" ca="1" si="318"/>
        <v>8</v>
      </c>
      <c r="O1725" s="6">
        <f t="shared" ca="1" si="319"/>
        <v>3</v>
      </c>
      <c r="P1725" s="8">
        <f t="shared" ca="1" si="320"/>
        <v>40770</v>
      </c>
      <c r="Q1725" s="6">
        <f ca="1">RANDBETWEEN(2,COUNTA('Recruitment source'!$A:$A))</f>
        <v>9</v>
      </c>
      <c r="R1725" s="8" t="e">
        <f t="shared" ca="1" si="321"/>
        <v>#N/A</v>
      </c>
      <c r="S1725" s="6" t="e">
        <f t="shared" ca="1" si="322"/>
        <v>#N/A</v>
      </c>
      <c r="T1725" s="6">
        <f t="shared" ca="1" si="312"/>
        <v>3</v>
      </c>
      <c r="U1725" s="1">
        <f t="shared" ca="1" si="323"/>
        <v>2000</v>
      </c>
    </row>
    <row r="1726" spans="1:21" x14ac:dyDescent="0.2">
      <c r="A1726" s="7" cm="1">
        <f t="array" aca="1" ref="A1726" ca="1">INDEX(Companies!$A:$A,RANDBETWEEN(2,COUNTA(Companies!$A:$A)),1)</f>
        <v>2</v>
      </c>
      <c r="B1726" s="5">
        <f t="shared" si="313"/>
        <v>1725</v>
      </c>
      <c r="C1726" s="6">
        <f t="shared" ca="1" si="314"/>
        <v>1</v>
      </c>
      <c r="D1726" s="7">
        <f ca="1">IF($B1726 = 1 + N("Presidente"),
    127,
    IF($B1726 = 2 + N("Vice-Presidente"),
        72,
        IF($B1726 = 3 + N("Secretária bilíngue"),
            13,
            RANDBETWEEN(5,COUNT(Name!$A:$A) + 1)
        )
    )
)</f>
        <v>149</v>
      </c>
      <c r="E1726" s="7" t="str">
        <f ca="1" xml:space="preserve">
VLOOKUP(
  $D1726,
  Name!$A:$B,
  2,
  FALSE
)
&amp; " " &amp;
IF($B1726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Gabriel Paulista Rodrigues</v>
      </c>
      <c r="F1726" s="7">
        <v>2</v>
      </c>
      <c r="G1726" s="7" cm="1">
        <f t="array" aca="1" ref="G1726" ca="1">INDEX(States!$B:$B,RANDBETWEEN(2,COUNTA(States!$A:$A)),1)</f>
        <v>18</v>
      </c>
      <c r="H1726" s="7" t="str">
        <f ca="1">VLOOKUP($D1726,Name!$A:$C,3,FALSE)</f>
        <v>M</v>
      </c>
      <c r="I1726" s="7" cm="1">
        <f t="array" aca="1" ref="I1726" ca="1">INDEX('Marital status'!$A:$A,RANDBETWEEN(2,COUNTA('Marital status'!$A:$A)),1)</f>
        <v>5</v>
      </c>
      <c r="J1726" s="7">
        <f t="shared" ca="1" si="315"/>
        <v>2</v>
      </c>
      <c r="K1726" s="8">
        <f t="shared" ca="1" si="316"/>
        <v>29696</v>
      </c>
      <c r="L1726" s="6">
        <f t="shared" ca="1" si="317"/>
        <v>4</v>
      </c>
      <c r="M1726" s="7">
        <f ca="1" xml:space="preserve">
  IF(OR($N1726 = 2, $N1726 = 3, $N1726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726" s="6">
        <f t="shared" ca="1" si="318"/>
        <v>7</v>
      </c>
      <c r="O1726" s="6" t="e">
        <f t="shared" ca="1" si="319"/>
        <v>#N/A</v>
      </c>
      <c r="P1726" s="8">
        <f t="shared" ca="1" si="320"/>
        <v>40272</v>
      </c>
      <c r="Q1726" s="6">
        <f ca="1">RANDBETWEEN(2,COUNTA('Recruitment source'!$A:$A))</f>
        <v>9</v>
      </c>
      <c r="R1726" s="8" t="e">
        <f t="shared" ca="1" si="321"/>
        <v>#N/A</v>
      </c>
      <c r="S1726" s="6" t="e">
        <f t="shared" ca="1" si="322"/>
        <v>#N/A</v>
      </c>
      <c r="T1726" s="6">
        <f t="shared" ca="1" si="312"/>
        <v>5</v>
      </c>
      <c r="U1726" s="1">
        <f t="shared" ca="1" si="323"/>
        <v>1085</v>
      </c>
    </row>
    <row r="1727" spans="1:21" x14ac:dyDescent="0.2">
      <c r="A1727" s="7" cm="1">
        <f t="array" aca="1" ref="A1727" ca="1">INDEX(Companies!$A:$A,RANDBETWEEN(2,COUNTA(Companies!$A:$A)),1)</f>
        <v>2</v>
      </c>
      <c r="B1727" s="5">
        <f t="shared" si="313"/>
        <v>1726</v>
      </c>
      <c r="C1727" s="6">
        <f t="shared" ca="1" si="314"/>
        <v>1</v>
      </c>
      <c r="D1727" s="7">
        <f ca="1">IF($B1727 = 1 + N("Presidente"),
    127,
    IF($B1727 = 2 + N("Vice-Presidente"),
        72,
        IF($B1727 = 3 + N("Secretária bilíngue"),
            13,
            RANDBETWEEN(5,COUNT(Name!$A:$A) + 1)
        )
    )
)</f>
        <v>156</v>
      </c>
      <c r="E1727" s="7" t="str">
        <f ca="1" xml:space="preserve">
VLOOKUP(
  $D1727,
  Name!$A:$B,
  2,
  FALSE
)
&amp; " " &amp;
IF($B1727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Glória Maria Coelho Lopes</v>
      </c>
      <c r="F1727" s="7">
        <v>2</v>
      </c>
      <c r="G1727" s="7" cm="1">
        <f t="array" aca="1" ref="G1727" ca="1">INDEX(States!$B:$B,RANDBETWEEN(2,COUNTA(States!$A:$A)),1)</f>
        <v>21</v>
      </c>
      <c r="H1727" s="7" t="str">
        <f ca="1">VLOOKUP($D1727,Name!$A:$C,3,FALSE)</f>
        <v>F</v>
      </c>
      <c r="I1727" s="7" cm="1">
        <f t="array" aca="1" ref="I1727" ca="1">INDEX('Marital status'!$A:$A,RANDBETWEEN(2,COUNTA('Marital status'!$A:$A)),1)</f>
        <v>2</v>
      </c>
      <c r="J1727" s="7">
        <f t="shared" ca="1" si="315"/>
        <v>4</v>
      </c>
      <c r="K1727" s="8">
        <f t="shared" ca="1" si="316"/>
        <v>37720</v>
      </c>
      <c r="L1727" s="6">
        <f t="shared" ca="1" si="317"/>
        <v>5</v>
      </c>
      <c r="M1727" s="7">
        <f ca="1" xml:space="preserve">
  IF(OR($N1727 = 2, $N1727 = 3, $N1727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727" s="6">
        <f t="shared" ca="1" si="318"/>
        <v>8</v>
      </c>
      <c r="O1727" s="6">
        <f t="shared" ca="1" si="319"/>
        <v>2</v>
      </c>
      <c r="P1727" s="8">
        <f t="shared" ca="1" si="320"/>
        <v>38101</v>
      </c>
      <c r="Q1727" s="6">
        <f ca="1">RANDBETWEEN(2,COUNTA('Recruitment source'!$A:$A))</f>
        <v>11</v>
      </c>
      <c r="R1727" s="8" t="e">
        <f t="shared" ca="1" si="321"/>
        <v>#N/A</v>
      </c>
      <c r="S1727" s="6" t="e">
        <f t="shared" ca="1" si="322"/>
        <v>#N/A</v>
      </c>
      <c r="T1727" s="6">
        <f t="shared" ca="1" si="312"/>
        <v>3</v>
      </c>
      <c r="U1727" s="1">
        <f t="shared" ca="1" si="323"/>
        <v>2000</v>
      </c>
    </row>
    <row r="1728" spans="1:21" x14ac:dyDescent="0.2">
      <c r="A1728" s="7" cm="1">
        <f t="array" aca="1" ref="A1728" ca="1">INDEX(Companies!$A:$A,RANDBETWEEN(2,COUNTA(Companies!$A:$A)),1)</f>
        <v>2</v>
      </c>
      <c r="B1728" s="5">
        <f t="shared" si="313"/>
        <v>1727</v>
      </c>
      <c r="C1728" s="6">
        <f t="shared" ca="1" si="314"/>
        <v>1</v>
      </c>
      <c r="D1728" s="7">
        <f ca="1">IF($B1728 = 1 + N("Presidente"),
    127,
    IF($B1728 = 2 + N("Vice-Presidente"),
        72,
        IF($B1728 = 3 + N("Secretária bilíngue"),
            13,
            RANDBETWEEN(5,COUNT(Name!$A:$A) + 1)
        )
    )
)</f>
        <v>213</v>
      </c>
      <c r="E1728" s="7" t="str">
        <f ca="1" xml:space="preserve">
VLOOKUP(
  $D1728,
  Name!$A:$B,
  2,
  FALSE
)
&amp; " " &amp;
IF($B1728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Kelvin Farias Poeta</v>
      </c>
      <c r="F1728" s="7">
        <v>2</v>
      </c>
      <c r="G1728" s="7" cm="1">
        <f t="array" aca="1" ref="G1728" ca="1">INDEX(States!$B:$B,RANDBETWEEN(2,COUNTA(States!$A:$A)),1)</f>
        <v>19</v>
      </c>
      <c r="H1728" s="7" t="str">
        <f ca="1">VLOOKUP($D1728,Name!$A:$C,3,FALSE)</f>
        <v>M</v>
      </c>
      <c r="I1728" s="7" cm="1">
        <f t="array" aca="1" ref="I1728" ca="1">INDEX('Marital status'!$A:$A,RANDBETWEEN(2,COUNTA('Marital status'!$A:$A)),1)</f>
        <v>4</v>
      </c>
      <c r="J1728" s="7">
        <f t="shared" ca="1" si="315"/>
        <v>2</v>
      </c>
      <c r="K1728" s="8">
        <f t="shared" ca="1" si="316"/>
        <v>22407</v>
      </c>
      <c r="L1728" s="6">
        <f t="shared" ca="1" si="317"/>
        <v>4</v>
      </c>
      <c r="M1728" s="7">
        <f ca="1" xml:space="preserve">
  IF(OR($N1728 = 2, $N1728 = 3, $N1728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728" s="6">
        <f t="shared" ca="1" si="318"/>
        <v>6</v>
      </c>
      <c r="O1728" s="6" t="e">
        <f t="shared" ca="1" si="319"/>
        <v>#N/A</v>
      </c>
      <c r="P1728" s="8">
        <f t="shared" ca="1" si="320"/>
        <v>44072</v>
      </c>
      <c r="Q1728" s="6">
        <f ca="1">RANDBETWEEN(2,COUNTA('Recruitment source'!$A:$A))</f>
        <v>7</v>
      </c>
      <c r="R1728" s="8" t="e">
        <f t="shared" ca="1" si="321"/>
        <v>#N/A</v>
      </c>
      <c r="S1728" s="6" t="e">
        <f t="shared" ca="1" si="322"/>
        <v>#N/A</v>
      </c>
      <c r="T1728" s="6">
        <f t="shared" ca="1" si="312"/>
        <v>4</v>
      </c>
      <c r="U1728" s="1">
        <f t="shared" ca="1" si="323"/>
        <v>805</v>
      </c>
    </row>
    <row r="1729" spans="1:21" x14ac:dyDescent="0.2">
      <c r="A1729" s="7" cm="1">
        <f t="array" aca="1" ref="A1729" ca="1">INDEX(Companies!$A:$A,RANDBETWEEN(2,COUNTA(Companies!$A:$A)),1)</f>
        <v>2</v>
      </c>
      <c r="B1729" s="5">
        <f t="shared" si="313"/>
        <v>1728</v>
      </c>
      <c r="C1729" s="6">
        <f t="shared" ca="1" si="314"/>
        <v>1</v>
      </c>
      <c r="D1729" s="7">
        <f ca="1">IF($B1729 = 1 + N("Presidente"),
    127,
    IF($B1729 = 2 + N("Vice-Presidente"),
        72,
        IF($B1729 = 3 + N("Secretária bilíngue"),
            13,
            RANDBETWEEN(5,COUNT(Name!$A:$A) + 1)
        )
    )
)</f>
        <v>341</v>
      </c>
      <c r="E1729" s="7" t="str">
        <f ca="1" xml:space="preserve">
VLOOKUP(
  $D1729,
  Name!$A:$B,
  2,
  FALSE
)
&amp; " " &amp;
IF($B1729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Theo Noronha Ramos</v>
      </c>
      <c r="F1729" s="7">
        <v>2</v>
      </c>
      <c r="G1729" s="7" cm="1">
        <f t="array" aca="1" ref="G1729" ca="1">INDEX(States!$B:$B,RANDBETWEEN(2,COUNTA(States!$A:$A)),1)</f>
        <v>14</v>
      </c>
      <c r="H1729" s="7" t="str">
        <f ca="1">VLOOKUP($D1729,Name!$A:$C,3,FALSE)</f>
        <v>M</v>
      </c>
      <c r="I1729" s="7" cm="1">
        <f t="array" aca="1" ref="I1729" ca="1">INDEX('Marital status'!$A:$A,RANDBETWEEN(2,COUNTA('Marital status'!$A:$A)),1)</f>
        <v>3</v>
      </c>
      <c r="J1729" s="7">
        <f t="shared" ca="1" si="315"/>
        <v>5</v>
      </c>
      <c r="K1729" s="8">
        <f t="shared" ca="1" si="316"/>
        <v>32937</v>
      </c>
      <c r="L1729" s="6">
        <f t="shared" ca="1" si="317"/>
        <v>4</v>
      </c>
      <c r="M1729" s="7">
        <f ca="1" xml:space="preserve">
  IF(OR($N1729 = 2, $N1729 = 3, $N1729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729" s="6">
        <f t="shared" ca="1" si="318"/>
        <v>8</v>
      </c>
      <c r="O1729" s="6">
        <f t="shared" ca="1" si="319"/>
        <v>2</v>
      </c>
      <c r="P1729" s="8">
        <f t="shared" ca="1" si="320"/>
        <v>42715</v>
      </c>
      <c r="Q1729" s="6">
        <f ca="1">RANDBETWEEN(2,COUNTA('Recruitment source'!$A:$A))</f>
        <v>9</v>
      </c>
      <c r="R1729" s="8" t="e">
        <f t="shared" ca="1" si="321"/>
        <v>#N/A</v>
      </c>
      <c r="S1729" s="6" t="e">
        <f t="shared" ca="1" si="322"/>
        <v>#N/A</v>
      </c>
      <c r="T1729" s="6">
        <f t="shared" ca="1" si="312"/>
        <v>5</v>
      </c>
      <c r="U1729" s="1">
        <f t="shared" ca="1" si="323"/>
        <v>2080</v>
      </c>
    </row>
    <row r="1730" spans="1:21" x14ac:dyDescent="0.2">
      <c r="A1730" s="7" cm="1">
        <f t="array" aca="1" ref="A1730" ca="1">INDEX(Companies!$A:$A,RANDBETWEEN(2,COUNTA(Companies!$A:$A)),1)</f>
        <v>2</v>
      </c>
      <c r="B1730" s="5">
        <f t="shared" si="313"/>
        <v>1729</v>
      </c>
      <c r="C1730" s="6">
        <f t="shared" ca="1" si="314"/>
        <v>1</v>
      </c>
      <c r="D1730" s="7">
        <f ca="1">IF($B1730 = 1 + N("Presidente"),
    127,
    IF($B1730 = 2 + N("Vice-Presidente"),
        72,
        IF($B1730 = 3 + N("Secretária bilíngue"),
            13,
            RANDBETWEEN(5,COUNT(Name!$A:$A) + 1)
        )
    )
)</f>
        <v>314</v>
      </c>
      <c r="E1730" s="7" t="str">
        <f ca="1" xml:space="preserve">
VLOOKUP(
  $D1730,
  Name!$A:$B,
  2,
  FALSE
)
&amp; " " &amp;
IF($B1730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Paloma Teixeira Barboza</v>
      </c>
      <c r="F1730" s="7">
        <v>2</v>
      </c>
      <c r="G1730" s="7" cm="1">
        <f t="array" aca="1" ref="G1730" ca="1">INDEX(States!$B:$B,RANDBETWEEN(2,COUNTA(States!$A:$A)),1)</f>
        <v>10</v>
      </c>
      <c r="H1730" s="7" t="str">
        <f ca="1">VLOOKUP($D1730,Name!$A:$C,3,FALSE)</f>
        <v>F</v>
      </c>
      <c r="I1730" s="7" cm="1">
        <f t="array" aca="1" ref="I1730" ca="1">INDEX('Marital status'!$A:$A,RANDBETWEEN(2,COUNTA('Marital status'!$A:$A)),1)</f>
        <v>5</v>
      </c>
      <c r="J1730" s="7">
        <f t="shared" ca="1" si="315"/>
        <v>2</v>
      </c>
      <c r="K1730" s="8">
        <f t="shared" ca="1" si="316"/>
        <v>29739</v>
      </c>
      <c r="L1730" s="6">
        <f t="shared" ca="1" si="317"/>
        <v>4</v>
      </c>
      <c r="M1730" s="7">
        <f ca="1" xml:space="preserve">
  IF(OR($N1730 = 2, $N1730 = 3, $N1730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730" s="6">
        <f t="shared" ca="1" si="318"/>
        <v>6</v>
      </c>
      <c r="O1730" s="6" t="e">
        <f t="shared" ca="1" si="319"/>
        <v>#N/A</v>
      </c>
      <c r="P1730" s="8">
        <f t="shared" ca="1" si="320"/>
        <v>36495</v>
      </c>
      <c r="Q1730" s="6">
        <f ca="1">RANDBETWEEN(2,COUNTA('Recruitment source'!$A:$A))</f>
        <v>10</v>
      </c>
      <c r="R1730" s="8" t="e">
        <f t="shared" ca="1" si="321"/>
        <v>#N/A</v>
      </c>
      <c r="S1730" s="6" t="e">
        <f t="shared" ca="1" si="322"/>
        <v>#N/A</v>
      </c>
      <c r="T1730" s="6">
        <f t="shared" ref="T1730:T1793" ca="1" si="324" xml:space="preserve">
IF(
 ISNA($R1730),
 IF(
   $N1730 = 2,
   5,
   IF(
     OR($N1730=3,$N1730=4,$N1730=5),
     RANDBETWEEN(4,5),
     IF(
       OR($N1730=11,$N1730=12),
       RANDBETWEEN(3,5),
       RANDBETWEEN(2,5)
     )
   )
 ),
 RANDBETWEEN(1,3)
)</f>
        <v>5</v>
      </c>
      <c r="U1730" s="1">
        <f t="shared" ca="1" si="323"/>
        <v>805</v>
      </c>
    </row>
    <row r="1731" spans="1:21" x14ac:dyDescent="0.2">
      <c r="A1731" s="7" cm="1">
        <f t="array" aca="1" ref="A1731" ca="1">INDEX(Companies!$A:$A,RANDBETWEEN(2,COUNTA(Companies!$A:$A)),1)</f>
        <v>2</v>
      </c>
      <c r="B1731" s="5">
        <f t="shared" ref="B1731:B1794" si="325">ROW() - 1</f>
        <v>1730</v>
      </c>
      <c r="C1731" s="6">
        <f t="shared" ref="C1731:C1794" ca="1" si="326">IF(ISNA($R1731),1,0)</f>
        <v>1</v>
      </c>
      <c r="D1731" s="7">
        <f ca="1">IF($B1731 = 1 + N("Presidente"),
    127,
    IF($B1731 = 2 + N("Vice-Presidente"),
        72,
        IF($B1731 = 3 + N("Secretária bilíngue"),
            13,
            RANDBETWEEN(5,COUNT(Name!$A:$A) + 1)
        )
    )
)</f>
        <v>49</v>
      </c>
      <c r="E1731" s="7" t="str">
        <f ca="1" xml:space="preserve">
VLOOKUP(
  $D1731,
  Name!$A:$B,
  2,
  FALSE
)
&amp; " " &amp;
IF($B1731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Anthony Gabriel Silva Ribeiro</v>
      </c>
      <c r="F1731" s="7">
        <v>2</v>
      </c>
      <c r="G1731" s="7" cm="1">
        <f t="array" aca="1" ref="G1731" ca="1">INDEX(States!$B:$B,RANDBETWEEN(2,COUNTA(States!$A:$A)),1)</f>
        <v>8</v>
      </c>
      <c r="H1731" s="7" t="str">
        <f ca="1">VLOOKUP($D1731,Name!$A:$C,3,FALSE)</f>
        <v>M</v>
      </c>
      <c r="I1731" s="7" cm="1">
        <f t="array" aca="1" ref="I1731" ca="1">INDEX('Marital status'!$A:$A,RANDBETWEEN(2,COUNTA('Marital status'!$A:$A)),1)</f>
        <v>4</v>
      </c>
      <c r="J1731" s="7">
        <f t="shared" ref="J1731:J1794" ca="1" si="327" xml:space="preserve">
IF(AND($N1731 &gt;= 2, $N1731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1731" s="8">
        <f t="shared" ref="K1731:K1794" ca="1" si="328" xml:space="preserve">
IF($N1731 = 5 + N("CEO"),
    TODAY() - 16340,
    IF($N1731 = 8 + N("Secretary"),
        RANDBETWEEN(TODAY() - 12418.5, TODAY()-6574.5),
        IF(OR($N1731 = 7, $N1731 = 14),
            RANDBETWEEN(TODAY() - 16071, TODAY() - 8766),
            IF(OR($N1731 = 13, $N1731 = 12, $N1731 = 11),
                RANDBETWEEN(TODAY() - 27393.75, TODAY() - 12783.75),
                RANDBETWEEN(TODAY() - 27393.75, TODAY()-10957.5)
            )
        )
    )
)</f>
        <v>35017</v>
      </c>
      <c r="L1731" s="6">
        <f t="shared" ref="L1731:L1794" ca="1" si="329" xml:space="preserve">
IF(OR($N1731 = 2, $N1731 = 3) + N("Se for presidente ou vice-presidente"),
    7 + N("Doutor"),
    IF($N1731 = 4 + N("Se for diretor"),
        RANDBETWEEN(5,7) + N("Graduate school or Master’s degree or Doctorate"),
        IF($N1731 = 11 + N("Se for gerente"),
            RANDBETWEEN(4,6) + N("Undergraduate degree or Graduate school or Master’s degree"),
            IF(AND($N1731 &gt;= 8, $N1731 &lt;= 10) + N("If coordinator or specialist or analyst"),
                RANDBETWEEN(4,5),
                4
            )
        )
    )
)</f>
        <v>5</v>
      </c>
      <c r="M1731" s="7">
        <f ca="1" xml:space="preserve">
  IF(OR($N1731 = 2, $N1731 = 3, $N1731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731" s="6">
        <f t="shared" ref="N1731:N1794" ca="1" si="330" xml:space="preserve">
IF($B1731 = 1 + N("Se matrícula for 1"),
  2 + N("Presidente"),
  IF($B1731 = 2 + N("Se matrícula for 2"),
    3 + N("Vice-presidente"),
    IF($B1731 = 3 + N("Se matrícula for 3"),
      5 + N("Secretária bilíngue"),
      IF(AND($B1731 &gt;= 4, $B1731 &lt;=14),
        4 + N("Diretor"),
        IF(AND($B1731 &gt;= 15, $B1731 &lt;= 25),
          11 + N("Manager"),
          IF(AND($B1731 &gt;= 26, $B1731 &lt;= 36),
            10 + N("Coordinador"),
            IF(AND($B1731 &gt;= 37, $B1731 &lt;= 47),
              9 + N("Especialista"),
                IF(MOD($B1731,2) = 0,
                  8 + N("Analista"),
                  RANDBETWEEN(6,7) + N("Estagiário ou Trainee")
                )
            )
          )
        )
      )
    )
  )
)</f>
        <v>8</v>
      </c>
      <c r="O1731" s="6">
        <f t="shared" ref="O1731:O1794" ca="1" si="331" xml:space="preserve">
IF($N1731 =8 + N("Analyst"),
    RANDBETWEEN(2, 4) + N("Jr, Pleno, Sr"),
    NA()
)</f>
        <v>4</v>
      </c>
      <c r="P1731" s="8">
        <f t="shared" ref="P1731:P1794" ca="1" si="332" xml:space="preserve">
IF(
   $N1731=2 + N("Presidente"),
   36161,
   IF(
       OR(
         $N1731=3 + N("Vice-Presidente"),
         $N1731=4 + N("Diretor"),
         $N1731=5 + N("Secretária bilíngue")
       ),
       RANDBETWEEN(36161,36411),
       IF(
         ((TODAY() - $K1731) / 365) &lt; 19,
         TODAY(),
         RANDBETWEEN(36161,TODAY())
       )
   )
)</f>
        <v>44565</v>
      </c>
      <c r="Q1731" s="6">
        <f ca="1">RANDBETWEEN(2,COUNTA('Recruitment source'!$A:$A))</f>
        <v>12</v>
      </c>
      <c r="R1731" s="8" t="e">
        <f t="shared" ref="R1731:R1794" ca="1" si="333" xml:space="preserve">
IF(MOD(
     ROW(),111
   )=0,
   RANDBETWEEN($P1731 + 1,TODAY() - 1),NA()
)</f>
        <v>#N/A</v>
      </c>
      <c r="S1731" s="6" t="e">
        <f t="shared" ref="S1731:S1794" ca="1" si="334" xml:space="preserve">
IF(
  ISNA(R1731),
  NA(),
  RANDBETWEEN(2,IF($H1731="F",10,9))
)</f>
        <v>#N/A</v>
      </c>
      <c r="T1731" s="6">
        <f t="shared" ca="1" si="324"/>
        <v>4</v>
      </c>
      <c r="U1731" s="1">
        <f t="shared" ref="U1731:U1794" ca="1" si="335" xml:space="preserve">
IF($N1731 = 2 + N("Presidente"),
    25000,
    IF($N1731 = 3 + N("Vice-presidente"),
        23000,
        IF(OR($N1731 = 5, $N1731= 10, $N1731 = 9) + N("Secretária bilíngue ou coordenador ou especialista"),
            8000,
            IF($N1731 = 4 + N("Diretor"),
                15000,
                IF($N1731 = 11 + N("Gerente"),
                    12000,
                    IF($N1731 = 6 + N("Estagiário"),
                        805,
                        IF($N1731 = 7 + N("Trainee"),
                            1005,
                            IF($N1731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IF($L1731 = 7,
  100,
  IF($L1731 = 8,
    200,
    IF($L1731 = 9,
      300,
      IF($L1731 = 10,
        400,
        0
      )
    )
  )
)
+
N("Adicional no salário por área")
+
IF($M1731 = 14 + N("Tecnologia da Informação"),
  120,
  IF($M1731 = 16 + N("Vendas"),
    110,
    IF($M1731 = 15 + N("Jurídico"),
      100,
      IF(OR($M1731 = 8, $M1731 = 9, $M1731 = 11) + N("Recursos humanos ou comercial ou comunicação e marketing"),
        80,
        0
      )
    )
  )
)
+
N("Adicionando pegadinha")
+
IF(AND($M1731 = 13, $N1731 = 8) + N("Se for de vendas e analista"),
  IF($J1731 = 2,
    50,
    0
  )
  +
  IF($H1731 = "M",
    50,
    0
  ),
  0
)</f>
        <v>2000</v>
      </c>
    </row>
    <row r="1732" spans="1:21" x14ac:dyDescent="0.2">
      <c r="A1732" s="7" cm="1">
        <f t="array" aca="1" ref="A1732" ca="1">INDEX(Companies!$A:$A,RANDBETWEEN(2,COUNTA(Companies!$A:$A)),1)</f>
        <v>2</v>
      </c>
      <c r="B1732" s="5">
        <f t="shared" si="325"/>
        <v>1731</v>
      </c>
      <c r="C1732" s="6">
        <f t="shared" ca="1" si="326"/>
        <v>1</v>
      </c>
      <c r="D1732" s="7">
        <f ca="1">IF($B1732 = 1 + N("Presidente"),
    127,
    IF($B1732 = 2 + N("Vice-Presidente"),
        72,
        IF($B1732 = 3 + N("Secretária bilíngue"),
            13,
            RANDBETWEEN(5,COUNT(Name!$A:$A) + 1)
        )
    )
)</f>
        <v>266</v>
      </c>
      <c r="E1732" s="7" t="str">
        <f ca="1" xml:space="preserve">
VLOOKUP(
  $D1732,
  Name!$A:$B,
  2,
  FALSE
)
&amp; " " &amp;
IF($B1732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Helena Alvim Caruso</v>
      </c>
      <c r="F1732" s="7">
        <v>2</v>
      </c>
      <c r="G1732" s="7" cm="1">
        <f t="array" aca="1" ref="G1732" ca="1">INDEX(States!$B:$B,RANDBETWEEN(2,COUNTA(States!$A:$A)),1)</f>
        <v>19</v>
      </c>
      <c r="H1732" s="7" t="str">
        <f ca="1">VLOOKUP($D1732,Name!$A:$C,3,FALSE)</f>
        <v>F</v>
      </c>
      <c r="I1732" s="7" cm="1">
        <f t="array" aca="1" ref="I1732" ca="1">INDEX('Marital status'!$A:$A,RANDBETWEEN(2,COUNTA('Marital status'!$A:$A)),1)</f>
        <v>5</v>
      </c>
      <c r="J1732" s="7">
        <f t="shared" ca="1" si="327"/>
        <v>2</v>
      </c>
      <c r="K1732" s="8">
        <f t="shared" ca="1" si="328"/>
        <v>29185</v>
      </c>
      <c r="L1732" s="6">
        <f t="shared" ca="1" si="329"/>
        <v>4</v>
      </c>
      <c r="M1732" s="7">
        <f ca="1" xml:space="preserve">
  IF(OR($N1732 = 2, $N1732 = 3, $N1732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732" s="6">
        <f t="shared" ca="1" si="330"/>
        <v>7</v>
      </c>
      <c r="O1732" s="6" t="e">
        <f t="shared" ca="1" si="331"/>
        <v>#N/A</v>
      </c>
      <c r="P1732" s="8">
        <f t="shared" ca="1" si="332"/>
        <v>40893</v>
      </c>
      <c r="Q1732" s="6">
        <f ca="1">RANDBETWEEN(2,COUNTA('Recruitment source'!$A:$A))</f>
        <v>3</v>
      </c>
      <c r="R1732" s="8" t="e">
        <f t="shared" ca="1" si="333"/>
        <v>#N/A</v>
      </c>
      <c r="S1732" s="6" t="e">
        <f t="shared" ca="1" si="334"/>
        <v>#N/A</v>
      </c>
      <c r="T1732" s="6">
        <f t="shared" ca="1" si="324"/>
        <v>3</v>
      </c>
      <c r="U1732" s="1">
        <f t="shared" ca="1" si="335"/>
        <v>1005</v>
      </c>
    </row>
    <row r="1733" spans="1:21" x14ac:dyDescent="0.2">
      <c r="A1733" s="7" cm="1">
        <f t="array" aca="1" ref="A1733" ca="1">INDEX(Companies!$A:$A,RANDBETWEEN(2,COUNTA(Companies!$A:$A)),1)</f>
        <v>2</v>
      </c>
      <c r="B1733" s="5">
        <f t="shared" si="325"/>
        <v>1732</v>
      </c>
      <c r="C1733" s="6">
        <f t="shared" ca="1" si="326"/>
        <v>1</v>
      </c>
      <c r="D1733" s="7">
        <f ca="1">IF($B1733 = 1 + N("Presidente"),
    127,
    IF($B1733 = 2 + N("Vice-Presidente"),
        72,
        IF($B1733 = 3 + N("Secretária bilíngue"),
            13,
            RANDBETWEEN(5,COUNT(Name!$A:$A) + 1)
        )
    )
)</f>
        <v>126</v>
      </c>
      <c r="E1733" s="7" t="str">
        <f ca="1" xml:space="preserve">
VLOOKUP(
  $D1733,
  Name!$A:$B,
  2,
  FALSE
)
&amp; " " &amp;
IF($B1733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Enrico Fontana Faro</v>
      </c>
      <c r="F1733" s="7">
        <v>2</v>
      </c>
      <c r="G1733" s="7" cm="1">
        <f t="array" aca="1" ref="G1733" ca="1">INDEX(States!$B:$B,RANDBETWEEN(2,COUNTA(States!$A:$A)),1)</f>
        <v>17</v>
      </c>
      <c r="H1733" s="7" t="str">
        <f ca="1">VLOOKUP($D1733,Name!$A:$C,3,FALSE)</f>
        <v>M</v>
      </c>
      <c r="I1733" s="7" cm="1">
        <f t="array" aca="1" ref="I1733" ca="1">INDEX('Marital status'!$A:$A,RANDBETWEEN(2,COUNTA('Marital status'!$A:$A)),1)</f>
        <v>4</v>
      </c>
      <c r="J1733" s="7">
        <f t="shared" ca="1" si="327"/>
        <v>2</v>
      </c>
      <c r="K1733" s="8">
        <f t="shared" ca="1" si="328"/>
        <v>34117</v>
      </c>
      <c r="L1733" s="6">
        <f t="shared" ca="1" si="329"/>
        <v>5</v>
      </c>
      <c r="M1733" s="7">
        <f ca="1" xml:space="preserve">
  IF(OR($N1733 = 2, $N1733 = 3, $N1733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733" s="6">
        <f t="shared" ca="1" si="330"/>
        <v>8</v>
      </c>
      <c r="O1733" s="6">
        <f t="shared" ca="1" si="331"/>
        <v>4</v>
      </c>
      <c r="P1733" s="8">
        <f t="shared" ca="1" si="332"/>
        <v>42017</v>
      </c>
      <c r="Q1733" s="6">
        <f ca="1">RANDBETWEEN(2,COUNTA('Recruitment source'!$A:$A))</f>
        <v>11</v>
      </c>
      <c r="R1733" s="8" t="e">
        <f t="shared" ca="1" si="333"/>
        <v>#N/A</v>
      </c>
      <c r="S1733" s="6" t="e">
        <f t="shared" ca="1" si="334"/>
        <v>#N/A</v>
      </c>
      <c r="T1733" s="6">
        <f t="shared" ca="1" si="324"/>
        <v>3</v>
      </c>
      <c r="U1733" s="1">
        <f t="shared" ca="1" si="335"/>
        <v>2000</v>
      </c>
    </row>
    <row r="1734" spans="1:21" x14ac:dyDescent="0.2">
      <c r="A1734" s="7" cm="1">
        <f t="array" aca="1" ref="A1734" ca="1">INDEX(Companies!$A:$A,RANDBETWEEN(2,COUNTA(Companies!$A:$A)),1)</f>
        <v>2</v>
      </c>
      <c r="B1734" s="5">
        <f t="shared" si="325"/>
        <v>1733</v>
      </c>
      <c r="C1734" s="6">
        <f t="shared" ca="1" si="326"/>
        <v>1</v>
      </c>
      <c r="D1734" s="7">
        <f ca="1">IF($B1734 = 1 + N("Presidente"),
    127,
    IF($B1734 = 2 + N("Vice-Presidente"),
        72,
        IF($B1734 = 3 + N("Secretária bilíngue"),
            13,
            RANDBETWEEN(5,COUNT(Name!$A:$A) + 1)
        )
    )
)</f>
        <v>81</v>
      </c>
      <c r="E1734" s="7" t="str">
        <f ca="1" xml:space="preserve">
VLOOKUP(
  $D1734,
  Name!$A:$B,
  2,
  FALSE
)
&amp; " " &amp;
IF($B1734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Caio Reis Pellegrini</v>
      </c>
      <c r="F1734" s="7">
        <v>2</v>
      </c>
      <c r="G1734" s="7" cm="1">
        <f t="array" aca="1" ref="G1734" ca="1">INDEX(States!$B:$B,RANDBETWEEN(2,COUNTA(States!$A:$A)),1)</f>
        <v>13</v>
      </c>
      <c r="H1734" s="7" t="str">
        <f ca="1">VLOOKUP($D1734,Name!$A:$C,3,FALSE)</f>
        <v>M</v>
      </c>
      <c r="I1734" s="7" cm="1">
        <f t="array" aca="1" ref="I1734" ca="1">INDEX('Marital status'!$A:$A,RANDBETWEEN(2,COUNTA('Marital status'!$A:$A)),1)</f>
        <v>5</v>
      </c>
      <c r="J1734" s="7">
        <f t="shared" ca="1" si="327"/>
        <v>2</v>
      </c>
      <c r="K1734" s="8">
        <f t="shared" ca="1" si="328"/>
        <v>20309</v>
      </c>
      <c r="L1734" s="6">
        <f t="shared" ca="1" si="329"/>
        <v>4</v>
      </c>
      <c r="M1734" s="7">
        <f ca="1" xml:space="preserve">
  IF(OR($N1734 = 2, $N1734 = 3, $N1734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734" s="6">
        <f t="shared" ca="1" si="330"/>
        <v>6</v>
      </c>
      <c r="O1734" s="6" t="e">
        <f t="shared" ca="1" si="331"/>
        <v>#N/A</v>
      </c>
      <c r="P1734" s="8">
        <f t="shared" ca="1" si="332"/>
        <v>38148</v>
      </c>
      <c r="Q1734" s="6">
        <f ca="1">RANDBETWEEN(2,COUNTA('Recruitment source'!$A:$A))</f>
        <v>8</v>
      </c>
      <c r="R1734" s="8" t="e">
        <f t="shared" ca="1" si="333"/>
        <v>#N/A</v>
      </c>
      <c r="S1734" s="6" t="e">
        <f t="shared" ca="1" si="334"/>
        <v>#N/A</v>
      </c>
      <c r="T1734" s="6">
        <f t="shared" ca="1" si="324"/>
        <v>4</v>
      </c>
      <c r="U1734" s="1">
        <f t="shared" ca="1" si="335"/>
        <v>805</v>
      </c>
    </row>
    <row r="1735" spans="1:21" x14ac:dyDescent="0.2">
      <c r="A1735" s="7" cm="1">
        <f t="array" aca="1" ref="A1735" ca="1">INDEX(Companies!$A:$A,RANDBETWEEN(2,COUNTA(Companies!$A:$A)),1)</f>
        <v>2</v>
      </c>
      <c r="B1735" s="5">
        <f t="shared" si="325"/>
        <v>1734</v>
      </c>
      <c r="C1735" s="6">
        <f t="shared" ca="1" si="326"/>
        <v>1</v>
      </c>
      <c r="D1735" s="7">
        <f ca="1">IF($B1735 = 1 + N("Presidente"),
    127,
    IF($B1735 = 2 + N("Vice-Presidente"),
        72,
        IF($B1735 = 3 + N("Secretária bilíngue"),
            13,
            RANDBETWEEN(5,COUNT(Name!$A:$A) + 1)
        )
    )
)</f>
        <v>251</v>
      </c>
      <c r="E1735" s="7" t="str">
        <f ca="1" xml:space="preserve">
VLOOKUP(
  $D1735,
  Name!$A:$B,
  2,
  FALSE
)
&amp; " " &amp;
IF($B1735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Maitê Monti Madureira</v>
      </c>
      <c r="F1735" s="7">
        <v>2</v>
      </c>
      <c r="G1735" s="7" cm="1">
        <f t="array" aca="1" ref="G1735" ca="1">INDEX(States!$B:$B,RANDBETWEEN(2,COUNTA(States!$A:$A)),1)</f>
        <v>6</v>
      </c>
      <c r="H1735" s="7" t="str">
        <f ca="1">VLOOKUP($D1735,Name!$A:$C,3,FALSE)</f>
        <v>F</v>
      </c>
      <c r="I1735" s="7" cm="1">
        <f t="array" aca="1" ref="I1735" ca="1">INDEX('Marital status'!$A:$A,RANDBETWEEN(2,COUNTA('Marital status'!$A:$A)),1)</f>
        <v>4</v>
      </c>
      <c r="J1735" s="7">
        <f t="shared" ca="1" si="327"/>
        <v>2</v>
      </c>
      <c r="K1735" s="8">
        <f t="shared" ca="1" si="328"/>
        <v>34956</v>
      </c>
      <c r="L1735" s="6">
        <f t="shared" ca="1" si="329"/>
        <v>5</v>
      </c>
      <c r="M1735" s="7">
        <f ca="1" xml:space="preserve">
  IF(OR($N1735 = 2, $N1735 = 3, $N1735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735" s="6">
        <f t="shared" ca="1" si="330"/>
        <v>8</v>
      </c>
      <c r="O1735" s="6">
        <f t="shared" ca="1" si="331"/>
        <v>2</v>
      </c>
      <c r="P1735" s="8">
        <f t="shared" ca="1" si="332"/>
        <v>39147</v>
      </c>
      <c r="Q1735" s="6">
        <f ca="1">RANDBETWEEN(2,COUNTA('Recruitment source'!$A:$A))</f>
        <v>11</v>
      </c>
      <c r="R1735" s="8" t="e">
        <f t="shared" ca="1" si="333"/>
        <v>#N/A</v>
      </c>
      <c r="S1735" s="6" t="e">
        <f t="shared" ca="1" si="334"/>
        <v>#N/A</v>
      </c>
      <c r="T1735" s="6">
        <f t="shared" ca="1" si="324"/>
        <v>4</v>
      </c>
      <c r="U1735" s="1">
        <f t="shared" ca="1" si="335"/>
        <v>2000</v>
      </c>
    </row>
    <row r="1736" spans="1:21" x14ac:dyDescent="0.2">
      <c r="A1736" s="7" cm="1">
        <f t="array" aca="1" ref="A1736" ca="1">INDEX(Companies!$A:$A,RANDBETWEEN(2,COUNTA(Companies!$A:$A)),1)</f>
        <v>2</v>
      </c>
      <c r="B1736" s="5">
        <f t="shared" si="325"/>
        <v>1735</v>
      </c>
      <c r="C1736" s="6">
        <f t="shared" ca="1" si="326"/>
        <v>1</v>
      </c>
      <c r="D1736" s="7">
        <f ca="1">IF($B1736 = 1 + N("Presidente"),
    127,
    IF($B1736 = 2 + N("Vice-Presidente"),
        72,
        IF($B1736 = 3 + N("Secretária bilíngue"),
            13,
            RANDBETWEEN(5,COUNT(Name!$A:$A) + 1)
        )
    )
)</f>
        <v>24</v>
      </c>
      <c r="E1736" s="7" t="str">
        <f ca="1" xml:space="preserve">
VLOOKUP(
  $D1736,
  Name!$A:$B,
  2,
  FALSE
)
&amp; " " &amp;
IF($B1736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Ammanda Soares Rinaldi</v>
      </c>
      <c r="F1736" s="7">
        <v>2</v>
      </c>
      <c r="G1736" s="7" cm="1">
        <f t="array" aca="1" ref="G1736" ca="1">INDEX(States!$B:$B,RANDBETWEEN(2,COUNTA(States!$A:$A)),1)</f>
        <v>3</v>
      </c>
      <c r="H1736" s="7" t="str">
        <f ca="1">VLOOKUP($D1736,Name!$A:$C,3,FALSE)</f>
        <v>F</v>
      </c>
      <c r="I1736" s="7" cm="1">
        <f t="array" aca="1" ref="I1736" ca="1">INDEX('Marital status'!$A:$A,RANDBETWEEN(2,COUNTA('Marital status'!$A:$A)),1)</f>
        <v>3</v>
      </c>
      <c r="J1736" s="7">
        <f t="shared" ca="1" si="327"/>
        <v>3</v>
      </c>
      <c r="K1736" s="8">
        <f t="shared" ca="1" si="328"/>
        <v>17848</v>
      </c>
      <c r="L1736" s="6">
        <f t="shared" ca="1" si="329"/>
        <v>4</v>
      </c>
      <c r="M1736" s="7">
        <f ca="1" xml:space="preserve">
  IF(OR($N1736 = 2, $N1736 = 3, $N1736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736" s="6">
        <f t="shared" ca="1" si="330"/>
        <v>6</v>
      </c>
      <c r="O1736" s="6" t="e">
        <f t="shared" ca="1" si="331"/>
        <v>#N/A</v>
      </c>
      <c r="P1736" s="8">
        <f t="shared" ca="1" si="332"/>
        <v>40135</v>
      </c>
      <c r="Q1736" s="6">
        <f ca="1">RANDBETWEEN(2,COUNTA('Recruitment source'!$A:$A))</f>
        <v>12</v>
      </c>
      <c r="R1736" s="8" t="e">
        <f t="shared" ca="1" si="333"/>
        <v>#N/A</v>
      </c>
      <c r="S1736" s="6" t="e">
        <f t="shared" ca="1" si="334"/>
        <v>#N/A</v>
      </c>
      <c r="T1736" s="6">
        <f t="shared" ca="1" si="324"/>
        <v>5</v>
      </c>
      <c r="U1736" s="1">
        <f t="shared" ca="1" si="335"/>
        <v>805</v>
      </c>
    </row>
    <row r="1737" spans="1:21" x14ac:dyDescent="0.2">
      <c r="A1737" s="7" cm="1">
        <f t="array" aca="1" ref="A1737" ca="1">INDEX(Companies!$A:$A,RANDBETWEEN(2,COUNTA(Companies!$A:$A)),1)</f>
        <v>2</v>
      </c>
      <c r="B1737" s="5">
        <f t="shared" si="325"/>
        <v>1736</v>
      </c>
      <c r="C1737" s="6">
        <f t="shared" ca="1" si="326"/>
        <v>1</v>
      </c>
      <c r="D1737" s="7">
        <f ca="1">IF($B1737 = 1 + N("Presidente"),
    127,
    IF($B1737 = 2 + N("Vice-Presidente"),
        72,
        IF($B1737 = 3 + N("Secretária bilíngue"),
            13,
            RANDBETWEEN(5,COUNT(Name!$A:$A) + 1)
        )
    )
)</f>
        <v>337</v>
      </c>
      <c r="E1737" s="7" t="str">
        <f ca="1" xml:space="preserve">
VLOOKUP(
  $D1737,
  Name!$A:$B,
  2,
  FALSE
)
&amp; " " &amp;
IF($B1737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Sarah Gouveia Fontana</v>
      </c>
      <c r="F1737" s="7">
        <v>2</v>
      </c>
      <c r="G1737" s="7" cm="1">
        <f t="array" aca="1" ref="G1737" ca="1">INDEX(States!$B:$B,RANDBETWEEN(2,COUNTA(States!$A:$A)),1)</f>
        <v>11</v>
      </c>
      <c r="H1737" s="7" t="str">
        <f ca="1">VLOOKUP($D1737,Name!$A:$C,3,FALSE)</f>
        <v>F</v>
      </c>
      <c r="I1737" s="7" cm="1">
        <f t="array" aca="1" ref="I1737" ca="1">INDEX('Marital status'!$A:$A,RANDBETWEEN(2,COUNTA('Marital status'!$A:$A)),1)</f>
        <v>4</v>
      </c>
      <c r="J1737" s="7">
        <f t="shared" ca="1" si="327"/>
        <v>2</v>
      </c>
      <c r="K1737" s="8">
        <f t="shared" ca="1" si="328"/>
        <v>34917</v>
      </c>
      <c r="L1737" s="6">
        <f t="shared" ca="1" si="329"/>
        <v>4</v>
      </c>
      <c r="M1737" s="7">
        <f ca="1" xml:space="preserve">
  IF(OR($N1737 = 2, $N1737 = 3, $N1737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737" s="6">
        <f t="shared" ca="1" si="330"/>
        <v>8</v>
      </c>
      <c r="O1737" s="6">
        <f t="shared" ca="1" si="331"/>
        <v>3</v>
      </c>
      <c r="P1737" s="8">
        <f t="shared" ca="1" si="332"/>
        <v>41314</v>
      </c>
      <c r="Q1737" s="6">
        <f ca="1">RANDBETWEEN(2,COUNTA('Recruitment source'!$A:$A))</f>
        <v>7</v>
      </c>
      <c r="R1737" s="8" t="e">
        <f t="shared" ca="1" si="333"/>
        <v>#N/A</v>
      </c>
      <c r="S1737" s="6" t="e">
        <f t="shared" ca="1" si="334"/>
        <v>#N/A</v>
      </c>
      <c r="T1737" s="6">
        <f t="shared" ca="1" si="324"/>
        <v>3</v>
      </c>
      <c r="U1737" s="1">
        <f t="shared" ca="1" si="335"/>
        <v>2080</v>
      </c>
    </row>
    <row r="1738" spans="1:21" x14ac:dyDescent="0.2">
      <c r="A1738" s="7" cm="1">
        <f t="array" aca="1" ref="A1738" ca="1">INDEX(Companies!$A:$A,RANDBETWEEN(2,COUNTA(Companies!$A:$A)),1)</f>
        <v>2</v>
      </c>
      <c r="B1738" s="5">
        <f t="shared" si="325"/>
        <v>1737</v>
      </c>
      <c r="C1738" s="6">
        <f t="shared" ca="1" si="326"/>
        <v>1</v>
      </c>
      <c r="D1738" s="7">
        <f ca="1">IF($B1738 = 1 + N("Presidente"),
    127,
    IF($B1738 = 2 + N("Vice-Presidente"),
        72,
        IF($B1738 = 3 + N("Secretária bilíngue"),
            13,
            RANDBETWEEN(5,COUNT(Name!$A:$A) + 1)
        )
    )
)</f>
        <v>252</v>
      </c>
      <c r="E1738" s="7" t="str">
        <f ca="1" xml:space="preserve">
VLOOKUP(
  $D1738,
  Name!$A:$B,
  2,
  FALSE
)
&amp; " " &amp;
IF($B1738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Malco Cardozo Resende</v>
      </c>
      <c r="F1738" s="7">
        <v>2</v>
      </c>
      <c r="G1738" s="7" cm="1">
        <f t="array" aca="1" ref="G1738" ca="1">INDEX(States!$B:$B,RANDBETWEEN(2,COUNTA(States!$A:$A)),1)</f>
        <v>14</v>
      </c>
      <c r="H1738" s="7" t="str">
        <f ca="1">VLOOKUP($D1738,Name!$A:$C,3,FALSE)</f>
        <v>M</v>
      </c>
      <c r="I1738" s="7" cm="1">
        <f t="array" aca="1" ref="I1738" ca="1">INDEX('Marital status'!$A:$A,RANDBETWEEN(2,COUNTA('Marital status'!$A:$A)),1)</f>
        <v>3</v>
      </c>
      <c r="J1738" s="7">
        <f t="shared" ca="1" si="327"/>
        <v>4</v>
      </c>
      <c r="K1738" s="8">
        <f t="shared" ca="1" si="328"/>
        <v>35620</v>
      </c>
      <c r="L1738" s="6">
        <f t="shared" ca="1" si="329"/>
        <v>4</v>
      </c>
      <c r="M1738" s="7">
        <f ca="1" xml:space="preserve">
  IF(OR($N1738 = 2, $N1738 = 3, $N1738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738" s="6">
        <f t="shared" ca="1" si="330"/>
        <v>7</v>
      </c>
      <c r="O1738" s="6" t="e">
        <f t="shared" ca="1" si="331"/>
        <v>#N/A</v>
      </c>
      <c r="P1738" s="8">
        <f t="shared" ca="1" si="332"/>
        <v>37119</v>
      </c>
      <c r="Q1738" s="6">
        <f ca="1">RANDBETWEEN(2,COUNTA('Recruitment source'!$A:$A))</f>
        <v>2</v>
      </c>
      <c r="R1738" s="8" t="e">
        <f t="shared" ca="1" si="333"/>
        <v>#N/A</v>
      </c>
      <c r="S1738" s="6" t="e">
        <f t="shared" ca="1" si="334"/>
        <v>#N/A</v>
      </c>
      <c r="T1738" s="6">
        <f t="shared" ca="1" si="324"/>
        <v>5</v>
      </c>
      <c r="U1738" s="1">
        <f t="shared" ca="1" si="335"/>
        <v>1005</v>
      </c>
    </row>
    <row r="1739" spans="1:21" x14ac:dyDescent="0.2">
      <c r="A1739" s="7" cm="1">
        <f t="array" aca="1" ref="A1739" ca="1">INDEX(Companies!$A:$A,RANDBETWEEN(2,COUNTA(Companies!$A:$A)),1)</f>
        <v>2</v>
      </c>
      <c r="B1739" s="5">
        <f t="shared" si="325"/>
        <v>1738</v>
      </c>
      <c r="C1739" s="6">
        <f t="shared" ca="1" si="326"/>
        <v>1</v>
      </c>
      <c r="D1739" s="7">
        <f ca="1">IF($B1739 = 1 + N("Presidente"),
    127,
    IF($B1739 = 2 + N("Vice-Presidente"),
        72,
        IF($B1739 = 3 + N("Secretária bilíngue"),
            13,
            RANDBETWEEN(5,COUNT(Name!$A:$A) + 1)
        )
    )
)</f>
        <v>322</v>
      </c>
      <c r="E1739" s="7" t="str">
        <f ca="1" xml:space="preserve">
VLOOKUP(
  $D1739,
  Name!$A:$B,
  2,
  FALSE
)
&amp; " " &amp;
IF($B1739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Pietro Faro Pinheiro</v>
      </c>
      <c r="F1739" s="7">
        <v>2</v>
      </c>
      <c r="G1739" s="7" cm="1">
        <f t="array" aca="1" ref="G1739" ca="1">INDEX(States!$B:$B,RANDBETWEEN(2,COUNTA(States!$A:$A)),1)</f>
        <v>7</v>
      </c>
      <c r="H1739" s="7" t="str">
        <f ca="1">VLOOKUP($D1739,Name!$A:$C,3,FALSE)</f>
        <v>M</v>
      </c>
      <c r="I1739" s="7" cm="1">
        <f t="array" aca="1" ref="I1739" ca="1">INDEX('Marital status'!$A:$A,RANDBETWEEN(2,COUNTA('Marital status'!$A:$A)),1)</f>
        <v>5</v>
      </c>
      <c r="J1739" s="7">
        <f t="shared" ca="1" si="327"/>
        <v>2</v>
      </c>
      <c r="K1739" s="8">
        <f t="shared" ca="1" si="328"/>
        <v>36871</v>
      </c>
      <c r="L1739" s="6">
        <f t="shared" ca="1" si="329"/>
        <v>4</v>
      </c>
      <c r="M1739" s="7">
        <f ca="1" xml:space="preserve">
  IF(OR($N1739 = 2, $N1739 = 3, $N1739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739" s="6">
        <f t="shared" ca="1" si="330"/>
        <v>8</v>
      </c>
      <c r="O1739" s="6">
        <f t="shared" ca="1" si="331"/>
        <v>2</v>
      </c>
      <c r="P1739" s="8">
        <f t="shared" ca="1" si="332"/>
        <v>38412</v>
      </c>
      <c r="Q1739" s="6">
        <f ca="1">RANDBETWEEN(2,COUNTA('Recruitment source'!$A:$A))</f>
        <v>2</v>
      </c>
      <c r="R1739" s="8" t="e">
        <f t="shared" ca="1" si="333"/>
        <v>#N/A</v>
      </c>
      <c r="S1739" s="6" t="e">
        <f t="shared" ca="1" si="334"/>
        <v>#N/A</v>
      </c>
      <c r="T1739" s="6">
        <f t="shared" ca="1" si="324"/>
        <v>4</v>
      </c>
      <c r="U1739" s="1">
        <f t="shared" ca="1" si="335"/>
        <v>2000</v>
      </c>
    </row>
    <row r="1740" spans="1:21" x14ac:dyDescent="0.2">
      <c r="A1740" s="7" cm="1">
        <f t="array" aca="1" ref="A1740" ca="1">INDEX(Companies!$A:$A,RANDBETWEEN(2,COUNTA(Companies!$A:$A)),1)</f>
        <v>2</v>
      </c>
      <c r="B1740" s="5">
        <f t="shared" si="325"/>
        <v>1739</v>
      </c>
      <c r="C1740" s="6">
        <f t="shared" ca="1" si="326"/>
        <v>1</v>
      </c>
      <c r="D1740" s="7">
        <f ca="1">IF($B1740 = 1 + N("Presidente"),
    127,
    IF($B1740 = 2 + N("Vice-Presidente"),
        72,
        IF($B1740 = 3 + N("Secretária bilíngue"),
            13,
            RANDBETWEEN(5,COUNT(Name!$A:$A) + 1)
        )
    )
)</f>
        <v>170</v>
      </c>
      <c r="E1740" s="7" t="str">
        <f ca="1" xml:space="preserve">
VLOOKUP(
  $D1740,
  Name!$A:$B,
  2,
  FALSE
)
&amp; " " &amp;
IF($B1740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Iara Braga Russo</v>
      </c>
      <c r="F1740" s="7">
        <v>2</v>
      </c>
      <c r="G1740" s="7" cm="1">
        <f t="array" aca="1" ref="G1740" ca="1">INDEX(States!$B:$B,RANDBETWEEN(2,COUNTA(States!$A:$A)),1)</f>
        <v>21</v>
      </c>
      <c r="H1740" s="7" t="str">
        <f ca="1">VLOOKUP($D1740,Name!$A:$C,3,FALSE)</f>
        <v>F</v>
      </c>
      <c r="I1740" s="7" cm="1">
        <f t="array" aca="1" ref="I1740" ca="1">INDEX('Marital status'!$A:$A,RANDBETWEEN(2,COUNTA('Marital status'!$A:$A)),1)</f>
        <v>6</v>
      </c>
      <c r="J1740" s="7">
        <f t="shared" ca="1" si="327"/>
        <v>2</v>
      </c>
      <c r="K1740" s="8">
        <f t="shared" ca="1" si="328"/>
        <v>27407</v>
      </c>
      <c r="L1740" s="6">
        <f t="shared" ca="1" si="329"/>
        <v>4</v>
      </c>
      <c r="M1740" s="7">
        <f ca="1" xml:space="preserve">
  IF(OR($N1740 = 2, $N1740 = 3, $N1740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740" s="6">
        <f t="shared" ca="1" si="330"/>
        <v>6</v>
      </c>
      <c r="O1740" s="6" t="e">
        <f t="shared" ca="1" si="331"/>
        <v>#N/A</v>
      </c>
      <c r="P1740" s="8">
        <f t="shared" ca="1" si="332"/>
        <v>42448</v>
      </c>
      <c r="Q1740" s="6">
        <f ca="1">RANDBETWEEN(2,COUNTA('Recruitment source'!$A:$A))</f>
        <v>5</v>
      </c>
      <c r="R1740" s="8" t="e">
        <f t="shared" ca="1" si="333"/>
        <v>#N/A</v>
      </c>
      <c r="S1740" s="6" t="e">
        <f t="shared" ca="1" si="334"/>
        <v>#N/A</v>
      </c>
      <c r="T1740" s="6">
        <f t="shared" ca="1" si="324"/>
        <v>5</v>
      </c>
      <c r="U1740" s="1">
        <f t="shared" ca="1" si="335"/>
        <v>805</v>
      </c>
    </row>
    <row r="1741" spans="1:21" x14ac:dyDescent="0.2">
      <c r="A1741" s="7" cm="1">
        <f t="array" aca="1" ref="A1741" ca="1">INDEX(Companies!$A:$A,RANDBETWEEN(2,COUNTA(Companies!$A:$A)),1)</f>
        <v>2</v>
      </c>
      <c r="B1741" s="5">
        <f t="shared" si="325"/>
        <v>1740</v>
      </c>
      <c r="C1741" s="6">
        <f t="shared" ca="1" si="326"/>
        <v>1</v>
      </c>
      <c r="D1741" s="7">
        <f ca="1">IF($B1741 = 1 + N("Presidente"),
    127,
    IF($B1741 = 2 + N("Vice-Presidente"),
        72,
        IF($B1741 = 3 + N("Secretária bilíngue"),
            13,
            RANDBETWEEN(5,COUNT(Name!$A:$A) + 1)
        )
    )
)</f>
        <v>257</v>
      </c>
      <c r="E1741" s="7" t="str">
        <f ca="1" xml:space="preserve">
VLOOKUP(
  $D1741,
  Name!$A:$B,
  2,
  FALSE
)
&amp; " " &amp;
IF($B1741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Pimenta de Oliveira</v>
      </c>
      <c r="F1741" s="7">
        <v>2</v>
      </c>
      <c r="G1741" s="7" cm="1">
        <f t="array" aca="1" ref="G1741" ca="1">INDEX(States!$B:$B,RANDBETWEEN(2,COUNTA(States!$A:$A)),1)</f>
        <v>14</v>
      </c>
      <c r="H1741" s="7" t="str">
        <f ca="1">VLOOKUP($D1741,Name!$A:$C,3,FALSE)</f>
        <v>F</v>
      </c>
      <c r="I1741" s="7" cm="1">
        <f t="array" aca="1" ref="I1741" ca="1">INDEX('Marital status'!$A:$A,RANDBETWEEN(2,COUNTA('Marital status'!$A:$A)),1)</f>
        <v>4</v>
      </c>
      <c r="J1741" s="7">
        <f t="shared" ca="1" si="327"/>
        <v>2</v>
      </c>
      <c r="K1741" s="8">
        <f t="shared" ca="1" si="328"/>
        <v>37557</v>
      </c>
      <c r="L1741" s="6">
        <f t="shared" ca="1" si="329"/>
        <v>5</v>
      </c>
      <c r="M1741" s="7">
        <f ca="1" xml:space="preserve">
  IF(OR($N1741 = 2, $N1741 = 3, $N1741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741" s="6">
        <f t="shared" ca="1" si="330"/>
        <v>8</v>
      </c>
      <c r="O1741" s="6">
        <f t="shared" ca="1" si="331"/>
        <v>2</v>
      </c>
      <c r="P1741" s="8">
        <f t="shared" ca="1" si="332"/>
        <v>42656</v>
      </c>
      <c r="Q1741" s="6">
        <f ca="1">RANDBETWEEN(2,COUNTA('Recruitment source'!$A:$A))</f>
        <v>11</v>
      </c>
      <c r="R1741" s="8" t="e">
        <f t="shared" ca="1" si="333"/>
        <v>#N/A</v>
      </c>
      <c r="S1741" s="6" t="e">
        <f t="shared" ca="1" si="334"/>
        <v>#N/A</v>
      </c>
      <c r="T1741" s="6">
        <f t="shared" ca="1" si="324"/>
        <v>2</v>
      </c>
      <c r="U1741" s="1">
        <f t="shared" ca="1" si="335"/>
        <v>2000</v>
      </c>
    </row>
    <row r="1742" spans="1:21" x14ac:dyDescent="0.2">
      <c r="A1742" s="7" cm="1">
        <f t="array" aca="1" ref="A1742" ca="1">INDEX(Companies!$A:$A,RANDBETWEEN(2,COUNTA(Companies!$A:$A)),1)</f>
        <v>2</v>
      </c>
      <c r="B1742" s="5">
        <f t="shared" si="325"/>
        <v>1741</v>
      </c>
      <c r="C1742" s="6">
        <f t="shared" ca="1" si="326"/>
        <v>1</v>
      </c>
      <c r="D1742" s="7">
        <f ca="1">IF($B1742 = 1 + N("Presidente"),
    127,
    IF($B1742 = 2 + N("Vice-Presidente"),
        72,
        IF($B1742 = 3 + N("Secretária bilíngue"),
            13,
            RANDBETWEEN(5,COUNT(Name!$A:$A) + 1)
        )
    )
)</f>
        <v>179</v>
      </c>
      <c r="E1742" s="7" t="str">
        <f ca="1" xml:space="preserve">
VLOOKUP(
  $D1742,
  Name!$A:$B,
  2,
  FALSE
)
&amp; " " &amp;
IF($B1742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Isadora Farina De Luca</v>
      </c>
      <c r="F1742" s="7">
        <v>2</v>
      </c>
      <c r="G1742" s="7" cm="1">
        <f t="array" aca="1" ref="G1742" ca="1">INDEX(States!$B:$B,RANDBETWEEN(2,COUNTA(States!$A:$A)),1)</f>
        <v>6</v>
      </c>
      <c r="H1742" s="7" t="str">
        <f ca="1">VLOOKUP($D1742,Name!$A:$C,3,FALSE)</f>
        <v>F</v>
      </c>
      <c r="I1742" s="7" cm="1">
        <f t="array" aca="1" ref="I1742" ca="1">INDEX('Marital status'!$A:$A,RANDBETWEEN(2,COUNTA('Marital status'!$A:$A)),1)</f>
        <v>3</v>
      </c>
      <c r="J1742" s="7">
        <f t="shared" ca="1" si="327"/>
        <v>2</v>
      </c>
      <c r="K1742" s="8">
        <f t="shared" ca="1" si="328"/>
        <v>21191</v>
      </c>
      <c r="L1742" s="6">
        <f t="shared" ca="1" si="329"/>
        <v>4</v>
      </c>
      <c r="M1742" s="7">
        <f ca="1" xml:space="preserve">
  IF(OR($N1742 = 2, $N1742 = 3, $N1742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742" s="6">
        <f t="shared" ca="1" si="330"/>
        <v>6</v>
      </c>
      <c r="O1742" s="6" t="e">
        <f t="shared" ca="1" si="331"/>
        <v>#N/A</v>
      </c>
      <c r="P1742" s="8">
        <f t="shared" ca="1" si="332"/>
        <v>41151</v>
      </c>
      <c r="Q1742" s="6">
        <f ca="1">RANDBETWEEN(2,COUNTA('Recruitment source'!$A:$A))</f>
        <v>12</v>
      </c>
      <c r="R1742" s="8" t="e">
        <f t="shared" ca="1" si="333"/>
        <v>#N/A</v>
      </c>
      <c r="S1742" s="6" t="e">
        <f t="shared" ca="1" si="334"/>
        <v>#N/A</v>
      </c>
      <c r="T1742" s="6">
        <f t="shared" ca="1" si="324"/>
        <v>5</v>
      </c>
      <c r="U1742" s="1">
        <f t="shared" ca="1" si="335"/>
        <v>805</v>
      </c>
    </row>
    <row r="1743" spans="1:21" x14ac:dyDescent="0.2">
      <c r="A1743" s="7" cm="1">
        <f t="array" aca="1" ref="A1743" ca="1">INDEX(Companies!$A:$A,RANDBETWEEN(2,COUNTA(Companies!$A:$A)),1)</f>
        <v>2</v>
      </c>
      <c r="B1743" s="5">
        <f t="shared" si="325"/>
        <v>1742</v>
      </c>
      <c r="C1743" s="6">
        <f t="shared" ca="1" si="326"/>
        <v>1</v>
      </c>
      <c r="D1743" s="7">
        <f ca="1">IF($B1743 = 1 + N("Presidente"),
    127,
    IF($B1743 = 2 + N("Vice-Presidente"),
        72,
        IF($B1743 = 3 + N("Secretária bilíngue"),
            13,
            RANDBETWEEN(5,COUNT(Name!$A:$A) + 1)
        )
    )
)</f>
        <v>99</v>
      </c>
      <c r="E1743" s="7" t="str">
        <f ca="1" xml:space="preserve">
VLOOKUP(
  $D1743,
  Name!$A:$B,
  2,
  FALSE
)
&amp; " " &amp;
IF($B1743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Cloe dos Santos Gouveia</v>
      </c>
      <c r="F1743" s="7">
        <v>2</v>
      </c>
      <c r="G1743" s="7" cm="1">
        <f t="array" aca="1" ref="G1743" ca="1">INDEX(States!$B:$B,RANDBETWEEN(2,COUNTA(States!$A:$A)),1)</f>
        <v>6</v>
      </c>
      <c r="H1743" s="7" t="str">
        <f ca="1">VLOOKUP($D1743,Name!$A:$C,3,FALSE)</f>
        <v>F</v>
      </c>
      <c r="I1743" s="7" cm="1">
        <f t="array" aca="1" ref="I1743" ca="1">INDEX('Marital status'!$A:$A,RANDBETWEEN(2,COUNTA('Marital status'!$A:$A)),1)</f>
        <v>2</v>
      </c>
      <c r="J1743" s="7">
        <f t="shared" ca="1" si="327"/>
        <v>3</v>
      </c>
      <c r="K1743" s="8">
        <f t="shared" ca="1" si="328"/>
        <v>36127</v>
      </c>
      <c r="L1743" s="6">
        <f t="shared" ca="1" si="329"/>
        <v>5</v>
      </c>
      <c r="M1743" s="7">
        <f ca="1" xml:space="preserve">
  IF(OR($N1743 = 2, $N1743 = 3, $N1743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743" s="6">
        <f t="shared" ca="1" si="330"/>
        <v>8</v>
      </c>
      <c r="O1743" s="6">
        <f t="shared" ca="1" si="331"/>
        <v>4</v>
      </c>
      <c r="P1743" s="8">
        <f t="shared" ca="1" si="332"/>
        <v>37094</v>
      </c>
      <c r="Q1743" s="6">
        <f ca="1">RANDBETWEEN(2,COUNTA('Recruitment source'!$A:$A))</f>
        <v>8</v>
      </c>
      <c r="R1743" s="8" t="e">
        <f t="shared" ca="1" si="333"/>
        <v>#N/A</v>
      </c>
      <c r="S1743" s="6" t="e">
        <f t="shared" ca="1" si="334"/>
        <v>#N/A</v>
      </c>
      <c r="T1743" s="6">
        <f t="shared" ca="1" si="324"/>
        <v>3</v>
      </c>
      <c r="U1743" s="1">
        <f t="shared" ca="1" si="335"/>
        <v>2000</v>
      </c>
    </row>
    <row r="1744" spans="1:21" x14ac:dyDescent="0.2">
      <c r="A1744" s="7" cm="1">
        <f t="array" aca="1" ref="A1744" ca="1">INDEX(Companies!$A:$A,RANDBETWEEN(2,COUNTA(Companies!$A:$A)),1)</f>
        <v>2</v>
      </c>
      <c r="B1744" s="5">
        <f t="shared" si="325"/>
        <v>1743</v>
      </c>
      <c r="C1744" s="6">
        <f t="shared" ca="1" si="326"/>
        <v>1</v>
      </c>
      <c r="D1744" s="7">
        <f ca="1">IF($B1744 = 1 + N("Presidente"),
    127,
    IF($B1744 = 2 + N("Vice-Presidente"),
        72,
        IF($B1744 = 3 + N("Secretária bilíngue"),
            13,
            RANDBETWEEN(5,COUNT(Name!$A:$A) + 1)
        )
    )
)</f>
        <v>171</v>
      </c>
      <c r="E1744" s="7" t="str">
        <f ca="1" xml:space="preserve">
VLOOKUP(
  $D1744,
  Name!$A:$B,
  2,
  FALSE
)
&amp; " " &amp;
IF($B1744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Íris Bermudes Alves</v>
      </c>
      <c r="F1744" s="7">
        <v>2</v>
      </c>
      <c r="G1744" s="7" cm="1">
        <f t="array" aca="1" ref="G1744" ca="1">INDEX(States!$B:$B,RANDBETWEEN(2,COUNTA(States!$A:$A)),1)</f>
        <v>9</v>
      </c>
      <c r="H1744" s="7" t="str">
        <f ca="1">VLOOKUP($D1744,Name!$A:$C,3,FALSE)</f>
        <v>F</v>
      </c>
      <c r="I1744" s="7" cm="1">
        <f t="array" aca="1" ref="I1744" ca="1">INDEX('Marital status'!$A:$A,RANDBETWEEN(2,COUNTA('Marital status'!$A:$A)),1)</f>
        <v>5</v>
      </c>
      <c r="J1744" s="7">
        <f t="shared" ca="1" si="327"/>
        <v>2</v>
      </c>
      <c r="K1744" s="8">
        <f t="shared" ca="1" si="328"/>
        <v>31021</v>
      </c>
      <c r="L1744" s="6">
        <f t="shared" ca="1" si="329"/>
        <v>4</v>
      </c>
      <c r="M1744" s="7">
        <f ca="1" xml:space="preserve">
  IF(OR($N1744 = 2, $N1744 = 3, $N1744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744" s="6">
        <f t="shared" ca="1" si="330"/>
        <v>7</v>
      </c>
      <c r="O1744" s="6" t="e">
        <f t="shared" ca="1" si="331"/>
        <v>#N/A</v>
      </c>
      <c r="P1744" s="8">
        <f t="shared" ca="1" si="332"/>
        <v>36443</v>
      </c>
      <c r="Q1744" s="6">
        <f ca="1">RANDBETWEEN(2,COUNTA('Recruitment source'!$A:$A))</f>
        <v>5</v>
      </c>
      <c r="R1744" s="8" t="e">
        <f t="shared" ca="1" si="333"/>
        <v>#N/A</v>
      </c>
      <c r="S1744" s="6" t="e">
        <f t="shared" ca="1" si="334"/>
        <v>#N/A</v>
      </c>
      <c r="T1744" s="6">
        <f t="shared" ca="1" si="324"/>
        <v>3</v>
      </c>
      <c r="U1744" s="1">
        <f t="shared" ca="1" si="335"/>
        <v>1005</v>
      </c>
    </row>
    <row r="1745" spans="1:21" x14ac:dyDescent="0.2">
      <c r="A1745" s="7" cm="1">
        <f t="array" aca="1" ref="A1745" ca="1">INDEX(Companies!$A:$A,RANDBETWEEN(2,COUNTA(Companies!$A:$A)),1)</f>
        <v>2</v>
      </c>
      <c r="B1745" s="5">
        <f t="shared" si="325"/>
        <v>1744</v>
      </c>
      <c r="C1745" s="6">
        <f t="shared" ca="1" si="326"/>
        <v>1</v>
      </c>
      <c r="D1745" s="7">
        <f ca="1">IF($B1745 = 1 + N("Presidente"),
    127,
    IF($B1745 = 2 + N("Vice-Presidente"),
        72,
        IF($B1745 = 3 + N("Secretária bilíngue"),
            13,
            RANDBETWEEN(5,COUNT(Name!$A:$A) + 1)
        )
    )
)</f>
        <v>25</v>
      </c>
      <c r="E1745" s="7" t="str">
        <f ca="1" xml:space="preserve">
VLOOKUP(
  $D1745,
  Name!$A:$B,
  2,
  FALSE
)
&amp; " " &amp;
IF($B1745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Carvalho Bactista</v>
      </c>
      <c r="F1745" s="7">
        <v>2</v>
      </c>
      <c r="G1745" s="7" cm="1">
        <f t="array" aca="1" ref="G1745" ca="1">INDEX(States!$B:$B,RANDBETWEEN(2,COUNTA(States!$A:$A)),1)</f>
        <v>11</v>
      </c>
      <c r="H1745" s="7" t="str">
        <f ca="1">VLOOKUP($D1745,Name!$A:$C,3,FALSE)</f>
        <v>F</v>
      </c>
      <c r="I1745" s="7" cm="1">
        <f t="array" aca="1" ref="I1745" ca="1">INDEX('Marital status'!$A:$A,RANDBETWEEN(2,COUNTA('Marital status'!$A:$A)),1)</f>
        <v>5</v>
      </c>
      <c r="J1745" s="7">
        <f t="shared" ca="1" si="327"/>
        <v>2</v>
      </c>
      <c r="K1745" s="8">
        <f t="shared" ca="1" si="328"/>
        <v>34895</v>
      </c>
      <c r="L1745" s="6">
        <f t="shared" ca="1" si="329"/>
        <v>4</v>
      </c>
      <c r="M1745" s="7">
        <f ca="1" xml:space="preserve">
  IF(OR($N1745 = 2, $N1745 = 3, $N1745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745" s="6">
        <f t="shared" ca="1" si="330"/>
        <v>8</v>
      </c>
      <c r="O1745" s="6">
        <f t="shared" ca="1" si="331"/>
        <v>4</v>
      </c>
      <c r="P1745" s="8">
        <f t="shared" ca="1" si="332"/>
        <v>43359</v>
      </c>
      <c r="Q1745" s="6">
        <f ca="1">RANDBETWEEN(2,COUNTA('Recruitment source'!$A:$A))</f>
        <v>7</v>
      </c>
      <c r="R1745" s="8" t="e">
        <f t="shared" ca="1" si="333"/>
        <v>#N/A</v>
      </c>
      <c r="S1745" s="6" t="e">
        <f t="shared" ca="1" si="334"/>
        <v>#N/A</v>
      </c>
      <c r="T1745" s="6">
        <f t="shared" ca="1" si="324"/>
        <v>2</v>
      </c>
      <c r="U1745" s="1">
        <f t="shared" ca="1" si="335"/>
        <v>2000</v>
      </c>
    </row>
    <row r="1746" spans="1:21" x14ac:dyDescent="0.2">
      <c r="A1746" s="7" cm="1">
        <f t="array" aca="1" ref="A1746" ca="1">INDEX(Companies!$A:$A,RANDBETWEEN(2,COUNTA(Companies!$A:$A)),1)</f>
        <v>2</v>
      </c>
      <c r="B1746" s="5">
        <f t="shared" si="325"/>
        <v>1745</v>
      </c>
      <c r="C1746" s="6">
        <f t="shared" ca="1" si="326"/>
        <v>1</v>
      </c>
      <c r="D1746" s="7">
        <f ca="1">IF($B1746 = 1 + N("Presidente"),
    127,
    IF($B1746 = 2 + N("Vice-Presidente"),
        72,
        IF($B1746 = 3 + N("Secretária bilíngue"),
            13,
            RANDBETWEEN(5,COUNT(Name!$A:$A) + 1)
        )
    )
)</f>
        <v>326</v>
      </c>
      <c r="E1746" s="7" t="str">
        <f ca="1" xml:space="preserve">
VLOOKUP(
  $D1746,
  Name!$A:$B,
  2,
  FALSE
)
&amp; " " &amp;
IF($B1746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Rainah Ricci Cardozo</v>
      </c>
      <c r="F1746" s="7">
        <v>2</v>
      </c>
      <c r="G1746" s="7" cm="1">
        <f t="array" aca="1" ref="G1746" ca="1">INDEX(States!$B:$B,RANDBETWEEN(2,COUNTA(States!$A:$A)),1)</f>
        <v>15</v>
      </c>
      <c r="H1746" s="7" t="str">
        <f ca="1">VLOOKUP($D1746,Name!$A:$C,3,FALSE)</f>
        <v>F</v>
      </c>
      <c r="I1746" s="7" cm="1">
        <f t="array" aca="1" ref="I1746" ca="1">INDEX('Marital status'!$A:$A,RANDBETWEEN(2,COUNTA('Marital status'!$A:$A)),1)</f>
        <v>4</v>
      </c>
      <c r="J1746" s="7">
        <f t="shared" ca="1" si="327"/>
        <v>2</v>
      </c>
      <c r="K1746" s="8">
        <f t="shared" ca="1" si="328"/>
        <v>20268</v>
      </c>
      <c r="L1746" s="6">
        <f t="shared" ca="1" si="329"/>
        <v>4</v>
      </c>
      <c r="M1746" s="7">
        <f ca="1" xml:space="preserve">
  IF(OR($N1746 = 2, $N1746 = 3, $N1746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746" s="6">
        <f t="shared" ca="1" si="330"/>
        <v>6</v>
      </c>
      <c r="O1746" s="6" t="e">
        <f t="shared" ca="1" si="331"/>
        <v>#N/A</v>
      </c>
      <c r="P1746" s="8">
        <f t="shared" ca="1" si="332"/>
        <v>40429</v>
      </c>
      <c r="Q1746" s="6">
        <f ca="1">RANDBETWEEN(2,COUNTA('Recruitment source'!$A:$A))</f>
        <v>10</v>
      </c>
      <c r="R1746" s="8" t="e">
        <f t="shared" ca="1" si="333"/>
        <v>#N/A</v>
      </c>
      <c r="S1746" s="6" t="e">
        <f t="shared" ca="1" si="334"/>
        <v>#N/A</v>
      </c>
      <c r="T1746" s="6">
        <f t="shared" ca="1" si="324"/>
        <v>2</v>
      </c>
      <c r="U1746" s="1">
        <f t="shared" ca="1" si="335"/>
        <v>805</v>
      </c>
    </row>
    <row r="1747" spans="1:21" x14ac:dyDescent="0.2">
      <c r="A1747" s="7" cm="1">
        <f t="array" aca="1" ref="A1747" ca="1">INDEX(Companies!$A:$A,RANDBETWEEN(2,COUNTA(Companies!$A:$A)),1)</f>
        <v>2</v>
      </c>
      <c r="B1747" s="5">
        <f t="shared" si="325"/>
        <v>1746</v>
      </c>
      <c r="C1747" s="6">
        <f t="shared" ca="1" si="326"/>
        <v>1</v>
      </c>
      <c r="D1747" s="7">
        <f ca="1">IF($B1747 = 1 + N("Presidente"),
    127,
    IF($B1747 = 2 + N("Vice-Presidente"),
        72,
        IF($B1747 = 3 + N("Secretária bilíngue"),
            13,
            RANDBETWEEN(5,COUNT(Name!$A:$A) + 1)
        )
    )
)</f>
        <v>125</v>
      </c>
      <c r="E1747" s="7" t="str">
        <f ca="1" xml:space="preserve">
VLOOKUP(
  $D1747,
  Name!$A:$B,
  2,
  FALSE
)
&amp; " " &amp;
IF($B1747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Emmanuel Testa Vieira</v>
      </c>
      <c r="F1747" s="7">
        <v>2</v>
      </c>
      <c r="G1747" s="7" cm="1">
        <f t="array" aca="1" ref="G1747" ca="1">INDEX(States!$B:$B,RANDBETWEEN(2,COUNTA(States!$A:$A)),1)</f>
        <v>10</v>
      </c>
      <c r="H1747" s="7" t="str">
        <f ca="1">VLOOKUP($D1747,Name!$A:$C,3,FALSE)</f>
        <v>M</v>
      </c>
      <c r="I1747" s="7" cm="1">
        <f t="array" aca="1" ref="I1747" ca="1">INDEX('Marital status'!$A:$A,RANDBETWEEN(2,COUNTA('Marital status'!$A:$A)),1)</f>
        <v>5</v>
      </c>
      <c r="J1747" s="7">
        <f t="shared" ca="1" si="327"/>
        <v>2</v>
      </c>
      <c r="K1747" s="8">
        <f t="shared" ca="1" si="328"/>
        <v>36821</v>
      </c>
      <c r="L1747" s="6">
        <f t="shared" ca="1" si="329"/>
        <v>4</v>
      </c>
      <c r="M1747" s="7">
        <f ca="1" xml:space="preserve">
  IF(OR($N1747 = 2, $N1747 = 3, $N1747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747" s="6">
        <f t="shared" ca="1" si="330"/>
        <v>8</v>
      </c>
      <c r="O1747" s="6">
        <f t="shared" ca="1" si="331"/>
        <v>4</v>
      </c>
      <c r="P1747" s="8">
        <f t="shared" ca="1" si="332"/>
        <v>40352</v>
      </c>
      <c r="Q1747" s="6">
        <f ca="1">RANDBETWEEN(2,COUNTA('Recruitment source'!$A:$A))</f>
        <v>6</v>
      </c>
      <c r="R1747" s="8" t="e">
        <f t="shared" ca="1" si="333"/>
        <v>#N/A</v>
      </c>
      <c r="S1747" s="6" t="e">
        <f t="shared" ca="1" si="334"/>
        <v>#N/A</v>
      </c>
      <c r="T1747" s="6">
        <f t="shared" ca="1" si="324"/>
        <v>4</v>
      </c>
      <c r="U1747" s="1">
        <f t="shared" ca="1" si="335"/>
        <v>2000</v>
      </c>
    </row>
    <row r="1748" spans="1:21" x14ac:dyDescent="0.2">
      <c r="A1748" s="7" cm="1">
        <f t="array" aca="1" ref="A1748" ca="1">INDEX(Companies!$A:$A,RANDBETWEEN(2,COUNTA(Companies!$A:$A)),1)</f>
        <v>2</v>
      </c>
      <c r="B1748" s="5">
        <f t="shared" si="325"/>
        <v>1747</v>
      </c>
      <c r="C1748" s="6">
        <f t="shared" ca="1" si="326"/>
        <v>1</v>
      </c>
      <c r="D1748" s="7">
        <f ca="1">IF($B1748 = 1 + N("Presidente"),
    127,
    IF($B1748 = 2 + N("Vice-Presidente"),
        72,
        IF($B1748 = 3 + N("Secretária bilíngue"),
            13,
            RANDBETWEEN(5,COUNT(Name!$A:$A) + 1)
        )
    )
)</f>
        <v>36</v>
      </c>
      <c r="E1748" s="7" t="str">
        <f ca="1" xml:space="preserve">
VLOOKUP(
  $D1748,
  Name!$A:$B,
  2,
  FALSE
)
&amp; " " &amp;
IF($B1748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Sophia Lombardi Bactista</v>
      </c>
      <c r="F1748" s="7">
        <v>2</v>
      </c>
      <c r="G1748" s="7" cm="1">
        <f t="array" aca="1" ref="G1748" ca="1">INDEX(States!$B:$B,RANDBETWEEN(2,COUNTA(States!$A:$A)),1)</f>
        <v>9</v>
      </c>
      <c r="H1748" s="7" t="str">
        <f ca="1">VLOOKUP($D1748,Name!$A:$C,3,FALSE)</f>
        <v>F</v>
      </c>
      <c r="I1748" s="7" cm="1">
        <f t="array" aca="1" ref="I1748" ca="1">INDEX('Marital status'!$A:$A,RANDBETWEEN(2,COUNTA('Marital status'!$A:$A)),1)</f>
        <v>2</v>
      </c>
      <c r="J1748" s="7">
        <f t="shared" ca="1" si="327"/>
        <v>5</v>
      </c>
      <c r="K1748" s="8">
        <f t="shared" ca="1" si="328"/>
        <v>30868</v>
      </c>
      <c r="L1748" s="6">
        <f t="shared" ca="1" si="329"/>
        <v>4</v>
      </c>
      <c r="M1748" s="7">
        <f ca="1" xml:space="preserve">
  IF(OR($N1748 = 2, $N1748 = 3, $N1748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748" s="6">
        <f t="shared" ca="1" si="330"/>
        <v>7</v>
      </c>
      <c r="O1748" s="6" t="e">
        <f t="shared" ca="1" si="331"/>
        <v>#N/A</v>
      </c>
      <c r="P1748" s="8">
        <f t="shared" ca="1" si="332"/>
        <v>44505</v>
      </c>
      <c r="Q1748" s="6">
        <f ca="1">RANDBETWEEN(2,COUNTA('Recruitment source'!$A:$A))</f>
        <v>10</v>
      </c>
      <c r="R1748" s="8" t="e">
        <f t="shared" ca="1" si="333"/>
        <v>#N/A</v>
      </c>
      <c r="S1748" s="6" t="e">
        <f t="shared" ca="1" si="334"/>
        <v>#N/A</v>
      </c>
      <c r="T1748" s="6">
        <f t="shared" ca="1" si="324"/>
        <v>5</v>
      </c>
      <c r="U1748" s="1">
        <f t="shared" ca="1" si="335"/>
        <v>1005</v>
      </c>
    </row>
    <row r="1749" spans="1:21" x14ac:dyDescent="0.2">
      <c r="A1749" s="7" cm="1">
        <f t="array" aca="1" ref="A1749" ca="1">INDEX(Companies!$A:$A,RANDBETWEEN(2,COUNTA(Companies!$A:$A)),1)</f>
        <v>2</v>
      </c>
      <c r="B1749" s="5">
        <f t="shared" si="325"/>
        <v>1748</v>
      </c>
      <c r="C1749" s="6">
        <f t="shared" ca="1" si="326"/>
        <v>1</v>
      </c>
      <c r="D1749" s="7">
        <f ca="1">IF($B1749 = 1 + N("Presidente"),
    127,
    IF($B1749 = 2 + N("Vice-Presidente"),
        72,
        IF($B1749 = 3 + N("Secretária bilíngue"),
            13,
            RANDBETWEEN(5,COUNT(Name!$A:$A) + 1)
        )
    )
)</f>
        <v>86</v>
      </c>
      <c r="E1749" s="7" t="str">
        <f ca="1" xml:space="preserve">
VLOOKUP(
  $D1749,
  Name!$A:$B,
  2,
  FALSE
)
&amp; " " &amp;
IF($B1749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Carolina Silva Nunes</v>
      </c>
      <c r="F1749" s="7">
        <v>2</v>
      </c>
      <c r="G1749" s="7" cm="1">
        <f t="array" aca="1" ref="G1749" ca="1">INDEX(States!$B:$B,RANDBETWEEN(2,COUNTA(States!$A:$A)),1)</f>
        <v>17</v>
      </c>
      <c r="H1749" s="7" t="str">
        <f ca="1">VLOOKUP($D1749,Name!$A:$C,3,FALSE)</f>
        <v>F</v>
      </c>
      <c r="I1749" s="7" cm="1">
        <f t="array" aca="1" ref="I1749" ca="1">INDEX('Marital status'!$A:$A,RANDBETWEEN(2,COUNTA('Marital status'!$A:$A)),1)</f>
        <v>6</v>
      </c>
      <c r="J1749" s="7">
        <f t="shared" ca="1" si="327"/>
        <v>4</v>
      </c>
      <c r="K1749" s="8">
        <f t="shared" ca="1" si="328"/>
        <v>35971</v>
      </c>
      <c r="L1749" s="6">
        <f t="shared" ca="1" si="329"/>
        <v>4</v>
      </c>
      <c r="M1749" s="7">
        <f ca="1" xml:space="preserve">
  IF(OR($N1749 = 2, $N1749 = 3, $N1749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749" s="6">
        <f t="shared" ca="1" si="330"/>
        <v>8</v>
      </c>
      <c r="O1749" s="6">
        <f t="shared" ca="1" si="331"/>
        <v>2</v>
      </c>
      <c r="P1749" s="8">
        <f t="shared" ca="1" si="332"/>
        <v>40088</v>
      </c>
      <c r="Q1749" s="6">
        <f ca="1">RANDBETWEEN(2,COUNTA('Recruitment source'!$A:$A))</f>
        <v>8</v>
      </c>
      <c r="R1749" s="8" t="e">
        <f t="shared" ca="1" si="333"/>
        <v>#N/A</v>
      </c>
      <c r="S1749" s="6" t="e">
        <f t="shared" ca="1" si="334"/>
        <v>#N/A</v>
      </c>
      <c r="T1749" s="6">
        <f t="shared" ca="1" si="324"/>
        <v>4</v>
      </c>
      <c r="U1749" s="1">
        <f t="shared" ca="1" si="335"/>
        <v>2080</v>
      </c>
    </row>
    <row r="1750" spans="1:21" x14ac:dyDescent="0.2">
      <c r="A1750" s="7" cm="1">
        <f t="array" aca="1" ref="A1750" ca="1">INDEX(Companies!$A:$A,RANDBETWEEN(2,COUNTA(Companies!$A:$A)),1)</f>
        <v>2</v>
      </c>
      <c r="B1750" s="5">
        <f t="shared" si="325"/>
        <v>1749</v>
      </c>
      <c r="C1750" s="6">
        <f t="shared" ca="1" si="326"/>
        <v>1</v>
      </c>
      <c r="D1750" s="7">
        <f ca="1">IF($B1750 = 1 + N("Presidente"),
    127,
    IF($B1750 = 2 + N("Vice-Presidente"),
        72,
        IF($B1750 = 3 + N("Secretária bilíngue"),
            13,
            RANDBETWEEN(5,COUNT(Name!$A:$A) + 1)
        )
    )
)</f>
        <v>351</v>
      </c>
      <c r="E1750" s="7" t="str">
        <f ca="1" xml:space="preserve">
VLOOKUP(
  $D1750,
  Name!$A:$B,
  2,
  FALSE
)
&amp; " " &amp;
IF($B1750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Vera Lucia Dantas Noronha</v>
      </c>
      <c r="F1750" s="7">
        <v>2</v>
      </c>
      <c r="G1750" s="7" cm="1">
        <f t="array" aca="1" ref="G1750" ca="1">INDEX(States!$B:$B,RANDBETWEEN(2,COUNTA(States!$A:$A)),1)</f>
        <v>21</v>
      </c>
      <c r="H1750" s="7" t="str">
        <f ca="1">VLOOKUP($D1750,Name!$A:$C,3,FALSE)</f>
        <v>F</v>
      </c>
      <c r="I1750" s="7" cm="1">
        <f t="array" aca="1" ref="I1750" ca="1">INDEX('Marital status'!$A:$A,RANDBETWEEN(2,COUNTA('Marital status'!$A:$A)),1)</f>
        <v>6</v>
      </c>
      <c r="J1750" s="7">
        <f t="shared" ca="1" si="327"/>
        <v>3</v>
      </c>
      <c r="K1750" s="8">
        <f t="shared" ca="1" si="328"/>
        <v>19501</v>
      </c>
      <c r="L1750" s="6">
        <f t="shared" ca="1" si="329"/>
        <v>4</v>
      </c>
      <c r="M1750" s="7">
        <f ca="1" xml:space="preserve">
  IF(OR($N1750 = 2, $N1750 = 3, $N1750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750" s="6">
        <f t="shared" ca="1" si="330"/>
        <v>6</v>
      </c>
      <c r="O1750" s="6" t="e">
        <f t="shared" ca="1" si="331"/>
        <v>#N/A</v>
      </c>
      <c r="P1750" s="8">
        <f t="shared" ca="1" si="332"/>
        <v>42652</v>
      </c>
      <c r="Q1750" s="6">
        <f ca="1">RANDBETWEEN(2,COUNTA('Recruitment source'!$A:$A))</f>
        <v>12</v>
      </c>
      <c r="R1750" s="8" t="e">
        <f t="shared" ca="1" si="333"/>
        <v>#N/A</v>
      </c>
      <c r="S1750" s="6" t="e">
        <f t="shared" ca="1" si="334"/>
        <v>#N/A</v>
      </c>
      <c r="T1750" s="6">
        <f t="shared" ca="1" si="324"/>
        <v>2</v>
      </c>
      <c r="U1750" s="1">
        <f t="shared" ca="1" si="335"/>
        <v>885</v>
      </c>
    </row>
    <row r="1751" spans="1:21" x14ac:dyDescent="0.2">
      <c r="A1751" s="7" cm="1">
        <f t="array" aca="1" ref="A1751" ca="1">INDEX(Companies!$A:$A,RANDBETWEEN(2,COUNTA(Companies!$A:$A)),1)</f>
        <v>2</v>
      </c>
      <c r="B1751" s="5">
        <f t="shared" si="325"/>
        <v>1750</v>
      </c>
      <c r="C1751" s="6">
        <f t="shared" ca="1" si="326"/>
        <v>1</v>
      </c>
      <c r="D1751" s="7">
        <f ca="1">IF($B1751 = 1 + N("Presidente"),
    127,
    IF($B1751 = 2 + N("Vice-Presidente"),
        72,
        IF($B1751 = 3 + N("Secretária bilíngue"),
            13,
            RANDBETWEEN(5,COUNT(Name!$A:$A) + 1)
        )
    )
)</f>
        <v>23</v>
      </c>
      <c r="E1751" s="7" t="str">
        <f ca="1" xml:space="preserve">
VLOOKUP(
  $D1751,
  Name!$A:$B,
  2,
  FALSE
)
&amp; " " &amp;
IF($B1751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Amanda Almeida Anjos</v>
      </c>
      <c r="F1751" s="7">
        <v>2</v>
      </c>
      <c r="G1751" s="7" cm="1">
        <f t="array" aca="1" ref="G1751" ca="1">INDEX(States!$B:$B,RANDBETWEEN(2,COUNTA(States!$A:$A)),1)</f>
        <v>8</v>
      </c>
      <c r="H1751" s="7" t="str">
        <f ca="1">VLOOKUP($D1751,Name!$A:$C,3,FALSE)</f>
        <v>F</v>
      </c>
      <c r="I1751" s="7" cm="1">
        <f t="array" aca="1" ref="I1751" ca="1">INDEX('Marital status'!$A:$A,RANDBETWEEN(2,COUNTA('Marital status'!$A:$A)),1)</f>
        <v>4</v>
      </c>
      <c r="J1751" s="7">
        <f t="shared" ca="1" si="327"/>
        <v>2</v>
      </c>
      <c r="K1751" s="8">
        <f t="shared" ca="1" si="328"/>
        <v>33957</v>
      </c>
      <c r="L1751" s="6">
        <f t="shared" ca="1" si="329"/>
        <v>4</v>
      </c>
      <c r="M1751" s="7">
        <f ca="1" xml:space="preserve">
  IF(OR($N1751 = 2, $N1751 = 3, $N1751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751" s="6">
        <f t="shared" ca="1" si="330"/>
        <v>8</v>
      </c>
      <c r="O1751" s="6">
        <f t="shared" ca="1" si="331"/>
        <v>4</v>
      </c>
      <c r="P1751" s="8">
        <f t="shared" ca="1" si="332"/>
        <v>41897</v>
      </c>
      <c r="Q1751" s="6">
        <f ca="1">RANDBETWEEN(2,COUNTA('Recruitment source'!$A:$A))</f>
        <v>12</v>
      </c>
      <c r="R1751" s="8" t="e">
        <f t="shared" ca="1" si="333"/>
        <v>#N/A</v>
      </c>
      <c r="S1751" s="6" t="e">
        <f t="shared" ca="1" si="334"/>
        <v>#N/A</v>
      </c>
      <c r="T1751" s="6">
        <f t="shared" ca="1" si="324"/>
        <v>4</v>
      </c>
      <c r="U1751" s="1">
        <f t="shared" ca="1" si="335"/>
        <v>2080</v>
      </c>
    </row>
    <row r="1752" spans="1:21" x14ac:dyDescent="0.2">
      <c r="A1752" s="7" cm="1">
        <f t="array" aca="1" ref="A1752" ca="1">INDEX(Companies!$A:$A,RANDBETWEEN(2,COUNTA(Companies!$A:$A)),1)</f>
        <v>2</v>
      </c>
      <c r="B1752" s="5">
        <f t="shared" si="325"/>
        <v>1751</v>
      </c>
      <c r="C1752" s="6">
        <f t="shared" ca="1" si="326"/>
        <v>1</v>
      </c>
      <c r="D1752" s="7">
        <f ca="1">IF($B1752 = 1 + N("Presidente"),
    127,
    IF($B1752 = 2 + N("Vice-Presidente"),
        72,
        IF($B1752 = 3 + N("Secretária bilíngue"),
            13,
            RANDBETWEEN(5,COUNT(Name!$A:$A) + 1)
        )
    )
)</f>
        <v>292</v>
      </c>
      <c r="E1752" s="7" t="str">
        <f ca="1" xml:space="preserve">
VLOOKUP(
  $D1752,
  Name!$A:$B,
  2,
  FALSE
)
&amp; " " &amp;
IF($B1752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Micaela Aleluia Serra</v>
      </c>
      <c r="F1752" s="7">
        <v>2</v>
      </c>
      <c r="G1752" s="7" cm="1">
        <f t="array" aca="1" ref="G1752" ca="1">INDEX(States!$B:$B,RANDBETWEEN(2,COUNTA(States!$A:$A)),1)</f>
        <v>9</v>
      </c>
      <c r="H1752" s="7" t="str">
        <f ca="1">VLOOKUP($D1752,Name!$A:$C,3,FALSE)</f>
        <v>F</v>
      </c>
      <c r="I1752" s="7" cm="1">
        <f t="array" aca="1" ref="I1752" ca="1">INDEX('Marital status'!$A:$A,RANDBETWEEN(2,COUNTA('Marital status'!$A:$A)),1)</f>
        <v>4</v>
      </c>
      <c r="J1752" s="7">
        <f t="shared" ca="1" si="327"/>
        <v>2</v>
      </c>
      <c r="K1752" s="8">
        <f t="shared" ca="1" si="328"/>
        <v>31382</v>
      </c>
      <c r="L1752" s="6">
        <f t="shared" ca="1" si="329"/>
        <v>4</v>
      </c>
      <c r="M1752" s="7">
        <f ca="1" xml:space="preserve">
  IF(OR($N1752 = 2, $N1752 = 3, $N1752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752" s="6">
        <f t="shared" ca="1" si="330"/>
        <v>7</v>
      </c>
      <c r="O1752" s="6" t="e">
        <f t="shared" ca="1" si="331"/>
        <v>#N/A</v>
      </c>
      <c r="P1752" s="8">
        <f t="shared" ca="1" si="332"/>
        <v>43653</v>
      </c>
      <c r="Q1752" s="6">
        <f ca="1">RANDBETWEEN(2,COUNTA('Recruitment source'!$A:$A))</f>
        <v>8</v>
      </c>
      <c r="R1752" s="8" t="e">
        <f t="shared" ca="1" si="333"/>
        <v>#N/A</v>
      </c>
      <c r="S1752" s="6" t="e">
        <f t="shared" ca="1" si="334"/>
        <v>#N/A</v>
      </c>
      <c r="T1752" s="6">
        <f t="shared" ca="1" si="324"/>
        <v>4</v>
      </c>
      <c r="U1752" s="1">
        <f t="shared" ca="1" si="335"/>
        <v>1085</v>
      </c>
    </row>
    <row r="1753" spans="1:21" x14ac:dyDescent="0.2">
      <c r="A1753" s="7" cm="1">
        <f t="array" aca="1" ref="A1753" ca="1">INDEX(Companies!$A:$A,RANDBETWEEN(2,COUNTA(Companies!$A:$A)),1)</f>
        <v>2</v>
      </c>
      <c r="B1753" s="5">
        <f t="shared" si="325"/>
        <v>1752</v>
      </c>
      <c r="C1753" s="6">
        <f t="shared" ca="1" si="326"/>
        <v>1</v>
      </c>
      <c r="D1753" s="7">
        <f ca="1">IF($B1753 = 1 + N("Presidente"),
    127,
    IF($B1753 = 2 + N("Vice-Presidente"),
        72,
        IF($B1753 = 3 + N("Secretária bilíngue"),
            13,
            RANDBETWEEN(5,COUNT(Name!$A:$A) + 1)
        )
    )
)</f>
        <v>155</v>
      </c>
      <c r="E1753" s="7" t="str">
        <f ca="1" xml:space="preserve">
VLOOKUP(
  $D1753,
  Name!$A:$B,
  2,
  FALSE
)
&amp; " " &amp;
IF($B1753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Gloria Veiga Coelho</v>
      </c>
      <c r="F1753" s="7">
        <v>2</v>
      </c>
      <c r="G1753" s="7" cm="1">
        <f t="array" aca="1" ref="G1753" ca="1">INDEX(States!$B:$B,RANDBETWEEN(2,COUNTA(States!$A:$A)),1)</f>
        <v>6</v>
      </c>
      <c r="H1753" s="7" t="str">
        <f ca="1">VLOOKUP($D1753,Name!$A:$C,3,FALSE)</f>
        <v>F</v>
      </c>
      <c r="I1753" s="7" cm="1">
        <f t="array" aca="1" ref="I1753" ca="1">INDEX('Marital status'!$A:$A,RANDBETWEEN(2,COUNTA('Marital status'!$A:$A)),1)</f>
        <v>6</v>
      </c>
      <c r="J1753" s="7">
        <f t="shared" ca="1" si="327"/>
        <v>2</v>
      </c>
      <c r="K1753" s="8">
        <f t="shared" ca="1" si="328"/>
        <v>35867</v>
      </c>
      <c r="L1753" s="6">
        <f t="shared" ca="1" si="329"/>
        <v>5</v>
      </c>
      <c r="M1753" s="7">
        <f ca="1" xml:space="preserve">
  IF(OR($N1753 = 2, $N1753 = 3, $N1753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753" s="6">
        <f t="shared" ca="1" si="330"/>
        <v>8</v>
      </c>
      <c r="O1753" s="6">
        <f t="shared" ca="1" si="331"/>
        <v>3</v>
      </c>
      <c r="P1753" s="8">
        <f t="shared" ca="1" si="332"/>
        <v>42132</v>
      </c>
      <c r="Q1753" s="6">
        <f ca="1">RANDBETWEEN(2,COUNTA('Recruitment source'!$A:$A))</f>
        <v>7</v>
      </c>
      <c r="R1753" s="8" t="e">
        <f t="shared" ca="1" si="333"/>
        <v>#N/A</v>
      </c>
      <c r="S1753" s="6" t="e">
        <f t="shared" ca="1" si="334"/>
        <v>#N/A</v>
      </c>
      <c r="T1753" s="6">
        <f t="shared" ca="1" si="324"/>
        <v>2</v>
      </c>
      <c r="U1753" s="1">
        <f t="shared" ca="1" si="335"/>
        <v>2080</v>
      </c>
    </row>
    <row r="1754" spans="1:21" x14ac:dyDescent="0.2">
      <c r="A1754" s="7" cm="1">
        <f t="array" aca="1" ref="A1754" ca="1">INDEX(Companies!$A:$A,RANDBETWEEN(2,COUNTA(Companies!$A:$A)),1)</f>
        <v>2</v>
      </c>
      <c r="B1754" s="5">
        <f t="shared" si="325"/>
        <v>1753</v>
      </c>
      <c r="C1754" s="6">
        <f t="shared" ca="1" si="326"/>
        <v>1</v>
      </c>
      <c r="D1754" s="7">
        <f ca="1">IF($B1754 = 1 + N("Presidente"),
    127,
    IF($B1754 = 2 + N("Vice-Presidente"),
        72,
        IF($B1754 = 3 + N("Secretária bilíngue"),
            13,
            RANDBETWEEN(5,COUNT(Name!$A:$A) + 1)
        )
    )
)</f>
        <v>223</v>
      </c>
      <c r="E1754" s="7" t="str">
        <f ca="1" xml:space="preserve">
VLOOKUP(
  $D1754,
  Name!$A:$B,
  2,
  FALSE
)
&amp; " " &amp;
IF($B1754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Leonardo Peçanha Mancini</v>
      </c>
      <c r="F1754" s="7">
        <v>2</v>
      </c>
      <c r="G1754" s="7" cm="1">
        <f t="array" aca="1" ref="G1754" ca="1">INDEX(States!$B:$B,RANDBETWEEN(2,COUNTA(States!$A:$A)),1)</f>
        <v>20</v>
      </c>
      <c r="H1754" s="7" t="str">
        <f ca="1">VLOOKUP($D1754,Name!$A:$C,3,FALSE)</f>
        <v>M</v>
      </c>
      <c r="I1754" s="7" cm="1">
        <f t="array" aca="1" ref="I1754" ca="1">INDEX('Marital status'!$A:$A,RANDBETWEEN(2,COUNTA('Marital status'!$A:$A)),1)</f>
        <v>4</v>
      </c>
      <c r="J1754" s="7">
        <f t="shared" ca="1" si="327"/>
        <v>2</v>
      </c>
      <c r="K1754" s="8">
        <f t="shared" ca="1" si="328"/>
        <v>32114</v>
      </c>
      <c r="L1754" s="6">
        <f t="shared" ca="1" si="329"/>
        <v>4</v>
      </c>
      <c r="M1754" s="7">
        <f ca="1" xml:space="preserve">
  IF(OR($N1754 = 2, $N1754 = 3, $N1754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754" s="6">
        <f t="shared" ca="1" si="330"/>
        <v>6</v>
      </c>
      <c r="O1754" s="6" t="e">
        <f t="shared" ca="1" si="331"/>
        <v>#N/A</v>
      </c>
      <c r="P1754" s="8">
        <f t="shared" ca="1" si="332"/>
        <v>42176</v>
      </c>
      <c r="Q1754" s="6">
        <f ca="1">RANDBETWEEN(2,COUNTA('Recruitment source'!$A:$A))</f>
        <v>8</v>
      </c>
      <c r="R1754" s="8" t="e">
        <f t="shared" ca="1" si="333"/>
        <v>#N/A</v>
      </c>
      <c r="S1754" s="6" t="e">
        <f t="shared" ca="1" si="334"/>
        <v>#N/A</v>
      </c>
      <c r="T1754" s="6">
        <f t="shared" ca="1" si="324"/>
        <v>4</v>
      </c>
      <c r="U1754" s="1">
        <f t="shared" ca="1" si="335"/>
        <v>805</v>
      </c>
    </row>
    <row r="1755" spans="1:21" x14ac:dyDescent="0.2">
      <c r="A1755" s="7" cm="1">
        <f t="array" aca="1" ref="A1755" ca="1">INDEX(Companies!$A:$A,RANDBETWEEN(2,COUNTA(Companies!$A:$A)),1)</f>
        <v>2</v>
      </c>
      <c r="B1755" s="5">
        <f t="shared" si="325"/>
        <v>1754</v>
      </c>
      <c r="C1755" s="6">
        <f t="shared" ca="1" si="326"/>
        <v>1</v>
      </c>
      <c r="D1755" s="7">
        <f ca="1">IF($B1755 = 1 + N("Presidente"),
    127,
    IF($B1755 = 2 + N("Vice-Presidente"),
        72,
        IF($B1755 = 3 + N("Secretária bilíngue"),
            13,
            RANDBETWEEN(5,COUNT(Name!$A:$A) + 1)
        )
    )
)</f>
        <v>266</v>
      </c>
      <c r="E1755" s="7" t="str">
        <f ca="1" xml:space="preserve">
VLOOKUP(
  $D1755,
  Name!$A:$B,
  2,
  FALSE
)
&amp; " " &amp;
IF($B1755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Helena Rizzo Bandeira</v>
      </c>
      <c r="F1755" s="7">
        <v>2</v>
      </c>
      <c r="G1755" s="7" cm="1">
        <f t="array" aca="1" ref="G1755" ca="1">INDEX(States!$B:$B,RANDBETWEEN(2,COUNTA(States!$A:$A)),1)</f>
        <v>5</v>
      </c>
      <c r="H1755" s="7" t="str">
        <f ca="1">VLOOKUP($D1755,Name!$A:$C,3,FALSE)</f>
        <v>F</v>
      </c>
      <c r="I1755" s="7" cm="1">
        <f t="array" aca="1" ref="I1755" ca="1">INDEX('Marital status'!$A:$A,RANDBETWEEN(2,COUNTA('Marital status'!$A:$A)),1)</f>
        <v>3</v>
      </c>
      <c r="J1755" s="7">
        <f t="shared" ca="1" si="327"/>
        <v>2</v>
      </c>
      <c r="K1755" s="8">
        <f t="shared" ca="1" si="328"/>
        <v>34399</v>
      </c>
      <c r="L1755" s="6">
        <f t="shared" ca="1" si="329"/>
        <v>5</v>
      </c>
      <c r="M1755" s="7">
        <f ca="1" xml:space="preserve">
  IF(OR($N1755 = 2, $N1755 = 3, $N1755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755" s="6">
        <f t="shared" ca="1" si="330"/>
        <v>8</v>
      </c>
      <c r="O1755" s="6">
        <f t="shared" ca="1" si="331"/>
        <v>4</v>
      </c>
      <c r="P1755" s="8">
        <f t="shared" ca="1" si="332"/>
        <v>42291</v>
      </c>
      <c r="Q1755" s="6">
        <f ca="1">RANDBETWEEN(2,COUNTA('Recruitment source'!$A:$A))</f>
        <v>2</v>
      </c>
      <c r="R1755" s="8" t="e">
        <f t="shared" ca="1" si="333"/>
        <v>#N/A</v>
      </c>
      <c r="S1755" s="6" t="e">
        <f t="shared" ca="1" si="334"/>
        <v>#N/A</v>
      </c>
      <c r="T1755" s="6">
        <f t="shared" ca="1" si="324"/>
        <v>3</v>
      </c>
      <c r="U1755" s="1">
        <f t="shared" ca="1" si="335"/>
        <v>2080</v>
      </c>
    </row>
    <row r="1756" spans="1:21" x14ac:dyDescent="0.2">
      <c r="A1756" s="7" cm="1">
        <f t="array" aca="1" ref="A1756" ca="1">INDEX(Companies!$A:$A,RANDBETWEEN(2,COUNTA(Companies!$A:$A)),1)</f>
        <v>2</v>
      </c>
      <c r="B1756" s="5">
        <f t="shared" si="325"/>
        <v>1755</v>
      </c>
      <c r="C1756" s="6">
        <f t="shared" ca="1" si="326"/>
        <v>1</v>
      </c>
      <c r="D1756" s="7">
        <f ca="1">IF($B1756 = 1 + N("Presidente"),
    127,
    IF($B1756 = 2 + N("Vice-Presidente"),
        72,
        IF($B1756 = 3 + N("Secretária bilíngue"),
            13,
            RANDBETWEEN(5,COUNT(Name!$A:$A) + 1)
        )
    )
)</f>
        <v>290</v>
      </c>
      <c r="E1756" s="7" t="str">
        <f ca="1" xml:space="preserve">
VLOOKUP(
  $D1756,
  Name!$A:$B,
  2,
  FALSE
)
&amp; " " &amp;
IF($B1756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Melissa Tavarez Martins</v>
      </c>
      <c r="F1756" s="7">
        <v>2</v>
      </c>
      <c r="G1756" s="7" cm="1">
        <f t="array" aca="1" ref="G1756" ca="1">INDEX(States!$B:$B,RANDBETWEEN(2,COUNTA(States!$A:$A)),1)</f>
        <v>19</v>
      </c>
      <c r="H1756" s="7" t="str">
        <f ca="1">VLOOKUP($D1756,Name!$A:$C,3,FALSE)</f>
        <v>F</v>
      </c>
      <c r="I1756" s="7" cm="1">
        <f t="array" aca="1" ref="I1756" ca="1">INDEX('Marital status'!$A:$A,RANDBETWEEN(2,COUNTA('Marital status'!$A:$A)),1)</f>
        <v>4</v>
      </c>
      <c r="J1756" s="7">
        <f t="shared" ca="1" si="327"/>
        <v>2</v>
      </c>
      <c r="K1756" s="8">
        <f t="shared" ca="1" si="328"/>
        <v>34461</v>
      </c>
      <c r="L1756" s="6">
        <f t="shared" ca="1" si="329"/>
        <v>4</v>
      </c>
      <c r="M1756" s="7">
        <f ca="1" xml:space="preserve">
  IF(OR($N1756 = 2, $N1756 = 3, $N1756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756" s="6">
        <f t="shared" ca="1" si="330"/>
        <v>7</v>
      </c>
      <c r="O1756" s="6" t="e">
        <f t="shared" ca="1" si="331"/>
        <v>#N/A</v>
      </c>
      <c r="P1756" s="8">
        <f t="shared" ca="1" si="332"/>
        <v>38528</v>
      </c>
      <c r="Q1756" s="6">
        <f ca="1">RANDBETWEEN(2,COUNTA('Recruitment source'!$A:$A))</f>
        <v>5</v>
      </c>
      <c r="R1756" s="8" t="e">
        <f t="shared" ca="1" si="333"/>
        <v>#N/A</v>
      </c>
      <c r="S1756" s="6" t="e">
        <f t="shared" ca="1" si="334"/>
        <v>#N/A</v>
      </c>
      <c r="T1756" s="6">
        <f t="shared" ca="1" si="324"/>
        <v>3</v>
      </c>
      <c r="U1756" s="1">
        <f t="shared" ca="1" si="335"/>
        <v>1085</v>
      </c>
    </row>
    <row r="1757" spans="1:21" x14ac:dyDescent="0.2">
      <c r="A1757" s="7" cm="1">
        <f t="array" aca="1" ref="A1757" ca="1">INDEX(Companies!$A:$A,RANDBETWEEN(2,COUNTA(Companies!$A:$A)),1)</f>
        <v>2</v>
      </c>
      <c r="B1757" s="5">
        <f t="shared" si="325"/>
        <v>1756</v>
      </c>
      <c r="C1757" s="6">
        <f t="shared" ca="1" si="326"/>
        <v>1</v>
      </c>
      <c r="D1757" s="7">
        <f ca="1">IF($B1757 = 1 + N("Presidente"),
    127,
    IF($B1757 = 2 + N("Vice-Presidente"),
        72,
        IF($B1757 = 3 + N("Secretária bilíngue"),
            13,
            RANDBETWEEN(5,COUNT(Name!$A:$A) + 1)
        )
    )
)</f>
        <v>38</v>
      </c>
      <c r="E1757" s="7" t="str">
        <f ca="1" xml:space="preserve">
VLOOKUP(
  $D1757,
  Name!$A:$B,
  2,
  FALSE
)
&amp; " " &amp;
IF($B1757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Analu Ferrari dos Santos</v>
      </c>
      <c r="F1757" s="7">
        <v>2</v>
      </c>
      <c r="G1757" s="7" cm="1">
        <f t="array" aca="1" ref="G1757" ca="1">INDEX(States!$B:$B,RANDBETWEEN(2,COUNTA(States!$A:$A)),1)</f>
        <v>19</v>
      </c>
      <c r="H1757" s="7" t="str">
        <f ca="1">VLOOKUP($D1757,Name!$A:$C,3,FALSE)</f>
        <v>F</v>
      </c>
      <c r="I1757" s="7" cm="1">
        <f t="array" aca="1" ref="I1757" ca="1">INDEX('Marital status'!$A:$A,RANDBETWEEN(2,COUNTA('Marital status'!$A:$A)),1)</f>
        <v>6</v>
      </c>
      <c r="J1757" s="7">
        <f t="shared" ca="1" si="327"/>
        <v>3</v>
      </c>
      <c r="K1757" s="8">
        <f t="shared" ca="1" si="328"/>
        <v>33055</v>
      </c>
      <c r="L1757" s="6">
        <f t="shared" ca="1" si="329"/>
        <v>4</v>
      </c>
      <c r="M1757" s="7">
        <f ca="1" xml:space="preserve">
  IF(OR($N1757 = 2, $N1757 = 3, $N1757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757" s="6">
        <f t="shared" ca="1" si="330"/>
        <v>8</v>
      </c>
      <c r="O1757" s="6">
        <f t="shared" ca="1" si="331"/>
        <v>4</v>
      </c>
      <c r="P1757" s="8">
        <f t="shared" ca="1" si="332"/>
        <v>44154</v>
      </c>
      <c r="Q1757" s="6">
        <f ca="1">RANDBETWEEN(2,COUNTA('Recruitment source'!$A:$A))</f>
        <v>3</v>
      </c>
      <c r="R1757" s="8" t="e">
        <f t="shared" ca="1" si="333"/>
        <v>#N/A</v>
      </c>
      <c r="S1757" s="6" t="e">
        <f t="shared" ca="1" si="334"/>
        <v>#N/A</v>
      </c>
      <c r="T1757" s="6">
        <f t="shared" ca="1" si="324"/>
        <v>5</v>
      </c>
      <c r="U1757" s="1">
        <f t="shared" ca="1" si="335"/>
        <v>2000</v>
      </c>
    </row>
    <row r="1758" spans="1:21" x14ac:dyDescent="0.2">
      <c r="A1758" s="7" cm="1">
        <f t="array" aca="1" ref="A1758" ca="1">INDEX(Companies!$A:$A,RANDBETWEEN(2,COUNTA(Companies!$A:$A)),1)</f>
        <v>2</v>
      </c>
      <c r="B1758" s="5">
        <f t="shared" si="325"/>
        <v>1757</v>
      </c>
      <c r="C1758" s="6">
        <f t="shared" ca="1" si="326"/>
        <v>1</v>
      </c>
      <c r="D1758" s="7">
        <f ca="1">IF($B1758 = 1 + N("Presidente"),
    127,
    IF($B1758 = 2 + N("Vice-Presidente"),
        72,
        IF($B1758 = 3 + N("Secretária bilíngue"),
            13,
            RANDBETWEEN(5,COUNT(Name!$A:$A) + 1)
        )
    )
)</f>
        <v>308</v>
      </c>
      <c r="E1758" s="7" t="str">
        <f ca="1" xml:space="preserve">
VLOOKUP(
  $D1758,
  Name!$A:$B,
  2,
  FALSE
)
&amp; " " &amp;
IF($B1758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Noah Esposito Teixeira</v>
      </c>
      <c r="F1758" s="7">
        <v>2</v>
      </c>
      <c r="G1758" s="7" cm="1">
        <f t="array" aca="1" ref="G1758" ca="1">INDEX(States!$B:$B,RANDBETWEEN(2,COUNTA(States!$A:$A)),1)</f>
        <v>17</v>
      </c>
      <c r="H1758" s="7" t="str">
        <f ca="1">VLOOKUP($D1758,Name!$A:$C,3,FALSE)</f>
        <v>M</v>
      </c>
      <c r="I1758" s="7" cm="1">
        <f t="array" aca="1" ref="I1758" ca="1">INDEX('Marital status'!$A:$A,RANDBETWEEN(2,COUNTA('Marital status'!$A:$A)),1)</f>
        <v>2</v>
      </c>
      <c r="J1758" s="7">
        <f t="shared" ca="1" si="327"/>
        <v>2</v>
      </c>
      <c r="K1758" s="8">
        <f t="shared" ca="1" si="328"/>
        <v>34256</v>
      </c>
      <c r="L1758" s="6">
        <f t="shared" ca="1" si="329"/>
        <v>4</v>
      </c>
      <c r="M1758" s="7">
        <f ca="1" xml:space="preserve">
  IF(OR($N1758 = 2, $N1758 = 3, $N1758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758" s="6">
        <f t="shared" ca="1" si="330"/>
        <v>7</v>
      </c>
      <c r="O1758" s="6" t="e">
        <f t="shared" ca="1" si="331"/>
        <v>#N/A</v>
      </c>
      <c r="P1758" s="8">
        <f t="shared" ca="1" si="332"/>
        <v>36442</v>
      </c>
      <c r="Q1758" s="6">
        <f ca="1">RANDBETWEEN(2,COUNTA('Recruitment source'!$A:$A))</f>
        <v>9</v>
      </c>
      <c r="R1758" s="8" t="e">
        <f t="shared" ca="1" si="333"/>
        <v>#N/A</v>
      </c>
      <c r="S1758" s="6" t="e">
        <f t="shared" ca="1" si="334"/>
        <v>#N/A</v>
      </c>
      <c r="T1758" s="6">
        <f t="shared" ca="1" si="324"/>
        <v>5</v>
      </c>
      <c r="U1758" s="1">
        <f t="shared" ca="1" si="335"/>
        <v>1005</v>
      </c>
    </row>
    <row r="1759" spans="1:21" x14ac:dyDescent="0.2">
      <c r="A1759" s="7" cm="1">
        <f t="array" aca="1" ref="A1759" ca="1">INDEX(Companies!$A:$A,RANDBETWEEN(2,COUNTA(Companies!$A:$A)),1)</f>
        <v>2</v>
      </c>
      <c r="B1759" s="5">
        <f t="shared" si="325"/>
        <v>1758</v>
      </c>
      <c r="C1759" s="6">
        <f t="shared" ca="1" si="326"/>
        <v>1</v>
      </c>
      <c r="D1759" s="7">
        <f ca="1">IF($B1759 = 1 + N("Presidente"),
    127,
    IF($B1759 = 2 + N("Vice-Presidente"),
        72,
        IF($B1759 = 3 + N("Secretária bilíngue"),
            13,
            RANDBETWEEN(5,COUNT(Name!$A:$A) + 1)
        )
    )
)</f>
        <v>214</v>
      </c>
      <c r="E1759" s="7" t="str">
        <f ca="1" xml:space="preserve">
VLOOKUP(
  $D1759,
  Name!$A:$B,
  2,
  FALSE
)
&amp; " " &amp;
IF($B1759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Kleriston Rossi Resende</v>
      </c>
      <c r="F1759" s="7">
        <v>2</v>
      </c>
      <c r="G1759" s="7" cm="1">
        <f t="array" aca="1" ref="G1759" ca="1">INDEX(States!$B:$B,RANDBETWEEN(2,COUNTA(States!$A:$A)),1)</f>
        <v>20</v>
      </c>
      <c r="H1759" s="7" t="str">
        <f ca="1">VLOOKUP($D1759,Name!$A:$C,3,FALSE)</f>
        <v>M</v>
      </c>
      <c r="I1759" s="7" cm="1">
        <f t="array" aca="1" ref="I1759" ca="1">INDEX('Marital status'!$A:$A,RANDBETWEEN(2,COUNTA('Marital status'!$A:$A)),1)</f>
        <v>3</v>
      </c>
      <c r="J1759" s="7">
        <f t="shared" ca="1" si="327"/>
        <v>2</v>
      </c>
      <c r="K1759" s="8">
        <f t="shared" ca="1" si="328"/>
        <v>35622</v>
      </c>
      <c r="L1759" s="6">
        <f t="shared" ca="1" si="329"/>
        <v>4</v>
      </c>
      <c r="M1759" s="7">
        <f ca="1" xml:space="preserve">
  IF(OR($N1759 = 2, $N1759 = 3, $N1759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759" s="6">
        <f t="shared" ca="1" si="330"/>
        <v>8</v>
      </c>
      <c r="O1759" s="6">
        <f t="shared" ca="1" si="331"/>
        <v>2</v>
      </c>
      <c r="P1759" s="8">
        <f t="shared" ca="1" si="332"/>
        <v>42026</v>
      </c>
      <c r="Q1759" s="6">
        <f ca="1">RANDBETWEEN(2,COUNTA('Recruitment source'!$A:$A))</f>
        <v>4</v>
      </c>
      <c r="R1759" s="8" t="e">
        <f t="shared" ca="1" si="333"/>
        <v>#N/A</v>
      </c>
      <c r="S1759" s="6" t="e">
        <f t="shared" ca="1" si="334"/>
        <v>#N/A</v>
      </c>
      <c r="T1759" s="6">
        <f t="shared" ca="1" si="324"/>
        <v>5</v>
      </c>
      <c r="U1759" s="1">
        <f t="shared" ca="1" si="335"/>
        <v>2080</v>
      </c>
    </row>
    <row r="1760" spans="1:21" x14ac:dyDescent="0.2">
      <c r="A1760" s="7" cm="1">
        <f t="array" aca="1" ref="A1760" ca="1">INDEX(Companies!$A:$A,RANDBETWEEN(2,COUNTA(Companies!$A:$A)),1)</f>
        <v>2</v>
      </c>
      <c r="B1760" s="5">
        <f t="shared" si="325"/>
        <v>1759</v>
      </c>
      <c r="C1760" s="6">
        <f t="shared" ca="1" si="326"/>
        <v>1</v>
      </c>
      <c r="D1760" s="7">
        <f ca="1">IF($B1760 = 1 + N("Presidente"),
    127,
    IF($B1760 = 2 + N("Vice-Presidente"),
        72,
        IF($B1760 = 3 + N("Secretária bilíngue"),
            13,
            RANDBETWEEN(5,COUNT(Name!$A:$A) + 1)
        )
    )
)</f>
        <v>281</v>
      </c>
      <c r="E1760" s="7" t="str">
        <f ca="1" xml:space="preserve">
VLOOKUP(
  $D1760,
  Name!$A:$B,
  2,
  FALSE
)
&amp; " " &amp;
IF($B1760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Marina Brasil Café</v>
      </c>
      <c r="F1760" s="7">
        <v>2</v>
      </c>
      <c r="G1760" s="7" cm="1">
        <f t="array" aca="1" ref="G1760" ca="1">INDEX(States!$B:$B,RANDBETWEEN(2,COUNTA(States!$A:$A)),1)</f>
        <v>20</v>
      </c>
      <c r="H1760" s="7" t="str">
        <f ca="1">VLOOKUP($D1760,Name!$A:$C,3,FALSE)</f>
        <v>F</v>
      </c>
      <c r="I1760" s="7" cm="1">
        <f t="array" aca="1" ref="I1760" ca="1">INDEX('Marital status'!$A:$A,RANDBETWEEN(2,COUNTA('Marital status'!$A:$A)),1)</f>
        <v>6</v>
      </c>
      <c r="J1760" s="7">
        <f t="shared" ca="1" si="327"/>
        <v>4</v>
      </c>
      <c r="K1760" s="8">
        <f t="shared" ca="1" si="328"/>
        <v>27179</v>
      </c>
      <c r="L1760" s="6">
        <f t="shared" ca="1" si="329"/>
        <v>4</v>
      </c>
      <c r="M1760" s="7">
        <f ca="1" xml:space="preserve">
  IF(OR($N1760 = 2, $N1760 = 3, $N1760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760" s="6">
        <f t="shared" ca="1" si="330"/>
        <v>6</v>
      </c>
      <c r="O1760" s="6" t="e">
        <f t="shared" ca="1" si="331"/>
        <v>#N/A</v>
      </c>
      <c r="P1760" s="8">
        <f t="shared" ca="1" si="332"/>
        <v>42739</v>
      </c>
      <c r="Q1760" s="6">
        <f ca="1">RANDBETWEEN(2,COUNTA('Recruitment source'!$A:$A))</f>
        <v>3</v>
      </c>
      <c r="R1760" s="8" t="e">
        <f t="shared" ca="1" si="333"/>
        <v>#N/A</v>
      </c>
      <c r="S1760" s="6" t="e">
        <f t="shared" ca="1" si="334"/>
        <v>#N/A</v>
      </c>
      <c r="T1760" s="6">
        <f t="shared" ca="1" si="324"/>
        <v>3</v>
      </c>
      <c r="U1760" s="1">
        <f t="shared" ca="1" si="335"/>
        <v>885</v>
      </c>
    </row>
    <row r="1761" spans="1:21" x14ac:dyDescent="0.2">
      <c r="A1761" s="7" cm="1">
        <f t="array" aca="1" ref="A1761" ca="1">INDEX(Companies!$A:$A,RANDBETWEEN(2,COUNTA(Companies!$A:$A)),1)</f>
        <v>2</v>
      </c>
      <c r="B1761" s="5">
        <f t="shared" si="325"/>
        <v>1760</v>
      </c>
      <c r="C1761" s="6">
        <f t="shared" ca="1" si="326"/>
        <v>1</v>
      </c>
      <c r="D1761" s="7">
        <f ca="1">IF($B1761 = 1 + N("Presidente"),
    127,
    IF($B1761 = 2 + N("Vice-Presidente"),
        72,
        IF($B1761 = 3 + N("Secretária bilíngue"),
            13,
            RANDBETWEEN(5,COUNT(Name!$A:$A) + 1)
        )
    )
)</f>
        <v>186</v>
      </c>
      <c r="E1761" s="7" t="str">
        <f ca="1" xml:space="preserve">
VLOOKUP(
  $D1761,
  Name!$A:$B,
  2,
  FALSE
)
&amp; " " &amp;
IF($B1761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Gabriel Bicalho Frois</v>
      </c>
      <c r="F1761" s="7">
        <v>2</v>
      </c>
      <c r="G1761" s="7" cm="1">
        <f t="array" aca="1" ref="G1761" ca="1">INDEX(States!$B:$B,RANDBETWEEN(2,COUNTA(States!$A:$A)),1)</f>
        <v>11</v>
      </c>
      <c r="H1761" s="7" t="str">
        <f ca="1">VLOOKUP($D1761,Name!$A:$C,3,FALSE)</f>
        <v>M</v>
      </c>
      <c r="I1761" s="7" cm="1">
        <f t="array" aca="1" ref="I1761" ca="1">INDEX('Marital status'!$A:$A,RANDBETWEEN(2,COUNTA('Marital status'!$A:$A)),1)</f>
        <v>4</v>
      </c>
      <c r="J1761" s="7">
        <f t="shared" ca="1" si="327"/>
        <v>2</v>
      </c>
      <c r="K1761" s="8">
        <f t="shared" ca="1" si="328"/>
        <v>38118</v>
      </c>
      <c r="L1761" s="6">
        <f t="shared" ca="1" si="329"/>
        <v>4</v>
      </c>
      <c r="M1761" s="7">
        <f ca="1" xml:space="preserve">
  IF(OR($N1761 = 2, $N1761 = 3, $N1761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761" s="6">
        <f t="shared" ca="1" si="330"/>
        <v>8</v>
      </c>
      <c r="O1761" s="6">
        <f t="shared" ca="1" si="331"/>
        <v>2</v>
      </c>
      <c r="P1761" s="8">
        <f t="shared" ca="1" si="332"/>
        <v>44838</v>
      </c>
      <c r="Q1761" s="6">
        <f ca="1">RANDBETWEEN(2,COUNTA('Recruitment source'!$A:$A))</f>
        <v>7</v>
      </c>
      <c r="R1761" s="8" t="e">
        <f t="shared" ca="1" si="333"/>
        <v>#N/A</v>
      </c>
      <c r="S1761" s="6" t="e">
        <f t="shared" ca="1" si="334"/>
        <v>#N/A</v>
      </c>
      <c r="T1761" s="6">
        <f t="shared" ca="1" si="324"/>
        <v>4</v>
      </c>
      <c r="U1761" s="1">
        <f t="shared" ca="1" si="335"/>
        <v>2000</v>
      </c>
    </row>
    <row r="1762" spans="1:21" x14ac:dyDescent="0.2">
      <c r="A1762" s="7" cm="1">
        <f t="array" aca="1" ref="A1762" ca="1">INDEX(Companies!$A:$A,RANDBETWEEN(2,COUNTA(Companies!$A:$A)),1)</f>
        <v>2</v>
      </c>
      <c r="B1762" s="5">
        <f t="shared" si="325"/>
        <v>1761</v>
      </c>
      <c r="C1762" s="6">
        <f t="shared" ca="1" si="326"/>
        <v>1</v>
      </c>
      <c r="D1762" s="7">
        <f ca="1">IF($B1762 = 1 + N("Presidente"),
    127,
    IF($B1762 = 2 + N("Vice-Presidente"),
        72,
        IF($B1762 = 3 + N("Secretária bilíngue"),
            13,
            RANDBETWEEN(5,COUNT(Name!$A:$A) + 1)
        )
    )
)</f>
        <v>317</v>
      </c>
      <c r="E1762" s="7" t="str">
        <f ca="1" xml:space="preserve">
VLOOKUP(
  $D1762,
  Name!$A:$B,
  2,
  FALSE
)
&amp; " " &amp;
IF($B1762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Henrique Pereira Moreira</v>
      </c>
      <c r="F1762" s="7">
        <v>2</v>
      </c>
      <c r="G1762" s="7" cm="1">
        <f t="array" aca="1" ref="G1762" ca="1">INDEX(States!$B:$B,RANDBETWEEN(2,COUNTA(States!$A:$A)),1)</f>
        <v>20</v>
      </c>
      <c r="H1762" s="7" t="str">
        <f ca="1">VLOOKUP($D1762,Name!$A:$C,3,FALSE)</f>
        <v>M</v>
      </c>
      <c r="I1762" s="7" cm="1">
        <f t="array" aca="1" ref="I1762" ca="1">INDEX('Marital status'!$A:$A,RANDBETWEEN(2,COUNTA('Marital status'!$A:$A)),1)</f>
        <v>2</v>
      </c>
      <c r="J1762" s="7">
        <f t="shared" ca="1" si="327"/>
        <v>2</v>
      </c>
      <c r="K1762" s="8">
        <f t="shared" ca="1" si="328"/>
        <v>35901</v>
      </c>
      <c r="L1762" s="6">
        <f t="shared" ca="1" si="329"/>
        <v>4</v>
      </c>
      <c r="M1762" s="7">
        <f ca="1" xml:space="preserve">
  IF(OR($N1762 = 2, $N1762 = 3, $N1762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762" s="6">
        <f t="shared" ca="1" si="330"/>
        <v>7</v>
      </c>
      <c r="O1762" s="6" t="e">
        <f t="shared" ca="1" si="331"/>
        <v>#N/A</v>
      </c>
      <c r="P1762" s="8">
        <f t="shared" ca="1" si="332"/>
        <v>42623</v>
      </c>
      <c r="Q1762" s="6">
        <f ca="1">RANDBETWEEN(2,COUNTA('Recruitment source'!$A:$A))</f>
        <v>10</v>
      </c>
      <c r="R1762" s="8" t="e">
        <f t="shared" ca="1" si="333"/>
        <v>#N/A</v>
      </c>
      <c r="S1762" s="6" t="e">
        <f t="shared" ca="1" si="334"/>
        <v>#N/A</v>
      </c>
      <c r="T1762" s="6">
        <f t="shared" ca="1" si="324"/>
        <v>4</v>
      </c>
      <c r="U1762" s="1">
        <f t="shared" ca="1" si="335"/>
        <v>1005</v>
      </c>
    </row>
    <row r="1763" spans="1:21" x14ac:dyDescent="0.2">
      <c r="A1763" s="7" cm="1">
        <f t="array" aca="1" ref="A1763" ca="1">INDEX(Companies!$A:$A,RANDBETWEEN(2,COUNTA(Companies!$A:$A)),1)</f>
        <v>2</v>
      </c>
      <c r="B1763" s="5">
        <f t="shared" si="325"/>
        <v>1762</v>
      </c>
      <c r="C1763" s="6">
        <f t="shared" ca="1" si="326"/>
        <v>1</v>
      </c>
      <c r="D1763" s="7">
        <f ca="1">IF($B1763 = 1 + N("Presidente"),
    127,
    IF($B1763 = 2 + N("Vice-Presidente"),
        72,
        IF($B1763 = 3 + N("Secretária bilíngue"),
            13,
            RANDBETWEEN(5,COUNT(Name!$A:$A) + 1)
        )
    )
)</f>
        <v>168</v>
      </c>
      <c r="E1763" s="7" t="str">
        <f ca="1" xml:space="preserve">
VLOOKUP(
  $D1763,
  Name!$A:$B,
  2,
  FALSE
)
&amp; " " &amp;
IF($B1763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Henry Camacho Araújo</v>
      </c>
      <c r="F1763" s="7">
        <v>2</v>
      </c>
      <c r="G1763" s="7" cm="1">
        <f t="array" aca="1" ref="G1763" ca="1">INDEX(States!$B:$B,RANDBETWEEN(2,COUNTA(States!$A:$A)),1)</f>
        <v>3</v>
      </c>
      <c r="H1763" s="7" t="str">
        <f ca="1">VLOOKUP($D1763,Name!$A:$C,3,FALSE)</f>
        <v>M</v>
      </c>
      <c r="I1763" s="7" cm="1">
        <f t="array" aca="1" ref="I1763" ca="1">INDEX('Marital status'!$A:$A,RANDBETWEEN(2,COUNTA('Marital status'!$A:$A)),1)</f>
        <v>2</v>
      </c>
      <c r="J1763" s="7">
        <f t="shared" ca="1" si="327"/>
        <v>2</v>
      </c>
      <c r="K1763" s="8">
        <f t="shared" ca="1" si="328"/>
        <v>33298</v>
      </c>
      <c r="L1763" s="6">
        <f t="shared" ca="1" si="329"/>
        <v>5</v>
      </c>
      <c r="M1763" s="7">
        <f ca="1" xml:space="preserve">
  IF(OR($N1763 = 2, $N1763 = 3, $N1763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763" s="6">
        <f t="shared" ca="1" si="330"/>
        <v>8</v>
      </c>
      <c r="O1763" s="6">
        <f t="shared" ca="1" si="331"/>
        <v>3</v>
      </c>
      <c r="P1763" s="8">
        <f t="shared" ca="1" si="332"/>
        <v>36926</v>
      </c>
      <c r="Q1763" s="6">
        <f ca="1">RANDBETWEEN(2,COUNTA('Recruitment source'!$A:$A))</f>
        <v>10</v>
      </c>
      <c r="R1763" s="8" t="e">
        <f t="shared" ca="1" si="333"/>
        <v>#N/A</v>
      </c>
      <c r="S1763" s="6" t="e">
        <f t="shared" ca="1" si="334"/>
        <v>#N/A</v>
      </c>
      <c r="T1763" s="6">
        <f t="shared" ca="1" si="324"/>
        <v>3</v>
      </c>
      <c r="U1763" s="1">
        <f t="shared" ca="1" si="335"/>
        <v>2000</v>
      </c>
    </row>
    <row r="1764" spans="1:21" x14ac:dyDescent="0.2">
      <c r="A1764" s="7" cm="1">
        <f t="array" aca="1" ref="A1764" ca="1">INDEX(Companies!$A:$A,RANDBETWEEN(2,COUNTA(Companies!$A:$A)),1)</f>
        <v>2</v>
      </c>
      <c r="B1764" s="5">
        <f t="shared" si="325"/>
        <v>1763</v>
      </c>
      <c r="C1764" s="6">
        <f t="shared" ca="1" si="326"/>
        <v>1</v>
      </c>
      <c r="D1764" s="7">
        <f ca="1">IF($B1764 = 1 + N("Presidente"),
    127,
    IF($B1764 = 2 + N("Vice-Presidente"),
        72,
        IF($B1764 = 3 + N("Secretária bilíngue"),
            13,
            RANDBETWEEN(5,COUNT(Name!$A:$A) + 1)
        )
    )
)</f>
        <v>80</v>
      </c>
      <c r="E1764" s="7" t="str">
        <f ca="1" xml:space="preserve">
VLOOKUP(
  $D1764,
  Name!$A:$B,
  2,
  FALSE
)
&amp; " " &amp;
IF($B1764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Byatriz Mariani Auth</v>
      </c>
      <c r="F1764" s="7">
        <v>2</v>
      </c>
      <c r="G1764" s="7" cm="1">
        <f t="array" aca="1" ref="G1764" ca="1">INDEX(States!$B:$B,RANDBETWEEN(2,COUNTA(States!$A:$A)),1)</f>
        <v>2</v>
      </c>
      <c r="H1764" s="7" t="str">
        <f ca="1">VLOOKUP($D1764,Name!$A:$C,3,FALSE)</f>
        <v>F</v>
      </c>
      <c r="I1764" s="7" cm="1">
        <f t="array" aca="1" ref="I1764" ca="1">INDEX('Marital status'!$A:$A,RANDBETWEEN(2,COUNTA('Marital status'!$A:$A)),1)</f>
        <v>5</v>
      </c>
      <c r="J1764" s="7">
        <f t="shared" ca="1" si="327"/>
        <v>3</v>
      </c>
      <c r="K1764" s="8">
        <f t="shared" ca="1" si="328"/>
        <v>34120</v>
      </c>
      <c r="L1764" s="6">
        <f t="shared" ca="1" si="329"/>
        <v>4</v>
      </c>
      <c r="M1764" s="7">
        <f ca="1" xml:space="preserve">
  IF(OR($N1764 = 2, $N1764 = 3, $N1764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764" s="6">
        <f t="shared" ca="1" si="330"/>
        <v>7</v>
      </c>
      <c r="O1764" s="6" t="e">
        <f t="shared" ca="1" si="331"/>
        <v>#N/A</v>
      </c>
      <c r="P1764" s="8">
        <f t="shared" ca="1" si="332"/>
        <v>38640</v>
      </c>
      <c r="Q1764" s="6">
        <f ca="1">RANDBETWEEN(2,COUNTA('Recruitment source'!$A:$A))</f>
        <v>6</v>
      </c>
      <c r="R1764" s="8" t="e">
        <f t="shared" ca="1" si="333"/>
        <v>#N/A</v>
      </c>
      <c r="S1764" s="6" t="e">
        <f t="shared" ca="1" si="334"/>
        <v>#N/A</v>
      </c>
      <c r="T1764" s="6">
        <f t="shared" ca="1" si="324"/>
        <v>4</v>
      </c>
      <c r="U1764" s="1">
        <f t="shared" ca="1" si="335"/>
        <v>1085</v>
      </c>
    </row>
    <row r="1765" spans="1:21" x14ac:dyDescent="0.2">
      <c r="A1765" s="7" cm="1">
        <f t="array" aca="1" ref="A1765" ca="1">INDEX(Companies!$A:$A,RANDBETWEEN(2,COUNTA(Companies!$A:$A)),1)</f>
        <v>2</v>
      </c>
      <c r="B1765" s="5">
        <f t="shared" si="325"/>
        <v>1764</v>
      </c>
      <c r="C1765" s="6">
        <f t="shared" ca="1" si="326"/>
        <v>1</v>
      </c>
      <c r="D1765" s="7">
        <f ca="1">IF($B1765 = 1 + N("Presidente"),
    127,
    IF($B1765 = 2 + N("Vice-Presidente"),
        72,
        IF($B1765 = 3 + N("Secretária bilíngue"),
            13,
            RANDBETWEEN(5,COUNT(Name!$A:$A) + 1)
        )
    )
)</f>
        <v>19</v>
      </c>
      <c r="E1765" s="7" t="str">
        <f ca="1" xml:space="preserve">
VLOOKUP(
  $D1765,
  Name!$A:$B,
  2,
  FALSE
)
&amp; " " &amp;
IF($B1765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Aline Morato Alves</v>
      </c>
      <c r="F1765" s="7">
        <v>2</v>
      </c>
      <c r="G1765" s="7" cm="1">
        <f t="array" aca="1" ref="G1765" ca="1">INDEX(States!$B:$B,RANDBETWEEN(2,COUNTA(States!$A:$A)),1)</f>
        <v>11</v>
      </c>
      <c r="H1765" s="7" t="str">
        <f ca="1">VLOOKUP($D1765,Name!$A:$C,3,FALSE)</f>
        <v>F</v>
      </c>
      <c r="I1765" s="7" cm="1">
        <f t="array" aca="1" ref="I1765" ca="1">INDEX('Marital status'!$A:$A,RANDBETWEEN(2,COUNTA('Marital status'!$A:$A)),1)</f>
        <v>2</v>
      </c>
      <c r="J1765" s="7">
        <f t="shared" ca="1" si="327"/>
        <v>2</v>
      </c>
      <c r="K1765" s="8">
        <f t="shared" ca="1" si="328"/>
        <v>36375</v>
      </c>
      <c r="L1765" s="6">
        <f t="shared" ca="1" si="329"/>
        <v>5</v>
      </c>
      <c r="M1765" s="7">
        <f ca="1" xml:space="preserve">
  IF(OR($N1765 = 2, $N1765 = 3, $N1765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765" s="6">
        <f t="shared" ca="1" si="330"/>
        <v>8</v>
      </c>
      <c r="O1765" s="6">
        <f t="shared" ca="1" si="331"/>
        <v>3</v>
      </c>
      <c r="P1765" s="8">
        <f t="shared" ca="1" si="332"/>
        <v>39526</v>
      </c>
      <c r="Q1765" s="6">
        <f ca="1">RANDBETWEEN(2,COUNTA('Recruitment source'!$A:$A))</f>
        <v>3</v>
      </c>
      <c r="R1765" s="8" t="e">
        <f t="shared" ca="1" si="333"/>
        <v>#N/A</v>
      </c>
      <c r="S1765" s="6" t="e">
        <f t="shared" ca="1" si="334"/>
        <v>#N/A</v>
      </c>
      <c r="T1765" s="6">
        <f t="shared" ca="1" si="324"/>
        <v>2</v>
      </c>
      <c r="U1765" s="1">
        <f t="shared" ca="1" si="335"/>
        <v>2050</v>
      </c>
    </row>
    <row r="1766" spans="1:21" x14ac:dyDescent="0.2">
      <c r="A1766" s="7" cm="1">
        <f t="array" aca="1" ref="A1766" ca="1">INDEX(Companies!$A:$A,RANDBETWEEN(2,COUNTA(Companies!$A:$A)),1)</f>
        <v>2</v>
      </c>
      <c r="B1766" s="5">
        <f t="shared" si="325"/>
        <v>1765</v>
      </c>
      <c r="C1766" s="6">
        <f t="shared" ca="1" si="326"/>
        <v>1</v>
      </c>
      <c r="D1766" s="7">
        <f ca="1">IF($B1766 = 1 + N("Presidente"),
    127,
    IF($B1766 = 2 + N("Vice-Presidente"),
        72,
        IF($B1766 = 3 + N("Secretária bilíngue"),
            13,
            RANDBETWEEN(5,COUNT(Name!$A:$A) + 1)
        )
    )
)</f>
        <v>162</v>
      </c>
      <c r="E1766" s="7" t="str">
        <f ca="1" xml:space="preserve">
VLOOKUP(
  $D1766,
  Name!$A:$B,
  2,
  FALSE
)
&amp; " " &amp;
IF($B1766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Helena Camacho Brasão</v>
      </c>
      <c r="F1766" s="7">
        <v>2</v>
      </c>
      <c r="G1766" s="7" cm="1">
        <f t="array" aca="1" ref="G1766" ca="1">INDEX(States!$B:$B,RANDBETWEEN(2,COUNTA(States!$A:$A)),1)</f>
        <v>4</v>
      </c>
      <c r="H1766" s="7" t="str">
        <f ca="1">VLOOKUP($D1766,Name!$A:$C,3,FALSE)</f>
        <v>F</v>
      </c>
      <c r="I1766" s="7" cm="1">
        <f t="array" aca="1" ref="I1766" ca="1">INDEX('Marital status'!$A:$A,RANDBETWEEN(2,COUNTA('Marital status'!$A:$A)),1)</f>
        <v>2</v>
      </c>
      <c r="J1766" s="7">
        <f t="shared" ca="1" si="327"/>
        <v>2</v>
      </c>
      <c r="K1766" s="8">
        <f t="shared" ca="1" si="328"/>
        <v>24349</v>
      </c>
      <c r="L1766" s="6">
        <f t="shared" ca="1" si="329"/>
        <v>4</v>
      </c>
      <c r="M1766" s="7">
        <f ca="1" xml:space="preserve">
  IF(OR($N1766 = 2, $N1766 = 3, $N1766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766" s="6">
        <f t="shared" ca="1" si="330"/>
        <v>6</v>
      </c>
      <c r="O1766" s="6" t="e">
        <f t="shared" ca="1" si="331"/>
        <v>#N/A</v>
      </c>
      <c r="P1766" s="8">
        <f t="shared" ca="1" si="332"/>
        <v>40607</v>
      </c>
      <c r="Q1766" s="6">
        <f ca="1">RANDBETWEEN(2,COUNTA('Recruitment source'!$A:$A))</f>
        <v>10</v>
      </c>
      <c r="R1766" s="8" t="e">
        <f t="shared" ca="1" si="333"/>
        <v>#N/A</v>
      </c>
      <c r="S1766" s="6" t="e">
        <f t="shared" ca="1" si="334"/>
        <v>#N/A</v>
      </c>
      <c r="T1766" s="6">
        <f t="shared" ca="1" si="324"/>
        <v>5</v>
      </c>
      <c r="U1766" s="1">
        <f t="shared" ca="1" si="335"/>
        <v>885</v>
      </c>
    </row>
    <row r="1767" spans="1:21" x14ac:dyDescent="0.2">
      <c r="A1767" s="7" cm="1">
        <f t="array" aca="1" ref="A1767" ca="1">INDEX(Companies!$A:$A,RANDBETWEEN(2,COUNTA(Companies!$A:$A)),1)</f>
        <v>2</v>
      </c>
      <c r="B1767" s="5">
        <f t="shared" si="325"/>
        <v>1766</v>
      </c>
      <c r="C1767" s="6">
        <f t="shared" ca="1" si="326"/>
        <v>1</v>
      </c>
      <c r="D1767" s="7">
        <f ca="1">IF($B1767 = 1 + N("Presidente"),
    127,
    IF($B1767 = 2 + N("Vice-Presidente"),
        72,
        IF($B1767 = 3 + N("Secretária bilíngue"),
            13,
            RANDBETWEEN(5,COUNT(Name!$A:$A) + 1)
        )
    )
)</f>
        <v>324</v>
      </c>
      <c r="E1767" s="7" t="str">
        <f ca="1" xml:space="preserve">
VLOOKUP(
  $D1767,
  Name!$A:$B,
  2,
  FALSE
)
&amp; " " &amp;
IF($B1767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Rafael Batista Morato</v>
      </c>
      <c r="F1767" s="7">
        <v>2</v>
      </c>
      <c r="G1767" s="7" cm="1">
        <f t="array" aca="1" ref="G1767" ca="1">INDEX(States!$B:$B,RANDBETWEEN(2,COUNTA(States!$A:$A)),1)</f>
        <v>19</v>
      </c>
      <c r="H1767" s="7" t="str">
        <f ca="1">VLOOKUP($D1767,Name!$A:$C,3,FALSE)</f>
        <v>M</v>
      </c>
      <c r="I1767" s="7" cm="1">
        <f t="array" aca="1" ref="I1767" ca="1">INDEX('Marital status'!$A:$A,RANDBETWEEN(2,COUNTA('Marital status'!$A:$A)),1)</f>
        <v>5</v>
      </c>
      <c r="J1767" s="7">
        <f t="shared" ca="1" si="327"/>
        <v>5</v>
      </c>
      <c r="K1767" s="8">
        <f t="shared" ca="1" si="328"/>
        <v>37385</v>
      </c>
      <c r="L1767" s="6">
        <f t="shared" ca="1" si="329"/>
        <v>5</v>
      </c>
      <c r="M1767" s="7">
        <f ca="1" xml:space="preserve">
  IF(OR($N1767 = 2, $N1767 = 3, $N1767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767" s="6">
        <f t="shared" ca="1" si="330"/>
        <v>8</v>
      </c>
      <c r="O1767" s="6">
        <f t="shared" ca="1" si="331"/>
        <v>2</v>
      </c>
      <c r="P1767" s="8">
        <f t="shared" ca="1" si="332"/>
        <v>37461</v>
      </c>
      <c r="Q1767" s="6">
        <f ca="1">RANDBETWEEN(2,COUNTA('Recruitment source'!$A:$A))</f>
        <v>5</v>
      </c>
      <c r="R1767" s="8" t="e">
        <f t="shared" ca="1" si="333"/>
        <v>#N/A</v>
      </c>
      <c r="S1767" s="6" t="e">
        <f t="shared" ca="1" si="334"/>
        <v>#N/A</v>
      </c>
      <c r="T1767" s="6">
        <f t="shared" ca="1" si="324"/>
        <v>5</v>
      </c>
      <c r="U1767" s="1">
        <f t="shared" ca="1" si="335"/>
        <v>2000</v>
      </c>
    </row>
    <row r="1768" spans="1:21" x14ac:dyDescent="0.2">
      <c r="A1768" s="7" cm="1">
        <f t="array" aca="1" ref="A1768" ca="1">INDEX(Companies!$A:$A,RANDBETWEEN(2,COUNTA(Companies!$A:$A)),1)</f>
        <v>2</v>
      </c>
      <c r="B1768" s="5">
        <f t="shared" si="325"/>
        <v>1767</v>
      </c>
      <c r="C1768" s="6">
        <f t="shared" ca="1" si="326"/>
        <v>1</v>
      </c>
      <c r="D1768" s="7">
        <f ca="1">IF($B1768 = 1 + N("Presidente"),
    127,
    IF($B1768 = 2 + N("Vice-Presidente"),
        72,
        IF($B1768 = 3 + N("Secretária bilíngue"),
            13,
            RANDBETWEEN(5,COUNT(Name!$A:$A) + 1)
        )
    )
)</f>
        <v>175</v>
      </c>
      <c r="E1768" s="7" t="str">
        <f ca="1" xml:space="preserve">
VLOOKUP(
  $D1768,
  Name!$A:$B,
  2,
  FALSE
)
&amp; " " &amp;
IF($B1768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Isabella Santoro Battaglia</v>
      </c>
      <c r="F1768" s="7">
        <v>2</v>
      </c>
      <c r="G1768" s="7" cm="1">
        <f t="array" aca="1" ref="G1768" ca="1">INDEX(States!$B:$B,RANDBETWEEN(2,COUNTA(States!$A:$A)),1)</f>
        <v>6</v>
      </c>
      <c r="H1768" s="7" t="str">
        <f ca="1">VLOOKUP($D1768,Name!$A:$C,3,FALSE)</f>
        <v>F</v>
      </c>
      <c r="I1768" s="7" cm="1">
        <f t="array" aca="1" ref="I1768" ca="1">INDEX('Marital status'!$A:$A,RANDBETWEEN(2,COUNTA('Marital status'!$A:$A)),1)</f>
        <v>3</v>
      </c>
      <c r="J1768" s="7">
        <f t="shared" ca="1" si="327"/>
        <v>2</v>
      </c>
      <c r="K1768" s="8">
        <f t="shared" ca="1" si="328"/>
        <v>35955</v>
      </c>
      <c r="L1768" s="6">
        <f t="shared" ca="1" si="329"/>
        <v>4</v>
      </c>
      <c r="M1768" s="7">
        <f ca="1" xml:space="preserve">
  IF(OR($N1768 = 2, $N1768 = 3, $N1768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768" s="6">
        <f t="shared" ca="1" si="330"/>
        <v>7</v>
      </c>
      <c r="O1768" s="6" t="e">
        <f t="shared" ca="1" si="331"/>
        <v>#N/A</v>
      </c>
      <c r="P1768" s="8">
        <f t="shared" ca="1" si="332"/>
        <v>44335</v>
      </c>
      <c r="Q1768" s="6">
        <f ca="1">RANDBETWEEN(2,COUNTA('Recruitment source'!$A:$A))</f>
        <v>2</v>
      </c>
      <c r="R1768" s="8" t="e">
        <f t="shared" ca="1" si="333"/>
        <v>#N/A</v>
      </c>
      <c r="S1768" s="6" t="e">
        <f t="shared" ca="1" si="334"/>
        <v>#N/A</v>
      </c>
      <c r="T1768" s="6">
        <f t="shared" ca="1" si="324"/>
        <v>5</v>
      </c>
      <c r="U1768" s="1">
        <f t="shared" ca="1" si="335"/>
        <v>1085</v>
      </c>
    </row>
    <row r="1769" spans="1:21" x14ac:dyDescent="0.2">
      <c r="A1769" s="7" cm="1">
        <f t="array" aca="1" ref="A1769" ca="1">INDEX(Companies!$A:$A,RANDBETWEEN(2,COUNTA(Companies!$A:$A)),1)</f>
        <v>2</v>
      </c>
      <c r="B1769" s="5">
        <f t="shared" si="325"/>
        <v>1768</v>
      </c>
      <c r="C1769" s="6">
        <f t="shared" ca="1" si="326"/>
        <v>1</v>
      </c>
      <c r="D1769" s="7">
        <f ca="1">IF($B1769 = 1 + N("Presidente"),
    127,
    IF($B1769 = 2 + N("Vice-Presidente"),
        72,
        IF($B1769 = 3 + N("Secretária bilíngue"),
            13,
            RANDBETWEEN(5,COUNT(Name!$A:$A) + 1)
        )
    )
)</f>
        <v>124</v>
      </c>
      <c r="E1769" s="7" t="str">
        <f ca="1" xml:space="preserve">
VLOOKUP(
  $D1769,
  Name!$A:$B,
  2,
  FALSE
)
&amp; " " &amp;
IF($B1769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Emilly Martins Brito</v>
      </c>
      <c r="F1769" s="7">
        <v>2</v>
      </c>
      <c r="G1769" s="7" cm="1">
        <f t="array" aca="1" ref="G1769" ca="1">INDEX(States!$B:$B,RANDBETWEEN(2,COUNTA(States!$A:$A)),1)</f>
        <v>12</v>
      </c>
      <c r="H1769" s="7" t="str">
        <f ca="1">VLOOKUP($D1769,Name!$A:$C,3,FALSE)</f>
        <v>F</v>
      </c>
      <c r="I1769" s="7" cm="1">
        <f t="array" aca="1" ref="I1769" ca="1">INDEX('Marital status'!$A:$A,RANDBETWEEN(2,COUNTA('Marital status'!$A:$A)),1)</f>
        <v>6</v>
      </c>
      <c r="J1769" s="7">
        <f t="shared" ca="1" si="327"/>
        <v>2</v>
      </c>
      <c r="K1769" s="8">
        <f t="shared" ca="1" si="328"/>
        <v>37351</v>
      </c>
      <c r="L1769" s="6">
        <f t="shared" ca="1" si="329"/>
        <v>4</v>
      </c>
      <c r="M1769" s="7">
        <f ca="1" xml:space="preserve">
  IF(OR($N1769 = 2, $N1769 = 3, $N1769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769" s="6">
        <f t="shared" ca="1" si="330"/>
        <v>8</v>
      </c>
      <c r="O1769" s="6">
        <f t="shared" ca="1" si="331"/>
        <v>3</v>
      </c>
      <c r="P1769" s="8">
        <f t="shared" ca="1" si="332"/>
        <v>36444</v>
      </c>
      <c r="Q1769" s="6">
        <f ca="1">RANDBETWEEN(2,COUNTA('Recruitment source'!$A:$A))</f>
        <v>12</v>
      </c>
      <c r="R1769" s="8" t="e">
        <f t="shared" ca="1" si="333"/>
        <v>#N/A</v>
      </c>
      <c r="S1769" s="6" t="e">
        <f t="shared" ca="1" si="334"/>
        <v>#N/A</v>
      </c>
      <c r="T1769" s="6">
        <f t="shared" ca="1" si="324"/>
        <v>5</v>
      </c>
      <c r="U1769" s="1">
        <f t="shared" ca="1" si="335"/>
        <v>2080</v>
      </c>
    </row>
    <row r="1770" spans="1:21" x14ac:dyDescent="0.2">
      <c r="A1770" s="7" cm="1">
        <f t="array" aca="1" ref="A1770" ca="1">INDEX(Companies!$A:$A,RANDBETWEEN(2,COUNTA(Companies!$A:$A)),1)</f>
        <v>2</v>
      </c>
      <c r="B1770" s="5">
        <f t="shared" si="325"/>
        <v>1769</v>
      </c>
      <c r="C1770" s="6">
        <f t="shared" ca="1" si="326"/>
        <v>1</v>
      </c>
      <c r="D1770" s="7">
        <f ca="1">IF($B1770 = 1 + N("Presidente"),
    127,
    IF($B1770 = 2 + N("Vice-Presidente"),
        72,
        IF($B1770 = 3 + N("Secretária bilíngue"),
            13,
            RANDBETWEEN(5,COUNT(Name!$A:$A) + 1)
        )
    )
)</f>
        <v>305</v>
      </c>
      <c r="E1770" s="7" t="str">
        <f ca="1" xml:space="preserve">
VLOOKUP(
  $D1770,
  Name!$A:$B,
  2,
  FALSE
)
&amp; " " &amp;
IF($B1770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Nathan Romano Asvilla</v>
      </c>
      <c r="F1770" s="7">
        <v>2</v>
      </c>
      <c r="G1770" s="7" cm="1">
        <f t="array" aca="1" ref="G1770" ca="1">INDEX(States!$B:$B,RANDBETWEEN(2,COUNTA(States!$A:$A)),1)</f>
        <v>14</v>
      </c>
      <c r="H1770" s="7" t="str">
        <f ca="1">VLOOKUP($D1770,Name!$A:$C,3,FALSE)</f>
        <v>M</v>
      </c>
      <c r="I1770" s="7" cm="1">
        <f t="array" aca="1" ref="I1770" ca="1">INDEX('Marital status'!$A:$A,RANDBETWEEN(2,COUNTA('Marital status'!$A:$A)),1)</f>
        <v>5</v>
      </c>
      <c r="J1770" s="7">
        <f t="shared" ca="1" si="327"/>
        <v>2</v>
      </c>
      <c r="K1770" s="8">
        <f t="shared" ca="1" si="328"/>
        <v>27926</v>
      </c>
      <c r="L1770" s="6">
        <f t="shared" ca="1" si="329"/>
        <v>4</v>
      </c>
      <c r="M1770" s="7">
        <f ca="1" xml:space="preserve">
  IF(OR($N1770 = 2, $N1770 = 3, $N1770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770" s="6">
        <f t="shared" ca="1" si="330"/>
        <v>6</v>
      </c>
      <c r="O1770" s="6" t="e">
        <f t="shared" ca="1" si="331"/>
        <v>#N/A</v>
      </c>
      <c r="P1770" s="8">
        <f t="shared" ca="1" si="332"/>
        <v>42638</v>
      </c>
      <c r="Q1770" s="6">
        <f ca="1">RANDBETWEEN(2,COUNTA('Recruitment source'!$A:$A))</f>
        <v>11</v>
      </c>
      <c r="R1770" s="8" t="e">
        <f t="shared" ca="1" si="333"/>
        <v>#N/A</v>
      </c>
      <c r="S1770" s="6" t="e">
        <f t="shared" ca="1" si="334"/>
        <v>#N/A</v>
      </c>
      <c r="T1770" s="6">
        <f t="shared" ca="1" si="324"/>
        <v>3</v>
      </c>
      <c r="U1770" s="1">
        <f t="shared" ca="1" si="335"/>
        <v>805</v>
      </c>
    </row>
    <row r="1771" spans="1:21" x14ac:dyDescent="0.2">
      <c r="A1771" s="7" cm="1">
        <f t="array" aca="1" ref="A1771" ca="1">INDEX(Companies!$A:$A,RANDBETWEEN(2,COUNTA(Companies!$A:$A)),1)</f>
        <v>2</v>
      </c>
      <c r="B1771" s="5">
        <f t="shared" si="325"/>
        <v>1770</v>
      </c>
      <c r="C1771" s="6">
        <f t="shared" ca="1" si="326"/>
        <v>1</v>
      </c>
      <c r="D1771" s="7">
        <f ca="1">IF($B1771 = 1 + N("Presidente"),
    127,
    IF($B1771 = 2 + N("Vice-Presidente"),
        72,
        IF($B1771 = 3 + N("Secretária bilíngue"),
            13,
            RANDBETWEEN(5,COUNT(Name!$A:$A) + 1)
        )
    )
)</f>
        <v>54</v>
      </c>
      <c r="E1771" s="7" t="str">
        <f ca="1" xml:space="preserve">
VLOOKUP(
  $D1771,
  Name!$A:$B,
  2,
  FALSE
)
&amp; " " &amp;
IF($B1771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Ariela Medeiros Cunha</v>
      </c>
      <c r="F1771" s="7">
        <v>2</v>
      </c>
      <c r="G1771" s="7" cm="1">
        <f t="array" aca="1" ref="G1771" ca="1">INDEX(States!$B:$B,RANDBETWEEN(2,COUNTA(States!$A:$A)),1)</f>
        <v>14</v>
      </c>
      <c r="H1771" s="7" t="str">
        <f ca="1">VLOOKUP($D1771,Name!$A:$C,3,FALSE)</f>
        <v>F</v>
      </c>
      <c r="I1771" s="7" cm="1">
        <f t="array" aca="1" ref="I1771" ca="1">INDEX('Marital status'!$A:$A,RANDBETWEEN(2,COUNTA('Marital status'!$A:$A)),1)</f>
        <v>5</v>
      </c>
      <c r="J1771" s="7">
        <f t="shared" ca="1" si="327"/>
        <v>4</v>
      </c>
      <c r="K1771" s="8">
        <f t="shared" ca="1" si="328"/>
        <v>32437</v>
      </c>
      <c r="L1771" s="6">
        <f t="shared" ca="1" si="329"/>
        <v>4</v>
      </c>
      <c r="M1771" s="7">
        <f ca="1" xml:space="preserve">
  IF(OR($N1771 = 2, $N1771 = 3, $N1771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771" s="6">
        <f t="shared" ca="1" si="330"/>
        <v>8</v>
      </c>
      <c r="O1771" s="6">
        <f t="shared" ca="1" si="331"/>
        <v>3</v>
      </c>
      <c r="P1771" s="8">
        <f t="shared" ca="1" si="332"/>
        <v>39811</v>
      </c>
      <c r="Q1771" s="6">
        <f ca="1">RANDBETWEEN(2,COUNTA('Recruitment source'!$A:$A))</f>
        <v>8</v>
      </c>
      <c r="R1771" s="8" t="e">
        <f t="shared" ca="1" si="333"/>
        <v>#N/A</v>
      </c>
      <c r="S1771" s="6" t="e">
        <f t="shared" ca="1" si="334"/>
        <v>#N/A</v>
      </c>
      <c r="T1771" s="6">
        <f t="shared" ca="1" si="324"/>
        <v>4</v>
      </c>
      <c r="U1771" s="1">
        <f t="shared" ca="1" si="335"/>
        <v>2080</v>
      </c>
    </row>
    <row r="1772" spans="1:21" x14ac:dyDescent="0.2">
      <c r="A1772" s="7" cm="1">
        <f t="array" aca="1" ref="A1772" ca="1">INDEX(Companies!$A:$A,RANDBETWEEN(2,COUNTA(Companies!$A:$A)),1)</f>
        <v>2</v>
      </c>
      <c r="B1772" s="5">
        <f t="shared" si="325"/>
        <v>1771</v>
      </c>
      <c r="C1772" s="6">
        <f t="shared" ca="1" si="326"/>
        <v>1</v>
      </c>
      <c r="D1772" s="7">
        <f ca="1">IF($B1772 = 1 + N("Presidente"),
    127,
    IF($B1772 = 2 + N("Vice-Presidente"),
        72,
        IF($B1772 = 3 + N("Secretária bilíngue"),
            13,
            RANDBETWEEN(5,COUNT(Name!$A:$A) + 1)
        )
    )
)</f>
        <v>147</v>
      </c>
      <c r="E1772" s="7" t="str">
        <f ca="1" xml:space="preserve">
VLOOKUP(
  $D1772,
  Name!$A:$B,
  2,
  FALSE
)
&amp; " " &amp;
IF($B1772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Francisco Emanuel Siqueira Furtado</v>
      </c>
      <c r="F1772" s="7">
        <v>2</v>
      </c>
      <c r="G1772" s="7" cm="1">
        <f t="array" aca="1" ref="G1772" ca="1">INDEX(States!$B:$B,RANDBETWEEN(2,COUNTA(States!$A:$A)),1)</f>
        <v>7</v>
      </c>
      <c r="H1772" s="7" t="str">
        <f ca="1">VLOOKUP($D1772,Name!$A:$C,3,FALSE)</f>
        <v>M</v>
      </c>
      <c r="I1772" s="7" cm="1">
        <f t="array" aca="1" ref="I1772" ca="1">INDEX('Marital status'!$A:$A,RANDBETWEEN(2,COUNTA('Marital status'!$A:$A)),1)</f>
        <v>3</v>
      </c>
      <c r="J1772" s="7">
        <f t="shared" ca="1" si="327"/>
        <v>2</v>
      </c>
      <c r="K1772" s="8">
        <f t="shared" ca="1" si="328"/>
        <v>26625</v>
      </c>
      <c r="L1772" s="6">
        <f t="shared" ca="1" si="329"/>
        <v>4</v>
      </c>
      <c r="M1772" s="7">
        <f ca="1" xml:space="preserve">
  IF(OR($N1772 = 2, $N1772 = 3, $N1772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772" s="6">
        <f t="shared" ca="1" si="330"/>
        <v>6</v>
      </c>
      <c r="O1772" s="6" t="e">
        <f t="shared" ca="1" si="331"/>
        <v>#N/A</v>
      </c>
      <c r="P1772" s="8">
        <f t="shared" ca="1" si="332"/>
        <v>41602</v>
      </c>
      <c r="Q1772" s="6">
        <f ca="1">RANDBETWEEN(2,COUNTA('Recruitment source'!$A:$A))</f>
        <v>7</v>
      </c>
      <c r="R1772" s="8" t="e">
        <f t="shared" ca="1" si="333"/>
        <v>#N/A</v>
      </c>
      <c r="S1772" s="6" t="e">
        <f t="shared" ca="1" si="334"/>
        <v>#N/A</v>
      </c>
      <c r="T1772" s="6">
        <f t="shared" ca="1" si="324"/>
        <v>5</v>
      </c>
      <c r="U1772" s="1">
        <f t="shared" ca="1" si="335"/>
        <v>885</v>
      </c>
    </row>
    <row r="1773" spans="1:21" x14ac:dyDescent="0.2">
      <c r="A1773" s="7" cm="1">
        <f t="array" aca="1" ref="A1773" ca="1">INDEX(Companies!$A:$A,RANDBETWEEN(2,COUNTA(Companies!$A:$A)),1)</f>
        <v>2</v>
      </c>
      <c r="B1773" s="5">
        <f t="shared" si="325"/>
        <v>1772</v>
      </c>
      <c r="C1773" s="6">
        <f t="shared" ca="1" si="326"/>
        <v>1</v>
      </c>
      <c r="D1773" s="7">
        <f ca="1">IF($B1773 = 1 + N("Presidente"),
    127,
    IF($B1773 = 2 + N("Vice-Presidente"),
        72,
        IF($B1773 = 3 + N("Secretária bilíngue"),
            13,
            RANDBETWEEN(5,COUNT(Name!$A:$A) + 1)
        )
    )
)</f>
        <v>301</v>
      </c>
      <c r="E1773" s="7" t="str">
        <f ca="1" xml:space="preserve">
VLOOKUP(
  $D1773,
  Name!$A:$B,
  2,
  FALSE
)
&amp; " " &amp;
IF($B1773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Murilo Faro Vaz</v>
      </c>
      <c r="F1773" s="7">
        <v>2</v>
      </c>
      <c r="G1773" s="7" cm="1">
        <f t="array" aca="1" ref="G1773" ca="1">INDEX(States!$B:$B,RANDBETWEEN(2,COUNTA(States!$A:$A)),1)</f>
        <v>4</v>
      </c>
      <c r="H1773" s="7" t="str">
        <f ca="1">VLOOKUP($D1773,Name!$A:$C,3,FALSE)</f>
        <v>M</v>
      </c>
      <c r="I1773" s="7" cm="1">
        <f t="array" aca="1" ref="I1773" ca="1">INDEX('Marital status'!$A:$A,RANDBETWEEN(2,COUNTA('Marital status'!$A:$A)),1)</f>
        <v>3</v>
      </c>
      <c r="J1773" s="7">
        <f t="shared" ca="1" si="327"/>
        <v>2</v>
      </c>
      <c r="K1773" s="8">
        <f t="shared" ca="1" si="328"/>
        <v>34393</v>
      </c>
      <c r="L1773" s="6">
        <f t="shared" ca="1" si="329"/>
        <v>5</v>
      </c>
      <c r="M1773" s="7">
        <f ca="1" xml:space="preserve">
  IF(OR($N1773 = 2, $N1773 = 3, $N1773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773" s="6">
        <f t="shared" ca="1" si="330"/>
        <v>8</v>
      </c>
      <c r="O1773" s="6">
        <f t="shared" ca="1" si="331"/>
        <v>3</v>
      </c>
      <c r="P1773" s="8">
        <f t="shared" ca="1" si="332"/>
        <v>41354</v>
      </c>
      <c r="Q1773" s="6">
        <f ca="1">RANDBETWEEN(2,COUNTA('Recruitment source'!$A:$A))</f>
        <v>7</v>
      </c>
      <c r="R1773" s="8" t="e">
        <f t="shared" ca="1" si="333"/>
        <v>#N/A</v>
      </c>
      <c r="S1773" s="6" t="e">
        <f t="shared" ca="1" si="334"/>
        <v>#N/A</v>
      </c>
      <c r="T1773" s="6">
        <f t="shared" ca="1" si="324"/>
        <v>4</v>
      </c>
      <c r="U1773" s="1">
        <f t="shared" ca="1" si="335"/>
        <v>2080</v>
      </c>
    </row>
    <row r="1774" spans="1:21" x14ac:dyDescent="0.2">
      <c r="A1774" s="7" cm="1">
        <f t="array" aca="1" ref="A1774" ca="1">INDEX(Companies!$A:$A,RANDBETWEEN(2,COUNTA(Companies!$A:$A)),1)</f>
        <v>2</v>
      </c>
      <c r="B1774" s="5">
        <f t="shared" si="325"/>
        <v>1773</v>
      </c>
      <c r="C1774" s="6">
        <f t="shared" ca="1" si="326"/>
        <v>1</v>
      </c>
      <c r="D1774" s="7">
        <f ca="1">IF($B1774 = 1 + N("Presidente"),
    127,
    IF($B1774 = 2 + N("Vice-Presidente"),
        72,
        IF($B1774 = 3 + N("Secretária bilíngue"),
            13,
            RANDBETWEEN(5,COUNT(Name!$A:$A) + 1)
        )
    )
)</f>
        <v>180</v>
      </c>
      <c r="E1774" s="7" t="str">
        <f ca="1" xml:space="preserve">
VLOOKUP(
  $D1774,
  Name!$A:$B,
  2,
  FALSE
)
&amp; " " &amp;
IF($B1774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Isis Leone Santacruz</v>
      </c>
      <c r="F1774" s="7">
        <v>2</v>
      </c>
      <c r="G1774" s="7" cm="1">
        <f t="array" aca="1" ref="G1774" ca="1">INDEX(States!$B:$B,RANDBETWEEN(2,COUNTA(States!$A:$A)),1)</f>
        <v>9</v>
      </c>
      <c r="H1774" s="7" t="str">
        <f ca="1">VLOOKUP($D1774,Name!$A:$C,3,FALSE)</f>
        <v>F</v>
      </c>
      <c r="I1774" s="7" cm="1">
        <f t="array" aca="1" ref="I1774" ca="1">INDEX('Marital status'!$A:$A,RANDBETWEEN(2,COUNTA('Marital status'!$A:$A)),1)</f>
        <v>6</v>
      </c>
      <c r="J1774" s="7">
        <f t="shared" ca="1" si="327"/>
        <v>2</v>
      </c>
      <c r="K1774" s="8">
        <f t="shared" ca="1" si="328"/>
        <v>35619</v>
      </c>
      <c r="L1774" s="6">
        <f t="shared" ca="1" si="329"/>
        <v>4</v>
      </c>
      <c r="M1774" s="7">
        <f ca="1" xml:space="preserve">
  IF(OR($N1774 = 2, $N1774 = 3, $N1774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774" s="6">
        <f t="shared" ca="1" si="330"/>
        <v>7</v>
      </c>
      <c r="O1774" s="6" t="e">
        <f t="shared" ca="1" si="331"/>
        <v>#N/A</v>
      </c>
      <c r="P1774" s="8">
        <f t="shared" ca="1" si="332"/>
        <v>40418</v>
      </c>
      <c r="Q1774" s="6">
        <f ca="1">RANDBETWEEN(2,COUNTA('Recruitment source'!$A:$A))</f>
        <v>11</v>
      </c>
      <c r="R1774" s="8" t="e">
        <f t="shared" ca="1" si="333"/>
        <v>#N/A</v>
      </c>
      <c r="S1774" s="6" t="e">
        <f t="shared" ca="1" si="334"/>
        <v>#N/A</v>
      </c>
      <c r="T1774" s="6">
        <f t="shared" ca="1" si="324"/>
        <v>5</v>
      </c>
      <c r="U1774" s="1">
        <f t="shared" ca="1" si="335"/>
        <v>1005</v>
      </c>
    </row>
    <row r="1775" spans="1:21" x14ac:dyDescent="0.2">
      <c r="A1775" s="7" cm="1">
        <f t="array" aca="1" ref="A1775" ca="1">INDEX(Companies!$A:$A,RANDBETWEEN(2,COUNTA(Companies!$A:$A)),1)</f>
        <v>2</v>
      </c>
      <c r="B1775" s="5">
        <f t="shared" si="325"/>
        <v>1774</v>
      </c>
      <c r="C1775" s="6">
        <f t="shared" ca="1" si="326"/>
        <v>1</v>
      </c>
      <c r="D1775" s="7">
        <f ca="1">IF($B1775 = 1 + N("Presidente"),
    127,
    IF($B1775 = 2 + N("Vice-Presidente"),
        72,
        IF($B1775 = 3 + N("Secretária bilíngue"),
            13,
            RANDBETWEEN(5,COUNT(Name!$A:$A) + 1)
        )
    )
)</f>
        <v>270</v>
      </c>
      <c r="E1775" s="7" t="str">
        <f ca="1" xml:space="preserve">
VLOOKUP(
  $D1775,
  Name!$A:$B,
  2,
  FALSE
)
&amp; " " &amp;
IF($B1775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Laura Aleluia Morais</v>
      </c>
      <c r="F1775" s="7">
        <v>2</v>
      </c>
      <c r="G1775" s="7" cm="1">
        <f t="array" aca="1" ref="G1775" ca="1">INDEX(States!$B:$B,RANDBETWEEN(2,COUNTA(States!$A:$A)),1)</f>
        <v>7</v>
      </c>
      <c r="H1775" s="7" t="str">
        <f ca="1">VLOOKUP($D1775,Name!$A:$C,3,FALSE)</f>
        <v>F</v>
      </c>
      <c r="I1775" s="7" cm="1">
        <f t="array" aca="1" ref="I1775" ca="1">INDEX('Marital status'!$A:$A,RANDBETWEEN(2,COUNTA('Marital status'!$A:$A)),1)</f>
        <v>2</v>
      </c>
      <c r="J1775" s="7">
        <f t="shared" ca="1" si="327"/>
        <v>2</v>
      </c>
      <c r="K1775" s="8">
        <f t="shared" ca="1" si="328"/>
        <v>37243</v>
      </c>
      <c r="L1775" s="6">
        <f t="shared" ca="1" si="329"/>
        <v>5</v>
      </c>
      <c r="M1775" s="7">
        <f ca="1" xml:space="preserve">
  IF(OR($N1775 = 2, $N1775 = 3, $N1775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775" s="6">
        <f t="shared" ca="1" si="330"/>
        <v>8</v>
      </c>
      <c r="O1775" s="6">
        <f t="shared" ca="1" si="331"/>
        <v>4</v>
      </c>
      <c r="P1775" s="8">
        <f t="shared" ca="1" si="332"/>
        <v>43718</v>
      </c>
      <c r="Q1775" s="6">
        <f ca="1">RANDBETWEEN(2,COUNTA('Recruitment source'!$A:$A))</f>
        <v>11</v>
      </c>
      <c r="R1775" s="8" t="e">
        <f t="shared" ca="1" si="333"/>
        <v>#N/A</v>
      </c>
      <c r="S1775" s="6" t="e">
        <f t="shared" ca="1" si="334"/>
        <v>#N/A</v>
      </c>
      <c r="T1775" s="6">
        <f t="shared" ca="1" si="324"/>
        <v>5</v>
      </c>
      <c r="U1775" s="1">
        <f t="shared" ca="1" si="335"/>
        <v>2000</v>
      </c>
    </row>
    <row r="1776" spans="1:21" x14ac:dyDescent="0.2">
      <c r="A1776" s="7" cm="1">
        <f t="array" aca="1" ref="A1776" ca="1">INDEX(Companies!$A:$A,RANDBETWEEN(2,COUNTA(Companies!$A:$A)),1)</f>
        <v>2</v>
      </c>
      <c r="B1776" s="5">
        <f t="shared" si="325"/>
        <v>1775</v>
      </c>
      <c r="C1776" s="6">
        <f t="shared" ca="1" si="326"/>
        <v>0</v>
      </c>
      <c r="D1776" s="7">
        <f ca="1">IF($B1776 = 1 + N("Presidente"),
    127,
    IF($B1776 = 2 + N("Vice-Presidente"),
        72,
        IF($B1776 = 3 + N("Secretária bilíngue"),
            13,
            RANDBETWEEN(5,COUNT(Name!$A:$A) + 1)
        )
    )
)</f>
        <v>244</v>
      </c>
      <c r="E1776" s="7" t="str">
        <f ca="1" xml:space="preserve">
VLOOKUP(
  $D1776,
  Name!$A:$B,
  2,
  FALSE
)
&amp; " " &amp;
IF($B1776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Gustavo Martins Medeiros</v>
      </c>
      <c r="F1776" s="7">
        <v>2</v>
      </c>
      <c r="G1776" s="7" cm="1">
        <f t="array" aca="1" ref="G1776" ca="1">INDEX(States!$B:$B,RANDBETWEEN(2,COUNTA(States!$A:$A)),1)</f>
        <v>14</v>
      </c>
      <c r="H1776" s="7" t="str">
        <f ca="1">VLOOKUP($D1776,Name!$A:$C,3,FALSE)</f>
        <v>M</v>
      </c>
      <c r="I1776" s="7" cm="1">
        <f t="array" aca="1" ref="I1776" ca="1">INDEX('Marital status'!$A:$A,RANDBETWEEN(2,COUNTA('Marital status'!$A:$A)),1)</f>
        <v>6</v>
      </c>
      <c r="J1776" s="7">
        <f t="shared" ca="1" si="327"/>
        <v>2</v>
      </c>
      <c r="K1776" s="8">
        <f t="shared" ca="1" si="328"/>
        <v>27274</v>
      </c>
      <c r="L1776" s="6">
        <f t="shared" ca="1" si="329"/>
        <v>4</v>
      </c>
      <c r="M1776" s="7">
        <f ca="1" xml:space="preserve">
  IF(OR($N1776 = 2, $N1776 = 3, $N1776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776" s="6">
        <f t="shared" ca="1" si="330"/>
        <v>6</v>
      </c>
      <c r="O1776" s="6" t="e">
        <f t="shared" ca="1" si="331"/>
        <v>#N/A</v>
      </c>
      <c r="P1776" s="8">
        <f t="shared" ca="1" si="332"/>
        <v>38122</v>
      </c>
      <c r="Q1776" s="6">
        <f ca="1">RANDBETWEEN(2,COUNTA('Recruitment source'!$A:$A))</f>
        <v>2</v>
      </c>
      <c r="R1776" s="8">
        <f t="shared" ca="1" si="333"/>
        <v>40765</v>
      </c>
      <c r="S1776" s="6">
        <f t="shared" ca="1" si="334"/>
        <v>5</v>
      </c>
      <c r="T1776" s="6">
        <f t="shared" ca="1" si="324"/>
        <v>2</v>
      </c>
      <c r="U1776" s="1">
        <f t="shared" ca="1" si="335"/>
        <v>885</v>
      </c>
    </row>
    <row r="1777" spans="1:21" x14ac:dyDescent="0.2">
      <c r="A1777" s="7" cm="1">
        <f t="array" aca="1" ref="A1777" ca="1">INDEX(Companies!$A:$A,RANDBETWEEN(2,COUNTA(Companies!$A:$A)),1)</f>
        <v>2</v>
      </c>
      <c r="B1777" s="5">
        <f t="shared" si="325"/>
        <v>1776</v>
      </c>
      <c r="C1777" s="6">
        <f t="shared" ca="1" si="326"/>
        <v>1</v>
      </c>
      <c r="D1777" s="7">
        <f ca="1">IF($B1777 = 1 + N("Presidente"),
    127,
    IF($B1777 = 2 + N("Vice-Presidente"),
        72,
        IF($B1777 = 3 + N("Secretária bilíngue"),
            13,
            RANDBETWEEN(5,COUNT(Name!$A:$A) + 1)
        )
    )
)</f>
        <v>121</v>
      </c>
      <c r="E1777" s="7" t="str">
        <f ca="1" xml:space="preserve">
VLOOKUP(
  $D1777,
  Name!$A:$B,
  2,
  FALSE
)
&amp; " " &amp;
IF($B1777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Eloá Camargo Pinto</v>
      </c>
      <c r="F1777" s="7">
        <v>2</v>
      </c>
      <c r="G1777" s="7" cm="1">
        <f t="array" aca="1" ref="G1777" ca="1">INDEX(States!$B:$B,RANDBETWEEN(2,COUNTA(States!$A:$A)),1)</f>
        <v>15</v>
      </c>
      <c r="H1777" s="7" t="str">
        <f ca="1">VLOOKUP($D1777,Name!$A:$C,3,FALSE)</f>
        <v>F</v>
      </c>
      <c r="I1777" s="7" cm="1">
        <f t="array" aca="1" ref="I1777" ca="1">INDEX('Marital status'!$A:$A,RANDBETWEEN(2,COUNTA('Marital status'!$A:$A)),1)</f>
        <v>6</v>
      </c>
      <c r="J1777" s="7">
        <f t="shared" ca="1" si="327"/>
        <v>2</v>
      </c>
      <c r="K1777" s="8">
        <f t="shared" ca="1" si="328"/>
        <v>37929</v>
      </c>
      <c r="L1777" s="6">
        <f t="shared" ca="1" si="329"/>
        <v>4</v>
      </c>
      <c r="M1777" s="7">
        <f ca="1" xml:space="preserve">
  IF(OR($N1777 = 2, $N1777 = 3, $N1777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777" s="6">
        <f t="shared" ca="1" si="330"/>
        <v>8</v>
      </c>
      <c r="O1777" s="6">
        <f t="shared" ca="1" si="331"/>
        <v>4</v>
      </c>
      <c r="P1777" s="8">
        <f t="shared" ca="1" si="332"/>
        <v>44838</v>
      </c>
      <c r="Q1777" s="6">
        <f ca="1">RANDBETWEEN(2,COUNTA('Recruitment source'!$A:$A))</f>
        <v>2</v>
      </c>
      <c r="R1777" s="8" t="e">
        <f t="shared" ca="1" si="333"/>
        <v>#N/A</v>
      </c>
      <c r="S1777" s="6" t="e">
        <f t="shared" ca="1" si="334"/>
        <v>#N/A</v>
      </c>
      <c r="T1777" s="6">
        <f t="shared" ca="1" si="324"/>
        <v>2</v>
      </c>
      <c r="U1777" s="1">
        <f t="shared" ca="1" si="335"/>
        <v>2080</v>
      </c>
    </row>
    <row r="1778" spans="1:21" x14ac:dyDescent="0.2">
      <c r="A1778" s="7" cm="1">
        <f t="array" aca="1" ref="A1778" ca="1">INDEX(Companies!$A:$A,RANDBETWEEN(2,COUNTA(Companies!$A:$A)),1)</f>
        <v>2</v>
      </c>
      <c r="B1778" s="5">
        <f t="shared" si="325"/>
        <v>1777</v>
      </c>
      <c r="C1778" s="6">
        <f t="shared" ca="1" si="326"/>
        <v>1</v>
      </c>
      <c r="D1778" s="7">
        <f ca="1">IF($B1778 = 1 + N("Presidente"),
    127,
    IF($B1778 = 2 + N("Vice-Presidente"),
        72,
        IF($B1778 = 3 + N("Secretária bilíngue"),
            13,
            RANDBETWEEN(5,COUNT(Name!$A:$A) + 1)
        )
    )
)</f>
        <v>342</v>
      </c>
      <c r="E1778" s="7" t="str">
        <f ca="1" xml:space="preserve">
VLOOKUP(
  $D1778,
  Name!$A:$B,
  2,
  FALSE
)
&amp; " " &amp;
IF($B1778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Théo Bianchi Pedroso</v>
      </c>
      <c r="F1778" s="7">
        <v>2</v>
      </c>
      <c r="G1778" s="7" cm="1">
        <f t="array" aca="1" ref="G1778" ca="1">INDEX(States!$B:$B,RANDBETWEEN(2,COUNTA(States!$A:$A)),1)</f>
        <v>8</v>
      </c>
      <c r="H1778" s="7" t="str">
        <f ca="1">VLOOKUP($D1778,Name!$A:$C,3,FALSE)</f>
        <v>M</v>
      </c>
      <c r="I1778" s="7" cm="1">
        <f t="array" aca="1" ref="I1778" ca="1">INDEX('Marital status'!$A:$A,RANDBETWEEN(2,COUNTA('Marital status'!$A:$A)),1)</f>
        <v>5</v>
      </c>
      <c r="J1778" s="7">
        <f t="shared" ca="1" si="327"/>
        <v>3</v>
      </c>
      <c r="K1778" s="8">
        <f t="shared" ca="1" si="328"/>
        <v>28894</v>
      </c>
      <c r="L1778" s="6">
        <f t="shared" ca="1" si="329"/>
        <v>4</v>
      </c>
      <c r="M1778" s="7">
        <f ca="1" xml:space="preserve">
  IF(OR($N1778 = 2, $N1778 = 3, $N1778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778" s="6">
        <f t="shared" ca="1" si="330"/>
        <v>6</v>
      </c>
      <c r="O1778" s="6" t="e">
        <f t="shared" ca="1" si="331"/>
        <v>#N/A</v>
      </c>
      <c r="P1778" s="8">
        <f t="shared" ca="1" si="332"/>
        <v>37371</v>
      </c>
      <c r="Q1778" s="6">
        <f ca="1">RANDBETWEEN(2,COUNTA('Recruitment source'!$A:$A))</f>
        <v>3</v>
      </c>
      <c r="R1778" s="8" t="e">
        <f t="shared" ca="1" si="333"/>
        <v>#N/A</v>
      </c>
      <c r="S1778" s="6" t="e">
        <f t="shared" ca="1" si="334"/>
        <v>#N/A</v>
      </c>
      <c r="T1778" s="6">
        <f t="shared" ca="1" si="324"/>
        <v>3</v>
      </c>
      <c r="U1778" s="1">
        <f t="shared" ca="1" si="335"/>
        <v>805</v>
      </c>
    </row>
    <row r="1779" spans="1:21" x14ac:dyDescent="0.2">
      <c r="A1779" s="7" cm="1">
        <f t="array" aca="1" ref="A1779" ca="1">INDEX(Companies!$A:$A,RANDBETWEEN(2,COUNTA(Companies!$A:$A)),1)</f>
        <v>2</v>
      </c>
      <c r="B1779" s="5">
        <f t="shared" si="325"/>
        <v>1778</v>
      </c>
      <c r="C1779" s="6">
        <f t="shared" ca="1" si="326"/>
        <v>1</v>
      </c>
      <c r="D1779" s="7">
        <f ca="1">IF($B1779 = 1 + N("Presidente"),
    127,
    IF($B1779 = 2 + N("Vice-Presidente"),
        72,
        IF($B1779 = 3 + N("Secretária bilíngue"),
            13,
            RANDBETWEEN(5,COUNT(Name!$A:$A) + 1)
        )
    )
)</f>
        <v>45</v>
      </c>
      <c r="E1779" s="7" t="str">
        <f ca="1" xml:space="preserve">
VLOOKUP(
  $D1779,
  Name!$A:$B,
  2,
  FALSE
)
&amp; " " &amp;
IF($B1779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Carolinna Martinelli Malafaia</v>
      </c>
      <c r="F1779" s="7">
        <v>2</v>
      </c>
      <c r="G1779" s="7" cm="1">
        <f t="array" aca="1" ref="G1779" ca="1">INDEX(States!$B:$B,RANDBETWEEN(2,COUNTA(States!$A:$A)),1)</f>
        <v>8</v>
      </c>
      <c r="H1779" s="7" t="str">
        <f ca="1">VLOOKUP($D1779,Name!$A:$C,3,FALSE)</f>
        <v>F</v>
      </c>
      <c r="I1779" s="7" cm="1">
        <f t="array" aca="1" ref="I1779" ca="1">INDEX('Marital status'!$A:$A,RANDBETWEEN(2,COUNTA('Marital status'!$A:$A)),1)</f>
        <v>5</v>
      </c>
      <c r="J1779" s="7">
        <f t="shared" ca="1" si="327"/>
        <v>2</v>
      </c>
      <c r="K1779" s="8">
        <f t="shared" ca="1" si="328"/>
        <v>33028</v>
      </c>
      <c r="L1779" s="6">
        <f t="shared" ca="1" si="329"/>
        <v>4</v>
      </c>
      <c r="M1779" s="7">
        <f ca="1" xml:space="preserve">
  IF(OR($N1779 = 2, $N1779 = 3, $N1779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779" s="6">
        <f t="shared" ca="1" si="330"/>
        <v>8</v>
      </c>
      <c r="O1779" s="6">
        <f t="shared" ca="1" si="331"/>
        <v>2</v>
      </c>
      <c r="P1779" s="8">
        <f t="shared" ca="1" si="332"/>
        <v>40727</v>
      </c>
      <c r="Q1779" s="6">
        <f ca="1">RANDBETWEEN(2,COUNTA('Recruitment source'!$A:$A))</f>
        <v>8</v>
      </c>
      <c r="R1779" s="8" t="e">
        <f t="shared" ca="1" si="333"/>
        <v>#N/A</v>
      </c>
      <c r="S1779" s="6" t="e">
        <f t="shared" ca="1" si="334"/>
        <v>#N/A</v>
      </c>
      <c r="T1779" s="6">
        <f t="shared" ca="1" si="324"/>
        <v>2</v>
      </c>
      <c r="U1779" s="1">
        <f t="shared" ca="1" si="335"/>
        <v>2000</v>
      </c>
    </row>
    <row r="1780" spans="1:21" x14ac:dyDescent="0.2">
      <c r="A1780" s="7" cm="1">
        <f t="array" aca="1" ref="A1780" ca="1">INDEX(Companies!$A:$A,RANDBETWEEN(2,COUNTA(Companies!$A:$A)),1)</f>
        <v>2</v>
      </c>
      <c r="B1780" s="5">
        <f t="shared" si="325"/>
        <v>1779</v>
      </c>
      <c r="C1780" s="6">
        <f t="shared" ca="1" si="326"/>
        <v>1</v>
      </c>
      <c r="D1780" s="7">
        <f ca="1">IF($B1780 = 1 + N("Presidente"),
    127,
    IF($B1780 = 2 + N("Vice-Presidente"),
        72,
        IF($B1780 = 3 + N("Secretária bilíngue"),
            13,
            RANDBETWEEN(5,COUNT(Name!$A:$A) + 1)
        )
    )
)</f>
        <v>111</v>
      </c>
      <c r="E1780" s="7" t="str">
        <f ca="1" xml:space="preserve">
VLOOKUP(
  $D1780,
  Name!$A:$B,
  2,
  FALSE
)
&amp; " " &amp;
IF($B1780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Débora Sá Ildelfonso</v>
      </c>
      <c r="F1780" s="7">
        <v>2</v>
      </c>
      <c r="G1780" s="7" cm="1">
        <f t="array" aca="1" ref="G1780" ca="1">INDEX(States!$B:$B,RANDBETWEEN(2,COUNTA(States!$A:$A)),1)</f>
        <v>21</v>
      </c>
      <c r="H1780" s="7" t="str">
        <f ca="1">VLOOKUP($D1780,Name!$A:$C,3,FALSE)</f>
        <v>F</v>
      </c>
      <c r="I1780" s="7" cm="1">
        <f t="array" aca="1" ref="I1780" ca="1">INDEX('Marital status'!$A:$A,RANDBETWEEN(2,COUNTA('Marital status'!$A:$A)),1)</f>
        <v>2</v>
      </c>
      <c r="J1780" s="7">
        <f t="shared" ca="1" si="327"/>
        <v>2</v>
      </c>
      <c r="K1780" s="8">
        <f t="shared" ca="1" si="328"/>
        <v>30477</v>
      </c>
      <c r="L1780" s="6">
        <f t="shared" ca="1" si="329"/>
        <v>4</v>
      </c>
      <c r="M1780" s="7">
        <f ca="1" xml:space="preserve">
  IF(OR($N1780 = 2, $N1780 = 3, $N1780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780" s="6">
        <f t="shared" ca="1" si="330"/>
        <v>6</v>
      </c>
      <c r="O1780" s="6" t="e">
        <f t="shared" ca="1" si="331"/>
        <v>#N/A</v>
      </c>
      <c r="P1780" s="8">
        <f t="shared" ca="1" si="332"/>
        <v>44127</v>
      </c>
      <c r="Q1780" s="6">
        <f ca="1">RANDBETWEEN(2,COUNTA('Recruitment source'!$A:$A))</f>
        <v>10</v>
      </c>
      <c r="R1780" s="8" t="e">
        <f t="shared" ca="1" si="333"/>
        <v>#N/A</v>
      </c>
      <c r="S1780" s="6" t="e">
        <f t="shared" ca="1" si="334"/>
        <v>#N/A</v>
      </c>
      <c r="T1780" s="6">
        <f t="shared" ca="1" si="324"/>
        <v>4</v>
      </c>
      <c r="U1780" s="1">
        <f t="shared" ca="1" si="335"/>
        <v>885</v>
      </c>
    </row>
    <row r="1781" spans="1:21" x14ac:dyDescent="0.2">
      <c r="A1781" s="7" cm="1">
        <f t="array" aca="1" ref="A1781" ca="1">INDEX(Companies!$A:$A,RANDBETWEEN(2,COUNTA(Companies!$A:$A)),1)</f>
        <v>2</v>
      </c>
      <c r="B1781" s="5">
        <f t="shared" si="325"/>
        <v>1780</v>
      </c>
      <c r="C1781" s="6">
        <f t="shared" ca="1" si="326"/>
        <v>1</v>
      </c>
      <c r="D1781" s="7">
        <f ca="1">IF($B1781 = 1 + N("Presidente"),
    127,
    IF($B1781 = 2 + N("Vice-Presidente"),
        72,
        IF($B1781 = 3 + N("Secretária bilíngue"),
            13,
            RANDBETWEEN(5,COUNT(Name!$A:$A) + 1)
        )
    )
)</f>
        <v>31</v>
      </c>
      <c r="E1781" s="7" t="str">
        <f ca="1" xml:space="preserve">
VLOOKUP(
  $D1781,
  Name!$A:$B,
  2,
  FALSE
)
&amp; " " &amp;
IF($B1781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Júlia Barros Alvaregna</v>
      </c>
      <c r="F1781" s="7">
        <v>2</v>
      </c>
      <c r="G1781" s="7" cm="1">
        <f t="array" aca="1" ref="G1781" ca="1">INDEX(States!$B:$B,RANDBETWEEN(2,COUNTA(States!$A:$A)),1)</f>
        <v>5</v>
      </c>
      <c r="H1781" s="7" t="str">
        <f ca="1">VLOOKUP($D1781,Name!$A:$C,3,FALSE)</f>
        <v>F</v>
      </c>
      <c r="I1781" s="7" cm="1">
        <f t="array" aca="1" ref="I1781" ca="1">INDEX('Marital status'!$A:$A,RANDBETWEEN(2,COUNTA('Marital status'!$A:$A)),1)</f>
        <v>4</v>
      </c>
      <c r="J1781" s="7">
        <f t="shared" ca="1" si="327"/>
        <v>2</v>
      </c>
      <c r="K1781" s="8">
        <f t="shared" ca="1" si="328"/>
        <v>35363</v>
      </c>
      <c r="L1781" s="6">
        <f t="shared" ca="1" si="329"/>
        <v>4</v>
      </c>
      <c r="M1781" s="7">
        <f ca="1" xml:space="preserve">
  IF(OR($N1781 = 2, $N1781 = 3, $N1781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781" s="6">
        <f t="shared" ca="1" si="330"/>
        <v>8</v>
      </c>
      <c r="O1781" s="6">
        <f t="shared" ca="1" si="331"/>
        <v>4</v>
      </c>
      <c r="P1781" s="8">
        <f t="shared" ca="1" si="332"/>
        <v>40506</v>
      </c>
      <c r="Q1781" s="6">
        <f ca="1">RANDBETWEEN(2,COUNTA('Recruitment source'!$A:$A))</f>
        <v>4</v>
      </c>
      <c r="R1781" s="8" t="e">
        <f t="shared" ca="1" si="333"/>
        <v>#N/A</v>
      </c>
      <c r="S1781" s="6" t="e">
        <f t="shared" ca="1" si="334"/>
        <v>#N/A</v>
      </c>
      <c r="T1781" s="6">
        <f t="shared" ca="1" si="324"/>
        <v>5</v>
      </c>
      <c r="U1781" s="1">
        <f t="shared" ca="1" si="335"/>
        <v>2000</v>
      </c>
    </row>
    <row r="1782" spans="1:21" x14ac:dyDescent="0.2">
      <c r="A1782" s="7" cm="1">
        <f t="array" aca="1" ref="A1782" ca="1">INDEX(Companies!$A:$A,RANDBETWEEN(2,COUNTA(Companies!$A:$A)),1)</f>
        <v>2</v>
      </c>
      <c r="B1782" s="5">
        <f t="shared" si="325"/>
        <v>1781</v>
      </c>
      <c r="C1782" s="6">
        <f t="shared" ca="1" si="326"/>
        <v>1</v>
      </c>
      <c r="D1782" s="7">
        <f ca="1">IF($B1782 = 1 + N("Presidente"),
    127,
    IF($B1782 = 2 + N("Vice-Presidente"),
        72,
        IF($B1782 = 3 + N("Secretária bilíngue"),
            13,
            RANDBETWEEN(5,COUNT(Name!$A:$A) + 1)
        )
    )
)</f>
        <v>106</v>
      </c>
      <c r="E1782" s="7" t="str">
        <f ca="1" xml:space="preserve">
VLOOKUP(
  $D1782,
  Name!$A:$B,
  2,
  FALSE
)
&amp; " " &amp;
IF($B1782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Lucas Morais Rizzo</v>
      </c>
      <c r="F1782" s="7">
        <v>2</v>
      </c>
      <c r="G1782" s="7" cm="1">
        <f t="array" aca="1" ref="G1782" ca="1">INDEX(States!$B:$B,RANDBETWEEN(2,COUNTA(States!$A:$A)),1)</f>
        <v>2</v>
      </c>
      <c r="H1782" s="7" t="str">
        <f ca="1">VLOOKUP($D1782,Name!$A:$C,3,FALSE)</f>
        <v>M</v>
      </c>
      <c r="I1782" s="7" cm="1">
        <f t="array" aca="1" ref="I1782" ca="1">INDEX('Marital status'!$A:$A,RANDBETWEEN(2,COUNTA('Marital status'!$A:$A)),1)</f>
        <v>6</v>
      </c>
      <c r="J1782" s="7">
        <f t="shared" ca="1" si="327"/>
        <v>4</v>
      </c>
      <c r="K1782" s="8">
        <f t="shared" ca="1" si="328"/>
        <v>27524</v>
      </c>
      <c r="L1782" s="6">
        <f t="shared" ca="1" si="329"/>
        <v>4</v>
      </c>
      <c r="M1782" s="7">
        <f ca="1" xml:space="preserve">
  IF(OR($N1782 = 2, $N1782 = 3, $N1782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782" s="6">
        <f t="shared" ca="1" si="330"/>
        <v>6</v>
      </c>
      <c r="O1782" s="6" t="e">
        <f t="shared" ca="1" si="331"/>
        <v>#N/A</v>
      </c>
      <c r="P1782" s="8">
        <f t="shared" ca="1" si="332"/>
        <v>40105</v>
      </c>
      <c r="Q1782" s="6">
        <f ca="1">RANDBETWEEN(2,COUNTA('Recruitment source'!$A:$A))</f>
        <v>2</v>
      </c>
      <c r="R1782" s="8" t="e">
        <f t="shared" ca="1" si="333"/>
        <v>#N/A</v>
      </c>
      <c r="S1782" s="6" t="e">
        <f t="shared" ca="1" si="334"/>
        <v>#N/A</v>
      </c>
      <c r="T1782" s="6">
        <f t="shared" ca="1" si="324"/>
        <v>3</v>
      </c>
      <c r="U1782" s="1">
        <f t="shared" ca="1" si="335"/>
        <v>805</v>
      </c>
    </row>
    <row r="1783" spans="1:21" x14ac:dyDescent="0.2">
      <c r="A1783" s="7" cm="1">
        <f t="array" aca="1" ref="A1783" ca="1">INDEX(Companies!$A:$A,RANDBETWEEN(2,COUNTA(Companies!$A:$A)),1)</f>
        <v>2</v>
      </c>
      <c r="B1783" s="5">
        <f t="shared" si="325"/>
        <v>1782</v>
      </c>
      <c r="C1783" s="6">
        <f t="shared" ca="1" si="326"/>
        <v>1</v>
      </c>
      <c r="D1783" s="7">
        <f ca="1">IF($B1783 = 1 + N("Presidente"),
    127,
    IF($B1783 = 2 + N("Vice-Presidente"),
        72,
        IF($B1783 = 3 + N("Secretária bilíngue"),
            13,
            RANDBETWEEN(5,COUNT(Name!$A:$A) + 1)
        )
    )
)</f>
        <v>100</v>
      </c>
      <c r="E1783" s="7" t="str">
        <f ca="1" xml:space="preserve">
VLOOKUP(
  $D1783,
  Name!$A:$B,
  2,
  FALSE
)
&amp; " " &amp;
IF($B1783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Cristóvão Junqueira Cândido</v>
      </c>
      <c r="F1783" s="7">
        <v>2</v>
      </c>
      <c r="G1783" s="7" cm="1">
        <f t="array" aca="1" ref="G1783" ca="1">INDEX(States!$B:$B,RANDBETWEEN(2,COUNTA(States!$A:$A)),1)</f>
        <v>18</v>
      </c>
      <c r="H1783" s="7" t="str">
        <f ca="1">VLOOKUP($D1783,Name!$A:$C,3,FALSE)</f>
        <v>M</v>
      </c>
      <c r="I1783" s="7" cm="1">
        <f t="array" aca="1" ref="I1783" ca="1">INDEX('Marital status'!$A:$A,RANDBETWEEN(2,COUNTA('Marital status'!$A:$A)),1)</f>
        <v>2</v>
      </c>
      <c r="J1783" s="7">
        <f t="shared" ca="1" si="327"/>
        <v>2</v>
      </c>
      <c r="K1783" s="8">
        <f t="shared" ca="1" si="328"/>
        <v>33457</v>
      </c>
      <c r="L1783" s="6">
        <f t="shared" ca="1" si="329"/>
        <v>4</v>
      </c>
      <c r="M1783" s="7">
        <f ca="1" xml:space="preserve">
  IF(OR($N1783 = 2, $N1783 = 3, $N1783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783" s="6">
        <f t="shared" ca="1" si="330"/>
        <v>8</v>
      </c>
      <c r="O1783" s="6">
        <f t="shared" ca="1" si="331"/>
        <v>2</v>
      </c>
      <c r="P1783" s="8">
        <f t="shared" ca="1" si="332"/>
        <v>39061</v>
      </c>
      <c r="Q1783" s="6">
        <f ca="1">RANDBETWEEN(2,COUNTA('Recruitment source'!$A:$A))</f>
        <v>11</v>
      </c>
      <c r="R1783" s="8" t="e">
        <f t="shared" ca="1" si="333"/>
        <v>#N/A</v>
      </c>
      <c r="S1783" s="6" t="e">
        <f t="shared" ca="1" si="334"/>
        <v>#N/A</v>
      </c>
      <c r="T1783" s="6">
        <f t="shared" ca="1" si="324"/>
        <v>4</v>
      </c>
      <c r="U1783" s="1">
        <f t="shared" ca="1" si="335"/>
        <v>2000</v>
      </c>
    </row>
    <row r="1784" spans="1:21" x14ac:dyDescent="0.2">
      <c r="A1784" s="7" cm="1">
        <f t="array" aca="1" ref="A1784" ca="1">INDEX(Companies!$A:$A,RANDBETWEEN(2,COUNTA(Companies!$A:$A)),1)</f>
        <v>2</v>
      </c>
      <c r="B1784" s="5">
        <f t="shared" si="325"/>
        <v>1783</v>
      </c>
      <c r="C1784" s="6">
        <f t="shared" ca="1" si="326"/>
        <v>1</v>
      </c>
      <c r="D1784" s="7">
        <f ca="1">IF($B1784 = 1 + N("Presidente"),
    127,
    IF($B1784 = 2 + N("Vice-Presidente"),
        72,
        IF($B1784 = 3 + N("Secretária bilíngue"),
            13,
            RANDBETWEEN(5,COUNT(Name!$A:$A) + 1)
        )
    )
)</f>
        <v>308</v>
      </c>
      <c r="E1784" s="7" t="str">
        <f ca="1" xml:space="preserve">
VLOOKUP(
  $D1784,
  Name!$A:$B,
  2,
  FALSE
)
&amp; " " &amp;
IF($B1784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Noah Vaz Garcia</v>
      </c>
      <c r="F1784" s="7">
        <v>2</v>
      </c>
      <c r="G1784" s="7" cm="1">
        <f t="array" aca="1" ref="G1784" ca="1">INDEX(States!$B:$B,RANDBETWEEN(2,COUNTA(States!$A:$A)),1)</f>
        <v>9</v>
      </c>
      <c r="H1784" s="7" t="str">
        <f ca="1">VLOOKUP($D1784,Name!$A:$C,3,FALSE)</f>
        <v>M</v>
      </c>
      <c r="I1784" s="7" cm="1">
        <f t="array" aca="1" ref="I1784" ca="1">INDEX('Marital status'!$A:$A,RANDBETWEEN(2,COUNTA('Marital status'!$A:$A)),1)</f>
        <v>6</v>
      </c>
      <c r="J1784" s="7">
        <f t="shared" ca="1" si="327"/>
        <v>2</v>
      </c>
      <c r="K1784" s="8">
        <f t="shared" ca="1" si="328"/>
        <v>34497</v>
      </c>
      <c r="L1784" s="6">
        <f t="shared" ca="1" si="329"/>
        <v>4</v>
      </c>
      <c r="M1784" s="7">
        <f ca="1" xml:space="preserve">
  IF(OR($N1784 = 2, $N1784 = 3, $N1784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784" s="6">
        <f t="shared" ca="1" si="330"/>
        <v>7</v>
      </c>
      <c r="O1784" s="6" t="e">
        <f t="shared" ca="1" si="331"/>
        <v>#N/A</v>
      </c>
      <c r="P1784" s="8">
        <f t="shared" ca="1" si="332"/>
        <v>43659</v>
      </c>
      <c r="Q1784" s="6">
        <f ca="1">RANDBETWEEN(2,COUNTA('Recruitment source'!$A:$A))</f>
        <v>11</v>
      </c>
      <c r="R1784" s="8" t="e">
        <f t="shared" ca="1" si="333"/>
        <v>#N/A</v>
      </c>
      <c r="S1784" s="6" t="e">
        <f t="shared" ca="1" si="334"/>
        <v>#N/A</v>
      </c>
      <c r="T1784" s="6">
        <f t="shared" ca="1" si="324"/>
        <v>3</v>
      </c>
      <c r="U1784" s="1">
        <f t="shared" ca="1" si="335"/>
        <v>1085</v>
      </c>
    </row>
    <row r="1785" spans="1:21" x14ac:dyDescent="0.2">
      <c r="A1785" s="7" cm="1">
        <f t="array" aca="1" ref="A1785" ca="1">INDEX(Companies!$A:$A,RANDBETWEEN(2,COUNTA(Companies!$A:$A)),1)</f>
        <v>2</v>
      </c>
      <c r="B1785" s="5">
        <f t="shared" si="325"/>
        <v>1784</v>
      </c>
      <c r="C1785" s="6">
        <f t="shared" ca="1" si="326"/>
        <v>1</v>
      </c>
      <c r="D1785" s="7">
        <f ca="1">IF($B1785 = 1 + N("Presidente"),
    127,
    IF($B1785 = 2 + N("Vice-Presidente"),
        72,
        IF($B1785 = 3 + N("Secretária bilíngue"),
            13,
            RANDBETWEEN(5,COUNT(Name!$A:$A) + 1)
        )
    )
)</f>
        <v>94</v>
      </c>
      <c r="E1785" s="7" t="str">
        <f ca="1" xml:space="preserve">
VLOOKUP(
  $D1785,
  Name!$A:$B,
  2,
  FALSE
)
&amp; " " &amp;
IF($B1785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Clara dos Santos Luz</v>
      </c>
      <c r="F1785" s="7">
        <v>2</v>
      </c>
      <c r="G1785" s="7" cm="1">
        <f t="array" aca="1" ref="G1785" ca="1">INDEX(States!$B:$B,RANDBETWEEN(2,COUNTA(States!$A:$A)),1)</f>
        <v>20</v>
      </c>
      <c r="H1785" s="7" t="str">
        <f ca="1">VLOOKUP($D1785,Name!$A:$C,3,FALSE)</f>
        <v>F</v>
      </c>
      <c r="I1785" s="7" cm="1">
        <f t="array" aca="1" ref="I1785" ca="1">INDEX('Marital status'!$A:$A,RANDBETWEEN(2,COUNTA('Marital status'!$A:$A)),1)</f>
        <v>3</v>
      </c>
      <c r="J1785" s="7">
        <f t="shared" ca="1" si="327"/>
        <v>3</v>
      </c>
      <c r="K1785" s="8">
        <f t="shared" ca="1" si="328"/>
        <v>37921</v>
      </c>
      <c r="L1785" s="6">
        <f t="shared" ca="1" si="329"/>
        <v>5</v>
      </c>
      <c r="M1785" s="7">
        <f ca="1" xml:space="preserve">
  IF(OR($N1785 = 2, $N1785 = 3, $N1785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785" s="6">
        <f t="shared" ca="1" si="330"/>
        <v>8</v>
      </c>
      <c r="O1785" s="6">
        <f t="shared" ca="1" si="331"/>
        <v>3</v>
      </c>
      <c r="P1785" s="8">
        <f t="shared" ca="1" si="332"/>
        <v>44838</v>
      </c>
      <c r="Q1785" s="6">
        <f ca="1">RANDBETWEEN(2,COUNTA('Recruitment source'!$A:$A))</f>
        <v>3</v>
      </c>
      <c r="R1785" s="8" t="e">
        <f t="shared" ca="1" si="333"/>
        <v>#N/A</v>
      </c>
      <c r="S1785" s="6" t="e">
        <f t="shared" ca="1" si="334"/>
        <v>#N/A</v>
      </c>
      <c r="T1785" s="6">
        <f t="shared" ca="1" si="324"/>
        <v>4</v>
      </c>
      <c r="U1785" s="1">
        <f t="shared" ca="1" si="335"/>
        <v>2000</v>
      </c>
    </row>
    <row r="1786" spans="1:21" x14ac:dyDescent="0.2">
      <c r="A1786" s="7" cm="1">
        <f t="array" aca="1" ref="A1786" ca="1">INDEX(Companies!$A:$A,RANDBETWEEN(2,COUNTA(Companies!$A:$A)),1)</f>
        <v>2</v>
      </c>
      <c r="B1786" s="5">
        <f t="shared" si="325"/>
        <v>1785</v>
      </c>
      <c r="C1786" s="6">
        <f t="shared" ca="1" si="326"/>
        <v>1</v>
      </c>
      <c r="D1786" s="7">
        <f ca="1">IF($B1786 = 1 + N("Presidente"),
    127,
    IF($B1786 = 2 + N("Vice-Presidente"),
        72,
        IF($B1786 = 3 + N("Secretária bilíngue"),
            13,
            RANDBETWEEN(5,COUNT(Name!$A:$A) + 1)
        )
    )
)</f>
        <v>278</v>
      </c>
      <c r="E1786" s="7" t="str">
        <f ca="1" xml:space="preserve">
VLOOKUP(
  $D1786,
  Name!$A:$B,
  2,
  FALSE
)
&amp; " " &amp;
IF($B1786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Mariana Serra Dantas</v>
      </c>
      <c r="F1786" s="7">
        <v>2</v>
      </c>
      <c r="G1786" s="7" cm="1">
        <f t="array" aca="1" ref="G1786" ca="1">INDEX(States!$B:$B,RANDBETWEEN(2,COUNTA(States!$A:$A)),1)</f>
        <v>2</v>
      </c>
      <c r="H1786" s="7" t="str">
        <f ca="1">VLOOKUP($D1786,Name!$A:$C,3,FALSE)</f>
        <v>F</v>
      </c>
      <c r="I1786" s="7" cm="1">
        <f t="array" aca="1" ref="I1786" ca="1">INDEX('Marital status'!$A:$A,RANDBETWEEN(2,COUNTA('Marital status'!$A:$A)),1)</f>
        <v>5</v>
      </c>
      <c r="J1786" s="7">
        <f t="shared" ca="1" si="327"/>
        <v>5</v>
      </c>
      <c r="K1786" s="8">
        <f t="shared" ca="1" si="328"/>
        <v>34982</v>
      </c>
      <c r="L1786" s="6">
        <f t="shared" ca="1" si="329"/>
        <v>4</v>
      </c>
      <c r="M1786" s="7">
        <f ca="1" xml:space="preserve">
  IF(OR($N1786 = 2, $N1786 = 3, $N1786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786" s="6">
        <f t="shared" ca="1" si="330"/>
        <v>7</v>
      </c>
      <c r="O1786" s="6" t="e">
        <f t="shared" ca="1" si="331"/>
        <v>#N/A</v>
      </c>
      <c r="P1786" s="8">
        <f t="shared" ca="1" si="332"/>
        <v>43473</v>
      </c>
      <c r="Q1786" s="6">
        <f ca="1">RANDBETWEEN(2,COUNTA('Recruitment source'!$A:$A))</f>
        <v>4</v>
      </c>
      <c r="R1786" s="8" t="e">
        <f t="shared" ca="1" si="333"/>
        <v>#N/A</v>
      </c>
      <c r="S1786" s="6" t="e">
        <f t="shared" ca="1" si="334"/>
        <v>#N/A</v>
      </c>
      <c r="T1786" s="6">
        <f t="shared" ca="1" si="324"/>
        <v>4</v>
      </c>
      <c r="U1786" s="1">
        <f t="shared" ca="1" si="335"/>
        <v>1005</v>
      </c>
    </row>
    <row r="1787" spans="1:21" x14ac:dyDescent="0.2">
      <c r="A1787" s="7" cm="1">
        <f t="array" aca="1" ref="A1787" ca="1">INDEX(Companies!$A:$A,RANDBETWEEN(2,COUNTA(Companies!$A:$A)),1)</f>
        <v>2</v>
      </c>
      <c r="B1787" s="5">
        <f t="shared" si="325"/>
        <v>1786</v>
      </c>
      <c r="C1787" s="6">
        <f t="shared" ca="1" si="326"/>
        <v>1</v>
      </c>
      <c r="D1787" s="7">
        <f ca="1">IF($B1787 = 1 + N("Presidente"),
    127,
    IF($B1787 = 2 + N("Vice-Presidente"),
        72,
        IF($B1787 = 3 + N("Secretária bilíngue"),
            13,
            RANDBETWEEN(5,COUNT(Name!$A:$A) + 1)
        )
    )
)</f>
        <v>141</v>
      </c>
      <c r="E1787" s="7" t="str">
        <f ca="1" xml:space="preserve">
VLOOKUP(
  $D1787,
  Name!$A:$B,
  2,
  FALSE
)
&amp; " " &amp;
IF($B1787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Filipe Cabral Camões</v>
      </c>
      <c r="F1787" s="7">
        <v>2</v>
      </c>
      <c r="G1787" s="7" cm="1">
        <f t="array" aca="1" ref="G1787" ca="1">INDEX(States!$B:$B,RANDBETWEEN(2,COUNTA(States!$A:$A)),1)</f>
        <v>17</v>
      </c>
      <c r="H1787" s="7" t="str">
        <f ca="1">VLOOKUP($D1787,Name!$A:$C,3,FALSE)</f>
        <v>M</v>
      </c>
      <c r="I1787" s="7" cm="1">
        <f t="array" aca="1" ref="I1787" ca="1">INDEX('Marital status'!$A:$A,RANDBETWEEN(2,COUNTA('Marital status'!$A:$A)),1)</f>
        <v>5</v>
      </c>
      <c r="J1787" s="7">
        <f t="shared" ca="1" si="327"/>
        <v>2</v>
      </c>
      <c r="K1787" s="8">
        <f t="shared" ca="1" si="328"/>
        <v>34132</v>
      </c>
      <c r="L1787" s="6">
        <f t="shared" ca="1" si="329"/>
        <v>4</v>
      </c>
      <c r="M1787" s="7">
        <f ca="1" xml:space="preserve">
  IF(OR($N1787 = 2, $N1787 = 3, $N1787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787" s="6">
        <f t="shared" ca="1" si="330"/>
        <v>8</v>
      </c>
      <c r="O1787" s="6">
        <f t="shared" ca="1" si="331"/>
        <v>4</v>
      </c>
      <c r="P1787" s="8">
        <f t="shared" ca="1" si="332"/>
        <v>42334</v>
      </c>
      <c r="Q1787" s="6">
        <f ca="1">RANDBETWEEN(2,COUNTA('Recruitment source'!$A:$A))</f>
        <v>8</v>
      </c>
      <c r="R1787" s="8" t="e">
        <f t="shared" ca="1" si="333"/>
        <v>#N/A</v>
      </c>
      <c r="S1787" s="6" t="e">
        <f t="shared" ca="1" si="334"/>
        <v>#N/A</v>
      </c>
      <c r="T1787" s="6">
        <f t="shared" ca="1" si="324"/>
        <v>3</v>
      </c>
      <c r="U1787" s="1">
        <f t="shared" ca="1" si="335"/>
        <v>2080</v>
      </c>
    </row>
    <row r="1788" spans="1:21" x14ac:dyDescent="0.2">
      <c r="A1788" s="7" cm="1">
        <f t="array" aca="1" ref="A1788" ca="1">INDEX(Companies!$A:$A,RANDBETWEEN(2,COUNTA(Companies!$A:$A)),1)</f>
        <v>2</v>
      </c>
      <c r="B1788" s="5">
        <f t="shared" si="325"/>
        <v>1787</v>
      </c>
      <c r="C1788" s="6">
        <f t="shared" ca="1" si="326"/>
        <v>1</v>
      </c>
      <c r="D1788" s="7">
        <f ca="1">IF($B1788 = 1 + N("Presidente"),
    127,
    IF($B1788 = 2 + N("Vice-Presidente"),
        72,
        IF($B1788 = 3 + N("Secretária bilíngue"),
            13,
            RANDBETWEEN(5,COUNT(Name!$A:$A) + 1)
        )
    )
)</f>
        <v>36</v>
      </c>
      <c r="E1788" s="7" t="str">
        <f ca="1" xml:space="preserve">
VLOOKUP(
  $D1788,
  Name!$A:$B,
  2,
  FALSE
)
&amp; " " &amp;
IF($B1788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Sophia Conti Duarte</v>
      </c>
      <c r="F1788" s="7">
        <v>2</v>
      </c>
      <c r="G1788" s="7" cm="1">
        <f t="array" aca="1" ref="G1788" ca="1">INDEX(States!$B:$B,RANDBETWEEN(2,COUNTA(States!$A:$A)),1)</f>
        <v>14</v>
      </c>
      <c r="H1788" s="7" t="str">
        <f ca="1">VLOOKUP($D1788,Name!$A:$C,3,FALSE)</f>
        <v>F</v>
      </c>
      <c r="I1788" s="7" cm="1">
        <f t="array" aca="1" ref="I1788" ca="1">INDEX('Marital status'!$A:$A,RANDBETWEEN(2,COUNTA('Marital status'!$A:$A)),1)</f>
        <v>5</v>
      </c>
      <c r="J1788" s="7">
        <f t="shared" ca="1" si="327"/>
        <v>2</v>
      </c>
      <c r="K1788" s="8">
        <f t="shared" ca="1" si="328"/>
        <v>30526</v>
      </c>
      <c r="L1788" s="6">
        <f t="shared" ca="1" si="329"/>
        <v>4</v>
      </c>
      <c r="M1788" s="7">
        <f ca="1" xml:space="preserve">
  IF(OR($N1788 = 2, $N1788 = 3, $N1788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788" s="6">
        <f t="shared" ca="1" si="330"/>
        <v>7</v>
      </c>
      <c r="O1788" s="6" t="e">
        <f t="shared" ca="1" si="331"/>
        <v>#N/A</v>
      </c>
      <c r="P1788" s="8">
        <f t="shared" ca="1" si="332"/>
        <v>41054</v>
      </c>
      <c r="Q1788" s="6">
        <f ca="1">RANDBETWEEN(2,COUNTA('Recruitment source'!$A:$A))</f>
        <v>11</v>
      </c>
      <c r="R1788" s="8" t="e">
        <f t="shared" ca="1" si="333"/>
        <v>#N/A</v>
      </c>
      <c r="S1788" s="6" t="e">
        <f t="shared" ca="1" si="334"/>
        <v>#N/A</v>
      </c>
      <c r="T1788" s="6">
        <f t="shared" ca="1" si="324"/>
        <v>4</v>
      </c>
      <c r="U1788" s="1">
        <f t="shared" ca="1" si="335"/>
        <v>1005</v>
      </c>
    </row>
    <row r="1789" spans="1:21" x14ac:dyDescent="0.2">
      <c r="A1789" s="7" cm="1">
        <f t="array" aca="1" ref="A1789" ca="1">INDEX(Companies!$A:$A,RANDBETWEEN(2,COUNTA(Companies!$A:$A)),1)</f>
        <v>2</v>
      </c>
      <c r="B1789" s="5">
        <f t="shared" si="325"/>
        <v>1788</v>
      </c>
      <c r="C1789" s="6">
        <f t="shared" ca="1" si="326"/>
        <v>1</v>
      </c>
      <c r="D1789" s="7">
        <f ca="1">IF($B1789 = 1 + N("Presidente"),
    127,
    IF($B1789 = 2 + N("Vice-Presidente"),
        72,
        IF($B1789 = 3 + N("Secretária bilíngue"),
            13,
            RANDBETWEEN(5,COUNT(Name!$A:$A) + 1)
        )
    )
)</f>
        <v>121</v>
      </c>
      <c r="E1789" s="7" t="str">
        <f ca="1" xml:space="preserve">
VLOOKUP(
  $D1789,
  Name!$A:$B,
  2,
  FALSE
)
&amp; " " &amp;
IF($B1789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Eloá Albuquerque Gonçalves</v>
      </c>
      <c r="F1789" s="7">
        <v>2</v>
      </c>
      <c r="G1789" s="7" cm="1">
        <f t="array" aca="1" ref="G1789" ca="1">INDEX(States!$B:$B,RANDBETWEEN(2,COUNTA(States!$A:$A)),1)</f>
        <v>11</v>
      </c>
      <c r="H1789" s="7" t="str">
        <f ca="1">VLOOKUP($D1789,Name!$A:$C,3,FALSE)</f>
        <v>F</v>
      </c>
      <c r="I1789" s="7" cm="1">
        <f t="array" aca="1" ref="I1789" ca="1">INDEX('Marital status'!$A:$A,RANDBETWEEN(2,COUNTA('Marital status'!$A:$A)),1)</f>
        <v>6</v>
      </c>
      <c r="J1789" s="7">
        <f t="shared" ca="1" si="327"/>
        <v>2</v>
      </c>
      <c r="K1789" s="8">
        <f t="shared" ca="1" si="328"/>
        <v>33911</v>
      </c>
      <c r="L1789" s="6">
        <f t="shared" ca="1" si="329"/>
        <v>5</v>
      </c>
      <c r="M1789" s="7">
        <f ca="1" xml:space="preserve">
  IF(OR($N1789 = 2, $N1789 = 3, $N1789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789" s="6">
        <f t="shared" ca="1" si="330"/>
        <v>8</v>
      </c>
      <c r="O1789" s="6">
        <f t="shared" ca="1" si="331"/>
        <v>3</v>
      </c>
      <c r="P1789" s="8">
        <f t="shared" ca="1" si="332"/>
        <v>37486</v>
      </c>
      <c r="Q1789" s="6">
        <f ca="1">RANDBETWEEN(2,COUNTA('Recruitment source'!$A:$A))</f>
        <v>11</v>
      </c>
      <c r="R1789" s="8" t="e">
        <f t="shared" ca="1" si="333"/>
        <v>#N/A</v>
      </c>
      <c r="S1789" s="6" t="e">
        <f t="shared" ca="1" si="334"/>
        <v>#N/A</v>
      </c>
      <c r="T1789" s="6">
        <f t="shared" ca="1" si="324"/>
        <v>5</v>
      </c>
      <c r="U1789" s="1">
        <f t="shared" ca="1" si="335"/>
        <v>2050</v>
      </c>
    </row>
    <row r="1790" spans="1:21" x14ac:dyDescent="0.2">
      <c r="A1790" s="7" cm="1">
        <f t="array" aca="1" ref="A1790" ca="1">INDEX(Companies!$A:$A,RANDBETWEEN(2,COUNTA(Companies!$A:$A)),1)</f>
        <v>2</v>
      </c>
      <c r="B1790" s="5">
        <f t="shared" si="325"/>
        <v>1789</v>
      </c>
      <c r="C1790" s="6">
        <f t="shared" ca="1" si="326"/>
        <v>1</v>
      </c>
      <c r="D1790" s="7">
        <f ca="1">IF($B1790 = 1 + N("Presidente"),
    127,
    IF($B1790 = 2 + N("Vice-Presidente"),
        72,
        IF($B1790 = 3 + N("Secretária bilíngue"),
            13,
            RANDBETWEEN(5,COUNT(Name!$A:$A) + 1)
        )
    )
)</f>
        <v>296</v>
      </c>
      <c r="E1790" s="7" t="str">
        <f ca="1" xml:space="preserve">
VLOOKUP(
  $D1790,
  Name!$A:$B,
  2,
  FALSE
)
&amp; " " &amp;
IF($B1790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 Henrique Ramos Saragoça</v>
      </c>
      <c r="F1790" s="7">
        <v>2</v>
      </c>
      <c r="G1790" s="7" cm="1">
        <f t="array" aca="1" ref="G1790" ca="1">INDEX(States!$B:$B,RANDBETWEEN(2,COUNTA(States!$A:$A)),1)</f>
        <v>7</v>
      </c>
      <c r="H1790" s="7" t="str">
        <f ca="1">VLOOKUP($D1790,Name!$A:$C,3,FALSE)</f>
        <v>M</v>
      </c>
      <c r="I1790" s="7" cm="1">
        <f t="array" aca="1" ref="I1790" ca="1">INDEX('Marital status'!$A:$A,RANDBETWEEN(2,COUNTA('Marital status'!$A:$A)),1)</f>
        <v>5</v>
      </c>
      <c r="J1790" s="7">
        <f t="shared" ca="1" si="327"/>
        <v>2</v>
      </c>
      <c r="K1790" s="8">
        <f t="shared" ca="1" si="328"/>
        <v>35190</v>
      </c>
      <c r="L1790" s="6">
        <f t="shared" ca="1" si="329"/>
        <v>4</v>
      </c>
      <c r="M1790" s="7">
        <f ca="1" xml:space="preserve">
  IF(OR($N1790 = 2, $N1790 = 3, $N1790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790" s="6">
        <f t="shared" ca="1" si="330"/>
        <v>7</v>
      </c>
      <c r="O1790" s="6" t="e">
        <f t="shared" ca="1" si="331"/>
        <v>#N/A</v>
      </c>
      <c r="P1790" s="8">
        <f t="shared" ca="1" si="332"/>
        <v>41528</v>
      </c>
      <c r="Q1790" s="6">
        <f ca="1">RANDBETWEEN(2,COUNTA('Recruitment source'!$A:$A))</f>
        <v>4</v>
      </c>
      <c r="R1790" s="8" t="e">
        <f t="shared" ca="1" si="333"/>
        <v>#N/A</v>
      </c>
      <c r="S1790" s="6" t="e">
        <f t="shared" ca="1" si="334"/>
        <v>#N/A</v>
      </c>
      <c r="T1790" s="6">
        <f t="shared" ca="1" si="324"/>
        <v>3</v>
      </c>
      <c r="U1790" s="1">
        <f t="shared" ca="1" si="335"/>
        <v>1085</v>
      </c>
    </row>
    <row r="1791" spans="1:21" x14ac:dyDescent="0.2">
      <c r="A1791" s="7" cm="1">
        <f t="array" aca="1" ref="A1791" ca="1">INDEX(Companies!$A:$A,RANDBETWEEN(2,COUNTA(Companies!$A:$A)),1)</f>
        <v>2</v>
      </c>
      <c r="B1791" s="5">
        <f t="shared" si="325"/>
        <v>1790</v>
      </c>
      <c r="C1791" s="6">
        <f t="shared" ca="1" si="326"/>
        <v>1</v>
      </c>
      <c r="D1791" s="7">
        <f ca="1">IF($B1791 = 1 + N("Presidente"),
    127,
    IF($B1791 = 2 + N("Vice-Presidente"),
        72,
        IF($B1791 = 3 + N("Secretária bilíngue"),
            13,
            RANDBETWEEN(5,COUNT(Name!$A:$A) + 1)
        )
    )
)</f>
        <v>198</v>
      </c>
      <c r="E1791" s="7" t="str">
        <f ca="1" xml:space="preserve">
VLOOKUP(
  $D1791,
  Name!$A:$B,
  2,
  FALSE
)
&amp; " " &amp;
IF($B1791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Emanuel Alvim Melo</v>
      </c>
      <c r="F1791" s="7">
        <v>2</v>
      </c>
      <c r="G1791" s="7" cm="1">
        <f t="array" aca="1" ref="G1791" ca="1">INDEX(States!$B:$B,RANDBETWEEN(2,COUNTA(States!$A:$A)),1)</f>
        <v>5</v>
      </c>
      <c r="H1791" s="7" t="str">
        <f ca="1">VLOOKUP($D1791,Name!$A:$C,3,FALSE)</f>
        <v>M</v>
      </c>
      <c r="I1791" s="7" cm="1">
        <f t="array" aca="1" ref="I1791" ca="1">INDEX('Marital status'!$A:$A,RANDBETWEEN(2,COUNTA('Marital status'!$A:$A)),1)</f>
        <v>5</v>
      </c>
      <c r="J1791" s="7">
        <f t="shared" ca="1" si="327"/>
        <v>2</v>
      </c>
      <c r="K1791" s="8">
        <f t="shared" ca="1" si="328"/>
        <v>36023</v>
      </c>
      <c r="L1791" s="6">
        <f t="shared" ca="1" si="329"/>
        <v>5</v>
      </c>
      <c r="M1791" s="7">
        <f ca="1" xml:space="preserve">
  IF(OR($N1791 = 2, $N1791 = 3, $N1791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791" s="6">
        <f t="shared" ca="1" si="330"/>
        <v>8</v>
      </c>
      <c r="O1791" s="6">
        <f t="shared" ca="1" si="331"/>
        <v>3</v>
      </c>
      <c r="P1791" s="8">
        <f t="shared" ca="1" si="332"/>
        <v>41908</v>
      </c>
      <c r="Q1791" s="6">
        <f ca="1">RANDBETWEEN(2,COUNTA('Recruitment source'!$A:$A))</f>
        <v>8</v>
      </c>
      <c r="R1791" s="8" t="e">
        <f t="shared" ca="1" si="333"/>
        <v>#N/A</v>
      </c>
      <c r="S1791" s="6" t="e">
        <f t="shared" ca="1" si="334"/>
        <v>#N/A</v>
      </c>
      <c r="T1791" s="6">
        <f t="shared" ca="1" si="324"/>
        <v>4</v>
      </c>
      <c r="U1791" s="1">
        <f t="shared" ca="1" si="335"/>
        <v>2000</v>
      </c>
    </row>
    <row r="1792" spans="1:21" x14ac:dyDescent="0.2">
      <c r="A1792" s="7" cm="1">
        <f t="array" aca="1" ref="A1792" ca="1">INDEX(Companies!$A:$A,RANDBETWEEN(2,COUNTA(Companies!$A:$A)),1)</f>
        <v>2</v>
      </c>
      <c r="B1792" s="5">
        <f t="shared" si="325"/>
        <v>1791</v>
      </c>
      <c r="C1792" s="6">
        <f t="shared" ca="1" si="326"/>
        <v>1</v>
      </c>
      <c r="D1792" s="7">
        <f ca="1">IF($B1792 = 1 + N("Presidente"),
    127,
    IF($B1792 = 2 + N("Vice-Presidente"),
        72,
        IF($B1792 = 3 + N("Secretária bilíngue"),
            13,
            RANDBETWEEN(5,COUNT(Name!$A:$A) + 1)
        )
    )
)</f>
        <v>239</v>
      </c>
      <c r="E1792" s="7" t="str">
        <f ca="1" xml:space="preserve">
VLOOKUP(
  $D1792,
  Name!$A:$B,
  2,
  FALSE
)
&amp; " " &amp;
IF($B1792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Lucas Gabriel Trindade Malafaia</v>
      </c>
      <c r="F1792" s="7">
        <v>2</v>
      </c>
      <c r="G1792" s="7" cm="1">
        <f t="array" aca="1" ref="G1792" ca="1">INDEX(States!$B:$B,RANDBETWEEN(2,COUNTA(States!$A:$A)),1)</f>
        <v>7</v>
      </c>
      <c r="H1792" s="7" t="str">
        <f ca="1">VLOOKUP($D1792,Name!$A:$C,3,FALSE)</f>
        <v>M</v>
      </c>
      <c r="I1792" s="7" cm="1">
        <f t="array" aca="1" ref="I1792" ca="1">INDEX('Marital status'!$A:$A,RANDBETWEEN(2,COUNTA('Marital status'!$A:$A)),1)</f>
        <v>4</v>
      </c>
      <c r="J1792" s="7">
        <f t="shared" ca="1" si="327"/>
        <v>3</v>
      </c>
      <c r="K1792" s="8">
        <f t="shared" ca="1" si="328"/>
        <v>25607</v>
      </c>
      <c r="L1792" s="6">
        <f t="shared" ca="1" si="329"/>
        <v>4</v>
      </c>
      <c r="M1792" s="7">
        <f ca="1" xml:space="preserve">
  IF(OR($N1792 = 2, $N1792 = 3, $N1792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792" s="6">
        <f t="shared" ca="1" si="330"/>
        <v>6</v>
      </c>
      <c r="O1792" s="6" t="e">
        <f t="shared" ca="1" si="331"/>
        <v>#N/A</v>
      </c>
      <c r="P1792" s="8">
        <f t="shared" ca="1" si="332"/>
        <v>44454</v>
      </c>
      <c r="Q1792" s="6">
        <f ca="1">RANDBETWEEN(2,COUNTA('Recruitment source'!$A:$A))</f>
        <v>9</v>
      </c>
      <c r="R1792" s="8" t="e">
        <f t="shared" ca="1" si="333"/>
        <v>#N/A</v>
      </c>
      <c r="S1792" s="6" t="e">
        <f t="shared" ca="1" si="334"/>
        <v>#N/A</v>
      </c>
      <c r="T1792" s="6">
        <f t="shared" ca="1" si="324"/>
        <v>4</v>
      </c>
      <c r="U1792" s="1">
        <f t="shared" ca="1" si="335"/>
        <v>805</v>
      </c>
    </row>
    <row r="1793" spans="1:21" x14ac:dyDescent="0.2">
      <c r="A1793" s="7" cm="1">
        <f t="array" aca="1" ref="A1793" ca="1">INDEX(Companies!$A:$A,RANDBETWEEN(2,COUNTA(Companies!$A:$A)),1)</f>
        <v>2</v>
      </c>
      <c r="B1793" s="5">
        <f t="shared" si="325"/>
        <v>1792</v>
      </c>
      <c r="C1793" s="6">
        <f t="shared" ca="1" si="326"/>
        <v>1</v>
      </c>
      <c r="D1793" s="7">
        <f ca="1">IF($B1793 = 1 + N("Presidente"),
    127,
    IF($B1793 = 2 + N("Vice-Presidente"),
        72,
        IF($B1793 = 3 + N("Secretária bilíngue"),
            13,
            RANDBETWEEN(5,COUNT(Name!$A:$A) + 1)
        )
    )
)</f>
        <v>194</v>
      </c>
      <c r="E1793" s="7" t="str">
        <f ca="1" xml:space="preserve">
VLOOKUP(
  $D1793,
  Name!$A:$B,
  2,
  FALSE
)
&amp; " " &amp;
IF($B1793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Vitor Ribeiro Camargo</v>
      </c>
      <c r="F1793" s="7">
        <v>2</v>
      </c>
      <c r="G1793" s="7" cm="1">
        <f t="array" aca="1" ref="G1793" ca="1">INDEX(States!$B:$B,RANDBETWEEN(2,COUNTA(States!$A:$A)),1)</f>
        <v>2</v>
      </c>
      <c r="H1793" s="7" t="str">
        <f ca="1">VLOOKUP($D1793,Name!$A:$C,3,FALSE)</f>
        <v>M</v>
      </c>
      <c r="I1793" s="7" cm="1">
        <f t="array" aca="1" ref="I1793" ca="1">INDEX('Marital status'!$A:$A,RANDBETWEEN(2,COUNTA('Marital status'!$A:$A)),1)</f>
        <v>3</v>
      </c>
      <c r="J1793" s="7">
        <f t="shared" ca="1" si="327"/>
        <v>4</v>
      </c>
      <c r="K1793" s="8">
        <f t="shared" ca="1" si="328"/>
        <v>37683</v>
      </c>
      <c r="L1793" s="6">
        <f t="shared" ca="1" si="329"/>
        <v>5</v>
      </c>
      <c r="M1793" s="7">
        <f ca="1" xml:space="preserve">
  IF(OR($N1793 = 2, $N1793 = 3, $N1793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793" s="6">
        <f t="shared" ca="1" si="330"/>
        <v>8</v>
      </c>
      <c r="O1793" s="6">
        <f t="shared" ca="1" si="331"/>
        <v>4</v>
      </c>
      <c r="P1793" s="8">
        <f t="shared" ca="1" si="332"/>
        <v>42439</v>
      </c>
      <c r="Q1793" s="6">
        <f ca="1">RANDBETWEEN(2,COUNTA('Recruitment source'!$A:$A))</f>
        <v>3</v>
      </c>
      <c r="R1793" s="8" t="e">
        <f t="shared" ca="1" si="333"/>
        <v>#N/A</v>
      </c>
      <c r="S1793" s="6" t="e">
        <f t="shared" ca="1" si="334"/>
        <v>#N/A</v>
      </c>
      <c r="T1793" s="6">
        <f t="shared" ca="1" si="324"/>
        <v>2</v>
      </c>
      <c r="U1793" s="1">
        <f t="shared" ca="1" si="335"/>
        <v>2080</v>
      </c>
    </row>
    <row r="1794" spans="1:21" x14ac:dyDescent="0.2">
      <c r="A1794" s="7" cm="1">
        <f t="array" aca="1" ref="A1794" ca="1">INDEX(Companies!$A:$A,RANDBETWEEN(2,COUNTA(Companies!$A:$A)),1)</f>
        <v>2</v>
      </c>
      <c r="B1794" s="5">
        <f t="shared" si="325"/>
        <v>1793</v>
      </c>
      <c r="C1794" s="6">
        <f t="shared" ca="1" si="326"/>
        <v>1</v>
      </c>
      <c r="D1794" s="7">
        <f ca="1">IF($B1794 = 1 + N("Presidente"),
    127,
    IF($B1794 = 2 + N("Vice-Presidente"),
        72,
        IF($B1794 = 3 + N("Secretária bilíngue"),
            13,
            RANDBETWEEN(5,COUNT(Name!$A:$A) + 1)
        )
    )
)</f>
        <v>152</v>
      </c>
      <c r="E1794" s="7" t="str">
        <f ca="1" xml:space="preserve">
VLOOKUP(
  $D1794,
  Name!$A:$B,
  2,
  FALSE
)
&amp; " " &amp;
IF($B1794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Gael Junqueira Salvador</v>
      </c>
      <c r="F1794" s="7">
        <v>2</v>
      </c>
      <c r="G1794" s="7" cm="1">
        <f t="array" aca="1" ref="G1794" ca="1">INDEX(States!$B:$B,RANDBETWEEN(2,COUNTA(States!$A:$A)),1)</f>
        <v>10</v>
      </c>
      <c r="H1794" s="7" t="str">
        <f ca="1">VLOOKUP($D1794,Name!$A:$C,3,FALSE)</f>
        <v>M</v>
      </c>
      <c r="I1794" s="7" cm="1">
        <f t="array" aca="1" ref="I1794" ca="1">INDEX('Marital status'!$A:$A,RANDBETWEEN(2,COUNTA('Marital status'!$A:$A)),1)</f>
        <v>5</v>
      </c>
      <c r="J1794" s="7">
        <f t="shared" ca="1" si="327"/>
        <v>2</v>
      </c>
      <c r="K1794" s="8">
        <f t="shared" ca="1" si="328"/>
        <v>34121</v>
      </c>
      <c r="L1794" s="6">
        <f t="shared" ca="1" si="329"/>
        <v>4</v>
      </c>
      <c r="M1794" s="7">
        <f ca="1" xml:space="preserve">
  IF(OR($N1794 = 2, $N1794 = 3, $N1794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794" s="6">
        <f t="shared" ca="1" si="330"/>
        <v>7</v>
      </c>
      <c r="O1794" s="6" t="e">
        <f t="shared" ca="1" si="331"/>
        <v>#N/A</v>
      </c>
      <c r="P1794" s="8">
        <f t="shared" ca="1" si="332"/>
        <v>42618</v>
      </c>
      <c r="Q1794" s="6">
        <f ca="1">RANDBETWEEN(2,COUNTA('Recruitment source'!$A:$A))</f>
        <v>7</v>
      </c>
      <c r="R1794" s="8" t="e">
        <f t="shared" ca="1" si="333"/>
        <v>#N/A</v>
      </c>
      <c r="S1794" s="6" t="e">
        <f t="shared" ca="1" si="334"/>
        <v>#N/A</v>
      </c>
      <c r="T1794" s="6">
        <f t="shared" ref="T1794:T1857" ca="1" si="336" xml:space="preserve">
IF(
 ISNA($R1794),
 IF(
   $N1794 = 2,
   5,
   IF(
     OR($N1794=3,$N1794=4,$N1794=5),
     RANDBETWEEN(4,5),
     IF(
       OR($N1794=11,$N1794=12),
       RANDBETWEEN(3,5),
       RANDBETWEEN(2,5)
     )
   )
 ),
 RANDBETWEEN(1,3)
)</f>
        <v>4</v>
      </c>
      <c r="U1794" s="1">
        <f t="shared" ca="1" si="335"/>
        <v>1085</v>
      </c>
    </row>
    <row r="1795" spans="1:21" x14ac:dyDescent="0.2">
      <c r="A1795" s="7" cm="1">
        <f t="array" aca="1" ref="A1795" ca="1">INDEX(Companies!$A:$A,RANDBETWEEN(2,COUNTA(Companies!$A:$A)),1)</f>
        <v>2</v>
      </c>
      <c r="B1795" s="5">
        <f t="shared" ref="B1795:B1858" si="337">ROW() - 1</f>
        <v>1794</v>
      </c>
      <c r="C1795" s="6">
        <f t="shared" ref="C1795:C1858" ca="1" si="338">IF(ISNA($R1795),1,0)</f>
        <v>1</v>
      </c>
      <c r="D1795" s="7">
        <f ca="1">IF($B1795 = 1 + N("Presidente"),
    127,
    IF($B1795 = 2 + N("Vice-Presidente"),
        72,
        IF($B1795 = 3 + N("Secretária bilíngue"),
            13,
            RANDBETWEEN(5,COUNT(Name!$A:$A) + 1)
        )
    )
)</f>
        <v>297</v>
      </c>
      <c r="E1795" s="7" t="str">
        <f ca="1" xml:space="preserve">
VLOOKUP(
  $D1795,
  Name!$A:$B,
  2,
  FALSE
)
&amp; " " &amp;
IF($B1795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Miguelito Camacho Alvaregna</v>
      </c>
      <c r="F1795" s="7">
        <v>2</v>
      </c>
      <c r="G1795" s="7" cm="1">
        <f t="array" aca="1" ref="G1795" ca="1">INDEX(States!$B:$B,RANDBETWEEN(2,COUNTA(States!$A:$A)),1)</f>
        <v>17</v>
      </c>
      <c r="H1795" s="7" t="str">
        <f ca="1">VLOOKUP($D1795,Name!$A:$C,3,FALSE)</f>
        <v>M</v>
      </c>
      <c r="I1795" s="7" cm="1">
        <f t="array" aca="1" ref="I1795" ca="1">INDEX('Marital status'!$A:$A,RANDBETWEEN(2,COUNTA('Marital status'!$A:$A)),1)</f>
        <v>5</v>
      </c>
      <c r="J1795" s="7">
        <f t="shared" ref="J1795:J1858" ca="1" si="339" xml:space="preserve">
IF(AND($N1795 &gt;= 2, $N1795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1795" s="8">
        <f t="shared" ref="K1795:K1858" ca="1" si="340" xml:space="preserve">
IF($N1795 = 5 + N("CEO"),
    TODAY() - 16340,
    IF($N1795 = 8 + N("Secretary"),
        RANDBETWEEN(TODAY() - 12418.5, TODAY()-6574.5),
        IF(OR($N1795 = 7, $N1795 = 14),
            RANDBETWEEN(TODAY() - 16071, TODAY() - 8766),
            IF(OR($N1795 = 13, $N1795 = 12, $N1795 = 11),
                RANDBETWEEN(TODAY() - 27393.75, TODAY() - 12783.75),
                RANDBETWEEN(TODAY() - 27393.75, TODAY()-10957.5)
            )
        )
    )
)</f>
        <v>37710</v>
      </c>
      <c r="L1795" s="6">
        <f t="shared" ref="L1795:L1858" ca="1" si="341" xml:space="preserve">
IF(OR($N1795 = 2, $N1795 = 3) + N("Se for presidente ou vice-presidente"),
    7 + N("Doutor"),
    IF($N1795 = 4 + N("Se for diretor"),
        RANDBETWEEN(5,7) + N("Graduate school or Master’s degree or Doctorate"),
        IF($N1795 = 11 + N("Se for gerente"),
            RANDBETWEEN(4,6) + N("Undergraduate degree or Graduate school or Master’s degree"),
            IF(AND($N1795 &gt;= 8, $N1795 &lt;= 10) + N("If coordinator or specialist or analyst"),
                RANDBETWEEN(4,5),
                4
            )
        )
    )
)</f>
        <v>4</v>
      </c>
      <c r="M1795" s="7">
        <f ca="1" xml:space="preserve">
  IF(OR($N1795 = 2, $N1795 = 3, $N1795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795" s="6">
        <f t="shared" ref="N1795:N1858" ca="1" si="342" xml:space="preserve">
IF($B1795 = 1 + N("Se matrícula for 1"),
  2 + N("Presidente"),
  IF($B1795 = 2 + N("Se matrícula for 2"),
    3 + N("Vice-presidente"),
    IF($B1795 = 3 + N("Se matrícula for 3"),
      5 + N("Secretária bilíngue"),
      IF(AND($B1795 &gt;= 4, $B1795 &lt;=14),
        4 + N("Diretor"),
        IF(AND($B1795 &gt;= 15, $B1795 &lt;= 25),
          11 + N("Manager"),
          IF(AND($B1795 &gt;= 26, $B1795 &lt;= 36),
            10 + N("Coordinador"),
            IF(AND($B1795 &gt;= 37, $B1795 &lt;= 47),
              9 + N("Especialista"),
                IF(MOD($B1795,2) = 0,
                  8 + N("Analista"),
                  RANDBETWEEN(6,7) + N("Estagiário ou Trainee")
                )
            )
          )
        )
      )
    )
  )
)</f>
        <v>8</v>
      </c>
      <c r="O1795" s="6">
        <f t="shared" ref="O1795:O1858" ca="1" si="343" xml:space="preserve">
IF($N1795 =8 + N("Analyst"),
    RANDBETWEEN(2, 4) + N("Jr, Pleno, Sr"),
    NA()
)</f>
        <v>4</v>
      </c>
      <c r="P1795" s="8">
        <f t="shared" ref="P1795:P1858" ca="1" si="344" xml:space="preserve">
IF(
   $N1795=2 + N("Presidente"),
   36161,
   IF(
       OR(
         $N1795=3 + N("Vice-Presidente"),
         $N1795=4 + N("Diretor"),
         $N1795=5 + N("Secretária bilíngue")
       ),
       RANDBETWEEN(36161,36411),
       IF(
         ((TODAY() - $K1795) / 365) &lt; 19,
         TODAY(),
         RANDBETWEEN(36161,TODAY())
       )
   )
)</f>
        <v>40516</v>
      </c>
      <c r="Q1795" s="6">
        <f ca="1">RANDBETWEEN(2,COUNTA('Recruitment source'!$A:$A))</f>
        <v>10</v>
      </c>
      <c r="R1795" s="8" t="e">
        <f t="shared" ref="R1795:R1858" ca="1" si="345" xml:space="preserve">
IF(MOD(
     ROW(),111
   )=0,
   RANDBETWEEN($P1795 + 1,TODAY() - 1),NA()
)</f>
        <v>#N/A</v>
      </c>
      <c r="S1795" s="6" t="e">
        <f t="shared" ref="S1795:S1858" ca="1" si="346" xml:space="preserve">
IF(
  ISNA(R1795),
  NA(),
  RANDBETWEEN(2,IF($H1795="F",10,9))
)</f>
        <v>#N/A</v>
      </c>
      <c r="T1795" s="6">
        <f t="shared" ca="1" si="336"/>
        <v>5</v>
      </c>
      <c r="U1795" s="1">
        <f t="shared" ref="U1795:U1858" ca="1" si="347" xml:space="preserve">
IF($N1795 = 2 + N("Presidente"),
    25000,
    IF($N1795 = 3 + N("Vice-presidente"),
        23000,
        IF(OR($N1795 = 5, $N1795= 10, $N1795 = 9) + N("Secretária bilíngue ou coordenador ou especialista"),
            8000,
            IF($N1795 = 4 + N("Diretor"),
                15000,
                IF($N1795 = 11 + N("Gerente"),
                    12000,
                    IF($N1795 = 6 + N("Estagiário"),
                        805,
                        IF($N1795 = 7 + N("Trainee"),
                            1005,
                            IF($N1795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IF($L1795 = 7,
  100,
  IF($L1795 = 8,
    200,
    IF($L1795 = 9,
      300,
      IF($L1795 = 10,
        400,
        0
      )
    )
  )
)
+
N("Adicional no salário por área")
+
IF($M1795 = 14 + N("Tecnologia da Informação"),
  120,
  IF($M1795 = 16 + N("Vendas"),
    110,
    IF($M1795 = 15 + N("Jurídico"),
      100,
      IF(OR($M1795 = 8, $M1795 = 9, $M1795 = 11) + N("Recursos humanos ou comercial ou comunicação e marketing"),
        80,
        0
      )
    )
  )
)
+
N("Adicionando pegadinha")
+
IF(AND($M1795 = 13, $N1795 = 8) + N("Se for de vendas e analista"),
  IF($J1795 = 2,
    50,
    0
  )
  +
  IF($H1795 = "M",
    50,
    0
  ),
  0
)</f>
        <v>2000</v>
      </c>
    </row>
    <row r="1796" spans="1:21" x14ac:dyDescent="0.2">
      <c r="A1796" s="7" cm="1">
        <f t="array" aca="1" ref="A1796" ca="1">INDEX(Companies!$A:$A,RANDBETWEEN(2,COUNTA(Companies!$A:$A)),1)</f>
        <v>2</v>
      </c>
      <c r="B1796" s="5">
        <f t="shared" si="337"/>
        <v>1795</v>
      </c>
      <c r="C1796" s="6">
        <f t="shared" ca="1" si="338"/>
        <v>1</v>
      </c>
      <c r="D1796" s="7">
        <f ca="1">IF($B1796 = 1 + N("Presidente"),
    127,
    IF($B1796 = 2 + N("Vice-Presidente"),
        72,
        IF($B1796 = 3 + N("Secretária bilíngue"),
            13,
            RANDBETWEEN(5,COUNT(Name!$A:$A) + 1)
        )
    )
)</f>
        <v>294</v>
      </c>
      <c r="E1796" s="7" t="str">
        <f ca="1" xml:space="preserve">
VLOOKUP(
  $D1796,
  Name!$A:$B,
  2,
  FALSE
)
&amp; " " &amp;
IF($B1796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Michel Camões Esposito</v>
      </c>
      <c r="F1796" s="7">
        <v>2</v>
      </c>
      <c r="G1796" s="7" cm="1">
        <f t="array" aca="1" ref="G1796" ca="1">INDEX(States!$B:$B,RANDBETWEEN(2,COUNTA(States!$A:$A)),1)</f>
        <v>10</v>
      </c>
      <c r="H1796" s="7" t="str">
        <f ca="1">VLOOKUP($D1796,Name!$A:$C,3,FALSE)</f>
        <v>M</v>
      </c>
      <c r="I1796" s="7" cm="1">
        <f t="array" aca="1" ref="I1796" ca="1">INDEX('Marital status'!$A:$A,RANDBETWEEN(2,COUNTA('Marital status'!$A:$A)),1)</f>
        <v>2</v>
      </c>
      <c r="J1796" s="7">
        <f t="shared" ca="1" si="339"/>
        <v>2</v>
      </c>
      <c r="K1796" s="8">
        <f t="shared" ca="1" si="340"/>
        <v>35917</v>
      </c>
      <c r="L1796" s="6">
        <f t="shared" ca="1" si="341"/>
        <v>4</v>
      </c>
      <c r="M1796" s="7">
        <f ca="1" xml:space="preserve">
  IF(OR($N1796 = 2, $N1796 = 3, $N1796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796" s="6">
        <f t="shared" ca="1" si="342"/>
        <v>7</v>
      </c>
      <c r="O1796" s="6" t="e">
        <f t="shared" ca="1" si="343"/>
        <v>#N/A</v>
      </c>
      <c r="P1796" s="8">
        <f t="shared" ca="1" si="344"/>
        <v>44443</v>
      </c>
      <c r="Q1796" s="6">
        <f ca="1">RANDBETWEEN(2,COUNTA('Recruitment source'!$A:$A))</f>
        <v>3</v>
      </c>
      <c r="R1796" s="8" t="e">
        <f t="shared" ca="1" si="345"/>
        <v>#N/A</v>
      </c>
      <c r="S1796" s="6" t="e">
        <f t="shared" ca="1" si="346"/>
        <v>#N/A</v>
      </c>
      <c r="T1796" s="6">
        <f t="shared" ca="1" si="336"/>
        <v>3</v>
      </c>
      <c r="U1796" s="1">
        <f t="shared" ca="1" si="347"/>
        <v>1005</v>
      </c>
    </row>
    <row r="1797" spans="1:21" x14ac:dyDescent="0.2">
      <c r="A1797" s="7" cm="1">
        <f t="array" aca="1" ref="A1797" ca="1">INDEX(Companies!$A:$A,RANDBETWEEN(2,COUNTA(Companies!$A:$A)),1)</f>
        <v>2</v>
      </c>
      <c r="B1797" s="5">
        <f t="shared" si="337"/>
        <v>1796</v>
      </c>
      <c r="C1797" s="6">
        <f t="shared" ca="1" si="338"/>
        <v>1</v>
      </c>
      <c r="D1797" s="7">
        <f ca="1">IF($B1797 = 1 + N("Presidente"),
    127,
    IF($B1797 = 2 + N("Vice-Presidente"),
        72,
        IF($B1797 = 3 + N("Secretária bilíngue"),
            13,
            RANDBETWEEN(5,COUNT(Name!$A:$A) + 1)
        )
    )
)</f>
        <v>173</v>
      </c>
      <c r="E1797" s="7" t="str">
        <f ca="1" xml:space="preserve">
VLOOKUP(
  $D1797,
  Name!$A:$B,
  2,
  FALSE
)
&amp; " " &amp;
IF($B1797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Isaac Simões Bragança</v>
      </c>
      <c r="F1797" s="7">
        <v>2</v>
      </c>
      <c r="G1797" s="7" cm="1">
        <f t="array" aca="1" ref="G1797" ca="1">INDEX(States!$B:$B,RANDBETWEEN(2,COUNTA(States!$A:$A)),1)</f>
        <v>8</v>
      </c>
      <c r="H1797" s="7" t="str">
        <f ca="1">VLOOKUP($D1797,Name!$A:$C,3,FALSE)</f>
        <v>M</v>
      </c>
      <c r="I1797" s="7" cm="1">
        <f t="array" aca="1" ref="I1797" ca="1">INDEX('Marital status'!$A:$A,RANDBETWEEN(2,COUNTA('Marital status'!$A:$A)),1)</f>
        <v>2</v>
      </c>
      <c r="J1797" s="7">
        <f t="shared" ca="1" si="339"/>
        <v>2</v>
      </c>
      <c r="K1797" s="8">
        <f t="shared" ca="1" si="340"/>
        <v>37921</v>
      </c>
      <c r="L1797" s="6">
        <f t="shared" ca="1" si="341"/>
        <v>5</v>
      </c>
      <c r="M1797" s="7">
        <f ca="1" xml:space="preserve">
  IF(OR($N1797 = 2, $N1797 = 3, $N1797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797" s="6">
        <f t="shared" ca="1" si="342"/>
        <v>8</v>
      </c>
      <c r="O1797" s="6">
        <f t="shared" ca="1" si="343"/>
        <v>3</v>
      </c>
      <c r="P1797" s="8">
        <f t="shared" ca="1" si="344"/>
        <v>44838</v>
      </c>
      <c r="Q1797" s="6">
        <f ca="1">RANDBETWEEN(2,COUNTA('Recruitment source'!$A:$A))</f>
        <v>3</v>
      </c>
      <c r="R1797" s="8" t="e">
        <f t="shared" ca="1" si="345"/>
        <v>#N/A</v>
      </c>
      <c r="S1797" s="6" t="e">
        <f t="shared" ca="1" si="346"/>
        <v>#N/A</v>
      </c>
      <c r="T1797" s="6">
        <f t="shared" ca="1" si="336"/>
        <v>2</v>
      </c>
      <c r="U1797" s="1">
        <f t="shared" ca="1" si="347"/>
        <v>2100</v>
      </c>
    </row>
    <row r="1798" spans="1:21" x14ac:dyDescent="0.2">
      <c r="A1798" s="7" cm="1">
        <f t="array" aca="1" ref="A1798" ca="1">INDEX(Companies!$A:$A,RANDBETWEEN(2,COUNTA(Companies!$A:$A)),1)</f>
        <v>2</v>
      </c>
      <c r="B1798" s="5">
        <f t="shared" si="337"/>
        <v>1797</v>
      </c>
      <c r="C1798" s="6">
        <f t="shared" ca="1" si="338"/>
        <v>1</v>
      </c>
      <c r="D1798" s="7">
        <f ca="1">IF($B1798 = 1 + N("Presidente"),
    127,
    IF($B1798 = 2 + N("Vice-Presidente"),
        72,
        IF($B1798 = 3 + N("Secretária bilíngue"),
            13,
            RANDBETWEEN(5,COUNT(Name!$A:$A) + 1)
        )
    )
)</f>
        <v>101</v>
      </c>
      <c r="E1798" s="7" t="str">
        <f ca="1" xml:space="preserve">
VLOOKUP(
  $D1798,
  Name!$A:$B,
  2,
  FALSE
)
&amp; " " &amp;
IF($B1798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Daniel Borges Braga</v>
      </c>
      <c r="F1798" s="7">
        <v>2</v>
      </c>
      <c r="G1798" s="7" cm="1">
        <f t="array" aca="1" ref="G1798" ca="1">INDEX(States!$B:$B,RANDBETWEEN(2,COUNTA(States!$A:$A)),1)</f>
        <v>8</v>
      </c>
      <c r="H1798" s="7" t="str">
        <f ca="1">VLOOKUP($D1798,Name!$A:$C,3,FALSE)</f>
        <v>M</v>
      </c>
      <c r="I1798" s="7" cm="1">
        <f t="array" aca="1" ref="I1798" ca="1">INDEX('Marital status'!$A:$A,RANDBETWEEN(2,COUNTA('Marital status'!$A:$A)),1)</f>
        <v>2</v>
      </c>
      <c r="J1798" s="7">
        <f t="shared" ca="1" si="339"/>
        <v>2</v>
      </c>
      <c r="K1798" s="8">
        <f t="shared" ca="1" si="340"/>
        <v>28824</v>
      </c>
      <c r="L1798" s="6">
        <f t="shared" ca="1" si="341"/>
        <v>4</v>
      </c>
      <c r="M1798" s="7">
        <f ca="1" xml:space="preserve">
  IF(OR($N1798 = 2, $N1798 = 3, $N1798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798" s="6">
        <f t="shared" ca="1" si="342"/>
        <v>6</v>
      </c>
      <c r="O1798" s="6" t="e">
        <f t="shared" ca="1" si="343"/>
        <v>#N/A</v>
      </c>
      <c r="P1798" s="8">
        <f t="shared" ca="1" si="344"/>
        <v>42288</v>
      </c>
      <c r="Q1798" s="6">
        <f ca="1">RANDBETWEEN(2,COUNTA('Recruitment source'!$A:$A))</f>
        <v>5</v>
      </c>
      <c r="R1798" s="8" t="e">
        <f t="shared" ca="1" si="345"/>
        <v>#N/A</v>
      </c>
      <c r="S1798" s="6" t="e">
        <f t="shared" ca="1" si="346"/>
        <v>#N/A</v>
      </c>
      <c r="T1798" s="6">
        <f t="shared" ca="1" si="336"/>
        <v>5</v>
      </c>
      <c r="U1798" s="1">
        <f t="shared" ca="1" si="347"/>
        <v>805</v>
      </c>
    </row>
    <row r="1799" spans="1:21" x14ac:dyDescent="0.2">
      <c r="A1799" s="7" cm="1">
        <f t="array" aca="1" ref="A1799" ca="1">INDEX(Companies!$A:$A,RANDBETWEEN(2,COUNTA(Companies!$A:$A)),1)</f>
        <v>2</v>
      </c>
      <c r="B1799" s="5">
        <f t="shared" si="337"/>
        <v>1798</v>
      </c>
      <c r="C1799" s="6">
        <f t="shared" ca="1" si="338"/>
        <v>1</v>
      </c>
      <c r="D1799" s="7">
        <f ca="1">IF($B1799 = 1 + N("Presidente"),
    127,
    IF($B1799 = 2 + N("Vice-Presidente"),
        72,
        IF($B1799 = 3 + N("Secretária bilíngue"),
            13,
            RANDBETWEEN(5,COUNT(Name!$A:$A) + 1)
        )
    )
)</f>
        <v>35</v>
      </c>
      <c r="E1799" s="7" t="str">
        <f ca="1" xml:space="preserve">
VLOOKUP(
  $D1799,
  Name!$A:$B,
  2,
  FALSE
)
&amp; " " &amp;
IF($B1799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Luiza Azeredo Alvaregna</v>
      </c>
      <c r="F1799" s="7">
        <v>2</v>
      </c>
      <c r="G1799" s="7" cm="1">
        <f t="array" aca="1" ref="G1799" ca="1">INDEX(States!$B:$B,RANDBETWEEN(2,COUNTA(States!$A:$A)),1)</f>
        <v>7</v>
      </c>
      <c r="H1799" s="7" t="str">
        <f ca="1">VLOOKUP($D1799,Name!$A:$C,3,FALSE)</f>
        <v>F</v>
      </c>
      <c r="I1799" s="7" cm="1">
        <f t="array" aca="1" ref="I1799" ca="1">INDEX('Marital status'!$A:$A,RANDBETWEEN(2,COUNTA('Marital status'!$A:$A)),1)</f>
        <v>4</v>
      </c>
      <c r="J1799" s="7">
        <f t="shared" ca="1" si="339"/>
        <v>3</v>
      </c>
      <c r="K1799" s="8">
        <f t="shared" ca="1" si="340"/>
        <v>37936</v>
      </c>
      <c r="L1799" s="6">
        <f t="shared" ca="1" si="341"/>
        <v>5</v>
      </c>
      <c r="M1799" s="7">
        <f ca="1" xml:space="preserve">
  IF(OR($N1799 = 2, $N1799 = 3, $N1799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799" s="6">
        <f t="shared" ca="1" si="342"/>
        <v>8</v>
      </c>
      <c r="O1799" s="6">
        <f t="shared" ca="1" si="343"/>
        <v>2</v>
      </c>
      <c r="P1799" s="8">
        <f t="shared" ca="1" si="344"/>
        <v>44838</v>
      </c>
      <c r="Q1799" s="6">
        <f ca="1">RANDBETWEEN(2,COUNTA('Recruitment source'!$A:$A))</f>
        <v>9</v>
      </c>
      <c r="R1799" s="8" t="e">
        <f t="shared" ca="1" si="345"/>
        <v>#N/A</v>
      </c>
      <c r="S1799" s="6" t="e">
        <f t="shared" ca="1" si="346"/>
        <v>#N/A</v>
      </c>
      <c r="T1799" s="6">
        <f t="shared" ca="1" si="336"/>
        <v>2</v>
      </c>
      <c r="U1799" s="1">
        <f t="shared" ca="1" si="347"/>
        <v>2000</v>
      </c>
    </row>
    <row r="1800" spans="1:21" x14ac:dyDescent="0.2">
      <c r="A1800" s="7" cm="1">
        <f t="array" aca="1" ref="A1800" ca="1">INDEX(Companies!$A:$A,RANDBETWEEN(2,COUNTA(Companies!$A:$A)),1)</f>
        <v>2</v>
      </c>
      <c r="B1800" s="5">
        <f t="shared" si="337"/>
        <v>1799</v>
      </c>
      <c r="C1800" s="6">
        <f t="shared" ca="1" si="338"/>
        <v>1</v>
      </c>
      <c r="D1800" s="7">
        <f ca="1">IF($B1800 = 1 + N("Presidente"),
    127,
    IF($B1800 = 2 + N("Vice-Presidente"),
        72,
        IF($B1800 = 3 + N("Secretária bilíngue"),
            13,
            RANDBETWEEN(5,COUNT(Name!$A:$A) + 1)
        )
    )
)</f>
        <v>121</v>
      </c>
      <c r="E1800" s="7" t="str">
        <f ca="1" xml:space="preserve">
VLOOKUP(
  $D1800,
  Name!$A:$B,
  2,
  FALSE
)
&amp; " " &amp;
IF($B1800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Eloá Medeiros Evangelista</v>
      </c>
      <c r="F1800" s="7">
        <v>2</v>
      </c>
      <c r="G1800" s="7" cm="1">
        <f t="array" aca="1" ref="G1800" ca="1">INDEX(States!$B:$B,RANDBETWEEN(2,COUNTA(States!$A:$A)),1)</f>
        <v>9</v>
      </c>
      <c r="H1800" s="7" t="str">
        <f ca="1">VLOOKUP($D1800,Name!$A:$C,3,FALSE)</f>
        <v>F</v>
      </c>
      <c r="I1800" s="7" cm="1">
        <f t="array" aca="1" ref="I1800" ca="1">INDEX('Marital status'!$A:$A,RANDBETWEEN(2,COUNTA('Marital status'!$A:$A)),1)</f>
        <v>6</v>
      </c>
      <c r="J1800" s="7">
        <f t="shared" ca="1" si="339"/>
        <v>2</v>
      </c>
      <c r="K1800" s="8">
        <f t="shared" ca="1" si="340"/>
        <v>25247</v>
      </c>
      <c r="L1800" s="6">
        <f t="shared" ca="1" si="341"/>
        <v>4</v>
      </c>
      <c r="M1800" s="7">
        <f ca="1" xml:space="preserve">
  IF(OR($N1800 = 2, $N1800 = 3, $N1800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800" s="6">
        <f t="shared" ca="1" si="342"/>
        <v>6</v>
      </c>
      <c r="O1800" s="6" t="e">
        <f t="shared" ca="1" si="343"/>
        <v>#N/A</v>
      </c>
      <c r="P1800" s="8">
        <f t="shared" ca="1" si="344"/>
        <v>40358</v>
      </c>
      <c r="Q1800" s="6">
        <f ca="1">RANDBETWEEN(2,COUNTA('Recruitment source'!$A:$A))</f>
        <v>10</v>
      </c>
      <c r="R1800" s="8" t="e">
        <f t="shared" ca="1" si="345"/>
        <v>#N/A</v>
      </c>
      <c r="S1800" s="6" t="e">
        <f t="shared" ca="1" si="346"/>
        <v>#N/A</v>
      </c>
      <c r="T1800" s="6">
        <f t="shared" ca="1" si="336"/>
        <v>2</v>
      </c>
      <c r="U1800" s="1">
        <f t="shared" ca="1" si="347"/>
        <v>805</v>
      </c>
    </row>
    <row r="1801" spans="1:21" x14ac:dyDescent="0.2">
      <c r="A1801" s="7" cm="1">
        <f t="array" aca="1" ref="A1801" ca="1">INDEX(Companies!$A:$A,RANDBETWEEN(2,COUNTA(Companies!$A:$A)),1)</f>
        <v>2</v>
      </c>
      <c r="B1801" s="5">
        <f t="shared" si="337"/>
        <v>1800</v>
      </c>
      <c r="C1801" s="6">
        <f t="shared" ca="1" si="338"/>
        <v>1</v>
      </c>
      <c r="D1801" s="7">
        <f ca="1">IF($B1801 = 1 + N("Presidente"),
    127,
    IF($B1801 = 2 + N("Vice-Presidente"),
        72,
        IF($B1801 = 3 + N("Secretária bilíngue"),
            13,
            RANDBETWEEN(5,COUNT(Name!$A:$A) + 1)
        )
    )
)</f>
        <v>251</v>
      </c>
      <c r="E1801" s="7" t="str">
        <f ca="1" xml:space="preserve">
VLOOKUP(
  $D1801,
  Name!$A:$B,
  2,
  FALSE
)
&amp; " " &amp;
IF($B1801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Maitê Salvador Bianchi</v>
      </c>
      <c r="F1801" s="7">
        <v>2</v>
      </c>
      <c r="G1801" s="7" cm="1">
        <f t="array" aca="1" ref="G1801" ca="1">INDEX(States!$B:$B,RANDBETWEEN(2,COUNTA(States!$A:$A)),1)</f>
        <v>6</v>
      </c>
      <c r="H1801" s="7" t="str">
        <f ca="1">VLOOKUP($D1801,Name!$A:$C,3,FALSE)</f>
        <v>F</v>
      </c>
      <c r="I1801" s="7" cm="1">
        <f t="array" aca="1" ref="I1801" ca="1">INDEX('Marital status'!$A:$A,RANDBETWEEN(2,COUNTA('Marital status'!$A:$A)),1)</f>
        <v>3</v>
      </c>
      <c r="J1801" s="7">
        <f t="shared" ca="1" si="339"/>
        <v>2</v>
      </c>
      <c r="K1801" s="8">
        <f t="shared" ca="1" si="340"/>
        <v>37309</v>
      </c>
      <c r="L1801" s="6">
        <f t="shared" ca="1" si="341"/>
        <v>5</v>
      </c>
      <c r="M1801" s="7">
        <f ca="1" xml:space="preserve">
  IF(OR($N1801 = 2, $N1801 = 3, $N1801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801" s="6">
        <f t="shared" ca="1" si="342"/>
        <v>8</v>
      </c>
      <c r="O1801" s="6">
        <f t="shared" ca="1" si="343"/>
        <v>2</v>
      </c>
      <c r="P1801" s="8">
        <f t="shared" ca="1" si="344"/>
        <v>44664</v>
      </c>
      <c r="Q1801" s="6">
        <f ca="1">RANDBETWEEN(2,COUNTA('Recruitment source'!$A:$A))</f>
        <v>7</v>
      </c>
      <c r="R1801" s="8" t="e">
        <f t="shared" ca="1" si="345"/>
        <v>#N/A</v>
      </c>
      <c r="S1801" s="6" t="e">
        <f t="shared" ca="1" si="346"/>
        <v>#N/A</v>
      </c>
      <c r="T1801" s="6">
        <f t="shared" ca="1" si="336"/>
        <v>4</v>
      </c>
      <c r="U1801" s="1">
        <f t="shared" ca="1" si="347"/>
        <v>2050</v>
      </c>
    </row>
    <row r="1802" spans="1:21" x14ac:dyDescent="0.2">
      <c r="A1802" s="7" cm="1">
        <f t="array" aca="1" ref="A1802" ca="1">INDEX(Companies!$A:$A,RANDBETWEEN(2,COUNTA(Companies!$A:$A)),1)</f>
        <v>2</v>
      </c>
      <c r="B1802" s="5">
        <f t="shared" si="337"/>
        <v>1801</v>
      </c>
      <c r="C1802" s="6">
        <f t="shared" ca="1" si="338"/>
        <v>1</v>
      </c>
      <c r="D1802" s="7">
        <f ca="1">IF($B1802 = 1 + N("Presidente"),
    127,
    IF($B1802 = 2 + N("Vice-Presidente"),
        72,
        IF($B1802 = 3 + N("Secretária bilíngue"),
            13,
            RANDBETWEEN(5,COUNT(Name!$A:$A) + 1)
        )
    )
)</f>
        <v>359</v>
      </c>
      <c r="E1802" s="7" t="str">
        <f ca="1" xml:space="preserve">
VLOOKUP(
  $D1802,
  Name!$A:$B,
  2,
  FALSE
)
&amp; " " &amp;
IF($B1802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Vitor Moraes Santacruz</v>
      </c>
      <c r="F1802" s="7">
        <v>2</v>
      </c>
      <c r="G1802" s="7" cm="1">
        <f t="array" aca="1" ref="G1802" ca="1">INDEX(States!$B:$B,RANDBETWEEN(2,COUNTA(States!$A:$A)),1)</f>
        <v>16</v>
      </c>
      <c r="H1802" s="7" t="str">
        <f ca="1">VLOOKUP($D1802,Name!$A:$C,3,FALSE)</f>
        <v>M</v>
      </c>
      <c r="I1802" s="7" cm="1">
        <f t="array" aca="1" ref="I1802" ca="1">INDEX('Marital status'!$A:$A,RANDBETWEEN(2,COUNTA('Marital status'!$A:$A)),1)</f>
        <v>5</v>
      </c>
      <c r="J1802" s="7">
        <f t="shared" ca="1" si="339"/>
        <v>2</v>
      </c>
      <c r="K1802" s="8">
        <f t="shared" ca="1" si="340"/>
        <v>31323</v>
      </c>
      <c r="L1802" s="6">
        <f t="shared" ca="1" si="341"/>
        <v>4</v>
      </c>
      <c r="M1802" s="7">
        <f ca="1" xml:space="preserve">
  IF(OR($N1802 = 2, $N1802 = 3, $N1802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802" s="6">
        <f t="shared" ca="1" si="342"/>
        <v>6</v>
      </c>
      <c r="O1802" s="6" t="e">
        <f t="shared" ca="1" si="343"/>
        <v>#N/A</v>
      </c>
      <c r="P1802" s="8">
        <f t="shared" ca="1" si="344"/>
        <v>40407</v>
      </c>
      <c r="Q1802" s="6">
        <f ca="1">RANDBETWEEN(2,COUNTA('Recruitment source'!$A:$A))</f>
        <v>6</v>
      </c>
      <c r="R1802" s="8" t="e">
        <f t="shared" ca="1" si="345"/>
        <v>#N/A</v>
      </c>
      <c r="S1802" s="6" t="e">
        <f t="shared" ca="1" si="346"/>
        <v>#N/A</v>
      </c>
      <c r="T1802" s="6">
        <f t="shared" ca="1" si="336"/>
        <v>2</v>
      </c>
      <c r="U1802" s="1">
        <f t="shared" ca="1" si="347"/>
        <v>805</v>
      </c>
    </row>
    <row r="1803" spans="1:21" x14ac:dyDescent="0.2">
      <c r="A1803" s="7" cm="1">
        <f t="array" aca="1" ref="A1803" ca="1">INDEX(Companies!$A:$A,RANDBETWEEN(2,COUNTA(Companies!$A:$A)),1)</f>
        <v>2</v>
      </c>
      <c r="B1803" s="5">
        <f t="shared" si="337"/>
        <v>1802</v>
      </c>
      <c r="C1803" s="6">
        <f t="shared" ca="1" si="338"/>
        <v>1</v>
      </c>
      <c r="D1803" s="7">
        <f ca="1">IF($B1803 = 1 + N("Presidente"),
    127,
    IF($B1803 = 2 + N("Vice-Presidente"),
        72,
        IF($B1803 = 3 + N("Secretária bilíngue"),
            13,
            RANDBETWEEN(5,COUNT(Name!$A:$A) + 1)
        )
    )
)</f>
        <v>114</v>
      </c>
      <c r="E1803" s="7" t="str">
        <f ca="1" xml:space="preserve">
VLOOKUP(
  $D1803,
  Name!$A:$B,
  2,
  FALSE
)
&amp; " " &amp;
IF($B1803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Domingos Anunciação Bermudes</v>
      </c>
      <c r="F1803" s="7">
        <v>2</v>
      </c>
      <c r="G1803" s="7" cm="1">
        <f t="array" aca="1" ref="G1803" ca="1">INDEX(States!$B:$B,RANDBETWEEN(2,COUNTA(States!$A:$A)),1)</f>
        <v>17</v>
      </c>
      <c r="H1803" s="7" t="str">
        <f ca="1">VLOOKUP($D1803,Name!$A:$C,3,FALSE)</f>
        <v>M</v>
      </c>
      <c r="I1803" s="7" cm="1">
        <f t="array" aca="1" ref="I1803" ca="1">INDEX('Marital status'!$A:$A,RANDBETWEEN(2,COUNTA('Marital status'!$A:$A)),1)</f>
        <v>5</v>
      </c>
      <c r="J1803" s="7">
        <f t="shared" ca="1" si="339"/>
        <v>2</v>
      </c>
      <c r="K1803" s="8">
        <f t="shared" ca="1" si="340"/>
        <v>32445</v>
      </c>
      <c r="L1803" s="6">
        <f t="shared" ca="1" si="341"/>
        <v>5</v>
      </c>
      <c r="M1803" s="7">
        <f ca="1" xml:space="preserve">
  IF(OR($N1803 = 2, $N1803 = 3, $N1803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803" s="6">
        <f t="shared" ca="1" si="342"/>
        <v>8</v>
      </c>
      <c r="O1803" s="6">
        <f t="shared" ca="1" si="343"/>
        <v>3</v>
      </c>
      <c r="P1803" s="8">
        <f t="shared" ca="1" si="344"/>
        <v>40114</v>
      </c>
      <c r="Q1803" s="6">
        <f ca="1">RANDBETWEEN(2,COUNTA('Recruitment source'!$A:$A))</f>
        <v>6</v>
      </c>
      <c r="R1803" s="8" t="e">
        <f t="shared" ca="1" si="345"/>
        <v>#N/A</v>
      </c>
      <c r="S1803" s="6" t="e">
        <f t="shared" ca="1" si="346"/>
        <v>#N/A</v>
      </c>
      <c r="T1803" s="6">
        <f t="shared" ca="1" si="336"/>
        <v>3</v>
      </c>
      <c r="U1803" s="1">
        <f t="shared" ca="1" si="347"/>
        <v>2000</v>
      </c>
    </row>
    <row r="1804" spans="1:21" x14ac:dyDescent="0.2">
      <c r="A1804" s="7" cm="1">
        <f t="array" aca="1" ref="A1804" ca="1">INDEX(Companies!$A:$A,RANDBETWEEN(2,COUNTA(Companies!$A:$A)),1)</f>
        <v>2</v>
      </c>
      <c r="B1804" s="5">
        <f t="shared" si="337"/>
        <v>1803</v>
      </c>
      <c r="C1804" s="6">
        <f t="shared" ca="1" si="338"/>
        <v>1</v>
      </c>
      <c r="D1804" s="7">
        <f ca="1">IF($B1804 = 1 + N("Presidente"),
    127,
    IF($B1804 = 2 + N("Vice-Presidente"),
        72,
        IF($B1804 = 3 + N("Secretária bilíngue"),
            13,
            RANDBETWEEN(5,COUNT(Name!$A:$A) + 1)
        )
    )
)</f>
        <v>332</v>
      </c>
      <c r="E1804" s="7" t="str">
        <f ca="1" xml:space="preserve">
VLOOKUP(
  $D1804,
  Name!$A:$B,
  2,
  FALSE
)
&amp; " " &amp;
IF($B1804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Rodrigo Moretti Marques</v>
      </c>
      <c r="F1804" s="7">
        <v>2</v>
      </c>
      <c r="G1804" s="7" cm="1">
        <f t="array" aca="1" ref="G1804" ca="1">INDEX(States!$B:$B,RANDBETWEEN(2,COUNTA(States!$A:$A)),1)</f>
        <v>2</v>
      </c>
      <c r="H1804" s="7" t="str">
        <f ca="1">VLOOKUP($D1804,Name!$A:$C,3,FALSE)</f>
        <v>M</v>
      </c>
      <c r="I1804" s="7" cm="1">
        <f t="array" aca="1" ref="I1804" ca="1">INDEX('Marital status'!$A:$A,RANDBETWEEN(2,COUNTA('Marital status'!$A:$A)),1)</f>
        <v>2</v>
      </c>
      <c r="J1804" s="7">
        <f t="shared" ca="1" si="339"/>
        <v>4</v>
      </c>
      <c r="K1804" s="8">
        <f t="shared" ca="1" si="340"/>
        <v>28544</v>
      </c>
      <c r="L1804" s="6">
        <f t="shared" ca="1" si="341"/>
        <v>4</v>
      </c>
      <c r="M1804" s="7">
        <f ca="1" xml:space="preserve">
  IF(OR($N1804 = 2, $N1804 = 3, $N1804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804" s="6">
        <f t="shared" ca="1" si="342"/>
        <v>6</v>
      </c>
      <c r="O1804" s="6" t="e">
        <f t="shared" ca="1" si="343"/>
        <v>#N/A</v>
      </c>
      <c r="P1804" s="8">
        <f t="shared" ca="1" si="344"/>
        <v>40165</v>
      </c>
      <c r="Q1804" s="6">
        <f ca="1">RANDBETWEEN(2,COUNTA('Recruitment source'!$A:$A))</f>
        <v>10</v>
      </c>
      <c r="R1804" s="8" t="e">
        <f t="shared" ca="1" si="345"/>
        <v>#N/A</v>
      </c>
      <c r="S1804" s="6" t="e">
        <f t="shared" ca="1" si="346"/>
        <v>#N/A</v>
      </c>
      <c r="T1804" s="6">
        <f t="shared" ca="1" si="336"/>
        <v>2</v>
      </c>
      <c r="U1804" s="1">
        <f t="shared" ca="1" si="347"/>
        <v>805</v>
      </c>
    </row>
    <row r="1805" spans="1:21" x14ac:dyDescent="0.2">
      <c r="A1805" s="7" cm="1">
        <f t="array" aca="1" ref="A1805" ca="1">INDEX(Companies!$A:$A,RANDBETWEEN(2,COUNTA(Companies!$A:$A)),1)</f>
        <v>2</v>
      </c>
      <c r="B1805" s="5">
        <f t="shared" si="337"/>
        <v>1804</v>
      </c>
      <c r="C1805" s="6">
        <f t="shared" ca="1" si="338"/>
        <v>1</v>
      </c>
      <c r="D1805" s="7">
        <f ca="1">IF($B1805 = 1 + N("Presidente"),
    127,
    IF($B1805 = 2 + N("Vice-Presidente"),
        72,
        IF($B1805 = 3 + N("Secretária bilíngue"),
            13,
            RANDBETWEEN(5,COUNT(Name!$A:$A) + 1)
        )
    )
)</f>
        <v>34</v>
      </c>
      <c r="E1805" s="7" t="str">
        <f ca="1" xml:space="preserve">
VLOOKUP(
  $D1805,
  Name!$A:$B,
  2,
  FALSE
)
&amp; " " &amp;
IF($B1805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Liz Alves Anjos</v>
      </c>
      <c r="F1805" s="7">
        <v>2</v>
      </c>
      <c r="G1805" s="7" cm="1">
        <f t="array" aca="1" ref="G1805" ca="1">INDEX(States!$B:$B,RANDBETWEEN(2,COUNTA(States!$A:$A)),1)</f>
        <v>3</v>
      </c>
      <c r="H1805" s="7" t="str">
        <f ca="1">VLOOKUP($D1805,Name!$A:$C,3,FALSE)</f>
        <v>F</v>
      </c>
      <c r="I1805" s="7" cm="1">
        <f t="array" aca="1" ref="I1805" ca="1">INDEX('Marital status'!$A:$A,RANDBETWEEN(2,COUNTA('Marital status'!$A:$A)),1)</f>
        <v>6</v>
      </c>
      <c r="J1805" s="7">
        <f t="shared" ca="1" si="339"/>
        <v>5</v>
      </c>
      <c r="K1805" s="8">
        <f t="shared" ca="1" si="340"/>
        <v>34705</v>
      </c>
      <c r="L1805" s="6">
        <f t="shared" ca="1" si="341"/>
        <v>4</v>
      </c>
      <c r="M1805" s="7">
        <f ca="1" xml:space="preserve">
  IF(OR($N1805 = 2, $N1805 = 3, $N1805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805" s="6">
        <f t="shared" ca="1" si="342"/>
        <v>8</v>
      </c>
      <c r="O1805" s="6">
        <f t="shared" ca="1" si="343"/>
        <v>2</v>
      </c>
      <c r="P1805" s="8">
        <f t="shared" ca="1" si="344"/>
        <v>40663</v>
      </c>
      <c r="Q1805" s="6">
        <f ca="1">RANDBETWEEN(2,COUNTA('Recruitment source'!$A:$A))</f>
        <v>7</v>
      </c>
      <c r="R1805" s="8" t="e">
        <f t="shared" ca="1" si="345"/>
        <v>#N/A</v>
      </c>
      <c r="S1805" s="6" t="e">
        <f t="shared" ca="1" si="346"/>
        <v>#N/A</v>
      </c>
      <c r="T1805" s="6">
        <f t="shared" ca="1" si="336"/>
        <v>4</v>
      </c>
      <c r="U1805" s="1">
        <f t="shared" ca="1" si="347"/>
        <v>2000</v>
      </c>
    </row>
    <row r="1806" spans="1:21" x14ac:dyDescent="0.2">
      <c r="A1806" s="7" cm="1">
        <f t="array" aca="1" ref="A1806" ca="1">INDEX(Companies!$A:$A,RANDBETWEEN(2,COUNTA(Companies!$A:$A)),1)</f>
        <v>2</v>
      </c>
      <c r="B1806" s="5">
        <f t="shared" si="337"/>
        <v>1805</v>
      </c>
      <c r="C1806" s="6">
        <f t="shared" ca="1" si="338"/>
        <v>1</v>
      </c>
      <c r="D1806" s="7">
        <f ca="1">IF($B1806 = 1 + N("Presidente"),
    127,
    IF($B1806 = 2 + N("Vice-Presidente"),
        72,
        IF($B1806 = 3 + N("Secretária bilíngue"),
            13,
            RANDBETWEEN(5,COUNT(Name!$A:$A) + 1)
        )
    )
)</f>
        <v>125</v>
      </c>
      <c r="E1806" s="7" t="str">
        <f ca="1" xml:space="preserve">
VLOOKUP(
  $D1806,
  Name!$A:$B,
  2,
  FALSE
)
&amp; " " &amp;
IF($B1806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Emmanuel Anjos Moraes</v>
      </c>
      <c r="F1806" s="7">
        <v>2</v>
      </c>
      <c r="G1806" s="7" cm="1">
        <f t="array" aca="1" ref="G1806" ca="1">INDEX(States!$B:$B,RANDBETWEEN(2,COUNTA(States!$A:$A)),1)</f>
        <v>13</v>
      </c>
      <c r="H1806" s="7" t="str">
        <f ca="1">VLOOKUP($D1806,Name!$A:$C,3,FALSE)</f>
        <v>M</v>
      </c>
      <c r="I1806" s="7" cm="1">
        <f t="array" aca="1" ref="I1806" ca="1">INDEX('Marital status'!$A:$A,RANDBETWEEN(2,COUNTA('Marital status'!$A:$A)),1)</f>
        <v>3</v>
      </c>
      <c r="J1806" s="7">
        <f t="shared" ca="1" si="339"/>
        <v>3</v>
      </c>
      <c r="K1806" s="8">
        <f t="shared" ca="1" si="340"/>
        <v>26613</v>
      </c>
      <c r="L1806" s="6">
        <f t="shared" ca="1" si="341"/>
        <v>4</v>
      </c>
      <c r="M1806" s="7">
        <f ca="1" xml:space="preserve">
  IF(OR($N1806 = 2, $N1806 = 3, $N1806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806" s="6">
        <f t="shared" ca="1" si="342"/>
        <v>6</v>
      </c>
      <c r="O1806" s="6" t="e">
        <f t="shared" ca="1" si="343"/>
        <v>#N/A</v>
      </c>
      <c r="P1806" s="8">
        <f t="shared" ca="1" si="344"/>
        <v>37951</v>
      </c>
      <c r="Q1806" s="6">
        <f ca="1">RANDBETWEEN(2,COUNTA('Recruitment source'!$A:$A))</f>
        <v>11</v>
      </c>
      <c r="R1806" s="8" t="e">
        <f t="shared" ca="1" si="345"/>
        <v>#N/A</v>
      </c>
      <c r="S1806" s="6" t="e">
        <f t="shared" ca="1" si="346"/>
        <v>#N/A</v>
      </c>
      <c r="T1806" s="6">
        <f t="shared" ca="1" si="336"/>
        <v>5</v>
      </c>
      <c r="U1806" s="1">
        <f t="shared" ca="1" si="347"/>
        <v>805</v>
      </c>
    </row>
    <row r="1807" spans="1:21" x14ac:dyDescent="0.2">
      <c r="A1807" s="7" cm="1">
        <f t="array" aca="1" ref="A1807" ca="1">INDEX(Companies!$A:$A,RANDBETWEEN(2,COUNTA(Companies!$A:$A)),1)</f>
        <v>2</v>
      </c>
      <c r="B1807" s="5">
        <f t="shared" si="337"/>
        <v>1806</v>
      </c>
      <c r="C1807" s="6">
        <f t="shared" ca="1" si="338"/>
        <v>1</v>
      </c>
      <c r="D1807" s="7">
        <f ca="1">IF($B1807 = 1 + N("Presidente"),
    127,
    IF($B1807 = 2 + N("Vice-Presidente"),
        72,
        IF($B1807 = 3 + N("Secretária bilíngue"),
            13,
            RANDBETWEEN(5,COUNT(Name!$A:$A) + 1)
        )
    )
)</f>
        <v>209</v>
      </c>
      <c r="E1807" s="7" t="str">
        <f ca="1" xml:space="preserve">
VLOOKUP(
  $D1807,
  Name!$A:$B,
  2,
  FALSE
)
&amp; " " &amp;
IF($B1807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Katerine Veiga Farias</v>
      </c>
      <c r="F1807" s="7">
        <v>2</v>
      </c>
      <c r="G1807" s="7" cm="1">
        <f t="array" aca="1" ref="G1807" ca="1">INDEX(States!$B:$B,RANDBETWEEN(2,COUNTA(States!$A:$A)),1)</f>
        <v>21</v>
      </c>
      <c r="H1807" s="7" t="str">
        <f ca="1">VLOOKUP($D1807,Name!$A:$C,3,FALSE)</f>
        <v>F</v>
      </c>
      <c r="I1807" s="7" cm="1">
        <f t="array" aca="1" ref="I1807" ca="1">INDEX('Marital status'!$A:$A,RANDBETWEEN(2,COUNTA('Marital status'!$A:$A)),1)</f>
        <v>2</v>
      </c>
      <c r="J1807" s="7">
        <f t="shared" ca="1" si="339"/>
        <v>2</v>
      </c>
      <c r="K1807" s="8">
        <f t="shared" ca="1" si="340"/>
        <v>37974</v>
      </c>
      <c r="L1807" s="6">
        <f t="shared" ca="1" si="341"/>
        <v>4</v>
      </c>
      <c r="M1807" s="7">
        <f ca="1" xml:space="preserve">
  IF(OR($N1807 = 2, $N1807 = 3, $N1807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807" s="6">
        <f t="shared" ca="1" si="342"/>
        <v>8</v>
      </c>
      <c r="O1807" s="6">
        <f t="shared" ca="1" si="343"/>
        <v>3</v>
      </c>
      <c r="P1807" s="8">
        <f t="shared" ca="1" si="344"/>
        <v>44838</v>
      </c>
      <c r="Q1807" s="6">
        <f ca="1">RANDBETWEEN(2,COUNTA('Recruitment source'!$A:$A))</f>
        <v>12</v>
      </c>
      <c r="R1807" s="8" t="e">
        <f t="shared" ca="1" si="345"/>
        <v>#N/A</v>
      </c>
      <c r="S1807" s="6" t="e">
        <f t="shared" ca="1" si="346"/>
        <v>#N/A</v>
      </c>
      <c r="T1807" s="6">
        <f t="shared" ca="1" si="336"/>
        <v>3</v>
      </c>
      <c r="U1807" s="1">
        <f t="shared" ca="1" si="347"/>
        <v>2000</v>
      </c>
    </row>
    <row r="1808" spans="1:21" x14ac:dyDescent="0.2">
      <c r="A1808" s="7" cm="1">
        <f t="array" aca="1" ref="A1808" ca="1">INDEX(Companies!$A:$A,RANDBETWEEN(2,COUNTA(Companies!$A:$A)),1)</f>
        <v>2</v>
      </c>
      <c r="B1808" s="5">
        <f t="shared" si="337"/>
        <v>1807</v>
      </c>
      <c r="C1808" s="6">
        <f t="shared" ca="1" si="338"/>
        <v>1</v>
      </c>
      <c r="D1808" s="7">
        <f ca="1">IF($B1808 = 1 + N("Presidente"),
    127,
    IF($B1808 = 2 + N("Vice-Presidente"),
        72,
        IF($B1808 = 3 + N("Secretária bilíngue"),
            13,
            RANDBETWEEN(5,COUNT(Name!$A:$A) + 1)
        )
    )
)</f>
        <v>13</v>
      </c>
      <c r="E1808" s="7" t="str">
        <f ca="1" xml:space="preserve">
VLOOKUP(
  $D1808,
  Name!$A:$B,
  2,
  FALSE
)
&amp; " " &amp;
IF($B1808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Alessandra Colombo Nunes</v>
      </c>
      <c r="F1808" s="7">
        <v>2</v>
      </c>
      <c r="G1808" s="7" cm="1">
        <f t="array" aca="1" ref="G1808" ca="1">INDEX(States!$B:$B,RANDBETWEEN(2,COUNTA(States!$A:$A)),1)</f>
        <v>14</v>
      </c>
      <c r="H1808" s="7" t="str">
        <f ca="1">VLOOKUP($D1808,Name!$A:$C,3,FALSE)</f>
        <v>F</v>
      </c>
      <c r="I1808" s="7" cm="1">
        <f t="array" aca="1" ref="I1808" ca="1">INDEX('Marital status'!$A:$A,RANDBETWEEN(2,COUNTA('Marital status'!$A:$A)),1)</f>
        <v>5</v>
      </c>
      <c r="J1808" s="7">
        <f t="shared" ca="1" si="339"/>
        <v>2</v>
      </c>
      <c r="K1808" s="8">
        <f t="shared" ca="1" si="340"/>
        <v>35627</v>
      </c>
      <c r="L1808" s="6">
        <f t="shared" ca="1" si="341"/>
        <v>4</v>
      </c>
      <c r="M1808" s="7">
        <f ca="1" xml:space="preserve">
  IF(OR($N1808 = 2, $N1808 = 3, $N1808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808" s="6">
        <f t="shared" ca="1" si="342"/>
        <v>7</v>
      </c>
      <c r="O1808" s="6" t="e">
        <f t="shared" ca="1" si="343"/>
        <v>#N/A</v>
      </c>
      <c r="P1808" s="8">
        <f t="shared" ca="1" si="344"/>
        <v>43295</v>
      </c>
      <c r="Q1808" s="6">
        <f ca="1">RANDBETWEEN(2,COUNTA('Recruitment source'!$A:$A))</f>
        <v>7</v>
      </c>
      <c r="R1808" s="8" t="e">
        <f t="shared" ca="1" si="345"/>
        <v>#N/A</v>
      </c>
      <c r="S1808" s="6" t="e">
        <f t="shared" ca="1" si="346"/>
        <v>#N/A</v>
      </c>
      <c r="T1808" s="6">
        <f t="shared" ca="1" si="336"/>
        <v>5</v>
      </c>
      <c r="U1808" s="1">
        <f t="shared" ca="1" si="347"/>
        <v>1005</v>
      </c>
    </row>
    <row r="1809" spans="1:21" x14ac:dyDescent="0.2">
      <c r="A1809" s="7" cm="1">
        <f t="array" aca="1" ref="A1809" ca="1">INDEX(Companies!$A:$A,RANDBETWEEN(2,COUNTA(Companies!$A:$A)),1)</f>
        <v>2</v>
      </c>
      <c r="B1809" s="5">
        <f t="shared" si="337"/>
        <v>1808</v>
      </c>
      <c r="C1809" s="6">
        <f t="shared" ca="1" si="338"/>
        <v>1</v>
      </c>
      <c r="D1809" s="7">
        <f ca="1">IF($B1809 = 1 + N("Presidente"),
    127,
    IF($B1809 = 2 + N("Vice-Presidente"),
        72,
        IF($B1809 = 3 + N("Secretária bilíngue"),
            13,
            RANDBETWEEN(5,COUNT(Name!$A:$A) + 1)
        )
    )
)</f>
        <v>218</v>
      </c>
      <c r="E1809" s="7" t="str">
        <f ca="1" xml:space="preserve">
VLOOKUP(
  $D1809,
  Name!$A:$B,
  2,
  FALSE
)
&amp; " " &amp;
IF($B1809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Larisa Batista Aleluia</v>
      </c>
      <c r="F1809" s="7">
        <v>2</v>
      </c>
      <c r="G1809" s="7" cm="1">
        <f t="array" aca="1" ref="G1809" ca="1">INDEX(States!$B:$B,RANDBETWEEN(2,COUNTA(States!$A:$A)),1)</f>
        <v>10</v>
      </c>
      <c r="H1809" s="7" t="str">
        <f ca="1">VLOOKUP($D1809,Name!$A:$C,3,FALSE)</f>
        <v>F</v>
      </c>
      <c r="I1809" s="7" cm="1">
        <f t="array" aca="1" ref="I1809" ca="1">INDEX('Marital status'!$A:$A,RANDBETWEEN(2,COUNTA('Marital status'!$A:$A)),1)</f>
        <v>2</v>
      </c>
      <c r="J1809" s="7">
        <f t="shared" ca="1" si="339"/>
        <v>2</v>
      </c>
      <c r="K1809" s="8">
        <f t="shared" ca="1" si="340"/>
        <v>32570</v>
      </c>
      <c r="L1809" s="6">
        <f t="shared" ca="1" si="341"/>
        <v>4</v>
      </c>
      <c r="M1809" s="7">
        <f ca="1" xml:space="preserve">
  IF(OR($N1809 = 2, $N1809 = 3, $N1809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809" s="6">
        <f t="shared" ca="1" si="342"/>
        <v>8</v>
      </c>
      <c r="O1809" s="6">
        <f t="shared" ca="1" si="343"/>
        <v>3</v>
      </c>
      <c r="P1809" s="8">
        <f t="shared" ca="1" si="344"/>
        <v>37477</v>
      </c>
      <c r="Q1809" s="6">
        <f ca="1">RANDBETWEEN(2,COUNTA('Recruitment source'!$A:$A))</f>
        <v>8</v>
      </c>
      <c r="R1809" s="8" t="e">
        <f t="shared" ca="1" si="345"/>
        <v>#N/A</v>
      </c>
      <c r="S1809" s="6" t="e">
        <f t="shared" ca="1" si="346"/>
        <v>#N/A</v>
      </c>
      <c r="T1809" s="6">
        <f t="shared" ca="1" si="336"/>
        <v>5</v>
      </c>
      <c r="U1809" s="1">
        <f t="shared" ca="1" si="347"/>
        <v>2080</v>
      </c>
    </row>
    <row r="1810" spans="1:21" x14ac:dyDescent="0.2">
      <c r="A1810" s="7" cm="1">
        <f t="array" aca="1" ref="A1810" ca="1">INDEX(Companies!$A:$A,RANDBETWEEN(2,COUNTA(Companies!$A:$A)),1)</f>
        <v>2</v>
      </c>
      <c r="B1810" s="5">
        <f t="shared" si="337"/>
        <v>1809</v>
      </c>
      <c r="C1810" s="6">
        <f t="shared" ca="1" si="338"/>
        <v>1</v>
      </c>
      <c r="D1810" s="7">
        <f ca="1">IF($B1810 = 1 + N("Presidente"),
    127,
    IF($B1810 = 2 + N("Vice-Presidente"),
        72,
        IF($B1810 = 3 + N("Secretária bilíngue"),
            13,
            RANDBETWEEN(5,COUNT(Name!$A:$A) + 1)
        )
    )
)</f>
        <v>47</v>
      </c>
      <c r="E1810" s="7" t="str">
        <f ca="1" xml:space="preserve">
VLOOKUP(
  $D1810,
  Name!$A:$B,
  2,
  FALSE
)
&amp; " " &amp;
IF($B1810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Anne Caroline Santana Bianchi</v>
      </c>
      <c r="F1810" s="7">
        <v>2</v>
      </c>
      <c r="G1810" s="7" cm="1">
        <f t="array" aca="1" ref="G1810" ca="1">INDEX(States!$B:$B,RANDBETWEEN(2,COUNTA(States!$A:$A)),1)</f>
        <v>12</v>
      </c>
      <c r="H1810" s="7" t="str">
        <f ca="1">VLOOKUP($D1810,Name!$A:$C,3,FALSE)</f>
        <v>F</v>
      </c>
      <c r="I1810" s="7" cm="1">
        <f t="array" aca="1" ref="I1810" ca="1">INDEX('Marital status'!$A:$A,RANDBETWEEN(2,COUNTA('Marital status'!$A:$A)),1)</f>
        <v>4</v>
      </c>
      <c r="J1810" s="7">
        <f t="shared" ca="1" si="339"/>
        <v>2</v>
      </c>
      <c r="K1810" s="8">
        <f t="shared" ca="1" si="340"/>
        <v>30208</v>
      </c>
      <c r="L1810" s="6">
        <f t="shared" ca="1" si="341"/>
        <v>4</v>
      </c>
      <c r="M1810" s="7">
        <f ca="1" xml:space="preserve">
  IF(OR($N1810 = 2, $N1810 = 3, $N1810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810" s="6">
        <f t="shared" ca="1" si="342"/>
        <v>7</v>
      </c>
      <c r="O1810" s="6" t="e">
        <f t="shared" ca="1" si="343"/>
        <v>#N/A</v>
      </c>
      <c r="P1810" s="8">
        <f t="shared" ca="1" si="344"/>
        <v>37222</v>
      </c>
      <c r="Q1810" s="6">
        <f ca="1">RANDBETWEEN(2,COUNTA('Recruitment source'!$A:$A))</f>
        <v>10</v>
      </c>
      <c r="R1810" s="8" t="e">
        <f t="shared" ca="1" si="345"/>
        <v>#N/A</v>
      </c>
      <c r="S1810" s="6" t="e">
        <f t="shared" ca="1" si="346"/>
        <v>#N/A</v>
      </c>
      <c r="T1810" s="6">
        <f t="shared" ca="1" si="336"/>
        <v>3</v>
      </c>
      <c r="U1810" s="1">
        <f t="shared" ca="1" si="347"/>
        <v>1005</v>
      </c>
    </row>
    <row r="1811" spans="1:21" x14ac:dyDescent="0.2">
      <c r="A1811" s="7" cm="1">
        <f t="array" aca="1" ref="A1811" ca="1">INDEX(Companies!$A:$A,RANDBETWEEN(2,COUNTA(Companies!$A:$A)),1)</f>
        <v>2</v>
      </c>
      <c r="B1811" s="5">
        <f t="shared" si="337"/>
        <v>1810</v>
      </c>
      <c r="C1811" s="6">
        <f t="shared" ca="1" si="338"/>
        <v>1</v>
      </c>
      <c r="D1811" s="7">
        <f ca="1">IF($B1811 = 1 + N("Presidente"),
    127,
    IF($B1811 = 2 + N("Vice-Presidente"),
        72,
        IF($B1811 = 3 + N("Secretária bilíngue"),
            13,
            RANDBETWEEN(5,COUNT(Name!$A:$A) + 1)
        )
    )
)</f>
        <v>216</v>
      </c>
      <c r="E1811" s="7" t="str">
        <f ca="1" xml:space="preserve">
VLOOKUP(
  $D1811,
  Name!$A:$B,
  2,
  FALSE
)
&amp; " " &amp;
IF($B1811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Laís Rinaldi Pinto</v>
      </c>
      <c r="F1811" s="7">
        <v>2</v>
      </c>
      <c r="G1811" s="7" cm="1">
        <f t="array" aca="1" ref="G1811" ca="1">INDEX(States!$B:$B,RANDBETWEEN(2,COUNTA(States!$A:$A)),1)</f>
        <v>15</v>
      </c>
      <c r="H1811" s="7" t="str">
        <f ca="1">VLOOKUP($D1811,Name!$A:$C,3,FALSE)</f>
        <v>F</v>
      </c>
      <c r="I1811" s="7" cm="1">
        <f t="array" aca="1" ref="I1811" ca="1">INDEX('Marital status'!$A:$A,RANDBETWEEN(2,COUNTA('Marital status'!$A:$A)),1)</f>
        <v>4</v>
      </c>
      <c r="J1811" s="7">
        <f t="shared" ca="1" si="339"/>
        <v>2</v>
      </c>
      <c r="K1811" s="8">
        <f t="shared" ca="1" si="340"/>
        <v>37017</v>
      </c>
      <c r="L1811" s="6">
        <f t="shared" ca="1" si="341"/>
        <v>4</v>
      </c>
      <c r="M1811" s="7">
        <f ca="1" xml:space="preserve">
  IF(OR($N1811 = 2, $N1811 = 3, $N1811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811" s="6">
        <f t="shared" ca="1" si="342"/>
        <v>8</v>
      </c>
      <c r="O1811" s="6">
        <f t="shared" ca="1" si="343"/>
        <v>2</v>
      </c>
      <c r="P1811" s="8">
        <f t="shared" ca="1" si="344"/>
        <v>37143</v>
      </c>
      <c r="Q1811" s="6">
        <f ca="1">RANDBETWEEN(2,COUNTA('Recruitment source'!$A:$A))</f>
        <v>3</v>
      </c>
      <c r="R1811" s="8" t="e">
        <f t="shared" ca="1" si="345"/>
        <v>#N/A</v>
      </c>
      <c r="S1811" s="6" t="e">
        <f t="shared" ca="1" si="346"/>
        <v>#N/A</v>
      </c>
      <c r="T1811" s="6">
        <f t="shared" ca="1" si="336"/>
        <v>2</v>
      </c>
      <c r="U1811" s="1">
        <f t="shared" ca="1" si="347"/>
        <v>2000</v>
      </c>
    </row>
    <row r="1812" spans="1:21" x14ac:dyDescent="0.2">
      <c r="A1812" s="7" cm="1">
        <f t="array" aca="1" ref="A1812" ca="1">INDEX(Companies!$A:$A,RANDBETWEEN(2,COUNTA(Companies!$A:$A)),1)</f>
        <v>2</v>
      </c>
      <c r="B1812" s="5">
        <f t="shared" si="337"/>
        <v>1811</v>
      </c>
      <c r="C1812" s="6">
        <f t="shared" ca="1" si="338"/>
        <v>1</v>
      </c>
      <c r="D1812" s="7">
        <f ca="1">IF($B1812 = 1 + N("Presidente"),
    127,
    IF($B1812 = 2 + N("Vice-Presidente"),
        72,
        IF($B1812 = 3 + N("Secretária bilíngue"),
            13,
            RANDBETWEEN(5,COUNT(Name!$A:$A) + 1)
        )
    )
)</f>
        <v>357</v>
      </c>
      <c r="E1812" s="7" t="str">
        <f ca="1" xml:space="preserve">
VLOOKUP(
  $D1812,
  Name!$A:$B,
  2,
  FALSE
)
&amp; " " &amp;
IF($B1812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Vinicios Brasil Conti</v>
      </c>
      <c r="F1812" s="7">
        <v>2</v>
      </c>
      <c r="G1812" s="7" cm="1">
        <f t="array" aca="1" ref="G1812" ca="1">INDEX(States!$B:$B,RANDBETWEEN(2,COUNTA(States!$A:$A)),1)</f>
        <v>19</v>
      </c>
      <c r="H1812" s="7" t="str">
        <f ca="1">VLOOKUP($D1812,Name!$A:$C,3,FALSE)</f>
        <v>M</v>
      </c>
      <c r="I1812" s="7" cm="1">
        <f t="array" aca="1" ref="I1812" ca="1">INDEX('Marital status'!$A:$A,RANDBETWEEN(2,COUNTA('Marital status'!$A:$A)),1)</f>
        <v>2</v>
      </c>
      <c r="J1812" s="7">
        <f t="shared" ca="1" si="339"/>
        <v>2</v>
      </c>
      <c r="K1812" s="8">
        <f t="shared" ca="1" si="340"/>
        <v>33264</v>
      </c>
      <c r="L1812" s="6">
        <f t="shared" ca="1" si="341"/>
        <v>4</v>
      </c>
      <c r="M1812" s="7">
        <f ca="1" xml:space="preserve">
  IF(OR($N1812 = 2, $N1812 = 3, $N1812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812" s="6">
        <f t="shared" ca="1" si="342"/>
        <v>7</v>
      </c>
      <c r="O1812" s="6" t="e">
        <f t="shared" ca="1" si="343"/>
        <v>#N/A</v>
      </c>
      <c r="P1812" s="8">
        <f t="shared" ca="1" si="344"/>
        <v>36973</v>
      </c>
      <c r="Q1812" s="6">
        <f ca="1">RANDBETWEEN(2,COUNTA('Recruitment source'!$A:$A))</f>
        <v>11</v>
      </c>
      <c r="R1812" s="8" t="e">
        <f t="shared" ca="1" si="345"/>
        <v>#N/A</v>
      </c>
      <c r="S1812" s="6" t="e">
        <f t="shared" ca="1" si="346"/>
        <v>#N/A</v>
      </c>
      <c r="T1812" s="6">
        <f t="shared" ca="1" si="336"/>
        <v>3</v>
      </c>
      <c r="U1812" s="1">
        <f t="shared" ca="1" si="347"/>
        <v>1005</v>
      </c>
    </row>
    <row r="1813" spans="1:21" x14ac:dyDescent="0.2">
      <c r="A1813" s="7" cm="1">
        <f t="array" aca="1" ref="A1813" ca="1">INDEX(Companies!$A:$A,RANDBETWEEN(2,COUNTA(Companies!$A:$A)),1)</f>
        <v>2</v>
      </c>
      <c r="B1813" s="5">
        <f t="shared" si="337"/>
        <v>1812</v>
      </c>
      <c r="C1813" s="6">
        <f t="shared" ca="1" si="338"/>
        <v>1</v>
      </c>
      <c r="D1813" s="7">
        <f ca="1">IF($B1813 = 1 + N("Presidente"),
    127,
    IF($B1813 = 2 + N("Vice-Presidente"),
        72,
        IF($B1813 = 3 + N("Secretária bilíngue"),
            13,
            RANDBETWEEN(5,COUNT(Name!$A:$A) + 1)
        )
    )
)</f>
        <v>210</v>
      </c>
      <c r="E1813" s="7" t="str">
        <f ca="1" xml:space="preserve">
VLOOKUP(
  $D1813,
  Name!$A:$B,
  2,
  FALSE
)
&amp; " " &amp;
IF($B1813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Kauã Sá Caminha</v>
      </c>
      <c r="F1813" s="7">
        <v>2</v>
      </c>
      <c r="G1813" s="7" cm="1">
        <f t="array" aca="1" ref="G1813" ca="1">INDEX(States!$B:$B,RANDBETWEEN(2,COUNTA(States!$A:$A)),1)</f>
        <v>20</v>
      </c>
      <c r="H1813" s="7" t="str">
        <f ca="1">VLOOKUP($D1813,Name!$A:$C,3,FALSE)</f>
        <v>M</v>
      </c>
      <c r="I1813" s="7" cm="1">
        <f t="array" aca="1" ref="I1813" ca="1">INDEX('Marital status'!$A:$A,RANDBETWEEN(2,COUNTA('Marital status'!$A:$A)),1)</f>
        <v>6</v>
      </c>
      <c r="J1813" s="7">
        <f t="shared" ca="1" si="339"/>
        <v>3</v>
      </c>
      <c r="K1813" s="8">
        <f t="shared" ca="1" si="340"/>
        <v>34942</v>
      </c>
      <c r="L1813" s="6">
        <f t="shared" ca="1" si="341"/>
        <v>5</v>
      </c>
      <c r="M1813" s="7">
        <f ca="1" xml:space="preserve">
  IF(OR($N1813 = 2, $N1813 = 3, $N1813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813" s="6">
        <f t="shared" ca="1" si="342"/>
        <v>8</v>
      </c>
      <c r="O1813" s="6">
        <f t="shared" ca="1" si="343"/>
        <v>4</v>
      </c>
      <c r="P1813" s="8">
        <f t="shared" ca="1" si="344"/>
        <v>44298</v>
      </c>
      <c r="Q1813" s="6">
        <f ca="1">RANDBETWEEN(2,COUNTA('Recruitment source'!$A:$A))</f>
        <v>9</v>
      </c>
      <c r="R1813" s="8" t="e">
        <f t="shared" ca="1" si="345"/>
        <v>#N/A</v>
      </c>
      <c r="S1813" s="6" t="e">
        <f t="shared" ca="1" si="346"/>
        <v>#N/A</v>
      </c>
      <c r="T1813" s="6">
        <f t="shared" ca="1" si="336"/>
        <v>5</v>
      </c>
      <c r="U1813" s="1">
        <f t="shared" ca="1" si="347"/>
        <v>2080</v>
      </c>
    </row>
    <row r="1814" spans="1:21" x14ac:dyDescent="0.2">
      <c r="A1814" s="7" cm="1">
        <f t="array" aca="1" ref="A1814" ca="1">INDEX(Companies!$A:$A,RANDBETWEEN(2,COUNTA(Companies!$A:$A)),1)</f>
        <v>2</v>
      </c>
      <c r="B1814" s="5">
        <f t="shared" si="337"/>
        <v>1813</v>
      </c>
      <c r="C1814" s="6">
        <f t="shared" ca="1" si="338"/>
        <v>1</v>
      </c>
      <c r="D1814" s="7">
        <f ca="1">IF($B1814 = 1 + N("Presidente"),
    127,
    IF($B1814 = 2 + N("Vice-Presidente"),
        72,
        IF($B1814 = 3 + N("Secretária bilíngue"),
            13,
            RANDBETWEEN(5,COUNT(Name!$A:$A) + 1)
        )
    )
)</f>
        <v>348</v>
      </c>
      <c r="E1814" s="7" t="str">
        <f ca="1" xml:space="preserve">
VLOOKUP(
  $D1814,
  Name!$A:$B,
  2,
  FALSE
)
&amp; " " &amp;
IF($B1814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Vagner Poeta Testa</v>
      </c>
      <c r="F1814" s="7">
        <v>2</v>
      </c>
      <c r="G1814" s="7" cm="1">
        <f t="array" aca="1" ref="G1814" ca="1">INDEX(States!$B:$B,RANDBETWEEN(2,COUNTA(States!$A:$A)),1)</f>
        <v>8</v>
      </c>
      <c r="H1814" s="7" t="str">
        <f ca="1">VLOOKUP($D1814,Name!$A:$C,3,FALSE)</f>
        <v>M</v>
      </c>
      <c r="I1814" s="7" cm="1">
        <f t="array" aca="1" ref="I1814" ca="1">INDEX('Marital status'!$A:$A,RANDBETWEEN(2,COUNTA('Marital status'!$A:$A)),1)</f>
        <v>6</v>
      </c>
      <c r="J1814" s="7">
        <f t="shared" ca="1" si="339"/>
        <v>2</v>
      </c>
      <c r="K1814" s="8">
        <f t="shared" ca="1" si="340"/>
        <v>31940</v>
      </c>
      <c r="L1814" s="6">
        <f t="shared" ca="1" si="341"/>
        <v>4</v>
      </c>
      <c r="M1814" s="7">
        <f ca="1" xml:space="preserve">
  IF(OR($N1814 = 2, $N1814 = 3, $N1814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814" s="6">
        <f t="shared" ca="1" si="342"/>
        <v>7</v>
      </c>
      <c r="O1814" s="6" t="e">
        <f t="shared" ca="1" si="343"/>
        <v>#N/A</v>
      </c>
      <c r="P1814" s="8">
        <f t="shared" ca="1" si="344"/>
        <v>39257</v>
      </c>
      <c r="Q1814" s="6">
        <f ca="1">RANDBETWEEN(2,COUNTA('Recruitment source'!$A:$A))</f>
        <v>12</v>
      </c>
      <c r="R1814" s="8" t="e">
        <f t="shared" ca="1" si="345"/>
        <v>#N/A</v>
      </c>
      <c r="S1814" s="6" t="e">
        <f t="shared" ca="1" si="346"/>
        <v>#N/A</v>
      </c>
      <c r="T1814" s="6">
        <f t="shared" ca="1" si="336"/>
        <v>5</v>
      </c>
      <c r="U1814" s="1">
        <f t="shared" ca="1" si="347"/>
        <v>1085</v>
      </c>
    </row>
    <row r="1815" spans="1:21" x14ac:dyDescent="0.2">
      <c r="A1815" s="7" cm="1">
        <f t="array" aca="1" ref="A1815" ca="1">INDEX(Companies!$A:$A,RANDBETWEEN(2,COUNTA(Companies!$A:$A)),1)</f>
        <v>2</v>
      </c>
      <c r="B1815" s="5">
        <f t="shared" si="337"/>
        <v>1814</v>
      </c>
      <c r="C1815" s="6">
        <f t="shared" ca="1" si="338"/>
        <v>1</v>
      </c>
      <c r="D1815" s="7">
        <f ca="1">IF($B1815 = 1 + N("Presidente"),
    127,
    IF($B1815 = 2 + N("Vice-Presidente"),
        72,
        IF($B1815 = 3 + N("Secretária bilíngue"),
            13,
            RANDBETWEEN(5,COUNT(Name!$A:$A) + 1)
        )
    )
)</f>
        <v>272</v>
      </c>
      <c r="E1815" s="7" t="str">
        <f ca="1" xml:space="preserve">
VLOOKUP(
  $D1815,
  Name!$A:$B,
  2,
  FALSE
)
&amp; " " &amp;
IF($B1815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Madalena Bermudes Mazza</v>
      </c>
      <c r="F1815" s="7">
        <v>2</v>
      </c>
      <c r="G1815" s="7" cm="1">
        <f t="array" aca="1" ref="G1815" ca="1">INDEX(States!$B:$B,RANDBETWEEN(2,COUNTA(States!$A:$A)),1)</f>
        <v>20</v>
      </c>
      <c r="H1815" s="7" t="str">
        <f ca="1">VLOOKUP($D1815,Name!$A:$C,3,FALSE)</f>
        <v>F</v>
      </c>
      <c r="I1815" s="7" cm="1">
        <f t="array" aca="1" ref="I1815" ca="1">INDEX('Marital status'!$A:$A,RANDBETWEEN(2,COUNTA('Marital status'!$A:$A)),1)</f>
        <v>2</v>
      </c>
      <c r="J1815" s="7">
        <f t="shared" ca="1" si="339"/>
        <v>4</v>
      </c>
      <c r="K1815" s="8">
        <f t="shared" ca="1" si="340"/>
        <v>36479</v>
      </c>
      <c r="L1815" s="6">
        <f t="shared" ca="1" si="341"/>
        <v>5</v>
      </c>
      <c r="M1815" s="7">
        <f ca="1" xml:space="preserve">
  IF(OR($N1815 = 2, $N1815 = 3, $N1815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815" s="6">
        <f t="shared" ca="1" si="342"/>
        <v>8</v>
      </c>
      <c r="O1815" s="6">
        <f t="shared" ca="1" si="343"/>
        <v>2</v>
      </c>
      <c r="P1815" s="8">
        <f t="shared" ca="1" si="344"/>
        <v>40279</v>
      </c>
      <c r="Q1815" s="6">
        <f ca="1">RANDBETWEEN(2,COUNTA('Recruitment source'!$A:$A))</f>
        <v>8</v>
      </c>
      <c r="R1815" s="8" t="e">
        <f t="shared" ca="1" si="345"/>
        <v>#N/A</v>
      </c>
      <c r="S1815" s="6" t="e">
        <f t="shared" ca="1" si="346"/>
        <v>#N/A</v>
      </c>
      <c r="T1815" s="6">
        <f t="shared" ca="1" si="336"/>
        <v>4</v>
      </c>
      <c r="U1815" s="1">
        <f t="shared" ca="1" si="347"/>
        <v>2000</v>
      </c>
    </row>
    <row r="1816" spans="1:21" x14ac:dyDescent="0.2">
      <c r="A1816" s="7" cm="1">
        <f t="array" aca="1" ref="A1816" ca="1">INDEX(Companies!$A:$A,RANDBETWEEN(2,COUNTA(Companies!$A:$A)),1)</f>
        <v>2</v>
      </c>
      <c r="B1816" s="5">
        <f t="shared" si="337"/>
        <v>1815</v>
      </c>
      <c r="C1816" s="6">
        <f t="shared" ca="1" si="338"/>
        <v>1</v>
      </c>
      <c r="D1816" s="7">
        <f ca="1">IF($B1816 = 1 + N("Presidente"),
    127,
    IF($B1816 = 2 + N("Vice-Presidente"),
        72,
        IF($B1816 = 3 + N("Secretária bilíngue"),
            13,
            RANDBETWEEN(5,COUNT(Name!$A:$A) + 1)
        )
    )
)</f>
        <v>296</v>
      </c>
      <c r="E1816" s="7" t="str">
        <f ca="1" xml:space="preserve">
VLOOKUP(
  $D1816,
  Name!$A:$B,
  2,
  FALSE
)
&amp; " " &amp;
IF($B1816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 Henrique Serra Alcantara</v>
      </c>
      <c r="F1816" s="7">
        <v>2</v>
      </c>
      <c r="G1816" s="7" cm="1">
        <f t="array" aca="1" ref="G1816" ca="1">INDEX(States!$B:$B,RANDBETWEEN(2,COUNTA(States!$A:$A)),1)</f>
        <v>6</v>
      </c>
      <c r="H1816" s="7" t="str">
        <f ca="1">VLOOKUP($D1816,Name!$A:$C,3,FALSE)</f>
        <v>M</v>
      </c>
      <c r="I1816" s="7" cm="1">
        <f t="array" aca="1" ref="I1816" ca="1">INDEX('Marital status'!$A:$A,RANDBETWEEN(2,COUNTA('Marital status'!$A:$A)),1)</f>
        <v>3</v>
      </c>
      <c r="J1816" s="7">
        <f t="shared" ca="1" si="339"/>
        <v>2</v>
      </c>
      <c r="K1816" s="8">
        <f t="shared" ca="1" si="340"/>
        <v>33772</v>
      </c>
      <c r="L1816" s="6">
        <f t="shared" ca="1" si="341"/>
        <v>4</v>
      </c>
      <c r="M1816" s="7">
        <f ca="1" xml:space="preserve">
  IF(OR($N1816 = 2, $N1816 = 3, $N1816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816" s="6">
        <f t="shared" ca="1" si="342"/>
        <v>7</v>
      </c>
      <c r="O1816" s="6" t="e">
        <f t="shared" ca="1" si="343"/>
        <v>#N/A</v>
      </c>
      <c r="P1816" s="8">
        <f t="shared" ca="1" si="344"/>
        <v>42501</v>
      </c>
      <c r="Q1816" s="6">
        <f ca="1">RANDBETWEEN(2,COUNTA('Recruitment source'!$A:$A))</f>
        <v>4</v>
      </c>
      <c r="R1816" s="8" t="e">
        <f t="shared" ca="1" si="345"/>
        <v>#N/A</v>
      </c>
      <c r="S1816" s="6" t="e">
        <f t="shared" ca="1" si="346"/>
        <v>#N/A</v>
      </c>
      <c r="T1816" s="6">
        <f t="shared" ca="1" si="336"/>
        <v>4</v>
      </c>
      <c r="U1816" s="1">
        <f t="shared" ca="1" si="347"/>
        <v>1085</v>
      </c>
    </row>
    <row r="1817" spans="1:21" x14ac:dyDescent="0.2">
      <c r="A1817" s="7" cm="1">
        <f t="array" aca="1" ref="A1817" ca="1">INDEX(Companies!$A:$A,RANDBETWEEN(2,COUNTA(Companies!$A:$A)),1)</f>
        <v>2</v>
      </c>
      <c r="B1817" s="5">
        <f t="shared" si="337"/>
        <v>1816</v>
      </c>
      <c r="C1817" s="6">
        <f t="shared" ca="1" si="338"/>
        <v>1</v>
      </c>
      <c r="D1817" s="7">
        <f ca="1">IF($B1817 = 1 + N("Presidente"),
    127,
    IF($B1817 = 2 + N("Vice-Presidente"),
        72,
        IF($B1817 = 3 + N("Secretária bilíngue"),
            13,
            RANDBETWEEN(5,COUNT(Name!$A:$A) + 1)
        )
    )
)</f>
        <v>130</v>
      </c>
      <c r="E1817" s="7" t="str">
        <f ca="1" xml:space="preserve">
VLOOKUP(
  $D1817,
  Name!$A:$B,
  2,
  FALSE
)
&amp; " " &amp;
IF($B1817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Enzzo Colombo Bicalho</v>
      </c>
      <c r="F1817" s="7">
        <v>2</v>
      </c>
      <c r="G1817" s="7" cm="1">
        <f t="array" aca="1" ref="G1817" ca="1">INDEX(States!$B:$B,RANDBETWEEN(2,COUNTA(States!$A:$A)),1)</f>
        <v>7</v>
      </c>
      <c r="H1817" s="7" t="str">
        <f ca="1">VLOOKUP($D1817,Name!$A:$C,3,FALSE)</f>
        <v>M</v>
      </c>
      <c r="I1817" s="7" cm="1">
        <f t="array" aca="1" ref="I1817" ca="1">INDEX('Marital status'!$A:$A,RANDBETWEEN(2,COUNTA('Marital status'!$A:$A)),1)</f>
        <v>5</v>
      </c>
      <c r="J1817" s="7">
        <f t="shared" ca="1" si="339"/>
        <v>2</v>
      </c>
      <c r="K1817" s="8">
        <f t="shared" ca="1" si="340"/>
        <v>35697</v>
      </c>
      <c r="L1817" s="6">
        <f t="shared" ca="1" si="341"/>
        <v>5</v>
      </c>
      <c r="M1817" s="7">
        <f ca="1" xml:space="preserve">
  IF(OR($N1817 = 2, $N1817 = 3, $N1817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817" s="6">
        <f t="shared" ca="1" si="342"/>
        <v>8</v>
      </c>
      <c r="O1817" s="6">
        <f t="shared" ca="1" si="343"/>
        <v>2</v>
      </c>
      <c r="P1817" s="8">
        <f t="shared" ca="1" si="344"/>
        <v>38591</v>
      </c>
      <c r="Q1817" s="6">
        <f ca="1">RANDBETWEEN(2,COUNTA('Recruitment source'!$A:$A))</f>
        <v>9</v>
      </c>
      <c r="R1817" s="8" t="e">
        <f t="shared" ca="1" si="345"/>
        <v>#N/A</v>
      </c>
      <c r="S1817" s="6" t="e">
        <f t="shared" ca="1" si="346"/>
        <v>#N/A</v>
      </c>
      <c r="T1817" s="6">
        <f t="shared" ca="1" si="336"/>
        <v>2</v>
      </c>
      <c r="U1817" s="1">
        <f t="shared" ca="1" si="347"/>
        <v>2000</v>
      </c>
    </row>
    <row r="1818" spans="1:21" x14ac:dyDescent="0.2">
      <c r="A1818" s="7" cm="1">
        <f t="array" aca="1" ref="A1818" ca="1">INDEX(Companies!$A:$A,RANDBETWEEN(2,COUNTA(Companies!$A:$A)),1)</f>
        <v>2</v>
      </c>
      <c r="B1818" s="5">
        <f t="shared" si="337"/>
        <v>1817</v>
      </c>
      <c r="C1818" s="6">
        <f t="shared" ca="1" si="338"/>
        <v>1</v>
      </c>
      <c r="D1818" s="7">
        <f ca="1">IF($B1818 = 1 + N("Presidente"),
    127,
    IF($B1818 = 2 + N("Vice-Presidente"),
        72,
        IF($B1818 = 3 + N("Secretária bilíngue"),
            13,
            RANDBETWEEN(5,COUNT(Name!$A:$A) + 1)
        )
    )
)</f>
        <v>278</v>
      </c>
      <c r="E1818" s="7" t="str">
        <f ca="1" xml:space="preserve">
VLOOKUP(
  $D1818,
  Name!$A:$B,
  2,
  FALSE
)
&amp; " " &amp;
IF($B1818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Mariana Frasão Tavarez</v>
      </c>
      <c r="F1818" s="7">
        <v>2</v>
      </c>
      <c r="G1818" s="7" cm="1">
        <f t="array" aca="1" ref="G1818" ca="1">INDEX(States!$B:$B,RANDBETWEEN(2,COUNTA(States!$A:$A)),1)</f>
        <v>19</v>
      </c>
      <c r="H1818" s="7" t="str">
        <f ca="1">VLOOKUP($D1818,Name!$A:$C,3,FALSE)</f>
        <v>F</v>
      </c>
      <c r="I1818" s="7" cm="1">
        <f t="array" aca="1" ref="I1818" ca="1">INDEX('Marital status'!$A:$A,RANDBETWEEN(2,COUNTA('Marital status'!$A:$A)),1)</f>
        <v>2</v>
      </c>
      <c r="J1818" s="7">
        <f t="shared" ca="1" si="339"/>
        <v>2</v>
      </c>
      <c r="K1818" s="8">
        <f t="shared" ca="1" si="340"/>
        <v>35947</v>
      </c>
      <c r="L1818" s="6">
        <f t="shared" ca="1" si="341"/>
        <v>4</v>
      </c>
      <c r="M1818" s="7">
        <f ca="1" xml:space="preserve">
  IF(OR($N1818 = 2, $N1818 = 3, $N1818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818" s="6">
        <f t="shared" ca="1" si="342"/>
        <v>7</v>
      </c>
      <c r="O1818" s="6" t="e">
        <f t="shared" ca="1" si="343"/>
        <v>#N/A</v>
      </c>
      <c r="P1818" s="8">
        <f t="shared" ca="1" si="344"/>
        <v>42748</v>
      </c>
      <c r="Q1818" s="6">
        <f ca="1">RANDBETWEEN(2,COUNTA('Recruitment source'!$A:$A))</f>
        <v>7</v>
      </c>
      <c r="R1818" s="8" t="e">
        <f t="shared" ca="1" si="345"/>
        <v>#N/A</v>
      </c>
      <c r="S1818" s="6" t="e">
        <f t="shared" ca="1" si="346"/>
        <v>#N/A</v>
      </c>
      <c r="T1818" s="6">
        <f t="shared" ca="1" si="336"/>
        <v>4</v>
      </c>
      <c r="U1818" s="1">
        <f t="shared" ca="1" si="347"/>
        <v>1005</v>
      </c>
    </row>
    <row r="1819" spans="1:21" x14ac:dyDescent="0.2">
      <c r="A1819" s="7" cm="1">
        <f t="array" aca="1" ref="A1819" ca="1">INDEX(Companies!$A:$A,RANDBETWEEN(2,COUNTA(Companies!$A:$A)),1)</f>
        <v>2</v>
      </c>
      <c r="B1819" s="5">
        <f t="shared" si="337"/>
        <v>1818</v>
      </c>
      <c r="C1819" s="6">
        <f t="shared" ca="1" si="338"/>
        <v>1</v>
      </c>
      <c r="D1819" s="7">
        <f ca="1">IF($B1819 = 1 + N("Presidente"),
    127,
    IF($B1819 = 2 + N("Vice-Presidente"),
        72,
        IF($B1819 = 3 + N("Secretária bilíngue"),
            13,
            RANDBETWEEN(5,COUNT(Name!$A:$A) + 1)
        )
    )
)</f>
        <v>114</v>
      </c>
      <c r="E1819" s="7" t="str">
        <f ca="1" xml:space="preserve">
VLOOKUP(
  $D1819,
  Name!$A:$B,
  2,
  FALSE
)
&amp; " " &amp;
IF($B1819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Domingos Cunha Siqueira</v>
      </c>
      <c r="F1819" s="7">
        <v>2</v>
      </c>
      <c r="G1819" s="7" cm="1">
        <f t="array" aca="1" ref="G1819" ca="1">INDEX(States!$B:$B,RANDBETWEEN(2,COUNTA(States!$A:$A)),1)</f>
        <v>6</v>
      </c>
      <c r="H1819" s="7" t="str">
        <f ca="1">VLOOKUP($D1819,Name!$A:$C,3,FALSE)</f>
        <v>M</v>
      </c>
      <c r="I1819" s="7" cm="1">
        <f t="array" aca="1" ref="I1819" ca="1">INDEX('Marital status'!$A:$A,RANDBETWEEN(2,COUNTA('Marital status'!$A:$A)),1)</f>
        <v>6</v>
      </c>
      <c r="J1819" s="7">
        <f t="shared" ca="1" si="339"/>
        <v>2</v>
      </c>
      <c r="K1819" s="8">
        <f t="shared" ca="1" si="340"/>
        <v>37084</v>
      </c>
      <c r="L1819" s="6">
        <f t="shared" ca="1" si="341"/>
        <v>5</v>
      </c>
      <c r="M1819" s="7">
        <f ca="1" xml:space="preserve">
  IF(OR($N1819 = 2, $N1819 = 3, $N1819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819" s="6">
        <f t="shared" ca="1" si="342"/>
        <v>8</v>
      </c>
      <c r="O1819" s="6">
        <f t="shared" ca="1" si="343"/>
        <v>2</v>
      </c>
      <c r="P1819" s="8">
        <f t="shared" ca="1" si="344"/>
        <v>40130</v>
      </c>
      <c r="Q1819" s="6">
        <f ca="1">RANDBETWEEN(2,COUNTA('Recruitment source'!$A:$A))</f>
        <v>5</v>
      </c>
      <c r="R1819" s="8" t="e">
        <f t="shared" ca="1" si="345"/>
        <v>#N/A</v>
      </c>
      <c r="S1819" s="6" t="e">
        <f t="shared" ca="1" si="346"/>
        <v>#N/A</v>
      </c>
      <c r="T1819" s="6">
        <f t="shared" ca="1" si="336"/>
        <v>4</v>
      </c>
      <c r="U1819" s="1">
        <f t="shared" ca="1" si="347"/>
        <v>2000</v>
      </c>
    </row>
    <row r="1820" spans="1:21" x14ac:dyDescent="0.2">
      <c r="A1820" s="7" cm="1">
        <f t="array" aca="1" ref="A1820" ca="1">INDEX(Companies!$A:$A,RANDBETWEEN(2,COUNTA(Companies!$A:$A)),1)</f>
        <v>2</v>
      </c>
      <c r="B1820" s="5">
        <f t="shared" si="337"/>
        <v>1819</v>
      </c>
      <c r="C1820" s="6">
        <f t="shared" ca="1" si="338"/>
        <v>1</v>
      </c>
      <c r="D1820" s="7">
        <f ca="1">IF($B1820 = 1 + N("Presidente"),
    127,
    IF($B1820 = 2 + N("Vice-Presidente"),
        72,
        IF($B1820 = 3 + N("Secretária bilíngue"),
            13,
            RANDBETWEEN(5,COUNT(Name!$A:$A) + 1)
        )
    )
)</f>
        <v>332</v>
      </c>
      <c r="E1820" s="7" t="str">
        <f ca="1" xml:space="preserve">
VLOOKUP(
  $D1820,
  Name!$A:$B,
  2,
  FALSE
)
&amp; " " &amp;
IF($B1820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Rodrigo Rinaldi Holanda</v>
      </c>
      <c r="F1820" s="7">
        <v>2</v>
      </c>
      <c r="G1820" s="7" cm="1">
        <f t="array" aca="1" ref="G1820" ca="1">INDEX(States!$B:$B,RANDBETWEEN(2,COUNTA(States!$A:$A)),1)</f>
        <v>11</v>
      </c>
      <c r="H1820" s="7" t="str">
        <f ca="1">VLOOKUP($D1820,Name!$A:$C,3,FALSE)</f>
        <v>M</v>
      </c>
      <c r="I1820" s="7" cm="1">
        <f t="array" aca="1" ref="I1820" ca="1">INDEX('Marital status'!$A:$A,RANDBETWEEN(2,COUNTA('Marital status'!$A:$A)),1)</f>
        <v>6</v>
      </c>
      <c r="J1820" s="7">
        <f t="shared" ca="1" si="339"/>
        <v>3</v>
      </c>
      <c r="K1820" s="8">
        <f t="shared" ca="1" si="340"/>
        <v>18305</v>
      </c>
      <c r="L1820" s="6">
        <f t="shared" ca="1" si="341"/>
        <v>4</v>
      </c>
      <c r="M1820" s="7">
        <f ca="1" xml:space="preserve">
  IF(OR($N1820 = 2, $N1820 = 3, $N1820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820" s="6">
        <f t="shared" ca="1" si="342"/>
        <v>6</v>
      </c>
      <c r="O1820" s="6" t="e">
        <f t="shared" ca="1" si="343"/>
        <v>#N/A</v>
      </c>
      <c r="P1820" s="8">
        <f t="shared" ca="1" si="344"/>
        <v>44126</v>
      </c>
      <c r="Q1820" s="6">
        <f ca="1">RANDBETWEEN(2,COUNTA('Recruitment source'!$A:$A))</f>
        <v>8</v>
      </c>
      <c r="R1820" s="8" t="e">
        <f t="shared" ca="1" si="345"/>
        <v>#N/A</v>
      </c>
      <c r="S1820" s="6" t="e">
        <f t="shared" ca="1" si="346"/>
        <v>#N/A</v>
      </c>
      <c r="T1820" s="6">
        <f t="shared" ca="1" si="336"/>
        <v>3</v>
      </c>
      <c r="U1820" s="1">
        <f t="shared" ca="1" si="347"/>
        <v>805</v>
      </c>
    </row>
    <row r="1821" spans="1:21" x14ac:dyDescent="0.2">
      <c r="A1821" s="7" cm="1">
        <f t="array" aca="1" ref="A1821" ca="1">INDEX(Companies!$A:$A,RANDBETWEEN(2,COUNTA(Companies!$A:$A)),1)</f>
        <v>2</v>
      </c>
      <c r="B1821" s="5">
        <f t="shared" si="337"/>
        <v>1820</v>
      </c>
      <c r="C1821" s="6">
        <f t="shared" ca="1" si="338"/>
        <v>1</v>
      </c>
      <c r="D1821" s="7">
        <f ca="1">IF($B1821 = 1 + N("Presidente"),
    127,
    IF($B1821 = 2 + N("Vice-Presidente"),
        72,
        IF($B1821 = 3 + N("Secretária bilíngue"),
            13,
            RANDBETWEEN(5,COUNT(Name!$A:$A) + 1)
        )
    )
)</f>
        <v>321</v>
      </c>
      <c r="E1821" s="7" t="str">
        <f ca="1" xml:space="preserve">
VLOOKUP(
  $D1821,
  Name!$A:$B,
  2,
  FALSE
)
&amp; " " &amp;
IF($B1821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Pietra Cardoso Abranches</v>
      </c>
      <c r="F1821" s="7">
        <v>2</v>
      </c>
      <c r="G1821" s="7" cm="1">
        <f t="array" aca="1" ref="G1821" ca="1">INDEX(States!$B:$B,RANDBETWEEN(2,COUNTA(States!$A:$A)),1)</f>
        <v>2</v>
      </c>
      <c r="H1821" s="7" t="str">
        <f ca="1">VLOOKUP($D1821,Name!$A:$C,3,FALSE)</f>
        <v>F</v>
      </c>
      <c r="I1821" s="7" cm="1">
        <f t="array" aca="1" ref="I1821" ca="1">INDEX('Marital status'!$A:$A,RANDBETWEEN(2,COUNTA('Marital status'!$A:$A)),1)</f>
        <v>2</v>
      </c>
      <c r="J1821" s="7">
        <f t="shared" ca="1" si="339"/>
        <v>2</v>
      </c>
      <c r="K1821" s="8">
        <f t="shared" ca="1" si="340"/>
        <v>37522</v>
      </c>
      <c r="L1821" s="6">
        <f t="shared" ca="1" si="341"/>
        <v>5</v>
      </c>
      <c r="M1821" s="7">
        <f ca="1" xml:space="preserve">
  IF(OR($N1821 = 2, $N1821 = 3, $N1821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821" s="6">
        <f t="shared" ca="1" si="342"/>
        <v>8</v>
      </c>
      <c r="O1821" s="6">
        <f t="shared" ca="1" si="343"/>
        <v>2</v>
      </c>
      <c r="P1821" s="8">
        <f t="shared" ca="1" si="344"/>
        <v>37946</v>
      </c>
      <c r="Q1821" s="6">
        <f ca="1">RANDBETWEEN(2,COUNTA('Recruitment source'!$A:$A))</f>
        <v>7</v>
      </c>
      <c r="R1821" s="8" t="e">
        <f t="shared" ca="1" si="345"/>
        <v>#N/A</v>
      </c>
      <c r="S1821" s="6" t="e">
        <f t="shared" ca="1" si="346"/>
        <v>#N/A</v>
      </c>
      <c r="T1821" s="6">
        <f t="shared" ca="1" si="336"/>
        <v>4</v>
      </c>
      <c r="U1821" s="1">
        <f t="shared" ca="1" si="347"/>
        <v>2080</v>
      </c>
    </row>
    <row r="1822" spans="1:21" x14ac:dyDescent="0.2">
      <c r="A1822" s="7" cm="1">
        <f t="array" aca="1" ref="A1822" ca="1">INDEX(Companies!$A:$A,RANDBETWEEN(2,COUNTA(Companies!$A:$A)),1)</f>
        <v>2</v>
      </c>
      <c r="B1822" s="5">
        <f t="shared" si="337"/>
        <v>1821</v>
      </c>
      <c r="C1822" s="6">
        <f t="shared" ca="1" si="338"/>
        <v>1</v>
      </c>
      <c r="D1822" s="7">
        <f ca="1">IF($B1822 = 1 + N("Presidente"),
    127,
    IF($B1822 = 2 + N("Vice-Presidente"),
        72,
        IF($B1822 = 3 + N("Secretária bilíngue"),
            13,
            RANDBETWEEN(5,COUNT(Name!$A:$A) + 1)
        )
    )
)</f>
        <v>172</v>
      </c>
      <c r="E1822" s="7" t="str">
        <f ca="1" xml:space="preserve">
VLOOKUP(
  $D1822,
  Name!$A:$B,
  2,
  FALSE
)
&amp; " " &amp;
IF($B1822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 Santos Madureira</v>
      </c>
      <c r="F1822" s="7">
        <v>2</v>
      </c>
      <c r="G1822" s="7" cm="1">
        <f t="array" aca="1" ref="G1822" ca="1">INDEX(States!$B:$B,RANDBETWEEN(2,COUNTA(States!$A:$A)),1)</f>
        <v>6</v>
      </c>
      <c r="H1822" s="7" t="str">
        <f ca="1">VLOOKUP($D1822,Name!$A:$C,3,FALSE)</f>
        <v>F</v>
      </c>
      <c r="I1822" s="7" cm="1">
        <f t="array" aca="1" ref="I1822" ca="1">INDEX('Marital status'!$A:$A,RANDBETWEEN(2,COUNTA('Marital status'!$A:$A)),1)</f>
        <v>6</v>
      </c>
      <c r="J1822" s="7">
        <f t="shared" ca="1" si="339"/>
        <v>2</v>
      </c>
      <c r="K1822" s="8">
        <f t="shared" ca="1" si="340"/>
        <v>35369</v>
      </c>
      <c r="L1822" s="6">
        <f t="shared" ca="1" si="341"/>
        <v>4</v>
      </c>
      <c r="M1822" s="7">
        <f ca="1" xml:space="preserve">
  IF(OR($N1822 = 2, $N1822 = 3, $N1822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822" s="6">
        <f t="shared" ca="1" si="342"/>
        <v>7</v>
      </c>
      <c r="O1822" s="6" t="e">
        <f t="shared" ca="1" si="343"/>
        <v>#N/A</v>
      </c>
      <c r="P1822" s="8">
        <f t="shared" ca="1" si="344"/>
        <v>40207</v>
      </c>
      <c r="Q1822" s="6">
        <f ca="1">RANDBETWEEN(2,COUNTA('Recruitment source'!$A:$A))</f>
        <v>12</v>
      </c>
      <c r="R1822" s="8" t="e">
        <f t="shared" ca="1" si="345"/>
        <v>#N/A</v>
      </c>
      <c r="S1822" s="6" t="e">
        <f t="shared" ca="1" si="346"/>
        <v>#N/A</v>
      </c>
      <c r="T1822" s="6">
        <f t="shared" ca="1" si="336"/>
        <v>5</v>
      </c>
      <c r="U1822" s="1">
        <f t="shared" ca="1" si="347"/>
        <v>1005</v>
      </c>
    </row>
    <row r="1823" spans="1:21" x14ac:dyDescent="0.2">
      <c r="A1823" s="7" cm="1">
        <f t="array" aca="1" ref="A1823" ca="1">INDEX(Companies!$A:$A,RANDBETWEEN(2,COUNTA(Companies!$A:$A)),1)</f>
        <v>2</v>
      </c>
      <c r="B1823" s="5">
        <f t="shared" si="337"/>
        <v>1822</v>
      </c>
      <c r="C1823" s="6">
        <f t="shared" ca="1" si="338"/>
        <v>1</v>
      </c>
      <c r="D1823" s="7">
        <f ca="1">IF($B1823 = 1 + N("Presidente"),
    127,
    IF($B1823 = 2 + N("Vice-Presidente"),
        72,
        IF($B1823 = 3 + N("Secretária bilíngue"),
            13,
            RANDBETWEEN(5,COUNT(Name!$A:$A) + 1)
        )
    )
)</f>
        <v>151</v>
      </c>
      <c r="E1823" s="7" t="str">
        <f ca="1" xml:space="preserve">
VLOOKUP(
  $D1823,
  Name!$A:$B,
  2,
  FALSE
)
&amp; " " &amp;
IF($B1823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Gabrielly Ferreira Seixas</v>
      </c>
      <c r="F1823" s="7">
        <v>2</v>
      </c>
      <c r="G1823" s="7" cm="1">
        <f t="array" aca="1" ref="G1823" ca="1">INDEX(States!$B:$B,RANDBETWEEN(2,COUNTA(States!$A:$A)),1)</f>
        <v>5</v>
      </c>
      <c r="H1823" s="7" t="str">
        <f ca="1">VLOOKUP($D1823,Name!$A:$C,3,FALSE)</f>
        <v>F</v>
      </c>
      <c r="I1823" s="7" cm="1">
        <f t="array" aca="1" ref="I1823" ca="1">INDEX('Marital status'!$A:$A,RANDBETWEEN(2,COUNTA('Marital status'!$A:$A)),1)</f>
        <v>4</v>
      </c>
      <c r="J1823" s="7">
        <f t="shared" ca="1" si="339"/>
        <v>2</v>
      </c>
      <c r="K1823" s="8">
        <f t="shared" ca="1" si="340"/>
        <v>32524</v>
      </c>
      <c r="L1823" s="6">
        <f t="shared" ca="1" si="341"/>
        <v>4</v>
      </c>
      <c r="M1823" s="7">
        <f ca="1" xml:space="preserve">
  IF(OR($N1823 = 2, $N1823 = 3, $N1823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823" s="6">
        <f t="shared" ca="1" si="342"/>
        <v>8</v>
      </c>
      <c r="O1823" s="6">
        <f t="shared" ca="1" si="343"/>
        <v>3</v>
      </c>
      <c r="P1823" s="8">
        <f t="shared" ca="1" si="344"/>
        <v>43655</v>
      </c>
      <c r="Q1823" s="6">
        <f ca="1">RANDBETWEEN(2,COUNTA('Recruitment source'!$A:$A))</f>
        <v>6</v>
      </c>
      <c r="R1823" s="8" t="e">
        <f t="shared" ca="1" si="345"/>
        <v>#N/A</v>
      </c>
      <c r="S1823" s="6" t="e">
        <f t="shared" ca="1" si="346"/>
        <v>#N/A</v>
      </c>
      <c r="T1823" s="6">
        <f t="shared" ca="1" si="336"/>
        <v>5</v>
      </c>
      <c r="U1823" s="1">
        <f t="shared" ca="1" si="347"/>
        <v>2080</v>
      </c>
    </row>
    <row r="1824" spans="1:21" x14ac:dyDescent="0.2">
      <c r="A1824" s="7" cm="1">
        <f t="array" aca="1" ref="A1824" ca="1">INDEX(Companies!$A:$A,RANDBETWEEN(2,COUNTA(Companies!$A:$A)),1)</f>
        <v>2</v>
      </c>
      <c r="B1824" s="5">
        <f t="shared" si="337"/>
        <v>1823</v>
      </c>
      <c r="C1824" s="6">
        <f t="shared" ca="1" si="338"/>
        <v>1</v>
      </c>
      <c r="D1824" s="7">
        <f ca="1">IF($B1824 = 1 + N("Presidente"),
    127,
    IF($B1824 = 2 + N("Vice-Presidente"),
        72,
        IF($B1824 = 3 + N("Secretária bilíngue"),
            13,
            RANDBETWEEN(5,COUNT(Name!$A:$A) + 1)
        )
    )
)</f>
        <v>147</v>
      </c>
      <c r="E1824" s="7" t="str">
        <f ca="1" xml:space="preserve">
VLOOKUP(
  $D1824,
  Name!$A:$B,
  2,
  FALSE
)
&amp; " " &amp;
IF($B1824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Francisco Emanuel Reis Saragoça</v>
      </c>
      <c r="F1824" s="7">
        <v>2</v>
      </c>
      <c r="G1824" s="7" cm="1">
        <f t="array" aca="1" ref="G1824" ca="1">INDEX(States!$B:$B,RANDBETWEEN(2,COUNTA(States!$A:$A)),1)</f>
        <v>4</v>
      </c>
      <c r="H1824" s="7" t="str">
        <f ca="1">VLOOKUP($D1824,Name!$A:$C,3,FALSE)</f>
        <v>M</v>
      </c>
      <c r="I1824" s="7" cm="1">
        <f t="array" aca="1" ref="I1824" ca="1">INDEX('Marital status'!$A:$A,RANDBETWEEN(2,COUNTA('Marital status'!$A:$A)),1)</f>
        <v>2</v>
      </c>
      <c r="J1824" s="7">
        <f t="shared" ca="1" si="339"/>
        <v>5</v>
      </c>
      <c r="K1824" s="8">
        <f t="shared" ca="1" si="340"/>
        <v>27715</v>
      </c>
      <c r="L1824" s="6">
        <f t="shared" ca="1" si="341"/>
        <v>4</v>
      </c>
      <c r="M1824" s="7">
        <f ca="1" xml:space="preserve">
  IF(OR($N1824 = 2, $N1824 = 3, $N1824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824" s="6">
        <f t="shared" ca="1" si="342"/>
        <v>6</v>
      </c>
      <c r="O1824" s="6" t="e">
        <f t="shared" ca="1" si="343"/>
        <v>#N/A</v>
      </c>
      <c r="P1824" s="8">
        <f t="shared" ca="1" si="344"/>
        <v>37958</v>
      </c>
      <c r="Q1824" s="6">
        <f ca="1">RANDBETWEEN(2,COUNTA('Recruitment source'!$A:$A))</f>
        <v>12</v>
      </c>
      <c r="R1824" s="8" t="e">
        <f t="shared" ca="1" si="345"/>
        <v>#N/A</v>
      </c>
      <c r="S1824" s="6" t="e">
        <f t="shared" ca="1" si="346"/>
        <v>#N/A</v>
      </c>
      <c r="T1824" s="6">
        <f t="shared" ca="1" si="336"/>
        <v>3</v>
      </c>
      <c r="U1824" s="1">
        <f t="shared" ca="1" si="347"/>
        <v>885</v>
      </c>
    </row>
    <row r="1825" spans="1:21" x14ac:dyDescent="0.2">
      <c r="A1825" s="7" cm="1">
        <f t="array" aca="1" ref="A1825" ca="1">INDEX(Companies!$A:$A,RANDBETWEEN(2,COUNTA(Companies!$A:$A)),1)</f>
        <v>2</v>
      </c>
      <c r="B1825" s="5">
        <f t="shared" si="337"/>
        <v>1824</v>
      </c>
      <c r="C1825" s="6">
        <f t="shared" ca="1" si="338"/>
        <v>1</v>
      </c>
      <c r="D1825" s="7">
        <f ca="1">IF($B1825 = 1 + N("Presidente"),
    127,
    IF($B1825 = 2 + N("Vice-Presidente"),
        72,
        IF($B1825 = 3 + N("Secretária bilíngue"),
            13,
            RANDBETWEEN(5,COUNT(Name!$A:$A) + 1)
        )
    )
)</f>
        <v>113</v>
      </c>
      <c r="E1825" s="7" t="str">
        <f ca="1" xml:space="preserve">
VLOOKUP(
  $D1825,
  Name!$A:$B,
  2,
  FALSE
)
&amp; " " &amp;
IF($B1825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Desiré Simões Vaz</v>
      </c>
      <c r="F1825" s="7">
        <v>2</v>
      </c>
      <c r="G1825" s="7" cm="1">
        <f t="array" aca="1" ref="G1825" ca="1">INDEX(States!$B:$B,RANDBETWEEN(2,COUNTA(States!$A:$A)),1)</f>
        <v>4</v>
      </c>
      <c r="H1825" s="7" t="str">
        <f ca="1">VLOOKUP($D1825,Name!$A:$C,3,FALSE)</f>
        <v>F</v>
      </c>
      <c r="I1825" s="7" cm="1">
        <f t="array" aca="1" ref="I1825" ca="1">INDEX('Marital status'!$A:$A,RANDBETWEEN(2,COUNTA('Marital status'!$A:$A)),1)</f>
        <v>3</v>
      </c>
      <c r="J1825" s="7">
        <f t="shared" ca="1" si="339"/>
        <v>2</v>
      </c>
      <c r="K1825" s="8">
        <f t="shared" ca="1" si="340"/>
        <v>37282</v>
      </c>
      <c r="L1825" s="6">
        <f t="shared" ca="1" si="341"/>
        <v>5</v>
      </c>
      <c r="M1825" s="7">
        <f ca="1" xml:space="preserve">
  IF(OR($N1825 = 2, $N1825 = 3, $N1825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825" s="6">
        <f t="shared" ca="1" si="342"/>
        <v>8</v>
      </c>
      <c r="O1825" s="6">
        <f t="shared" ca="1" si="343"/>
        <v>4</v>
      </c>
      <c r="P1825" s="8">
        <f t="shared" ca="1" si="344"/>
        <v>44148</v>
      </c>
      <c r="Q1825" s="6">
        <f ca="1">RANDBETWEEN(2,COUNTA('Recruitment source'!$A:$A))</f>
        <v>8</v>
      </c>
      <c r="R1825" s="8" t="e">
        <f t="shared" ca="1" si="345"/>
        <v>#N/A</v>
      </c>
      <c r="S1825" s="6" t="e">
        <f t="shared" ca="1" si="346"/>
        <v>#N/A</v>
      </c>
      <c r="T1825" s="6">
        <f t="shared" ca="1" si="336"/>
        <v>2</v>
      </c>
      <c r="U1825" s="1">
        <f t="shared" ca="1" si="347"/>
        <v>2080</v>
      </c>
    </row>
    <row r="1826" spans="1:21" x14ac:dyDescent="0.2">
      <c r="A1826" s="7" cm="1">
        <f t="array" aca="1" ref="A1826" ca="1">INDEX(Companies!$A:$A,RANDBETWEEN(2,COUNTA(Companies!$A:$A)),1)</f>
        <v>2</v>
      </c>
      <c r="B1826" s="5">
        <f t="shared" si="337"/>
        <v>1825</v>
      </c>
      <c r="C1826" s="6">
        <f t="shared" ca="1" si="338"/>
        <v>1</v>
      </c>
      <c r="D1826" s="7">
        <f ca="1">IF($B1826 = 1 + N("Presidente"),
    127,
    IF($B1826 = 2 + N("Vice-Presidente"),
        72,
        IF($B1826 = 3 + N("Secretária bilíngue"),
            13,
            RANDBETWEEN(5,COUNT(Name!$A:$A) + 1)
        )
    )
)</f>
        <v>253</v>
      </c>
      <c r="E1826" s="7" t="str">
        <f ca="1" xml:space="preserve">
VLOOKUP(
  $D1826,
  Name!$A:$B,
  2,
  FALSE
)
&amp; " " &amp;
IF($B1826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Malu Aleluia Barbosa</v>
      </c>
      <c r="F1826" s="7">
        <v>2</v>
      </c>
      <c r="G1826" s="7" cm="1">
        <f t="array" aca="1" ref="G1826" ca="1">INDEX(States!$B:$B,RANDBETWEEN(2,COUNTA(States!$A:$A)),1)</f>
        <v>3</v>
      </c>
      <c r="H1826" s="7" t="str">
        <f ca="1">VLOOKUP($D1826,Name!$A:$C,3,FALSE)</f>
        <v>F</v>
      </c>
      <c r="I1826" s="7" cm="1">
        <f t="array" aca="1" ref="I1826" ca="1">INDEX('Marital status'!$A:$A,RANDBETWEEN(2,COUNTA('Marital status'!$A:$A)),1)</f>
        <v>4</v>
      </c>
      <c r="J1826" s="7">
        <f t="shared" ca="1" si="339"/>
        <v>4</v>
      </c>
      <c r="K1826" s="8">
        <f t="shared" ca="1" si="340"/>
        <v>18410</v>
      </c>
      <c r="L1826" s="6">
        <f t="shared" ca="1" si="341"/>
        <v>4</v>
      </c>
      <c r="M1826" s="7">
        <f ca="1" xml:space="preserve">
  IF(OR($N1826 = 2, $N1826 = 3, $N1826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826" s="6">
        <f t="shared" ca="1" si="342"/>
        <v>6</v>
      </c>
      <c r="O1826" s="6" t="e">
        <f t="shared" ca="1" si="343"/>
        <v>#N/A</v>
      </c>
      <c r="P1826" s="8">
        <f t="shared" ca="1" si="344"/>
        <v>41728</v>
      </c>
      <c r="Q1826" s="6">
        <f ca="1">RANDBETWEEN(2,COUNTA('Recruitment source'!$A:$A))</f>
        <v>10</v>
      </c>
      <c r="R1826" s="8" t="e">
        <f t="shared" ca="1" si="345"/>
        <v>#N/A</v>
      </c>
      <c r="S1826" s="6" t="e">
        <f t="shared" ca="1" si="346"/>
        <v>#N/A</v>
      </c>
      <c r="T1826" s="6">
        <f t="shared" ca="1" si="336"/>
        <v>4</v>
      </c>
      <c r="U1826" s="1">
        <f t="shared" ca="1" si="347"/>
        <v>805</v>
      </c>
    </row>
    <row r="1827" spans="1:21" x14ac:dyDescent="0.2">
      <c r="A1827" s="7" cm="1">
        <f t="array" aca="1" ref="A1827" ca="1">INDEX(Companies!$A:$A,RANDBETWEEN(2,COUNTA(Companies!$A:$A)),1)</f>
        <v>2</v>
      </c>
      <c r="B1827" s="5">
        <f t="shared" si="337"/>
        <v>1826</v>
      </c>
      <c r="C1827" s="6">
        <f t="shared" ca="1" si="338"/>
        <v>1</v>
      </c>
      <c r="D1827" s="7">
        <f ca="1">IF($B1827 = 1 + N("Presidente"),
    127,
    IF($B1827 = 2 + N("Vice-Presidente"),
        72,
        IF($B1827 = 3 + N("Secretária bilíngue"),
            13,
            RANDBETWEEN(5,COUNT(Name!$A:$A) + 1)
        )
    )
)</f>
        <v>247</v>
      </c>
      <c r="E1827" s="7" t="str">
        <f ca="1" xml:space="preserve">
VLOOKUP(
  $D1827,
  Name!$A:$B,
  2,
  FALSE
)
&amp; " " &amp;
IF($B1827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Otávio de Oliveira Evangelista</v>
      </c>
      <c r="F1827" s="7">
        <v>2</v>
      </c>
      <c r="G1827" s="7" cm="1">
        <f t="array" aca="1" ref="G1827" ca="1">INDEX(States!$B:$B,RANDBETWEEN(2,COUNTA(States!$A:$A)),1)</f>
        <v>4</v>
      </c>
      <c r="H1827" s="7" t="str">
        <f ca="1">VLOOKUP($D1827,Name!$A:$C,3,FALSE)</f>
        <v>M</v>
      </c>
      <c r="I1827" s="7" cm="1">
        <f t="array" aca="1" ref="I1827" ca="1">INDEX('Marital status'!$A:$A,RANDBETWEEN(2,COUNTA('Marital status'!$A:$A)),1)</f>
        <v>3</v>
      </c>
      <c r="J1827" s="7">
        <f t="shared" ca="1" si="339"/>
        <v>3</v>
      </c>
      <c r="K1827" s="8">
        <f t="shared" ca="1" si="340"/>
        <v>33523</v>
      </c>
      <c r="L1827" s="6">
        <f t="shared" ca="1" si="341"/>
        <v>5</v>
      </c>
      <c r="M1827" s="7">
        <f ca="1" xml:space="preserve">
  IF(OR($N1827 = 2, $N1827 = 3, $N1827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827" s="6">
        <f t="shared" ca="1" si="342"/>
        <v>8</v>
      </c>
      <c r="O1827" s="6">
        <f t="shared" ca="1" si="343"/>
        <v>4</v>
      </c>
      <c r="P1827" s="8">
        <f t="shared" ca="1" si="344"/>
        <v>39400</v>
      </c>
      <c r="Q1827" s="6">
        <f ca="1">RANDBETWEEN(2,COUNTA('Recruitment source'!$A:$A))</f>
        <v>3</v>
      </c>
      <c r="R1827" s="8" t="e">
        <f t="shared" ca="1" si="345"/>
        <v>#N/A</v>
      </c>
      <c r="S1827" s="6" t="e">
        <f t="shared" ca="1" si="346"/>
        <v>#N/A</v>
      </c>
      <c r="T1827" s="6">
        <f t="shared" ca="1" si="336"/>
        <v>4</v>
      </c>
      <c r="U1827" s="1">
        <f t="shared" ca="1" si="347"/>
        <v>2080</v>
      </c>
    </row>
    <row r="1828" spans="1:21" x14ac:dyDescent="0.2">
      <c r="A1828" s="7" cm="1">
        <f t="array" aca="1" ref="A1828" ca="1">INDEX(Companies!$A:$A,RANDBETWEEN(2,COUNTA(Companies!$A:$A)),1)</f>
        <v>2</v>
      </c>
      <c r="B1828" s="5">
        <f t="shared" si="337"/>
        <v>1827</v>
      </c>
      <c r="C1828" s="6">
        <f t="shared" ca="1" si="338"/>
        <v>1</v>
      </c>
      <c r="D1828" s="7">
        <f ca="1">IF($B1828 = 1 + N("Presidente"),
    127,
    IF($B1828 = 2 + N("Vice-Presidente"),
        72,
        IF($B1828 = 3 + N("Secretária bilíngue"),
            13,
            RANDBETWEEN(5,COUNT(Name!$A:$A) + 1)
        )
    )
)</f>
        <v>199</v>
      </c>
      <c r="E1828" s="7" t="str">
        <f ca="1" xml:space="preserve">
VLOOKUP(
  $D1828,
  Name!$A:$B,
  2,
  FALSE
)
&amp; " " &amp;
IF($B1828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Francisco Braga Nascimento</v>
      </c>
      <c r="F1828" s="7">
        <v>2</v>
      </c>
      <c r="G1828" s="7" cm="1">
        <f t="array" aca="1" ref="G1828" ca="1">INDEX(States!$B:$B,RANDBETWEEN(2,COUNTA(States!$A:$A)),1)</f>
        <v>6</v>
      </c>
      <c r="H1828" s="7" t="str">
        <f ca="1">VLOOKUP($D1828,Name!$A:$C,3,FALSE)</f>
        <v>M</v>
      </c>
      <c r="I1828" s="7" cm="1">
        <f t="array" aca="1" ref="I1828" ca="1">INDEX('Marital status'!$A:$A,RANDBETWEEN(2,COUNTA('Marital status'!$A:$A)),1)</f>
        <v>4</v>
      </c>
      <c r="J1828" s="7">
        <f t="shared" ca="1" si="339"/>
        <v>2</v>
      </c>
      <c r="K1828" s="8">
        <f t="shared" ca="1" si="340"/>
        <v>33231</v>
      </c>
      <c r="L1828" s="6">
        <f t="shared" ca="1" si="341"/>
        <v>4</v>
      </c>
      <c r="M1828" s="7">
        <f ca="1" xml:space="preserve">
  IF(OR($N1828 = 2, $N1828 = 3, $N1828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828" s="6">
        <f t="shared" ca="1" si="342"/>
        <v>6</v>
      </c>
      <c r="O1828" s="6" t="e">
        <f t="shared" ca="1" si="343"/>
        <v>#N/A</v>
      </c>
      <c r="P1828" s="8">
        <f t="shared" ca="1" si="344"/>
        <v>41841</v>
      </c>
      <c r="Q1828" s="6">
        <f ca="1">RANDBETWEEN(2,COUNTA('Recruitment source'!$A:$A))</f>
        <v>7</v>
      </c>
      <c r="R1828" s="8" t="e">
        <f t="shared" ca="1" si="345"/>
        <v>#N/A</v>
      </c>
      <c r="S1828" s="6" t="e">
        <f t="shared" ca="1" si="346"/>
        <v>#N/A</v>
      </c>
      <c r="T1828" s="6">
        <f t="shared" ca="1" si="336"/>
        <v>5</v>
      </c>
      <c r="U1828" s="1">
        <f t="shared" ca="1" si="347"/>
        <v>805</v>
      </c>
    </row>
    <row r="1829" spans="1:21" x14ac:dyDescent="0.2">
      <c r="A1829" s="7" cm="1">
        <f t="array" aca="1" ref="A1829" ca="1">INDEX(Companies!$A:$A,RANDBETWEEN(2,COUNTA(Companies!$A:$A)),1)</f>
        <v>2</v>
      </c>
      <c r="B1829" s="5">
        <f t="shared" si="337"/>
        <v>1828</v>
      </c>
      <c r="C1829" s="6">
        <f t="shared" ca="1" si="338"/>
        <v>1</v>
      </c>
      <c r="D1829" s="7">
        <f ca="1">IF($B1829 = 1 + N("Presidente"),
    127,
    IF($B1829 = 2 + N("Vice-Presidente"),
        72,
        IF($B1829 = 3 + N("Secretária bilíngue"),
            13,
            RANDBETWEEN(5,COUNT(Name!$A:$A) + 1)
        )
    )
)</f>
        <v>226</v>
      </c>
      <c r="E1829" s="7" t="str">
        <f ca="1" xml:space="preserve">
VLOOKUP(
  $D1829,
  Name!$A:$B,
  2,
  FALSE
)
&amp; " " &amp;
IF($B1829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Levy Vaz Costatini</v>
      </c>
      <c r="F1829" s="7">
        <v>2</v>
      </c>
      <c r="G1829" s="7" cm="1">
        <f t="array" aca="1" ref="G1829" ca="1">INDEX(States!$B:$B,RANDBETWEEN(2,COUNTA(States!$A:$A)),1)</f>
        <v>12</v>
      </c>
      <c r="H1829" s="7" t="str">
        <f ca="1">VLOOKUP($D1829,Name!$A:$C,3,FALSE)</f>
        <v>M</v>
      </c>
      <c r="I1829" s="7" cm="1">
        <f t="array" aca="1" ref="I1829" ca="1">INDEX('Marital status'!$A:$A,RANDBETWEEN(2,COUNTA('Marital status'!$A:$A)),1)</f>
        <v>3</v>
      </c>
      <c r="J1829" s="7">
        <f t="shared" ca="1" si="339"/>
        <v>2</v>
      </c>
      <c r="K1829" s="8">
        <f t="shared" ca="1" si="340"/>
        <v>34123</v>
      </c>
      <c r="L1829" s="6">
        <f t="shared" ca="1" si="341"/>
        <v>5</v>
      </c>
      <c r="M1829" s="7">
        <f ca="1" xml:space="preserve">
  IF(OR($N1829 = 2, $N1829 = 3, $N1829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829" s="6">
        <f t="shared" ca="1" si="342"/>
        <v>8</v>
      </c>
      <c r="O1829" s="6">
        <f t="shared" ca="1" si="343"/>
        <v>4</v>
      </c>
      <c r="P1829" s="8">
        <f t="shared" ca="1" si="344"/>
        <v>38239</v>
      </c>
      <c r="Q1829" s="6">
        <f ca="1">RANDBETWEEN(2,COUNTA('Recruitment source'!$A:$A))</f>
        <v>7</v>
      </c>
      <c r="R1829" s="8" t="e">
        <f t="shared" ca="1" si="345"/>
        <v>#N/A</v>
      </c>
      <c r="S1829" s="6" t="e">
        <f t="shared" ca="1" si="346"/>
        <v>#N/A</v>
      </c>
      <c r="T1829" s="6">
        <f t="shared" ca="1" si="336"/>
        <v>3</v>
      </c>
      <c r="U1829" s="1">
        <f t="shared" ca="1" si="347"/>
        <v>2100</v>
      </c>
    </row>
    <row r="1830" spans="1:21" x14ac:dyDescent="0.2">
      <c r="A1830" s="7" cm="1">
        <f t="array" aca="1" ref="A1830" ca="1">INDEX(Companies!$A:$A,RANDBETWEEN(2,COUNTA(Companies!$A:$A)),1)</f>
        <v>2</v>
      </c>
      <c r="B1830" s="5">
        <f t="shared" si="337"/>
        <v>1829</v>
      </c>
      <c r="C1830" s="6">
        <f t="shared" ca="1" si="338"/>
        <v>1</v>
      </c>
      <c r="D1830" s="7">
        <f ca="1">IF($B1830 = 1 + N("Presidente"),
    127,
    IF($B1830 = 2 + N("Vice-Presidente"),
        72,
        IF($B1830 = 3 + N("Secretária bilíngue"),
            13,
            RANDBETWEEN(5,COUNT(Name!$A:$A) + 1)
        )
    )
)</f>
        <v>257</v>
      </c>
      <c r="E1830" s="7" t="str">
        <f ca="1" xml:space="preserve">
VLOOKUP(
  $D1830,
  Name!$A:$B,
  2,
  FALSE
)
&amp; " " &amp;
IF($B1830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Greco Cardozo</v>
      </c>
      <c r="F1830" s="7">
        <v>2</v>
      </c>
      <c r="G1830" s="7" cm="1">
        <f t="array" aca="1" ref="G1830" ca="1">INDEX(States!$B:$B,RANDBETWEEN(2,COUNTA(States!$A:$A)),1)</f>
        <v>5</v>
      </c>
      <c r="H1830" s="7" t="str">
        <f ca="1">VLOOKUP($D1830,Name!$A:$C,3,FALSE)</f>
        <v>F</v>
      </c>
      <c r="I1830" s="7" cm="1">
        <f t="array" aca="1" ref="I1830" ca="1">INDEX('Marital status'!$A:$A,RANDBETWEEN(2,COUNTA('Marital status'!$A:$A)),1)</f>
        <v>5</v>
      </c>
      <c r="J1830" s="7">
        <f t="shared" ca="1" si="339"/>
        <v>2</v>
      </c>
      <c r="K1830" s="8">
        <f t="shared" ca="1" si="340"/>
        <v>30486</v>
      </c>
      <c r="L1830" s="6">
        <f t="shared" ca="1" si="341"/>
        <v>4</v>
      </c>
      <c r="M1830" s="7">
        <f ca="1" xml:space="preserve">
  IF(OR($N1830 = 2, $N1830 = 3, $N1830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830" s="6">
        <f t="shared" ca="1" si="342"/>
        <v>7</v>
      </c>
      <c r="O1830" s="6" t="e">
        <f t="shared" ca="1" si="343"/>
        <v>#N/A</v>
      </c>
      <c r="P1830" s="8">
        <f t="shared" ca="1" si="344"/>
        <v>37896</v>
      </c>
      <c r="Q1830" s="6">
        <f ca="1">RANDBETWEEN(2,COUNTA('Recruitment source'!$A:$A))</f>
        <v>12</v>
      </c>
      <c r="R1830" s="8" t="e">
        <f t="shared" ca="1" si="345"/>
        <v>#N/A</v>
      </c>
      <c r="S1830" s="6" t="e">
        <f t="shared" ca="1" si="346"/>
        <v>#N/A</v>
      </c>
      <c r="T1830" s="6">
        <f t="shared" ca="1" si="336"/>
        <v>5</v>
      </c>
      <c r="U1830" s="1">
        <f t="shared" ca="1" si="347"/>
        <v>1005</v>
      </c>
    </row>
    <row r="1831" spans="1:21" x14ac:dyDescent="0.2">
      <c r="A1831" s="7" cm="1">
        <f t="array" aca="1" ref="A1831" ca="1">INDEX(Companies!$A:$A,RANDBETWEEN(2,COUNTA(Companies!$A:$A)),1)</f>
        <v>2</v>
      </c>
      <c r="B1831" s="5">
        <f t="shared" si="337"/>
        <v>1830</v>
      </c>
      <c r="C1831" s="6">
        <f t="shared" ca="1" si="338"/>
        <v>1</v>
      </c>
      <c r="D1831" s="7">
        <f ca="1">IF($B1831 = 1 + N("Presidente"),
    127,
    IF($B1831 = 2 + N("Vice-Presidente"),
        72,
        IF($B1831 = 3 + N("Secretária bilíngue"),
            13,
            RANDBETWEEN(5,COUNT(Name!$A:$A) + 1)
        )
    )
)</f>
        <v>354</v>
      </c>
      <c r="E1831" s="7" t="str">
        <f ca="1" xml:space="preserve">
VLOOKUP(
  $D1831,
  Name!$A:$B,
  2,
  FALSE
)
&amp; " " &amp;
IF($B1831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Victor Martins Braga</v>
      </c>
      <c r="F1831" s="7">
        <v>2</v>
      </c>
      <c r="G1831" s="7" cm="1">
        <f t="array" aca="1" ref="G1831" ca="1">INDEX(States!$B:$B,RANDBETWEEN(2,COUNTA(States!$A:$A)),1)</f>
        <v>5</v>
      </c>
      <c r="H1831" s="7" t="str">
        <f ca="1">VLOOKUP($D1831,Name!$A:$C,3,FALSE)</f>
        <v>M</v>
      </c>
      <c r="I1831" s="7" cm="1">
        <f t="array" aca="1" ref="I1831" ca="1">INDEX('Marital status'!$A:$A,RANDBETWEEN(2,COUNTA('Marital status'!$A:$A)),1)</f>
        <v>2</v>
      </c>
      <c r="J1831" s="7">
        <f t="shared" ca="1" si="339"/>
        <v>2</v>
      </c>
      <c r="K1831" s="8">
        <f t="shared" ca="1" si="340"/>
        <v>35741</v>
      </c>
      <c r="L1831" s="6">
        <f t="shared" ca="1" si="341"/>
        <v>5</v>
      </c>
      <c r="M1831" s="7">
        <f ca="1" xml:space="preserve">
  IF(OR($N1831 = 2, $N1831 = 3, $N1831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831" s="6">
        <f t="shared" ca="1" si="342"/>
        <v>8</v>
      </c>
      <c r="O1831" s="6">
        <f t="shared" ca="1" si="343"/>
        <v>3</v>
      </c>
      <c r="P1831" s="8">
        <f t="shared" ca="1" si="344"/>
        <v>41034</v>
      </c>
      <c r="Q1831" s="6">
        <f ca="1">RANDBETWEEN(2,COUNTA('Recruitment source'!$A:$A))</f>
        <v>11</v>
      </c>
      <c r="R1831" s="8" t="e">
        <f t="shared" ca="1" si="345"/>
        <v>#N/A</v>
      </c>
      <c r="S1831" s="6" t="e">
        <f t="shared" ca="1" si="346"/>
        <v>#N/A</v>
      </c>
      <c r="T1831" s="6">
        <f t="shared" ca="1" si="336"/>
        <v>4</v>
      </c>
      <c r="U1831" s="1">
        <f t="shared" ca="1" si="347"/>
        <v>2000</v>
      </c>
    </row>
    <row r="1832" spans="1:21" x14ac:dyDescent="0.2">
      <c r="A1832" s="7" cm="1">
        <f t="array" aca="1" ref="A1832" ca="1">INDEX(Companies!$A:$A,RANDBETWEEN(2,COUNTA(Companies!$A:$A)),1)</f>
        <v>2</v>
      </c>
      <c r="B1832" s="5">
        <f t="shared" si="337"/>
        <v>1831</v>
      </c>
      <c r="C1832" s="6">
        <f t="shared" ca="1" si="338"/>
        <v>1</v>
      </c>
      <c r="D1832" s="7">
        <f ca="1">IF($B1832 = 1 + N("Presidente"),
    127,
    IF($B1832 = 2 + N("Vice-Presidente"),
        72,
        IF($B1832 = 3 + N("Secretária bilíngue"),
            13,
            RANDBETWEEN(5,COUNT(Name!$A:$A) + 1)
        )
    )
)</f>
        <v>180</v>
      </c>
      <c r="E1832" s="7" t="str">
        <f ca="1" xml:space="preserve">
VLOOKUP(
  $D1832,
  Name!$A:$B,
  2,
  FALSE
)
&amp; " " &amp;
IF($B1832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Isis Melo Madureira</v>
      </c>
      <c r="F1832" s="7">
        <v>2</v>
      </c>
      <c r="G1832" s="7" cm="1">
        <f t="array" aca="1" ref="G1832" ca="1">INDEX(States!$B:$B,RANDBETWEEN(2,COUNTA(States!$A:$A)),1)</f>
        <v>4</v>
      </c>
      <c r="H1832" s="7" t="str">
        <f ca="1">VLOOKUP($D1832,Name!$A:$C,3,FALSE)</f>
        <v>F</v>
      </c>
      <c r="I1832" s="7" cm="1">
        <f t="array" aca="1" ref="I1832" ca="1">INDEX('Marital status'!$A:$A,RANDBETWEEN(2,COUNTA('Marital status'!$A:$A)),1)</f>
        <v>4</v>
      </c>
      <c r="J1832" s="7">
        <f t="shared" ca="1" si="339"/>
        <v>2</v>
      </c>
      <c r="K1832" s="8">
        <f t="shared" ca="1" si="340"/>
        <v>18170</v>
      </c>
      <c r="L1832" s="6">
        <f t="shared" ca="1" si="341"/>
        <v>4</v>
      </c>
      <c r="M1832" s="7">
        <f ca="1" xml:space="preserve">
  IF(OR($N1832 = 2, $N1832 = 3, $N1832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832" s="6">
        <f t="shared" ca="1" si="342"/>
        <v>6</v>
      </c>
      <c r="O1832" s="6" t="e">
        <f t="shared" ca="1" si="343"/>
        <v>#N/A</v>
      </c>
      <c r="P1832" s="8">
        <f t="shared" ca="1" si="344"/>
        <v>38322</v>
      </c>
      <c r="Q1832" s="6">
        <f ca="1">RANDBETWEEN(2,COUNTA('Recruitment source'!$A:$A))</f>
        <v>8</v>
      </c>
      <c r="R1832" s="8" t="e">
        <f t="shared" ca="1" si="345"/>
        <v>#N/A</v>
      </c>
      <c r="S1832" s="6" t="e">
        <f t="shared" ca="1" si="346"/>
        <v>#N/A</v>
      </c>
      <c r="T1832" s="6">
        <f t="shared" ca="1" si="336"/>
        <v>4</v>
      </c>
      <c r="U1832" s="1">
        <f t="shared" ca="1" si="347"/>
        <v>885</v>
      </c>
    </row>
    <row r="1833" spans="1:21" x14ac:dyDescent="0.2">
      <c r="A1833" s="7" cm="1">
        <f t="array" aca="1" ref="A1833" ca="1">INDEX(Companies!$A:$A,RANDBETWEEN(2,COUNTA(Companies!$A:$A)),1)</f>
        <v>2</v>
      </c>
      <c r="B1833" s="5">
        <f t="shared" si="337"/>
        <v>1832</v>
      </c>
      <c r="C1833" s="6">
        <f t="shared" ca="1" si="338"/>
        <v>1</v>
      </c>
      <c r="D1833" s="7">
        <f ca="1">IF($B1833 = 1 + N("Presidente"),
    127,
    IF($B1833 = 2 + N("Vice-Presidente"),
        72,
        IF($B1833 = 3 + N("Secretária bilíngue"),
            13,
            RANDBETWEEN(5,COUNT(Name!$A:$A) + 1)
        )
    )
)</f>
        <v>157</v>
      </c>
      <c r="E1833" s="7" t="str">
        <f ca="1" xml:space="preserve">
VLOOKUP(
  $D1833,
  Name!$A:$B,
  2,
  FALSE
)
&amp; " " &amp;
IF($B1833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Guilherme Dantas Padrão</v>
      </c>
      <c r="F1833" s="7">
        <v>2</v>
      </c>
      <c r="G1833" s="7" cm="1">
        <f t="array" aca="1" ref="G1833" ca="1">INDEX(States!$B:$B,RANDBETWEEN(2,COUNTA(States!$A:$A)),1)</f>
        <v>2</v>
      </c>
      <c r="H1833" s="7" t="str">
        <f ca="1">VLOOKUP($D1833,Name!$A:$C,3,FALSE)</f>
        <v>M</v>
      </c>
      <c r="I1833" s="7" cm="1">
        <f t="array" aca="1" ref="I1833" ca="1">INDEX('Marital status'!$A:$A,RANDBETWEEN(2,COUNTA('Marital status'!$A:$A)),1)</f>
        <v>5</v>
      </c>
      <c r="J1833" s="7">
        <f t="shared" ca="1" si="339"/>
        <v>2</v>
      </c>
      <c r="K1833" s="8">
        <f t="shared" ca="1" si="340"/>
        <v>37616</v>
      </c>
      <c r="L1833" s="6">
        <f t="shared" ca="1" si="341"/>
        <v>5</v>
      </c>
      <c r="M1833" s="7">
        <f ca="1" xml:space="preserve">
  IF(OR($N1833 = 2, $N1833 = 3, $N1833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833" s="6">
        <f t="shared" ca="1" si="342"/>
        <v>8</v>
      </c>
      <c r="O1833" s="6">
        <f t="shared" ca="1" si="343"/>
        <v>3</v>
      </c>
      <c r="P1833" s="8">
        <f t="shared" ca="1" si="344"/>
        <v>42223</v>
      </c>
      <c r="Q1833" s="6">
        <f ca="1">RANDBETWEEN(2,COUNTA('Recruitment source'!$A:$A))</f>
        <v>9</v>
      </c>
      <c r="R1833" s="8" t="e">
        <f t="shared" ca="1" si="345"/>
        <v>#N/A</v>
      </c>
      <c r="S1833" s="6" t="e">
        <f t="shared" ca="1" si="346"/>
        <v>#N/A</v>
      </c>
      <c r="T1833" s="6">
        <f t="shared" ca="1" si="336"/>
        <v>4</v>
      </c>
      <c r="U1833" s="1">
        <f t="shared" ca="1" si="347"/>
        <v>2100</v>
      </c>
    </row>
    <row r="1834" spans="1:21" x14ac:dyDescent="0.2">
      <c r="A1834" s="7" cm="1">
        <f t="array" aca="1" ref="A1834" ca="1">INDEX(Companies!$A:$A,RANDBETWEEN(2,COUNTA(Companies!$A:$A)),1)</f>
        <v>2</v>
      </c>
      <c r="B1834" s="5">
        <f t="shared" si="337"/>
        <v>1833</v>
      </c>
      <c r="C1834" s="6">
        <f t="shared" ca="1" si="338"/>
        <v>1</v>
      </c>
      <c r="D1834" s="7">
        <f ca="1">IF($B1834 = 1 + N("Presidente"),
    127,
    IF($B1834 = 2 + N("Vice-Presidente"),
        72,
        IF($B1834 = 3 + N("Secretária bilíngue"),
            13,
            RANDBETWEEN(5,COUNT(Name!$A:$A) + 1)
        )
    )
)</f>
        <v>11</v>
      </c>
      <c r="E1834" s="7" t="str">
        <f ca="1" xml:space="preserve">
VLOOKUP(
  $D1834,
  Name!$A:$B,
  2,
  FALSE
)
&amp; " " &amp;
IF($B1834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Agatha Badu Bispo</v>
      </c>
      <c r="F1834" s="7">
        <v>2</v>
      </c>
      <c r="G1834" s="7" cm="1">
        <f t="array" aca="1" ref="G1834" ca="1">INDEX(States!$B:$B,RANDBETWEEN(2,COUNTA(States!$A:$A)),1)</f>
        <v>7</v>
      </c>
      <c r="H1834" s="7" t="str">
        <f ca="1">VLOOKUP($D1834,Name!$A:$C,3,FALSE)</f>
        <v>F</v>
      </c>
      <c r="I1834" s="7" cm="1">
        <f t="array" aca="1" ref="I1834" ca="1">INDEX('Marital status'!$A:$A,RANDBETWEEN(2,COUNTA('Marital status'!$A:$A)),1)</f>
        <v>4</v>
      </c>
      <c r="J1834" s="7">
        <f t="shared" ca="1" si="339"/>
        <v>3</v>
      </c>
      <c r="K1834" s="8">
        <f t="shared" ca="1" si="340"/>
        <v>22157</v>
      </c>
      <c r="L1834" s="6">
        <f t="shared" ca="1" si="341"/>
        <v>4</v>
      </c>
      <c r="M1834" s="7">
        <f ca="1" xml:space="preserve">
  IF(OR($N1834 = 2, $N1834 = 3, $N1834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834" s="6">
        <f t="shared" ca="1" si="342"/>
        <v>6</v>
      </c>
      <c r="O1834" s="6" t="e">
        <f t="shared" ca="1" si="343"/>
        <v>#N/A</v>
      </c>
      <c r="P1834" s="8">
        <f t="shared" ca="1" si="344"/>
        <v>43302</v>
      </c>
      <c r="Q1834" s="6">
        <f ca="1">RANDBETWEEN(2,COUNTA('Recruitment source'!$A:$A))</f>
        <v>6</v>
      </c>
      <c r="R1834" s="8" t="e">
        <f t="shared" ca="1" si="345"/>
        <v>#N/A</v>
      </c>
      <c r="S1834" s="6" t="e">
        <f t="shared" ca="1" si="346"/>
        <v>#N/A</v>
      </c>
      <c r="T1834" s="6">
        <f t="shared" ca="1" si="336"/>
        <v>2</v>
      </c>
      <c r="U1834" s="1">
        <f t="shared" ca="1" si="347"/>
        <v>805</v>
      </c>
    </row>
    <row r="1835" spans="1:21" x14ac:dyDescent="0.2">
      <c r="A1835" s="7" cm="1">
        <f t="array" aca="1" ref="A1835" ca="1">INDEX(Companies!$A:$A,RANDBETWEEN(2,COUNTA(Companies!$A:$A)),1)</f>
        <v>2</v>
      </c>
      <c r="B1835" s="5">
        <f t="shared" si="337"/>
        <v>1834</v>
      </c>
      <c r="C1835" s="6">
        <f t="shared" ca="1" si="338"/>
        <v>1</v>
      </c>
      <c r="D1835" s="7">
        <f ca="1">IF($B1835 = 1 + N("Presidente"),
    127,
    IF($B1835 = 2 + N("Vice-Presidente"),
        72,
        IF($B1835 = 3 + N("Secretária bilíngue"),
            13,
            RANDBETWEEN(5,COUNT(Name!$A:$A) + 1)
        )
    )
)</f>
        <v>348</v>
      </c>
      <c r="E1835" s="7" t="str">
        <f ca="1" xml:space="preserve">
VLOOKUP(
  $D1835,
  Name!$A:$B,
  2,
  FALSE
)
&amp; " " &amp;
IF($B1835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Vagner Auth Greco</v>
      </c>
      <c r="F1835" s="7">
        <v>2</v>
      </c>
      <c r="G1835" s="7" cm="1">
        <f t="array" aca="1" ref="G1835" ca="1">INDEX(States!$B:$B,RANDBETWEEN(2,COUNTA(States!$A:$A)),1)</f>
        <v>3</v>
      </c>
      <c r="H1835" s="7" t="str">
        <f ca="1">VLOOKUP($D1835,Name!$A:$C,3,FALSE)</f>
        <v>M</v>
      </c>
      <c r="I1835" s="7" cm="1">
        <f t="array" aca="1" ref="I1835" ca="1">INDEX('Marital status'!$A:$A,RANDBETWEEN(2,COUNTA('Marital status'!$A:$A)),1)</f>
        <v>4</v>
      </c>
      <c r="J1835" s="7">
        <f t="shared" ca="1" si="339"/>
        <v>2</v>
      </c>
      <c r="K1835" s="8">
        <f t="shared" ca="1" si="340"/>
        <v>38032</v>
      </c>
      <c r="L1835" s="6">
        <f t="shared" ca="1" si="341"/>
        <v>5</v>
      </c>
      <c r="M1835" s="7">
        <f ca="1" xml:space="preserve">
  IF(OR($N1835 = 2, $N1835 = 3, $N1835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835" s="6">
        <f t="shared" ca="1" si="342"/>
        <v>8</v>
      </c>
      <c r="O1835" s="6">
        <f t="shared" ca="1" si="343"/>
        <v>2</v>
      </c>
      <c r="P1835" s="8">
        <f t="shared" ca="1" si="344"/>
        <v>44838</v>
      </c>
      <c r="Q1835" s="6">
        <f ca="1">RANDBETWEEN(2,COUNTA('Recruitment source'!$A:$A))</f>
        <v>6</v>
      </c>
      <c r="R1835" s="8" t="e">
        <f t="shared" ca="1" si="345"/>
        <v>#N/A</v>
      </c>
      <c r="S1835" s="6" t="e">
        <f t="shared" ca="1" si="346"/>
        <v>#N/A</v>
      </c>
      <c r="T1835" s="6">
        <f t="shared" ca="1" si="336"/>
        <v>5</v>
      </c>
      <c r="U1835" s="1">
        <f t="shared" ca="1" si="347"/>
        <v>2080</v>
      </c>
    </row>
    <row r="1836" spans="1:21" x14ac:dyDescent="0.2">
      <c r="A1836" s="7" cm="1">
        <f t="array" aca="1" ref="A1836" ca="1">INDEX(Companies!$A:$A,RANDBETWEEN(2,COUNTA(Companies!$A:$A)),1)</f>
        <v>2</v>
      </c>
      <c r="B1836" s="5">
        <f t="shared" si="337"/>
        <v>1835</v>
      </c>
      <c r="C1836" s="6">
        <f t="shared" ca="1" si="338"/>
        <v>1</v>
      </c>
      <c r="D1836" s="7">
        <f ca="1">IF($B1836 = 1 + N("Presidente"),
    127,
    IF($B1836 = 2 + N("Vice-Presidente"),
        72,
        IF($B1836 = 3 + N("Secretária bilíngue"),
            13,
            RANDBETWEEN(5,COUNT(Name!$A:$A) + 1)
        )
    )
)</f>
        <v>200</v>
      </c>
      <c r="E1836" s="7" t="str">
        <f ca="1" xml:space="preserve">
VLOOKUP(
  $D1836,
  Name!$A:$B,
  2,
  FALSE
)
&amp; " " &amp;
IF($B1836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Heleno Pimentel Carvalho</v>
      </c>
      <c r="F1836" s="7">
        <v>2</v>
      </c>
      <c r="G1836" s="7" cm="1">
        <f t="array" aca="1" ref="G1836" ca="1">INDEX(States!$B:$B,RANDBETWEEN(2,COUNTA(States!$A:$A)),1)</f>
        <v>12</v>
      </c>
      <c r="H1836" s="7" t="str">
        <f ca="1">VLOOKUP($D1836,Name!$A:$C,3,FALSE)</f>
        <v>M</v>
      </c>
      <c r="I1836" s="7" cm="1">
        <f t="array" aca="1" ref="I1836" ca="1">INDEX('Marital status'!$A:$A,RANDBETWEEN(2,COUNTA('Marital status'!$A:$A)),1)</f>
        <v>3</v>
      </c>
      <c r="J1836" s="7">
        <f t="shared" ca="1" si="339"/>
        <v>2</v>
      </c>
      <c r="K1836" s="8">
        <f t="shared" ca="1" si="340"/>
        <v>29291</v>
      </c>
      <c r="L1836" s="6">
        <f t="shared" ca="1" si="341"/>
        <v>4</v>
      </c>
      <c r="M1836" s="7">
        <f ca="1" xml:space="preserve">
  IF(OR($N1836 = 2, $N1836 = 3, $N1836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836" s="6">
        <f t="shared" ca="1" si="342"/>
        <v>6</v>
      </c>
      <c r="O1836" s="6" t="e">
        <f t="shared" ca="1" si="343"/>
        <v>#N/A</v>
      </c>
      <c r="P1836" s="8">
        <f t="shared" ca="1" si="344"/>
        <v>40081</v>
      </c>
      <c r="Q1836" s="6">
        <f ca="1">RANDBETWEEN(2,COUNTA('Recruitment source'!$A:$A))</f>
        <v>12</v>
      </c>
      <c r="R1836" s="8" t="e">
        <f t="shared" ca="1" si="345"/>
        <v>#N/A</v>
      </c>
      <c r="S1836" s="6" t="e">
        <f t="shared" ca="1" si="346"/>
        <v>#N/A</v>
      </c>
      <c r="T1836" s="6">
        <f t="shared" ca="1" si="336"/>
        <v>3</v>
      </c>
      <c r="U1836" s="1">
        <f t="shared" ca="1" si="347"/>
        <v>805</v>
      </c>
    </row>
    <row r="1837" spans="1:21" x14ac:dyDescent="0.2">
      <c r="A1837" s="7" cm="1">
        <f t="array" aca="1" ref="A1837" ca="1">INDEX(Companies!$A:$A,RANDBETWEEN(2,COUNTA(Companies!$A:$A)),1)</f>
        <v>2</v>
      </c>
      <c r="B1837" s="5">
        <f t="shared" si="337"/>
        <v>1836</v>
      </c>
      <c r="C1837" s="6">
        <f t="shared" ca="1" si="338"/>
        <v>1</v>
      </c>
      <c r="D1837" s="7">
        <f ca="1">IF($B1837 = 1 + N("Presidente"),
    127,
    IF($B1837 = 2 + N("Vice-Presidente"),
        72,
        IF($B1837 = 3 + N("Secretária bilíngue"),
            13,
            RANDBETWEEN(5,COUNT(Name!$A:$A) + 1)
        )
    )
)</f>
        <v>151</v>
      </c>
      <c r="E1837" s="7" t="str">
        <f ca="1" xml:space="preserve">
VLOOKUP(
  $D1837,
  Name!$A:$B,
  2,
  FALSE
)
&amp; " " &amp;
IF($B1837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Gabrielly Brasão Sacramento</v>
      </c>
      <c r="F1837" s="7">
        <v>2</v>
      </c>
      <c r="G1837" s="7" cm="1">
        <f t="array" aca="1" ref="G1837" ca="1">INDEX(States!$B:$B,RANDBETWEEN(2,COUNTA(States!$A:$A)),1)</f>
        <v>21</v>
      </c>
      <c r="H1837" s="7" t="str">
        <f ca="1">VLOOKUP($D1837,Name!$A:$C,3,FALSE)</f>
        <v>F</v>
      </c>
      <c r="I1837" s="7" cm="1">
        <f t="array" aca="1" ref="I1837" ca="1">INDEX('Marital status'!$A:$A,RANDBETWEEN(2,COUNTA('Marital status'!$A:$A)),1)</f>
        <v>2</v>
      </c>
      <c r="J1837" s="7">
        <f t="shared" ca="1" si="339"/>
        <v>4</v>
      </c>
      <c r="K1837" s="8">
        <f t="shared" ca="1" si="340"/>
        <v>32880</v>
      </c>
      <c r="L1837" s="6">
        <f t="shared" ca="1" si="341"/>
        <v>4</v>
      </c>
      <c r="M1837" s="7">
        <f ca="1" xml:space="preserve">
  IF(OR($N1837 = 2, $N1837 = 3, $N1837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837" s="6">
        <f t="shared" ca="1" si="342"/>
        <v>8</v>
      </c>
      <c r="O1837" s="6">
        <f t="shared" ca="1" si="343"/>
        <v>3</v>
      </c>
      <c r="P1837" s="8">
        <f t="shared" ca="1" si="344"/>
        <v>44433</v>
      </c>
      <c r="Q1837" s="6">
        <f ca="1">RANDBETWEEN(2,COUNTA('Recruitment source'!$A:$A))</f>
        <v>9</v>
      </c>
      <c r="R1837" s="8" t="e">
        <f t="shared" ca="1" si="345"/>
        <v>#N/A</v>
      </c>
      <c r="S1837" s="6" t="e">
        <f t="shared" ca="1" si="346"/>
        <v>#N/A</v>
      </c>
      <c r="T1837" s="6">
        <f t="shared" ca="1" si="336"/>
        <v>2</v>
      </c>
      <c r="U1837" s="1">
        <f t="shared" ca="1" si="347"/>
        <v>2000</v>
      </c>
    </row>
    <row r="1838" spans="1:21" x14ac:dyDescent="0.2">
      <c r="A1838" s="7" cm="1">
        <f t="array" aca="1" ref="A1838" ca="1">INDEX(Companies!$A:$A,RANDBETWEEN(2,COUNTA(Companies!$A:$A)),1)</f>
        <v>2</v>
      </c>
      <c r="B1838" s="5">
        <f t="shared" si="337"/>
        <v>1837</v>
      </c>
      <c r="C1838" s="6">
        <f t="shared" ca="1" si="338"/>
        <v>1</v>
      </c>
      <c r="D1838" s="7">
        <f ca="1">IF($B1838 = 1 + N("Presidente"),
    127,
    IF($B1838 = 2 + N("Vice-Presidente"),
        72,
        IF($B1838 = 3 + N("Secretária bilíngue"),
            13,
            RANDBETWEEN(5,COUNT(Name!$A:$A) + 1)
        )
    )
)</f>
        <v>29</v>
      </c>
      <c r="E1838" s="7" t="str">
        <f ca="1" xml:space="preserve">
VLOOKUP(
  $D1838,
  Name!$A:$B,
  2,
  FALSE
)
&amp; " " &amp;
IF($B1838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Cecília Poeta Pinheiro</v>
      </c>
      <c r="F1838" s="7">
        <v>2</v>
      </c>
      <c r="G1838" s="7" cm="1">
        <f t="array" aca="1" ref="G1838" ca="1">INDEX(States!$B:$B,RANDBETWEEN(2,COUNTA(States!$A:$A)),1)</f>
        <v>12</v>
      </c>
      <c r="H1838" s="7" t="str">
        <f ca="1">VLOOKUP($D1838,Name!$A:$C,3,FALSE)</f>
        <v>F</v>
      </c>
      <c r="I1838" s="7" cm="1">
        <f t="array" aca="1" ref="I1838" ca="1">INDEX('Marital status'!$A:$A,RANDBETWEEN(2,COUNTA('Marital status'!$A:$A)),1)</f>
        <v>6</v>
      </c>
      <c r="J1838" s="7">
        <f t="shared" ca="1" si="339"/>
        <v>2</v>
      </c>
      <c r="K1838" s="8">
        <f t="shared" ca="1" si="340"/>
        <v>34405</v>
      </c>
      <c r="L1838" s="6">
        <f t="shared" ca="1" si="341"/>
        <v>4</v>
      </c>
      <c r="M1838" s="7">
        <f ca="1" xml:space="preserve">
  IF(OR($N1838 = 2, $N1838 = 3, $N1838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838" s="6">
        <f t="shared" ca="1" si="342"/>
        <v>7</v>
      </c>
      <c r="O1838" s="6" t="e">
        <f t="shared" ca="1" si="343"/>
        <v>#N/A</v>
      </c>
      <c r="P1838" s="8">
        <f t="shared" ca="1" si="344"/>
        <v>37694</v>
      </c>
      <c r="Q1838" s="6">
        <f ca="1">RANDBETWEEN(2,COUNTA('Recruitment source'!$A:$A))</f>
        <v>6</v>
      </c>
      <c r="R1838" s="8" t="e">
        <f t="shared" ca="1" si="345"/>
        <v>#N/A</v>
      </c>
      <c r="S1838" s="6" t="e">
        <f t="shared" ca="1" si="346"/>
        <v>#N/A</v>
      </c>
      <c r="T1838" s="6">
        <f t="shared" ca="1" si="336"/>
        <v>5</v>
      </c>
      <c r="U1838" s="1">
        <f t="shared" ca="1" si="347"/>
        <v>1085</v>
      </c>
    </row>
    <row r="1839" spans="1:21" x14ac:dyDescent="0.2">
      <c r="A1839" s="7" cm="1">
        <f t="array" aca="1" ref="A1839" ca="1">INDEX(Companies!$A:$A,RANDBETWEEN(2,COUNTA(Companies!$A:$A)),1)</f>
        <v>2</v>
      </c>
      <c r="B1839" s="5">
        <f t="shared" si="337"/>
        <v>1838</v>
      </c>
      <c r="C1839" s="6">
        <f t="shared" ca="1" si="338"/>
        <v>1</v>
      </c>
      <c r="D1839" s="7">
        <f ca="1">IF($B1839 = 1 + N("Presidente"),
    127,
    IF($B1839 = 2 + N("Vice-Presidente"),
        72,
        IF($B1839 = 3 + N("Secretária bilíngue"),
            13,
            RANDBETWEEN(5,COUNT(Name!$A:$A) + 1)
        )
    )
)</f>
        <v>325</v>
      </c>
      <c r="E1839" s="7" t="str">
        <f ca="1" xml:space="preserve">
VLOOKUP(
  $D1839,
  Name!$A:$B,
  2,
  FALSE
)
&amp; " " &amp;
IF($B1839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Rafaela Barreto Holanda</v>
      </c>
      <c r="F1839" s="7">
        <v>2</v>
      </c>
      <c r="G1839" s="7" cm="1">
        <f t="array" aca="1" ref="G1839" ca="1">INDEX(States!$B:$B,RANDBETWEEN(2,COUNTA(States!$A:$A)),1)</f>
        <v>3</v>
      </c>
      <c r="H1839" s="7" t="str">
        <f ca="1">VLOOKUP($D1839,Name!$A:$C,3,FALSE)</f>
        <v>F</v>
      </c>
      <c r="I1839" s="7" cm="1">
        <f t="array" aca="1" ref="I1839" ca="1">INDEX('Marital status'!$A:$A,RANDBETWEEN(2,COUNTA('Marital status'!$A:$A)),1)</f>
        <v>6</v>
      </c>
      <c r="J1839" s="7">
        <f t="shared" ca="1" si="339"/>
        <v>2</v>
      </c>
      <c r="K1839" s="8">
        <f t="shared" ca="1" si="340"/>
        <v>34807</v>
      </c>
      <c r="L1839" s="6">
        <f t="shared" ca="1" si="341"/>
        <v>4</v>
      </c>
      <c r="M1839" s="7">
        <f ca="1" xml:space="preserve">
  IF(OR($N1839 = 2, $N1839 = 3, $N1839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839" s="6">
        <f t="shared" ca="1" si="342"/>
        <v>8</v>
      </c>
      <c r="O1839" s="6">
        <f t="shared" ca="1" si="343"/>
        <v>4</v>
      </c>
      <c r="P1839" s="8">
        <f t="shared" ca="1" si="344"/>
        <v>42825</v>
      </c>
      <c r="Q1839" s="6">
        <f ca="1">RANDBETWEEN(2,COUNTA('Recruitment source'!$A:$A))</f>
        <v>9</v>
      </c>
      <c r="R1839" s="8" t="e">
        <f t="shared" ca="1" si="345"/>
        <v>#N/A</v>
      </c>
      <c r="S1839" s="6" t="e">
        <f t="shared" ca="1" si="346"/>
        <v>#N/A</v>
      </c>
      <c r="T1839" s="6">
        <f t="shared" ca="1" si="336"/>
        <v>4</v>
      </c>
      <c r="U1839" s="1">
        <f t="shared" ca="1" si="347"/>
        <v>2000</v>
      </c>
    </row>
    <row r="1840" spans="1:21" x14ac:dyDescent="0.2">
      <c r="A1840" s="7" cm="1">
        <f t="array" aca="1" ref="A1840" ca="1">INDEX(Companies!$A:$A,RANDBETWEEN(2,COUNTA(Companies!$A:$A)),1)</f>
        <v>2</v>
      </c>
      <c r="B1840" s="5">
        <f t="shared" si="337"/>
        <v>1839</v>
      </c>
      <c r="C1840" s="6">
        <f t="shared" ca="1" si="338"/>
        <v>1</v>
      </c>
      <c r="D1840" s="7">
        <f ca="1">IF($B1840 = 1 + N("Presidente"),
    127,
    IF($B1840 = 2 + N("Vice-Presidente"),
        72,
        IF($B1840 = 3 + N("Secretária bilíngue"),
            13,
            RANDBETWEEN(5,COUNT(Name!$A:$A) + 1)
        )
    )
)</f>
        <v>112</v>
      </c>
      <c r="E1840" s="7" t="str">
        <f ca="1" xml:space="preserve">
VLOOKUP(
  $D1840,
  Name!$A:$B,
  2,
  FALSE
)
&amp; " " &amp;
IF($B1840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Deborah Costa Bandeira</v>
      </c>
      <c r="F1840" s="7">
        <v>2</v>
      </c>
      <c r="G1840" s="7" cm="1">
        <f t="array" aca="1" ref="G1840" ca="1">INDEX(States!$B:$B,RANDBETWEEN(2,COUNTA(States!$A:$A)),1)</f>
        <v>19</v>
      </c>
      <c r="H1840" s="7" t="str">
        <f ca="1">VLOOKUP($D1840,Name!$A:$C,3,FALSE)</f>
        <v>F</v>
      </c>
      <c r="I1840" s="7" cm="1">
        <f t="array" aca="1" ref="I1840" ca="1">INDEX('Marital status'!$A:$A,RANDBETWEEN(2,COUNTA('Marital status'!$A:$A)),1)</f>
        <v>5</v>
      </c>
      <c r="J1840" s="7">
        <f t="shared" ca="1" si="339"/>
        <v>2</v>
      </c>
      <c r="K1840" s="8">
        <f t="shared" ca="1" si="340"/>
        <v>30290</v>
      </c>
      <c r="L1840" s="6">
        <f t="shared" ca="1" si="341"/>
        <v>4</v>
      </c>
      <c r="M1840" s="7">
        <f ca="1" xml:space="preserve">
  IF(OR($N1840 = 2, $N1840 = 3, $N1840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840" s="6">
        <f t="shared" ca="1" si="342"/>
        <v>6</v>
      </c>
      <c r="O1840" s="6" t="e">
        <f t="shared" ca="1" si="343"/>
        <v>#N/A</v>
      </c>
      <c r="P1840" s="8">
        <f t="shared" ca="1" si="344"/>
        <v>38972</v>
      </c>
      <c r="Q1840" s="6">
        <f ca="1">RANDBETWEEN(2,COUNTA('Recruitment source'!$A:$A))</f>
        <v>12</v>
      </c>
      <c r="R1840" s="8" t="e">
        <f t="shared" ca="1" si="345"/>
        <v>#N/A</v>
      </c>
      <c r="S1840" s="6" t="e">
        <f t="shared" ca="1" si="346"/>
        <v>#N/A</v>
      </c>
      <c r="T1840" s="6">
        <f t="shared" ca="1" si="336"/>
        <v>4</v>
      </c>
      <c r="U1840" s="1">
        <f t="shared" ca="1" si="347"/>
        <v>805</v>
      </c>
    </row>
    <row r="1841" spans="1:21" x14ac:dyDescent="0.2">
      <c r="A1841" s="7" cm="1">
        <f t="array" aca="1" ref="A1841" ca="1">INDEX(Companies!$A:$A,RANDBETWEEN(2,COUNTA(Companies!$A:$A)),1)</f>
        <v>2</v>
      </c>
      <c r="B1841" s="5">
        <f t="shared" si="337"/>
        <v>1840</v>
      </c>
      <c r="C1841" s="6">
        <f t="shared" ca="1" si="338"/>
        <v>1</v>
      </c>
      <c r="D1841" s="7">
        <f ca="1">IF($B1841 = 1 + N("Presidente"),
    127,
    IF($B1841 = 2 + N("Vice-Presidente"),
        72,
        IF($B1841 = 3 + N("Secretária bilíngue"),
            13,
            RANDBETWEEN(5,COUNT(Name!$A:$A) + 1)
        )
    )
)</f>
        <v>70</v>
      </c>
      <c r="E1841" s="7" t="str">
        <f ca="1" xml:space="preserve">
VLOOKUP(
  $D1841,
  Name!$A:$B,
  2,
  FALSE
)
&amp; " " &amp;
IF($B1841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Bento Brasil Faria</v>
      </c>
      <c r="F1841" s="7">
        <v>2</v>
      </c>
      <c r="G1841" s="7" cm="1">
        <f t="array" aca="1" ref="G1841" ca="1">INDEX(States!$B:$B,RANDBETWEEN(2,COUNTA(States!$A:$A)),1)</f>
        <v>8</v>
      </c>
      <c r="H1841" s="7" t="str">
        <f ca="1">VLOOKUP($D1841,Name!$A:$C,3,FALSE)</f>
        <v>M</v>
      </c>
      <c r="I1841" s="7" cm="1">
        <f t="array" aca="1" ref="I1841" ca="1">INDEX('Marital status'!$A:$A,RANDBETWEEN(2,COUNTA('Marital status'!$A:$A)),1)</f>
        <v>6</v>
      </c>
      <c r="J1841" s="7">
        <f t="shared" ca="1" si="339"/>
        <v>3</v>
      </c>
      <c r="K1841" s="8">
        <f t="shared" ca="1" si="340"/>
        <v>33745</v>
      </c>
      <c r="L1841" s="6">
        <f t="shared" ca="1" si="341"/>
        <v>4</v>
      </c>
      <c r="M1841" s="7">
        <f ca="1" xml:space="preserve">
  IF(OR($N1841 = 2, $N1841 = 3, $N1841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841" s="6">
        <f t="shared" ca="1" si="342"/>
        <v>8</v>
      </c>
      <c r="O1841" s="6">
        <f t="shared" ca="1" si="343"/>
        <v>4</v>
      </c>
      <c r="P1841" s="8">
        <f t="shared" ca="1" si="344"/>
        <v>36234</v>
      </c>
      <c r="Q1841" s="6">
        <f ca="1">RANDBETWEEN(2,COUNTA('Recruitment source'!$A:$A))</f>
        <v>7</v>
      </c>
      <c r="R1841" s="8" t="e">
        <f t="shared" ca="1" si="345"/>
        <v>#N/A</v>
      </c>
      <c r="S1841" s="6" t="e">
        <f t="shared" ca="1" si="346"/>
        <v>#N/A</v>
      </c>
      <c r="T1841" s="6">
        <f t="shared" ca="1" si="336"/>
        <v>3</v>
      </c>
      <c r="U1841" s="1">
        <f t="shared" ca="1" si="347"/>
        <v>2000</v>
      </c>
    </row>
    <row r="1842" spans="1:21" x14ac:dyDescent="0.2">
      <c r="A1842" s="7" cm="1">
        <f t="array" aca="1" ref="A1842" ca="1">INDEX(Companies!$A:$A,RANDBETWEEN(2,COUNTA(Companies!$A:$A)),1)</f>
        <v>2</v>
      </c>
      <c r="B1842" s="5">
        <f t="shared" si="337"/>
        <v>1841</v>
      </c>
      <c r="C1842" s="6">
        <f t="shared" ca="1" si="338"/>
        <v>1</v>
      </c>
      <c r="D1842" s="7">
        <f ca="1">IF($B1842 = 1 + N("Presidente"),
    127,
    IF($B1842 = 2 + N("Vice-Presidente"),
        72,
        IF($B1842 = 3 + N("Secretária bilíngue"),
            13,
            RANDBETWEEN(5,COUNT(Name!$A:$A) + 1)
        )
    )
)</f>
        <v>224</v>
      </c>
      <c r="E1842" s="7" t="str">
        <f ca="1" xml:space="preserve">
VLOOKUP(
  $D1842,
  Name!$A:$B,
  2,
  FALSE
)
&amp; " " &amp;
IF($B1842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Letícia Seixas Auth</v>
      </c>
      <c r="F1842" s="7">
        <v>2</v>
      </c>
      <c r="G1842" s="7" cm="1">
        <f t="array" aca="1" ref="G1842" ca="1">INDEX(States!$B:$B,RANDBETWEEN(2,COUNTA(States!$A:$A)),1)</f>
        <v>12</v>
      </c>
      <c r="H1842" s="7" t="str">
        <f ca="1">VLOOKUP($D1842,Name!$A:$C,3,FALSE)</f>
        <v>F</v>
      </c>
      <c r="I1842" s="7" cm="1">
        <f t="array" aca="1" ref="I1842" ca="1">INDEX('Marital status'!$A:$A,RANDBETWEEN(2,COUNTA('Marital status'!$A:$A)),1)</f>
        <v>3</v>
      </c>
      <c r="J1842" s="7">
        <f t="shared" ca="1" si="339"/>
        <v>2</v>
      </c>
      <c r="K1842" s="8">
        <f t="shared" ca="1" si="340"/>
        <v>28848</v>
      </c>
      <c r="L1842" s="6">
        <f t="shared" ca="1" si="341"/>
        <v>4</v>
      </c>
      <c r="M1842" s="7">
        <f ca="1" xml:space="preserve">
  IF(OR($N1842 = 2, $N1842 = 3, $N1842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842" s="6">
        <f t="shared" ca="1" si="342"/>
        <v>7</v>
      </c>
      <c r="O1842" s="6" t="e">
        <f t="shared" ca="1" si="343"/>
        <v>#N/A</v>
      </c>
      <c r="P1842" s="8">
        <f t="shared" ca="1" si="344"/>
        <v>40641</v>
      </c>
      <c r="Q1842" s="6">
        <f ca="1">RANDBETWEEN(2,COUNTA('Recruitment source'!$A:$A))</f>
        <v>7</v>
      </c>
      <c r="R1842" s="8" t="e">
        <f t="shared" ca="1" si="345"/>
        <v>#N/A</v>
      </c>
      <c r="S1842" s="6" t="e">
        <f t="shared" ca="1" si="346"/>
        <v>#N/A</v>
      </c>
      <c r="T1842" s="6">
        <f t="shared" ca="1" si="336"/>
        <v>4</v>
      </c>
      <c r="U1842" s="1">
        <f t="shared" ca="1" si="347"/>
        <v>1005</v>
      </c>
    </row>
    <row r="1843" spans="1:21" x14ac:dyDescent="0.2">
      <c r="A1843" s="7" cm="1">
        <f t="array" aca="1" ref="A1843" ca="1">INDEX(Companies!$A:$A,RANDBETWEEN(2,COUNTA(Companies!$A:$A)),1)</f>
        <v>2</v>
      </c>
      <c r="B1843" s="5">
        <f t="shared" si="337"/>
        <v>1842</v>
      </c>
      <c r="C1843" s="6">
        <f t="shared" ca="1" si="338"/>
        <v>1</v>
      </c>
      <c r="D1843" s="7">
        <f ca="1">IF($B1843 = 1 + N("Presidente"),
    127,
    IF($B1843 = 2 + N("Vice-Presidente"),
        72,
        IF($B1843 = 3 + N("Secretária bilíngue"),
            13,
            RANDBETWEEN(5,COUNT(Name!$A:$A) + 1)
        )
    )
)</f>
        <v>194</v>
      </c>
      <c r="E1843" s="7" t="str">
        <f ca="1" xml:space="preserve">
VLOOKUP(
  $D1843,
  Name!$A:$B,
  2,
  FALSE
)
&amp; " " &amp;
IF($B1843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Vitor Leitão Russo</v>
      </c>
      <c r="F1843" s="7">
        <v>2</v>
      </c>
      <c r="G1843" s="7" cm="1">
        <f t="array" aca="1" ref="G1843" ca="1">INDEX(States!$B:$B,RANDBETWEEN(2,COUNTA(States!$A:$A)),1)</f>
        <v>15</v>
      </c>
      <c r="H1843" s="7" t="str">
        <f ca="1">VLOOKUP($D1843,Name!$A:$C,3,FALSE)</f>
        <v>M</v>
      </c>
      <c r="I1843" s="7" cm="1">
        <f t="array" aca="1" ref="I1843" ca="1">INDEX('Marital status'!$A:$A,RANDBETWEEN(2,COUNTA('Marital status'!$A:$A)),1)</f>
        <v>6</v>
      </c>
      <c r="J1843" s="7">
        <f t="shared" ca="1" si="339"/>
        <v>5</v>
      </c>
      <c r="K1843" s="8">
        <f t="shared" ca="1" si="340"/>
        <v>33510</v>
      </c>
      <c r="L1843" s="6">
        <f t="shared" ca="1" si="341"/>
        <v>4</v>
      </c>
      <c r="M1843" s="7">
        <f ca="1" xml:space="preserve">
  IF(OR($N1843 = 2, $N1843 = 3, $N1843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843" s="6">
        <f t="shared" ca="1" si="342"/>
        <v>8</v>
      </c>
      <c r="O1843" s="6">
        <f t="shared" ca="1" si="343"/>
        <v>2</v>
      </c>
      <c r="P1843" s="8">
        <f t="shared" ca="1" si="344"/>
        <v>38217</v>
      </c>
      <c r="Q1843" s="6">
        <f ca="1">RANDBETWEEN(2,COUNTA('Recruitment source'!$A:$A))</f>
        <v>8</v>
      </c>
      <c r="R1843" s="8" t="e">
        <f t="shared" ca="1" si="345"/>
        <v>#N/A</v>
      </c>
      <c r="S1843" s="6" t="e">
        <f t="shared" ca="1" si="346"/>
        <v>#N/A</v>
      </c>
      <c r="T1843" s="6">
        <f t="shared" ca="1" si="336"/>
        <v>5</v>
      </c>
      <c r="U1843" s="1">
        <f t="shared" ca="1" si="347"/>
        <v>2000</v>
      </c>
    </row>
    <row r="1844" spans="1:21" x14ac:dyDescent="0.2">
      <c r="A1844" s="7" cm="1">
        <f t="array" aca="1" ref="A1844" ca="1">INDEX(Companies!$A:$A,RANDBETWEEN(2,COUNTA(Companies!$A:$A)),1)</f>
        <v>2</v>
      </c>
      <c r="B1844" s="5">
        <f t="shared" si="337"/>
        <v>1843</v>
      </c>
      <c r="C1844" s="6">
        <f t="shared" ca="1" si="338"/>
        <v>1</v>
      </c>
      <c r="D1844" s="7">
        <f ca="1">IF($B1844 = 1 + N("Presidente"),
    127,
    IF($B1844 = 2 + N("Vice-Presidente"),
        72,
        IF($B1844 = 3 + N("Secretária bilíngue"),
            13,
            RANDBETWEEN(5,COUNT(Name!$A:$A) + 1)
        )
    )
)</f>
        <v>43</v>
      </c>
      <c r="E1844" s="7" t="str">
        <f ca="1" xml:space="preserve">
VLOOKUP(
  $D1844,
  Name!$A:$B,
  2,
  FALSE
)
&amp; " " &amp;
IF($B1844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Anita De Luca Barboza</v>
      </c>
      <c r="F1844" s="7">
        <v>2</v>
      </c>
      <c r="G1844" s="7" cm="1">
        <f t="array" aca="1" ref="G1844" ca="1">INDEX(States!$B:$B,RANDBETWEEN(2,COUNTA(States!$A:$A)),1)</f>
        <v>6</v>
      </c>
      <c r="H1844" s="7" t="str">
        <f ca="1">VLOOKUP($D1844,Name!$A:$C,3,FALSE)</f>
        <v>F</v>
      </c>
      <c r="I1844" s="7" cm="1">
        <f t="array" aca="1" ref="I1844" ca="1">INDEX('Marital status'!$A:$A,RANDBETWEEN(2,COUNTA('Marital status'!$A:$A)),1)</f>
        <v>5</v>
      </c>
      <c r="J1844" s="7">
        <f t="shared" ca="1" si="339"/>
        <v>2</v>
      </c>
      <c r="K1844" s="8">
        <f t="shared" ca="1" si="340"/>
        <v>22841</v>
      </c>
      <c r="L1844" s="6">
        <f t="shared" ca="1" si="341"/>
        <v>4</v>
      </c>
      <c r="M1844" s="7">
        <f ca="1" xml:space="preserve">
  IF(OR($N1844 = 2, $N1844 = 3, $N1844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844" s="6">
        <f t="shared" ca="1" si="342"/>
        <v>6</v>
      </c>
      <c r="O1844" s="6" t="e">
        <f t="shared" ca="1" si="343"/>
        <v>#N/A</v>
      </c>
      <c r="P1844" s="8">
        <f t="shared" ca="1" si="344"/>
        <v>44256</v>
      </c>
      <c r="Q1844" s="6">
        <f ca="1">RANDBETWEEN(2,COUNTA('Recruitment source'!$A:$A))</f>
        <v>2</v>
      </c>
      <c r="R1844" s="8" t="e">
        <f t="shared" ca="1" si="345"/>
        <v>#N/A</v>
      </c>
      <c r="S1844" s="6" t="e">
        <f t="shared" ca="1" si="346"/>
        <v>#N/A</v>
      </c>
      <c r="T1844" s="6">
        <f t="shared" ca="1" si="336"/>
        <v>5</v>
      </c>
      <c r="U1844" s="1">
        <f t="shared" ca="1" si="347"/>
        <v>885</v>
      </c>
    </row>
    <row r="1845" spans="1:21" x14ac:dyDescent="0.2">
      <c r="A1845" s="7" cm="1">
        <f t="array" aca="1" ref="A1845" ca="1">INDEX(Companies!$A:$A,RANDBETWEEN(2,COUNTA(Companies!$A:$A)),1)</f>
        <v>2</v>
      </c>
      <c r="B1845" s="5">
        <f t="shared" si="337"/>
        <v>1844</v>
      </c>
      <c r="C1845" s="6">
        <f t="shared" ca="1" si="338"/>
        <v>1</v>
      </c>
      <c r="D1845" s="7">
        <f ca="1">IF($B1845 = 1 + N("Presidente"),
    127,
    IF($B1845 = 2 + N("Vice-Presidente"),
        72,
        IF($B1845 = 3 + N("Secretária bilíngue"),
            13,
            RANDBETWEEN(5,COUNT(Name!$A:$A) + 1)
        )
    )
)</f>
        <v>208</v>
      </c>
      <c r="E1845" s="7" t="str">
        <f ca="1" xml:space="preserve">
VLOOKUP(
  $D1845,
  Name!$A:$B,
  2,
  FALSE
)
&amp; " " &amp;
IF($B1845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Katarina Pimentel Esposito</v>
      </c>
      <c r="F1845" s="7">
        <v>2</v>
      </c>
      <c r="G1845" s="7" cm="1">
        <f t="array" aca="1" ref="G1845" ca="1">INDEX(States!$B:$B,RANDBETWEEN(2,COUNTA(States!$A:$A)),1)</f>
        <v>16</v>
      </c>
      <c r="H1845" s="7" t="str">
        <f ca="1">VLOOKUP($D1845,Name!$A:$C,3,FALSE)</f>
        <v>F</v>
      </c>
      <c r="I1845" s="7" cm="1">
        <f t="array" aca="1" ref="I1845" ca="1">INDEX('Marital status'!$A:$A,RANDBETWEEN(2,COUNTA('Marital status'!$A:$A)),1)</f>
        <v>4</v>
      </c>
      <c r="J1845" s="7">
        <f t="shared" ca="1" si="339"/>
        <v>2</v>
      </c>
      <c r="K1845" s="8">
        <f t="shared" ca="1" si="340"/>
        <v>34620</v>
      </c>
      <c r="L1845" s="6">
        <f t="shared" ca="1" si="341"/>
        <v>4</v>
      </c>
      <c r="M1845" s="7">
        <f ca="1" xml:space="preserve">
  IF(OR($N1845 = 2, $N1845 = 3, $N1845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845" s="6">
        <f t="shared" ca="1" si="342"/>
        <v>8</v>
      </c>
      <c r="O1845" s="6">
        <f t="shared" ca="1" si="343"/>
        <v>3</v>
      </c>
      <c r="P1845" s="8">
        <f t="shared" ca="1" si="344"/>
        <v>36331</v>
      </c>
      <c r="Q1845" s="6">
        <f ca="1">RANDBETWEEN(2,COUNTA('Recruitment source'!$A:$A))</f>
        <v>9</v>
      </c>
      <c r="R1845" s="8" t="e">
        <f t="shared" ca="1" si="345"/>
        <v>#N/A</v>
      </c>
      <c r="S1845" s="6" t="e">
        <f t="shared" ca="1" si="346"/>
        <v>#N/A</v>
      </c>
      <c r="T1845" s="6">
        <f t="shared" ca="1" si="336"/>
        <v>4</v>
      </c>
      <c r="U1845" s="1">
        <f t="shared" ca="1" si="347"/>
        <v>2000</v>
      </c>
    </row>
    <row r="1846" spans="1:21" x14ac:dyDescent="0.2">
      <c r="A1846" s="7" cm="1">
        <f t="array" aca="1" ref="A1846" ca="1">INDEX(Companies!$A:$A,RANDBETWEEN(2,COUNTA(Companies!$A:$A)),1)</f>
        <v>2</v>
      </c>
      <c r="B1846" s="5">
        <f t="shared" si="337"/>
        <v>1845</v>
      </c>
      <c r="C1846" s="6">
        <f t="shared" ca="1" si="338"/>
        <v>1</v>
      </c>
      <c r="D1846" s="7">
        <f ca="1">IF($B1846 = 1 + N("Presidente"),
    127,
    IF($B1846 = 2 + N("Vice-Presidente"),
        72,
        IF($B1846 = 3 + N("Secretária bilíngue"),
            13,
            RANDBETWEEN(5,COUNT(Name!$A:$A) + 1)
        )
    )
)</f>
        <v>25</v>
      </c>
      <c r="E1846" s="7" t="str">
        <f ca="1" xml:space="preserve">
VLOOKUP(
  $D1846,
  Name!$A:$B,
  2,
  FALSE
)
&amp; " " &amp;
IF($B1846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Campos Martini</v>
      </c>
      <c r="F1846" s="7">
        <v>2</v>
      </c>
      <c r="G1846" s="7" cm="1">
        <f t="array" aca="1" ref="G1846" ca="1">INDEX(States!$B:$B,RANDBETWEEN(2,COUNTA(States!$A:$A)),1)</f>
        <v>17</v>
      </c>
      <c r="H1846" s="7" t="str">
        <f ca="1">VLOOKUP($D1846,Name!$A:$C,3,FALSE)</f>
        <v>F</v>
      </c>
      <c r="I1846" s="7" cm="1">
        <f t="array" aca="1" ref="I1846" ca="1">INDEX('Marital status'!$A:$A,RANDBETWEEN(2,COUNTA('Marital status'!$A:$A)),1)</f>
        <v>5</v>
      </c>
      <c r="J1846" s="7">
        <f t="shared" ca="1" si="339"/>
        <v>2</v>
      </c>
      <c r="K1846" s="8">
        <f t="shared" ca="1" si="340"/>
        <v>17506</v>
      </c>
      <c r="L1846" s="6">
        <f t="shared" ca="1" si="341"/>
        <v>4</v>
      </c>
      <c r="M1846" s="7">
        <f ca="1" xml:space="preserve">
  IF(OR($N1846 = 2, $N1846 = 3, $N1846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846" s="6">
        <f t="shared" ca="1" si="342"/>
        <v>6</v>
      </c>
      <c r="O1846" s="6" t="e">
        <f t="shared" ca="1" si="343"/>
        <v>#N/A</v>
      </c>
      <c r="P1846" s="8">
        <f t="shared" ca="1" si="344"/>
        <v>44012</v>
      </c>
      <c r="Q1846" s="6">
        <f ca="1">RANDBETWEEN(2,COUNTA('Recruitment source'!$A:$A))</f>
        <v>12</v>
      </c>
      <c r="R1846" s="8" t="e">
        <f t="shared" ca="1" si="345"/>
        <v>#N/A</v>
      </c>
      <c r="S1846" s="6" t="e">
        <f t="shared" ca="1" si="346"/>
        <v>#N/A</v>
      </c>
      <c r="T1846" s="6">
        <f t="shared" ca="1" si="336"/>
        <v>3</v>
      </c>
      <c r="U1846" s="1">
        <f t="shared" ca="1" si="347"/>
        <v>885</v>
      </c>
    </row>
    <row r="1847" spans="1:21" x14ac:dyDescent="0.2">
      <c r="A1847" s="7" cm="1">
        <f t="array" aca="1" ref="A1847" ca="1">INDEX(Companies!$A:$A,RANDBETWEEN(2,COUNTA(Companies!$A:$A)),1)</f>
        <v>2</v>
      </c>
      <c r="B1847" s="5">
        <f t="shared" si="337"/>
        <v>1846</v>
      </c>
      <c r="C1847" s="6">
        <f t="shared" ca="1" si="338"/>
        <v>1</v>
      </c>
      <c r="D1847" s="7">
        <f ca="1">IF($B1847 = 1 + N("Presidente"),
    127,
    IF($B1847 = 2 + N("Vice-Presidente"),
        72,
        IF($B1847 = 3 + N("Secretária bilíngue"),
            13,
            RANDBETWEEN(5,COUNT(Name!$A:$A) + 1)
        )
    )
)</f>
        <v>242</v>
      </c>
      <c r="E1847" s="7" t="str">
        <f ca="1" xml:space="preserve">
VLOOKUP(
  $D1847,
  Name!$A:$B,
  2,
  FALSE
)
&amp; " " &amp;
IF($B1847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Luisa Zil Ribeiro</v>
      </c>
      <c r="F1847" s="7">
        <v>2</v>
      </c>
      <c r="G1847" s="7" cm="1">
        <f t="array" aca="1" ref="G1847" ca="1">INDEX(States!$B:$B,RANDBETWEEN(2,COUNTA(States!$A:$A)),1)</f>
        <v>13</v>
      </c>
      <c r="H1847" s="7" t="str">
        <f ca="1">VLOOKUP($D1847,Name!$A:$C,3,FALSE)</f>
        <v>F</v>
      </c>
      <c r="I1847" s="7" cm="1">
        <f t="array" aca="1" ref="I1847" ca="1">INDEX('Marital status'!$A:$A,RANDBETWEEN(2,COUNTA('Marital status'!$A:$A)),1)</f>
        <v>4</v>
      </c>
      <c r="J1847" s="7">
        <f t="shared" ca="1" si="339"/>
        <v>2</v>
      </c>
      <c r="K1847" s="8">
        <f t="shared" ca="1" si="340"/>
        <v>35782</v>
      </c>
      <c r="L1847" s="6">
        <f t="shared" ca="1" si="341"/>
        <v>4</v>
      </c>
      <c r="M1847" s="7">
        <f ca="1" xml:space="preserve">
  IF(OR($N1847 = 2, $N1847 = 3, $N1847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847" s="6">
        <f t="shared" ca="1" si="342"/>
        <v>8</v>
      </c>
      <c r="O1847" s="6">
        <f t="shared" ca="1" si="343"/>
        <v>3</v>
      </c>
      <c r="P1847" s="8">
        <f t="shared" ca="1" si="344"/>
        <v>40506</v>
      </c>
      <c r="Q1847" s="6">
        <f ca="1">RANDBETWEEN(2,COUNTA('Recruitment source'!$A:$A))</f>
        <v>5</v>
      </c>
      <c r="R1847" s="8" t="e">
        <f t="shared" ca="1" si="345"/>
        <v>#N/A</v>
      </c>
      <c r="S1847" s="6" t="e">
        <f t="shared" ca="1" si="346"/>
        <v>#N/A</v>
      </c>
      <c r="T1847" s="6">
        <f t="shared" ca="1" si="336"/>
        <v>2</v>
      </c>
      <c r="U1847" s="1">
        <f t="shared" ca="1" si="347"/>
        <v>2000</v>
      </c>
    </row>
    <row r="1848" spans="1:21" x14ac:dyDescent="0.2">
      <c r="A1848" s="7" cm="1">
        <f t="array" aca="1" ref="A1848" ca="1">INDEX(Companies!$A:$A,RANDBETWEEN(2,COUNTA(Companies!$A:$A)),1)</f>
        <v>2</v>
      </c>
      <c r="B1848" s="5">
        <f t="shared" si="337"/>
        <v>1847</v>
      </c>
      <c r="C1848" s="6">
        <f t="shared" ca="1" si="338"/>
        <v>1</v>
      </c>
      <c r="D1848" s="7">
        <f ca="1">IF($B1848 = 1 + N("Presidente"),
    127,
    IF($B1848 = 2 + N("Vice-Presidente"),
        72,
        IF($B1848 = 3 + N("Secretária bilíngue"),
            13,
            RANDBETWEEN(5,COUNT(Name!$A:$A) + 1)
        )
    )
)</f>
        <v>331</v>
      </c>
      <c r="E1848" s="7" t="str">
        <f ca="1" xml:space="preserve">
VLOOKUP(
  $D1848,
  Name!$A:$B,
  2,
  FALSE
)
&amp; " " &amp;
IF($B1848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Renato Bicalho Pimenta</v>
      </c>
      <c r="F1848" s="7">
        <v>2</v>
      </c>
      <c r="G1848" s="7" cm="1">
        <f t="array" aca="1" ref="G1848" ca="1">INDEX(States!$B:$B,RANDBETWEEN(2,COUNTA(States!$A:$A)),1)</f>
        <v>7</v>
      </c>
      <c r="H1848" s="7" t="str">
        <f ca="1">VLOOKUP($D1848,Name!$A:$C,3,FALSE)</f>
        <v>M</v>
      </c>
      <c r="I1848" s="7" cm="1">
        <f t="array" aca="1" ref="I1848" ca="1">INDEX('Marital status'!$A:$A,RANDBETWEEN(2,COUNTA('Marital status'!$A:$A)),1)</f>
        <v>2</v>
      </c>
      <c r="J1848" s="7">
        <f t="shared" ca="1" si="339"/>
        <v>4</v>
      </c>
      <c r="K1848" s="8">
        <f t="shared" ca="1" si="340"/>
        <v>29352</v>
      </c>
      <c r="L1848" s="6">
        <f t="shared" ca="1" si="341"/>
        <v>4</v>
      </c>
      <c r="M1848" s="7">
        <f ca="1" xml:space="preserve">
  IF(OR($N1848 = 2, $N1848 = 3, $N1848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848" s="6">
        <f t="shared" ca="1" si="342"/>
        <v>7</v>
      </c>
      <c r="O1848" s="6" t="e">
        <f t="shared" ca="1" si="343"/>
        <v>#N/A</v>
      </c>
      <c r="P1848" s="8">
        <f t="shared" ca="1" si="344"/>
        <v>37437</v>
      </c>
      <c r="Q1848" s="6">
        <f ca="1">RANDBETWEEN(2,COUNTA('Recruitment source'!$A:$A))</f>
        <v>10</v>
      </c>
      <c r="R1848" s="8" t="e">
        <f t="shared" ca="1" si="345"/>
        <v>#N/A</v>
      </c>
      <c r="S1848" s="6" t="e">
        <f t="shared" ca="1" si="346"/>
        <v>#N/A</v>
      </c>
      <c r="T1848" s="6">
        <f t="shared" ca="1" si="336"/>
        <v>2</v>
      </c>
      <c r="U1848" s="1">
        <f t="shared" ca="1" si="347"/>
        <v>1085</v>
      </c>
    </row>
    <row r="1849" spans="1:21" x14ac:dyDescent="0.2">
      <c r="A1849" s="7" cm="1">
        <f t="array" aca="1" ref="A1849" ca="1">INDEX(Companies!$A:$A,RANDBETWEEN(2,COUNTA(Companies!$A:$A)),1)</f>
        <v>2</v>
      </c>
      <c r="B1849" s="5">
        <f t="shared" si="337"/>
        <v>1848</v>
      </c>
      <c r="C1849" s="6">
        <f t="shared" ca="1" si="338"/>
        <v>1</v>
      </c>
      <c r="D1849" s="7">
        <f ca="1">IF($B1849 = 1 + N("Presidente"),
    127,
    IF($B1849 = 2 + N("Vice-Presidente"),
        72,
        IF($B1849 = 3 + N("Secretária bilíngue"),
            13,
            RANDBETWEEN(5,COUNT(Name!$A:$A) + 1)
        )
    )
)</f>
        <v>33</v>
      </c>
      <c r="E1849" s="7" t="str">
        <f ca="1" xml:space="preserve">
VLOOKUP(
  $D1849,
  Name!$A:$B,
  2,
  FALSE
)
&amp; " " &amp;
IF($B1849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Lívia Romano Carvalho</v>
      </c>
      <c r="F1849" s="7">
        <v>2</v>
      </c>
      <c r="G1849" s="7" cm="1">
        <f t="array" aca="1" ref="G1849" ca="1">INDEX(States!$B:$B,RANDBETWEEN(2,COUNTA(States!$A:$A)),1)</f>
        <v>12</v>
      </c>
      <c r="H1849" s="7" t="str">
        <f ca="1">VLOOKUP($D1849,Name!$A:$C,3,FALSE)</f>
        <v>F</v>
      </c>
      <c r="I1849" s="7" cm="1">
        <f t="array" aca="1" ref="I1849" ca="1">INDEX('Marital status'!$A:$A,RANDBETWEEN(2,COUNTA('Marital status'!$A:$A)),1)</f>
        <v>3</v>
      </c>
      <c r="J1849" s="7">
        <f t="shared" ca="1" si="339"/>
        <v>2</v>
      </c>
      <c r="K1849" s="8">
        <f t="shared" ca="1" si="340"/>
        <v>35523</v>
      </c>
      <c r="L1849" s="6">
        <f t="shared" ca="1" si="341"/>
        <v>4</v>
      </c>
      <c r="M1849" s="7">
        <f ca="1" xml:space="preserve">
  IF(OR($N1849 = 2, $N1849 = 3, $N1849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849" s="6">
        <f t="shared" ca="1" si="342"/>
        <v>8</v>
      </c>
      <c r="O1849" s="6">
        <f t="shared" ca="1" si="343"/>
        <v>3</v>
      </c>
      <c r="P1849" s="8">
        <f t="shared" ca="1" si="344"/>
        <v>44047</v>
      </c>
      <c r="Q1849" s="6">
        <f ca="1">RANDBETWEEN(2,COUNTA('Recruitment source'!$A:$A))</f>
        <v>4</v>
      </c>
      <c r="R1849" s="8" t="e">
        <f t="shared" ca="1" si="345"/>
        <v>#N/A</v>
      </c>
      <c r="S1849" s="6" t="e">
        <f t="shared" ca="1" si="346"/>
        <v>#N/A</v>
      </c>
      <c r="T1849" s="6">
        <f t="shared" ca="1" si="336"/>
        <v>5</v>
      </c>
      <c r="U1849" s="1">
        <f t="shared" ca="1" si="347"/>
        <v>2000</v>
      </c>
    </row>
    <row r="1850" spans="1:21" x14ac:dyDescent="0.2">
      <c r="A1850" s="7" cm="1">
        <f t="array" aca="1" ref="A1850" ca="1">INDEX(Companies!$A:$A,RANDBETWEEN(2,COUNTA(Companies!$A:$A)),1)</f>
        <v>2</v>
      </c>
      <c r="B1850" s="5">
        <f t="shared" si="337"/>
        <v>1849</v>
      </c>
      <c r="C1850" s="6">
        <f t="shared" ca="1" si="338"/>
        <v>1</v>
      </c>
      <c r="D1850" s="7">
        <f ca="1">IF($B1850 = 1 + N("Presidente"),
    127,
    IF($B1850 = 2 + N("Vice-Presidente"),
        72,
        IF($B1850 = 3 + N("Secretária bilíngue"),
            13,
            RANDBETWEEN(5,COUNT(Name!$A:$A) + 1)
        )
    )
)</f>
        <v>8</v>
      </c>
      <c r="E1850" s="7" t="str">
        <f ca="1" xml:space="preserve">
VLOOKUP(
  $D1850,
  Name!$A:$B,
  2,
  FALSE
)
&amp; " " &amp;
IF($B1850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Adélia Noronha Padrão</v>
      </c>
      <c r="F1850" s="7">
        <v>2</v>
      </c>
      <c r="G1850" s="7" cm="1">
        <f t="array" aca="1" ref="G1850" ca="1">INDEX(States!$B:$B,RANDBETWEEN(2,COUNTA(States!$A:$A)),1)</f>
        <v>2</v>
      </c>
      <c r="H1850" s="7" t="str">
        <f ca="1">VLOOKUP($D1850,Name!$A:$C,3,FALSE)</f>
        <v>F</v>
      </c>
      <c r="I1850" s="7" cm="1">
        <f t="array" aca="1" ref="I1850" ca="1">INDEX('Marital status'!$A:$A,RANDBETWEEN(2,COUNTA('Marital status'!$A:$A)),1)</f>
        <v>4</v>
      </c>
      <c r="J1850" s="7">
        <f t="shared" ca="1" si="339"/>
        <v>2</v>
      </c>
      <c r="K1850" s="8">
        <f t="shared" ca="1" si="340"/>
        <v>34112</v>
      </c>
      <c r="L1850" s="6">
        <f t="shared" ca="1" si="341"/>
        <v>4</v>
      </c>
      <c r="M1850" s="7">
        <f ca="1" xml:space="preserve">
  IF(OR($N1850 = 2, $N1850 = 3, $N1850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850" s="6">
        <f t="shared" ca="1" si="342"/>
        <v>7</v>
      </c>
      <c r="O1850" s="6" t="e">
        <f t="shared" ca="1" si="343"/>
        <v>#N/A</v>
      </c>
      <c r="P1850" s="8">
        <f t="shared" ca="1" si="344"/>
        <v>44246</v>
      </c>
      <c r="Q1850" s="6">
        <f ca="1">RANDBETWEEN(2,COUNTA('Recruitment source'!$A:$A))</f>
        <v>9</v>
      </c>
      <c r="R1850" s="8" t="e">
        <f t="shared" ca="1" si="345"/>
        <v>#N/A</v>
      </c>
      <c r="S1850" s="6" t="e">
        <f t="shared" ca="1" si="346"/>
        <v>#N/A</v>
      </c>
      <c r="T1850" s="6">
        <f t="shared" ca="1" si="336"/>
        <v>2</v>
      </c>
      <c r="U1850" s="1">
        <f t="shared" ca="1" si="347"/>
        <v>1085</v>
      </c>
    </row>
    <row r="1851" spans="1:21" x14ac:dyDescent="0.2">
      <c r="A1851" s="7" cm="1">
        <f t="array" aca="1" ref="A1851" ca="1">INDEX(Companies!$A:$A,RANDBETWEEN(2,COUNTA(Companies!$A:$A)),1)</f>
        <v>2</v>
      </c>
      <c r="B1851" s="5">
        <f t="shared" si="337"/>
        <v>1850</v>
      </c>
      <c r="C1851" s="6">
        <f t="shared" ca="1" si="338"/>
        <v>1</v>
      </c>
      <c r="D1851" s="7">
        <f ca="1">IF($B1851 = 1 + N("Presidente"),
    127,
    IF($B1851 = 2 + N("Vice-Presidente"),
        72,
        IF($B1851 = 3 + N("Secretária bilíngue"),
            13,
            RANDBETWEEN(5,COUNT(Name!$A:$A) + 1)
        )
    )
)</f>
        <v>281</v>
      </c>
      <c r="E1851" s="7" t="str">
        <f ca="1" xml:space="preserve">
VLOOKUP(
  $D1851,
  Name!$A:$B,
  2,
  FALSE
)
&amp; " " &amp;
IF($B1851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Marina Pellegrini Campos</v>
      </c>
      <c r="F1851" s="7">
        <v>2</v>
      </c>
      <c r="G1851" s="7" cm="1">
        <f t="array" aca="1" ref="G1851" ca="1">INDEX(States!$B:$B,RANDBETWEEN(2,COUNTA(States!$A:$A)),1)</f>
        <v>3</v>
      </c>
      <c r="H1851" s="7" t="str">
        <f ca="1">VLOOKUP($D1851,Name!$A:$C,3,FALSE)</f>
        <v>F</v>
      </c>
      <c r="I1851" s="7" cm="1">
        <f t="array" aca="1" ref="I1851" ca="1">INDEX('Marital status'!$A:$A,RANDBETWEEN(2,COUNTA('Marital status'!$A:$A)),1)</f>
        <v>4</v>
      </c>
      <c r="J1851" s="7">
        <f t="shared" ca="1" si="339"/>
        <v>2</v>
      </c>
      <c r="K1851" s="8">
        <f t="shared" ca="1" si="340"/>
        <v>37087</v>
      </c>
      <c r="L1851" s="6">
        <f t="shared" ca="1" si="341"/>
        <v>5</v>
      </c>
      <c r="M1851" s="7">
        <f ca="1" xml:space="preserve">
  IF(OR($N1851 = 2, $N1851 = 3, $N1851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851" s="6">
        <f t="shared" ca="1" si="342"/>
        <v>8</v>
      </c>
      <c r="O1851" s="6">
        <f t="shared" ca="1" si="343"/>
        <v>3</v>
      </c>
      <c r="P1851" s="8">
        <f t="shared" ca="1" si="344"/>
        <v>37084</v>
      </c>
      <c r="Q1851" s="6">
        <f ca="1">RANDBETWEEN(2,COUNTA('Recruitment source'!$A:$A))</f>
        <v>9</v>
      </c>
      <c r="R1851" s="8" t="e">
        <f t="shared" ca="1" si="345"/>
        <v>#N/A</v>
      </c>
      <c r="S1851" s="6" t="e">
        <f t="shared" ca="1" si="346"/>
        <v>#N/A</v>
      </c>
      <c r="T1851" s="6">
        <f t="shared" ca="1" si="336"/>
        <v>3</v>
      </c>
      <c r="U1851" s="1">
        <f t="shared" ca="1" si="347"/>
        <v>2000</v>
      </c>
    </row>
    <row r="1852" spans="1:21" x14ac:dyDescent="0.2">
      <c r="A1852" s="7" cm="1">
        <f t="array" aca="1" ref="A1852" ca="1">INDEX(Companies!$A:$A,RANDBETWEEN(2,COUNTA(Companies!$A:$A)),1)</f>
        <v>2</v>
      </c>
      <c r="B1852" s="5">
        <f t="shared" si="337"/>
        <v>1851</v>
      </c>
      <c r="C1852" s="6">
        <f t="shared" ca="1" si="338"/>
        <v>1</v>
      </c>
      <c r="D1852" s="7">
        <f ca="1">IF($B1852 = 1 + N("Presidente"),
    127,
    IF($B1852 = 2 + N("Vice-Presidente"),
        72,
        IF($B1852 = 3 + N("Secretária bilíngue"),
            13,
            RANDBETWEEN(5,COUNT(Name!$A:$A) + 1)
        )
    )
)</f>
        <v>323</v>
      </c>
      <c r="E1852" s="7" t="str">
        <f ca="1" xml:space="preserve">
VLOOKUP(
  $D1852,
  Name!$A:$B,
  2,
  FALSE
)
&amp; " " &amp;
IF($B1852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Rachel Lombardi Carneiro</v>
      </c>
      <c r="F1852" s="7">
        <v>2</v>
      </c>
      <c r="G1852" s="7" cm="1">
        <f t="array" aca="1" ref="G1852" ca="1">INDEX(States!$B:$B,RANDBETWEEN(2,COUNTA(States!$A:$A)),1)</f>
        <v>20</v>
      </c>
      <c r="H1852" s="7" t="str">
        <f ca="1">VLOOKUP($D1852,Name!$A:$C,3,FALSE)</f>
        <v>F</v>
      </c>
      <c r="I1852" s="7" cm="1">
        <f t="array" aca="1" ref="I1852" ca="1">INDEX('Marital status'!$A:$A,RANDBETWEEN(2,COUNTA('Marital status'!$A:$A)),1)</f>
        <v>6</v>
      </c>
      <c r="J1852" s="7">
        <f t="shared" ca="1" si="339"/>
        <v>2</v>
      </c>
      <c r="K1852" s="8">
        <f t="shared" ca="1" si="340"/>
        <v>22767</v>
      </c>
      <c r="L1852" s="6">
        <f t="shared" ca="1" si="341"/>
        <v>4</v>
      </c>
      <c r="M1852" s="7">
        <f ca="1" xml:space="preserve">
  IF(OR($N1852 = 2, $N1852 = 3, $N1852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852" s="6">
        <f t="shared" ca="1" si="342"/>
        <v>6</v>
      </c>
      <c r="O1852" s="6" t="e">
        <f t="shared" ca="1" si="343"/>
        <v>#N/A</v>
      </c>
      <c r="P1852" s="8">
        <f t="shared" ca="1" si="344"/>
        <v>43496</v>
      </c>
      <c r="Q1852" s="6">
        <f ca="1">RANDBETWEEN(2,COUNTA('Recruitment source'!$A:$A))</f>
        <v>7</v>
      </c>
      <c r="R1852" s="8" t="e">
        <f t="shared" ca="1" si="345"/>
        <v>#N/A</v>
      </c>
      <c r="S1852" s="6" t="e">
        <f t="shared" ca="1" si="346"/>
        <v>#N/A</v>
      </c>
      <c r="T1852" s="6">
        <f t="shared" ca="1" si="336"/>
        <v>4</v>
      </c>
      <c r="U1852" s="1">
        <f t="shared" ca="1" si="347"/>
        <v>805</v>
      </c>
    </row>
    <row r="1853" spans="1:21" x14ac:dyDescent="0.2">
      <c r="A1853" s="7" cm="1">
        <f t="array" aca="1" ref="A1853" ca="1">INDEX(Companies!$A:$A,RANDBETWEEN(2,COUNTA(Companies!$A:$A)),1)</f>
        <v>2</v>
      </c>
      <c r="B1853" s="5">
        <f t="shared" si="337"/>
        <v>1852</v>
      </c>
      <c r="C1853" s="6">
        <f t="shared" ca="1" si="338"/>
        <v>1</v>
      </c>
      <c r="D1853" s="7">
        <f ca="1">IF($B1853 = 1 + N("Presidente"),
    127,
    IF($B1853 = 2 + N("Vice-Presidente"),
        72,
        IF($B1853 = 3 + N("Secretária bilíngue"),
            13,
            RANDBETWEEN(5,COUNT(Name!$A:$A) + 1)
        )
    )
)</f>
        <v>343</v>
      </c>
      <c r="E1853" s="7" t="str">
        <f ca="1" xml:space="preserve">
VLOOKUP(
  $D1853,
  Name!$A:$B,
  2,
  FALSE
)
&amp; " " &amp;
IF($B1853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Thiago dos Santos Costatini</v>
      </c>
      <c r="F1853" s="7">
        <v>2</v>
      </c>
      <c r="G1853" s="7" cm="1">
        <f t="array" aca="1" ref="G1853" ca="1">INDEX(States!$B:$B,RANDBETWEEN(2,COUNTA(States!$A:$A)),1)</f>
        <v>9</v>
      </c>
      <c r="H1853" s="7" t="str">
        <f ca="1">VLOOKUP($D1853,Name!$A:$C,3,FALSE)</f>
        <v>M</v>
      </c>
      <c r="I1853" s="7" cm="1">
        <f t="array" aca="1" ref="I1853" ca="1">INDEX('Marital status'!$A:$A,RANDBETWEEN(2,COUNTA('Marital status'!$A:$A)),1)</f>
        <v>6</v>
      </c>
      <c r="J1853" s="7">
        <f t="shared" ca="1" si="339"/>
        <v>2</v>
      </c>
      <c r="K1853" s="8">
        <f t="shared" ca="1" si="340"/>
        <v>36658</v>
      </c>
      <c r="L1853" s="6">
        <f t="shared" ca="1" si="341"/>
        <v>4</v>
      </c>
      <c r="M1853" s="7">
        <f ca="1" xml:space="preserve">
  IF(OR($N1853 = 2, $N1853 = 3, $N1853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853" s="6">
        <f t="shared" ca="1" si="342"/>
        <v>8</v>
      </c>
      <c r="O1853" s="6">
        <f t="shared" ca="1" si="343"/>
        <v>2</v>
      </c>
      <c r="P1853" s="8">
        <f t="shared" ca="1" si="344"/>
        <v>43135</v>
      </c>
      <c r="Q1853" s="6">
        <f ca="1">RANDBETWEEN(2,COUNTA('Recruitment source'!$A:$A))</f>
        <v>6</v>
      </c>
      <c r="R1853" s="8" t="e">
        <f t="shared" ca="1" si="345"/>
        <v>#N/A</v>
      </c>
      <c r="S1853" s="6" t="e">
        <f t="shared" ca="1" si="346"/>
        <v>#N/A</v>
      </c>
      <c r="T1853" s="6">
        <f t="shared" ca="1" si="336"/>
        <v>2</v>
      </c>
      <c r="U1853" s="1">
        <f t="shared" ca="1" si="347"/>
        <v>2000</v>
      </c>
    </row>
    <row r="1854" spans="1:21" x14ac:dyDescent="0.2">
      <c r="A1854" s="7" cm="1">
        <f t="array" aca="1" ref="A1854" ca="1">INDEX(Companies!$A:$A,RANDBETWEEN(2,COUNTA(Companies!$A:$A)),1)</f>
        <v>2</v>
      </c>
      <c r="B1854" s="5">
        <f t="shared" si="337"/>
        <v>1853</v>
      </c>
      <c r="C1854" s="6">
        <f t="shared" ca="1" si="338"/>
        <v>1</v>
      </c>
      <c r="D1854" s="7">
        <f ca="1">IF($B1854 = 1 + N("Presidente"),
    127,
    IF($B1854 = 2 + N("Vice-Presidente"),
        72,
        IF($B1854 = 3 + N("Secretária bilíngue"),
            13,
            RANDBETWEEN(5,COUNT(Name!$A:$A) + 1)
        )
    )
)</f>
        <v>227</v>
      </c>
      <c r="E1854" s="7" t="str">
        <f ca="1" xml:space="preserve">
VLOOKUP(
  $D1854,
  Name!$A:$B,
  2,
  FALSE
)
&amp; " " &amp;
IF($B1854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Lia Vaz Monteiro</v>
      </c>
      <c r="F1854" s="7">
        <v>2</v>
      </c>
      <c r="G1854" s="7" cm="1">
        <f t="array" aca="1" ref="G1854" ca="1">INDEX(States!$B:$B,RANDBETWEEN(2,COUNTA(States!$A:$A)),1)</f>
        <v>14</v>
      </c>
      <c r="H1854" s="7" t="str">
        <f ca="1">VLOOKUP($D1854,Name!$A:$C,3,FALSE)</f>
        <v>F</v>
      </c>
      <c r="I1854" s="7" cm="1">
        <f t="array" aca="1" ref="I1854" ca="1">INDEX('Marital status'!$A:$A,RANDBETWEEN(2,COUNTA('Marital status'!$A:$A)),1)</f>
        <v>5</v>
      </c>
      <c r="J1854" s="7">
        <f t="shared" ca="1" si="339"/>
        <v>2</v>
      </c>
      <c r="K1854" s="8">
        <f t="shared" ca="1" si="340"/>
        <v>30277</v>
      </c>
      <c r="L1854" s="6">
        <f t="shared" ca="1" si="341"/>
        <v>4</v>
      </c>
      <c r="M1854" s="7">
        <f ca="1" xml:space="preserve">
  IF(OR($N1854 = 2, $N1854 = 3, $N1854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854" s="6">
        <f t="shared" ca="1" si="342"/>
        <v>7</v>
      </c>
      <c r="O1854" s="6" t="e">
        <f t="shared" ca="1" si="343"/>
        <v>#N/A</v>
      </c>
      <c r="P1854" s="8">
        <f t="shared" ca="1" si="344"/>
        <v>42618</v>
      </c>
      <c r="Q1854" s="6">
        <f ca="1">RANDBETWEEN(2,COUNTA('Recruitment source'!$A:$A))</f>
        <v>9</v>
      </c>
      <c r="R1854" s="8" t="e">
        <f t="shared" ca="1" si="345"/>
        <v>#N/A</v>
      </c>
      <c r="S1854" s="6" t="e">
        <f t="shared" ca="1" si="346"/>
        <v>#N/A</v>
      </c>
      <c r="T1854" s="6">
        <f t="shared" ca="1" si="336"/>
        <v>4</v>
      </c>
      <c r="U1854" s="1">
        <f t="shared" ca="1" si="347"/>
        <v>1005</v>
      </c>
    </row>
    <row r="1855" spans="1:21" x14ac:dyDescent="0.2">
      <c r="A1855" s="7" cm="1">
        <f t="array" aca="1" ref="A1855" ca="1">INDEX(Companies!$A:$A,RANDBETWEEN(2,COUNTA(Companies!$A:$A)),1)</f>
        <v>2</v>
      </c>
      <c r="B1855" s="5">
        <f t="shared" si="337"/>
        <v>1854</v>
      </c>
      <c r="C1855" s="6">
        <f t="shared" ca="1" si="338"/>
        <v>1</v>
      </c>
      <c r="D1855" s="7">
        <f ca="1">IF($B1855 = 1 + N("Presidente"),
    127,
    IF($B1855 = 2 + N("Vice-Presidente"),
        72,
        IF($B1855 = 3 + N("Secretária bilíngue"),
            13,
            RANDBETWEEN(5,COUNT(Name!$A:$A) + 1)
        )
    )
)</f>
        <v>270</v>
      </c>
      <c r="E1855" s="7" t="str">
        <f ca="1" xml:space="preserve">
VLOOKUP(
  $D1855,
  Name!$A:$B,
  2,
  FALSE
)
&amp; " " &amp;
IF($B1855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Laura Russo Alencar</v>
      </c>
      <c r="F1855" s="7">
        <v>2</v>
      </c>
      <c r="G1855" s="7" cm="1">
        <f t="array" aca="1" ref="G1855" ca="1">INDEX(States!$B:$B,RANDBETWEEN(2,COUNTA(States!$A:$A)),1)</f>
        <v>11</v>
      </c>
      <c r="H1855" s="7" t="str">
        <f ca="1">VLOOKUP($D1855,Name!$A:$C,3,FALSE)</f>
        <v>F</v>
      </c>
      <c r="I1855" s="7" cm="1">
        <f t="array" aca="1" ref="I1855" ca="1">INDEX('Marital status'!$A:$A,RANDBETWEEN(2,COUNTA('Marital status'!$A:$A)),1)</f>
        <v>4</v>
      </c>
      <c r="J1855" s="7">
        <f t="shared" ca="1" si="339"/>
        <v>3</v>
      </c>
      <c r="K1855" s="8">
        <f t="shared" ca="1" si="340"/>
        <v>33740</v>
      </c>
      <c r="L1855" s="6">
        <f t="shared" ca="1" si="341"/>
        <v>5</v>
      </c>
      <c r="M1855" s="7">
        <f ca="1" xml:space="preserve">
  IF(OR($N1855 = 2, $N1855 = 3, $N1855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855" s="6">
        <f t="shared" ca="1" si="342"/>
        <v>8</v>
      </c>
      <c r="O1855" s="6">
        <f t="shared" ca="1" si="343"/>
        <v>4</v>
      </c>
      <c r="P1855" s="8">
        <f t="shared" ca="1" si="344"/>
        <v>43239</v>
      </c>
      <c r="Q1855" s="6">
        <f ca="1">RANDBETWEEN(2,COUNTA('Recruitment source'!$A:$A))</f>
        <v>9</v>
      </c>
      <c r="R1855" s="8" t="e">
        <f t="shared" ca="1" si="345"/>
        <v>#N/A</v>
      </c>
      <c r="S1855" s="6" t="e">
        <f t="shared" ca="1" si="346"/>
        <v>#N/A</v>
      </c>
      <c r="T1855" s="6">
        <f t="shared" ca="1" si="336"/>
        <v>4</v>
      </c>
      <c r="U1855" s="1">
        <f t="shared" ca="1" si="347"/>
        <v>2080</v>
      </c>
    </row>
    <row r="1856" spans="1:21" x14ac:dyDescent="0.2">
      <c r="A1856" s="7" cm="1">
        <f t="array" aca="1" ref="A1856" ca="1">INDEX(Companies!$A:$A,RANDBETWEEN(2,COUNTA(Companies!$A:$A)),1)</f>
        <v>2</v>
      </c>
      <c r="B1856" s="5">
        <f t="shared" si="337"/>
        <v>1855</v>
      </c>
      <c r="C1856" s="6">
        <f t="shared" ca="1" si="338"/>
        <v>1</v>
      </c>
      <c r="D1856" s="7">
        <f ca="1">IF($B1856 = 1 + N("Presidente"),
    127,
    IF($B1856 = 2 + N("Vice-Presidente"),
        72,
        IF($B1856 = 3 + N("Secretária bilíngue"),
            13,
            RANDBETWEEN(5,COUNT(Name!$A:$A) + 1)
        )
    )
)</f>
        <v>37</v>
      </c>
      <c r="E1856" s="7" t="str">
        <f ca="1" xml:space="preserve">
VLOOKUP(
  $D1856,
  Name!$A:$B,
  2,
  FALSE
)
&amp; " " &amp;
IF($B1856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Vitória Silva Albuquerque</v>
      </c>
      <c r="F1856" s="7">
        <v>2</v>
      </c>
      <c r="G1856" s="7" cm="1">
        <f t="array" aca="1" ref="G1856" ca="1">INDEX(States!$B:$B,RANDBETWEEN(2,COUNTA(States!$A:$A)),1)</f>
        <v>12</v>
      </c>
      <c r="H1856" s="7" t="str">
        <f ca="1">VLOOKUP($D1856,Name!$A:$C,3,FALSE)</f>
        <v>F</v>
      </c>
      <c r="I1856" s="7" cm="1">
        <f t="array" aca="1" ref="I1856" ca="1">INDEX('Marital status'!$A:$A,RANDBETWEEN(2,COUNTA('Marital status'!$A:$A)),1)</f>
        <v>2</v>
      </c>
      <c r="J1856" s="7">
        <f t="shared" ca="1" si="339"/>
        <v>2</v>
      </c>
      <c r="K1856" s="8">
        <f t="shared" ca="1" si="340"/>
        <v>34114</v>
      </c>
      <c r="L1856" s="6">
        <f t="shared" ca="1" si="341"/>
        <v>4</v>
      </c>
      <c r="M1856" s="7">
        <f ca="1" xml:space="preserve">
  IF(OR($N1856 = 2, $N1856 = 3, $N1856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856" s="6">
        <f t="shared" ca="1" si="342"/>
        <v>7</v>
      </c>
      <c r="O1856" s="6" t="e">
        <f t="shared" ca="1" si="343"/>
        <v>#N/A</v>
      </c>
      <c r="P1856" s="8">
        <f t="shared" ca="1" si="344"/>
        <v>44514</v>
      </c>
      <c r="Q1856" s="6">
        <f ca="1">RANDBETWEEN(2,COUNTA('Recruitment source'!$A:$A))</f>
        <v>3</v>
      </c>
      <c r="R1856" s="8" t="e">
        <f t="shared" ca="1" si="345"/>
        <v>#N/A</v>
      </c>
      <c r="S1856" s="6" t="e">
        <f t="shared" ca="1" si="346"/>
        <v>#N/A</v>
      </c>
      <c r="T1856" s="6">
        <f t="shared" ca="1" si="336"/>
        <v>2</v>
      </c>
      <c r="U1856" s="1">
        <f t="shared" ca="1" si="347"/>
        <v>1085</v>
      </c>
    </row>
    <row r="1857" spans="1:21" x14ac:dyDescent="0.2">
      <c r="A1857" s="7" cm="1">
        <f t="array" aca="1" ref="A1857" ca="1">INDEX(Companies!$A:$A,RANDBETWEEN(2,COUNTA(Companies!$A:$A)),1)</f>
        <v>2</v>
      </c>
      <c r="B1857" s="5">
        <f t="shared" si="337"/>
        <v>1856</v>
      </c>
      <c r="C1857" s="6">
        <f t="shared" ca="1" si="338"/>
        <v>1</v>
      </c>
      <c r="D1857" s="7">
        <f ca="1">IF($B1857 = 1 + N("Presidente"),
    127,
    IF($B1857 = 2 + N("Vice-Presidente"),
        72,
        IF($B1857 = 3 + N("Secretária bilíngue"),
            13,
            RANDBETWEEN(5,COUNT(Name!$A:$A) + 1)
        )
    )
)</f>
        <v>351</v>
      </c>
      <c r="E1857" s="7" t="str">
        <f ca="1" xml:space="preserve">
VLOOKUP(
  $D1857,
  Name!$A:$B,
  2,
  FALSE
)
&amp; " " &amp;
IF($B1857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Vera Lucia Bragança Dias</v>
      </c>
      <c r="F1857" s="7">
        <v>2</v>
      </c>
      <c r="G1857" s="7" cm="1">
        <f t="array" aca="1" ref="G1857" ca="1">INDEX(States!$B:$B,RANDBETWEEN(2,COUNTA(States!$A:$A)),1)</f>
        <v>13</v>
      </c>
      <c r="H1857" s="7" t="str">
        <f ca="1">VLOOKUP($D1857,Name!$A:$C,3,FALSE)</f>
        <v>F</v>
      </c>
      <c r="I1857" s="7" cm="1">
        <f t="array" aca="1" ref="I1857" ca="1">INDEX('Marital status'!$A:$A,RANDBETWEEN(2,COUNTA('Marital status'!$A:$A)),1)</f>
        <v>4</v>
      </c>
      <c r="J1857" s="7">
        <f t="shared" ca="1" si="339"/>
        <v>2</v>
      </c>
      <c r="K1857" s="8">
        <f t="shared" ca="1" si="340"/>
        <v>34327</v>
      </c>
      <c r="L1857" s="6">
        <f t="shared" ca="1" si="341"/>
        <v>5</v>
      </c>
      <c r="M1857" s="7">
        <f ca="1" xml:space="preserve">
  IF(OR($N1857 = 2, $N1857 = 3, $N1857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857" s="6">
        <f t="shared" ca="1" si="342"/>
        <v>8</v>
      </c>
      <c r="O1857" s="6">
        <f t="shared" ca="1" si="343"/>
        <v>4</v>
      </c>
      <c r="P1857" s="8">
        <f t="shared" ca="1" si="344"/>
        <v>36962</v>
      </c>
      <c r="Q1857" s="6">
        <f ca="1">RANDBETWEEN(2,COUNTA('Recruitment source'!$A:$A))</f>
        <v>2</v>
      </c>
      <c r="R1857" s="8" t="e">
        <f t="shared" ca="1" si="345"/>
        <v>#N/A</v>
      </c>
      <c r="S1857" s="6" t="e">
        <f t="shared" ca="1" si="346"/>
        <v>#N/A</v>
      </c>
      <c r="T1857" s="6">
        <f t="shared" ca="1" si="336"/>
        <v>4</v>
      </c>
      <c r="U1857" s="1">
        <f t="shared" ca="1" si="347"/>
        <v>2000</v>
      </c>
    </row>
    <row r="1858" spans="1:21" x14ac:dyDescent="0.2">
      <c r="A1858" s="7" cm="1">
        <f t="array" aca="1" ref="A1858" ca="1">INDEX(Companies!$A:$A,RANDBETWEEN(2,COUNTA(Companies!$A:$A)),1)</f>
        <v>2</v>
      </c>
      <c r="B1858" s="5">
        <f t="shared" si="337"/>
        <v>1857</v>
      </c>
      <c r="C1858" s="6">
        <f t="shared" ca="1" si="338"/>
        <v>1</v>
      </c>
      <c r="D1858" s="7">
        <f ca="1">IF($B1858 = 1 + N("Presidente"),
    127,
    IF($B1858 = 2 + N("Vice-Presidente"),
        72,
        IF($B1858 = 3 + N("Secretária bilíngue"),
            13,
            RANDBETWEEN(5,COUNT(Name!$A:$A) + 1)
        )
    )
)</f>
        <v>70</v>
      </c>
      <c r="E1858" s="7" t="str">
        <f ca="1" xml:space="preserve">
VLOOKUP(
  $D1858,
  Name!$A:$B,
  2,
  FALSE
)
&amp; " " &amp;
IF($B1858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Bento Brito Pellegrini</v>
      </c>
      <c r="F1858" s="7">
        <v>2</v>
      </c>
      <c r="G1858" s="7" cm="1">
        <f t="array" aca="1" ref="G1858" ca="1">INDEX(States!$B:$B,RANDBETWEEN(2,COUNTA(States!$A:$A)),1)</f>
        <v>13</v>
      </c>
      <c r="H1858" s="7" t="str">
        <f ca="1">VLOOKUP($D1858,Name!$A:$C,3,FALSE)</f>
        <v>M</v>
      </c>
      <c r="I1858" s="7" cm="1">
        <f t="array" aca="1" ref="I1858" ca="1">INDEX('Marital status'!$A:$A,RANDBETWEEN(2,COUNTA('Marital status'!$A:$A)),1)</f>
        <v>4</v>
      </c>
      <c r="J1858" s="7">
        <f t="shared" ca="1" si="339"/>
        <v>2</v>
      </c>
      <c r="K1858" s="8">
        <f t="shared" ca="1" si="340"/>
        <v>29821</v>
      </c>
      <c r="L1858" s="6">
        <f t="shared" ca="1" si="341"/>
        <v>4</v>
      </c>
      <c r="M1858" s="7">
        <f ca="1" xml:space="preserve">
  IF(OR($N1858 = 2, $N1858 = 3, $N1858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858" s="6">
        <f t="shared" ca="1" si="342"/>
        <v>7</v>
      </c>
      <c r="O1858" s="6" t="e">
        <f t="shared" ca="1" si="343"/>
        <v>#N/A</v>
      </c>
      <c r="P1858" s="8">
        <f t="shared" ca="1" si="344"/>
        <v>40023</v>
      </c>
      <c r="Q1858" s="6">
        <f ca="1">RANDBETWEEN(2,COUNTA('Recruitment source'!$A:$A))</f>
        <v>3</v>
      </c>
      <c r="R1858" s="8" t="e">
        <f t="shared" ca="1" si="345"/>
        <v>#N/A</v>
      </c>
      <c r="S1858" s="6" t="e">
        <f t="shared" ca="1" si="346"/>
        <v>#N/A</v>
      </c>
      <c r="T1858" s="6">
        <f t="shared" ref="T1858:T1921" ca="1" si="348" xml:space="preserve">
IF(
 ISNA($R1858),
 IF(
   $N1858 = 2,
   5,
   IF(
     OR($N1858=3,$N1858=4,$N1858=5),
     RANDBETWEEN(4,5),
     IF(
       OR($N1858=11,$N1858=12),
       RANDBETWEEN(3,5),
       RANDBETWEEN(2,5)
     )
   )
 ),
 RANDBETWEEN(1,3)
)</f>
        <v>3</v>
      </c>
      <c r="U1858" s="1">
        <f t="shared" ca="1" si="347"/>
        <v>1085</v>
      </c>
    </row>
    <row r="1859" spans="1:21" x14ac:dyDescent="0.2">
      <c r="A1859" s="7" cm="1">
        <f t="array" aca="1" ref="A1859" ca="1">INDEX(Companies!$A:$A,RANDBETWEEN(2,COUNTA(Companies!$A:$A)),1)</f>
        <v>2</v>
      </c>
      <c r="B1859" s="5">
        <f t="shared" ref="B1859:B1922" si="349">ROW() - 1</f>
        <v>1858</v>
      </c>
      <c r="C1859" s="6">
        <f t="shared" ref="C1859:C1922" ca="1" si="350">IF(ISNA($R1859),1,0)</f>
        <v>1</v>
      </c>
      <c r="D1859" s="7">
        <f ca="1">IF($B1859 = 1 + N("Presidente"),
    127,
    IF($B1859 = 2 + N("Vice-Presidente"),
        72,
        IF($B1859 = 3 + N("Secretária bilíngue"),
            13,
            RANDBETWEEN(5,COUNT(Name!$A:$A) + 1)
        )
    )
)</f>
        <v>232</v>
      </c>
      <c r="E1859" s="7" t="str">
        <f ca="1" xml:space="preserve">
VLOOKUP(
  $D1859,
  Name!$A:$B,
  2,
  FALSE
)
&amp; " " &amp;
IF($B1859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Lorenzo Trindade Tavares</v>
      </c>
      <c r="F1859" s="7">
        <v>2</v>
      </c>
      <c r="G1859" s="7" cm="1">
        <f t="array" aca="1" ref="G1859" ca="1">INDEX(States!$B:$B,RANDBETWEEN(2,COUNTA(States!$A:$A)),1)</f>
        <v>12</v>
      </c>
      <c r="H1859" s="7" t="str">
        <f ca="1">VLOOKUP($D1859,Name!$A:$C,3,FALSE)</f>
        <v>M</v>
      </c>
      <c r="I1859" s="7" cm="1">
        <f t="array" aca="1" ref="I1859" ca="1">INDEX('Marital status'!$A:$A,RANDBETWEEN(2,COUNTA('Marital status'!$A:$A)),1)</f>
        <v>5</v>
      </c>
      <c r="J1859" s="7">
        <f t="shared" ref="J1859:J1922" ca="1" si="351" xml:space="preserve">
IF(AND($N1859 &gt;= 2, $N1859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4</v>
      </c>
      <c r="K1859" s="8">
        <f t="shared" ref="K1859:K1922" ca="1" si="352" xml:space="preserve">
IF($N1859 = 5 + N("CEO"),
    TODAY() - 16340,
    IF($N1859 = 8 + N("Secretary"),
        RANDBETWEEN(TODAY() - 12418.5, TODAY()-6574.5),
        IF(OR($N1859 = 7, $N1859 = 14),
            RANDBETWEEN(TODAY() - 16071, TODAY() - 8766),
            IF(OR($N1859 = 13, $N1859 = 12, $N1859 = 11),
                RANDBETWEEN(TODAY() - 27393.75, TODAY() - 12783.75),
                RANDBETWEEN(TODAY() - 27393.75, TODAY()-10957.5)
            )
        )
    )
)</f>
        <v>38052</v>
      </c>
      <c r="L1859" s="6">
        <f t="shared" ref="L1859:L1922" ca="1" si="353" xml:space="preserve">
IF(OR($N1859 = 2, $N1859 = 3) + N("Se for presidente ou vice-presidente"),
    7 + N("Doutor"),
    IF($N1859 = 4 + N("Se for diretor"),
        RANDBETWEEN(5,7) + N("Graduate school or Master’s degree or Doctorate"),
        IF($N1859 = 11 + N("Se for gerente"),
            RANDBETWEEN(4,6) + N("Undergraduate degree or Graduate school or Master’s degree"),
            IF(AND($N1859 &gt;= 8, $N1859 &lt;= 10) + N("If coordinator or specialist or analyst"),
                RANDBETWEEN(4,5),
                4
            )
        )
    )
)</f>
        <v>5</v>
      </c>
      <c r="M1859" s="7">
        <f ca="1" xml:space="preserve">
  IF(OR($N1859 = 2, $N1859 = 3, $N1859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859" s="6">
        <f t="shared" ref="N1859:N1922" ca="1" si="354" xml:space="preserve">
IF($B1859 = 1 + N("Se matrícula for 1"),
  2 + N("Presidente"),
  IF($B1859 = 2 + N("Se matrícula for 2"),
    3 + N("Vice-presidente"),
    IF($B1859 = 3 + N("Se matrícula for 3"),
      5 + N("Secretária bilíngue"),
      IF(AND($B1859 &gt;= 4, $B1859 &lt;=14),
        4 + N("Diretor"),
        IF(AND($B1859 &gt;= 15, $B1859 &lt;= 25),
          11 + N("Manager"),
          IF(AND($B1859 &gt;= 26, $B1859 &lt;= 36),
            10 + N("Coordinador"),
            IF(AND($B1859 &gt;= 37, $B1859 &lt;= 47),
              9 + N("Especialista"),
                IF(MOD($B1859,2) = 0,
                  8 + N("Analista"),
                  RANDBETWEEN(6,7) + N("Estagiário ou Trainee")
                )
            )
          )
        )
      )
    )
  )
)</f>
        <v>8</v>
      </c>
      <c r="O1859" s="6">
        <f t="shared" ref="O1859:O1922" ca="1" si="355" xml:space="preserve">
IF($N1859 =8 + N("Analyst"),
    RANDBETWEEN(2, 4) + N("Jr, Pleno, Sr"),
    NA()
)</f>
        <v>2</v>
      </c>
      <c r="P1859" s="8">
        <f t="shared" ref="P1859:P1922" ca="1" si="356" xml:space="preserve">
IF(
   $N1859=2 + N("Presidente"),
   36161,
   IF(
       OR(
         $N1859=3 + N("Vice-Presidente"),
         $N1859=4 + N("Diretor"),
         $N1859=5 + N("Secretária bilíngue")
       ),
       RANDBETWEEN(36161,36411),
       IF(
         ((TODAY() - $K1859) / 365) &lt; 19,
         TODAY(),
         RANDBETWEEN(36161,TODAY())
       )
   )
)</f>
        <v>44838</v>
      </c>
      <c r="Q1859" s="6">
        <f ca="1">RANDBETWEEN(2,COUNTA('Recruitment source'!$A:$A))</f>
        <v>11</v>
      </c>
      <c r="R1859" s="8" t="e">
        <f t="shared" ref="R1859:R1922" ca="1" si="357" xml:space="preserve">
IF(MOD(
     ROW(),111
   )=0,
   RANDBETWEEN($P1859 + 1,TODAY() - 1),NA()
)</f>
        <v>#N/A</v>
      </c>
      <c r="S1859" s="6" t="e">
        <f t="shared" ref="S1859:S1922" ca="1" si="358" xml:space="preserve">
IF(
  ISNA(R1859),
  NA(),
  RANDBETWEEN(2,IF($H1859="F",10,9))
)</f>
        <v>#N/A</v>
      </c>
      <c r="T1859" s="6">
        <f t="shared" ca="1" si="348"/>
        <v>5</v>
      </c>
      <c r="U1859" s="1">
        <f t="shared" ref="U1859:U1922" ca="1" si="359" xml:space="preserve">
IF($N1859 = 2 + N("Presidente"),
    25000,
    IF($N1859 = 3 + N("Vice-presidente"),
        23000,
        IF(OR($N1859 = 5, $N1859= 10, $N1859 = 9) + N("Secretária bilíngue ou coordenador ou especialista"),
            8000,
            IF($N1859 = 4 + N("Diretor"),
                15000,
                IF($N1859 = 11 + N("Gerente"),
                    12000,
                    IF($N1859 = 6 + N("Estagiário"),
                        805,
                        IF($N1859 = 7 + N("Trainee"),
                            1005,
                            IF($N1859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IF($L1859 = 7,
  100,
  IF($L1859 = 8,
    200,
    IF($L1859 = 9,
      300,
      IF($L1859 = 10,
        400,
        0
      )
    )
  )
)
+
N("Adicional no salário por área")
+
IF($M1859 = 14 + N("Tecnologia da Informação"),
  120,
  IF($M1859 = 16 + N("Vendas"),
    110,
    IF($M1859 = 15 + N("Jurídico"),
      100,
      IF(OR($M1859 = 8, $M1859 = 9, $M1859 = 11) + N("Recursos humanos ou comercial ou comunicação e marketing"),
        80,
        0
      )
    )
  )
)
+
N("Adicionando pegadinha")
+
IF(AND($M1859 = 13, $N1859 = 8) + N("Se for de vendas e analista"),
  IF($J1859 = 2,
    50,
    0
  )
  +
  IF($H1859 = "M",
    50,
    0
  ),
  0
)</f>
        <v>2000</v>
      </c>
    </row>
    <row r="1860" spans="1:21" x14ac:dyDescent="0.2">
      <c r="A1860" s="7" cm="1">
        <f t="array" aca="1" ref="A1860" ca="1">INDEX(Companies!$A:$A,RANDBETWEEN(2,COUNTA(Companies!$A:$A)),1)</f>
        <v>2</v>
      </c>
      <c r="B1860" s="5">
        <f t="shared" si="349"/>
        <v>1859</v>
      </c>
      <c r="C1860" s="6">
        <f t="shared" ca="1" si="350"/>
        <v>1</v>
      </c>
      <c r="D1860" s="7">
        <f ca="1">IF($B1860 = 1 + N("Presidente"),
    127,
    IF($B1860 = 2 + N("Vice-Presidente"),
        72,
        IF($B1860 = 3 + N("Secretária bilíngue"),
            13,
            RANDBETWEEN(5,COUNT(Name!$A:$A) + 1)
        )
    )
)</f>
        <v>359</v>
      </c>
      <c r="E1860" s="7" t="str">
        <f ca="1" xml:space="preserve">
VLOOKUP(
  $D1860,
  Name!$A:$B,
  2,
  FALSE
)
&amp; " " &amp;
IF($B1860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Vitor Barboza Ferrari</v>
      </c>
      <c r="F1860" s="7">
        <v>2</v>
      </c>
      <c r="G1860" s="7" cm="1">
        <f t="array" aca="1" ref="G1860" ca="1">INDEX(States!$B:$B,RANDBETWEEN(2,COUNTA(States!$A:$A)),1)</f>
        <v>3</v>
      </c>
      <c r="H1860" s="7" t="str">
        <f ca="1">VLOOKUP($D1860,Name!$A:$C,3,FALSE)</f>
        <v>M</v>
      </c>
      <c r="I1860" s="7" cm="1">
        <f t="array" aca="1" ref="I1860" ca="1">INDEX('Marital status'!$A:$A,RANDBETWEEN(2,COUNTA('Marital status'!$A:$A)),1)</f>
        <v>4</v>
      </c>
      <c r="J1860" s="7">
        <f t="shared" ca="1" si="351"/>
        <v>2</v>
      </c>
      <c r="K1860" s="8">
        <f t="shared" ca="1" si="352"/>
        <v>23115</v>
      </c>
      <c r="L1860" s="6">
        <f t="shared" ca="1" si="353"/>
        <v>4</v>
      </c>
      <c r="M1860" s="7">
        <f ca="1" xml:space="preserve">
  IF(OR($N1860 = 2, $N1860 = 3, $N1860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860" s="6">
        <f t="shared" ca="1" si="354"/>
        <v>6</v>
      </c>
      <c r="O1860" s="6" t="e">
        <f t="shared" ca="1" si="355"/>
        <v>#N/A</v>
      </c>
      <c r="P1860" s="8">
        <f t="shared" ca="1" si="356"/>
        <v>38153</v>
      </c>
      <c r="Q1860" s="6">
        <f ca="1">RANDBETWEEN(2,COUNTA('Recruitment source'!$A:$A))</f>
        <v>11</v>
      </c>
      <c r="R1860" s="8" t="e">
        <f t="shared" ca="1" si="357"/>
        <v>#N/A</v>
      </c>
      <c r="S1860" s="6" t="e">
        <f t="shared" ca="1" si="358"/>
        <v>#N/A</v>
      </c>
      <c r="T1860" s="6">
        <f t="shared" ca="1" si="348"/>
        <v>4</v>
      </c>
      <c r="U1860" s="1">
        <f t="shared" ca="1" si="359"/>
        <v>885</v>
      </c>
    </row>
    <row r="1861" spans="1:21" x14ac:dyDescent="0.2">
      <c r="A1861" s="7" cm="1">
        <f t="array" aca="1" ref="A1861" ca="1">INDEX(Companies!$A:$A,RANDBETWEEN(2,COUNTA(Companies!$A:$A)),1)</f>
        <v>2</v>
      </c>
      <c r="B1861" s="5">
        <f t="shared" si="349"/>
        <v>1860</v>
      </c>
      <c r="C1861" s="6">
        <f t="shared" ca="1" si="350"/>
        <v>1</v>
      </c>
      <c r="D1861" s="7">
        <f ca="1">IF($B1861 = 1 + N("Presidente"),
    127,
    IF($B1861 = 2 + N("Vice-Presidente"),
        72,
        IF($B1861 = 3 + N("Secretária bilíngue"),
            13,
            RANDBETWEEN(5,COUNT(Name!$A:$A) + 1)
        )
    )
)</f>
        <v>146</v>
      </c>
      <c r="E1861" s="7" t="str">
        <f ca="1" xml:space="preserve">
VLOOKUP(
  $D1861,
  Name!$A:$B,
  2,
  FALSE
)
&amp; " " &amp;
IF($B1861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Francisco Braga Rocha</v>
      </c>
      <c r="F1861" s="7">
        <v>2</v>
      </c>
      <c r="G1861" s="7" cm="1">
        <f t="array" aca="1" ref="G1861" ca="1">INDEX(States!$B:$B,RANDBETWEEN(2,COUNTA(States!$A:$A)),1)</f>
        <v>16</v>
      </c>
      <c r="H1861" s="7" t="str">
        <f ca="1">VLOOKUP($D1861,Name!$A:$C,3,FALSE)</f>
        <v>M</v>
      </c>
      <c r="I1861" s="7" cm="1">
        <f t="array" aca="1" ref="I1861" ca="1">INDEX('Marital status'!$A:$A,RANDBETWEEN(2,COUNTA('Marital status'!$A:$A)),1)</f>
        <v>2</v>
      </c>
      <c r="J1861" s="7">
        <f t="shared" ca="1" si="351"/>
        <v>2</v>
      </c>
      <c r="K1861" s="8">
        <f t="shared" ca="1" si="352"/>
        <v>34342</v>
      </c>
      <c r="L1861" s="6">
        <f t="shared" ca="1" si="353"/>
        <v>5</v>
      </c>
      <c r="M1861" s="7">
        <f ca="1" xml:space="preserve">
  IF(OR($N1861 = 2, $N1861 = 3, $N1861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861" s="6">
        <f t="shared" ca="1" si="354"/>
        <v>8</v>
      </c>
      <c r="O1861" s="6">
        <f t="shared" ca="1" si="355"/>
        <v>3</v>
      </c>
      <c r="P1861" s="8">
        <f t="shared" ca="1" si="356"/>
        <v>37086</v>
      </c>
      <c r="Q1861" s="6">
        <f ca="1">RANDBETWEEN(2,COUNTA('Recruitment source'!$A:$A))</f>
        <v>6</v>
      </c>
      <c r="R1861" s="8" t="e">
        <f t="shared" ca="1" si="357"/>
        <v>#N/A</v>
      </c>
      <c r="S1861" s="6" t="e">
        <f t="shared" ca="1" si="358"/>
        <v>#N/A</v>
      </c>
      <c r="T1861" s="6">
        <f t="shared" ca="1" si="348"/>
        <v>2</v>
      </c>
      <c r="U1861" s="1">
        <f t="shared" ca="1" si="359"/>
        <v>2000</v>
      </c>
    </row>
    <row r="1862" spans="1:21" x14ac:dyDescent="0.2">
      <c r="A1862" s="7" cm="1">
        <f t="array" aca="1" ref="A1862" ca="1">INDEX(Companies!$A:$A,RANDBETWEEN(2,COUNTA(Companies!$A:$A)),1)</f>
        <v>2</v>
      </c>
      <c r="B1862" s="5">
        <f t="shared" si="349"/>
        <v>1861</v>
      </c>
      <c r="C1862" s="6">
        <f t="shared" ca="1" si="350"/>
        <v>1</v>
      </c>
      <c r="D1862" s="7">
        <f ca="1">IF($B1862 = 1 + N("Presidente"),
    127,
    IF($B1862 = 2 + N("Vice-Presidente"),
        72,
        IF($B1862 = 3 + N("Secretária bilíngue"),
            13,
            RANDBETWEEN(5,COUNT(Name!$A:$A) + 1)
        )
    )
)</f>
        <v>158</v>
      </c>
      <c r="E1862" s="7" t="str">
        <f ca="1" xml:space="preserve">
VLOOKUP(
  $D1862,
  Name!$A:$B,
  2,
  FALSE
)
&amp; " " &amp;
IF($B1862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Guilherme Augusto Moretti Martinelli</v>
      </c>
      <c r="F1862" s="7">
        <v>2</v>
      </c>
      <c r="G1862" s="7" cm="1">
        <f t="array" aca="1" ref="G1862" ca="1">INDEX(States!$B:$B,RANDBETWEEN(2,COUNTA(States!$A:$A)),1)</f>
        <v>20</v>
      </c>
      <c r="H1862" s="7" t="str">
        <f ca="1">VLOOKUP($D1862,Name!$A:$C,3,FALSE)</f>
        <v>M</v>
      </c>
      <c r="I1862" s="7" cm="1">
        <f t="array" aca="1" ref="I1862" ca="1">INDEX('Marital status'!$A:$A,RANDBETWEEN(2,COUNTA('Marital status'!$A:$A)),1)</f>
        <v>3</v>
      </c>
      <c r="J1862" s="7">
        <f t="shared" ca="1" si="351"/>
        <v>5</v>
      </c>
      <c r="K1862" s="8">
        <f t="shared" ca="1" si="352"/>
        <v>17870</v>
      </c>
      <c r="L1862" s="6">
        <f t="shared" ca="1" si="353"/>
        <v>4</v>
      </c>
      <c r="M1862" s="7">
        <f ca="1" xml:space="preserve">
  IF(OR($N1862 = 2, $N1862 = 3, $N1862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862" s="6">
        <f t="shared" ca="1" si="354"/>
        <v>6</v>
      </c>
      <c r="O1862" s="6" t="e">
        <f t="shared" ca="1" si="355"/>
        <v>#N/A</v>
      </c>
      <c r="P1862" s="8">
        <f t="shared" ca="1" si="356"/>
        <v>41194</v>
      </c>
      <c r="Q1862" s="6">
        <f ca="1">RANDBETWEEN(2,COUNTA('Recruitment source'!$A:$A))</f>
        <v>4</v>
      </c>
      <c r="R1862" s="8" t="e">
        <f t="shared" ca="1" si="357"/>
        <v>#N/A</v>
      </c>
      <c r="S1862" s="6" t="e">
        <f t="shared" ca="1" si="358"/>
        <v>#N/A</v>
      </c>
      <c r="T1862" s="6">
        <f t="shared" ca="1" si="348"/>
        <v>4</v>
      </c>
      <c r="U1862" s="1">
        <f t="shared" ca="1" si="359"/>
        <v>805</v>
      </c>
    </row>
    <row r="1863" spans="1:21" x14ac:dyDescent="0.2">
      <c r="A1863" s="7" cm="1">
        <f t="array" aca="1" ref="A1863" ca="1">INDEX(Companies!$A:$A,RANDBETWEEN(2,COUNTA(Companies!$A:$A)),1)</f>
        <v>2</v>
      </c>
      <c r="B1863" s="5">
        <f t="shared" si="349"/>
        <v>1862</v>
      </c>
      <c r="C1863" s="6">
        <f t="shared" ca="1" si="350"/>
        <v>1</v>
      </c>
      <c r="D1863" s="7">
        <f ca="1">IF($B1863 = 1 + N("Presidente"),
    127,
    IF($B1863 = 2 + N("Vice-Presidente"),
        72,
        IF($B1863 = 3 + N("Secretária bilíngue"),
            13,
            RANDBETWEEN(5,COUNT(Name!$A:$A) + 1)
        )
    )
)</f>
        <v>184</v>
      </c>
      <c r="E1863" s="7" t="str">
        <f ca="1" xml:space="preserve">
VLOOKUP(
  $D1863,
  Name!$A:$B,
  2,
  FALSE
)
&amp; " " &amp;
IF($B1863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Joanna Fernandes Anjos</v>
      </c>
      <c r="F1863" s="7">
        <v>2</v>
      </c>
      <c r="G1863" s="7" cm="1">
        <f t="array" aca="1" ref="G1863" ca="1">INDEX(States!$B:$B,RANDBETWEEN(2,COUNTA(States!$A:$A)),1)</f>
        <v>19</v>
      </c>
      <c r="H1863" s="7" t="str">
        <f ca="1">VLOOKUP($D1863,Name!$A:$C,3,FALSE)</f>
        <v>F</v>
      </c>
      <c r="I1863" s="7" cm="1">
        <f t="array" aca="1" ref="I1863" ca="1">INDEX('Marital status'!$A:$A,RANDBETWEEN(2,COUNTA('Marital status'!$A:$A)),1)</f>
        <v>5</v>
      </c>
      <c r="J1863" s="7">
        <f t="shared" ca="1" si="351"/>
        <v>2</v>
      </c>
      <c r="K1863" s="8">
        <f t="shared" ca="1" si="352"/>
        <v>33749</v>
      </c>
      <c r="L1863" s="6">
        <f t="shared" ca="1" si="353"/>
        <v>5</v>
      </c>
      <c r="M1863" s="7">
        <f ca="1" xml:space="preserve">
  IF(OR($N1863 = 2, $N1863 = 3, $N1863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863" s="6">
        <f t="shared" ca="1" si="354"/>
        <v>8</v>
      </c>
      <c r="O1863" s="6">
        <f t="shared" ca="1" si="355"/>
        <v>3</v>
      </c>
      <c r="P1863" s="8">
        <f t="shared" ca="1" si="356"/>
        <v>39769</v>
      </c>
      <c r="Q1863" s="6">
        <f ca="1">RANDBETWEEN(2,COUNTA('Recruitment source'!$A:$A))</f>
        <v>12</v>
      </c>
      <c r="R1863" s="8" t="e">
        <f t="shared" ca="1" si="357"/>
        <v>#N/A</v>
      </c>
      <c r="S1863" s="6" t="e">
        <f t="shared" ca="1" si="358"/>
        <v>#N/A</v>
      </c>
      <c r="T1863" s="6">
        <f t="shared" ca="1" si="348"/>
        <v>2</v>
      </c>
      <c r="U1863" s="1">
        <f t="shared" ca="1" si="359"/>
        <v>2000</v>
      </c>
    </row>
    <row r="1864" spans="1:21" x14ac:dyDescent="0.2">
      <c r="A1864" s="7" cm="1">
        <f t="array" aca="1" ref="A1864" ca="1">INDEX(Companies!$A:$A,RANDBETWEEN(2,COUNTA(Companies!$A:$A)),1)</f>
        <v>2</v>
      </c>
      <c r="B1864" s="5">
        <f t="shared" si="349"/>
        <v>1863</v>
      </c>
      <c r="C1864" s="6">
        <f t="shared" ca="1" si="350"/>
        <v>1</v>
      </c>
      <c r="D1864" s="7">
        <f ca="1">IF($B1864 = 1 + N("Presidente"),
    127,
    IF($B1864 = 2 + N("Vice-Presidente"),
        72,
        IF($B1864 = 3 + N("Secretária bilíngue"),
            13,
            RANDBETWEEN(5,COUNT(Name!$A:$A) + 1)
        )
    )
)</f>
        <v>122</v>
      </c>
      <c r="E1864" s="7" t="str">
        <f ca="1" xml:space="preserve">
VLOOKUP(
  $D1864,
  Name!$A:$B,
  2,
  FALSE
)
&amp; " " &amp;
IF($B1864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Emanuel Brasão Russo</v>
      </c>
      <c r="F1864" s="7">
        <v>2</v>
      </c>
      <c r="G1864" s="7" cm="1">
        <f t="array" aca="1" ref="G1864" ca="1">INDEX(States!$B:$B,RANDBETWEEN(2,COUNTA(States!$A:$A)),1)</f>
        <v>5</v>
      </c>
      <c r="H1864" s="7" t="str">
        <f ca="1">VLOOKUP($D1864,Name!$A:$C,3,FALSE)</f>
        <v>M</v>
      </c>
      <c r="I1864" s="7" cm="1">
        <f t="array" aca="1" ref="I1864" ca="1">INDEX('Marital status'!$A:$A,RANDBETWEEN(2,COUNTA('Marital status'!$A:$A)),1)</f>
        <v>4</v>
      </c>
      <c r="J1864" s="7">
        <f t="shared" ca="1" si="351"/>
        <v>2</v>
      </c>
      <c r="K1864" s="8">
        <f t="shared" ca="1" si="352"/>
        <v>19295</v>
      </c>
      <c r="L1864" s="6">
        <f t="shared" ca="1" si="353"/>
        <v>4</v>
      </c>
      <c r="M1864" s="7">
        <f ca="1" xml:space="preserve">
  IF(OR($N1864 = 2, $N1864 = 3, $N1864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864" s="6">
        <f t="shared" ca="1" si="354"/>
        <v>6</v>
      </c>
      <c r="O1864" s="6" t="e">
        <f t="shared" ca="1" si="355"/>
        <v>#N/A</v>
      </c>
      <c r="P1864" s="8">
        <f t="shared" ca="1" si="356"/>
        <v>40716</v>
      </c>
      <c r="Q1864" s="6">
        <f ca="1">RANDBETWEEN(2,COUNTA('Recruitment source'!$A:$A))</f>
        <v>10</v>
      </c>
      <c r="R1864" s="8" t="e">
        <f t="shared" ca="1" si="357"/>
        <v>#N/A</v>
      </c>
      <c r="S1864" s="6" t="e">
        <f t="shared" ca="1" si="358"/>
        <v>#N/A</v>
      </c>
      <c r="T1864" s="6">
        <f t="shared" ca="1" si="348"/>
        <v>5</v>
      </c>
      <c r="U1864" s="1">
        <f t="shared" ca="1" si="359"/>
        <v>805</v>
      </c>
    </row>
    <row r="1865" spans="1:21" x14ac:dyDescent="0.2">
      <c r="A1865" s="7" cm="1">
        <f t="array" aca="1" ref="A1865" ca="1">INDEX(Companies!$A:$A,RANDBETWEEN(2,COUNTA(Companies!$A:$A)),1)</f>
        <v>2</v>
      </c>
      <c r="B1865" s="5">
        <f t="shared" si="349"/>
        <v>1864</v>
      </c>
      <c r="C1865" s="6">
        <f t="shared" ca="1" si="350"/>
        <v>1</v>
      </c>
      <c r="D1865" s="7">
        <f ca="1">IF($B1865 = 1 + N("Presidente"),
    127,
    IF($B1865 = 2 + N("Vice-Presidente"),
        72,
        IF($B1865 = 3 + N("Secretária bilíngue"),
            13,
            RANDBETWEEN(5,COUNT(Name!$A:$A) + 1)
        )
    )
)</f>
        <v>233</v>
      </c>
      <c r="E1865" s="7" t="str">
        <f ca="1" xml:space="preserve">
VLOOKUP(
  $D1865,
  Name!$A:$B,
  2,
  FALSE
)
&amp; " " &amp;
IF($B1865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Lorenzo Augusto Bactista Ribeiro</v>
      </c>
      <c r="F1865" s="7">
        <v>2</v>
      </c>
      <c r="G1865" s="7" cm="1">
        <f t="array" aca="1" ref="G1865" ca="1">INDEX(States!$B:$B,RANDBETWEEN(2,COUNTA(States!$A:$A)),1)</f>
        <v>8</v>
      </c>
      <c r="H1865" s="7" t="str">
        <f ca="1">VLOOKUP($D1865,Name!$A:$C,3,FALSE)</f>
        <v>M</v>
      </c>
      <c r="I1865" s="7" cm="1">
        <f t="array" aca="1" ref="I1865" ca="1">INDEX('Marital status'!$A:$A,RANDBETWEEN(2,COUNTA('Marital status'!$A:$A)),1)</f>
        <v>5</v>
      </c>
      <c r="J1865" s="7">
        <f t="shared" ca="1" si="351"/>
        <v>2</v>
      </c>
      <c r="K1865" s="8">
        <f t="shared" ca="1" si="352"/>
        <v>32927</v>
      </c>
      <c r="L1865" s="6">
        <f t="shared" ca="1" si="353"/>
        <v>4</v>
      </c>
      <c r="M1865" s="7">
        <f ca="1" xml:space="preserve">
  IF(OR($N1865 = 2, $N1865 = 3, $N1865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865" s="6">
        <f t="shared" ca="1" si="354"/>
        <v>8</v>
      </c>
      <c r="O1865" s="6">
        <f t="shared" ca="1" si="355"/>
        <v>2</v>
      </c>
      <c r="P1865" s="8">
        <f t="shared" ca="1" si="356"/>
        <v>39992</v>
      </c>
      <c r="Q1865" s="6">
        <f ca="1">RANDBETWEEN(2,COUNTA('Recruitment source'!$A:$A))</f>
        <v>6</v>
      </c>
      <c r="R1865" s="8" t="e">
        <f t="shared" ca="1" si="357"/>
        <v>#N/A</v>
      </c>
      <c r="S1865" s="6" t="e">
        <f t="shared" ca="1" si="358"/>
        <v>#N/A</v>
      </c>
      <c r="T1865" s="6">
        <f t="shared" ca="1" si="348"/>
        <v>3</v>
      </c>
      <c r="U1865" s="1">
        <f t="shared" ca="1" si="359"/>
        <v>2080</v>
      </c>
    </row>
    <row r="1866" spans="1:21" x14ac:dyDescent="0.2">
      <c r="A1866" s="7" cm="1">
        <f t="array" aca="1" ref="A1866" ca="1">INDEX(Companies!$A:$A,RANDBETWEEN(2,COUNTA(Companies!$A:$A)),1)</f>
        <v>2</v>
      </c>
      <c r="B1866" s="5">
        <f t="shared" si="349"/>
        <v>1865</v>
      </c>
      <c r="C1866" s="6">
        <f t="shared" ca="1" si="350"/>
        <v>1</v>
      </c>
      <c r="D1866" s="7">
        <f ca="1">IF($B1866 = 1 + N("Presidente"),
    127,
    IF($B1866 = 2 + N("Vice-Presidente"),
        72,
        IF($B1866 = 3 + N("Secretária bilíngue"),
            13,
            RANDBETWEEN(5,COUNT(Name!$A:$A) + 1)
        )
    )
)</f>
        <v>181</v>
      </c>
      <c r="E1866" s="7" t="str">
        <f ca="1" xml:space="preserve">
VLOOKUP(
  $D1866,
  Name!$A:$B,
  2,
  FALSE
)
&amp; " " &amp;
IF($B1866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Isys Leite Coelho</v>
      </c>
      <c r="F1866" s="7">
        <v>2</v>
      </c>
      <c r="G1866" s="7" cm="1">
        <f t="array" aca="1" ref="G1866" ca="1">INDEX(States!$B:$B,RANDBETWEEN(2,COUNTA(States!$A:$A)),1)</f>
        <v>4</v>
      </c>
      <c r="H1866" s="7" t="str">
        <f ca="1">VLOOKUP($D1866,Name!$A:$C,3,FALSE)</f>
        <v>F</v>
      </c>
      <c r="I1866" s="7" cm="1">
        <f t="array" aca="1" ref="I1866" ca="1">INDEX('Marital status'!$A:$A,RANDBETWEEN(2,COUNTA('Marital status'!$A:$A)),1)</f>
        <v>2</v>
      </c>
      <c r="J1866" s="7">
        <f t="shared" ca="1" si="351"/>
        <v>2</v>
      </c>
      <c r="K1866" s="8">
        <f t="shared" ca="1" si="352"/>
        <v>35550</v>
      </c>
      <c r="L1866" s="6">
        <f t="shared" ca="1" si="353"/>
        <v>4</v>
      </c>
      <c r="M1866" s="7">
        <f ca="1" xml:space="preserve">
  IF(OR($N1866 = 2, $N1866 = 3, $N1866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866" s="6">
        <f t="shared" ca="1" si="354"/>
        <v>7</v>
      </c>
      <c r="O1866" s="6" t="e">
        <f t="shared" ca="1" si="355"/>
        <v>#N/A</v>
      </c>
      <c r="P1866" s="8">
        <f t="shared" ca="1" si="356"/>
        <v>41257</v>
      </c>
      <c r="Q1866" s="6">
        <f ca="1">RANDBETWEEN(2,COUNTA('Recruitment source'!$A:$A))</f>
        <v>9</v>
      </c>
      <c r="R1866" s="8" t="e">
        <f t="shared" ca="1" si="357"/>
        <v>#N/A</v>
      </c>
      <c r="S1866" s="6" t="e">
        <f t="shared" ca="1" si="358"/>
        <v>#N/A</v>
      </c>
      <c r="T1866" s="6">
        <f t="shared" ca="1" si="348"/>
        <v>4</v>
      </c>
      <c r="U1866" s="1">
        <f t="shared" ca="1" si="359"/>
        <v>1085</v>
      </c>
    </row>
    <row r="1867" spans="1:21" x14ac:dyDescent="0.2">
      <c r="A1867" s="7" cm="1">
        <f t="array" aca="1" ref="A1867" ca="1">INDEX(Companies!$A:$A,RANDBETWEEN(2,COUNTA(Companies!$A:$A)),1)</f>
        <v>2</v>
      </c>
      <c r="B1867" s="5">
        <f t="shared" si="349"/>
        <v>1866</v>
      </c>
      <c r="C1867" s="6">
        <f t="shared" ca="1" si="350"/>
        <v>1</v>
      </c>
      <c r="D1867" s="7">
        <f ca="1">IF($B1867 = 1 + N("Presidente"),
    127,
    IF($B1867 = 2 + N("Vice-Presidente"),
        72,
        IF($B1867 = 3 + N("Secretária bilíngue"),
            13,
            RANDBETWEEN(5,COUNT(Name!$A:$A) + 1)
        )
    )
)</f>
        <v>287</v>
      </c>
      <c r="E1867" s="7" t="str">
        <f ca="1" xml:space="preserve">
VLOOKUP(
  $D1867,
  Name!$A:$B,
  2,
  FALSE
)
&amp; " " &amp;
IF($B1867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Matheus Lopes Arruda</v>
      </c>
      <c r="F1867" s="7">
        <v>2</v>
      </c>
      <c r="G1867" s="7" cm="1">
        <f t="array" aca="1" ref="G1867" ca="1">INDEX(States!$B:$B,RANDBETWEEN(2,COUNTA(States!$A:$A)),1)</f>
        <v>20</v>
      </c>
      <c r="H1867" s="7" t="str">
        <f ca="1">VLOOKUP($D1867,Name!$A:$C,3,FALSE)</f>
        <v>M</v>
      </c>
      <c r="I1867" s="7" cm="1">
        <f t="array" aca="1" ref="I1867" ca="1">INDEX('Marital status'!$A:$A,RANDBETWEEN(2,COUNTA('Marital status'!$A:$A)),1)</f>
        <v>6</v>
      </c>
      <c r="J1867" s="7">
        <f t="shared" ca="1" si="351"/>
        <v>2</v>
      </c>
      <c r="K1867" s="8">
        <f t="shared" ca="1" si="352"/>
        <v>35854</v>
      </c>
      <c r="L1867" s="6">
        <f t="shared" ca="1" si="353"/>
        <v>5</v>
      </c>
      <c r="M1867" s="7">
        <f ca="1" xml:space="preserve">
  IF(OR($N1867 = 2, $N1867 = 3, $N1867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867" s="6">
        <f t="shared" ca="1" si="354"/>
        <v>8</v>
      </c>
      <c r="O1867" s="6">
        <f t="shared" ca="1" si="355"/>
        <v>4</v>
      </c>
      <c r="P1867" s="8">
        <f t="shared" ca="1" si="356"/>
        <v>43553</v>
      </c>
      <c r="Q1867" s="6">
        <f ca="1">RANDBETWEEN(2,COUNTA('Recruitment source'!$A:$A))</f>
        <v>2</v>
      </c>
      <c r="R1867" s="8" t="e">
        <f t="shared" ca="1" si="357"/>
        <v>#N/A</v>
      </c>
      <c r="S1867" s="6" t="e">
        <f t="shared" ca="1" si="358"/>
        <v>#N/A</v>
      </c>
      <c r="T1867" s="6">
        <f t="shared" ca="1" si="348"/>
        <v>2</v>
      </c>
      <c r="U1867" s="1">
        <f t="shared" ca="1" si="359"/>
        <v>2000</v>
      </c>
    </row>
    <row r="1868" spans="1:21" x14ac:dyDescent="0.2">
      <c r="A1868" s="7" cm="1">
        <f t="array" aca="1" ref="A1868" ca="1">INDEX(Companies!$A:$A,RANDBETWEEN(2,COUNTA(Companies!$A:$A)),1)</f>
        <v>2</v>
      </c>
      <c r="B1868" s="5">
        <f t="shared" si="349"/>
        <v>1867</v>
      </c>
      <c r="C1868" s="6">
        <f t="shared" ca="1" si="350"/>
        <v>1</v>
      </c>
      <c r="D1868" s="7">
        <f ca="1">IF($B1868 = 1 + N("Presidente"),
    127,
    IF($B1868 = 2 + N("Vice-Presidente"),
        72,
        IF($B1868 = 3 + N("Secretária bilíngue"),
            13,
            RANDBETWEEN(5,COUNT(Name!$A:$A) + 1)
        )
    )
)</f>
        <v>170</v>
      </c>
      <c r="E1868" s="7" t="str">
        <f ca="1" xml:space="preserve">
VLOOKUP(
  $D1868,
  Name!$A:$B,
  2,
  FALSE
)
&amp; " " &amp;
IF($B1868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Iara Testa Marques</v>
      </c>
      <c r="F1868" s="7">
        <v>2</v>
      </c>
      <c r="G1868" s="7" cm="1">
        <f t="array" aca="1" ref="G1868" ca="1">INDEX(States!$B:$B,RANDBETWEEN(2,COUNTA(States!$A:$A)),1)</f>
        <v>13</v>
      </c>
      <c r="H1868" s="7" t="str">
        <f ca="1">VLOOKUP($D1868,Name!$A:$C,3,FALSE)</f>
        <v>F</v>
      </c>
      <c r="I1868" s="7" cm="1">
        <f t="array" aca="1" ref="I1868" ca="1">INDEX('Marital status'!$A:$A,RANDBETWEEN(2,COUNTA('Marital status'!$A:$A)),1)</f>
        <v>2</v>
      </c>
      <c r="J1868" s="7">
        <f t="shared" ca="1" si="351"/>
        <v>2</v>
      </c>
      <c r="K1868" s="8">
        <f t="shared" ca="1" si="352"/>
        <v>30747</v>
      </c>
      <c r="L1868" s="6">
        <f t="shared" ca="1" si="353"/>
        <v>4</v>
      </c>
      <c r="M1868" s="7">
        <f ca="1" xml:space="preserve">
  IF(OR($N1868 = 2, $N1868 = 3, $N1868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868" s="6">
        <f t="shared" ca="1" si="354"/>
        <v>7</v>
      </c>
      <c r="O1868" s="6" t="e">
        <f t="shared" ca="1" si="355"/>
        <v>#N/A</v>
      </c>
      <c r="P1868" s="8">
        <f t="shared" ca="1" si="356"/>
        <v>44649</v>
      </c>
      <c r="Q1868" s="6">
        <f ca="1">RANDBETWEEN(2,COUNTA('Recruitment source'!$A:$A))</f>
        <v>2</v>
      </c>
      <c r="R1868" s="8" t="e">
        <f t="shared" ca="1" si="357"/>
        <v>#N/A</v>
      </c>
      <c r="S1868" s="6" t="e">
        <f t="shared" ca="1" si="358"/>
        <v>#N/A</v>
      </c>
      <c r="T1868" s="6">
        <f t="shared" ca="1" si="348"/>
        <v>4</v>
      </c>
      <c r="U1868" s="1">
        <f t="shared" ca="1" si="359"/>
        <v>1005</v>
      </c>
    </row>
    <row r="1869" spans="1:21" x14ac:dyDescent="0.2">
      <c r="A1869" s="7" cm="1">
        <f t="array" aca="1" ref="A1869" ca="1">INDEX(Companies!$A:$A,RANDBETWEEN(2,COUNTA(Companies!$A:$A)),1)</f>
        <v>2</v>
      </c>
      <c r="B1869" s="5">
        <f t="shared" si="349"/>
        <v>1868</v>
      </c>
      <c r="C1869" s="6">
        <f t="shared" ca="1" si="350"/>
        <v>1</v>
      </c>
      <c r="D1869" s="7">
        <f ca="1">IF($B1869 = 1 + N("Presidente"),
    127,
    IF($B1869 = 2 + N("Vice-Presidente"),
        72,
        IF($B1869 = 3 + N("Secretária bilíngue"),
            13,
            RANDBETWEEN(5,COUNT(Name!$A:$A) + 1)
        )
    )
)</f>
        <v>74</v>
      </c>
      <c r="E1869" s="7" t="str">
        <f ca="1" xml:space="preserve">
VLOOKUP(
  $D1869,
  Name!$A:$B,
  2,
  FALSE
)
&amp; " " &amp;
IF($B1869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Brenda Amor Silva</v>
      </c>
      <c r="F1869" s="7">
        <v>2</v>
      </c>
      <c r="G1869" s="7" cm="1">
        <f t="array" aca="1" ref="G1869" ca="1">INDEX(States!$B:$B,RANDBETWEEN(2,COUNTA(States!$A:$A)),1)</f>
        <v>4</v>
      </c>
      <c r="H1869" s="7" t="str">
        <f ca="1">VLOOKUP($D1869,Name!$A:$C,3,FALSE)</f>
        <v>F</v>
      </c>
      <c r="I1869" s="7" cm="1">
        <f t="array" aca="1" ref="I1869" ca="1">INDEX('Marital status'!$A:$A,RANDBETWEEN(2,COUNTA('Marital status'!$A:$A)),1)</f>
        <v>4</v>
      </c>
      <c r="J1869" s="7">
        <f t="shared" ca="1" si="351"/>
        <v>3</v>
      </c>
      <c r="K1869" s="8">
        <f t="shared" ca="1" si="352"/>
        <v>36656</v>
      </c>
      <c r="L1869" s="6">
        <f t="shared" ca="1" si="353"/>
        <v>5</v>
      </c>
      <c r="M1869" s="7">
        <f ca="1" xml:space="preserve">
  IF(OR($N1869 = 2, $N1869 = 3, $N1869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869" s="6">
        <f t="shared" ca="1" si="354"/>
        <v>8</v>
      </c>
      <c r="O1869" s="6">
        <f t="shared" ca="1" si="355"/>
        <v>3</v>
      </c>
      <c r="P1869" s="8">
        <f t="shared" ca="1" si="356"/>
        <v>41721</v>
      </c>
      <c r="Q1869" s="6">
        <f ca="1">RANDBETWEEN(2,COUNTA('Recruitment source'!$A:$A))</f>
        <v>8</v>
      </c>
      <c r="R1869" s="8" t="e">
        <f t="shared" ca="1" si="357"/>
        <v>#N/A</v>
      </c>
      <c r="S1869" s="6" t="e">
        <f t="shared" ca="1" si="358"/>
        <v>#N/A</v>
      </c>
      <c r="T1869" s="6">
        <f t="shared" ca="1" si="348"/>
        <v>4</v>
      </c>
      <c r="U1869" s="1">
        <f t="shared" ca="1" si="359"/>
        <v>2000</v>
      </c>
    </row>
    <row r="1870" spans="1:21" x14ac:dyDescent="0.2">
      <c r="A1870" s="7" cm="1">
        <f t="array" aca="1" ref="A1870" ca="1">INDEX(Companies!$A:$A,RANDBETWEEN(2,COUNTA(Companies!$A:$A)),1)</f>
        <v>2</v>
      </c>
      <c r="B1870" s="5">
        <f t="shared" si="349"/>
        <v>1869</v>
      </c>
      <c r="C1870" s="6">
        <f t="shared" ca="1" si="350"/>
        <v>1</v>
      </c>
      <c r="D1870" s="7">
        <f ca="1">IF($B1870 = 1 + N("Presidente"),
    127,
    IF($B1870 = 2 + N("Vice-Presidente"),
        72,
        IF($B1870 = 3 + N("Secretária bilíngue"),
            13,
            RANDBETWEEN(5,COUNT(Name!$A:$A) + 1)
        )
    )
)</f>
        <v>268</v>
      </c>
      <c r="E1870" s="7" t="str">
        <f ca="1" xml:space="preserve">
VLOOKUP(
  $D1870,
  Name!$A:$B,
  2,
  FALSE
)
&amp; " " &amp;
IF($B1870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Isis Souza Alvarenga</v>
      </c>
      <c r="F1870" s="7">
        <v>2</v>
      </c>
      <c r="G1870" s="7" cm="1">
        <f t="array" aca="1" ref="G1870" ca="1">INDEX(States!$B:$B,RANDBETWEEN(2,COUNTA(States!$A:$A)),1)</f>
        <v>8</v>
      </c>
      <c r="H1870" s="7" t="str">
        <f ca="1">VLOOKUP($D1870,Name!$A:$C,3,FALSE)</f>
        <v>F</v>
      </c>
      <c r="I1870" s="7" cm="1">
        <f t="array" aca="1" ref="I1870" ca="1">INDEX('Marital status'!$A:$A,RANDBETWEEN(2,COUNTA('Marital status'!$A:$A)),1)</f>
        <v>6</v>
      </c>
      <c r="J1870" s="7">
        <f t="shared" ca="1" si="351"/>
        <v>4</v>
      </c>
      <c r="K1870" s="8">
        <f t="shared" ca="1" si="352"/>
        <v>35577</v>
      </c>
      <c r="L1870" s="6">
        <f t="shared" ca="1" si="353"/>
        <v>4</v>
      </c>
      <c r="M1870" s="7">
        <f ca="1" xml:space="preserve">
  IF(OR($N1870 = 2, $N1870 = 3, $N1870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870" s="6">
        <f t="shared" ca="1" si="354"/>
        <v>7</v>
      </c>
      <c r="O1870" s="6" t="e">
        <f t="shared" ca="1" si="355"/>
        <v>#N/A</v>
      </c>
      <c r="P1870" s="8">
        <f t="shared" ca="1" si="356"/>
        <v>42662</v>
      </c>
      <c r="Q1870" s="6">
        <f ca="1">RANDBETWEEN(2,COUNTA('Recruitment source'!$A:$A))</f>
        <v>10</v>
      </c>
      <c r="R1870" s="8" t="e">
        <f t="shared" ca="1" si="357"/>
        <v>#N/A</v>
      </c>
      <c r="S1870" s="6" t="e">
        <f t="shared" ca="1" si="358"/>
        <v>#N/A</v>
      </c>
      <c r="T1870" s="6">
        <f t="shared" ca="1" si="348"/>
        <v>3</v>
      </c>
      <c r="U1870" s="1">
        <f t="shared" ca="1" si="359"/>
        <v>1005</v>
      </c>
    </row>
    <row r="1871" spans="1:21" x14ac:dyDescent="0.2">
      <c r="A1871" s="7" cm="1">
        <f t="array" aca="1" ref="A1871" ca="1">INDEX(Companies!$A:$A,RANDBETWEEN(2,COUNTA(Companies!$A:$A)),1)</f>
        <v>2</v>
      </c>
      <c r="B1871" s="5">
        <f t="shared" si="349"/>
        <v>1870</v>
      </c>
      <c r="C1871" s="6">
        <f t="shared" ca="1" si="350"/>
        <v>1</v>
      </c>
      <c r="D1871" s="7">
        <f ca="1">IF($B1871 = 1 + N("Presidente"),
    127,
    IF($B1871 = 2 + N("Vice-Presidente"),
        72,
        IF($B1871 = 3 + N("Secretária bilíngue"),
            13,
            RANDBETWEEN(5,COUNT(Name!$A:$A) + 1)
        )
    )
)</f>
        <v>222</v>
      </c>
      <c r="E1871" s="7" t="str">
        <f ca="1" xml:space="preserve">
VLOOKUP(
  $D1871,
  Name!$A:$B,
  2,
  FALSE
)
&amp; " " &amp;
IF($B1871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Lavignia Ricci Monteiro</v>
      </c>
      <c r="F1871" s="7">
        <v>2</v>
      </c>
      <c r="G1871" s="7" cm="1">
        <f t="array" aca="1" ref="G1871" ca="1">INDEX(States!$B:$B,RANDBETWEEN(2,COUNTA(States!$A:$A)),1)</f>
        <v>20</v>
      </c>
      <c r="H1871" s="7" t="str">
        <f ca="1">VLOOKUP($D1871,Name!$A:$C,3,FALSE)</f>
        <v>F</v>
      </c>
      <c r="I1871" s="7" cm="1">
        <f t="array" aca="1" ref="I1871" ca="1">INDEX('Marital status'!$A:$A,RANDBETWEEN(2,COUNTA('Marital status'!$A:$A)),1)</f>
        <v>3</v>
      </c>
      <c r="J1871" s="7">
        <f t="shared" ca="1" si="351"/>
        <v>2</v>
      </c>
      <c r="K1871" s="8">
        <f t="shared" ca="1" si="352"/>
        <v>33570</v>
      </c>
      <c r="L1871" s="6">
        <f t="shared" ca="1" si="353"/>
        <v>5</v>
      </c>
      <c r="M1871" s="7">
        <f ca="1" xml:space="preserve">
  IF(OR($N1871 = 2, $N1871 = 3, $N1871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871" s="6">
        <f t="shared" ca="1" si="354"/>
        <v>8</v>
      </c>
      <c r="O1871" s="6">
        <f t="shared" ca="1" si="355"/>
        <v>4</v>
      </c>
      <c r="P1871" s="8">
        <f t="shared" ca="1" si="356"/>
        <v>36558</v>
      </c>
      <c r="Q1871" s="6">
        <f ca="1">RANDBETWEEN(2,COUNTA('Recruitment source'!$A:$A))</f>
        <v>12</v>
      </c>
      <c r="R1871" s="8" t="e">
        <f t="shared" ca="1" si="357"/>
        <v>#N/A</v>
      </c>
      <c r="S1871" s="6" t="e">
        <f t="shared" ca="1" si="358"/>
        <v>#N/A</v>
      </c>
      <c r="T1871" s="6">
        <f t="shared" ca="1" si="348"/>
        <v>2</v>
      </c>
      <c r="U1871" s="1">
        <f t="shared" ca="1" si="359"/>
        <v>2080</v>
      </c>
    </row>
    <row r="1872" spans="1:21" x14ac:dyDescent="0.2">
      <c r="A1872" s="7" cm="1">
        <f t="array" aca="1" ref="A1872" ca="1">INDEX(Companies!$A:$A,RANDBETWEEN(2,COUNTA(Companies!$A:$A)),1)</f>
        <v>2</v>
      </c>
      <c r="B1872" s="5">
        <f t="shared" si="349"/>
        <v>1871</v>
      </c>
      <c r="C1872" s="6">
        <f t="shared" ca="1" si="350"/>
        <v>1</v>
      </c>
      <c r="D1872" s="7">
        <f ca="1">IF($B1872 = 1 + N("Presidente"),
    127,
    IF($B1872 = 2 + N("Vice-Presidente"),
        72,
        IF($B1872 = 3 + N("Secretária bilíngue"),
            13,
            RANDBETWEEN(5,COUNT(Name!$A:$A) + 1)
        )
    )
)</f>
        <v>168</v>
      </c>
      <c r="E1872" s="7" t="str">
        <f ca="1" xml:space="preserve">
VLOOKUP(
  $D1872,
  Name!$A:$B,
  2,
  FALSE
)
&amp; " " &amp;
IF($B1872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Henry Pimenta Camargo</v>
      </c>
      <c r="F1872" s="7">
        <v>2</v>
      </c>
      <c r="G1872" s="7" cm="1">
        <f t="array" aca="1" ref="G1872" ca="1">INDEX(States!$B:$B,RANDBETWEEN(2,COUNTA(States!$A:$A)),1)</f>
        <v>3</v>
      </c>
      <c r="H1872" s="7" t="str">
        <f ca="1">VLOOKUP($D1872,Name!$A:$C,3,FALSE)</f>
        <v>M</v>
      </c>
      <c r="I1872" s="7" cm="1">
        <f t="array" aca="1" ref="I1872" ca="1">INDEX('Marital status'!$A:$A,RANDBETWEEN(2,COUNTA('Marital status'!$A:$A)),1)</f>
        <v>5</v>
      </c>
      <c r="J1872" s="7">
        <f t="shared" ca="1" si="351"/>
        <v>2</v>
      </c>
      <c r="K1872" s="8">
        <f t="shared" ca="1" si="352"/>
        <v>24559</v>
      </c>
      <c r="L1872" s="6">
        <f t="shared" ca="1" si="353"/>
        <v>4</v>
      </c>
      <c r="M1872" s="7">
        <f ca="1" xml:space="preserve">
  IF(OR($N1872 = 2, $N1872 = 3, $N1872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872" s="6">
        <f t="shared" ca="1" si="354"/>
        <v>6</v>
      </c>
      <c r="O1872" s="6" t="e">
        <f t="shared" ca="1" si="355"/>
        <v>#N/A</v>
      </c>
      <c r="P1872" s="8">
        <f t="shared" ca="1" si="356"/>
        <v>43919</v>
      </c>
      <c r="Q1872" s="6">
        <f ca="1">RANDBETWEEN(2,COUNTA('Recruitment source'!$A:$A))</f>
        <v>12</v>
      </c>
      <c r="R1872" s="8" t="e">
        <f t="shared" ca="1" si="357"/>
        <v>#N/A</v>
      </c>
      <c r="S1872" s="6" t="e">
        <f t="shared" ca="1" si="358"/>
        <v>#N/A</v>
      </c>
      <c r="T1872" s="6">
        <f t="shared" ca="1" si="348"/>
        <v>5</v>
      </c>
      <c r="U1872" s="1">
        <f t="shared" ca="1" si="359"/>
        <v>805</v>
      </c>
    </row>
    <row r="1873" spans="1:21" x14ac:dyDescent="0.2">
      <c r="A1873" s="7" cm="1">
        <f t="array" aca="1" ref="A1873" ca="1">INDEX(Companies!$A:$A,RANDBETWEEN(2,COUNTA(Companies!$A:$A)),1)</f>
        <v>2</v>
      </c>
      <c r="B1873" s="5">
        <f t="shared" si="349"/>
        <v>1872</v>
      </c>
      <c r="C1873" s="6">
        <f t="shared" ca="1" si="350"/>
        <v>1</v>
      </c>
      <c r="D1873" s="7">
        <f ca="1">IF($B1873 = 1 + N("Presidente"),
    127,
    IF($B1873 = 2 + N("Vice-Presidente"),
        72,
        IF($B1873 = 3 + N("Secretária bilíngue"),
            13,
            RANDBETWEEN(5,COUNT(Name!$A:$A) + 1)
        )
    )
)</f>
        <v>159</v>
      </c>
      <c r="E1873" s="7" t="str">
        <f ca="1" xml:space="preserve">
VLOOKUP(
  $D1873,
  Name!$A:$B,
  2,
  FALSE
)
&amp; " " &amp;
IF($B1873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Gustavo Abranches Medeiros</v>
      </c>
      <c r="F1873" s="7">
        <v>2</v>
      </c>
      <c r="G1873" s="7" cm="1">
        <f t="array" aca="1" ref="G1873" ca="1">INDEX(States!$B:$B,RANDBETWEEN(2,COUNTA(States!$A:$A)),1)</f>
        <v>21</v>
      </c>
      <c r="H1873" s="7" t="str">
        <f ca="1">VLOOKUP($D1873,Name!$A:$C,3,FALSE)</f>
        <v>M</v>
      </c>
      <c r="I1873" s="7" cm="1">
        <f t="array" aca="1" ref="I1873" ca="1">INDEX('Marital status'!$A:$A,RANDBETWEEN(2,COUNTA('Marital status'!$A:$A)),1)</f>
        <v>4</v>
      </c>
      <c r="J1873" s="7">
        <f t="shared" ca="1" si="351"/>
        <v>2</v>
      </c>
      <c r="K1873" s="8">
        <f t="shared" ca="1" si="352"/>
        <v>33287</v>
      </c>
      <c r="L1873" s="6">
        <f t="shared" ca="1" si="353"/>
        <v>4</v>
      </c>
      <c r="M1873" s="7">
        <f ca="1" xml:space="preserve">
  IF(OR($N1873 = 2, $N1873 = 3, $N1873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873" s="6">
        <f t="shared" ca="1" si="354"/>
        <v>8</v>
      </c>
      <c r="O1873" s="6">
        <f t="shared" ca="1" si="355"/>
        <v>3</v>
      </c>
      <c r="P1873" s="8">
        <f t="shared" ca="1" si="356"/>
        <v>40366</v>
      </c>
      <c r="Q1873" s="6">
        <f ca="1">RANDBETWEEN(2,COUNTA('Recruitment source'!$A:$A))</f>
        <v>10</v>
      </c>
      <c r="R1873" s="8" t="e">
        <f t="shared" ca="1" si="357"/>
        <v>#N/A</v>
      </c>
      <c r="S1873" s="6" t="e">
        <f t="shared" ca="1" si="358"/>
        <v>#N/A</v>
      </c>
      <c r="T1873" s="6">
        <f t="shared" ca="1" si="348"/>
        <v>4</v>
      </c>
      <c r="U1873" s="1">
        <f t="shared" ca="1" si="359"/>
        <v>2000</v>
      </c>
    </row>
    <row r="1874" spans="1:21" x14ac:dyDescent="0.2">
      <c r="A1874" s="7" cm="1">
        <f t="array" aca="1" ref="A1874" ca="1">INDEX(Companies!$A:$A,RANDBETWEEN(2,COUNTA(Companies!$A:$A)),1)</f>
        <v>2</v>
      </c>
      <c r="B1874" s="5">
        <f t="shared" si="349"/>
        <v>1873</v>
      </c>
      <c r="C1874" s="6">
        <f t="shared" ca="1" si="350"/>
        <v>1</v>
      </c>
      <c r="D1874" s="7">
        <f ca="1">IF($B1874 = 1 + N("Presidente"),
    127,
    IF($B1874 = 2 + N("Vice-Presidente"),
        72,
        IF($B1874 = 3 + N("Secretária bilíngue"),
            13,
            RANDBETWEEN(5,COUNT(Name!$A:$A) + 1)
        )
    )
)</f>
        <v>272</v>
      </c>
      <c r="E1874" s="7" t="str">
        <f ca="1" xml:space="preserve">
VLOOKUP(
  $D1874,
  Name!$A:$B,
  2,
  FALSE
)
&amp; " " &amp;
IF($B1874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Madalena Alvim Santoro</v>
      </c>
      <c r="F1874" s="7">
        <v>2</v>
      </c>
      <c r="G1874" s="7" cm="1">
        <f t="array" aca="1" ref="G1874" ca="1">INDEX(States!$B:$B,RANDBETWEEN(2,COUNTA(States!$A:$A)),1)</f>
        <v>6</v>
      </c>
      <c r="H1874" s="7" t="str">
        <f ca="1">VLOOKUP($D1874,Name!$A:$C,3,FALSE)</f>
        <v>F</v>
      </c>
      <c r="I1874" s="7" cm="1">
        <f t="array" aca="1" ref="I1874" ca="1">INDEX('Marital status'!$A:$A,RANDBETWEEN(2,COUNTA('Marital status'!$A:$A)),1)</f>
        <v>2</v>
      </c>
      <c r="J1874" s="7">
        <f t="shared" ca="1" si="351"/>
        <v>2</v>
      </c>
      <c r="K1874" s="8">
        <f t="shared" ca="1" si="352"/>
        <v>26886</v>
      </c>
      <c r="L1874" s="6">
        <f t="shared" ca="1" si="353"/>
        <v>4</v>
      </c>
      <c r="M1874" s="7">
        <f ca="1" xml:space="preserve">
  IF(OR($N1874 = 2, $N1874 = 3, $N1874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874" s="6">
        <f t="shared" ca="1" si="354"/>
        <v>6</v>
      </c>
      <c r="O1874" s="6" t="e">
        <f t="shared" ca="1" si="355"/>
        <v>#N/A</v>
      </c>
      <c r="P1874" s="8">
        <f t="shared" ca="1" si="356"/>
        <v>36162</v>
      </c>
      <c r="Q1874" s="6">
        <f ca="1">RANDBETWEEN(2,COUNTA('Recruitment source'!$A:$A))</f>
        <v>6</v>
      </c>
      <c r="R1874" s="8" t="e">
        <f t="shared" ca="1" si="357"/>
        <v>#N/A</v>
      </c>
      <c r="S1874" s="6" t="e">
        <f t="shared" ca="1" si="358"/>
        <v>#N/A</v>
      </c>
      <c r="T1874" s="6">
        <f t="shared" ca="1" si="348"/>
        <v>2</v>
      </c>
      <c r="U1874" s="1">
        <f t="shared" ca="1" si="359"/>
        <v>805</v>
      </c>
    </row>
    <row r="1875" spans="1:21" x14ac:dyDescent="0.2">
      <c r="A1875" s="7" cm="1">
        <f t="array" aca="1" ref="A1875" ca="1">INDEX(Companies!$A:$A,RANDBETWEEN(2,COUNTA(Companies!$A:$A)),1)</f>
        <v>2</v>
      </c>
      <c r="B1875" s="5">
        <f t="shared" si="349"/>
        <v>1874</v>
      </c>
      <c r="C1875" s="6">
        <f t="shared" ca="1" si="350"/>
        <v>1</v>
      </c>
      <c r="D1875" s="7">
        <f ca="1">IF($B1875 = 1 + N("Presidente"),
    127,
    IF($B1875 = 2 + N("Vice-Presidente"),
        72,
        IF($B1875 = 3 + N("Secretária bilíngue"),
            13,
            RANDBETWEEN(5,COUNT(Name!$A:$A) + 1)
        )
    )
)</f>
        <v>33</v>
      </c>
      <c r="E1875" s="7" t="str">
        <f ca="1" xml:space="preserve">
VLOOKUP(
  $D1875,
  Name!$A:$B,
  2,
  FALSE
)
&amp; " " &amp;
IF($B1875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Lívia Paulista Aleluia</v>
      </c>
      <c r="F1875" s="7">
        <v>2</v>
      </c>
      <c r="G1875" s="7" cm="1">
        <f t="array" aca="1" ref="G1875" ca="1">INDEX(States!$B:$B,RANDBETWEEN(2,COUNTA(States!$A:$A)),1)</f>
        <v>13</v>
      </c>
      <c r="H1875" s="7" t="str">
        <f ca="1">VLOOKUP($D1875,Name!$A:$C,3,FALSE)</f>
        <v>F</v>
      </c>
      <c r="I1875" s="7" cm="1">
        <f t="array" aca="1" ref="I1875" ca="1">INDEX('Marital status'!$A:$A,RANDBETWEEN(2,COUNTA('Marital status'!$A:$A)),1)</f>
        <v>6</v>
      </c>
      <c r="J1875" s="7">
        <f t="shared" ca="1" si="351"/>
        <v>2</v>
      </c>
      <c r="K1875" s="8">
        <f t="shared" ca="1" si="352"/>
        <v>38227</v>
      </c>
      <c r="L1875" s="6">
        <f t="shared" ca="1" si="353"/>
        <v>5</v>
      </c>
      <c r="M1875" s="7">
        <f ca="1" xml:space="preserve">
  IF(OR($N1875 = 2, $N1875 = 3, $N1875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875" s="6">
        <f t="shared" ca="1" si="354"/>
        <v>8</v>
      </c>
      <c r="O1875" s="6">
        <f t="shared" ca="1" si="355"/>
        <v>2</v>
      </c>
      <c r="P1875" s="8">
        <f t="shared" ca="1" si="356"/>
        <v>44838</v>
      </c>
      <c r="Q1875" s="6">
        <f ca="1">RANDBETWEEN(2,COUNTA('Recruitment source'!$A:$A))</f>
        <v>11</v>
      </c>
      <c r="R1875" s="8" t="e">
        <f t="shared" ca="1" si="357"/>
        <v>#N/A</v>
      </c>
      <c r="S1875" s="6" t="e">
        <f t="shared" ca="1" si="358"/>
        <v>#N/A</v>
      </c>
      <c r="T1875" s="6">
        <f t="shared" ca="1" si="348"/>
        <v>4</v>
      </c>
      <c r="U1875" s="1">
        <f t="shared" ca="1" si="359"/>
        <v>2080</v>
      </c>
    </row>
    <row r="1876" spans="1:21" x14ac:dyDescent="0.2">
      <c r="A1876" s="7" cm="1">
        <f t="array" aca="1" ref="A1876" ca="1">INDEX(Companies!$A:$A,RANDBETWEEN(2,COUNTA(Companies!$A:$A)),1)</f>
        <v>2</v>
      </c>
      <c r="B1876" s="5">
        <f t="shared" si="349"/>
        <v>1875</v>
      </c>
      <c r="C1876" s="6">
        <f t="shared" ca="1" si="350"/>
        <v>1</v>
      </c>
      <c r="D1876" s="7">
        <f ca="1">IF($B1876 = 1 + N("Presidente"),
    127,
    IF($B1876 = 2 + N("Vice-Presidente"),
        72,
        IF($B1876 = 3 + N("Secretária bilíngue"),
            13,
            RANDBETWEEN(5,COUNT(Name!$A:$A) + 1)
        )
    )
)</f>
        <v>287</v>
      </c>
      <c r="E1876" s="7" t="str">
        <f ca="1" xml:space="preserve">
VLOOKUP(
  $D1876,
  Name!$A:$B,
  2,
  FALSE
)
&amp; " " &amp;
IF($B1876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Matheus Costatini Trindade</v>
      </c>
      <c r="F1876" s="7">
        <v>2</v>
      </c>
      <c r="G1876" s="7" cm="1">
        <f t="array" aca="1" ref="G1876" ca="1">INDEX(States!$B:$B,RANDBETWEEN(2,COUNTA(States!$A:$A)),1)</f>
        <v>14</v>
      </c>
      <c r="H1876" s="7" t="str">
        <f ca="1">VLOOKUP($D1876,Name!$A:$C,3,FALSE)</f>
        <v>M</v>
      </c>
      <c r="I1876" s="7" cm="1">
        <f t="array" aca="1" ref="I1876" ca="1">INDEX('Marital status'!$A:$A,RANDBETWEEN(2,COUNTA('Marital status'!$A:$A)),1)</f>
        <v>4</v>
      </c>
      <c r="J1876" s="7">
        <f t="shared" ca="1" si="351"/>
        <v>3</v>
      </c>
      <c r="K1876" s="8">
        <f t="shared" ca="1" si="352"/>
        <v>33800</v>
      </c>
      <c r="L1876" s="6">
        <f t="shared" ca="1" si="353"/>
        <v>4</v>
      </c>
      <c r="M1876" s="7">
        <f ca="1" xml:space="preserve">
  IF(OR($N1876 = 2, $N1876 = 3, $N1876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876" s="6">
        <f t="shared" ca="1" si="354"/>
        <v>7</v>
      </c>
      <c r="O1876" s="6" t="e">
        <f t="shared" ca="1" si="355"/>
        <v>#N/A</v>
      </c>
      <c r="P1876" s="8">
        <f t="shared" ca="1" si="356"/>
        <v>37772</v>
      </c>
      <c r="Q1876" s="6">
        <f ca="1">RANDBETWEEN(2,COUNTA('Recruitment source'!$A:$A))</f>
        <v>5</v>
      </c>
      <c r="R1876" s="8" t="e">
        <f t="shared" ca="1" si="357"/>
        <v>#N/A</v>
      </c>
      <c r="S1876" s="6" t="e">
        <f t="shared" ca="1" si="358"/>
        <v>#N/A</v>
      </c>
      <c r="T1876" s="6">
        <f t="shared" ca="1" si="348"/>
        <v>3</v>
      </c>
      <c r="U1876" s="1">
        <f t="shared" ca="1" si="359"/>
        <v>1005</v>
      </c>
    </row>
    <row r="1877" spans="1:21" x14ac:dyDescent="0.2">
      <c r="A1877" s="7" cm="1">
        <f t="array" aca="1" ref="A1877" ca="1">INDEX(Companies!$A:$A,RANDBETWEEN(2,COUNTA(Companies!$A:$A)),1)</f>
        <v>2</v>
      </c>
      <c r="B1877" s="5">
        <f t="shared" si="349"/>
        <v>1876</v>
      </c>
      <c r="C1877" s="6">
        <f t="shared" ca="1" si="350"/>
        <v>1</v>
      </c>
      <c r="D1877" s="7">
        <f ca="1">IF($B1877 = 1 + N("Presidente"),
    127,
    IF($B1877 = 2 + N("Vice-Presidente"),
        72,
        IF($B1877 = 3 + N("Secretária bilíngue"),
            13,
            RANDBETWEEN(5,COUNT(Name!$A:$A) + 1)
        )
    )
)</f>
        <v>253</v>
      </c>
      <c r="E1877" s="7" t="str">
        <f ca="1" xml:space="preserve">
VLOOKUP(
  $D1877,
  Name!$A:$B,
  2,
  FALSE
)
&amp; " " &amp;
IF($B1877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Malu Sousa Carvalho</v>
      </c>
      <c r="F1877" s="7">
        <v>2</v>
      </c>
      <c r="G1877" s="7" cm="1">
        <f t="array" aca="1" ref="G1877" ca="1">INDEX(States!$B:$B,RANDBETWEEN(2,COUNTA(States!$A:$A)),1)</f>
        <v>15</v>
      </c>
      <c r="H1877" s="7" t="str">
        <f ca="1">VLOOKUP($D1877,Name!$A:$C,3,FALSE)</f>
        <v>F</v>
      </c>
      <c r="I1877" s="7" cm="1">
        <f t="array" aca="1" ref="I1877" ca="1">INDEX('Marital status'!$A:$A,RANDBETWEEN(2,COUNTA('Marital status'!$A:$A)),1)</f>
        <v>4</v>
      </c>
      <c r="J1877" s="7">
        <f t="shared" ca="1" si="351"/>
        <v>2</v>
      </c>
      <c r="K1877" s="8">
        <f t="shared" ca="1" si="352"/>
        <v>37931</v>
      </c>
      <c r="L1877" s="6">
        <f t="shared" ca="1" si="353"/>
        <v>5</v>
      </c>
      <c r="M1877" s="7">
        <f ca="1" xml:space="preserve">
  IF(OR($N1877 = 2, $N1877 = 3, $N1877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877" s="6">
        <f t="shared" ca="1" si="354"/>
        <v>8</v>
      </c>
      <c r="O1877" s="6">
        <f t="shared" ca="1" si="355"/>
        <v>3</v>
      </c>
      <c r="P1877" s="8">
        <f t="shared" ca="1" si="356"/>
        <v>44838</v>
      </c>
      <c r="Q1877" s="6">
        <f ca="1">RANDBETWEEN(2,COUNTA('Recruitment source'!$A:$A))</f>
        <v>7</v>
      </c>
      <c r="R1877" s="8" t="e">
        <f t="shared" ca="1" si="357"/>
        <v>#N/A</v>
      </c>
      <c r="S1877" s="6" t="e">
        <f t="shared" ca="1" si="358"/>
        <v>#N/A</v>
      </c>
      <c r="T1877" s="6">
        <f t="shared" ca="1" si="348"/>
        <v>3</v>
      </c>
      <c r="U1877" s="1">
        <f t="shared" ca="1" si="359"/>
        <v>2000</v>
      </c>
    </row>
    <row r="1878" spans="1:21" x14ac:dyDescent="0.2">
      <c r="A1878" s="7" cm="1">
        <f t="array" aca="1" ref="A1878" ca="1">INDEX(Companies!$A:$A,RANDBETWEEN(2,COUNTA(Companies!$A:$A)),1)</f>
        <v>2</v>
      </c>
      <c r="B1878" s="5">
        <f t="shared" si="349"/>
        <v>1877</v>
      </c>
      <c r="C1878" s="6">
        <f t="shared" ca="1" si="350"/>
        <v>1</v>
      </c>
      <c r="D1878" s="7">
        <f ca="1">IF($B1878 = 1 + N("Presidente"),
    127,
    IF($B1878 = 2 + N("Vice-Presidente"),
        72,
        IF($B1878 = 3 + N("Secretária bilíngue"),
            13,
            RANDBETWEEN(5,COUNT(Name!$A:$A) + 1)
        )
    )
)</f>
        <v>55</v>
      </c>
      <c r="E1878" s="7" t="str">
        <f ca="1" xml:space="preserve">
VLOOKUP(
  $D1878,
  Name!$A:$B,
  2,
  FALSE
)
&amp; " " &amp;
IF($B1878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Arruda Simões</v>
      </c>
      <c r="F1878" s="7">
        <v>2</v>
      </c>
      <c r="G1878" s="7" cm="1">
        <f t="array" aca="1" ref="G1878" ca="1">INDEX(States!$B:$B,RANDBETWEEN(2,COUNTA(States!$A:$A)),1)</f>
        <v>20</v>
      </c>
      <c r="H1878" s="7" t="str">
        <f ca="1">VLOOKUP($D1878,Name!$A:$C,3,FALSE)</f>
        <v>M</v>
      </c>
      <c r="I1878" s="7" cm="1">
        <f t="array" aca="1" ref="I1878" ca="1">INDEX('Marital status'!$A:$A,RANDBETWEEN(2,COUNTA('Marital status'!$A:$A)),1)</f>
        <v>3</v>
      </c>
      <c r="J1878" s="7">
        <f t="shared" ca="1" si="351"/>
        <v>2</v>
      </c>
      <c r="K1878" s="8">
        <f t="shared" ca="1" si="352"/>
        <v>35782</v>
      </c>
      <c r="L1878" s="6">
        <f t="shared" ca="1" si="353"/>
        <v>4</v>
      </c>
      <c r="M1878" s="7">
        <f ca="1" xml:space="preserve">
  IF(OR($N1878 = 2, $N1878 = 3, $N1878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878" s="6">
        <f t="shared" ca="1" si="354"/>
        <v>7</v>
      </c>
      <c r="O1878" s="6" t="e">
        <f t="shared" ca="1" si="355"/>
        <v>#N/A</v>
      </c>
      <c r="P1878" s="8">
        <f t="shared" ca="1" si="356"/>
        <v>37302</v>
      </c>
      <c r="Q1878" s="6">
        <f ca="1">RANDBETWEEN(2,COUNTA('Recruitment source'!$A:$A))</f>
        <v>12</v>
      </c>
      <c r="R1878" s="8" t="e">
        <f t="shared" ca="1" si="357"/>
        <v>#N/A</v>
      </c>
      <c r="S1878" s="6" t="e">
        <f t="shared" ca="1" si="358"/>
        <v>#N/A</v>
      </c>
      <c r="T1878" s="6">
        <f t="shared" ca="1" si="348"/>
        <v>5</v>
      </c>
      <c r="U1878" s="1">
        <f t="shared" ca="1" si="359"/>
        <v>1005</v>
      </c>
    </row>
    <row r="1879" spans="1:21" x14ac:dyDescent="0.2">
      <c r="A1879" s="7" cm="1">
        <f t="array" aca="1" ref="A1879" ca="1">INDEX(Companies!$A:$A,RANDBETWEEN(2,COUNTA(Companies!$A:$A)),1)</f>
        <v>2</v>
      </c>
      <c r="B1879" s="5">
        <f t="shared" si="349"/>
        <v>1878</v>
      </c>
      <c r="C1879" s="6">
        <f t="shared" ca="1" si="350"/>
        <v>1</v>
      </c>
      <c r="D1879" s="7">
        <f ca="1">IF($B1879 = 1 + N("Presidente"),
    127,
    IF($B1879 = 2 + N("Vice-Presidente"),
        72,
        IF($B1879 = 3 + N("Secretária bilíngue"),
            13,
            RANDBETWEEN(5,COUNT(Name!$A:$A) + 1)
        )
    )
)</f>
        <v>233</v>
      </c>
      <c r="E1879" s="7" t="str">
        <f ca="1" xml:space="preserve">
VLOOKUP(
  $D1879,
  Name!$A:$B,
  2,
  FALSE
)
&amp; " " &amp;
IF($B1879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Lorenzo Augusto Bactista Camacho</v>
      </c>
      <c r="F1879" s="7">
        <v>2</v>
      </c>
      <c r="G1879" s="7" cm="1">
        <f t="array" aca="1" ref="G1879" ca="1">INDEX(States!$B:$B,RANDBETWEEN(2,COUNTA(States!$A:$A)),1)</f>
        <v>9</v>
      </c>
      <c r="H1879" s="7" t="str">
        <f ca="1">VLOOKUP($D1879,Name!$A:$C,3,FALSE)</f>
        <v>M</v>
      </c>
      <c r="I1879" s="7" cm="1">
        <f t="array" aca="1" ref="I1879" ca="1">INDEX('Marital status'!$A:$A,RANDBETWEEN(2,COUNTA('Marital status'!$A:$A)),1)</f>
        <v>5</v>
      </c>
      <c r="J1879" s="7">
        <f t="shared" ca="1" si="351"/>
        <v>2</v>
      </c>
      <c r="K1879" s="8">
        <f t="shared" ca="1" si="352"/>
        <v>36623</v>
      </c>
      <c r="L1879" s="6">
        <f t="shared" ca="1" si="353"/>
        <v>5</v>
      </c>
      <c r="M1879" s="7">
        <f ca="1" xml:space="preserve">
  IF(OR($N1879 = 2, $N1879 = 3, $N1879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879" s="6">
        <f t="shared" ca="1" si="354"/>
        <v>8</v>
      </c>
      <c r="O1879" s="6">
        <f t="shared" ca="1" si="355"/>
        <v>3</v>
      </c>
      <c r="P1879" s="8">
        <f t="shared" ca="1" si="356"/>
        <v>37071</v>
      </c>
      <c r="Q1879" s="6">
        <f ca="1">RANDBETWEEN(2,COUNTA('Recruitment source'!$A:$A))</f>
        <v>3</v>
      </c>
      <c r="R1879" s="8" t="e">
        <f t="shared" ca="1" si="357"/>
        <v>#N/A</v>
      </c>
      <c r="S1879" s="6" t="e">
        <f t="shared" ca="1" si="358"/>
        <v>#N/A</v>
      </c>
      <c r="T1879" s="6">
        <f t="shared" ca="1" si="348"/>
        <v>2</v>
      </c>
      <c r="U1879" s="1">
        <f t="shared" ca="1" si="359"/>
        <v>2000</v>
      </c>
    </row>
    <row r="1880" spans="1:21" x14ac:dyDescent="0.2">
      <c r="A1880" s="7" cm="1">
        <f t="array" aca="1" ref="A1880" ca="1">INDEX(Companies!$A:$A,RANDBETWEEN(2,COUNTA(Companies!$A:$A)),1)</f>
        <v>2</v>
      </c>
      <c r="B1880" s="5">
        <f t="shared" si="349"/>
        <v>1879</v>
      </c>
      <c r="C1880" s="6">
        <f t="shared" ca="1" si="350"/>
        <v>1</v>
      </c>
      <c r="D1880" s="7">
        <f ca="1">IF($B1880 = 1 + N("Presidente"),
    127,
    IF($B1880 = 2 + N("Vice-Presidente"),
        72,
        IF($B1880 = 3 + N("Secretária bilíngue"),
            13,
            RANDBETWEEN(5,COUNT(Name!$A:$A) + 1)
        )
    )
)</f>
        <v>111</v>
      </c>
      <c r="E1880" s="7" t="str">
        <f ca="1" xml:space="preserve">
VLOOKUP(
  $D1880,
  Name!$A:$B,
  2,
  FALSE
)
&amp; " " &amp;
IF($B1880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Débora Aguiar Carneiro</v>
      </c>
      <c r="F1880" s="7">
        <v>2</v>
      </c>
      <c r="G1880" s="7" cm="1">
        <f t="array" aca="1" ref="G1880" ca="1">INDEX(States!$B:$B,RANDBETWEEN(2,COUNTA(States!$A:$A)),1)</f>
        <v>20</v>
      </c>
      <c r="H1880" s="7" t="str">
        <f ca="1">VLOOKUP($D1880,Name!$A:$C,3,FALSE)</f>
        <v>F</v>
      </c>
      <c r="I1880" s="7" cm="1">
        <f t="array" aca="1" ref="I1880" ca="1">INDEX('Marital status'!$A:$A,RANDBETWEEN(2,COUNTA('Marital status'!$A:$A)),1)</f>
        <v>3</v>
      </c>
      <c r="J1880" s="7">
        <f t="shared" ca="1" si="351"/>
        <v>2</v>
      </c>
      <c r="K1880" s="8">
        <f t="shared" ca="1" si="352"/>
        <v>19595</v>
      </c>
      <c r="L1880" s="6">
        <f t="shared" ca="1" si="353"/>
        <v>4</v>
      </c>
      <c r="M1880" s="7">
        <f ca="1" xml:space="preserve">
  IF(OR($N1880 = 2, $N1880 = 3, $N1880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880" s="6">
        <f t="shared" ca="1" si="354"/>
        <v>6</v>
      </c>
      <c r="O1880" s="6" t="e">
        <f t="shared" ca="1" si="355"/>
        <v>#N/A</v>
      </c>
      <c r="P1880" s="8">
        <f t="shared" ca="1" si="356"/>
        <v>43758</v>
      </c>
      <c r="Q1880" s="6">
        <f ca="1">RANDBETWEEN(2,COUNTA('Recruitment source'!$A:$A))</f>
        <v>4</v>
      </c>
      <c r="R1880" s="8" t="e">
        <f t="shared" ca="1" si="357"/>
        <v>#N/A</v>
      </c>
      <c r="S1880" s="6" t="e">
        <f t="shared" ca="1" si="358"/>
        <v>#N/A</v>
      </c>
      <c r="T1880" s="6">
        <f t="shared" ca="1" si="348"/>
        <v>2</v>
      </c>
      <c r="U1880" s="1">
        <f t="shared" ca="1" si="359"/>
        <v>805</v>
      </c>
    </row>
    <row r="1881" spans="1:21" x14ac:dyDescent="0.2">
      <c r="A1881" s="7" cm="1">
        <f t="array" aca="1" ref="A1881" ca="1">INDEX(Companies!$A:$A,RANDBETWEEN(2,COUNTA(Companies!$A:$A)),1)</f>
        <v>2</v>
      </c>
      <c r="B1881" s="5">
        <f t="shared" si="349"/>
        <v>1880</v>
      </c>
      <c r="C1881" s="6">
        <f t="shared" ca="1" si="350"/>
        <v>1</v>
      </c>
      <c r="D1881" s="7">
        <f ca="1">IF($B1881 = 1 + N("Presidente"),
    127,
    IF($B1881 = 2 + N("Vice-Presidente"),
        72,
        IF($B1881 = 3 + N("Secretária bilíngue"),
            13,
            RANDBETWEEN(5,COUNT(Name!$A:$A) + 1)
        )
    )
)</f>
        <v>5</v>
      </c>
      <c r="E1881" s="7" t="str">
        <f ca="1" xml:space="preserve">
VLOOKUP(
  $D1881,
  Name!$A:$B,
  2,
  FALSE
)
&amp; " " &amp;
IF($B1881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Abel Santoro Ramos</v>
      </c>
      <c r="F1881" s="7">
        <v>2</v>
      </c>
      <c r="G1881" s="7" cm="1">
        <f t="array" aca="1" ref="G1881" ca="1">INDEX(States!$B:$B,RANDBETWEEN(2,COUNTA(States!$A:$A)),1)</f>
        <v>2</v>
      </c>
      <c r="H1881" s="7" t="str">
        <f ca="1">VLOOKUP($D1881,Name!$A:$C,3,FALSE)</f>
        <v>M</v>
      </c>
      <c r="I1881" s="7" cm="1">
        <f t="array" aca="1" ref="I1881" ca="1">INDEX('Marital status'!$A:$A,RANDBETWEEN(2,COUNTA('Marital status'!$A:$A)),1)</f>
        <v>4</v>
      </c>
      <c r="J1881" s="7">
        <f t="shared" ca="1" si="351"/>
        <v>5</v>
      </c>
      <c r="K1881" s="8">
        <f t="shared" ca="1" si="352"/>
        <v>33595</v>
      </c>
      <c r="L1881" s="6">
        <f t="shared" ca="1" si="353"/>
        <v>4</v>
      </c>
      <c r="M1881" s="7">
        <f ca="1" xml:space="preserve">
  IF(OR($N1881 = 2, $N1881 = 3, $N1881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881" s="6">
        <f t="shared" ca="1" si="354"/>
        <v>8</v>
      </c>
      <c r="O1881" s="6">
        <f t="shared" ca="1" si="355"/>
        <v>2</v>
      </c>
      <c r="P1881" s="8">
        <f t="shared" ca="1" si="356"/>
        <v>38135</v>
      </c>
      <c r="Q1881" s="6">
        <f ca="1">RANDBETWEEN(2,COUNTA('Recruitment source'!$A:$A))</f>
        <v>3</v>
      </c>
      <c r="R1881" s="8" t="e">
        <f t="shared" ca="1" si="357"/>
        <v>#N/A</v>
      </c>
      <c r="S1881" s="6" t="e">
        <f t="shared" ca="1" si="358"/>
        <v>#N/A</v>
      </c>
      <c r="T1881" s="6">
        <f t="shared" ca="1" si="348"/>
        <v>2</v>
      </c>
      <c r="U1881" s="1">
        <f t="shared" ca="1" si="359"/>
        <v>2000</v>
      </c>
    </row>
    <row r="1882" spans="1:21" x14ac:dyDescent="0.2">
      <c r="A1882" s="7" cm="1">
        <f t="array" aca="1" ref="A1882" ca="1">INDEX(Companies!$A:$A,RANDBETWEEN(2,COUNTA(Companies!$A:$A)),1)</f>
        <v>2</v>
      </c>
      <c r="B1882" s="5">
        <f t="shared" si="349"/>
        <v>1881</v>
      </c>
      <c r="C1882" s="6">
        <f t="shared" ca="1" si="350"/>
        <v>1</v>
      </c>
      <c r="D1882" s="7">
        <f ca="1">IF($B1882 = 1 + N("Presidente"),
    127,
    IF($B1882 = 2 + N("Vice-Presidente"),
        72,
        IF($B1882 = 3 + N("Secretária bilíngue"),
            13,
            RANDBETWEEN(5,COUNT(Name!$A:$A) + 1)
        )
    )
)</f>
        <v>227</v>
      </c>
      <c r="E1882" s="7" t="str">
        <f ca="1" xml:space="preserve">
VLOOKUP(
  $D1882,
  Name!$A:$B,
  2,
  FALSE
)
&amp; " " &amp;
IF($B1882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Lia Braga Sacramento</v>
      </c>
      <c r="F1882" s="7">
        <v>2</v>
      </c>
      <c r="G1882" s="7" cm="1">
        <f t="array" aca="1" ref="G1882" ca="1">INDEX(States!$B:$B,RANDBETWEEN(2,COUNTA(States!$A:$A)),1)</f>
        <v>2</v>
      </c>
      <c r="H1882" s="7" t="str">
        <f ca="1">VLOOKUP($D1882,Name!$A:$C,3,FALSE)</f>
        <v>F</v>
      </c>
      <c r="I1882" s="7" cm="1">
        <f t="array" aca="1" ref="I1882" ca="1">INDEX('Marital status'!$A:$A,RANDBETWEEN(2,COUNTA('Marital status'!$A:$A)),1)</f>
        <v>5</v>
      </c>
      <c r="J1882" s="7">
        <f t="shared" ca="1" si="351"/>
        <v>2</v>
      </c>
      <c r="K1882" s="8">
        <f t="shared" ca="1" si="352"/>
        <v>21241</v>
      </c>
      <c r="L1882" s="6">
        <f t="shared" ca="1" si="353"/>
        <v>4</v>
      </c>
      <c r="M1882" s="7">
        <f ca="1" xml:space="preserve">
  IF(OR($N1882 = 2, $N1882 = 3, $N1882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882" s="6">
        <f t="shared" ca="1" si="354"/>
        <v>6</v>
      </c>
      <c r="O1882" s="6" t="e">
        <f t="shared" ca="1" si="355"/>
        <v>#N/A</v>
      </c>
      <c r="P1882" s="8">
        <f t="shared" ca="1" si="356"/>
        <v>39278</v>
      </c>
      <c r="Q1882" s="6">
        <f ca="1">RANDBETWEEN(2,COUNTA('Recruitment source'!$A:$A))</f>
        <v>11</v>
      </c>
      <c r="R1882" s="8" t="e">
        <f t="shared" ca="1" si="357"/>
        <v>#N/A</v>
      </c>
      <c r="S1882" s="6" t="e">
        <f t="shared" ca="1" si="358"/>
        <v>#N/A</v>
      </c>
      <c r="T1882" s="6">
        <f t="shared" ca="1" si="348"/>
        <v>5</v>
      </c>
      <c r="U1882" s="1">
        <f t="shared" ca="1" si="359"/>
        <v>805</v>
      </c>
    </row>
    <row r="1883" spans="1:21" x14ac:dyDescent="0.2">
      <c r="A1883" s="7" cm="1">
        <f t="array" aca="1" ref="A1883" ca="1">INDEX(Companies!$A:$A,RANDBETWEEN(2,COUNTA(Companies!$A:$A)),1)</f>
        <v>2</v>
      </c>
      <c r="B1883" s="5">
        <f t="shared" si="349"/>
        <v>1882</v>
      </c>
      <c r="C1883" s="6">
        <f t="shared" ca="1" si="350"/>
        <v>1</v>
      </c>
      <c r="D1883" s="7">
        <f ca="1">IF($B1883 = 1 + N("Presidente"),
    127,
    IF($B1883 = 2 + N("Vice-Presidente"),
        72,
        IF($B1883 = 3 + N("Secretária bilíngue"),
            13,
            RANDBETWEEN(5,COUNT(Name!$A:$A) + 1)
        )
    )
)</f>
        <v>285</v>
      </c>
      <c r="E1883" s="7" t="str">
        <f ca="1" xml:space="preserve">
VLOOKUP(
  $D1883,
  Name!$A:$B,
  2,
  FALSE
)
&amp; " " &amp;
IF($B1883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Martin Araújo Costatini</v>
      </c>
      <c r="F1883" s="7">
        <v>2</v>
      </c>
      <c r="G1883" s="7" cm="1">
        <f t="array" aca="1" ref="G1883" ca="1">INDEX(States!$B:$B,RANDBETWEEN(2,COUNTA(States!$A:$A)),1)</f>
        <v>18</v>
      </c>
      <c r="H1883" s="7" t="str">
        <f ca="1">VLOOKUP($D1883,Name!$A:$C,3,FALSE)</f>
        <v>M</v>
      </c>
      <c r="I1883" s="7" cm="1">
        <f t="array" aca="1" ref="I1883" ca="1">INDEX('Marital status'!$A:$A,RANDBETWEEN(2,COUNTA('Marital status'!$A:$A)),1)</f>
        <v>2</v>
      </c>
      <c r="J1883" s="7">
        <f t="shared" ca="1" si="351"/>
        <v>3</v>
      </c>
      <c r="K1883" s="8">
        <f t="shared" ca="1" si="352"/>
        <v>38039</v>
      </c>
      <c r="L1883" s="6">
        <f t="shared" ca="1" si="353"/>
        <v>5</v>
      </c>
      <c r="M1883" s="7">
        <f ca="1" xml:space="preserve">
  IF(OR($N1883 = 2, $N1883 = 3, $N1883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883" s="6">
        <f t="shared" ca="1" si="354"/>
        <v>8</v>
      </c>
      <c r="O1883" s="6">
        <f t="shared" ca="1" si="355"/>
        <v>3</v>
      </c>
      <c r="P1883" s="8">
        <f t="shared" ca="1" si="356"/>
        <v>44838</v>
      </c>
      <c r="Q1883" s="6">
        <f ca="1">RANDBETWEEN(2,COUNTA('Recruitment source'!$A:$A))</f>
        <v>6</v>
      </c>
      <c r="R1883" s="8" t="e">
        <f t="shared" ca="1" si="357"/>
        <v>#N/A</v>
      </c>
      <c r="S1883" s="6" t="e">
        <f t="shared" ca="1" si="358"/>
        <v>#N/A</v>
      </c>
      <c r="T1883" s="6">
        <f t="shared" ca="1" si="348"/>
        <v>2</v>
      </c>
      <c r="U1883" s="1">
        <f t="shared" ca="1" si="359"/>
        <v>2080</v>
      </c>
    </row>
    <row r="1884" spans="1:21" x14ac:dyDescent="0.2">
      <c r="A1884" s="7" cm="1">
        <f t="array" aca="1" ref="A1884" ca="1">INDEX(Companies!$A:$A,RANDBETWEEN(2,COUNTA(Companies!$A:$A)),1)</f>
        <v>2</v>
      </c>
      <c r="B1884" s="5">
        <f t="shared" si="349"/>
        <v>1883</v>
      </c>
      <c r="C1884" s="6">
        <f t="shared" ca="1" si="350"/>
        <v>1</v>
      </c>
      <c r="D1884" s="7">
        <f ca="1">IF($B1884 = 1 + N("Presidente"),
    127,
    IF($B1884 = 2 + N("Vice-Presidente"),
        72,
        IF($B1884 = 3 + N("Secretária bilíngue"),
            13,
            RANDBETWEEN(5,COUNT(Name!$A:$A) + 1)
        )
    )
)</f>
        <v>341</v>
      </c>
      <c r="E1884" s="7" t="str">
        <f ca="1" xml:space="preserve">
VLOOKUP(
  $D1884,
  Name!$A:$B,
  2,
  FALSE
)
&amp; " " &amp;
IF($B1884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Theo Battaglia Sá</v>
      </c>
      <c r="F1884" s="7">
        <v>2</v>
      </c>
      <c r="G1884" s="7" cm="1">
        <f t="array" aca="1" ref="G1884" ca="1">INDEX(States!$B:$B,RANDBETWEEN(2,COUNTA(States!$A:$A)),1)</f>
        <v>4</v>
      </c>
      <c r="H1884" s="7" t="str">
        <f ca="1">VLOOKUP($D1884,Name!$A:$C,3,FALSE)</f>
        <v>M</v>
      </c>
      <c r="I1884" s="7" cm="1">
        <f t="array" aca="1" ref="I1884" ca="1">INDEX('Marital status'!$A:$A,RANDBETWEEN(2,COUNTA('Marital status'!$A:$A)),1)</f>
        <v>2</v>
      </c>
      <c r="J1884" s="7">
        <f t="shared" ca="1" si="351"/>
        <v>2</v>
      </c>
      <c r="K1884" s="8">
        <f t="shared" ca="1" si="352"/>
        <v>31466</v>
      </c>
      <c r="L1884" s="6">
        <f t="shared" ca="1" si="353"/>
        <v>4</v>
      </c>
      <c r="M1884" s="7">
        <f ca="1" xml:space="preserve">
  IF(OR($N1884 = 2, $N1884 = 3, $N1884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884" s="6">
        <f t="shared" ca="1" si="354"/>
        <v>7</v>
      </c>
      <c r="O1884" s="6" t="e">
        <f t="shared" ca="1" si="355"/>
        <v>#N/A</v>
      </c>
      <c r="P1884" s="8">
        <f t="shared" ca="1" si="356"/>
        <v>40248</v>
      </c>
      <c r="Q1884" s="6">
        <f ca="1">RANDBETWEEN(2,COUNTA('Recruitment source'!$A:$A))</f>
        <v>11</v>
      </c>
      <c r="R1884" s="8" t="e">
        <f t="shared" ca="1" si="357"/>
        <v>#N/A</v>
      </c>
      <c r="S1884" s="6" t="e">
        <f t="shared" ca="1" si="358"/>
        <v>#N/A</v>
      </c>
      <c r="T1884" s="6">
        <f t="shared" ca="1" si="348"/>
        <v>2</v>
      </c>
      <c r="U1884" s="1">
        <f t="shared" ca="1" si="359"/>
        <v>1085</v>
      </c>
    </row>
    <row r="1885" spans="1:21" x14ac:dyDescent="0.2">
      <c r="A1885" s="7" cm="1">
        <f t="array" aca="1" ref="A1885" ca="1">INDEX(Companies!$A:$A,RANDBETWEEN(2,COUNTA(Companies!$A:$A)),1)</f>
        <v>2</v>
      </c>
      <c r="B1885" s="5">
        <f t="shared" si="349"/>
        <v>1884</v>
      </c>
      <c r="C1885" s="6">
        <f t="shared" ca="1" si="350"/>
        <v>1</v>
      </c>
      <c r="D1885" s="7">
        <f ca="1">IF($B1885 = 1 + N("Presidente"),
    127,
    IF($B1885 = 2 + N("Vice-Presidente"),
        72,
        IF($B1885 = 3 + N("Secretária bilíngue"),
            13,
            RANDBETWEEN(5,COUNT(Name!$A:$A) + 1)
        )
    )
)</f>
        <v>97</v>
      </c>
      <c r="E1885" s="7" t="str">
        <f ca="1" xml:space="preserve">
VLOOKUP(
  $D1885,
  Name!$A:$B,
  2,
  FALSE
)
&amp; " " &amp;
IF($B1885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Claudia Amor Madureira</v>
      </c>
      <c r="F1885" s="7">
        <v>2</v>
      </c>
      <c r="G1885" s="7" cm="1">
        <f t="array" aca="1" ref="G1885" ca="1">INDEX(States!$B:$B,RANDBETWEEN(2,COUNTA(States!$A:$A)),1)</f>
        <v>16</v>
      </c>
      <c r="H1885" s="7" t="str">
        <f ca="1">VLOOKUP($D1885,Name!$A:$C,3,FALSE)</f>
        <v>F</v>
      </c>
      <c r="I1885" s="7" cm="1">
        <f t="array" aca="1" ref="I1885" ca="1">INDEX('Marital status'!$A:$A,RANDBETWEEN(2,COUNTA('Marital status'!$A:$A)),1)</f>
        <v>2</v>
      </c>
      <c r="J1885" s="7">
        <f t="shared" ca="1" si="351"/>
        <v>2</v>
      </c>
      <c r="K1885" s="8">
        <f t="shared" ca="1" si="352"/>
        <v>36292</v>
      </c>
      <c r="L1885" s="6">
        <f t="shared" ca="1" si="353"/>
        <v>5</v>
      </c>
      <c r="M1885" s="7">
        <f ca="1" xml:space="preserve">
  IF(OR($N1885 = 2, $N1885 = 3, $N1885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885" s="6">
        <f t="shared" ca="1" si="354"/>
        <v>8</v>
      </c>
      <c r="O1885" s="6">
        <f t="shared" ca="1" si="355"/>
        <v>4</v>
      </c>
      <c r="P1885" s="8">
        <f t="shared" ca="1" si="356"/>
        <v>44069</v>
      </c>
      <c r="Q1885" s="6">
        <f ca="1">RANDBETWEEN(2,COUNTA('Recruitment source'!$A:$A))</f>
        <v>7</v>
      </c>
      <c r="R1885" s="8" t="e">
        <f t="shared" ca="1" si="357"/>
        <v>#N/A</v>
      </c>
      <c r="S1885" s="6" t="e">
        <f t="shared" ca="1" si="358"/>
        <v>#N/A</v>
      </c>
      <c r="T1885" s="6">
        <f t="shared" ca="1" si="348"/>
        <v>3</v>
      </c>
      <c r="U1885" s="1">
        <f t="shared" ca="1" si="359"/>
        <v>2080</v>
      </c>
    </row>
    <row r="1886" spans="1:21" x14ac:dyDescent="0.2">
      <c r="A1886" s="7" cm="1">
        <f t="array" aca="1" ref="A1886" ca="1">INDEX(Companies!$A:$A,RANDBETWEEN(2,COUNTA(Companies!$A:$A)),1)</f>
        <v>2</v>
      </c>
      <c r="B1886" s="5">
        <f t="shared" si="349"/>
        <v>1885</v>
      </c>
      <c r="C1886" s="6">
        <f t="shared" ca="1" si="350"/>
        <v>1</v>
      </c>
      <c r="D1886" s="7">
        <f ca="1">IF($B1886 = 1 + N("Presidente"),
    127,
    IF($B1886 = 2 + N("Vice-Presidente"),
        72,
        IF($B1886 = 3 + N("Secretária bilíngue"),
            13,
            RANDBETWEEN(5,COUNT(Name!$A:$A) + 1)
        )
    )
)</f>
        <v>175</v>
      </c>
      <c r="E1886" s="7" t="str">
        <f ca="1" xml:space="preserve">
VLOOKUP(
  $D1886,
  Name!$A:$B,
  2,
  FALSE
)
&amp; " " &amp;
IF($B1886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Isabella Testa Castro</v>
      </c>
      <c r="F1886" s="7">
        <v>2</v>
      </c>
      <c r="G1886" s="7" cm="1">
        <f t="array" aca="1" ref="G1886" ca="1">INDEX(States!$B:$B,RANDBETWEEN(2,COUNTA(States!$A:$A)),1)</f>
        <v>13</v>
      </c>
      <c r="H1886" s="7" t="str">
        <f ca="1">VLOOKUP($D1886,Name!$A:$C,3,FALSE)</f>
        <v>F</v>
      </c>
      <c r="I1886" s="7" cm="1">
        <f t="array" aca="1" ref="I1886" ca="1">INDEX('Marital status'!$A:$A,RANDBETWEEN(2,COUNTA('Marital status'!$A:$A)),1)</f>
        <v>2</v>
      </c>
      <c r="J1886" s="7">
        <f t="shared" ca="1" si="351"/>
        <v>2</v>
      </c>
      <c r="K1886" s="8">
        <f t="shared" ca="1" si="352"/>
        <v>19280</v>
      </c>
      <c r="L1886" s="6">
        <f t="shared" ca="1" si="353"/>
        <v>4</v>
      </c>
      <c r="M1886" s="7">
        <f ca="1" xml:space="preserve">
  IF(OR($N1886 = 2, $N1886 = 3, $N1886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886" s="6">
        <f t="shared" ca="1" si="354"/>
        <v>6</v>
      </c>
      <c r="O1886" s="6" t="e">
        <f t="shared" ca="1" si="355"/>
        <v>#N/A</v>
      </c>
      <c r="P1886" s="8">
        <f t="shared" ca="1" si="356"/>
        <v>40993</v>
      </c>
      <c r="Q1886" s="6">
        <f ca="1">RANDBETWEEN(2,COUNTA('Recruitment source'!$A:$A))</f>
        <v>11</v>
      </c>
      <c r="R1886" s="8" t="e">
        <f t="shared" ca="1" si="357"/>
        <v>#N/A</v>
      </c>
      <c r="S1886" s="6" t="e">
        <f t="shared" ca="1" si="358"/>
        <v>#N/A</v>
      </c>
      <c r="T1886" s="6">
        <f t="shared" ca="1" si="348"/>
        <v>3</v>
      </c>
      <c r="U1886" s="1">
        <f t="shared" ca="1" si="359"/>
        <v>805</v>
      </c>
    </row>
    <row r="1887" spans="1:21" x14ac:dyDescent="0.2">
      <c r="A1887" s="7" cm="1">
        <f t="array" aca="1" ref="A1887" ca="1">INDEX(Companies!$A:$A,RANDBETWEEN(2,COUNTA(Companies!$A:$A)),1)</f>
        <v>2</v>
      </c>
      <c r="B1887" s="5">
        <f t="shared" si="349"/>
        <v>1886</v>
      </c>
      <c r="C1887" s="6">
        <f t="shared" ca="1" si="350"/>
        <v>0</v>
      </c>
      <c r="D1887" s="7">
        <f ca="1">IF($B1887 = 1 + N("Presidente"),
    127,
    IF($B1887 = 2 + N("Vice-Presidente"),
        72,
        IF($B1887 = 3 + N("Secretária bilíngue"),
            13,
            RANDBETWEEN(5,COUNT(Name!$A:$A) + 1)
        )
    )
)</f>
        <v>248</v>
      </c>
      <c r="E1887" s="7" t="str">
        <f ca="1" xml:space="preserve">
VLOOKUP(
  $D1887,
  Name!$A:$B,
  2,
  FALSE
)
&amp; " " &amp;
IF($B1887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Luiza Lopes Bianchi</v>
      </c>
      <c r="F1887" s="7">
        <v>2</v>
      </c>
      <c r="G1887" s="7" cm="1">
        <f t="array" aca="1" ref="G1887" ca="1">INDEX(States!$B:$B,RANDBETWEEN(2,COUNTA(States!$A:$A)),1)</f>
        <v>8</v>
      </c>
      <c r="H1887" s="7" t="str">
        <f ca="1">VLOOKUP($D1887,Name!$A:$C,3,FALSE)</f>
        <v>F</v>
      </c>
      <c r="I1887" s="7" cm="1">
        <f t="array" aca="1" ref="I1887" ca="1">INDEX('Marital status'!$A:$A,RANDBETWEEN(2,COUNTA('Marital status'!$A:$A)),1)</f>
        <v>4</v>
      </c>
      <c r="J1887" s="7">
        <f t="shared" ca="1" si="351"/>
        <v>2</v>
      </c>
      <c r="K1887" s="8">
        <f t="shared" ca="1" si="352"/>
        <v>32480</v>
      </c>
      <c r="L1887" s="6">
        <f t="shared" ca="1" si="353"/>
        <v>4</v>
      </c>
      <c r="M1887" s="7">
        <f ca="1" xml:space="preserve">
  IF(OR($N1887 = 2, $N1887 = 3, $N1887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887" s="6">
        <f t="shared" ca="1" si="354"/>
        <v>8</v>
      </c>
      <c r="O1887" s="6">
        <f t="shared" ca="1" si="355"/>
        <v>4</v>
      </c>
      <c r="P1887" s="8">
        <f t="shared" ca="1" si="356"/>
        <v>37875</v>
      </c>
      <c r="Q1887" s="6">
        <f ca="1">RANDBETWEEN(2,COUNTA('Recruitment source'!$A:$A))</f>
        <v>8</v>
      </c>
      <c r="R1887" s="8">
        <f t="shared" ca="1" si="357"/>
        <v>40250</v>
      </c>
      <c r="S1887" s="6">
        <f t="shared" ca="1" si="358"/>
        <v>8</v>
      </c>
      <c r="T1887" s="6">
        <f t="shared" ca="1" si="348"/>
        <v>3</v>
      </c>
      <c r="U1887" s="1">
        <f t="shared" ca="1" si="359"/>
        <v>2000</v>
      </c>
    </row>
    <row r="1888" spans="1:21" x14ac:dyDescent="0.2">
      <c r="A1888" s="7" cm="1">
        <f t="array" aca="1" ref="A1888" ca="1">INDEX(Companies!$A:$A,RANDBETWEEN(2,COUNTA(Companies!$A:$A)),1)</f>
        <v>2</v>
      </c>
      <c r="B1888" s="5">
        <f t="shared" si="349"/>
        <v>1887</v>
      </c>
      <c r="C1888" s="6">
        <f t="shared" ca="1" si="350"/>
        <v>1</v>
      </c>
      <c r="D1888" s="7">
        <f ca="1">IF($B1888 = 1 + N("Presidente"),
    127,
    IF($B1888 = 2 + N("Vice-Presidente"),
        72,
        IF($B1888 = 3 + N("Secretária bilíngue"),
            13,
            RANDBETWEEN(5,COUNT(Name!$A:$A) + 1)
        )
    )
)</f>
        <v>91</v>
      </c>
      <c r="E1888" s="7" t="str">
        <f ca="1" xml:space="preserve">
VLOOKUP(
  $D1888,
  Name!$A:$B,
  2,
  FALSE
)
&amp; " " &amp;
IF($B1888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Cecilia Malafaia Souza</v>
      </c>
      <c r="F1888" s="7">
        <v>2</v>
      </c>
      <c r="G1888" s="7" cm="1">
        <f t="array" aca="1" ref="G1888" ca="1">INDEX(States!$B:$B,RANDBETWEEN(2,COUNTA(States!$A:$A)),1)</f>
        <v>14</v>
      </c>
      <c r="H1888" s="7" t="str">
        <f ca="1">VLOOKUP($D1888,Name!$A:$C,3,FALSE)</f>
        <v>F</v>
      </c>
      <c r="I1888" s="7" cm="1">
        <f t="array" aca="1" ref="I1888" ca="1">INDEX('Marital status'!$A:$A,RANDBETWEEN(2,COUNTA('Marital status'!$A:$A)),1)</f>
        <v>5</v>
      </c>
      <c r="J1888" s="7">
        <f t="shared" ca="1" si="351"/>
        <v>2</v>
      </c>
      <c r="K1888" s="8">
        <f t="shared" ca="1" si="352"/>
        <v>36042</v>
      </c>
      <c r="L1888" s="6">
        <f t="shared" ca="1" si="353"/>
        <v>4</v>
      </c>
      <c r="M1888" s="7">
        <f ca="1" xml:space="preserve">
  IF(OR($N1888 = 2, $N1888 = 3, $N1888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888" s="6">
        <f t="shared" ca="1" si="354"/>
        <v>7</v>
      </c>
      <c r="O1888" s="6" t="e">
        <f t="shared" ca="1" si="355"/>
        <v>#N/A</v>
      </c>
      <c r="P1888" s="8">
        <f t="shared" ca="1" si="356"/>
        <v>40889</v>
      </c>
      <c r="Q1888" s="6">
        <f ca="1">RANDBETWEEN(2,COUNTA('Recruitment source'!$A:$A))</f>
        <v>10</v>
      </c>
      <c r="R1888" s="8" t="e">
        <f t="shared" ca="1" si="357"/>
        <v>#N/A</v>
      </c>
      <c r="S1888" s="6" t="e">
        <f t="shared" ca="1" si="358"/>
        <v>#N/A</v>
      </c>
      <c r="T1888" s="6">
        <f t="shared" ca="1" si="348"/>
        <v>3</v>
      </c>
      <c r="U1888" s="1">
        <f t="shared" ca="1" si="359"/>
        <v>1005</v>
      </c>
    </row>
    <row r="1889" spans="1:21" x14ac:dyDescent="0.2">
      <c r="A1889" s="7" cm="1">
        <f t="array" aca="1" ref="A1889" ca="1">INDEX(Companies!$A:$A,RANDBETWEEN(2,COUNTA(Companies!$A:$A)),1)</f>
        <v>2</v>
      </c>
      <c r="B1889" s="5">
        <f t="shared" si="349"/>
        <v>1888</v>
      </c>
      <c r="C1889" s="6">
        <f t="shared" ca="1" si="350"/>
        <v>1</v>
      </c>
      <c r="D1889" s="7">
        <f ca="1">IF($B1889 = 1 + N("Presidente"),
    127,
    IF($B1889 = 2 + N("Vice-Presidente"),
        72,
        IF($B1889 = 3 + N("Secretária bilíngue"),
            13,
            RANDBETWEEN(5,COUNT(Name!$A:$A) + 1)
        )
    )
)</f>
        <v>351</v>
      </c>
      <c r="E1889" s="7" t="str">
        <f ca="1" xml:space="preserve">
VLOOKUP(
  $D1889,
  Name!$A:$B,
  2,
  FALSE
)
&amp; " " &amp;
IF($B1889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Vera Lucia Paulista Lombardi</v>
      </c>
      <c r="F1889" s="7">
        <v>2</v>
      </c>
      <c r="G1889" s="7" cm="1">
        <f t="array" aca="1" ref="G1889" ca="1">INDEX(States!$B:$B,RANDBETWEEN(2,COUNTA(States!$A:$A)),1)</f>
        <v>20</v>
      </c>
      <c r="H1889" s="7" t="str">
        <f ca="1">VLOOKUP($D1889,Name!$A:$C,3,FALSE)</f>
        <v>F</v>
      </c>
      <c r="I1889" s="7" cm="1">
        <f t="array" aca="1" ref="I1889" ca="1">INDEX('Marital status'!$A:$A,RANDBETWEEN(2,COUNTA('Marital status'!$A:$A)),1)</f>
        <v>4</v>
      </c>
      <c r="J1889" s="7">
        <f t="shared" ca="1" si="351"/>
        <v>2</v>
      </c>
      <c r="K1889" s="8">
        <f t="shared" ca="1" si="352"/>
        <v>35134</v>
      </c>
      <c r="L1889" s="6">
        <f t="shared" ca="1" si="353"/>
        <v>4</v>
      </c>
      <c r="M1889" s="7">
        <f ca="1" xml:space="preserve">
  IF(OR($N1889 = 2, $N1889 = 3, $N1889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889" s="6">
        <f t="shared" ca="1" si="354"/>
        <v>8</v>
      </c>
      <c r="O1889" s="6">
        <f t="shared" ca="1" si="355"/>
        <v>4</v>
      </c>
      <c r="P1889" s="8">
        <f t="shared" ca="1" si="356"/>
        <v>42470</v>
      </c>
      <c r="Q1889" s="6">
        <f ca="1">RANDBETWEEN(2,COUNTA('Recruitment source'!$A:$A))</f>
        <v>8</v>
      </c>
      <c r="R1889" s="8" t="e">
        <f t="shared" ca="1" si="357"/>
        <v>#N/A</v>
      </c>
      <c r="S1889" s="6" t="e">
        <f t="shared" ca="1" si="358"/>
        <v>#N/A</v>
      </c>
      <c r="T1889" s="6">
        <f t="shared" ca="1" si="348"/>
        <v>3</v>
      </c>
      <c r="U1889" s="1">
        <f t="shared" ca="1" si="359"/>
        <v>2080</v>
      </c>
    </row>
    <row r="1890" spans="1:21" x14ac:dyDescent="0.2">
      <c r="A1890" s="7" cm="1">
        <f t="array" aca="1" ref="A1890" ca="1">INDEX(Companies!$A:$A,RANDBETWEEN(2,COUNTA(Companies!$A:$A)),1)</f>
        <v>2</v>
      </c>
      <c r="B1890" s="5">
        <f t="shared" si="349"/>
        <v>1889</v>
      </c>
      <c r="C1890" s="6">
        <f t="shared" ca="1" si="350"/>
        <v>1</v>
      </c>
      <c r="D1890" s="7">
        <f ca="1">IF($B1890 = 1 + N("Presidente"),
    127,
    IF($B1890 = 2 + N("Vice-Presidente"),
        72,
        IF($B1890 = 3 + N("Secretária bilíngue"),
            13,
            RANDBETWEEN(5,COUNT(Name!$A:$A) + 1)
        )
    )
)</f>
        <v>364</v>
      </c>
      <c r="E1890" s="7" t="str">
        <f ca="1" xml:space="preserve">
VLOOKUP(
  $D1890,
  Name!$A:$B,
  2,
  FALSE
)
&amp; " " &amp;
IF($B1890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Yasmin Alcantara Almeida</v>
      </c>
      <c r="F1890" s="7">
        <v>2</v>
      </c>
      <c r="G1890" s="7" cm="1">
        <f t="array" aca="1" ref="G1890" ca="1">INDEX(States!$B:$B,RANDBETWEEN(2,COUNTA(States!$A:$A)),1)</f>
        <v>9</v>
      </c>
      <c r="H1890" s="7" t="str">
        <f ca="1">VLOOKUP($D1890,Name!$A:$C,3,FALSE)</f>
        <v>F</v>
      </c>
      <c r="I1890" s="7" cm="1">
        <f t="array" aca="1" ref="I1890" ca="1">INDEX('Marital status'!$A:$A,RANDBETWEEN(2,COUNTA('Marital status'!$A:$A)),1)</f>
        <v>5</v>
      </c>
      <c r="J1890" s="7">
        <f t="shared" ca="1" si="351"/>
        <v>3</v>
      </c>
      <c r="K1890" s="8">
        <f t="shared" ca="1" si="352"/>
        <v>32358</v>
      </c>
      <c r="L1890" s="6">
        <f t="shared" ca="1" si="353"/>
        <v>4</v>
      </c>
      <c r="M1890" s="7">
        <f ca="1" xml:space="preserve">
  IF(OR($N1890 = 2, $N1890 = 3, $N1890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890" s="6">
        <f t="shared" ca="1" si="354"/>
        <v>6</v>
      </c>
      <c r="O1890" s="6" t="e">
        <f t="shared" ca="1" si="355"/>
        <v>#N/A</v>
      </c>
      <c r="P1890" s="8">
        <f t="shared" ca="1" si="356"/>
        <v>42009</v>
      </c>
      <c r="Q1890" s="6">
        <f ca="1">RANDBETWEEN(2,COUNTA('Recruitment source'!$A:$A))</f>
        <v>2</v>
      </c>
      <c r="R1890" s="8" t="e">
        <f t="shared" ca="1" si="357"/>
        <v>#N/A</v>
      </c>
      <c r="S1890" s="6" t="e">
        <f t="shared" ca="1" si="358"/>
        <v>#N/A</v>
      </c>
      <c r="T1890" s="6">
        <f t="shared" ca="1" si="348"/>
        <v>5</v>
      </c>
      <c r="U1890" s="1">
        <f t="shared" ca="1" si="359"/>
        <v>885</v>
      </c>
    </row>
    <row r="1891" spans="1:21" x14ac:dyDescent="0.2">
      <c r="A1891" s="7" cm="1">
        <f t="array" aca="1" ref="A1891" ca="1">INDEX(Companies!$A:$A,RANDBETWEEN(2,COUNTA(Companies!$A:$A)),1)</f>
        <v>2</v>
      </c>
      <c r="B1891" s="5">
        <f t="shared" si="349"/>
        <v>1890</v>
      </c>
      <c r="C1891" s="6">
        <f t="shared" ca="1" si="350"/>
        <v>1</v>
      </c>
      <c r="D1891" s="7">
        <f ca="1">IF($B1891 = 1 + N("Presidente"),
    127,
    IF($B1891 = 2 + N("Vice-Presidente"),
        72,
        IF($B1891 = 3 + N("Secretária bilíngue"),
            13,
            RANDBETWEEN(5,COUNT(Name!$A:$A) + 1)
        )
    )
)</f>
        <v>259</v>
      </c>
      <c r="E1891" s="7" t="str">
        <f ca="1" xml:space="preserve">
VLOOKUP(
  $D1891,
  Name!$A:$B,
  2,
  FALSE
)
&amp; " " &amp;
IF($B1891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Carolina Medeiros Santos</v>
      </c>
      <c r="F1891" s="7">
        <v>2</v>
      </c>
      <c r="G1891" s="7" cm="1">
        <f t="array" aca="1" ref="G1891" ca="1">INDEX(States!$B:$B,RANDBETWEEN(2,COUNTA(States!$A:$A)),1)</f>
        <v>14</v>
      </c>
      <c r="H1891" s="7" t="str">
        <f ca="1">VLOOKUP($D1891,Name!$A:$C,3,FALSE)</f>
        <v>F</v>
      </c>
      <c r="I1891" s="7" cm="1">
        <f t="array" aca="1" ref="I1891" ca="1">INDEX('Marital status'!$A:$A,RANDBETWEEN(2,COUNTA('Marital status'!$A:$A)),1)</f>
        <v>6</v>
      </c>
      <c r="J1891" s="7">
        <f t="shared" ca="1" si="351"/>
        <v>2</v>
      </c>
      <c r="K1891" s="8">
        <f t="shared" ca="1" si="352"/>
        <v>37388</v>
      </c>
      <c r="L1891" s="6">
        <f t="shared" ca="1" si="353"/>
        <v>5</v>
      </c>
      <c r="M1891" s="7">
        <f ca="1" xml:space="preserve">
  IF(OR($N1891 = 2, $N1891 = 3, $N1891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891" s="6">
        <f t="shared" ca="1" si="354"/>
        <v>8</v>
      </c>
      <c r="O1891" s="6">
        <f t="shared" ca="1" si="355"/>
        <v>3</v>
      </c>
      <c r="P1891" s="8">
        <f t="shared" ca="1" si="356"/>
        <v>44510</v>
      </c>
      <c r="Q1891" s="6">
        <f ca="1">RANDBETWEEN(2,COUNTA('Recruitment source'!$A:$A))</f>
        <v>5</v>
      </c>
      <c r="R1891" s="8" t="e">
        <f t="shared" ca="1" si="357"/>
        <v>#N/A</v>
      </c>
      <c r="S1891" s="6" t="e">
        <f t="shared" ca="1" si="358"/>
        <v>#N/A</v>
      </c>
      <c r="T1891" s="6">
        <f t="shared" ca="1" si="348"/>
        <v>4</v>
      </c>
      <c r="U1891" s="1">
        <f t="shared" ca="1" si="359"/>
        <v>2000</v>
      </c>
    </row>
    <row r="1892" spans="1:21" x14ac:dyDescent="0.2">
      <c r="A1892" s="7" cm="1">
        <f t="array" aca="1" ref="A1892" ca="1">INDEX(Companies!$A:$A,RANDBETWEEN(2,COUNTA(Companies!$A:$A)),1)</f>
        <v>2</v>
      </c>
      <c r="B1892" s="5">
        <f t="shared" si="349"/>
        <v>1891</v>
      </c>
      <c r="C1892" s="6">
        <f t="shared" ca="1" si="350"/>
        <v>1</v>
      </c>
      <c r="D1892" s="7">
        <f ca="1">IF($B1892 = 1 + N("Presidente"),
    127,
    IF($B1892 = 2 + N("Vice-Presidente"),
        72,
        IF($B1892 = 3 + N("Secretária bilíngue"),
            13,
            RANDBETWEEN(5,COUNT(Name!$A:$A) + 1)
        )
    )
)</f>
        <v>45</v>
      </c>
      <c r="E1892" s="7" t="str">
        <f ca="1" xml:space="preserve">
VLOOKUP(
  $D1892,
  Name!$A:$B,
  2,
  FALSE
)
&amp; " " &amp;
IF($B1892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Carolinna Frois Pedrosa</v>
      </c>
      <c r="F1892" s="7">
        <v>2</v>
      </c>
      <c r="G1892" s="7" cm="1">
        <f t="array" aca="1" ref="G1892" ca="1">INDEX(States!$B:$B,RANDBETWEEN(2,COUNTA(States!$A:$A)),1)</f>
        <v>11</v>
      </c>
      <c r="H1892" s="7" t="str">
        <f ca="1">VLOOKUP($D1892,Name!$A:$C,3,FALSE)</f>
        <v>F</v>
      </c>
      <c r="I1892" s="7" cm="1">
        <f t="array" aca="1" ref="I1892" ca="1">INDEX('Marital status'!$A:$A,RANDBETWEEN(2,COUNTA('Marital status'!$A:$A)),1)</f>
        <v>6</v>
      </c>
      <c r="J1892" s="7">
        <f t="shared" ca="1" si="351"/>
        <v>4</v>
      </c>
      <c r="K1892" s="8">
        <f t="shared" ca="1" si="352"/>
        <v>32776</v>
      </c>
      <c r="L1892" s="6">
        <f t="shared" ca="1" si="353"/>
        <v>4</v>
      </c>
      <c r="M1892" s="7">
        <f ca="1" xml:space="preserve">
  IF(OR($N1892 = 2, $N1892 = 3, $N1892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892" s="6">
        <f t="shared" ca="1" si="354"/>
        <v>7</v>
      </c>
      <c r="O1892" s="6" t="e">
        <f t="shared" ca="1" si="355"/>
        <v>#N/A</v>
      </c>
      <c r="P1892" s="8">
        <f t="shared" ca="1" si="356"/>
        <v>40611</v>
      </c>
      <c r="Q1892" s="6">
        <f ca="1">RANDBETWEEN(2,COUNTA('Recruitment source'!$A:$A))</f>
        <v>7</v>
      </c>
      <c r="R1892" s="8" t="e">
        <f t="shared" ca="1" si="357"/>
        <v>#N/A</v>
      </c>
      <c r="S1892" s="6" t="e">
        <f t="shared" ca="1" si="358"/>
        <v>#N/A</v>
      </c>
      <c r="T1892" s="6">
        <f t="shared" ca="1" si="348"/>
        <v>2</v>
      </c>
      <c r="U1892" s="1">
        <f t="shared" ca="1" si="359"/>
        <v>1005</v>
      </c>
    </row>
    <row r="1893" spans="1:21" x14ac:dyDescent="0.2">
      <c r="A1893" s="7" cm="1">
        <f t="array" aca="1" ref="A1893" ca="1">INDEX(Companies!$A:$A,RANDBETWEEN(2,COUNTA(Companies!$A:$A)),1)</f>
        <v>2</v>
      </c>
      <c r="B1893" s="5">
        <f t="shared" si="349"/>
        <v>1892</v>
      </c>
      <c r="C1893" s="6">
        <f t="shared" ca="1" si="350"/>
        <v>1</v>
      </c>
      <c r="D1893" s="7">
        <f ca="1">IF($B1893 = 1 + N("Presidente"),
    127,
    IF($B1893 = 2 + N("Vice-Presidente"),
        72,
        IF($B1893 = 3 + N("Secretária bilíngue"),
            13,
            RANDBETWEEN(5,COUNT(Name!$A:$A) + 1)
        )
    )
)</f>
        <v>79</v>
      </c>
      <c r="E1893" s="7" t="str">
        <f ca="1" xml:space="preserve">
VLOOKUP(
  $D1893,
  Name!$A:$B,
  2,
  FALSE
)
&amp; " " &amp;
IF($B1893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Byanca Ramos Soares</v>
      </c>
      <c r="F1893" s="7">
        <v>2</v>
      </c>
      <c r="G1893" s="7" cm="1">
        <f t="array" aca="1" ref="G1893" ca="1">INDEX(States!$B:$B,RANDBETWEEN(2,COUNTA(States!$A:$A)),1)</f>
        <v>6</v>
      </c>
      <c r="H1893" s="7" t="str">
        <f ca="1">VLOOKUP($D1893,Name!$A:$C,3,FALSE)</f>
        <v>F</v>
      </c>
      <c r="I1893" s="7" cm="1">
        <f t="array" aca="1" ref="I1893" ca="1">INDEX('Marital status'!$A:$A,RANDBETWEEN(2,COUNTA('Marital status'!$A:$A)),1)</f>
        <v>6</v>
      </c>
      <c r="J1893" s="7">
        <f t="shared" ca="1" si="351"/>
        <v>2</v>
      </c>
      <c r="K1893" s="8">
        <f t="shared" ca="1" si="352"/>
        <v>37148</v>
      </c>
      <c r="L1893" s="6">
        <f t="shared" ca="1" si="353"/>
        <v>5</v>
      </c>
      <c r="M1893" s="7">
        <f ca="1" xml:space="preserve">
  IF(OR($N1893 = 2, $N1893 = 3, $N1893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893" s="6">
        <f t="shared" ca="1" si="354"/>
        <v>8</v>
      </c>
      <c r="O1893" s="6">
        <f t="shared" ca="1" si="355"/>
        <v>2</v>
      </c>
      <c r="P1893" s="8">
        <f t="shared" ca="1" si="356"/>
        <v>40830</v>
      </c>
      <c r="Q1893" s="6">
        <f ca="1">RANDBETWEEN(2,COUNTA('Recruitment source'!$A:$A))</f>
        <v>3</v>
      </c>
      <c r="R1893" s="8" t="e">
        <f t="shared" ca="1" si="357"/>
        <v>#N/A</v>
      </c>
      <c r="S1893" s="6" t="e">
        <f t="shared" ca="1" si="358"/>
        <v>#N/A</v>
      </c>
      <c r="T1893" s="6">
        <f t="shared" ca="1" si="348"/>
        <v>4</v>
      </c>
      <c r="U1893" s="1">
        <f t="shared" ca="1" si="359"/>
        <v>2080</v>
      </c>
    </row>
    <row r="1894" spans="1:21" x14ac:dyDescent="0.2">
      <c r="A1894" s="7" cm="1">
        <f t="array" aca="1" ref="A1894" ca="1">INDEX(Companies!$A:$A,RANDBETWEEN(2,COUNTA(Companies!$A:$A)),1)</f>
        <v>2</v>
      </c>
      <c r="B1894" s="5">
        <f t="shared" si="349"/>
        <v>1893</v>
      </c>
      <c r="C1894" s="6">
        <f t="shared" ca="1" si="350"/>
        <v>1</v>
      </c>
      <c r="D1894" s="7">
        <f ca="1">IF($B1894 = 1 + N("Presidente"),
    127,
    IF($B1894 = 2 + N("Vice-Presidente"),
        72,
        IF($B1894 = 3 + N("Secretária bilíngue"),
            13,
            RANDBETWEEN(5,COUNT(Name!$A:$A) + 1)
        )
    )
)</f>
        <v>94</v>
      </c>
      <c r="E1894" s="7" t="str">
        <f ca="1" xml:space="preserve">
VLOOKUP(
  $D1894,
  Name!$A:$B,
  2,
  FALSE
)
&amp; " " &amp;
IF($B1894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Clara Testa Miranda</v>
      </c>
      <c r="F1894" s="7">
        <v>2</v>
      </c>
      <c r="G1894" s="7" cm="1">
        <f t="array" aca="1" ref="G1894" ca="1">INDEX(States!$B:$B,RANDBETWEEN(2,COUNTA(States!$A:$A)),1)</f>
        <v>11</v>
      </c>
      <c r="H1894" s="7" t="str">
        <f ca="1">VLOOKUP($D1894,Name!$A:$C,3,FALSE)</f>
        <v>F</v>
      </c>
      <c r="I1894" s="7" cm="1">
        <f t="array" aca="1" ref="I1894" ca="1">INDEX('Marital status'!$A:$A,RANDBETWEEN(2,COUNTA('Marital status'!$A:$A)),1)</f>
        <v>3</v>
      </c>
      <c r="J1894" s="7">
        <f t="shared" ca="1" si="351"/>
        <v>2</v>
      </c>
      <c r="K1894" s="8">
        <f t="shared" ca="1" si="352"/>
        <v>31666</v>
      </c>
      <c r="L1894" s="6">
        <f t="shared" ca="1" si="353"/>
        <v>4</v>
      </c>
      <c r="M1894" s="7">
        <f ca="1" xml:space="preserve">
  IF(OR($N1894 = 2, $N1894 = 3, $N1894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894" s="6">
        <f t="shared" ca="1" si="354"/>
        <v>7</v>
      </c>
      <c r="O1894" s="6" t="e">
        <f t="shared" ca="1" si="355"/>
        <v>#N/A</v>
      </c>
      <c r="P1894" s="8">
        <f t="shared" ca="1" si="356"/>
        <v>40883</v>
      </c>
      <c r="Q1894" s="6">
        <f ca="1">RANDBETWEEN(2,COUNTA('Recruitment source'!$A:$A))</f>
        <v>10</v>
      </c>
      <c r="R1894" s="8" t="e">
        <f t="shared" ca="1" si="357"/>
        <v>#N/A</v>
      </c>
      <c r="S1894" s="6" t="e">
        <f t="shared" ca="1" si="358"/>
        <v>#N/A</v>
      </c>
      <c r="T1894" s="6">
        <f t="shared" ca="1" si="348"/>
        <v>4</v>
      </c>
      <c r="U1894" s="1">
        <f t="shared" ca="1" si="359"/>
        <v>1005</v>
      </c>
    </row>
    <row r="1895" spans="1:21" x14ac:dyDescent="0.2">
      <c r="A1895" s="7" cm="1">
        <f t="array" aca="1" ref="A1895" ca="1">INDEX(Companies!$A:$A,RANDBETWEEN(2,COUNTA(Companies!$A:$A)),1)</f>
        <v>2</v>
      </c>
      <c r="B1895" s="5">
        <f t="shared" si="349"/>
        <v>1894</v>
      </c>
      <c r="C1895" s="6">
        <f t="shared" ca="1" si="350"/>
        <v>1</v>
      </c>
      <c r="D1895" s="7">
        <f ca="1">IF($B1895 = 1 + N("Presidente"),
    127,
    IF($B1895 = 2 + N("Vice-Presidente"),
        72,
        IF($B1895 = 3 + N("Secretária bilíngue"),
            13,
            RANDBETWEEN(5,COUNT(Name!$A:$A) + 1)
        )
    )
)</f>
        <v>336</v>
      </c>
      <c r="E1895" s="7" t="str">
        <f ca="1" xml:space="preserve">
VLOOKUP(
  $D1895,
  Name!$A:$B,
  2,
  FALSE
)
&amp; " " &amp;
IF($B1895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Samuel Andrioli Sá</v>
      </c>
      <c r="F1895" s="7">
        <v>2</v>
      </c>
      <c r="G1895" s="7" cm="1">
        <f t="array" aca="1" ref="G1895" ca="1">INDEX(States!$B:$B,RANDBETWEEN(2,COUNTA(States!$A:$A)),1)</f>
        <v>13</v>
      </c>
      <c r="H1895" s="7" t="str">
        <f ca="1">VLOOKUP($D1895,Name!$A:$C,3,FALSE)</f>
        <v>M</v>
      </c>
      <c r="I1895" s="7" cm="1">
        <f t="array" aca="1" ref="I1895" ca="1">INDEX('Marital status'!$A:$A,RANDBETWEEN(2,COUNTA('Marital status'!$A:$A)),1)</f>
        <v>5</v>
      </c>
      <c r="J1895" s="7">
        <f t="shared" ca="1" si="351"/>
        <v>2</v>
      </c>
      <c r="K1895" s="8">
        <f t="shared" ca="1" si="352"/>
        <v>36089</v>
      </c>
      <c r="L1895" s="6">
        <f t="shared" ca="1" si="353"/>
        <v>5</v>
      </c>
      <c r="M1895" s="7">
        <f ca="1" xml:space="preserve">
  IF(OR($N1895 = 2, $N1895 = 3, $N1895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895" s="6">
        <f t="shared" ca="1" si="354"/>
        <v>8</v>
      </c>
      <c r="O1895" s="6">
        <f t="shared" ca="1" si="355"/>
        <v>4</v>
      </c>
      <c r="P1895" s="8">
        <f t="shared" ca="1" si="356"/>
        <v>39640</v>
      </c>
      <c r="Q1895" s="6">
        <f ca="1">RANDBETWEEN(2,COUNTA('Recruitment source'!$A:$A))</f>
        <v>4</v>
      </c>
      <c r="R1895" s="8" t="e">
        <f t="shared" ca="1" si="357"/>
        <v>#N/A</v>
      </c>
      <c r="S1895" s="6" t="e">
        <f t="shared" ca="1" si="358"/>
        <v>#N/A</v>
      </c>
      <c r="T1895" s="6">
        <f t="shared" ca="1" si="348"/>
        <v>2</v>
      </c>
      <c r="U1895" s="1">
        <f t="shared" ca="1" si="359"/>
        <v>2000</v>
      </c>
    </row>
    <row r="1896" spans="1:21" x14ac:dyDescent="0.2">
      <c r="A1896" s="7" cm="1">
        <f t="array" aca="1" ref="A1896" ca="1">INDEX(Companies!$A:$A,RANDBETWEEN(2,COUNTA(Companies!$A:$A)),1)</f>
        <v>2</v>
      </c>
      <c r="B1896" s="5">
        <f t="shared" si="349"/>
        <v>1895</v>
      </c>
      <c r="C1896" s="6">
        <f t="shared" ca="1" si="350"/>
        <v>1</v>
      </c>
      <c r="D1896" s="7">
        <f ca="1">IF($B1896 = 1 + N("Presidente"),
    127,
    IF($B1896 = 2 + N("Vice-Presidente"),
        72,
        IF($B1896 = 3 + N("Secretária bilíngue"),
            13,
            RANDBETWEEN(5,COUNT(Name!$A:$A) + 1)
        )
    )
)</f>
        <v>268</v>
      </c>
      <c r="E1896" s="7" t="str">
        <f ca="1" xml:space="preserve">
VLOOKUP(
  $D1896,
  Name!$A:$B,
  2,
  FALSE
)
&amp; " " &amp;
IF($B1896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Isis Tavarez Morato</v>
      </c>
      <c r="F1896" s="7">
        <v>2</v>
      </c>
      <c r="G1896" s="7" cm="1">
        <f t="array" aca="1" ref="G1896" ca="1">INDEX(States!$B:$B,RANDBETWEEN(2,COUNTA(States!$A:$A)),1)</f>
        <v>14</v>
      </c>
      <c r="H1896" s="7" t="str">
        <f ca="1">VLOOKUP($D1896,Name!$A:$C,3,FALSE)</f>
        <v>F</v>
      </c>
      <c r="I1896" s="7" cm="1">
        <f t="array" aca="1" ref="I1896" ca="1">INDEX('Marital status'!$A:$A,RANDBETWEEN(2,COUNTA('Marital status'!$A:$A)),1)</f>
        <v>3</v>
      </c>
      <c r="J1896" s="7">
        <f t="shared" ca="1" si="351"/>
        <v>2</v>
      </c>
      <c r="K1896" s="8">
        <f t="shared" ca="1" si="352"/>
        <v>18420</v>
      </c>
      <c r="L1896" s="6">
        <f t="shared" ca="1" si="353"/>
        <v>4</v>
      </c>
      <c r="M1896" s="7">
        <f ca="1" xml:space="preserve">
  IF(OR($N1896 = 2, $N1896 = 3, $N1896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896" s="6">
        <f t="shared" ca="1" si="354"/>
        <v>6</v>
      </c>
      <c r="O1896" s="6" t="e">
        <f t="shared" ca="1" si="355"/>
        <v>#N/A</v>
      </c>
      <c r="P1896" s="8">
        <f t="shared" ca="1" si="356"/>
        <v>38212</v>
      </c>
      <c r="Q1896" s="6">
        <f ca="1">RANDBETWEEN(2,COUNTA('Recruitment source'!$A:$A))</f>
        <v>11</v>
      </c>
      <c r="R1896" s="8" t="e">
        <f t="shared" ca="1" si="357"/>
        <v>#N/A</v>
      </c>
      <c r="S1896" s="6" t="e">
        <f t="shared" ca="1" si="358"/>
        <v>#N/A</v>
      </c>
      <c r="T1896" s="6">
        <f t="shared" ca="1" si="348"/>
        <v>2</v>
      </c>
      <c r="U1896" s="1">
        <f t="shared" ca="1" si="359"/>
        <v>885</v>
      </c>
    </row>
    <row r="1897" spans="1:21" x14ac:dyDescent="0.2">
      <c r="A1897" s="7" cm="1">
        <f t="array" aca="1" ref="A1897" ca="1">INDEX(Companies!$A:$A,RANDBETWEEN(2,COUNTA(Companies!$A:$A)),1)</f>
        <v>2</v>
      </c>
      <c r="B1897" s="5">
        <f t="shared" si="349"/>
        <v>1896</v>
      </c>
      <c r="C1897" s="6">
        <f t="shared" ca="1" si="350"/>
        <v>1</v>
      </c>
      <c r="D1897" s="7">
        <f ca="1">IF($B1897 = 1 + N("Presidente"),
    127,
    IF($B1897 = 2 + N("Vice-Presidente"),
        72,
        IF($B1897 = 3 + N("Secretária bilíngue"),
            13,
            RANDBETWEEN(5,COUNT(Name!$A:$A) + 1)
        )
    )
)</f>
        <v>233</v>
      </c>
      <c r="E1897" s="7" t="str">
        <f ca="1" xml:space="preserve">
VLOOKUP(
  $D1897,
  Name!$A:$B,
  2,
  FALSE
)
&amp; " " &amp;
IF($B1897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Lorenzo Augusto Nunes Ribeiro</v>
      </c>
      <c r="F1897" s="7">
        <v>2</v>
      </c>
      <c r="G1897" s="7" cm="1">
        <f t="array" aca="1" ref="G1897" ca="1">INDEX(States!$B:$B,RANDBETWEEN(2,COUNTA(States!$A:$A)),1)</f>
        <v>10</v>
      </c>
      <c r="H1897" s="7" t="str">
        <f ca="1">VLOOKUP($D1897,Name!$A:$C,3,FALSE)</f>
        <v>M</v>
      </c>
      <c r="I1897" s="7" cm="1">
        <f t="array" aca="1" ref="I1897" ca="1">INDEX('Marital status'!$A:$A,RANDBETWEEN(2,COUNTA('Marital status'!$A:$A)),1)</f>
        <v>2</v>
      </c>
      <c r="J1897" s="7">
        <f t="shared" ca="1" si="351"/>
        <v>3</v>
      </c>
      <c r="K1897" s="8">
        <f t="shared" ca="1" si="352"/>
        <v>33203</v>
      </c>
      <c r="L1897" s="6">
        <f t="shared" ca="1" si="353"/>
        <v>5</v>
      </c>
      <c r="M1897" s="7">
        <f ca="1" xml:space="preserve">
  IF(OR($N1897 = 2, $N1897 = 3, $N1897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897" s="6">
        <f t="shared" ca="1" si="354"/>
        <v>8</v>
      </c>
      <c r="O1897" s="6">
        <f t="shared" ca="1" si="355"/>
        <v>3</v>
      </c>
      <c r="P1897" s="8">
        <f t="shared" ca="1" si="356"/>
        <v>36445</v>
      </c>
      <c r="Q1897" s="6">
        <f ca="1">RANDBETWEEN(2,COUNTA('Recruitment source'!$A:$A))</f>
        <v>5</v>
      </c>
      <c r="R1897" s="8" t="e">
        <f t="shared" ca="1" si="357"/>
        <v>#N/A</v>
      </c>
      <c r="S1897" s="6" t="e">
        <f t="shared" ca="1" si="358"/>
        <v>#N/A</v>
      </c>
      <c r="T1897" s="6">
        <f t="shared" ca="1" si="348"/>
        <v>4</v>
      </c>
      <c r="U1897" s="1">
        <f t="shared" ca="1" si="359"/>
        <v>2080</v>
      </c>
    </row>
    <row r="1898" spans="1:21" x14ac:dyDescent="0.2">
      <c r="A1898" s="7" cm="1">
        <f t="array" aca="1" ref="A1898" ca="1">INDEX(Companies!$A:$A,RANDBETWEEN(2,COUNTA(Companies!$A:$A)),1)</f>
        <v>2</v>
      </c>
      <c r="B1898" s="5">
        <f t="shared" si="349"/>
        <v>1897</v>
      </c>
      <c r="C1898" s="6">
        <f t="shared" ca="1" si="350"/>
        <v>1</v>
      </c>
      <c r="D1898" s="7">
        <f ca="1">IF($B1898 = 1 + N("Presidente"),
    127,
    IF($B1898 = 2 + N("Vice-Presidente"),
        72,
        IF($B1898 = 3 + N("Secretária bilíngue"),
            13,
            RANDBETWEEN(5,COUNT(Name!$A:$A) + 1)
        )
    )
)</f>
        <v>249</v>
      </c>
      <c r="E1898" s="7" t="str">
        <f ca="1" xml:space="preserve">
VLOOKUP(
  $D1898,
  Name!$A:$B,
  2,
  FALSE
)
&amp; " " &amp;
IF($B1898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Luna Aragão Padrão</v>
      </c>
      <c r="F1898" s="7">
        <v>2</v>
      </c>
      <c r="G1898" s="7" cm="1">
        <f t="array" aca="1" ref="G1898" ca="1">INDEX(States!$B:$B,RANDBETWEEN(2,COUNTA(States!$A:$A)),1)</f>
        <v>13</v>
      </c>
      <c r="H1898" s="7" t="str">
        <f ca="1">VLOOKUP($D1898,Name!$A:$C,3,FALSE)</f>
        <v>F</v>
      </c>
      <c r="I1898" s="7" cm="1">
        <f t="array" aca="1" ref="I1898" ca="1">INDEX('Marital status'!$A:$A,RANDBETWEEN(2,COUNTA('Marital status'!$A:$A)),1)</f>
        <v>5</v>
      </c>
      <c r="J1898" s="7">
        <f t="shared" ca="1" si="351"/>
        <v>2</v>
      </c>
      <c r="K1898" s="8">
        <f t="shared" ca="1" si="352"/>
        <v>34337</v>
      </c>
      <c r="L1898" s="6">
        <f t="shared" ca="1" si="353"/>
        <v>4</v>
      </c>
      <c r="M1898" s="7">
        <f ca="1" xml:space="preserve">
  IF(OR($N1898 = 2, $N1898 = 3, $N1898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898" s="6">
        <f t="shared" ca="1" si="354"/>
        <v>7</v>
      </c>
      <c r="O1898" s="6" t="e">
        <f t="shared" ca="1" si="355"/>
        <v>#N/A</v>
      </c>
      <c r="P1898" s="8">
        <f t="shared" ca="1" si="356"/>
        <v>43649</v>
      </c>
      <c r="Q1898" s="6">
        <f ca="1">RANDBETWEEN(2,COUNTA('Recruitment source'!$A:$A))</f>
        <v>6</v>
      </c>
      <c r="R1898" s="8" t="e">
        <f t="shared" ca="1" si="357"/>
        <v>#N/A</v>
      </c>
      <c r="S1898" s="6" t="e">
        <f t="shared" ca="1" si="358"/>
        <v>#N/A</v>
      </c>
      <c r="T1898" s="6">
        <f t="shared" ca="1" si="348"/>
        <v>4</v>
      </c>
      <c r="U1898" s="1">
        <f t="shared" ca="1" si="359"/>
        <v>1005</v>
      </c>
    </row>
    <row r="1899" spans="1:21" x14ac:dyDescent="0.2">
      <c r="A1899" s="7" cm="1">
        <f t="array" aca="1" ref="A1899" ca="1">INDEX(Companies!$A:$A,RANDBETWEEN(2,COUNTA(Companies!$A:$A)),1)</f>
        <v>2</v>
      </c>
      <c r="B1899" s="5">
        <f t="shared" si="349"/>
        <v>1898</v>
      </c>
      <c r="C1899" s="6">
        <f t="shared" ca="1" si="350"/>
        <v>1</v>
      </c>
      <c r="D1899" s="7">
        <f ca="1">IF($B1899 = 1 + N("Presidente"),
    127,
    IF($B1899 = 2 + N("Vice-Presidente"),
        72,
        IF($B1899 = 3 + N("Secretária bilíngue"),
            13,
            RANDBETWEEN(5,COUNT(Name!$A:$A) + 1)
        )
    )
)</f>
        <v>186</v>
      </c>
      <c r="E1899" s="7" t="str">
        <f ca="1" xml:space="preserve">
VLOOKUP(
  $D1899,
  Name!$A:$B,
  2,
  FALSE
)
&amp; " " &amp;
IF($B1899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Gabriel Costatini Negreiros</v>
      </c>
      <c r="F1899" s="7">
        <v>2</v>
      </c>
      <c r="G1899" s="7" cm="1">
        <f t="array" aca="1" ref="G1899" ca="1">INDEX(States!$B:$B,RANDBETWEEN(2,COUNTA(States!$A:$A)),1)</f>
        <v>8</v>
      </c>
      <c r="H1899" s="7" t="str">
        <f ca="1">VLOOKUP($D1899,Name!$A:$C,3,FALSE)</f>
        <v>M</v>
      </c>
      <c r="I1899" s="7" cm="1">
        <f t="array" aca="1" ref="I1899" ca="1">INDEX('Marital status'!$A:$A,RANDBETWEEN(2,COUNTA('Marital status'!$A:$A)),1)</f>
        <v>6</v>
      </c>
      <c r="J1899" s="7">
        <f t="shared" ca="1" si="351"/>
        <v>2</v>
      </c>
      <c r="K1899" s="8">
        <f t="shared" ca="1" si="352"/>
        <v>35938</v>
      </c>
      <c r="L1899" s="6">
        <f t="shared" ca="1" si="353"/>
        <v>4</v>
      </c>
      <c r="M1899" s="7">
        <f ca="1" xml:space="preserve">
  IF(OR($N1899 = 2, $N1899 = 3, $N1899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899" s="6">
        <f t="shared" ca="1" si="354"/>
        <v>8</v>
      </c>
      <c r="O1899" s="6">
        <f t="shared" ca="1" si="355"/>
        <v>4</v>
      </c>
      <c r="P1899" s="8">
        <f t="shared" ca="1" si="356"/>
        <v>44366</v>
      </c>
      <c r="Q1899" s="6">
        <f ca="1">RANDBETWEEN(2,COUNTA('Recruitment source'!$A:$A))</f>
        <v>4</v>
      </c>
      <c r="R1899" s="8" t="e">
        <f t="shared" ca="1" si="357"/>
        <v>#N/A</v>
      </c>
      <c r="S1899" s="6" t="e">
        <f t="shared" ca="1" si="358"/>
        <v>#N/A</v>
      </c>
      <c r="T1899" s="6">
        <f t="shared" ca="1" si="348"/>
        <v>2</v>
      </c>
      <c r="U1899" s="1">
        <f t="shared" ca="1" si="359"/>
        <v>2100</v>
      </c>
    </row>
    <row r="1900" spans="1:21" x14ac:dyDescent="0.2">
      <c r="A1900" s="7" cm="1">
        <f t="array" aca="1" ref="A1900" ca="1">INDEX(Companies!$A:$A,RANDBETWEEN(2,COUNTA(Companies!$A:$A)),1)</f>
        <v>2</v>
      </c>
      <c r="B1900" s="5">
        <f t="shared" si="349"/>
        <v>1899</v>
      </c>
      <c r="C1900" s="6">
        <f t="shared" ca="1" si="350"/>
        <v>1</v>
      </c>
      <c r="D1900" s="7">
        <f ca="1">IF($B1900 = 1 + N("Presidente"),
    127,
    IF($B1900 = 2 + N("Vice-Presidente"),
        72,
        IF($B1900 = 3 + N("Secretária bilíngue"),
            13,
            RANDBETWEEN(5,COUNT(Name!$A:$A) + 1)
        )
    )
)</f>
        <v>45</v>
      </c>
      <c r="E1900" s="7" t="str">
        <f ca="1" xml:space="preserve">
VLOOKUP(
  $D1900,
  Name!$A:$B,
  2,
  FALSE
)
&amp; " " &amp;
IF($B1900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Carolinna Camacho Nunes</v>
      </c>
      <c r="F1900" s="7">
        <v>2</v>
      </c>
      <c r="G1900" s="7" cm="1">
        <f t="array" aca="1" ref="G1900" ca="1">INDEX(States!$B:$B,RANDBETWEEN(2,COUNTA(States!$A:$A)),1)</f>
        <v>4</v>
      </c>
      <c r="H1900" s="7" t="str">
        <f ca="1">VLOOKUP($D1900,Name!$A:$C,3,FALSE)</f>
        <v>F</v>
      </c>
      <c r="I1900" s="7" cm="1">
        <f t="array" aca="1" ref="I1900" ca="1">INDEX('Marital status'!$A:$A,RANDBETWEEN(2,COUNTA('Marital status'!$A:$A)),1)</f>
        <v>2</v>
      </c>
      <c r="J1900" s="7">
        <f t="shared" ca="1" si="351"/>
        <v>5</v>
      </c>
      <c r="K1900" s="8">
        <f t="shared" ca="1" si="352"/>
        <v>30193</v>
      </c>
      <c r="L1900" s="6">
        <f t="shared" ca="1" si="353"/>
        <v>4</v>
      </c>
      <c r="M1900" s="7">
        <f ca="1" xml:space="preserve">
  IF(OR($N1900 = 2, $N1900 = 3, $N1900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900" s="6">
        <f t="shared" ca="1" si="354"/>
        <v>7</v>
      </c>
      <c r="O1900" s="6" t="e">
        <f t="shared" ca="1" si="355"/>
        <v>#N/A</v>
      </c>
      <c r="P1900" s="8">
        <f t="shared" ca="1" si="356"/>
        <v>39904</v>
      </c>
      <c r="Q1900" s="6">
        <f ca="1">RANDBETWEEN(2,COUNTA('Recruitment source'!$A:$A))</f>
        <v>4</v>
      </c>
      <c r="R1900" s="8" t="e">
        <f t="shared" ca="1" si="357"/>
        <v>#N/A</v>
      </c>
      <c r="S1900" s="6" t="e">
        <f t="shared" ca="1" si="358"/>
        <v>#N/A</v>
      </c>
      <c r="T1900" s="6">
        <f t="shared" ca="1" si="348"/>
        <v>5</v>
      </c>
      <c r="U1900" s="1">
        <f t="shared" ca="1" si="359"/>
        <v>1005</v>
      </c>
    </row>
    <row r="1901" spans="1:21" x14ac:dyDescent="0.2">
      <c r="A1901" s="7" cm="1">
        <f t="array" aca="1" ref="A1901" ca="1">INDEX(Companies!$A:$A,RANDBETWEEN(2,COUNTA(Companies!$A:$A)),1)</f>
        <v>2</v>
      </c>
      <c r="B1901" s="5">
        <f t="shared" si="349"/>
        <v>1900</v>
      </c>
      <c r="C1901" s="6">
        <f t="shared" ca="1" si="350"/>
        <v>1</v>
      </c>
      <c r="D1901" s="7">
        <f ca="1">IF($B1901 = 1 + N("Presidente"),
    127,
    IF($B1901 = 2 + N("Vice-Presidente"),
        72,
        IF($B1901 = 3 + N("Secretária bilíngue"),
            13,
            RANDBETWEEN(5,COUNT(Name!$A:$A) + 1)
        )
    )
)</f>
        <v>331</v>
      </c>
      <c r="E1901" s="7" t="str">
        <f ca="1" xml:space="preserve">
VLOOKUP(
  $D1901,
  Name!$A:$B,
  2,
  FALSE
)
&amp; " " &amp;
IF($B1901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Renato Ildelfonso Rodrigues</v>
      </c>
      <c r="F1901" s="7">
        <v>2</v>
      </c>
      <c r="G1901" s="7" cm="1">
        <f t="array" aca="1" ref="G1901" ca="1">INDEX(States!$B:$B,RANDBETWEEN(2,COUNTA(States!$A:$A)),1)</f>
        <v>19</v>
      </c>
      <c r="H1901" s="7" t="str">
        <f ca="1">VLOOKUP($D1901,Name!$A:$C,3,FALSE)</f>
        <v>M</v>
      </c>
      <c r="I1901" s="7" cm="1">
        <f t="array" aca="1" ref="I1901" ca="1">INDEX('Marital status'!$A:$A,RANDBETWEEN(2,COUNTA('Marital status'!$A:$A)),1)</f>
        <v>3</v>
      </c>
      <c r="J1901" s="7">
        <f t="shared" ca="1" si="351"/>
        <v>2</v>
      </c>
      <c r="K1901" s="8">
        <f t="shared" ca="1" si="352"/>
        <v>34697</v>
      </c>
      <c r="L1901" s="6">
        <f t="shared" ca="1" si="353"/>
        <v>5</v>
      </c>
      <c r="M1901" s="7">
        <f ca="1" xml:space="preserve">
  IF(OR($N1901 = 2, $N1901 = 3, $N1901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901" s="6">
        <f t="shared" ca="1" si="354"/>
        <v>8</v>
      </c>
      <c r="O1901" s="6">
        <f t="shared" ca="1" si="355"/>
        <v>3</v>
      </c>
      <c r="P1901" s="8">
        <f t="shared" ca="1" si="356"/>
        <v>37613</v>
      </c>
      <c r="Q1901" s="6">
        <f ca="1">RANDBETWEEN(2,COUNTA('Recruitment source'!$A:$A))</f>
        <v>8</v>
      </c>
      <c r="R1901" s="8" t="e">
        <f t="shared" ca="1" si="357"/>
        <v>#N/A</v>
      </c>
      <c r="S1901" s="6" t="e">
        <f t="shared" ca="1" si="358"/>
        <v>#N/A</v>
      </c>
      <c r="T1901" s="6">
        <f t="shared" ca="1" si="348"/>
        <v>2</v>
      </c>
      <c r="U1901" s="1">
        <f t="shared" ca="1" si="359"/>
        <v>2000</v>
      </c>
    </row>
    <row r="1902" spans="1:21" x14ac:dyDescent="0.2">
      <c r="A1902" s="7" cm="1">
        <f t="array" aca="1" ref="A1902" ca="1">INDEX(Companies!$A:$A,RANDBETWEEN(2,COUNTA(Companies!$A:$A)),1)</f>
        <v>2</v>
      </c>
      <c r="B1902" s="5">
        <f t="shared" si="349"/>
        <v>1901</v>
      </c>
      <c r="C1902" s="6">
        <f t="shared" ca="1" si="350"/>
        <v>1</v>
      </c>
      <c r="D1902" s="7">
        <f ca="1">IF($B1902 = 1 + N("Presidente"),
    127,
    IF($B1902 = 2 + N("Vice-Presidente"),
        72,
        IF($B1902 = 3 + N("Secretária bilíngue"),
            13,
            RANDBETWEEN(5,COUNT(Name!$A:$A) + 1)
        )
    )
)</f>
        <v>339</v>
      </c>
      <c r="E1902" s="7" t="str">
        <f ca="1" xml:space="preserve">
VLOOKUP(
  $D1902,
  Name!$A:$B,
  2,
  FALSE
)
&amp; " " &amp;
IF($B1902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Sophie Junqueira Arruda</v>
      </c>
      <c r="F1902" s="7">
        <v>2</v>
      </c>
      <c r="G1902" s="7" cm="1">
        <f t="array" aca="1" ref="G1902" ca="1">INDEX(States!$B:$B,RANDBETWEEN(2,COUNTA(States!$A:$A)),1)</f>
        <v>13</v>
      </c>
      <c r="H1902" s="7" t="str">
        <f ca="1">VLOOKUP($D1902,Name!$A:$C,3,FALSE)</f>
        <v>F</v>
      </c>
      <c r="I1902" s="7" cm="1">
        <f t="array" aca="1" ref="I1902" ca="1">INDEX('Marital status'!$A:$A,RANDBETWEEN(2,COUNTA('Marital status'!$A:$A)),1)</f>
        <v>2</v>
      </c>
      <c r="J1902" s="7">
        <f t="shared" ca="1" si="351"/>
        <v>2</v>
      </c>
      <c r="K1902" s="8">
        <f t="shared" ca="1" si="352"/>
        <v>29066</v>
      </c>
      <c r="L1902" s="6">
        <f t="shared" ca="1" si="353"/>
        <v>4</v>
      </c>
      <c r="M1902" s="7">
        <f ca="1" xml:space="preserve">
  IF(OR($N1902 = 2, $N1902 = 3, $N1902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902" s="6">
        <f t="shared" ca="1" si="354"/>
        <v>7</v>
      </c>
      <c r="O1902" s="6" t="e">
        <f t="shared" ca="1" si="355"/>
        <v>#N/A</v>
      </c>
      <c r="P1902" s="8">
        <f t="shared" ca="1" si="356"/>
        <v>37213</v>
      </c>
      <c r="Q1902" s="6">
        <f ca="1">RANDBETWEEN(2,COUNTA('Recruitment source'!$A:$A))</f>
        <v>10</v>
      </c>
      <c r="R1902" s="8" t="e">
        <f t="shared" ca="1" si="357"/>
        <v>#N/A</v>
      </c>
      <c r="S1902" s="6" t="e">
        <f t="shared" ca="1" si="358"/>
        <v>#N/A</v>
      </c>
      <c r="T1902" s="6">
        <f t="shared" ca="1" si="348"/>
        <v>2</v>
      </c>
      <c r="U1902" s="1">
        <f t="shared" ca="1" si="359"/>
        <v>1005</v>
      </c>
    </row>
    <row r="1903" spans="1:21" x14ac:dyDescent="0.2">
      <c r="A1903" s="7" cm="1">
        <f t="array" aca="1" ref="A1903" ca="1">INDEX(Companies!$A:$A,RANDBETWEEN(2,COUNTA(Companies!$A:$A)),1)</f>
        <v>2</v>
      </c>
      <c r="B1903" s="5">
        <f t="shared" si="349"/>
        <v>1902</v>
      </c>
      <c r="C1903" s="6">
        <f t="shared" ca="1" si="350"/>
        <v>1</v>
      </c>
      <c r="D1903" s="7">
        <f ca="1">IF($B1903 = 1 + N("Presidente"),
    127,
    IF($B1903 = 2 + N("Vice-Presidente"),
        72,
        IF($B1903 = 3 + N("Secretária bilíngue"),
            13,
            RANDBETWEEN(5,COUNT(Name!$A:$A) + 1)
        )
    )
)</f>
        <v>196</v>
      </c>
      <c r="E1903" s="7" t="str">
        <f ca="1" xml:space="preserve">
VLOOKUP(
  $D1903,
  Name!$A:$B,
  2,
  FALSE
)
&amp; " " &amp;
IF($B1903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Jonathan Bandeira Evangelista</v>
      </c>
      <c r="F1903" s="7">
        <v>2</v>
      </c>
      <c r="G1903" s="7" cm="1">
        <f t="array" aca="1" ref="G1903" ca="1">INDEX(States!$B:$B,RANDBETWEEN(2,COUNTA(States!$A:$A)),1)</f>
        <v>14</v>
      </c>
      <c r="H1903" s="7" t="str">
        <f ca="1">VLOOKUP($D1903,Name!$A:$C,3,FALSE)</f>
        <v>M</v>
      </c>
      <c r="I1903" s="7" cm="1">
        <f t="array" aca="1" ref="I1903" ca="1">INDEX('Marital status'!$A:$A,RANDBETWEEN(2,COUNTA('Marital status'!$A:$A)),1)</f>
        <v>2</v>
      </c>
      <c r="J1903" s="7">
        <f t="shared" ca="1" si="351"/>
        <v>4</v>
      </c>
      <c r="K1903" s="8">
        <f t="shared" ca="1" si="352"/>
        <v>36023</v>
      </c>
      <c r="L1903" s="6">
        <f t="shared" ca="1" si="353"/>
        <v>5</v>
      </c>
      <c r="M1903" s="7">
        <f ca="1" xml:space="preserve">
  IF(OR($N1903 = 2, $N1903 = 3, $N1903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903" s="6">
        <f t="shared" ca="1" si="354"/>
        <v>8</v>
      </c>
      <c r="O1903" s="6">
        <f t="shared" ca="1" si="355"/>
        <v>4</v>
      </c>
      <c r="P1903" s="8">
        <f t="shared" ca="1" si="356"/>
        <v>37992</v>
      </c>
      <c r="Q1903" s="6">
        <f ca="1">RANDBETWEEN(2,COUNTA('Recruitment source'!$A:$A))</f>
        <v>5</v>
      </c>
      <c r="R1903" s="8" t="e">
        <f t="shared" ca="1" si="357"/>
        <v>#N/A</v>
      </c>
      <c r="S1903" s="6" t="e">
        <f t="shared" ca="1" si="358"/>
        <v>#N/A</v>
      </c>
      <c r="T1903" s="6">
        <f t="shared" ca="1" si="348"/>
        <v>3</v>
      </c>
      <c r="U1903" s="1">
        <f t="shared" ca="1" si="359"/>
        <v>2000</v>
      </c>
    </row>
    <row r="1904" spans="1:21" x14ac:dyDescent="0.2">
      <c r="A1904" s="7" cm="1">
        <f t="array" aca="1" ref="A1904" ca="1">INDEX(Companies!$A:$A,RANDBETWEEN(2,COUNTA(Companies!$A:$A)),1)</f>
        <v>2</v>
      </c>
      <c r="B1904" s="5">
        <f t="shared" si="349"/>
        <v>1903</v>
      </c>
      <c r="C1904" s="6">
        <f t="shared" ca="1" si="350"/>
        <v>1</v>
      </c>
      <c r="D1904" s="7">
        <f ca="1">IF($B1904 = 1 + N("Presidente"),
    127,
    IF($B1904 = 2 + N("Vice-Presidente"),
        72,
        IF($B1904 = 3 + N("Secretária bilíngue"),
            13,
            RANDBETWEEN(5,COUNT(Name!$A:$A) + 1)
        )
    )
)</f>
        <v>240</v>
      </c>
      <c r="E1904" s="7" t="str">
        <f ca="1" xml:space="preserve">
VLOOKUP(
  $D1904,
  Name!$A:$B,
  2,
  FALSE
)
&amp; " " &amp;
IF($B1904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Lucca Rinaldi Bandeira</v>
      </c>
      <c r="F1904" s="7">
        <v>2</v>
      </c>
      <c r="G1904" s="7" cm="1">
        <f t="array" aca="1" ref="G1904" ca="1">INDEX(States!$B:$B,RANDBETWEEN(2,COUNTA(States!$A:$A)),1)</f>
        <v>20</v>
      </c>
      <c r="H1904" s="7" t="str">
        <f ca="1">VLOOKUP($D1904,Name!$A:$C,3,FALSE)</f>
        <v>M</v>
      </c>
      <c r="I1904" s="7" cm="1">
        <f t="array" aca="1" ref="I1904" ca="1">INDEX('Marital status'!$A:$A,RANDBETWEEN(2,COUNTA('Marital status'!$A:$A)),1)</f>
        <v>5</v>
      </c>
      <c r="J1904" s="7">
        <f t="shared" ca="1" si="351"/>
        <v>3</v>
      </c>
      <c r="K1904" s="8">
        <f t="shared" ca="1" si="352"/>
        <v>34835</v>
      </c>
      <c r="L1904" s="6">
        <f t="shared" ca="1" si="353"/>
        <v>4</v>
      </c>
      <c r="M1904" s="7">
        <f ca="1" xml:space="preserve">
  IF(OR($N1904 = 2, $N1904 = 3, $N1904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904" s="6">
        <f t="shared" ca="1" si="354"/>
        <v>7</v>
      </c>
      <c r="O1904" s="6" t="e">
        <f t="shared" ca="1" si="355"/>
        <v>#N/A</v>
      </c>
      <c r="P1904" s="8">
        <f t="shared" ca="1" si="356"/>
        <v>42675</v>
      </c>
      <c r="Q1904" s="6">
        <f ca="1">RANDBETWEEN(2,COUNTA('Recruitment source'!$A:$A))</f>
        <v>7</v>
      </c>
      <c r="R1904" s="8" t="e">
        <f t="shared" ca="1" si="357"/>
        <v>#N/A</v>
      </c>
      <c r="S1904" s="6" t="e">
        <f t="shared" ca="1" si="358"/>
        <v>#N/A</v>
      </c>
      <c r="T1904" s="6">
        <f t="shared" ca="1" si="348"/>
        <v>4</v>
      </c>
      <c r="U1904" s="1">
        <f t="shared" ca="1" si="359"/>
        <v>1005</v>
      </c>
    </row>
    <row r="1905" spans="1:21" x14ac:dyDescent="0.2">
      <c r="A1905" s="7" cm="1">
        <f t="array" aca="1" ref="A1905" ca="1">INDEX(Companies!$A:$A,RANDBETWEEN(2,COUNTA(Companies!$A:$A)),1)</f>
        <v>2</v>
      </c>
      <c r="B1905" s="5">
        <f t="shared" si="349"/>
        <v>1904</v>
      </c>
      <c r="C1905" s="6">
        <f t="shared" ca="1" si="350"/>
        <v>1</v>
      </c>
      <c r="D1905" s="7">
        <f ca="1">IF($B1905 = 1 + N("Presidente"),
    127,
    IF($B1905 = 2 + N("Vice-Presidente"),
        72,
        IF($B1905 = 3 + N("Secretária bilíngue"),
            13,
            RANDBETWEEN(5,COUNT(Name!$A:$A) + 1)
        )
    )
)</f>
        <v>256</v>
      </c>
      <c r="E1905" s="7" t="str">
        <f ca="1" xml:space="preserve">
VLOOKUP(
  $D1905,
  Name!$A:$B,
  2,
  FALSE
)
&amp; " " &amp;
IF($B1905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Marcelo Carneiro Rossi</v>
      </c>
      <c r="F1905" s="7">
        <v>2</v>
      </c>
      <c r="G1905" s="7" cm="1">
        <f t="array" aca="1" ref="G1905" ca="1">INDEX(States!$B:$B,RANDBETWEEN(2,COUNTA(States!$A:$A)),1)</f>
        <v>3</v>
      </c>
      <c r="H1905" s="7" t="str">
        <f ca="1">VLOOKUP($D1905,Name!$A:$C,3,FALSE)</f>
        <v>M</v>
      </c>
      <c r="I1905" s="7" cm="1">
        <f t="array" aca="1" ref="I1905" ca="1">INDEX('Marital status'!$A:$A,RANDBETWEEN(2,COUNTA('Marital status'!$A:$A)),1)</f>
        <v>2</v>
      </c>
      <c r="J1905" s="7">
        <f t="shared" ca="1" si="351"/>
        <v>2</v>
      </c>
      <c r="K1905" s="8">
        <f t="shared" ca="1" si="352"/>
        <v>33008</v>
      </c>
      <c r="L1905" s="6">
        <f t="shared" ca="1" si="353"/>
        <v>4</v>
      </c>
      <c r="M1905" s="7">
        <f ca="1" xml:space="preserve">
  IF(OR($N1905 = 2, $N1905 = 3, $N1905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905" s="6">
        <f t="shared" ca="1" si="354"/>
        <v>8</v>
      </c>
      <c r="O1905" s="6">
        <f t="shared" ca="1" si="355"/>
        <v>3</v>
      </c>
      <c r="P1905" s="8">
        <f t="shared" ca="1" si="356"/>
        <v>41757</v>
      </c>
      <c r="Q1905" s="6">
        <f ca="1">RANDBETWEEN(2,COUNTA('Recruitment source'!$A:$A))</f>
        <v>3</v>
      </c>
      <c r="R1905" s="8" t="e">
        <f t="shared" ca="1" si="357"/>
        <v>#N/A</v>
      </c>
      <c r="S1905" s="6" t="e">
        <f t="shared" ca="1" si="358"/>
        <v>#N/A</v>
      </c>
      <c r="T1905" s="6">
        <f t="shared" ca="1" si="348"/>
        <v>2</v>
      </c>
      <c r="U1905" s="1">
        <f t="shared" ca="1" si="359"/>
        <v>2000</v>
      </c>
    </row>
    <row r="1906" spans="1:21" x14ac:dyDescent="0.2">
      <c r="A1906" s="7" cm="1">
        <f t="array" aca="1" ref="A1906" ca="1">INDEX(Companies!$A:$A,RANDBETWEEN(2,COUNTA(Companies!$A:$A)),1)</f>
        <v>2</v>
      </c>
      <c r="B1906" s="5">
        <f t="shared" si="349"/>
        <v>1905</v>
      </c>
      <c r="C1906" s="6">
        <f t="shared" ca="1" si="350"/>
        <v>1</v>
      </c>
      <c r="D1906" s="7">
        <f ca="1">IF($B1906 = 1 + N("Presidente"),
    127,
    IF($B1906 = 2 + N("Vice-Presidente"),
        72,
        IF($B1906 = 3 + N("Secretária bilíngue"),
            13,
            RANDBETWEEN(5,COUNT(Name!$A:$A) + 1)
        )
    )
)</f>
        <v>243</v>
      </c>
      <c r="E1906" s="7" t="str">
        <f ca="1" xml:space="preserve">
VLOOKUP(
  $D1906,
  Name!$A:$B,
  2,
  FALSE
)
&amp; " " &amp;
IF($B1906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Felipe Auth Cabral</v>
      </c>
      <c r="F1906" s="7">
        <v>2</v>
      </c>
      <c r="G1906" s="7" cm="1">
        <f t="array" aca="1" ref="G1906" ca="1">INDEX(States!$B:$B,RANDBETWEEN(2,COUNTA(States!$A:$A)),1)</f>
        <v>4</v>
      </c>
      <c r="H1906" s="7" t="str">
        <f ca="1">VLOOKUP($D1906,Name!$A:$C,3,FALSE)</f>
        <v>M</v>
      </c>
      <c r="I1906" s="7" cm="1">
        <f t="array" aca="1" ref="I1906" ca="1">INDEX('Marital status'!$A:$A,RANDBETWEEN(2,COUNTA('Marital status'!$A:$A)),1)</f>
        <v>5</v>
      </c>
      <c r="J1906" s="7">
        <f t="shared" ca="1" si="351"/>
        <v>2</v>
      </c>
      <c r="K1906" s="8">
        <f t="shared" ca="1" si="352"/>
        <v>32631</v>
      </c>
      <c r="L1906" s="6">
        <f t="shared" ca="1" si="353"/>
        <v>4</v>
      </c>
      <c r="M1906" s="7">
        <f ca="1" xml:space="preserve">
  IF(OR($N1906 = 2, $N1906 = 3, $N1906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906" s="6">
        <f t="shared" ca="1" si="354"/>
        <v>7</v>
      </c>
      <c r="O1906" s="6" t="e">
        <f t="shared" ca="1" si="355"/>
        <v>#N/A</v>
      </c>
      <c r="P1906" s="8">
        <f t="shared" ca="1" si="356"/>
        <v>42422</v>
      </c>
      <c r="Q1906" s="6">
        <f ca="1">RANDBETWEEN(2,COUNTA('Recruitment source'!$A:$A))</f>
        <v>8</v>
      </c>
      <c r="R1906" s="8" t="e">
        <f t="shared" ca="1" si="357"/>
        <v>#N/A</v>
      </c>
      <c r="S1906" s="6" t="e">
        <f t="shared" ca="1" si="358"/>
        <v>#N/A</v>
      </c>
      <c r="T1906" s="6">
        <f t="shared" ca="1" si="348"/>
        <v>5</v>
      </c>
      <c r="U1906" s="1">
        <f t="shared" ca="1" si="359"/>
        <v>1005</v>
      </c>
    </row>
    <row r="1907" spans="1:21" x14ac:dyDescent="0.2">
      <c r="A1907" s="7" cm="1">
        <f t="array" aca="1" ref="A1907" ca="1">INDEX(Companies!$A:$A,RANDBETWEEN(2,COUNTA(Companies!$A:$A)),1)</f>
        <v>2</v>
      </c>
      <c r="B1907" s="5">
        <f t="shared" si="349"/>
        <v>1906</v>
      </c>
      <c r="C1907" s="6">
        <f t="shared" ca="1" si="350"/>
        <v>1</v>
      </c>
      <c r="D1907" s="7">
        <f ca="1">IF($B1907 = 1 + N("Presidente"),
    127,
    IF($B1907 = 2 + N("Vice-Presidente"),
        72,
        IF($B1907 = 3 + N("Secretária bilíngue"),
            13,
            RANDBETWEEN(5,COUNT(Name!$A:$A) + 1)
        )
    )
)</f>
        <v>225</v>
      </c>
      <c r="E1907" s="7" t="str">
        <f ca="1" xml:space="preserve">
VLOOKUP(
  $D1907,
  Name!$A:$B,
  2,
  FALSE
)
&amp; " " &amp;
IF($B1907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Levi Colombo Cardozo</v>
      </c>
      <c r="F1907" s="7">
        <v>2</v>
      </c>
      <c r="G1907" s="7" cm="1">
        <f t="array" aca="1" ref="G1907" ca="1">INDEX(States!$B:$B,RANDBETWEEN(2,COUNTA(States!$A:$A)),1)</f>
        <v>7</v>
      </c>
      <c r="H1907" s="7" t="str">
        <f ca="1">VLOOKUP($D1907,Name!$A:$C,3,FALSE)</f>
        <v>M</v>
      </c>
      <c r="I1907" s="7" cm="1">
        <f t="array" aca="1" ref="I1907" ca="1">INDEX('Marital status'!$A:$A,RANDBETWEEN(2,COUNTA('Marital status'!$A:$A)),1)</f>
        <v>6</v>
      </c>
      <c r="J1907" s="7">
        <f t="shared" ca="1" si="351"/>
        <v>2</v>
      </c>
      <c r="K1907" s="8">
        <f t="shared" ca="1" si="352"/>
        <v>36484</v>
      </c>
      <c r="L1907" s="6">
        <f t="shared" ca="1" si="353"/>
        <v>5</v>
      </c>
      <c r="M1907" s="7">
        <f ca="1" xml:space="preserve">
  IF(OR($N1907 = 2, $N1907 = 3, $N1907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907" s="6">
        <f t="shared" ca="1" si="354"/>
        <v>8</v>
      </c>
      <c r="O1907" s="6">
        <f t="shared" ca="1" si="355"/>
        <v>4</v>
      </c>
      <c r="P1907" s="8">
        <f t="shared" ca="1" si="356"/>
        <v>39558</v>
      </c>
      <c r="Q1907" s="6">
        <f ca="1">RANDBETWEEN(2,COUNTA('Recruitment source'!$A:$A))</f>
        <v>7</v>
      </c>
      <c r="R1907" s="8" t="e">
        <f t="shared" ca="1" si="357"/>
        <v>#N/A</v>
      </c>
      <c r="S1907" s="6" t="e">
        <f t="shared" ca="1" si="358"/>
        <v>#N/A</v>
      </c>
      <c r="T1907" s="6">
        <f t="shared" ca="1" si="348"/>
        <v>5</v>
      </c>
      <c r="U1907" s="1">
        <f t="shared" ca="1" si="359"/>
        <v>2000</v>
      </c>
    </row>
    <row r="1908" spans="1:21" x14ac:dyDescent="0.2">
      <c r="A1908" s="7" cm="1">
        <f t="array" aca="1" ref="A1908" ca="1">INDEX(Companies!$A:$A,RANDBETWEEN(2,COUNTA(Companies!$A:$A)),1)</f>
        <v>2</v>
      </c>
      <c r="B1908" s="5">
        <f t="shared" si="349"/>
        <v>1907</v>
      </c>
      <c r="C1908" s="6">
        <f t="shared" ca="1" si="350"/>
        <v>1</v>
      </c>
      <c r="D1908" s="7">
        <f ca="1">IF($B1908 = 1 + N("Presidente"),
    127,
    IF($B1908 = 2 + N("Vice-Presidente"),
        72,
        IF($B1908 = 3 + N("Secretária bilíngue"),
            13,
            RANDBETWEEN(5,COUNT(Name!$A:$A) + 1)
        )
    )
)</f>
        <v>287</v>
      </c>
      <c r="E1908" s="7" t="str">
        <f ca="1" xml:space="preserve">
VLOOKUP(
  $D1908,
  Name!$A:$B,
  2,
  FALSE
)
&amp; " " &amp;
IF($B1908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Matheus Marques Café</v>
      </c>
      <c r="F1908" s="7">
        <v>2</v>
      </c>
      <c r="G1908" s="7" cm="1">
        <f t="array" aca="1" ref="G1908" ca="1">INDEX(States!$B:$B,RANDBETWEEN(2,COUNTA(States!$A:$A)),1)</f>
        <v>8</v>
      </c>
      <c r="H1908" s="7" t="str">
        <f ca="1">VLOOKUP($D1908,Name!$A:$C,3,FALSE)</f>
        <v>M</v>
      </c>
      <c r="I1908" s="7" cm="1">
        <f t="array" aca="1" ref="I1908" ca="1">INDEX('Marital status'!$A:$A,RANDBETWEEN(2,COUNTA('Marital status'!$A:$A)),1)</f>
        <v>6</v>
      </c>
      <c r="J1908" s="7">
        <f t="shared" ca="1" si="351"/>
        <v>2</v>
      </c>
      <c r="K1908" s="8">
        <f t="shared" ca="1" si="352"/>
        <v>35077</v>
      </c>
      <c r="L1908" s="6">
        <f t="shared" ca="1" si="353"/>
        <v>4</v>
      </c>
      <c r="M1908" s="7">
        <f ca="1" xml:space="preserve">
  IF(OR($N1908 = 2, $N1908 = 3, $N1908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908" s="6">
        <f t="shared" ca="1" si="354"/>
        <v>7</v>
      </c>
      <c r="O1908" s="6" t="e">
        <f t="shared" ca="1" si="355"/>
        <v>#N/A</v>
      </c>
      <c r="P1908" s="8">
        <f t="shared" ca="1" si="356"/>
        <v>43719</v>
      </c>
      <c r="Q1908" s="6">
        <f ca="1">RANDBETWEEN(2,COUNTA('Recruitment source'!$A:$A))</f>
        <v>5</v>
      </c>
      <c r="R1908" s="8" t="e">
        <f t="shared" ca="1" si="357"/>
        <v>#N/A</v>
      </c>
      <c r="S1908" s="6" t="e">
        <f t="shared" ca="1" si="358"/>
        <v>#N/A</v>
      </c>
      <c r="T1908" s="6">
        <f t="shared" ca="1" si="348"/>
        <v>4</v>
      </c>
      <c r="U1908" s="1">
        <f t="shared" ca="1" si="359"/>
        <v>1085</v>
      </c>
    </row>
    <row r="1909" spans="1:21" x14ac:dyDescent="0.2">
      <c r="A1909" s="7" cm="1">
        <f t="array" aca="1" ref="A1909" ca="1">INDEX(Companies!$A:$A,RANDBETWEEN(2,COUNTA(Companies!$A:$A)),1)</f>
        <v>2</v>
      </c>
      <c r="B1909" s="5">
        <f t="shared" si="349"/>
        <v>1908</v>
      </c>
      <c r="C1909" s="6">
        <f t="shared" ca="1" si="350"/>
        <v>1</v>
      </c>
      <c r="D1909" s="7">
        <f ca="1">IF($B1909 = 1 + N("Presidente"),
    127,
    IF($B1909 = 2 + N("Vice-Presidente"),
        72,
        IF($B1909 = 3 + N("Secretária bilíngue"),
            13,
            RANDBETWEEN(5,COUNT(Name!$A:$A) + 1)
        )
    )
)</f>
        <v>9</v>
      </c>
      <c r="E1909" s="7" t="str">
        <f ca="1" xml:space="preserve">
VLOOKUP(
  $D1909,
  Name!$A:$B,
  2,
  FALSE
)
&amp; " " &amp;
IF($B1909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Adélio Lombardi Alves</v>
      </c>
      <c r="F1909" s="7">
        <v>2</v>
      </c>
      <c r="G1909" s="7" cm="1">
        <f t="array" aca="1" ref="G1909" ca="1">INDEX(States!$B:$B,RANDBETWEEN(2,COUNTA(States!$A:$A)),1)</f>
        <v>14</v>
      </c>
      <c r="H1909" s="7" t="str">
        <f ca="1">VLOOKUP($D1909,Name!$A:$C,3,FALSE)</f>
        <v>M</v>
      </c>
      <c r="I1909" s="7" cm="1">
        <f t="array" aca="1" ref="I1909" ca="1">INDEX('Marital status'!$A:$A,RANDBETWEEN(2,COUNTA('Marital status'!$A:$A)),1)</f>
        <v>4</v>
      </c>
      <c r="J1909" s="7">
        <f t="shared" ca="1" si="351"/>
        <v>2</v>
      </c>
      <c r="K1909" s="8">
        <f t="shared" ca="1" si="352"/>
        <v>37100</v>
      </c>
      <c r="L1909" s="6">
        <f t="shared" ca="1" si="353"/>
        <v>4</v>
      </c>
      <c r="M1909" s="7">
        <f ca="1" xml:space="preserve">
  IF(OR($N1909 = 2, $N1909 = 3, $N1909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909" s="6">
        <f t="shared" ca="1" si="354"/>
        <v>8</v>
      </c>
      <c r="O1909" s="6">
        <f t="shared" ca="1" si="355"/>
        <v>4</v>
      </c>
      <c r="P1909" s="8">
        <f t="shared" ca="1" si="356"/>
        <v>36944</v>
      </c>
      <c r="Q1909" s="6">
        <f ca="1">RANDBETWEEN(2,COUNTA('Recruitment source'!$A:$A))</f>
        <v>5</v>
      </c>
      <c r="R1909" s="8" t="e">
        <f t="shared" ca="1" si="357"/>
        <v>#N/A</v>
      </c>
      <c r="S1909" s="6" t="e">
        <f t="shared" ca="1" si="358"/>
        <v>#N/A</v>
      </c>
      <c r="T1909" s="6">
        <f t="shared" ca="1" si="348"/>
        <v>2</v>
      </c>
      <c r="U1909" s="1">
        <f t="shared" ca="1" si="359"/>
        <v>2000</v>
      </c>
    </row>
    <row r="1910" spans="1:21" x14ac:dyDescent="0.2">
      <c r="A1910" s="7" cm="1">
        <f t="array" aca="1" ref="A1910" ca="1">INDEX(Companies!$A:$A,RANDBETWEEN(2,COUNTA(Companies!$A:$A)),1)</f>
        <v>2</v>
      </c>
      <c r="B1910" s="5">
        <f t="shared" si="349"/>
        <v>1909</v>
      </c>
      <c r="C1910" s="6">
        <f t="shared" ca="1" si="350"/>
        <v>1</v>
      </c>
      <c r="D1910" s="7">
        <f ca="1">IF($B1910 = 1 + N("Presidente"),
    127,
    IF($B1910 = 2 + N("Vice-Presidente"),
        72,
        IF($B1910 = 3 + N("Secretária bilíngue"),
            13,
            RANDBETWEEN(5,COUNT(Name!$A:$A) + 1)
        )
    )
)</f>
        <v>83</v>
      </c>
      <c r="E1910" s="7" t="str">
        <f ca="1" xml:space="preserve">
VLOOKUP(
  $D1910,
  Name!$A:$B,
  2,
  FALSE
)
&amp; " " &amp;
IF($B1910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Camila Poeta Figo</v>
      </c>
      <c r="F1910" s="7">
        <v>2</v>
      </c>
      <c r="G1910" s="7" cm="1">
        <f t="array" aca="1" ref="G1910" ca="1">INDEX(States!$B:$B,RANDBETWEEN(2,COUNTA(States!$A:$A)),1)</f>
        <v>9</v>
      </c>
      <c r="H1910" s="7" t="str">
        <f ca="1">VLOOKUP($D1910,Name!$A:$C,3,FALSE)</f>
        <v>F</v>
      </c>
      <c r="I1910" s="7" cm="1">
        <f t="array" aca="1" ref="I1910" ca="1">INDEX('Marital status'!$A:$A,RANDBETWEEN(2,COUNTA('Marital status'!$A:$A)),1)</f>
        <v>2</v>
      </c>
      <c r="J1910" s="7">
        <f t="shared" ca="1" si="351"/>
        <v>2</v>
      </c>
      <c r="K1910" s="8">
        <f t="shared" ca="1" si="352"/>
        <v>22416</v>
      </c>
      <c r="L1910" s="6">
        <f t="shared" ca="1" si="353"/>
        <v>4</v>
      </c>
      <c r="M1910" s="7">
        <f ca="1" xml:space="preserve">
  IF(OR($N1910 = 2, $N1910 = 3, $N1910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910" s="6">
        <f t="shared" ca="1" si="354"/>
        <v>6</v>
      </c>
      <c r="O1910" s="6" t="e">
        <f t="shared" ca="1" si="355"/>
        <v>#N/A</v>
      </c>
      <c r="P1910" s="8">
        <f t="shared" ca="1" si="356"/>
        <v>42616</v>
      </c>
      <c r="Q1910" s="6">
        <f ca="1">RANDBETWEEN(2,COUNTA('Recruitment source'!$A:$A))</f>
        <v>4</v>
      </c>
      <c r="R1910" s="8" t="e">
        <f t="shared" ca="1" si="357"/>
        <v>#N/A</v>
      </c>
      <c r="S1910" s="6" t="e">
        <f t="shared" ca="1" si="358"/>
        <v>#N/A</v>
      </c>
      <c r="T1910" s="6">
        <f t="shared" ca="1" si="348"/>
        <v>4</v>
      </c>
      <c r="U1910" s="1">
        <f t="shared" ca="1" si="359"/>
        <v>805</v>
      </c>
    </row>
    <row r="1911" spans="1:21" x14ac:dyDescent="0.2">
      <c r="A1911" s="7" cm="1">
        <f t="array" aca="1" ref="A1911" ca="1">INDEX(Companies!$A:$A,RANDBETWEEN(2,COUNTA(Companies!$A:$A)),1)</f>
        <v>2</v>
      </c>
      <c r="B1911" s="5">
        <f t="shared" si="349"/>
        <v>1910</v>
      </c>
      <c r="C1911" s="6">
        <f t="shared" ca="1" si="350"/>
        <v>1</v>
      </c>
      <c r="D1911" s="7">
        <f ca="1">IF($B1911 = 1 + N("Presidente"),
    127,
    IF($B1911 = 2 + N("Vice-Presidente"),
        72,
        IF($B1911 = 3 + N("Secretária bilíngue"),
            13,
            RANDBETWEEN(5,COUNT(Name!$A:$A) + 1)
        )
    )
)</f>
        <v>216</v>
      </c>
      <c r="E1911" s="7" t="str">
        <f ca="1" xml:space="preserve">
VLOOKUP(
  $D1911,
  Name!$A:$B,
  2,
  FALSE
)
&amp; " " &amp;
IF($B1911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Laís Abranches Negreiros</v>
      </c>
      <c r="F1911" s="7">
        <v>2</v>
      </c>
      <c r="G1911" s="7" cm="1">
        <f t="array" aca="1" ref="G1911" ca="1">INDEX(States!$B:$B,RANDBETWEEN(2,COUNTA(States!$A:$A)),1)</f>
        <v>6</v>
      </c>
      <c r="H1911" s="7" t="str">
        <f ca="1">VLOOKUP($D1911,Name!$A:$C,3,FALSE)</f>
        <v>F</v>
      </c>
      <c r="I1911" s="7" cm="1">
        <f t="array" aca="1" ref="I1911" ca="1">INDEX('Marital status'!$A:$A,RANDBETWEEN(2,COUNTA('Marital status'!$A:$A)),1)</f>
        <v>3</v>
      </c>
      <c r="J1911" s="7">
        <f t="shared" ca="1" si="351"/>
        <v>3</v>
      </c>
      <c r="K1911" s="8">
        <f t="shared" ca="1" si="352"/>
        <v>37213</v>
      </c>
      <c r="L1911" s="6">
        <f t="shared" ca="1" si="353"/>
        <v>5</v>
      </c>
      <c r="M1911" s="7">
        <f ca="1" xml:space="preserve">
  IF(OR($N1911 = 2, $N1911 = 3, $N1911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911" s="6">
        <f t="shared" ca="1" si="354"/>
        <v>8</v>
      </c>
      <c r="O1911" s="6">
        <f t="shared" ca="1" si="355"/>
        <v>4</v>
      </c>
      <c r="P1911" s="8">
        <f t="shared" ca="1" si="356"/>
        <v>37637</v>
      </c>
      <c r="Q1911" s="6">
        <f ca="1">RANDBETWEEN(2,COUNTA('Recruitment source'!$A:$A))</f>
        <v>5</v>
      </c>
      <c r="R1911" s="8" t="e">
        <f t="shared" ca="1" si="357"/>
        <v>#N/A</v>
      </c>
      <c r="S1911" s="6" t="e">
        <f t="shared" ca="1" si="358"/>
        <v>#N/A</v>
      </c>
      <c r="T1911" s="6">
        <f t="shared" ca="1" si="348"/>
        <v>5</v>
      </c>
      <c r="U1911" s="1">
        <f t="shared" ca="1" si="359"/>
        <v>2000</v>
      </c>
    </row>
    <row r="1912" spans="1:21" x14ac:dyDescent="0.2">
      <c r="A1912" s="7" cm="1">
        <f t="array" aca="1" ref="A1912" ca="1">INDEX(Companies!$A:$A,RANDBETWEEN(2,COUNTA(Companies!$A:$A)),1)</f>
        <v>2</v>
      </c>
      <c r="B1912" s="5">
        <f t="shared" si="349"/>
        <v>1911</v>
      </c>
      <c r="C1912" s="6">
        <f t="shared" ca="1" si="350"/>
        <v>1</v>
      </c>
      <c r="D1912" s="7">
        <f ca="1">IF($B1912 = 1 + N("Presidente"),
    127,
    IF($B1912 = 2 + N("Vice-Presidente"),
        72,
        IF($B1912 = 3 + N("Secretária bilíngue"),
            13,
            RANDBETWEEN(5,COUNT(Name!$A:$A) + 1)
        )
    )
)</f>
        <v>230</v>
      </c>
      <c r="E1912" s="7" t="str">
        <f ca="1" xml:space="preserve">
VLOOKUP(
  $D1912,
  Name!$A:$B,
  2,
  FALSE
)
&amp; " " &amp;
IF($B1912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Lorena Dantas Asvilla</v>
      </c>
      <c r="F1912" s="7">
        <v>2</v>
      </c>
      <c r="G1912" s="7" cm="1">
        <f t="array" aca="1" ref="G1912" ca="1">INDEX(States!$B:$B,RANDBETWEEN(2,COUNTA(States!$A:$A)),1)</f>
        <v>5</v>
      </c>
      <c r="H1912" s="7" t="str">
        <f ca="1">VLOOKUP($D1912,Name!$A:$C,3,FALSE)</f>
        <v>F</v>
      </c>
      <c r="I1912" s="7" cm="1">
        <f t="array" aca="1" ref="I1912" ca="1">INDEX('Marital status'!$A:$A,RANDBETWEEN(2,COUNTA('Marital status'!$A:$A)),1)</f>
        <v>5</v>
      </c>
      <c r="J1912" s="7">
        <f t="shared" ca="1" si="351"/>
        <v>2</v>
      </c>
      <c r="K1912" s="8">
        <f t="shared" ca="1" si="352"/>
        <v>32010</v>
      </c>
      <c r="L1912" s="6">
        <f t="shared" ca="1" si="353"/>
        <v>4</v>
      </c>
      <c r="M1912" s="7">
        <f ca="1" xml:space="preserve">
  IF(OR($N1912 = 2, $N1912 = 3, $N1912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912" s="6">
        <f t="shared" ca="1" si="354"/>
        <v>6</v>
      </c>
      <c r="O1912" s="6" t="e">
        <f t="shared" ca="1" si="355"/>
        <v>#N/A</v>
      </c>
      <c r="P1912" s="8">
        <f t="shared" ca="1" si="356"/>
        <v>43096</v>
      </c>
      <c r="Q1912" s="6">
        <f ca="1">RANDBETWEEN(2,COUNTA('Recruitment source'!$A:$A))</f>
        <v>10</v>
      </c>
      <c r="R1912" s="8" t="e">
        <f t="shared" ca="1" si="357"/>
        <v>#N/A</v>
      </c>
      <c r="S1912" s="6" t="e">
        <f t="shared" ca="1" si="358"/>
        <v>#N/A</v>
      </c>
      <c r="T1912" s="6">
        <f t="shared" ca="1" si="348"/>
        <v>2</v>
      </c>
      <c r="U1912" s="1">
        <f t="shared" ca="1" si="359"/>
        <v>805</v>
      </c>
    </row>
    <row r="1913" spans="1:21" x14ac:dyDescent="0.2">
      <c r="A1913" s="7" cm="1">
        <f t="array" aca="1" ref="A1913" ca="1">INDEX(Companies!$A:$A,RANDBETWEEN(2,COUNTA(Companies!$A:$A)),1)</f>
        <v>2</v>
      </c>
      <c r="B1913" s="5">
        <f t="shared" si="349"/>
        <v>1912</v>
      </c>
      <c r="C1913" s="6">
        <f t="shared" ca="1" si="350"/>
        <v>1</v>
      </c>
      <c r="D1913" s="7">
        <f ca="1">IF($B1913 = 1 + N("Presidente"),
    127,
    IF($B1913 = 2 + N("Vice-Presidente"),
        72,
        IF($B1913 = 3 + N("Secretária bilíngue"),
            13,
            RANDBETWEEN(5,COUNT(Name!$A:$A) + 1)
        )
    )
)</f>
        <v>51</v>
      </c>
      <c r="E1913" s="7" t="str">
        <f ca="1" xml:space="preserve">
VLOOKUP(
  $D1913,
  Name!$A:$B,
  2,
  FALSE
)
&amp; " " &amp;
IF($B1913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Antônia Santana Barboza</v>
      </c>
      <c r="F1913" s="7">
        <v>2</v>
      </c>
      <c r="G1913" s="7" cm="1">
        <f t="array" aca="1" ref="G1913" ca="1">INDEX(States!$B:$B,RANDBETWEEN(2,COUNTA(States!$A:$A)),1)</f>
        <v>5</v>
      </c>
      <c r="H1913" s="7" t="str">
        <f ca="1">VLOOKUP($D1913,Name!$A:$C,3,FALSE)</f>
        <v>F</v>
      </c>
      <c r="I1913" s="7" cm="1">
        <f t="array" aca="1" ref="I1913" ca="1">INDEX('Marital status'!$A:$A,RANDBETWEEN(2,COUNTA('Marital status'!$A:$A)),1)</f>
        <v>4</v>
      </c>
      <c r="J1913" s="7">
        <f t="shared" ca="1" si="351"/>
        <v>2</v>
      </c>
      <c r="K1913" s="8">
        <f t="shared" ca="1" si="352"/>
        <v>34524</v>
      </c>
      <c r="L1913" s="6">
        <f t="shared" ca="1" si="353"/>
        <v>4</v>
      </c>
      <c r="M1913" s="7">
        <f ca="1" xml:space="preserve">
  IF(OR($N1913 = 2, $N1913 = 3, $N1913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913" s="6">
        <f t="shared" ca="1" si="354"/>
        <v>8</v>
      </c>
      <c r="O1913" s="6">
        <f t="shared" ca="1" si="355"/>
        <v>4</v>
      </c>
      <c r="P1913" s="8">
        <f t="shared" ca="1" si="356"/>
        <v>40585</v>
      </c>
      <c r="Q1913" s="6">
        <f ca="1">RANDBETWEEN(2,COUNTA('Recruitment source'!$A:$A))</f>
        <v>9</v>
      </c>
      <c r="R1913" s="8" t="e">
        <f t="shared" ca="1" si="357"/>
        <v>#N/A</v>
      </c>
      <c r="S1913" s="6" t="e">
        <f t="shared" ca="1" si="358"/>
        <v>#N/A</v>
      </c>
      <c r="T1913" s="6">
        <f t="shared" ca="1" si="348"/>
        <v>2</v>
      </c>
      <c r="U1913" s="1">
        <f t="shared" ca="1" si="359"/>
        <v>2000</v>
      </c>
    </row>
    <row r="1914" spans="1:21" x14ac:dyDescent="0.2">
      <c r="A1914" s="7" cm="1">
        <f t="array" aca="1" ref="A1914" ca="1">INDEX(Companies!$A:$A,RANDBETWEEN(2,COUNTA(Companies!$A:$A)),1)</f>
        <v>2</v>
      </c>
      <c r="B1914" s="5">
        <f t="shared" si="349"/>
        <v>1913</v>
      </c>
      <c r="C1914" s="6">
        <f t="shared" ca="1" si="350"/>
        <v>1</v>
      </c>
      <c r="D1914" s="7">
        <f ca="1">IF($B1914 = 1 + N("Presidente"),
    127,
    IF($B1914 = 2 + N("Vice-Presidente"),
        72,
        IF($B1914 = 3 + N("Secretária bilíngue"),
            13,
            RANDBETWEEN(5,COUNT(Name!$A:$A) + 1)
        )
    )
)</f>
        <v>183</v>
      </c>
      <c r="E1914" s="7" t="str">
        <f ca="1" xml:space="preserve">
VLOOKUP(
  $D1914,
  Name!$A:$B,
  2,
  FALSE
)
&amp; " " &amp;
IF($B1914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Joanah Rangel Longo</v>
      </c>
      <c r="F1914" s="7">
        <v>2</v>
      </c>
      <c r="G1914" s="7" cm="1">
        <f t="array" aca="1" ref="G1914" ca="1">INDEX(States!$B:$B,RANDBETWEEN(2,COUNTA(States!$A:$A)),1)</f>
        <v>5</v>
      </c>
      <c r="H1914" s="7" t="str">
        <f ca="1">VLOOKUP($D1914,Name!$A:$C,3,FALSE)</f>
        <v>F</v>
      </c>
      <c r="I1914" s="7" cm="1">
        <f t="array" aca="1" ref="I1914" ca="1">INDEX('Marital status'!$A:$A,RANDBETWEEN(2,COUNTA('Marital status'!$A:$A)),1)</f>
        <v>5</v>
      </c>
      <c r="J1914" s="7">
        <f t="shared" ca="1" si="351"/>
        <v>4</v>
      </c>
      <c r="K1914" s="8">
        <f t="shared" ca="1" si="352"/>
        <v>29800</v>
      </c>
      <c r="L1914" s="6">
        <f t="shared" ca="1" si="353"/>
        <v>4</v>
      </c>
      <c r="M1914" s="7">
        <f ca="1" xml:space="preserve">
  IF(OR($N1914 = 2, $N1914 = 3, $N1914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914" s="6">
        <f t="shared" ca="1" si="354"/>
        <v>7</v>
      </c>
      <c r="O1914" s="6" t="e">
        <f t="shared" ca="1" si="355"/>
        <v>#N/A</v>
      </c>
      <c r="P1914" s="8">
        <f t="shared" ca="1" si="356"/>
        <v>40956</v>
      </c>
      <c r="Q1914" s="6">
        <f ca="1">RANDBETWEEN(2,COUNTA('Recruitment source'!$A:$A))</f>
        <v>2</v>
      </c>
      <c r="R1914" s="8" t="e">
        <f t="shared" ca="1" si="357"/>
        <v>#N/A</v>
      </c>
      <c r="S1914" s="6" t="e">
        <f t="shared" ca="1" si="358"/>
        <v>#N/A</v>
      </c>
      <c r="T1914" s="6">
        <f t="shared" ca="1" si="348"/>
        <v>4</v>
      </c>
      <c r="U1914" s="1">
        <f t="shared" ca="1" si="359"/>
        <v>1005</v>
      </c>
    </row>
    <row r="1915" spans="1:21" x14ac:dyDescent="0.2">
      <c r="A1915" s="7" cm="1">
        <f t="array" aca="1" ref="A1915" ca="1">INDEX(Companies!$A:$A,RANDBETWEEN(2,COUNTA(Companies!$A:$A)),1)</f>
        <v>2</v>
      </c>
      <c r="B1915" s="5">
        <f t="shared" si="349"/>
        <v>1914</v>
      </c>
      <c r="C1915" s="6">
        <f t="shared" ca="1" si="350"/>
        <v>1</v>
      </c>
      <c r="D1915" s="7">
        <f ca="1">IF($B1915 = 1 + N("Presidente"),
    127,
    IF($B1915 = 2 + N("Vice-Presidente"),
        72,
        IF($B1915 = 3 + N("Secretária bilíngue"),
            13,
            RANDBETWEEN(5,COUNT(Name!$A:$A) + 1)
        )
    )
)</f>
        <v>310</v>
      </c>
      <c r="E1915" s="7" t="str">
        <f ca="1" xml:space="preserve">
VLOOKUP(
  $D1915,
  Name!$A:$B,
  2,
  FALSE
)
&amp; " " &amp;
IF($B1915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Oliver Tavarez Mello</v>
      </c>
      <c r="F1915" s="7">
        <v>2</v>
      </c>
      <c r="G1915" s="7" cm="1">
        <f t="array" aca="1" ref="G1915" ca="1">INDEX(States!$B:$B,RANDBETWEEN(2,COUNTA(States!$A:$A)),1)</f>
        <v>11</v>
      </c>
      <c r="H1915" s="7" t="str">
        <f ca="1">VLOOKUP($D1915,Name!$A:$C,3,FALSE)</f>
        <v>M</v>
      </c>
      <c r="I1915" s="7" cm="1">
        <f t="array" aca="1" ref="I1915" ca="1">INDEX('Marital status'!$A:$A,RANDBETWEEN(2,COUNTA('Marital status'!$A:$A)),1)</f>
        <v>4</v>
      </c>
      <c r="J1915" s="7">
        <f t="shared" ca="1" si="351"/>
        <v>7</v>
      </c>
      <c r="K1915" s="8">
        <f t="shared" ca="1" si="352"/>
        <v>36940</v>
      </c>
      <c r="L1915" s="6">
        <f t="shared" ca="1" si="353"/>
        <v>5</v>
      </c>
      <c r="M1915" s="7">
        <f ca="1" xml:space="preserve">
  IF(OR($N1915 = 2, $N1915 = 3, $N1915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915" s="6">
        <f t="shared" ca="1" si="354"/>
        <v>8</v>
      </c>
      <c r="O1915" s="6">
        <f t="shared" ca="1" si="355"/>
        <v>2</v>
      </c>
      <c r="P1915" s="8">
        <f t="shared" ca="1" si="356"/>
        <v>39170</v>
      </c>
      <c r="Q1915" s="6">
        <f ca="1">RANDBETWEEN(2,COUNTA('Recruitment source'!$A:$A))</f>
        <v>4</v>
      </c>
      <c r="R1915" s="8" t="e">
        <f t="shared" ca="1" si="357"/>
        <v>#N/A</v>
      </c>
      <c r="S1915" s="6" t="e">
        <f t="shared" ca="1" si="358"/>
        <v>#N/A</v>
      </c>
      <c r="T1915" s="6">
        <f t="shared" ca="1" si="348"/>
        <v>5</v>
      </c>
      <c r="U1915" s="1">
        <f t="shared" ca="1" si="359"/>
        <v>2000</v>
      </c>
    </row>
    <row r="1916" spans="1:21" x14ac:dyDescent="0.2">
      <c r="A1916" s="7" cm="1">
        <f t="array" aca="1" ref="A1916" ca="1">INDEX(Companies!$A:$A,RANDBETWEEN(2,COUNTA(Companies!$A:$A)),1)</f>
        <v>2</v>
      </c>
      <c r="B1916" s="5">
        <f t="shared" si="349"/>
        <v>1915</v>
      </c>
      <c r="C1916" s="6">
        <f t="shared" ca="1" si="350"/>
        <v>1</v>
      </c>
      <c r="D1916" s="7">
        <f ca="1">IF($B1916 = 1 + N("Presidente"),
    127,
    IF($B1916 = 2 + N("Vice-Presidente"),
        72,
        IF($B1916 = 3 + N("Secretária bilíngue"),
            13,
            RANDBETWEEN(5,COUNT(Name!$A:$A) + 1)
        )
    )
)</f>
        <v>364</v>
      </c>
      <c r="E1916" s="7" t="str">
        <f ca="1" xml:space="preserve">
VLOOKUP(
  $D1916,
  Name!$A:$B,
  2,
  FALSE
)
&amp; " " &amp;
IF($B1916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Yasmin Furtado Bermudes</v>
      </c>
      <c r="F1916" s="7">
        <v>2</v>
      </c>
      <c r="G1916" s="7" cm="1">
        <f t="array" aca="1" ref="G1916" ca="1">INDEX(States!$B:$B,RANDBETWEEN(2,COUNTA(States!$A:$A)),1)</f>
        <v>11</v>
      </c>
      <c r="H1916" s="7" t="str">
        <f ca="1">VLOOKUP($D1916,Name!$A:$C,3,FALSE)</f>
        <v>F</v>
      </c>
      <c r="I1916" s="7" cm="1">
        <f t="array" aca="1" ref="I1916" ca="1">INDEX('Marital status'!$A:$A,RANDBETWEEN(2,COUNTA('Marital status'!$A:$A)),1)</f>
        <v>5</v>
      </c>
      <c r="J1916" s="7">
        <f t="shared" ca="1" si="351"/>
        <v>2</v>
      </c>
      <c r="K1916" s="8">
        <f t="shared" ca="1" si="352"/>
        <v>29339</v>
      </c>
      <c r="L1916" s="6">
        <f t="shared" ca="1" si="353"/>
        <v>4</v>
      </c>
      <c r="M1916" s="7">
        <f ca="1" xml:space="preserve">
  IF(OR($N1916 = 2, $N1916 = 3, $N1916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916" s="6">
        <f t="shared" ca="1" si="354"/>
        <v>6</v>
      </c>
      <c r="O1916" s="6" t="e">
        <f t="shared" ca="1" si="355"/>
        <v>#N/A</v>
      </c>
      <c r="P1916" s="8">
        <f t="shared" ca="1" si="356"/>
        <v>41328</v>
      </c>
      <c r="Q1916" s="6">
        <f ca="1">RANDBETWEEN(2,COUNTA('Recruitment source'!$A:$A))</f>
        <v>6</v>
      </c>
      <c r="R1916" s="8" t="e">
        <f t="shared" ca="1" si="357"/>
        <v>#N/A</v>
      </c>
      <c r="S1916" s="6" t="e">
        <f t="shared" ca="1" si="358"/>
        <v>#N/A</v>
      </c>
      <c r="T1916" s="6">
        <f t="shared" ca="1" si="348"/>
        <v>4</v>
      </c>
      <c r="U1916" s="1">
        <f t="shared" ca="1" si="359"/>
        <v>805</v>
      </c>
    </row>
    <row r="1917" spans="1:21" x14ac:dyDescent="0.2">
      <c r="A1917" s="7" cm="1">
        <f t="array" aca="1" ref="A1917" ca="1">INDEX(Companies!$A:$A,RANDBETWEEN(2,COUNTA(Companies!$A:$A)),1)</f>
        <v>2</v>
      </c>
      <c r="B1917" s="5">
        <f t="shared" si="349"/>
        <v>1916</v>
      </c>
      <c r="C1917" s="6">
        <f t="shared" ca="1" si="350"/>
        <v>1</v>
      </c>
      <c r="D1917" s="7">
        <f ca="1">IF($B1917 = 1 + N("Presidente"),
    127,
    IF($B1917 = 2 + N("Vice-Presidente"),
        72,
        IF($B1917 = 3 + N("Secretária bilíngue"),
            13,
            RANDBETWEEN(5,COUNT(Name!$A:$A) + 1)
        )
    )
)</f>
        <v>36</v>
      </c>
      <c r="E1917" s="7" t="str">
        <f ca="1" xml:space="preserve">
VLOOKUP(
  $D1917,
  Name!$A:$B,
  2,
  FALSE
)
&amp; " " &amp;
IF($B1917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Sophia Azeredo Cunha</v>
      </c>
      <c r="F1917" s="7">
        <v>2</v>
      </c>
      <c r="G1917" s="7" cm="1">
        <f t="array" aca="1" ref="G1917" ca="1">INDEX(States!$B:$B,RANDBETWEEN(2,COUNTA(States!$A:$A)),1)</f>
        <v>19</v>
      </c>
      <c r="H1917" s="7" t="str">
        <f ca="1">VLOOKUP($D1917,Name!$A:$C,3,FALSE)</f>
        <v>F</v>
      </c>
      <c r="I1917" s="7" cm="1">
        <f t="array" aca="1" ref="I1917" ca="1">INDEX('Marital status'!$A:$A,RANDBETWEEN(2,COUNTA('Marital status'!$A:$A)),1)</f>
        <v>2</v>
      </c>
      <c r="J1917" s="7">
        <f t="shared" ca="1" si="351"/>
        <v>2</v>
      </c>
      <c r="K1917" s="8">
        <f t="shared" ca="1" si="352"/>
        <v>35024</v>
      </c>
      <c r="L1917" s="6">
        <f t="shared" ca="1" si="353"/>
        <v>4</v>
      </c>
      <c r="M1917" s="7">
        <f ca="1" xml:space="preserve">
  IF(OR($N1917 = 2, $N1917 = 3, $N1917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917" s="6">
        <f t="shared" ca="1" si="354"/>
        <v>8</v>
      </c>
      <c r="O1917" s="6">
        <f t="shared" ca="1" si="355"/>
        <v>2</v>
      </c>
      <c r="P1917" s="8">
        <f t="shared" ca="1" si="356"/>
        <v>37345</v>
      </c>
      <c r="Q1917" s="6">
        <f ca="1">RANDBETWEEN(2,COUNTA('Recruitment source'!$A:$A))</f>
        <v>8</v>
      </c>
      <c r="R1917" s="8" t="e">
        <f t="shared" ca="1" si="357"/>
        <v>#N/A</v>
      </c>
      <c r="S1917" s="6" t="e">
        <f t="shared" ca="1" si="358"/>
        <v>#N/A</v>
      </c>
      <c r="T1917" s="6">
        <f t="shared" ca="1" si="348"/>
        <v>3</v>
      </c>
      <c r="U1917" s="1">
        <f t="shared" ca="1" si="359"/>
        <v>2080</v>
      </c>
    </row>
    <row r="1918" spans="1:21" x14ac:dyDescent="0.2">
      <c r="A1918" s="7" cm="1">
        <f t="array" aca="1" ref="A1918" ca="1">INDEX(Companies!$A:$A,RANDBETWEEN(2,COUNTA(Companies!$A:$A)),1)</f>
        <v>2</v>
      </c>
      <c r="B1918" s="5">
        <f t="shared" si="349"/>
        <v>1917</v>
      </c>
      <c r="C1918" s="6">
        <f t="shared" ca="1" si="350"/>
        <v>1</v>
      </c>
      <c r="D1918" s="7">
        <f ca="1">IF($B1918 = 1 + N("Presidente"),
    127,
    IF($B1918 = 2 + N("Vice-Presidente"),
        72,
        IF($B1918 = 3 + N("Secretária bilíngue"),
            13,
            RANDBETWEEN(5,COUNT(Name!$A:$A) + 1)
        )
    )
)</f>
        <v>187</v>
      </c>
      <c r="E1918" s="7" t="str">
        <f ca="1" xml:space="preserve">
VLOOKUP(
  $D1918,
  Name!$A:$B,
  2,
  FALSE
)
&amp; " " &amp;
IF($B1918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Guilherme Cunha Gouveia</v>
      </c>
      <c r="F1918" s="7">
        <v>2</v>
      </c>
      <c r="G1918" s="7" cm="1">
        <f t="array" aca="1" ref="G1918" ca="1">INDEX(States!$B:$B,RANDBETWEEN(2,COUNTA(States!$A:$A)),1)</f>
        <v>15</v>
      </c>
      <c r="H1918" s="7" t="str">
        <f ca="1">VLOOKUP($D1918,Name!$A:$C,3,FALSE)</f>
        <v>M</v>
      </c>
      <c r="I1918" s="7" cm="1">
        <f t="array" aca="1" ref="I1918" ca="1">INDEX('Marital status'!$A:$A,RANDBETWEEN(2,COUNTA('Marital status'!$A:$A)),1)</f>
        <v>5</v>
      </c>
      <c r="J1918" s="7">
        <f t="shared" ca="1" si="351"/>
        <v>3</v>
      </c>
      <c r="K1918" s="8">
        <f t="shared" ca="1" si="352"/>
        <v>30906</v>
      </c>
      <c r="L1918" s="6">
        <f t="shared" ca="1" si="353"/>
        <v>4</v>
      </c>
      <c r="M1918" s="7">
        <f ca="1" xml:space="preserve">
  IF(OR($N1918 = 2, $N1918 = 3, $N1918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918" s="6">
        <f t="shared" ca="1" si="354"/>
        <v>6</v>
      </c>
      <c r="O1918" s="6" t="e">
        <f t="shared" ca="1" si="355"/>
        <v>#N/A</v>
      </c>
      <c r="P1918" s="8">
        <f t="shared" ca="1" si="356"/>
        <v>43904</v>
      </c>
      <c r="Q1918" s="6">
        <f ca="1">RANDBETWEEN(2,COUNTA('Recruitment source'!$A:$A))</f>
        <v>3</v>
      </c>
      <c r="R1918" s="8" t="e">
        <f t="shared" ca="1" si="357"/>
        <v>#N/A</v>
      </c>
      <c r="S1918" s="6" t="e">
        <f t="shared" ca="1" si="358"/>
        <v>#N/A</v>
      </c>
      <c r="T1918" s="6">
        <f t="shared" ca="1" si="348"/>
        <v>2</v>
      </c>
      <c r="U1918" s="1">
        <f t="shared" ca="1" si="359"/>
        <v>805</v>
      </c>
    </row>
    <row r="1919" spans="1:21" x14ac:dyDescent="0.2">
      <c r="A1919" s="7" cm="1">
        <f t="array" aca="1" ref="A1919" ca="1">INDEX(Companies!$A:$A,RANDBETWEEN(2,COUNTA(Companies!$A:$A)),1)</f>
        <v>2</v>
      </c>
      <c r="B1919" s="5">
        <f t="shared" si="349"/>
        <v>1918</v>
      </c>
      <c r="C1919" s="6">
        <f t="shared" ca="1" si="350"/>
        <v>1</v>
      </c>
      <c r="D1919" s="7">
        <f ca="1">IF($B1919 = 1 + N("Presidente"),
    127,
    IF($B1919 = 2 + N("Vice-Presidente"),
        72,
        IF($B1919 = 3 + N("Secretária bilíngue"),
            13,
            RANDBETWEEN(5,COUNT(Name!$A:$A) + 1)
        )
    )
)</f>
        <v>322</v>
      </c>
      <c r="E1919" s="7" t="str">
        <f ca="1" xml:space="preserve">
VLOOKUP(
  $D1919,
  Name!$A:$B,
  2,
  FALSE
)
&amp; " " &amp;
IF($B1919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Pietro Chaves Badu</v>
      </c>
      <c r="F1919" s="7">
        <v>2</v>
      </c>
      <c r="G1919" s="7" cm="1">
        <f t="array" aca="1" ref="G1919" ca="1">INDEX(States!$B:$B,RANDBETWEEN(2,COUNTA(States!$A:$A)),1)</f>
        <v>2</v>
      </c>
      <c r="H1919" s="7" t="str">
        <f ca="1">VLOOKUP($D1919,Name!$A:$C,3,FALSE)</f>
        <v>M</v>
      </c>
      <c r="I1919" s="7" cm="1">
        <f t="array" aca="1" ref="I1919" ca="1">INDEX('Marital status'!$A:$A,RANDBETWEEN(2,COUNTA('Marital status'!$A:$A)),1)</f>
        <v>5</v>
      </c>
      <c r="J1919" s="7">
        <f t="shared" ca="1" si="351"/>
        <v>5</v>
      </c>
      <c r="K1919" s="8">
        <f t="shared" ca="1" si="352"/>
        <v>32533</v>
      </c>
      <c r="L1919" s="6">
        <f t="shared" ca="1" si="353"/>
        <v>4</v>
      </c>
      <c r="M1919" s="7">
        <f ca="1" xml:space="preserve">
  IF(OR($N1919 = 2, $N1919 = 3, $N1919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919" s="6">
        <f t="shared" ca="1" si="354"/>
        <v>8</v>
      </c>
      <c r="O1919" s="6">
        <f t="shared" ca="1" si="355"/>
        <v>4</v>
      </c>
      <c r="P1919" s="8">
        <f t="shared" ca="1" si="356"/>
        <v>38600</v>
      </c>
      <c r="Q1919" s="6">
        <f ca="1">RANDBETWEEN(2,COUNTA('Recruitment source'!$A:$A))</f>
        <v>2</v>
      </c>
      <c r="R1919" s="8" t="e">
        <f t="shared" ca="1" si="357"/>
        <v>#N/A</v>
      </c>
      <c r="S1919" s="6" t="e">
        <f t="shared" ca="1" si="358"/>
        <v>#N/A</v>
      </c>
      <c r="T1919" s="6">
        <f t="shared" ca="1" si="348"/>
        <v>4</v>
      </c>
      <c r="U1919" s="1">
        <f t="shared" ca="1" si="359"/>
        <v>2000</v>
      </c>
    </row>
    <row r="1920" spans="1:21" x14ac:dyDescent="0.2">
      <c r="A1920" s="7" cm="1">
        <f t="array" aca="1" ref="A1920" ca="1">INDEX(Companies!$A:$A,RANDBETWEEN(2,COUNTA(Companies!$A:$A)),1)</f>
        <v>2</v>
      </c>
      <c r="B1920" s="5">
        <f t="shared" si="349"/>
        <v>1919</v>
      </c>
      <c r="C1920" s="6">
        <f t="shared" ca="1" si="350"/>
        <v>1</v>
      </c>
      <c r="D1920" s="7">
        <f ca="1">IF($B1920 = 1 + N("Presidente"),
    127,
    IF($B1920 = 2 + N("Vice-Presidente"),
        72,
        IF($B1920 = 3 + N("Secretária bilíngue"),
            13,
            RANDBETWEEN(5,COUNT(Name!$A:$A) + 1)
        )
    )
)</f>
        <v>292</v>
      </c>
      <c r="E1920" s="7" t="str">
        <f ca="1" xml:space="preserve">
VLOOKUP(
  $D1920,
  Name!$A:$B,
  2,
  FALSE
)
&amp; " " &amp;
IF($B1920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Micaela Barros Leite</v>
      </c>
      <c r="F1920" s="7">
        <v>2</v>
      </c>
      <c r="G1920" s="7" cm="1">
        <f t="array" aca="1" ref="G1920" ca="1">INDEX(States!$B:$B,RANDBETWEEN(2,COUNTA(States!$A:$A)),1)</f>
        <v>7</v>
      </c>
      <c r="H1920" s="7" t="str">
        <f ca="1">VLOOKUP($D1920,Name!$A:$C,3,FALSE)</f>
        <v>F</v>
      </c>
      <c r="I1920" s="7" cm="1">
        <f t="array" aca="1" ref="I1920" ca="1">INDEX('Marital status'!$A:$A,RANDBETWEEN(2,COUNTA('Marital status'!$A:$A)),1)</f>
        <v>6</v>
      </c>
      <c r="J1920" s="7">
        <f t="shared" ca="1" si="351"/>
        <v>2</v>
      </c>
      <c r="K1920" s="8">
        <f t="shared" ca="1" si="352"/>
        <v>29669</v>
      </c>
      <c r="L1920" s="6">
        <f t="shared" ca="1" si="353"/>
        <v>4</v>
      </c>
      <c r="M1920" s="7">
        <f ca="1" xml:space="preserve">
  IF(OR($N1920 = 2, $N1920 = 3, $N1920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920" s="6">
        <f t="shared" ca="1" si="354"/>
        <v>7</v>
      </c>
      <c r="O1920" s="6" t="e">
        <f t="shared" ca="1" si="355"/>
        <v>#N/A</v>
      </c>
      <c r="P1920" s="8">
        <f t="shared" ca="1" si="356"/>
        <v>37236</v>
      </c>
      <c r="Q1920" s="6">
        <f ca="1">RANDBETWEEN(2,COUNTA('Recruitment source'!$A:$A))</f>
        <v>11</v>
      </c>
      <c r="R1920" s="8" t="e">
        <f t="shared" ca="1" si="357"/>
        <v>#N/A</v>
      </c>
      <c r="S1920" s="6" t="e">
        <f t="shared" ca="1" si="358"/>
        <v>#N/A</v>
      </c>
      <c r="T1920" s="6">
        <f t="shared" ca="1" si="348"/>
        <v>3</v>
      </c>
      <c r="U1920" s="1">
        <f t="shared" ca="1" si="359"/>
        <v>1005</v>
      </c>
    </row>
    <row r="1921" spans="1:21" x14ac:dyDescent="0.2">
      <c r="A1921" s="7" cm="1">
        <f t="array" aca="1" ref="A1921" ca="1">INDEX(Companies!$A:$A,RANDBETWEEN(2,COUNTA(Companies!$A:$A)),1)</f>
        <v>2</v>
      </c>
      <c r="B1921" s="5">
        <f t="shared" si="349"/>
        <v>1920</v>
      </c>
      <c r="C1921" s="6">
        <f t="shared" ca="1" si="350"/>
        <v>1</v>
      </c>
      <c r="D1921" s="7">
        <f ca="1">IF($B1921 = 1 + N("Presidente"),
    127,
    IF($B1921 = 2 + N("Vice-Presidente"),
        72,
        IF($B1921 = 3 + N("Secretária bilíngue"),
            13,
            RANDBETWEEN(5,COUNT(Name!$A:$A) + 1)
        )
    )
)</f>
        <v>174</v>
      </c>
      <c r="E1921" s="7" t="str">
        <f ca="1" xml:space="preserve">
VLOOKUP(
  $D1921,
  Name!$A:$B,
  2,
  FALSE
)
&amp; " " &amp;
IF($B1921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 Leitão Santoro</v>
      </c>
      <c r="F1921" s="7">
        <v>2</v>
      </c>
      <c r="G1921" s="7" cm="1">
        <f t="array" aca="1" ref="G1921" ca="1">INDEX(States!$B:$B,RANDBETWEEN(2,COUNTA(States!$A:$A)),1)</f>
        <v>4</v>
      </c>
      <c r="H1921" s="7" t="str">
        <f ca="1">VLOOKUP($D1921,Name!$A:$C,3,FALSE)</f>
        <v>F</v>
      </c>
      <c r="I1921" s="7" cm="1">
        <f t="array" aca="1" ref="I1921" ca="1">INDEX('Marital status'!$A:$A,RANDBETWEEN(2,COUNTA('Marital status'!$A:$A)),1)</f>
        <v>4</v>
      </c>
      <c r="J1921" s="7">
        <f t="shared" ca="1" si="351"/>
        <v>2</v>
      </c>
      <c r="K1921" s="8">
        <f t="shared" ca="1" si="352"/>
        <v>32796</v>
      </c>
      <c r="L1921" s="6">
        <f t="shared" ca="1" si="353"/>
        <v>5</v>
      </c>
      <c r="M1921" s="7">
        <f ca="1" xml:space="preserve">
  IF(OR($N1921 = 2, $N1921 = 3, $N1921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921" s="6">
        <f t="shared" ca="1" si="354"/>
        <v>8</v>
      </c>
      <c r="O1921" s="6">
        <f t="shared" ca="1" si="355"/>
        <v>3</v>
      </c>
      <c r="P1921" s="8">
        <f t="shared" ca="1" si="356"/>
        <v>43427</v>
      </c>
      <c r="Q1921" s="6">
        <f ca="1">RANDBETWEEN(2,COUNTA('Recruitment source'!$A:$A))</f>
        <v>6</v>
      </c>
      <c r="R1921" s="8" t="e">
        <f t="shared" ca="1" si="357"/>
        <v>#N/A</v>
      </c>
      <c r="S1921" s="6" t="e">
        <f t="shared" ca="1" si="358"/>
        <v>#N/A</v>
      </c>
      <c r="T1921" s="6">
        <f t="shared" ca="1" si="348"/>
        <v>4</v>
      </c>
      <c r="U1921" s="1">
        <f t="shared" ca="1" si="359"/>
        <v>2000</v>
      </c>
    </row>
    <row r="1922" spans="1:21" x14ac:dyDescent="0.2">
      <c r="A1922" s="7" cm="1">
        <f t="array" aca="1" ref="A1922" ca="1">INDEX(Companies!$A:$A,RANDBETWEEN(2,COUNTA(Companies!$A:$A)),1)</f>
        <v>2</v>
      </c>
      <c r="B1922" s="5">
        <f t="shared" si="349"/>
        <v>1921</v>
      </c>
      <c r="C1922" s="6">
        <f t="shared" ca="1" si="350"/>
        <v>1</v>
      </c>
      <c r="D1922" s="7">
        <f ca="1">IF($B1922 = 1 + N("Presidente"),
    127,
    IF($B1922 = 2 + N("Vice-Presidente"),
        72,
        IF($B1922 = 3 + N("Secretária bilíngue"),
            13,
            RANDBETWEEN(5,COUNT(Name!$A:$A) + 1)
        )
    )
)</f>
        <v>354</v>
      </c>
      <c r="E1922" s="7" t="str">
        <f ca="1" xml:space="preserve">
VLOOKUP(
  $D1922,
  Name!$A:$B,
  2,
  FALSE
)
&amp; " " &amp;
IF($B1922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Victor Sousa Martini</v>
      </c>
      <c r="F1922" s="7">
        <v>2</v>
      </c>
      <c r="G1922" s="7" cm="1">
        <f t="array" aca="1" ref="G1922" ca="1">INDEX(States!$B:$B,RANDBETWEEN(2,COUNTA(States!$A:$A)),1)</f>
        <v>15</v>
      </c>
      <c r="H1922" s="7" t="str">
        <f ca="1">VLOOKUP($D1922,Name!$A:$C,3,FALSE)</f>
        <v>M</v>
      </c>
      <c r="I1922" s="7" cm="1">
        <f t="array" aca="1" ref="I1922" ca="1">INDEX('Marital status'!$A:$A,RANDBETWEEN(2,COUNTA('Marital status'!$A:$A)),1)</f>
        <v>5</v>
      </c>
      <c r="J1922" s="7">
        <f t="shared" ca="1" si="351"/>
        <v>2</v>
      </c>
      <c r="K1922" s="8">
        <f t="shared" ca="1" si="352"/>
        <v>32286</v>
      </c>
      <c r="L1922" s="6">
        <f t="shared" ca="1" si="353"/>
        <v>4</v>
      </c>
      <c r="M1922" s="7">
        <f ca="1" xml:space="preserve">
  IF(OR($N1922 = 2, $N1922 = 3, $N1922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922" s="6">
        <f t="shared" ca="1" si="354"/>
        <v>7</v>
      </c>
      <c r="O1922" s="6" t="e">
        <f t="shared" ca="1" si="355"/>
        <v>#N/A</v>
      </c>
      <c r="P1922" s="8">
        <f t="shared" ca="1" si="356"/>
        <v>36746</v>
      </c>
      <c r="Q1922" s="6">
        <f ca="1">RANDBETWEEN(2,COUNTA('Recruitment source'!$A:$A))</f>
        <v>8</v>
      </c>
      <c r="R1922" s="8" t="e">
        <f t="shared" ca="1" si="357"/>
        <v>#N/A</v>
      </c>
      <c r="S1922" s="6" t="e">
        <f t="shared" ca="1" si="358"/>
        <v>#N/A</v>
      </c>
      <c r="T1922" s="6">
        <f t="shared" ref="T1922:T1985" ca="1" si="360" xml:space="preserve">
IF(
 ISNA($R1922),
 IF(
   $N1922 = 2,
   5,
   IF(
     OR($N1922=3,$N1922=4,$N1922=5),
     RANDBETWEEN(4,5),
     IF(
       OR($N1922=11,$N1922=12),
       RANDBETWEEN(3,5),
       RANDBETWEEN(2,5)
     )
   )
 ),
 RANDBETWEEN(1,3)
)</f>
        <v>2</v>
      </c>
      <c r="U1922" s="1">
        <f t="shared" ca="1" si="359"/>
        <v>1005</v>
      </c>
    </row>
    <row r="1923" spans="1:21" x14ac:dyDescent="0.2">
      <c r="A1923" s="7" cm="1">
        <f t="array" aca="1" ref="A1923" ca="1">INDEX(Companies!$A:$A,RANDBETWEEN(2,COUNTA(Companies!$A:$A)),1)</f>
        <v>2</v>
      </c>
      <c r="B1923" s="5">
        <f t="shared" ref="B1923:B1986" si="361">ROW() - 1</f>
        <v>1922</v>
      </c>
      <c r="C1923" s="6">
        <f t="shared" ref="C1923:C1986" ca="1" si="362">IF(ISNA($R1923),1,0)</f>
        <v>1</v>
      </c>
      <c r="D1923" s="7">
        <f ca="1">IF($B1923 = 1 + N("Presidente"),
    127,
    IF($B1923 = 2 + N("Vice-Presidente"),
        72,
        IF($B1923 = 3 + N("Secretária bilíngue"),
            13,
            RANDBETWEEN(5,COUNT(Name!$A:$A) + 1)
        )
    )
)</f>
        <v>33</v>
      </c>
      <c r="E1923" s="7" t="str">
        <f ca="1" xml:space="preserve">
VLOOKUP(
  $D1923,
  Name!$A:$B,
  2,
  FALSE
)
&amp; " " &amp;
IF($B1923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Lívia Barbosa Marques</v>
      </c>
      <c r="F1923" s="7">
        <v>2</v>
      </c>
      <c r="G1923" s="7" cm="1">
        <f t="array" aca="1" ref="G1923" ca="1">INDEX(States!$B:$B,RANDBETWEEN(2,COUNTA(States!$A:$A)),1)</f>
        <v>19</v>
      </c>
      <c r="H1923" s="7" t="str">
        <f ca="1">VLOOKUP($D1923,Name!$A:$C,3,FALSE)</f>
        <v>F</v>
      </c>
      <c r="I1923" s="7" cm="1">
        <f t="array" aca="1" ref="I1923" ca="1">INDEX('Marital status'!$A:$A,RANDBETWEEN(2,COUNTA('Marital status'!$A:$A)),1)</f>
        <v>6</v>
      </c>
      <c r="J1923" s="7">
        <f t="shared" ref="J1923:J1986" ca="1" si="363" xml:space="preserve">
IF(AND($N1923 &gt;= 2, $N1923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1923" s="8">
        <f t="shared" ref="K1923:K1986" ca="1" si="364" xml:space="preserve">
IF($N1923 = 5 + N("CEO"),
    TODAY() - 16340,
    IF($N1923 = 8 + N("Secretary"),
        RANDBETWEEN(TODAY() - 12418.5, TODAY()-6574.5),
        IF(OR($N1923 = 7, $N1923 = 14),
            RANDBETWEEN(TODAY() - 16071, TODAY() - 8766),
            IF(OR($N1923 = 13, $N1923 = 12, $N1923 = 11),
                RANDBETWEEN(TODAY() - 27393.75, TODAY() - 12783.75),
                RANDBETWEEN(TODAY() - 27393.75, TODAY()-10957.5)
            )
        )
    )
)</f>
        <v>37314</v>
      </c>
      <c r="L1923" s="6">
        <f t="shared" ref="L1923:L1986" ca="1" si="365" xml:space="preserve">
IF(OR($N1923 = 2, $N1923 = 3) + N("Se for presidente ou vice-presidente"),
    7 + N("Doutor"),
    IF($N1923 = 4 + N("Se for diretor"),
        RANDBETWEEN(5,7) + N("Graduate school or Master’s degree or Doctorate"),
        IF($N1923 = 11 + N("Se for gerente"),
            RANDBETWEEN(4,6) + N("Undergraduate degree or Graduate school or Master’s degree"),
            IF(AND($N1923 &gt;= 8, $N1923 &lt;= 10) + N("If coordinator or specialist or analyst"),
                RANDBETWEEN(4,5),
                4
            )
        )
    )
)</f>
        <v>4</v>
      </c>
      <c r="M1923" s="7">
        <f ca="1" xml:space="preserve">
  IF(OR($N1923 = 2, $N1923 = 3, $N1923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923" s="6">
        <f t="shared" ref="N1923:N1986" ca="1" si="366" xml:space="preserve">
IF($B1923 = 1 + N("Se matrícula for 1"),
  2 + N("Presidente"),
  IF($B1923 = 2 + N("Se matrícula for 2"),
    3 + N("Vice-presidente"),
    IF($B1923 = 3 + N("Se matrícula for 3"),
      5 + N("Secretária bilíngue"),
      IF(AND($B1923 &gt;= 4, $B1923 &lt;=14),
        4 + N("Diretor"),
        IF(AND($B1923 &gt;= 15, $B1923 &lt;= 25),
          11 + N("Manager"),
          IF(AND($B1923 &gt;= 26, $B1923 &lt;= 36),
            10 + N("Coordinador"),
            IF(AND($B1923 &gt;= 37, $B1923 &lt;= 47),
              9 + N("Especialista"),
                IF(MOD($B1923,2) = 0,
                  8 + N("Analista"),
                  RANDBETWEEN(6,7) + N("Estagiário ou Trainee")
                )
            )
          )
        )
      )
    )
  )
)</f>
        <v>8</v>
      </c>
      <c r="O1923" s="6">
        <f t="shared" ref="O1923:O1986" ca="1" si="367" xml:space="preserve">
IF($N1923 =8 + N("Analyst"),
    RANDBETWEEN(2, 4) + N("Jr, Pleno, Sr"),
    NA()
)</f>
        <v>4</v>
      </c>
      <c r="P1923" s="8">
        <f t="shared" ref="P1923:P1986" ca="1" si="368" xml:space="preserve">
IF(
   $N1923=2 + N("Presidente"),
   36161,
   IF(
       OR(
         $N1923=3 + N("Vice-Presidente"),
         $N1923=4 + N("Diretor"),
         $N1923=5 + N("Secretária bilíngue")
       ),
       RANDBETWEEN(36161,36411),
       IF(
         ((TODAY() - $K1923) / 365) &lt; 19,
         TODAY(),
         RANDBETWEEN(36161,TODAY())
       )
   )
)</f>
        <v>38031</v>
      </c>
      <c r="Q1923" s="6">
        <f ca="1">RANDBETWEEN(2,COUNTA('Recruitment source'!$A:$A))</f>
        <v>11</v>
      </c>
      <c r="R1923" s="8" t="e">
        <f t="shared" ref="R1923:R1986" ca="1" si="369" xml:space="preserve">
IF(MOD(
     ROW(),111
   )=0,
   RANDBETWEEN($P1923 + 1,TODAY() - 1),NA()
)</f>
        <v>#N/A</v>
      </c>
      <c r="S1923" s="6" t="e">
        <f t="shared" ref="S1923:S1986" ca="1" si="370" xml:space="preserve">
IF(
  ISNA(R1923),
  NA(),
  RANDBETWEEN(2,IF($H1923="F",10,9))
)</f>
        <v>#N/A</v>
      </c>
      <c r="T1923" s="6">
        <f t="shared" ca="1" si="360"/>
        <v>3</v>
      </c>
      <c r="U1923" s="1">
        <f t="shared" ref="U1923:U1986" ca="1" si="371" xml:space="preserve">
IF($N1923 = 2 + N("Presidente"),
    25000,
    IF($N1923 = 3 + N("Vice-presidente"),
        23000,
        IF(OR($N1923 = 5, $N1923= 10, $N1923 = 9) + N("Secretária bilíngue ou coordenador ou especialista"),
            8000,
            IF($N1923 = 4 + N("Diretor"),
                15000,
                IF($N1923 = 11 + N("Gerente"),
                    12000,
                    IF($N1923 = 6 + N("Estagiário"),
                        805,
                        IF($N1923 = 7 + N("Trainee"),
                            1005,
                            IF($N1923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IF($L1923 = 7,
  100,
  IF($L1923 = 8,
    200,
    IF($L1923 = 9,
      300,
      IF($L1923 = 10,
        400,
        0
      )
    )
  )
)
+
N("Adicional no salário por área")
+
IF($M1923 = 14 + N("Tecnologia da Informação"),
  120,
  IF($M1923 = 16 + N("Vendas"),
    110,
    IF($M1923 = 15 + N("Jurídico"),
      100,
      IF(OR($M1923 = 8, $M1923 = 9, $M1923 = 11) + N("Recursos humanos ou comercial ou comunicação e marketing"),
        80,
        0
      )
    )
  )
)
+
N("Adicionando pegadinha")
+
IF(AND($M1923 = 13, $N1923 = 8) + N("Se for de vendas e analista"),
  IF($J1923 = 2,
    50,
    0
  )
  +
  IF($H1923 = "M",
    50,
    0
  ),
  0
)</f>
        <v>2000</v>
      </c>
    </row>
    <row r="1924" spans="1:21" x14ac:dyDescent="0.2">
      <c r="A1924" s="7" cm="1">
        <f t="array" aca="1" ref="A1924" ca="1">INDEX(Companies!$A:$A,RANDBETWEEN(2,COUNTA(Companies!$A:$A)),1)</f>
        <v>2</v>
      </c>
      <c r="B1924" s="5">
        <f t="shared" si="361"/>
        <v>1923</v>
      </c>
      <c r="C1924" s="6">
        <f t="shared" ca="1" si="362"/>
        <v>1</v>
      </c>
      <c r="D1924" s="7">
        <f ca="1">IF($B1924 = 1 + N("Presidente"),
    127,
    IF($B1924 = 2 + N("Vice-Presidente"),
        72,
        IF($B1924 = 3 + N("Secretária bilíngue"),
            13,
            RANDBETWEEN(5,COUNT(Name!$A:$A) + 1)
        )
    )
)</f>
        <v>176</v>
      </c>
      <c r="E1924" s="7" t="str">
        <f ca="1" xml:space="preserve">
VLOOKUP(
  $D1924,
  Name!$A:$B,
  2,
  FALSE
)
&amp; " " &amp;
IF($B1924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Isabelle Caruso Reis</v>
      </c>
      <c r="F1924" s="7">
        <v>2</v>
      </c>
      <c r="G1924" s="7" cm="1">
        <f t="array" aca="1" ref="G1924" ca="1">INDEX(States!$B:$B,RANDBETWEEN(2,COUNTA(States!$A:$A)),1)</f>
        <v>19</v>
      </c>
      <c r="H1924" s="7" t="str">
        <f ca="1">VLOOKUP($D1924,Name!$A:$C,3,FALSE)</f>
        <v>F</v>
      </c>
      <c r="I1924" s="7" cm="1">
        <f t="array" aca="1" ref="I1924" ca="1">INDEX('Marital status'!$A:$A,RANDBETWEEN(2,COUNTA('Marital status'!$A:$A)),1)</f>
        <v>3</v>
      </c>
      <c r="J1924" s="7">
        <f t="shared" ca="1" si="363"/>
        <v>2</v>
      </c>
      <c r="K1924" s="8">
        <f t="shared" ca="1" si="364"/>
        <v>32541</v>
      </c>
      <c r="L1924" s="6">
        <f t="shared" ca="1" si="365"/>
        <v>4</v>
      </c>
      <c r="M1924" s="7">
        <f ca="1" xml:space="preserve">
  IF(OR($N1924 = 2, $N1924 = 3, $N1924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924" s="6">
        <f t="shared" ca="1" si="366"/>
        <v>7</v>
      </c>
      <c r="O1924" s="6" t="e">
        <f t="shared" ca="1" si="367"/>
        <v>#N/A</v>
      </c>
      <c r="P1924" s="8">
        <f t="shared" ca="1" si="368"/>
        <v>39116</v>
      </c>
      <c r="Q1924" s="6">
        <f ca="1">RANDBETWEEN(2,COUNTA('Recruitment source'!$A:$A))</f>
        <v>6</v>
      </c>
      <c r="R1924" s="8" t="e">
        <f t="shared" ca="1" si="369"/>
        <v>#N/A</v>
      </c>
      <c r="S1924" s="6" t="e">
        <f t="shared" ca="1" si="370"/>
        <v>#N/A</v>
      </c>
      <c r="T1924" s="6">
        <f t="shared" ca="1" si="360"/>
        <v>5</v>
      </c>
      <c r="U1924" s="1">
        <f t="shared" ca="1" si="371"/>
        <v>1005</v>
      </c>
    </row>
    <row r="1925" spans="1:21" x14ac:dyDescent="0.2">
      <c r="A1925" s="7" cm="1">
        <f t="array" aca="1" ref="A1925" ca="1">INDEX(Companies!$A:$A,RANDBETWEEN(2,COUNTA(Companies!$A:$A)),1)</f>
        <v>2</v>
      </c>
      <c r="B1925" s="5">
        <f t="shared" si="361"/>
        <v>1924</v>
      </c>
      <c r="C1925" s="6">
        <f t="shared" ca="1" si="362"/>
        <v>1</v>
      </c>
      <c r="D1925" s="7">
        <f ca="1">IF($B1925 = 1 + N("Presidente"),
    127,
    IF($B1925 = 2 + N("Vice-Presidente"),
        72,
        IF($B1925 = 3 + N("Secretária bilíngue"),
            13,
            RANDBETWEEN(5,COUNT(Name!$A:$A) + 1)
        )
    )
)</f>
        <v>114</v>
      </c>
      <c r="E1925" s="7" t="str">
        <f ca="1" xml:space="preserve">
VLOOKUP(
  $D1925,
  Name!$A:$B,
  2,
  FALSE
)
&amp; " " &amp;
IF($B1925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Domingos Pimenta Siqueira</v>
      </c>
      <c r="F1925" s="7">
        <v>2</v>
      </c>
      <c r="G1925" s="7" cm="1">
        <f t="array" aca="1" ref="G1925" ca="1">INDEX(States!$B:$B,RANDBETWEEN(2,COUNTA(States!$A:$A)),1)</f>
        <v>9</v>
      </c>
      <c r="H1925" s="7" t="str">
        <f ca="1">VLOOKUP($D1925,Name!$A:$C,3,FALSE)</f>
        <v>M</v>
      </c>
      <c r="I1925" s="7" cm="1">
        <f t="array" aca="1" ref="I1925" ca="1">INDEX('Marital status'!$A:$A,RANDBETWEEN(2,COUNTA('Marital status'!$A:$A)),1)</f>
        <v>6</v>
      </c>
      <c r="J1925" s="7">
        <f t="shared" ca="1" si="363"/>
        <v>4</v>
      </c>
      <c r="K1925" s="8">
        <f t="shared" ca="1" si="364"/>
        <v>35199</v>
      </c>
      <c r="L1925" s="6">
        <f t="shared" ca="1" si="365"/>
        <v>5</v>
      </c>
      <c r="M1925" s="7">
        <f ca="1" xml:space="preserve">
  IF(OR($N1925 = 2, $N1925 = 3, $N1925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925" s="6">
        <f t="shared" ca="1" si="366"/>
        <v>8</v>
      </c>
      <c r="O1925" s="6">
        <f t="shared" ca="1" si="367"/>
        <v>4</v>
      </c>
      <c r="P1925" s="8">
        <f t="shared" ca="1" si="368"/>
        <v>44326</v>
      </c>
      <c r="Q1925" s="6">
        <f ca="1">RANDBETWEEN(2,COUNTA('Recruitment source'!$A:$A))</f>
        <v>9</v>
      </c>
      <c r="R1925" s="8" t="e">
        <f t="shared" ca="1" si="369"/>
        <v>#N/A</v>
      </c>
      <c r="S1925" s="6" t="e">
        <f t="shared" ca="1" si="370"/>
        <v>#N/A</v>
      </c>
      <c r="T1925" s="6">
        <f t="shared" ca="1" si="360"/>
        <v>2</v>
      </c>
      <c r="U1925" s="1">
        <f t="shared" ca="1" si="371"/>
        <v>2080</v>
      </c>
    </row>
    <row r="1926" spans="1:21" x14ac:dyDescent="0.2">
      <c r="A1926" s="7" cm="1">
        <f t="array" aca="1" ref="A1926" ca="1">INDEX(Companies!$A:$A,RANDBETWEEN(2,COUNTA(Companies!$A:$A)),1)</f>
        <v>2</v>
      </c>
      <c r="B1926" s="5">
        <f t="shared" si="361"/>
        <v>1925</v>
      </c>
      <c r="C1926" s="6">
        <f t="shared" ca="1" si="362"/>
        <v>1</v>
      </c>
      <c r="D1926" s="7">
        <f ca="1">IF($B1926 = 1 + N("Presidente"),
    127,
    IF($B1926 = 2 + N("Vice-Presidente"),
        72,
        IF($B1926 = 3 + N("Secretária bilíngue"),
            13,
            RANDBETWEEN(5,COUNT(Name!$A:$A) + 1)
        )
    )
)</f>
        <v>241</v>
      </c>
      <c r="E1926" s="7" t="str">
        <f ca="1" xml:space="preserve">
VLOOKUP(
  $D1926,
  Name!$A:$B,
  2,
  FALSE
)
&amp; " " &amp;
IF($B1926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Luccas Gouveia Negreiros</v>
      </c>
      <c r="F1926" s="7">
        <v>2</v>
      </c>
      <c r="G1926" s="7" cm="1">
        <f t="array" aca="1" ref="G1926" ca="1">INDEX(States!$B:$B,RANDBETWEEN(2,COUNTA(States!$A:$A)),1)</f>
        <v>9</v>
      </c>
      <c r="H1926" s="7" t="str">
        <f ca="1">VLOOKUP($D1926,Name!$A:$C,3,FALSE)</f>
        <v>M</v>
      </c>
      <c r="I1926" s="7" cm="1">
        <f t="array" aca="1" ref="I1926" ca="1">INDEX('Marital status'!$A:$A,RANDBETWEEN(2,COUNTA('Marital status'!$A:$A)),1)</f>
        <v>3</v>
      </c>
      <c r="J1926" s="7">
        <f t="shared" ca="1" si="363"/>
        <v>2</v>
      </c>
      <c r="K1926" s="8">
        <f t="shared" ca="1" si="364"/>
        <v>32304</v>
      </c>
      <c r="L1926" s="6">
        <f t="shared" ca="1" si="365"/>
        <v>4</v>
      </c>
      <c r="M1926" s="7">
        <f ca="1" xml:space="preserve">
  IF(OR($N1926 = 2, $N1926 = 3, $N1926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926" s="6">
        <f t="shared" ca="1" si="366"/>
        <v>7</v>
      </c>
      <c r="O1926" s="6" t="e">
        <f t="shared" ca="1" si="367"/>
        <v>#N/A</v>
      </c>
      <c r="P1926" s="8">
        <f t="shared" ca="1" si="368"/>
        <v>37984</v>
      </c>
      <c r="Q1926" s="6">
        <f ca="1">RANDBETWEEN(2,COUNTA('Recruitment source'!$A:$A))</f>
        <v>6</v>
      </c>
      <c r="R1926" s="8" t="e">
        <f t="shared" ca="1" si="369"/>
        <v>#N/A</v>
      </c>
      <c r="S1926" s="6" t="e">
        <f t="shared" ca="1" si="370"/>
        <v>#N/A</v>
      </c>
      <c r="T1926" s="6">
        <f t="shared" ca="1" si="360"/>
        <v>4</v>
      </c>
      <c r="U1926" s="1">
        <f t="shared" ca="1" si="371"/>
        <v>1005</v>
      </c>
    </row>
    <row r="1927" spans="1:21" x14ac:dyDescent="0.2">
      <c r="A1927" s="7" cm="1">
        <f t="array" aca="1" ref="A1927" ca="1">INDEX(Companies!$A:$A,RANDBETWEEN(2,COUNTA(Companies!$A:$A)),1)</f>
        <v>2</v>
      </c>
      <c r="B1927" s="5">
        <f t="shared" si="361"/>
        <v>1926</v>
      </c>
      <c r="C1927" s="6">
        <f t="shared" ca="1" si="362"/>
        <v>1</v>
      </c>
      <c r="D1927" s="7">
        <f ca="1">IF($B1927 = 1 + N("Presidente"),
    127,
    IF($B1927 = 2 + N("Vice-Presidente"),
        72,
        IF($B1927 = 3 + N("Secretária bilíngue"),
            13,
            RANDBETWEEN(5,COUNT(Name!$A:$A) + 1)
        )
    )
)</f>
        <v>353</v>
      </c>
      <c r="E1927" s="7" t="str">
        <f ca="1" xml:space="preserve">
VLOOKUP(
  $D1927,
  Name!$A:$B,
  2,
  FALSE
)
&amp; " " &amp;
IF($B1927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Vicente Gonçalves Paulista</v>
      </c>
      <c r="F1927" s="7">
        <v>2</v>
      </c>
      <c r="G1927" s="7" cm="1">
        <f t="array" aca="1" ref="G1927" ca="1">INDEX(States!$B:$B,RANDBETWEEN(2,COUNTA(States!$A:$A)),1)</f>
        <v>5</v>
      </c>
      <c r="H1927" s="7" t="str">
        <f ca="1">VLOOKUP($D1927,Name!$A:$C,3,FALSE)</f>
        <v>M</v>
      </c>
      <c r="I1927" s="7" cm="1">
        <f t="array" aca="1" ref="I1927" ca="1">INDEX('Marital status'!$A:$A,RANDBETWEEN(2,COUNTA('Marital status'!$A:$A)),1)</f>
        <v>5</v>
      </c>
      <c r="J1927" s="7">
        <f t="shared" ca="1" si="363"/>
        <v>2</v>
      </c>
      <c r="K1927" s="8">
        <f t="shared" ca="1" si="364"/>
        <v>35701</v>
      </c>
      <c r="L1927" s="6">
        <f t="shared" ca="1" si="365"/>
        <v>5</v>
      </c>
      <c r="M1927" s="7">
        <f ca="1" xml:space="preserve">
  IF(OR($N1927 = 2, $N1927 = 3, $N1927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927" s="6">
        <f t="shared" ca="1" si="366"/>
        <v>8</v>
      </c>
      <c r="O1927" s="6">
        <f t="shared" ca="1" si="367"/>
        <v>4</v>
      </c>
      <c r="P1927" s="8">
        <f t="shared" ca="1" si="368"/>
        <v>43171</v>
      </c>
      <c r="Q1927" s="6">
        <f ca="1">RANDBETWEEN(2,COUNTA('Recruitment source'!$A:$A))</f>
        <v>12</v>
      </c>
      <c r="R1927" s="8" t="e">
        <f t="shared" ca="1" si="369"/>
        <v>#N/A</v>
      </c>
      <c r="S1927" s="6" t="e">
        <f t="shared" ca="1" si="370"/>
        <v>#N/A</v>
      </c>
      <c r="T1927" s="6">
        <f t="shared" ca="1" si="360"/>
        <v>4</v>
      </c>
      <c r="U1927" s="1">
        <f t="shared" ca="1" si="371"/>
        <v>2000</v>
      </c>
    </row>
    <row r="1928" spans="1:21" x14ac:dyDescent="0.2">
      <c r="A1928" s="7" cm="1">
        <f t="array" aca="1" ref="A1928" ca="1">INDEX(Companies!$A:$A,RANDBETWEEN(2,COUNTA(Companies!$A:$A)),1)</f>
        <v>2</v>
      </c>
      <c r="B1928" s="5">
        <f t="shared" si="361"/>
        <v>1927</v>
      </c>
      <c r="C1928" s="6">
        <f t="shared" ca="1" si="362"/>
        <v>1</v>
      </c>
      <c r="D1928" s="7">
        <f ca="1">IF($B1928 = 1 + N("Presidente"),
    127,
    IF($B1928 = 2 + N("Vice-Presidente"),
        72,
        IF($B1928 = 3 + N("Secretária bilíngue"),
            13,
            RANDBETWEEN(5,COUNT(Name!$A:$A) + 1)
        )
    )
)</f>
        <v>295</v>
      </c>
      <c r="E1928" s="7" t="str">
        <f ca="1" xml:space="preserve">
VLOOKUP(
  $D1928,
  Name!$A:$B,
  2,
  FALSE
)
&amp; " " &amp;
IF($B1928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 Barroso Botelho</v>
      </c>
      <c r="F1928" s="7">
        <v>2</v>
      </c>
      <c r="G1928" s="7" cm="1">
        <f t="array" aca="1" ref="G1928" ca="1">INDEX(States!$B:$B,RANDBETWEEN(2,COUNTA(States!$A:$A)),1)</f>
        <v>11</v>
      </c>
      <c r="H1928" s="7" t="str">
        <f ca="1">VLOOKUP($D1928,Name!$A:$C,3,FALSE)</f>
        <v>M</v>
      </c>
      <c r="I1928" s="7" cm="1">
        <f t="array" aca="1" ref="I1928" ca="1">INDEX('Marital status'!$A:$A,RANDBETWEEN(2,COUNTA('Marital status'!$A:$A)),1)</f>
        <v>5</v>
      </c>
      <c r="J1928" s="7">
        <f t="shared" ca="1" si="363"/>
        <v>2</v>
      </c>
      <c r="K1928" s="8">
        <f t="shared" ca="1" si="364"/>
        <v>19158</v>
      </c>
      <c r="L1928" s="6">
        <f t="shared" ca="1" si="365"/>
        <v>4</v>
      </c>
      <c r="M1928" s="7">
        <f ca="1" xml:space="preserve">
  IF(OR($N1928 = 2, $N1928 = 3, $N1928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928" s="6">
        <f t="shared" ca="1" si="366"/>
        <v>6</v>
      </c>
      <c r="O1928" s="6" t="e">
        <f t="shared" ca="1" si="367"/>
        <v>#N/A</v>
      </c>
      <c r="P1928" s="8">
        <f t="shared" ca="1" si="368"/>
        <v>43923</v>
      </c>
      <c r="Q1928" s="6">
        <f ca="1">RANDBETWEEN(2,COUNTA('Recruitment source'!$A:$A))</f>
        <v>6</v>
      </c>
      <c r="R1928" s="8" t="e">
        <f t="shared" ca="1" si="369"/>
        <v>#N/A</v>
      </c>
      <c r="S1928" s="6" t="e">
        <f t="shared" ca="1" si="370"/>
        <v>#N/A</v>
      </c>
      <c r="T1928" s="6">
        <f t="shared" ca="1" si="360"/>
        <v>5</v>
      </c>
      <c r="U1928" s="1">
        <f t="shared" ca="1" si="371"/>
        <v>805</v>
      </c>
    </row>
    <row r="1929" spans="1:21" x14ac:dyDescent="0.2">
      <c r="A1929" s="7" cm="1">
        <f t="array" aca="1" ref="A1929" ca="1">INDEX(Companies!$A:$A,RANDBETWEEN(2,COUNTA(Companies!$A:$A)),1)</f>
        <v>2</v>
      </c>
      <c r="B1929" s="5">
        <f t="shared" si="361"/>
        <v>1928</v>
      </c>
      <c r="C1929" s="6">
        <f t="shared" ca="1" si="362"/>
        <v>1</v>
      </c>
      <c r="D1929" s="7">
        <f ca="1">IF($B1929 = 1 + N("Presidente"),
    127,
    IF($B1929 = 2 + N("Vice-Presidente"),
        72,
        IF($B1929 = 3 + N("Secretária bilíngue"),
            13,
            RANDBETWEEN(5,COUNT(Name!$A:$A) + 1)
        )
    )
)</f>
        <v>302</v>
      </c>
      <c r="E1929" s="7" t="str">
        <f ca="1" xml:space="preserve">
VLOOKUP(
  $D1929,
  Name!$A:$B,
  2,
  FALSE
)
&amp; " " &amp;
IF($B1929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Natália Pasquim Madureira</v>
      </c>
      <c r="F1929" s="7">
        <v>2</v>
      </c>
      <c r="G1929" s="7" cm="1">
        <f t="array" aca="1" ref="G1929" ca="1">INDEX(States!$B:$B,RANDBETWEEN(2,COUNTA(States!$A:$A)),1)</f>
        <v>4</v>
      </c>
      <c r="H1929" s="7" t="str">
        <f ca="1">VLOOKUP($D1929,Name!$A:$C,3,FALSE)</f>
        <v>F</v>
      </c>
      <c r="I1929" s="7" cm="1">
        <f t="array" aca="1" ref="I1929" ca="1">INDEX('Marital status'!$A:$A,RANDBETWEEN(2,COUNTA('Marital status'!$A:$A)),1)</f>
        <v>4</v>
      </c>
      <c r="J1929" s="7">
        <f t="shared" ca="1" si="363"/>
        <v>2</v>
      </c>
      <c r="K1929" s="8">
        <f t="shared" ca="1" si="364"/>
        <v>34878</v>
      </c>
      <c r="L1929" s="6">
        <f t="shared" ca="1" si="365"/>
        <v>5</v>
      </c>
      <c r="M1929" s="7">
        <f ca="1" xml:space="preserve">
  IF(OR($N1929 = 2, $N1929 = 3, $N1929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929" s="6">
        <f t="shared" ca="1" si="366"/>
        <v>8</v>
      </c>
      <c r="O1929" s="6">
        <f t="shared" ca="1" si="367"/>
        <v>2</v>
      </c>
      <c r="P1929" s="8">
        <f t="shared" ca="1" si="368"/>
        <v>39090</v>
      </c>
      <c r="Q1929" s="6">
        <f ca="1">RANDBETWEEN(2,COUNTA('Recruitment source'!$A:$A))</f>
        <v>3</v>
      </c>
      <c r="R1929" s="8" t="e">
        <f t="shared" ca="1" si="369"/>
        <v>#N/A</v>
      </c>
      <c r="S1929" s="6" t="e">
        <f t="shared" ca="1" si="370"/>
        <v>#N/A</v>
      </c>
      <c r="T1929" s="6">
        <f t="shared" ca="1" si="360"/>
        <v>4</v>
      </c>
      <c r="U1929" s="1">
        <f t="shared" ca="1" si="371"/>
        <v>2000</v>
      </c>
    </row>
    <row r="1930" spans="1:21" x14ac:dyDescent="0.2">
      <c r="A1930" s="7" cm="1">
        <f t="array" aca="1" ref="A1930" ca="1">INDEX(Companies!$A:$A,RANDBETWEEN(2,COUNTA(Companies!$A:$A)),1)</f>
        <v>2</v>
      </c>
      <c r="B1930" s="5">
        <f t="shared" si="361"/>
        <v>1929</v>
      </c>
      <c r="C1930" s="6">
        <f t="shared" ca="1" si="362"/>
        <v>1</v>
      </c>
      <c r="D1930" s="7">
        <f ca="1">IF($B1930 = 1 + N("Presidente"),
    127,
    IF($B1930 = 2 + N("Vice-Presidente"),
        72,
        IF($B1930 = 3 + N("Secretária bilíngue"),
            13,
            RANDBETWEEN(5,COUNT(Name!$A:$A) + 1)
        )
    )
)</f>
        <v>269</v>
      </c>
      <c r="E1930" s="7" t="str">
        <f ca="1" xml:space="preserve">
VLOOKUP(
  $D1930,
  Name!$A:$B,
  2,
  FALSE
)
&amp; " " &amp;
IF($B1930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Júlia Peçanha Asvilla</v>
      </c>
      <c r="F1930" s="7">
        <v>2</v>
      </c>
      <c r="G1930" s="7" cm="1">
        <f t="array" aca="1" ref="G1930" ca="1">INDEX(States!$B:$B,RANDBETWEEN(2,COUNTA(States!$A:$A)),1)</f>
        <v>10</v>
      </c>
      <c r="H1930" s="7" t="str">
        <f ca="1">VLOOKUP($D1930,Name!$A:$C,3,FALSE)</f>
        <v>F</v>
      </c>
      <c r="I1930" s="7" cm="1">
        <f t="array" aca="1" ref="I1930" ca="1">INDEX('Marital status'!$A:$A,RANDBETWEEN(2,COUNTA('Marital status'!$A:$A)),1)</f>
        <v>3</v>
      </c>
      <c r="J1930" s="7">
        <f t="shared" ca="1" si="363"/>
        <v>2</v>
      </c>
      <c r="K1930" s="8">
        <f t="shared" ca="1" si="364"/>
        <v>24890</v>
      </c>
      <c r="L1930" s="6">
        <f t="shared" ca="1" si="365"/>
        <v>4</v>
      </c>
      <c r="M1930" s="7">
        <f ca="1" xml:space="preserve">
  IF(OR($N1930 = 2, $N1930 = 3, $N1930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930" s="6">
        <f t="shared" ca="1" si="366"/>
        <v>6</v>
      </c>
      <c r="O1930" s="6" t="e">
        <f t="shared" ca="1" si="367"/>
        <v>#N/A</v>
      </c>
      <c r="P1930" s="8">
        <f t="shared" ca="1" si="368"/>
        <v>36460</v>
      </c>
      <c r="Q1930" s="6">
        <f ca="1">RANDBETWEEN(2,COUNTA('Recruitment source'!$A:$A))</f>
        <v>8</v>
      </c>
      <c r="R1930" s="8" t="e">
        <f t="shared" ca="1" si="369"/>
        <v>#N/A</v>
      </c>
      <c r="S1930" s="6" t="e">
        <f t="shared" ca="1" si="370"/>
        <v>#N/A</v>
      </c>
      <c r="T1930" s="6">
        <f t="shared" ca="1" si="360"/>
        <v>4</v>
      </c>
      <c r="U1930" s="1">
        <f t="shared" ca="1" si="371"/>
        <v>805</v>
      </c>
    </row>
    <row r="1931" spans="1:21" x14ac:dyDescent="0.2">
      <c r="A1931" s="7" cm="1">
        <f t="array" aca="1" ref="A1931" ca="1">INDEX(Companies!$A:$A,RANDBETWEEN(2,COUNTA(Companies!$A:$A)),1)</f>
        <v>2</v>
      </c>
      <c r="B1931" s="5">
        <f t="shared" si="361"/>
        <v>1930</v>
      </c>
      <c r="C1931" s="6">
        <f t="shared" ca="1" si="362"/>
        <v>1</v>
      </c>
      <c r="D1931" s="7">
        <f ca="1">IF($B1931 = 1 + N("Presidente"),
    127,
    IF($B1931 = 2 + N("Vice-Presidente"),
        72,
        IF($B1931 = 3 + N("Secretária bilíngue"),
            13,
            RANDBETWEEN(5,COUNT(Name!$A:$A) + 1)
        )
    )
)</f>
        <v>227</v>
      </c>
      <c r="E1931" s="7" t="str">
        <f ca="1" xml:space="preserve">
VLOOKUP(
  $D1931,
  Name!$A:$B,
  2,
  FALSE
)
&amp; " " &amp;
IF($B1931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Lia Ricci Serra</v>
      </c>
      <c r="F1931" s="7">
        <v>2</v>
      </c>
      <c r="G1931" s="7" cm="1">
        <f t="array" aca="1" ref="G1931" ca="1">INDEX(States!$B:$B,RANDBETWEEN(2,COUNTA(States!$A:$A)),1)</f>
        <v>14</v>
      </c>
      <c r="H1931" s="7" t="str">
        <f ca="1">VLOOKUP($D1931,Name!$A:$C,3,FALSE)</f>
        <v>F</v>
      </c>
      <c r="I1931" s="7" cm="1">
        <f t="array" aca="1" ref="I1931" ca="1">INDEX('Marital status'!$A:$A,RANDBETWEEN(2,COUNTA('Marital status'!$A:$A)),1)</f>
        <v>5</v>
      </c>
      <c r="J1931" s="7">
        <f t="shared" ca="1" si="363"/>
        <v>2</v>
      </c>
      <c r="K1931" s="8">
        <f t="shared" ca="1" si="364"/>
        <v>34995</v>
      </c>
      <c r="L1931" s="6">
        <f t="shared" ca="1" si="365"/>
        <v>5</v>
      </c>
      <c r="M1931" s="7">
        <f ca="1" xml:space="preserve">
  IF(OR($N1931 = 2, $N1931 = 3, $N1931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931" s="6">
        <f t="shared" ca="1" si="366"/>
        <v>8</v>
      </c>
      <c r="O1931" s="6">
        <f t="shared" ca="1" si="367"/>
        <v>3</v>
      </c>
      <c r="P1931" s="8">
        <f t="shared" ca="1" si="368"/>
        <v>39632</v>
      </c>
      <c r="Q1931" s="6">
        <f ca="1">RANDBETWEEN(2,COUNTA('Recruitment source'!$A:$A))</f>
        <v>12</v>
      </c>
      <c r="R1931" s="8" t="e">
        <f t="shared" ca="1" si="369"/>
        <v>#N/A</v>
      </c>
      <c r="S1931" s="6" t="e">
        <f t="shared" ca="1" si="370"/>
        <v>#N/A</v>
      </c>
      <c r="T1931" s="6">
        <f t="shared" ca="1" si="360"/>
        <v>4</v>
      </c>
      <c r="U1931" s="1">
        <f t="shared" ca="1" si="371"/>
        <v>2000</v>
      </c>
    </row>
    <row r="1932" spans="1:21" x14ac:dyDescent="0.2">
      <c r="A1932" s="7" cm="1">
        <f t="array" aca="1" ref="A1932" ca="1">INDEX(Companies!$A:$A,RANDBETWEEN(2,COUNTA(Companies!$A:$A)),1)</f>
        <v>2</v>
      </c>
      <c r="B1932" s="5">
        <f t="shared" si="361"/>
        <v>1931</v>
      </c>
      <c r="C1932" s="6">
        <f t="shared" ca="1" si="362"/>
        <v>1</v>
      </c>
      <c r="D1932" s="7">
        <f ca="1">IF($B1932 = 1 + N("Presidente"),
    127,
    IF($B1932 = 2 + N("Vice-Presidente"),
        72,
        IF($B1932 = 3 + N("Secretária bilíngue"),
            13,
            RANDBETWEEN(5,COUNT(Name!$A:$A) + 1)
        )
    )
)</f>
        <v>70</v>
      </c>
      <c r="E1932" s="7" t="str">
        <f ca="1" xml:space="preserve">
VLOOKUP(
  $D1932,
  Name!$A:$B,
  2,
  FALSE
)
&amp; " " &amp;
IF($B1932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Bento Borges Monti</v>
      </c>
      <c r="F1932" s="7">
        <v>2</v>
      </c>
      <c r="G1932" s="7" cm="1">
        <f t="array" aca="1" ref="G1932" ca="1">INDEX(States!$B:$B,RANDBETWEEN(2,COUNTA(States!$A:$A)),1)</f>
        <v>11</v>
      </c>
      <c r="H1932" s="7" t="str">
        <f ca="1">VLOOKUP($D1932,Name!$A:$C,3,FALSE)</f>
        <v>M</v>
      </c>
      <c r="I1932" s="7" cm="1">
        <f t="array" aca="1" ref="I1932" ca="1">INDEX('Marital status'!$A:$A,RANDBETWEEN(2,COUNTA('Marital status'!$A:$A)),1)</f>
        <v>4</v>
      </c>
      <c r="J1932" s="7">
        <f t="shared" ca="1" si="363"/>
        <v>3</v>
      </c>
      <c r="K1932" s="8">
        <f t="shared" ca="1" si="364"/>
        <v>18478</v>
      </c>
      <c r="L1932" s="6">
        <f t="shared" ca="1" si="365"/>
        <v>4</v>
      </c>
      <c r="M1932" s="7">
        <f ca="1" xml:space="preserve">
  IF(OR($N1932 = 2, $N1932 = 3, $N1932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932" s="6">
        <f t="shared" ca="1" si="366"/>
        <v>6</v>
      </c>
      <c r="O1932" s="6" t="e">
        <f t="shared" ca="1" si="367"/>
        <v>#N/A</v>
      </c>
      <c r="P1932" s="8">
        <f t="shared" ca="1" si="368"/>
        <v>40592</v>
      </c>
      <c r="Q1932" s="6">
        <f ca="1">RANDBETWEEN(2,COUNTA('Recruitment source'!$A:$A))</f>
        <v>2</v>
      </c>
      <c r="R1932" s="8" t="e">
        <f t="shared" ca="1" si="369"/>
        <v>#N/A</v>
      </c>
      <c r="S1932" s="6" t="e">
        <f t="shared" ca="1" si="370"/>
        <v>#N/A</v>
      </c>
      <c r="T1932" s="6">
        <f t="shared" ca="1" si="360"/>
        <v>2</v>
      </c>
      <c r="U1932" s="1">
        <f t="shared" ca="1" si="371"/>
        <v>885</v>
      </c>
    </row>
    <row r="1933" spans="1:21" x14ac:dyDescent="0.2">
      <c r="A1933" s="7" cm="1">
        <f t="array" aca="1" ref="A1933" ca="1">INDEX(Companies!$A:$A,RANDBETWEEN(2,COUNTA(Companies!$A:$A)),1)</f>
        <v>2</v>
      </c>
      <c r="B1933" s="5">
        <f t="shared" si="361"/>
        <v>1932</v>
      </c>
      <c r="C1933" s="6">
        <f t="shared" ca="1" si="362"/>
        <v>1</v>
      </c>
      <c r="D1933" s="7">
        <f ca="1">IF($B1933 = 1 + N("Presidente"),
    127,
    IF($B1933 = 2 + N("Vice-Presidente"),
        72,
        IF($B1933 = 3 + N("Secretária bilíngue"),
            13,
            RANDBETWEEN(5,COUNT(Name!$A:$A) + 1)
        )
    )
)</f>
        <v>153</v>
      </c>
      <c r="E1933" s="7" t="str">
        <f ca="1" xml:space="preserve">
VLOOKUP(
  $D1933,
  Name!$A:$B,
  2,
  FALSE
)
&amp; " " &amp;
IF($B1933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Giovana Ribeiro Longo</v>
      </c>
      <c r="F1933" s="7">
        <v>2</v>
      </c>
      <c r="G1933" s="7" cm="1">
        <f t="array" aca="1" ref="G1933" ca="1">INDEX(States!$B:$B,RANDBETWEEN(2,COUNTA(States!$A:$A)),1)</f>
        <v>8</v>
      </c>
      <c r="H1933" s="7" t="str">
        <f ca="1">VLOOKUP($D1933,Name!$A:$C,3,FALSE)</f>
        <v>F</v>
      </c>
      <c r="I1933" s="7" cm="1">
        <f t="array" aca="1" ref="I1933" ca="1">INDEX('Marital status'!$A:$A,RANDBETWEEN(2,COUNTA('Marital status'!$A:$A)),1)</f>
        <v>6</v>
      </c>
      <c r="J1933" s="7">
        <f t="shared" ca="1" si="363"/>
        <v>2</v>
      </c>
      <c r="K1933" s="8">
        <f t="shared" ca="1" si="364"/>
        <v>36875</v>
      </c>
      <c r="L1933" s="6">
        <f t="shared" ca="1" si="365"/>
        <v>4</v>
      </c>
      <c r="M1933" s="7">
        <f ca="1" xml:space="preserve">
  IF(OR($N1933 = 2, $N1933 = 3, $N1933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933" s="6">
        <f t="shared" ca="1" si="366"/>
        <v>8</v>
      </c>
      <c r="O1933" s="6">
        <f t="shared" ca="1" si="367"/>
        <v>3</v>
      </c>
      <c r="P1933" s="8">
        <f t="shared" ca="1" si="368"/>
        <v>40293</v>
      </c>
      <c r="Q1933" s="6">
        <f ca="1">RANDBETWEEN(2,COUNTA('Recruitment source'!$A:$A))</f>
        <v>11</v>
      </c>
      <c r="R1933" s="8" t="e">
        <f t="shared" ca="1" si="369"/>
        <v>#N/A</v>
      </c>
      <c r="S1933" s="6" t="e">
        <f t="shared" ca="1" si="370"/>
        <v>#N/A</v>
      </c>
      <c r="T1933" s="6">
        <f t="shared" ca="1" si="360"/>
        <v>3</v>
      </c>
      <c r="U1933" s="1">
        <f t="shared" ca="1" si="371"/>
        <v>2000</v>
      </c>
    </row>
    <row r="1934" spans="1:21" x14ac:dyDescent="0.2">
      <c r="A1934" s="7" cm="1">
        <f t="array" aca="1" ref="A1934" ca="1">INDEX(Companies!$A:$A,RANDBETWEEN(2,COUNTA(Companies!$A:$A)),1)</f>
        <v>2</v>
      </c>
      <c r="B1934" s="5">
        <f t="shared" si="361"/>
        <v>1933</v>
      </c>
      <c r="C1934" s="6">
        <f t="shared" ca="1" si="362"/>
        <v>1</v>
      </c>
      <c r="D1934" s="7">
        <f ca="1">IF($B1934 = 1 + N("Presidente"),
    127,
    IF($B1934 = 2 + N("Vice-Presidente"),
        72,
        IF($B1934 = 3 + N("Secretária bilíngue"),
            13,
            RANDBETWEEN(5,COUNT(Name!$A:$A) + 1)
        )
    )
)</f>
        <v>225</v>
      </c>
      <c r="E1934" s="7" t="str">
        <f ca="1" xml:space="preserve">
VLOOKUP(
  $D1934,
  Name!$A:$B,
  2,
  FALSE
)
&amp; " " &amp;
IF($B1934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Levi Camões Luz</v>
      </c>
      <c r="F1934" s="7">
        <v>2</v>
      </c>
      <c r="G1934" s="7" cm="1">
        <f t="array" aca="1" ref="G1934" ca="1">INDEX(States!$B:$B,RANDBETWEEN(2,COUNTA(States!$A:$A)),1)</f>
        <v>18</v>
      </c>
      <c r="H1934" s="7" t="str">
        <f ca="1">VLOOKUP($D1934,Name!$A:$C,3,FALSE)</f>
        <v>M</v>
      </c>
      <c r="I1934" s="7" cm="1">
        <f t="array" aca="1" ref="I1934" ca="1">INDEX('Marital status'!$A:$A,RANDBETWEEN(2,COUNTA('Marital status'!$A:$A)),1)</f>
        <v>3</v>
      </c>
      <c r="J1934" s="7">
        <f t="shared" ca="1" si="363"/>
        <v>2</v>
      </c>
      <c r="K1934" s="8">
        <f t="shared" ca="1" si="364"/>
        <v>35696</v>
      </c>
      <c r="L1934" s="6">
        <f t="shared" ca="1" si="365"/>
        <v>4</v>
      </c>
      <c r="M1934" s="7">
        <f ca="1" xml:space="preserve">
  IF(OR($N1934 = 2, $N1934 = 3, $N1934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934" s="6">
        <f t="shared" ca="1" si="366"/>
        <v>7</v>
      </c>
      <c r="O1934" s="6" t="e">
        <f t="shared" ca="1" si="367"/>
        <v>#N/A</v>
      </c>
      <c r="P1934" s="8">
        <f t="shared" ca="1" si="368"/>
        <v>38120</v>
      </c>
      <c r="Q1934" s="6">
        <f ca="1">RANDBETWEEN(2,COUNTA('Recruitment source'!$A:$A))</f>
        <v>5</v>
      </c>
      <c r="R1934" s="8" t="e">
        <f t="shared" ca="1" si="369"/>
        <v>#N/A</v>
      </c>
      <c r="S1934" s="6" t="e">
        <f t="shared" ca="1" si="370"/>
        <v>#N/A</v>
      </c>
      <c r="T1934" s="6">
        <f t="shared" ca="1" si="360"/>
        <v>3</v>
      </c>
      <c r="U1934" s="1">
        <f t="shared" ca="1" si="371"/>
        <v>1005</v>
      </c>
    </row>
    <row r="1935" spans="1:21" x14ac:dyDescent="0.2">
      <c r="A1935" s="7" cm="1">
        <f t="array" aca="1" ref="A1935" ca="1">INDEX(Companies!$A:$A,RANDBETWEEN(2,COUNTA(Companies!$A:$A)),1)</f>
        <v>2</v>
      </c>
      <c r="B1935" s="5">
        <f t="shared" si="361"/>
        <v>1934</v>
      </c>
      <c r="C1935" s="6">
        <f t="shared" ca="1" si="362"/>
        <v>1</v>
      </c>
      <c r="D1935" s="7">
        <f ca="1">IF($B1935 = 1 + N("Presidente"),
    127,
    IF($B1935 = 2 + N("Vice-Presidente"),
        72,
        IF($B1935 = 3 + N("Secretária bilíngue"),
            13,
            RANDBETWEEN(5,COUNT(Name!$A:$A) + 1)
        )
    )
)</f>
        <v>224</v>
      </c>
      <c r="E1935" s="7" t="str">
        <f ca="1" xml:space="preserve">
VLOOKUP(
  $D1935,
  Name!$A:$B,
  2,
  FALSE
)
&amp; " " &amp;
IF($B1935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Letícia Asvilla Silva</v>
      </c>
      <c r="F1935" s="7">
        <v>2</v>
      </c>
      <c r="G1935" s="7" cm="1">
        <f t="array" aca="1" ref="G1935" ca="1">INDEX(States!$B:$B,RANDBETWEEN(2,COUNTA(States!$A:$A)),1)</f>
        <v>12</v>
      </c>
      <c r="H1935" s="7" t="str">
        <f ca="1">VLOOKUP($D1935,Name!$A:$C,3,FALSE)</f>
        <v>F</v>
      </c>
      <c r="I1935" s="7" cm="1">
        <f t="array" aca="1" ref="I1935" ca="1">INDEX('Marital status'!$A:$A,RANDBETWEEN(2,COUNTA('Marital status'!$A:$A)),1)</f>
        <v>5</v>
      </c>
      <c r="J1935" s="7">
        <f t="shared" ca="1" si="363"/>
        <v>2</v>
      </c>
      <c r="K1935" s="8">
        <f t="shared" ca="1" si="364"/>
        <v>33531</v>
      </c>
      <c r="L1935" s="6">
        <f t="shared" ca="1" si="365"/>
        <v>4</v>
      </c>
      <c r="M1935" s="7">
        <f ca="1" xml:space="preserve">
  IF(OR($N1935 = 2, $N1935 = 3, $N1935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935" s="6">
        <f t="shared" ca="1" si="366"/>
        <v>8</v>
      </c>
      <c r="O1935" s="6">
        <f t="shared" ca="1" si="367"/>
        <v>2</v>
      </c>
      <c r="P1935" s="8">
        <f t="shared" ca="1" si="368"/>
        <v>36471</v>
      </c>
      <c r="Q1935" s="6">
        <f ca="1">RANDBETWEEN(2,COUNTA('Recruitment source'!$A:$A))</f>
        <v>5</v>
      </c>
      <c r="R1935" s="8" t="e">
        <f t="shared" ca="1" si="369"/>
        <v>#N/A</v>
      </c>
      <c r="S1935" s="6" t="e">
        <f t="shared" ca="1" si="370"/>
        <v>#N/A</v>
      </c>
      <c r="T1935" s="6">
        <f t="shared" ca="1" si="360"/>
        <v>3</v>
      </c>
      <c r="U1935" s="1">
        <f t="shared" ca="1" si="371"/>
        <v>2000</v>
      </c>
    </row>
    <row r="1936" spans="1:21" x14ac:dyDescent="0.2">
      <c r="A1936" s="7" cm="1">
        <f t="array" aca="1" ref="A1936" ca="1">INDEX(Companies!$A:$A,RANDBETWEEN(2,COUNTA(Companies!$A:$A)),1)</f>
        <v>2</v>
      </c>
      <c r="B1936" s="5">
        <f t="shared" si="361"/>
        <v>1935</v>
      </c>
      <c r="C1936" s="6">
        <f t="shared" ca="1" si="362"/>
        <v>1</v>
      </c>
      <c r="D1936" s="7">
        <f ca="1">IF($B1936 = 1 + N("Presidente"),
    127,
    IF($B1936 = 2 + N("Vice-Presidente"),
        72,
        IF($B1936 = 3 + N("Secretária bilíngue"),
            13,
            RANDBETWEEN(5,COUNT(Name!$A:$A) + 1)
        )
    )
)</f>
        <v>290</v>
      </c>
      <c r="E1936" s="7" t="str">
        <f ca="1" xml:space="preserve">
VLOOKUP(
  $D1936,
  Name!$A:$B,
  2,
  FALSE
)
&amp; " " &amp;
IF($B1936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Melissa Junqueira Giordano</v>
      </c>
      <c r="F1936" s="7">
        <v>2</v>
      </c>
      <c r="G1936" s="7" cm="1">
        <f t="array" aca="1" ref="G1936" ca="1">INDEX(States!$B:$B,RANDBETWEEN(2,COUNTA(States!$A:$A)),1)</f>
        <v>6</v>
      </c>
      <c r="H1936" s="7" t="str">
        <f ca="1">VLOOKUP($D1936,Name!$A:$C,3,FALSE)</f>
        <v>F</v>
      </c>
      <c r="I1936" s="7" cm="1">
        <f t="array" aca="1" ref="I1936" ca="1">INDEX('Marital status'!$A:$A,RANDBETWEEN(2,COUNTA('Marital status'!$A:$A)),1)</f>
        <v>6</v>
      </c>
      <c r="J1936" s="7">
        <f t="shared" ca="1" si="363"/>
        <v>4</v>
      </c>
      <c r="K1936" s="8">
        <f t="shared" ca="1" si="364"/>
        <v>29668</v>
      </c>
      <c r="L1936" s="6">
        <f t="shared" ca="1" si="365"/>
        <v>4</v>
      </c>
      <c r="M1936" s="7">
        <f ca="1" xml:space="preserve">
  IF(OR($N1936 = 2, $N1936 = 3, $N1936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936" s="6">
        <f t="shared" ca="1" si="366"/>
        <v>6</v>
      </c>
      <c r="O1936" s="6" t="e">
        <f t="shared" ca="1" si="367"/>
        <v>#N/A</v>
      </c>
      <c r="P1936" s="8">
        <f t="shared" ca="1" si="368"/>
        <v>38103</v>
      </c>
      <c r="Q1936" s="6">
        <f ca="1">RANDBETWEEN(2,COUNTA('Recruitment source'!$A:$A))</f>
        <v>11</v>
      </c>
      <c r="R1936" s="8" t="e">
        <f t="shared" ca="1" si="369"/>
        <v>#N/A</v>
      </c>
      <c r="S1936" s="6" t="e">
        <f t="shared" ca="1" si="370"/>
        <v>#N/A</v>
      </c>
      <c r="T1936" s="6">
        <f t="shared" ca="1" si="360"/>
        <v>3</v>
      </c>
      <c r="U1936" s="1">
        <f t="shared" ca="1" si="371"/>
        <v>805</v>
      </c>
    </row>
    <row r="1937" spans="1:21" x14ac:dyDescent="0.2">
      <c r="A1937" s="7" cm="1">
        <f t="array" aca="1" ref="A1937" ca="1">INDEX(Companies!$A:$A,RANDBETWEEN(2,COUNTA(Companies!$A:$A)),1)</f>
        <v>2</v>
      </c>
      <c r="B1937" s="5">
        <f t="shared" si="361"/>
        <v>1936</v>
      </c>
      <c r="C1937" s="6">
        <f t="shared" ca="1" si="362"/>
        <v>1</v>
      </c>
      <c r="D1937" s="7">
        <f ca="1">IF($B1937 = 1 + N("Presidente"),
    127,
    IF($B1937 = 2 + N("Vice-Presidente"),
        72,
        IF($B1937 = 3 + N("Secretária bilíngue"),
            13,
            RANDBETWEEN(5,COUNT(Name!$A:$A) + 1)
        )
    )
)</f>
        <v>314</v>
      </c>
      <c r="E1937" s="7" t="str">
        <f ca="1" xml:space="preserve">
VLOOKUP(
  $D1937,
  Name!$A:$B,
  2,
  FALSE
)
&amp; " " &amp;
IF($B1937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Paloma Brasil Borba</v>
      </c>
      <c r="F1937" s="7">
        <v>2</v>
      </c>
      <c r="G1937" s="7" cm="1">
        <f t="array" aca="1" ref="G1937" ca="1">INDEX(States!$B:$B,RANDBETWEEN(2,COUNTA(States!$A:$A)),1)</f>
        <v>7</v>
      </c>
      <c r="H1937" s="7" t="str">
        <f ca="1">VLOOKUP($D1937,Name!$A:$C,3,FALSE)</f>
        <v>F</v>
      </c>
      <c r="I1937" s="7" cm="1">
        <f t="array" aca="1" ref="I1937" ca="1">INDEX('Marital status'!$A:$A,RANDBETWEEN(2,COUNTA('Marital status'!$A:$A)),1)</f>
        <v>6</v>
      </c>
      <c r="J1937" s="7">
        <f t="shared" ca="1" si="363"/>
        <v>2</v>
      </c>
      <c r="K1937" s="8">
        <f t="shared" ca="1" si="364"/>
        <v>33582</v>
      </c>
      <c r="L1937" s="6">
        <f t="shared" ca="1" si="365"/>
        <v>4</v>
      </c>
      <c r="M1937" s="7">
        <f ca="1" xml:space="preserve">
  IF(OR($N1937 = 2, $N1937 = 3, $N1937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937" s="6">
        <f t="shared" ca="1" si="366"/>
        <v>8</v>
      </c>
      <c r="O1937" s="6">
        <f t="shared" ca="1" si="367"/>
        <v>4</v>
      </c>
      <c r="P1937" s="8">
        <f t="shared" ca="1" si="368"/>
        <v>37678</v>
      </c>
      <c r="Q1937" s="6">
        <f ca="1">RANDBETWEEN(2,COUNTA('Recruitment source'!$A:$A))</f>
        <v>6</v>
      </c>
      <c r="R1937" s="8" t="e">
        <f t="shared" ca="1" si="369"/>
        <v>#N/A</v>
      </c>
      <c r="S1937" s="6" t="e">
        <f t="shared" ca="1" si="370"/>
        <v>#N/A</v>
      </c>
      <c r="T1937" s="6">
        <f t="shared" ca="1" si="360"/>
        <v>3</v>
      </c>
      <c r="U1937" s="1">
        <f t="shared" ca="1" si="371"/>
        <v>2000</v>
      </c>
    </row>
    <row r="1938" spans="1:21" x14ac:dyDescent="0.2">
      <c r="A1938" s="7" cm="1">
        <f t="array" aca="1" ref="A1938" ca="1">INDEX(Companies!$A:$A,RANDBETWEEN(2,COUNTA(Companies!$A:$A)),1)</f>
        <v>2</v>
      </c>
      <c r="B1938" s="5">
        <f t="shared" si="361"/>
        <v>1937</v>
      </c>
      <c r="C1938" s="6">
        <f t="shared" ca="1" si="362"/>
        <v>1</v>
      </c>
      <c r="D1938" s="7">
        <f ca="1">IF($B1938 = 1 + N("Presidente"),
    127,
    IF($B1938 = 2 + N("Vice-Presidente"),
        72,
        IF($B1938 = 3 + N("Secretária bilíngue"),
            13,
            RANDBETWEEN(5,COUNT(Name!$A:$A) + 1)
        )
    )
)</f>
        <v>84</v>
      </c>
      <c r="E1938" s="7" t="str">
        <f ca="1" xml:space="preserve">
VLOOKUP(
  $D1938,
  Name!$A:$B,
  2,
  FALSE
)
&amp; " " &amp;
IF($B1938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Carlos Bicalho Serra</v>
      </c>
      <c r="F1938" s="7">
        <v>2</v>
      </c>
      <c r="G1938" s="7" cm="1">
        <f t="array" aca="1" ref="G1938" ca="1">INDEX(States!$B:$B,RANDBETWEEN(2,COUNTA(States!$A:$A)),1)</f>
        <v>6</v>
      </c>
      <c r="H1938" s="7" t="str">
        <f ca="1">VLOOKUP($D1938,Name!$A:$C,3,FALSE)</f>
        <v>M</v>
      </c>
      <c r="I1938" s="7" cm="1">
        <f t="array" aca="1" ref="I1938" ca="1">INDEX('Marital status'!$A:$A,RANDBETWEEN(2,COUNTA('Marital status'!$A:$A)),1)</f>
        <v>2</v>
      </c>
      <c r="J1938" s="7">
        <f t="shared" ca="1" si="363"/>
        <v>5</v>
      </c>
      <c r="K1938" s="8">
        <f t="shared" ca="1" si="364"/>
        <v>30082</v>
      </c>
      <c r="L1938" s="6">
        <f t="shared" ca="1" si="365"/>
        <v>4</v>
      </c>
      <c r="M1938" s="7">
        <f ca="1" xml:space="preserve">
  IF(OR($N1938 = 2, $N1938 = 3, $N1938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938" s="6">
        <f t="shared" ca="1" si="366"/>
        <v>6</v>
      </c>
      <c r="O1938" s="6" t="e">
        <f t="shared" ca="1" si="367"/>
        <v>#N/A</v>
      </c>
      <c r="P1938" s="8">
        <f t="shared" ca="1" si="368"/>
        <v>36232</v>
      </c>
      <c r="Q1938" s="6">
        <f ca="1">RANDBETWEEN(2,COUNTA('Recruitment source'!$A:$A))</f>
        <v>2</v>
      </c>
      <c r="R1938" s="8" t="e">
        <f t="shared" ca="1" si="369"/>
        <v>#N/A</v>
      </c>
      <c r="S1938" s="6" t="e">
        <f t="shared" ca="1" si="370"/>
        <v>#N/A</v>
      </c>
      <c r="T1938" s="6">
        <f t="shared" ca="1" si="360"/>
        <v>2</v>
      </c>
      <c r="U1938" s="1">
        <f t="shared" ca="1" si="371"/>
        <v>885</v>
      </c>
    </row>
    <row r="1939" spans="1:21" x14ac:dyDescent="0.2">
      <c r="A1939" s="7" cm="1">
        <f t="array" aca="1" ref="A1939" ca="1">INDEX(Companies!$A:$A,RANDBETWEEN(2,COUNTA(Companies!$A:$A)),1)</f>
        <v>2</v>
      </c>
      <c r="B1939" s="5">
        <f t="shared" si="361"/>
        <v>1938</v>
      </c>
      <c r="C1939" s="6">
        <f t="shared" ca="1" si="362"/>
        <v>1</v>
      </c>
      <c r="D1939" s="7">
        <f ca="1">IF($B1939 = 1 + N("Presidente"),
    127,
    IF($B1939 = 2 + N("Vice-Presidente"),
        72,
        IF($B1939 = 3 + N("Secretária bilíngue"),
            13,
            RANDBETWEEN(5,COUNT(Name!$A:$A) + 1)
        )
    )
)</f>
        <v>91</v>
      </c>
      <c r="E1939" s="7" t="str">
        <f ca="1" xml:space="preserve">
VLOOKUP(
  $D1939,
  Name!$A:$B,
  2,
  FALSE
)
&amp; " " &amp;
IF($B1939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Cecilia Araújo Holanda</v>
      </c>
      <c r="F1939" s="7">
        <v>2</v>
      </c>
      <c r="G1939" s="7" cm="1">
        <f t="array" aca="1" ref="G1939" ca="1">INDEX(States!$B:$B,RANDBETWEEN(2,COUNTA(States!$A:$A)),1)</f>
        <v>18</v>
      </c>
      <c r="H1939" s="7" t="str">
        <f ca="1">VLOOKUP($D1939,Name!$A:$C,3,FALSE)</f>
        <v>F</v>
      </c>
      <c r="I1939" s="7" cm="1">
        <f t="array" aca="1" ref="I1939" ca="1">INDEX('Marital status'!$A:$A,RANDBETWEEN(2,COUNTA('Marital status'!$A:$A)),1)</f>
        <v>2</v>
      </c>
      <c r="J1939" s="7">
        <f t="shared" ca="1" si="363"/>
        <v>3</v>
      </c>
      <c r="K1939" s="8">
        <f t="shared" ca="1" si="364"/>
        <v>34640</v>
      </c>
      <c r="L1939" s="6">
        <f t="shared" ca="1" si="365"/>
        <v>4</v>
      </c>
      <c r="M1939" s="7">
        <f ca="1" xml:space="preserve">
  IF(OR($N1939 = 2, $N1939 = 3, $N1939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939" s="6">
        <f t="shared" ca="1" si="366"/>
        <v>8</v>
      </c>
      <c r="O1939" s="6">
        <f t="shared" ca="1" si="367"/>
        <v>2</v>
      </c>
      <c r="P1939" s="8">
        <f t="shared" ca="1" si="368"/>
        <v>43734</v>
      </c>
      <c r="Q1939" s="6">
        <f ca="1">RANDBETWEEN(2,COUNTA('Recruitment source'!$A:$A))</f>
        <v>4</v>
      </c>
      <c r="R1939" s="8" t="e">
        <f t="shared" ca="1" si="369"/>
        <v>#N/A</v>
      </c>
      <c r="S1939" s="6" t="e">
        <f t="shared" ca="1" si="370"/>
        <v>#N/A</v>
      </c>
      <c r="T1939" s="6">
        <f t="shared" ca="1" si="360"/>
        <v>4</v>
      </c>
      <c r="U1939" s="1">
        <f t="shared" ca="1" si="371"/>
        <v>2080</v>
      </c>
    </row>
    <row r="1940" spans="1:21" x14ac:dyDescent="0.2">
      <c r="A1940" s="7" cm="1">
        <f t="array" aca="1" ref="A1940" ca="1">INDEX(Companies!$A:$A,RANDBETWEEN(2,COUNTA(Companies!$A:$A)),1)</f>
        <v>2</v>
      </c>
      <c r="B1940" s="5">
        <f t="shared" si="361"/>
        <v>1939</v>
      </c>
      <c r="C1940" s="6">
        <f t="shared" ca="1" si="362"/>
        <v>1</v>
      </c>
      <c r="D1940" s="7">
        <f ca="1">IF($B1940 = 1 + N("Presidente"),
    127,
    IF($B1940 = 2 + N("Vice-Presidente"),
        72,
        IF($B1940 = 3 + N("Secretária bilíngue"),
            13,
            RANDBETWEEN(5,COUNT(Name!$A:$A) + 1)
        )
    )
)</f>
        <v>351</v>
      </c>
      <c r="E1940" s="7" t="str">
        <f ca="1" xml:space="preserve">
VLOOKUP(
  $D1940,
  Name!$A:$B,
  2,
  FALSE
)
&amp; " " &amp;
IF($B1940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Vera Lucia Gonçalves Barreto</v>
      </c>
      <c r="F1940" s="7">
        <v>2</v>
      </c>
      <c r="G1940" s="7" cm="1">
        <f t="array" aca="1" ref="G1940" ca="1">INDEX(States!$B:$B,RANDBETWEEN(2,COUNTA(States!$A:$A)),1)</f>
        <v>13</v>
      </c>
      <c r="H1940" s="7" t="str">
        <f ca="1">VLOOKUP($D1940,Name!$A:$C,3,FALSE)</f>
        <v>F</v>
      </c>
      <c r="I1940" s="7" cm="1">
        <f t="array" aca="1" ref="I1940" ca="1">INDEX('Marital status'!$A:$A,RANDBETWEEN(2,COUNTA('Marital status'!$A:$A)),1)</f>
        <v>5</v>
      </c>
      <c r="J1940" s="7">
        <f t="shared" ca="1" si="363"/>
        <v>2</v>
      </c>
      <c r="K1940" s="8">
        <f t="shared" ca="1" si="364"/>
        <v>23038</v>
      </c>
      <c r="L1940" s="6">
        <f t="shared" ca="1" si="365"/>
        <v>4</v>
      </c>
      <c r="M1940" s="7">
        <f ca="1" xml:space="preserve">
  IF(OR($N1940 = 2, $N1940 = 3, $N1940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940" s="6">
        <f t="shared" ca="1" si="366"/>
        <v>6</v>
      </c>
      <c r="O1940" s="6" t="e">
        <f t="shared" ca="1" si="367"/>
        <v>#N/A</v>
      </c>
      <c r="P1940" s="8">
        <f t="shared" ca="1" si="368"/>
        <v>38316</v>
      </c>
      <c r="Q1940" s="6">
        <f ca="1">RANDBETWEEN(2,COUNTA('Recruitment source'!$A:$A))</f>
        <v>4</v>
      </c>
      <c r="R1940" s="8" t="e">
        <f t="shared" ca="1" si="369"/>
        <v>#N/A</v>
      </c>
      <c r="S1940" s="6" t="e">
        <f t="shared" ca="1" si="370"/>
        <v>#N/A</v>
      </c>
      <c r="T1940" s="6">
        <f t="shared" ca="1" si="360"/>
        <v>5</v>
      </c>
      <c r="U1940" s="1">
        <f t="shared" ca="1" si="371"/>
        <v>805</v>
      </c>
    </row>
    <row r="1941" spans="1:21" x14ac:dyDescent="0.2">
      <c r="A1941" s="7" cm="1">
        <f t="array" aca="1" ref="A1941" ca="1">INDEX(Companies!$A:$A,RANDBETWEEN(2,COUNTA(Companies!$A:$A)),1)</f>
        <v>2</v>
      </c>
      <c r="B1941" s="5">
        <f t="shared" si="361"/>
        <v>1940</v>
      </c>
      <c r="C1941" s="6">
        <f t="shared" ca="1" si="362"/>
        <v>1</v>
      </c>
      <c r="D1941" s="7">
        <f ca="1">IF($B1941 = 1 + N("Presidente"),
    127,
    IF($B1941 = 2 + N("Vice-Presidente"),
        72,
        IF($B1941 = 3 + N("Secretária bilíngue"),
            13,
            RANDBETWEEN(5,COUNT(Name!$A:$A) + 1)
        )
    )
)</f>
        <v>330</v>
      </c>
      <c r="E1941" s="7" t="str">
        <f ca="1" xml:space="preserve">
VLOOKUP(
  $D1941,
  Name!$A:$B,
  2,
  FALSE
)
&amp; " " &amp;
IF($B1941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Rebecca Nunes Esposito</v>
      </c>
      <c r="F1941" s="7">
        <v>2</v>
      </c>
      <c r="G1941" s="7" cm="1">
        <f t="array" aca="1" ref="G1941" ca="1">INDEX(States!$B:$B,RANDBETWEEN(2,COUNTA(States!$A:$A)),1)</f>
        <v>5</v>
      </c>
      <c r="H1941" s="7" t="str">
        <f ca="1">VLOOKUP($D1941,Name!$A:$C,3,FALSE)</f>
        <v>F</v>
      </c>
      <c r="I1941" s="7" cm="1">
        <f t="array" aca="1" ref="I1941" ca="1">INDEX('Marital status'!$A:$A,RANDBETWEEN(2,COUNTA('Marital status'!$A:$A)),1)</f>
        <v>2</v>
      </c>
      <c r="J1941" s="7">
        <f t="shared" ca="1" si="363"/>
        <v>2</v>
      </c>
      <c r="K1941" s="8">
        <f t="shared" ca="1" si="364"/>
        <v>35872</v>
      </c>
      <c r="L1941" s="6">
        <f t="shared" ca="1" si="365"/>
        <v>5</v>
      </c>
      <c r="M1941" s="7">
        <f ca="1" xml:space="preserve">
  IF(OR($N1941 = 2, $N1941 = 3, $N1941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941" s="6">
        <f t="shared" ca="1" si="366"/>
        <v>8</v>
      </c>
      <c r="O1941" s="6">
        <f t="shared" ca="1" si="367"/>
        <v>3</v>
      </c>
      <c r="P1941" s="8">
        <f t="shared" ca="1" si="368"/>
        <v>36346</v>
      </c>
      <c r="Q1941" s="6">
        <f ca="1">RANDBETWEEN(2,COUNTA('Recruitment source'!$A:$A))</f>
        <v>4</v>
      </c>
      <c r="R1941" s="8" t="e">
        <f t="shared" ca="1" si="369"/>
        <v>#N/A</v>
      </c>
      <c r="S1941" s="6" t="e">
        <f t="shared" ca="1" si="370"/>
        <v>#N/A</v>
      </c>
      <c r="T1941" s="6">
        <f t="shared" ca="1" si="360"/>
        <v>4</v>
      </c>
      <c r="U1941" s="1">
        <f t="shared" ca="1" si="371"/>
        <v>2080</v>
      </c>
    </row>
    <row r="1942" spans="1:21" x14ac:dyDescent="0.2">
      <c r="A1942" s="7" cm="1">
        <f t="array" aca="1" ref="A1942" ca="1">INDEX(Companies!$A:$A,RANDBETWEEN(2,COUNTA(Companies!$A:$A)),1)</f>
        <v>2</v>
      </c>
      <c r="B1942" s="5">
        <f t="shared" si="361"/>
        <v>1941</v>
      </c>
      <c r="C1942" s="6">
        <f t="shared" ca="1" si="362"/>
        <v>1</v>
      </c>
      <c r="D1942" s="7">
        <f ca="1">IF($B1942 = 1 + N("Presidente"),
    127,
    IF($B1942 = 2 + N("Vice-Presidente"),
        72,
        IF($B1942 = 3 + N("Secretária bilíngue"),
            13,
            RANDBETWEEN(5,COUNT(Name!$A:$A) + 1)
        )
    )
)</f>
        <v>242</v>
      </c>
      <c r="E1942" s="7" t="str">
        <f ca="1" xml:space="preserve">
VLOOKUP(
  $D1942,
  Name!$A:$B,
  2,
  FALSE
)
&amp; " " &amp;
IF($B1942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Luisa Barboza Rizzo</v>
      </c>
      <c r="F1942" s="7">
        <v>2</v>
      </c>
      <c r="G1942" s="7" cm="1">
        <f t="array" aca="1" ref="G1942" ca="1">INDEX(States!$B:$B,RANDBETWEEN(2,COUNTA(States!$A:$A)),1)</f>
        <v>20</v>
      </c>
      <c r="H1942" s="7" t="str">
        <f ca="1">VLOOKUP($D1942,Name!$A:$C,3,FALSE)</f>
        <v>F</v>
      </c>
      <c r="I1942" s="7" cm="1">
        <f t="array" aca="1" ref="I1942" ca="1">INDEX('Marital status'!$A:$A,RANDBETWEEN(2,COUNTA('Marital status'!$A:$A)),1)</f>
        <v>6</v>
      </c>
      <c r="J1942" s="7">
        <f t="shared" ca="1" si="363"/>
        <v>2</v>
      </c>
      <c r="K1942" s="8">
        <f t="shared" ca="1" si="364"/>
        <v>30388</v>
      </c>
      <c r="L1942" s="6">
        <f t="shared" ca="1" si="365"/>
        <v>4</v>
      </c>
      <c r="M1942" s="7">
        <f ca="1" xml:space="preserve">
  IF(OR($N1942 = 2, $N1942 = 3, $N1942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942" s="6">
        <f t="shared" ca="1" si="366"/>
        <v>6</v>
      </c>
      <c r="O1942" s="6" t="e">
        <f t="shared" ca="1" si="367"/>
        <v>#N/A</v>
      </c>
      <c r="P1942" s="8">
        <f t="shared" ca="1" si="368"/>
        <v>43495</v>
      </c>
      <c r="Q1942" s="6">
        <f ca="1">RANDBETWEEN(2,COUNTA('Recruitment source'!$A:$A))</f>
        <v>9</v>
      </c>
      <c r="R1942" s="8" t="e">
        <f t="shared" ca="1" si="369"/>
        <v>#N/A</v>
      </c>
      <c r="S1942" s="6" t="e">
        <f t="shared" ca="1" si="370"/>
        <v>#N/A</v>
      </c>
      <c r="T1942" s="6">
        <f t="shared" ca="1" si="360"/>
        <v>3</v>
      </c>
      <c r="U1942" s="1">
        <f t="shared" ca="1" si="371"/>
        <v>805</v>
      </c>
    </row>
    <row r="1943" spans="1:21" x14ac:dyDescent="0.2">
      <c r="A1943" s="7" cm="1">
        <f t="array" aca="1" ref="A1943" ca="1">INDEX(Companies!$A:$A,RANDBETWEEN(2,COUNTA(Companies!$A:$A)),1)</f>
        <v>2</v>
      </c>
      <c r="B1943" s="5">
        <f t="shared" si="361"/>
        <v>1942</v>
      </c>
      <c r="C1943" s="6">
        <f t="shared" ca="1" si="362"/>
        <v>1</v>
      </c>
      <c r="D1943" s="7">
        <f ca="1">IF($B1943 = 1 + N("Presidente"),
    127,
    IF($B1943 = 2 + N("Vice-Presidente"),
        72,
        IF($B1943 = 3 + N("Secretária bilíngue"),
            13,
            RANDBETWEEN(5,COUNT(Name!$A:$A) + 1)
        )
    )
)</f>
        <v>196</v>
      </c>
      <c r="E1943" s="7" t="str">
        <f ca="1" xml:space="preserve">
VLOOKUP(
  $D1943,
  Name!$A:$B,
  2,
  FALSE
)
&amp; " " &amp;
IF($B1943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Jonathan Romano Malafaia</v>
      </c>
      <c r="F1943" s="7">
        <v>2</v>
      </c>
      <c r="G1943" s="7" cm="1">
        <f t="array" aca="1" ref="G1943" ca="1">INDEX(States!$B:$B,RANDBETWEEN(2,COUNTA(States!$A:$A)),1)</f>
        <v>6</v>
      </c>
      <c r="H1943" s="7" t="str">
        <f ca="1">VLOOKUP($D1943,Name!$A:$C,3,FALSE)</f>
        <v>M</v>
      </c>
      <c r="I1943" s="7" cm="1">
        <f t="array" aca="1" ref="I1943" ca="1">INDEX('Marital status'!$A:$A,RANDBETWEEN(2,COUNTA('Marital status'!$A:$A)),1)</f>
        <v>3</v>
      </c>
      <c r="J1943" s="7">
        <f t="shared" ca="1" si="363"/>
        <v>2</v>
      </c>
      <c r="K1943" s="8">
        <f t="shared" ca="1" si="364"/>
        <v>34490</v>
      </c>
      <c r="L1943" s="6">
        <f t="shared" ca="1" si="365"/>
        <v>5</v>
      </c>
      <c r="M1943" s="7">
        <f ca="1" xml:space="preserve">
  IF(OR($N1943 = 2, $N1943 = 3, $N1943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943" s="6">
        <f t="shared" ca="1" si="366"/>
        <v>8</v>
      </c>
      <c r="O1943" s="6">
        <f t="shared" ca="1" si="367"/>
        <v>3</v>
      </c>
      <c r="P1943" s="8">
        <f t="shared" ca="1" si="368"/>
        <v>38759</v>
      </c>
      <c r="Q1943" s="6">
        <f ca="1">RANDBETWEEN(2,COUNTA('Recruitment source'!$A:$A))</f>
        <v>5</v>
      </c>
      <c r="R1943" s="8" t="e">
        <f t="shared" ca="1" si="369"/>
        <v>#N/A</v>
      </c>
      <c r="S1943" s="6" t="e">
        <f t="shared" ca="1" si="370"/>
        <v>#N/A</v>
      </c>
      <c r="T1943" s="6">
        <f t="shared" ca="1" si="360"/>
        <v>3</v>
      </c>
      <c r="U1943" s="1">
        <f t="shared" ca="1" si="371"/>
        <v>2000</v>
      </c>
    </row>
    <row r="1944" spans="1:21" x14ac:dyDescent="0.2">
      <c r="A1944" s="7" cm="1">
        <f t="array" aca="1" ref="A1944" ca="1">INDEX(Companies!$A:$A,RANDBETWEEN(2,COUNTA(Companies!$A:$A)),1)</f>
        <v>2</v>
      </c>
      <c r="B1944" s="5">
        <f t="shared" si="361"/>
        <v>1943</v>
      </c>
      <c r="C1944" s="6">
        <f t="shared" ca="1" si="362"/>
        <v>1</v>
      </c>
      <c r="D1944" s="7">
        <f ca="1">IF($B1944 = 1 + N("Presidente"),
    127,
    IF($B1944 = 2 + N("Vice-Presidente"),
        72,
        IF($B1944 = 3 + N("Secretária bilíngue"),
            13,
            RANDBETWEEN(5,COUNT(Name!$A:$A) + 1)
        )
    )
)</f>
        <v>286</v>
      </c>
      <c r="E1944" s="7" t="str">
        <f ca="1" xml:space="preserve">
VLOOKUP(
  $D1944,
  Name!$A:$B,
  2,
  FALSE
)
&amp; " " &amp;
IF($B1944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Mateus Mazza Gonçalves</v>
      </c>
      <c r="F1944" s="7">
        <v>2</v>
      </c>
      <c r="G1944" s="7" cm="1">
        <f t="array" aca="1" ref="G1944" ca="1">INDEX(States!$B:$B,RANDBETWEEN(2,COUNTA(States!$A:$A)),1)</f>
        <v>9</v>
      </c>
      <c r="H1944" s="7" t="str">
        <f ca="1">VLOOKUP($D1944,Name!$A:$C,3,FALSE)</f>
        <v>M</v>
      </c>
      <c r="I1944" s="7" cm="1">
        <f t="array" aca="1" ref="I1944" ca="1">INDEX('Marital status'!$A:$A,RANDBETWEEN(2,COUNTA('Marital status'!$A:$A)),1)</f>
        <v>4</v>
      </c>
      <c r="J1944" s="7">
        <f t="shared" ca="1" si="363"/>
        <v>2</v>
      </c>
      <c r="K1944" s="8">
        <f t="shared" ca="1" si="364"/>
        <v>18634</v>
      </c>
      <c r="L1944" s="6">
        <f t="shared" ca="1" si="365"/>
        <v>4</v>
      </c>
      <c r="M1944" s="7">
        <f ca="1" xml:space="preserve">
  IF(OR($N1944 = 2, $N1944 = 3, $N1944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944" s="6">
        <f t="shared" ca="1" si="366"/>
        <v>6</v>
      </c>
      <c r="O1944" s="6" t="e">
        <f t="shared" ca="1" si="367"/>
        <v>#N/A</v>
      </c>
      <c r="P1944" s="8">
        <f t="shared" ca="1" si="368"/>
        <v>43062</v>
      </c>
      <c r="Q1944" s="6">
        <f ca="1">RANDBETWEEN(2,COUNTA('Recruitment source'!$A:$A))</f>
        <v>10</v>
      </c>
      <c r="R1944" s="8" t="e">
        <f t="shared" ca="1" si="369"/>
        <v>#N/A</v>
      </c>
      <c r="S1944" s="6" t="e">
        <f t="shared" ca="1" si="370"/>
        <v>#N/A</v>
      </c>
      <c r="T1944" s="6">
        <f t="shared" ca="1" si="360"/>
        <v>3</v>
      </c>
      <c r="U1944" s="1">
        <f t="shared" ca="1" si="371"/>
        <v>805</v>
      </c>
    </row>
    <row r="1945" spans="1:21" x14ac:dyDescent="0.2">
      <c r="A1945" s="7" cm="1">
        <f t="array" aca="1" ref="A1945" ca="1">INDEX(Companies!$A:$A,RANDBETWEEN(2,COUNTA(Companies!$A:$A)),1)</f>
        <v>2</v>
      </c>
      <c r="B1945" s="5">
        <f t="shared" si="361"/>
        <v>1944</v>
      </c>
      <c r="C1945" s="6">
        <f t="shared" ca="1" si="362"/>
        <v>1</v>
      </c>
      <c r="D1945" s="7">
        <f ca="1">IF($B1945 = 1 + N("Presidente"),
    127,
    IF($B1945 = 2 + N("Vice-Presidente"),
        72,
        IF($B1945 = 3 + N("Secretária bilíngue"),
            13,
            RANDBETWEEN(5,COUNT(Name!$A:$A) + 1)
        )
    )
)</f>
        <v>267</v>
      </c>
      <c r="E1945" s="7" t="str">
        <f ca="1" xml:space="preserve">
VLOOKUP(
  $D1945,
  Name!$A:$B,
  2,
  FALSE
)
&amp; " " &amp;
IF($B1945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Heloísa Ferreira Bianchi</v>
      </c>
      <c r="F1945" s="7">
        <v>2</v>
      </c>
      <c r="G1945" s="7" cm="1">
        <f t="array" aca="1" ref="G1945" ca="1">INDEX(States!$B:$B,RANDBETWEEN(2,COUNTA(States!$A:$A)),1)</f>
        <v>14</v>
      </c>
      <c r="H1945" s="7" t="str">
        <f ca="1">VLOOKUP($D1945,Name!$A:$C,3,FALSE)</f>
        <v>F</v>
      </c>
      <c r="I1945" s="7" cm="1">
        <f t="array" aca="1" ref="I1945" ca="1">INDEX('Marital status'!$A:$A,RANDBETWEEN(2,COUNTA('Marital status'!$A:$A)),1)</f>
        <v>2</v>
      </c>
      <c r="J1945" s="7">
        <f t="shared" ca="1" si="363"/>
        <v>2</v>
      </c>
      <c r="K1945" s="8">
        <f t="shared" ca="1" si="364"/>
        <v>35822</v>
      </c>
      <c r="L1945" s="6">
        <f t="shared" ca="1" si="365"/>
        <v>5</v>
      </c>
      <c r="M1945" s="7">
        <f ca="1" xml:space="preserve">
  IF(OR($N1945 = 2, $N1945 = 3, $N1945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945" s="6">
        <f t="shared" ca="1" si="366"/>
        <v>8</v>
      </c>
      <c r="O1945" s="6">
        <f t="shared" ca="1" si="367"/>
        <v>3</v>
      </c>
      <c r="P1945" s="8">
        <f t="shared" ca="1" si="368"/>
        <v>37857</v>
      </c>
      <c r="Q1945" s="6">
        <f ca="1">RANDBETWEEN(2,COUNTA('Recruitment source'!$A:$A))</f>
        <v>12</v>
      </c>
      <c r="R1945" s="8" t="e">
        <f t="shared" ca="1" si="369"/>
        <v>#N/A</v>
      </c>
      <c r="S1945" s="6" t="e">
        <f t="shared" ca="1" si="370"/>
        <v>#N/A</v>
      </c>
      <c r="T1945" s="6">
        <f t="shared" ca="1" si="360"/>
        <v>5</v>
      </c>
      <c r="U1945" s="1">
        <f t="shared" ca="1" si="371"/>
        <v>2000</v>
      </c>
    </row>
    <row r="1946" spans="1:21" x14ac:dyDescent="0.2">
      <c r="A1946" s="7" cm="1">
        <f t="array" aca="1" ref="A1946" ca="1">INDEX(Companies!$A:$A,RANDBETWEEN(2,COUNTA(Companies!$A:$A)),1)</f>
        <v>2</v>
      </c>
      <c r="B1946" s="5">
        <f t="shared" si="361"/>
        <v>1945</v>
      </c>
      <c r="C1946" s="6">
        <f t="shared" ca="1" si="362"/>
        <v>1</v>
      </c>
      <c r="D1946" s="7">
        <f ca="1">IF($B1946 = 1 + N("Presidente"),
    127,
    IF($B1946 = 2 + N("Vice-Presidente"),
        72,
        IF($B1946 = 3 + N("Secretária bilíngue"),
            13,
            RANDBETWEEN(5,COUNT(Name!$A:$A) + 1)
        )
    )
)</f>
        <v>224</v>
      </c>
      <c r="E1946" s="7" t="str">
        <f ca="1" xml:space="preserve">
VLOOKUP(
  $D1946,
  Name!$A:$B,
  2,
  FALSE
)
&amp; " " &amp;
IF($B1946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Letícia Santacruz Chaves</v>
      </c>
      <c r="F1946" s="7">
        <v>2</v>
      </c>
      <c r="G1946" s="7" cm="1">
        <f t="array" aca="1" ref="G1946" ca="1">INDEX(States!$B:$B,RANDBETWEEN(2,COUNTA(States!$A:$A)),1)</f>
        <v>12</v>
      </c>
      <c r="H1946" s="7" t="str">
        <f ca="1">VLOOKUP($D1946,Name!$A:$C,3,FALSE)</f>
        <v>F</v>
      </c>
      <c r="I1946" s="7" cm="1">
        <f t="array" aca="1" ref="I1946" ca="1">INDEX('Marital status'!$A:$A,RANDBETWEEN(2,COUNTA('Marital status'!$A:$A)),1)</f>
        <v>6</v>
      </c>
      <c r="J1946" s="7">
        <f t="shared" ca="1" si="363"/>
        <v>3</v>
      </c>
      <c r="K1946" s="8">
        <f t="shared" ca="1" si="364"/>
        <v>29127</v>
      </c>
      <c r="L1946" s="6">
        <f t="shared" ca="1" si="365"/>
        <v>4</v>
      </c>
      <c r="M1946" s="7">
        <f ca="1" xml:space="preserve">
  IF(OR($N1946 = 2, $N1946 = 3, $N1946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946" s="6">
        <f t="shared" ca="1" si="366"/>
        <v>7</v>
      </c>
      <c r="O1946" s="6" t="e">
        <f t="shared" ca="1" si="367"/>
        <v>#N/A</v>
      </c>
      <c r="P1946" s="8">
        <f t="shared" ca="1" si="368"/>
        <v>38330</v>
      </c>
      <c r="Q1946" s="6">
        <f ca="1">RANDBETWEEN(2,COUNTA('Recruitment source'!$A:$A))</f>
        <v>6</v>
      </c>
      <c r="R1946" s="8" t="e">
        <f t="shared" ca="1" si="369"/>
        <v>#N/A</v>
      </c>
      <c r="S1946" s="6" t="e">
        <f t="shared" ca="1" si="370"/>
        <v>#N/A</v>
      </c>
      <c r="T1946" s="6">
        <f t="shared" ca="1" si="360"/>
        <v>3</v>
      </c>
      <c r="U1946" s="1">
        <f t="shared" ca="1" si="371"/>
        <v>1005</v>
      </c>
    </row>
    <row r="1947" spans="1:21" x14ac:dyDescent="0.2">
      <c r="A1947" s="7" cm="1">
        <f t="array" aca="1" ref="A1947" ca="1">INDEX(Companies!$A:$A,RANDBETWEEN(2,COUNTA(Companies!$A:$A)),1)</f>
        <v>2</v>
      </c>
      <c r="B1947" s="5">
        <f t="shared" si="361"/>
        <v>1946</v>
      </c>
      <c r="C1947" s="6">
        <f t="shared" ca="1" si="362"/>
        <v>1</v>
      </c>
      <c r="D1947" s="7">
        <f ca="1">IF($B1947 = 1 + N("Presidente"),
    127,
    IF($B1947 = 2 + N("Vice-Presidente"),
        72,
        IF($B1947 = 3 + N("Secretária bilíngue"),
            13,
            RANDBETWEEN(5,COUNT(Name!$A:$A) + 1)
        )
    )
)</f>
        <v>285</v>
      </c>
      <c r="E1947" s="7" t="str">
        <f ca="1" xml:space="preserve">
VLOOKUP(
  $D1947,
  Name!$A:$B,
  2,
  FALSE
)
&amp; " " &amp;
IF($B1947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Martin Fernandes Soares</v>
      </c>
      <c r="F1947" s="7">
        <v>2</v>
      </c>
      <c r="G1947" s="7" cm="1">
        <f t="array" aca="1" ref="G1947" ca="1">INDEX(States!$B:$B,RANDBETWEEN(2,COUNTA(States!$A:$A)),1)</f>
        <v>10</v>
      </c>
      <c r="H1947" s="7" t="str">
        <f ca="1">VLOOKUP($D1947,Name!$A:$C,3,FALSE)</f>
        <v>M</v>
      </c>
      <c r="I1947" s="7" cm="1">
        <f t="array" aca="1" ref="I1947" ca="1">INDEX('Marital status'!$A:$A,RANDBETWEEN(2,COUNTA('Marital status'!$A:$A)),1)</f>
        <v>3</v>
      </c>
      <c r="J1947" s="7">
        <f t="shared" ca="1" si="363"/>
        <v>4</v>
      </c>
      <c r="K1947" s="8">
        <f t="shared" ca="1" si="364"/>
        <v>35117</v>
      </c>
      <c r="L1947" s="6">
        <f t="shared" ca="1" si="365"/>
        <v>4</v>
      </c>
      <c r="M1947" s="7">
        <f ca="1" xml:space="preserve">
  IF(OR($N1947 = 2, $N1947 = 3, $N1947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947" s="6">
        <f t="shared" ca="1" si="366"/>
        <v>8</v>
      </c>
      <c r="O1947" s="6">
        <f t="shared" ca="1" si="367"/>
        <v>4</v>
      </c>
      <c r="P1947" s="8">
        <f t="shared" ca="1" si="368"/>
        <v>42643</v>
      </c>
      <c r="Q1947" s="6">
        <f ca="1">RANDBETWEEN(2,COUNTA('Recruitment source'!$A:$A))</f>
        <v>3</v>
      </c>
      <c r="R1947" s="8" t="e">
        <f t="shared" ca="1" si="369"/>
        <v>#N/A</v>
      </c>
      <c r="S1947" s="6" t="e">
        <f t="shared" ca="1" si="370"/>
        <v>#N/A</v>
      </c>
      <c r="T1947" s="6">
        <f t="shared" ca="1" si="360"/>
        <v>2</v>
      </c>
      <c r="U1947" s="1">
        <f t="shared" ca="1" si="371"/>
        <v>2050</v>
      </c>
    </row>
    <row r="1948" spans="1:21" x14ac:dyDescent="0.2">
      <c r="A1948" s="7" cm="1">
        <f t="array" aca="1" ref="A1948" ca="1">INDEX(Companies!$A:$A,RANDBETWEEN(2,COUNTA(Companies!$A:$A)),1)</f>
        <v>2</v>
      </c>
      <c r="B1948" s="5">
        <f t="shared" si="361"/>
        <v>1947</v>
      </c>
      <c r="C1948" s="6">
        <f t="shared" ca="1" si="362"/>
        <v>1</v>
      </c>
      <c r="D1948" s="7">
        <f ca="1">IF($B1948 = 1 + N("Presidente"),
    127,
    IF($B1948 = 2 + N("Vice-Presidente"),
        72,
        IF($B1948 = 3 + N("Secretária bilíngue"),
            13,
            RANDBETWEEN(5,COUNT(Name!$A:$A) + 1)
        )
    )
)</f>
        <v>337</v>
      </c>
      <c r="E1948" s="7" t="str">
        <f ca="1" xml:space="preserve">
VLOOKUP(
  $D1948,
  Name!$A:$B,
  2,
  FALSE
)
&amp; " " &amp;
IF($B1948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Sarah Silva Café</v>
      </c>
      <c r="F1948" s="7">
        <v>2</v>
      </c>
      <c r="G1948" s="7" cm="1">
        <f t="array" aca="1" ref="G1948" ca="1">INDEX(States!$B:$B,RANDBETWEEN(2,COUNTA(States!$A:$A)),1)</f>
        <v>9</v>
      </c>
      <c r="H1948" s="7" t="str">
        <f ca="1">VLOOKUP($D1948,Name!$A:$C,3,FALSE)</f>
        <v>F</v>
      </c>
      <c r="I1948" s="7" cm="1">
        <f t="array" aca="1" ref="I1948" ca="1">INDEX('Marital status'!$A:$A,RANDBETWEEN(2,COUNTA('Marital status'!$A:$A)),1)</f>
        <v>5</v>
      </c>
      <c r="J1948" s="7">
        <f t="shared" ca="1" si="363"/>
        <v>2</v>
      </c>
      <c r="K1948" s="8">
        <f t="shared" ca="1" si="364"/>
        <v>18220</v>
      </c>
      <c r="L1948" s="6">
        <f t="shared" ca="1" si="365"/>
        <v>4</v>
      </c>
      <c r="M1948" s="7">
        <f ca="1" xml:space="preserve">
  IF(OR($N1948 = 2, $N1948 = 3, $N1948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948" s="6">
        <f t="shared" ca="1" si="366"/>
        <v>6</v>
      </c>
      <c r="O1948" s="6" t="e">
        <f t="shared" ca="1" si="367"/>
        <v>#N/A</v>
      </c>
      <c r="P1948" s="8">
        <f t="shared" ca="1" si="368"/>
        <v>40450</v>
      </c>
      <c r="Q1948" s="6">
        <f ca="1">RANDBETWEEN(2,COUNTA('Recruitment source'!$A:$A))</f>
        <v>11</v>
      </c>
      <c r="R1948" s="8" t="e">
        <f t="shared" ca="1" si="369"/>
        <v>#N/A</v>
      </c>
      <c r="S1948" s="6" t="e">
        <f t="shared" ca="1" si="370"/>
        <v>#N/A</v>
      </c>
      <c r="T1948" s="6">
        <f t="shared" ca="1" si="360"/>
        <v>4</v>
      </c>
      <c r="U1948" s="1">
        <f t="shared" ca="1" si="371"/>
        <v>805</v>
      </c>
    </row>
    <row r="1949" spans="1:21" x14ac:dyDescent="0.2">
      <c r="A1949" s="7" cm="1">
        <f t="array" aca="1" ref="A1949" ca="1">INDEX(Companies!$A:$A,RANDBETWEEN(2,COUNTA(Companies!$A:$A)),1)</f>
        <v>2</v>
      </c>
      <c r="B1949" s="5">
        <f t="shared" si="361"/>
        <v>1948</v>
      </c>
      <c r="C1949" s="6">
        <f t="shared" ca="1" si="362"/>
        <v>1</v>
      </c>
      <c r="D1949" s="7">
        <f ca="1">IF($B1949 = 1 + N("Presidente"),
    127,
    IF($B1949 = 2 + N("Vice-Presidente"),
        72,
        IF($B1949 = 3 + N("Secretária bilíngue"),
            13,
            RANDBETWEEN(5,COUNT(Name!$A:$A) + 1)
        )
    )
)</f>
        <v>295</v>
      </c>
      <c r="E1949" s="7" t="str">
        <f ca="1" xml:space="preserve">
VLOOKUP(
  $D1949,
  Name!$A:$B,
  2,
  FALSE
)
&amp; " " &amp;
IF($B1949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 Fernandes Alvaregna</v>
      </c>
      <c r="F1949" s="7">
        <v>2</v>
      </c>
      <c r="G1949" s="7" cm="1">
        <f t="array" aca="1" ref="G1949" ca="1">INDEX(States!$B:$B,RANDBETWEEN(2,COUNTA(States!$A:$A)),1)</f>
        <v>14</v>
      </c>
      <c r="H1949" s="7" t="str">
        <f ca="1">VLOOKUP($D1949,Name!$A:$C,3,FALSE)</f>
        <v>M</v>
      </c>
      <c r="I1949" s="7" cm="1">
        <f t="array" aca="1" ref="I1949" ca="1">INDEX('Marital status'!$A:$A,RANDBETWEEN(2,COUNTA('Marital status'!$A:$A)),1)</f>
        <v>4</v>
      </c>
      <c r="J1949" s="7">
        <f t="shared" ca="1" si="363"/>
        <v>2</v>
      </c>
      <c r="K1949" s="8">
        <f t="shared" ca="1" si="364"/>
        <v>37180</v>
      </c>
      <c r="L1949" s="6">
        <f t="shared" ca="1" si="365"/>
        <v>4</v>
      </c>
      <c r="M1949" s="7">
        <f ca="1" xml:space="preserve">
  IF(OR($N1949 = 2, $N1949 = 3, $N1949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949" s="6">
        <f t="shared" ca="1" si="366"/>
        <v>8</v>
      </c>
      <c r="O1949" s="6">
        <f t="shared" ca="1" si="367"/>
        <v>3</v>
      </c>
      <c r="P1949" s="8">
        <f t="shared" ca="1" si="368"/>
        <v>36198</v>
      </c>
      <c r="Q1949" s="6">
        <f ca="1">RANDBETWEEN(2,COUNTA('Recruitment source'!$A:$A))</f>
        <v>7</v>
      </c>
      <c r="R1949" s="8" t="e">
        <f t="shared" ca="1" si="369"/>
        <v>#N/A</v>
      </c>
      <c r="S1949" s="6" t="e">
        <f t="shared" ca="1" si="370"/>
        <v>#N/A</v>
      </c>
      <c r="T1949" s="6">
        <f t="shared" ca="1" si="360"/>
        <v>5</v>
      </c>
      <c r="U1949" s="1">
        <f t="shared" ca="1" si="371"/>
        <v>2000</v>
      </c>
    </row>
    <row r="1950" spans="1:21" x14ac:dyDescent="0.2">
      <c r="A1950" s="7" cm="1">
        <f t="array" aca="1" ref="A1950" ca="1">INDEX(Companies!$A:$A,RANDBETWEEN(2,COUNTA(Companies!$A:$A)),1)</f>
        <v>2</v>
      </c>
      <c r="B1950" s="5">
        <f t="shared" si="361"/>
        <v>1949</v>
      </c>
      <c r="C1950" s="6">
        <f t="shared" ca="1" si="362"/>
        <v>1</v>
      </c>
      <c r="D1950" s="7">
        <f ca="1">IF($B1950 = 1 + N("Presidente"),
    127,
    IF($B1950 = 2 + N("Vice-Presidente"),
        72,
        IF($B1950 = 3 + N("Secretária bilíngue"),
            13,
            RANDBETWEEN(5,COUNT(Name!$A:$A) + 1)
        )
    )
)</f>
        <v>305</v>
      </c>
      <c r="E1950" s="7" t="str">
        <f ca="1" xml:space="preserve">
VLOOKUP(
  $D1950,
  Name!$A:$B,
  2,
  FALSE
)
&amp; " " &amp;
IF($B1950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Nathan Santana Frasão</v>
      </c>
      <c r="F1950" s="7">
        <v>2</v>
      </c>
      <c r="G1950" s="7" cm="1">
        <f t="array" aca="1" ref="G1950" ca="1">INDEX(States!$B:$B,RANDBETWEEN(2,COUNTA(States!$A:$A)),1)</f>
        <v>18</v>
      </c>
      <c r="H1950" s="7" t="str">
        <f ca="1">VLOOKUP($D1950,Name!$A:$C,3,FALSE)</f>
        <v>M</v>
      </c>
      <c r="I1950" s="7" cm="1">
        <f t="array" aca="1" ref="I1950" ca="1">INDEX('Marital status'!$A:$A,RANDBETWEEN(2,COUNTA('Marital status'!$A:$A)),1)</f>
        <v>3</v>
      </c>
      <c r="J1950" s="7">
        <f t="shared" ca="1" si="363"/>
        <v>2</v>
      </c>
      <c r="K1950" s="8">
        <f t="shared" ca="1" si="364"/>
        <v>26306</v>
      </c>
      <c r="L1950" s="6">
        <f t="shared" ca="1" si="365"/>
        <v>4</v>
      </c>
      <c r="M1950" s="7">
        <f ca="1" xml:space="preserve">
  IF(OR($N1950 = 2, $N1950 = 3, $N1950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950" s="6">
        <f t="shared" ca="1" si="366"/>
        <v>6</v>
      </c>
      <c r="O1950" s="6" t="e">
        <f t="shared" ca="1" si="367"/>
        <v>#N/A</v>
      </c>
      <c r="P1950" s="8">
        <f t="shared" ca="1" si="368"/>
        <v>41621</v>
      </c>
      <c r="Q1950" s="6">
        <f ca="1">RANDBETWEEN(2,COUNTA('Recruitment source'!$A:$A))</f>
        <v>10</v>
      </c>
      <c r="R1950" s="8" t="e">
        <f t="shared" ca="1" si="369"/>
        <v>#N/A</v>
      </c>
      <c r="S1950" s="6" t="e">
        <f t="shared" ca="1" si="370"/>
        <v>#N/A</v>
      </c>
      <c r="T1950" s="6">
        <f t="shared" ca="1" si="360"/>
        <v>5</v>
      </c>
      <c r="U1950" s="1">
        <f t="shared" ca="1" si="371"/>
        <v>885</v>
      </c>
    </row>
    <row r="1951" spans="1:21" x14ac:dyDescent="0.2">
      <c r="A1951" s="7" cm="1">
        <f t="array" aca="1" ref="A1951" ca="1">INDEX(Companies!$A:$A,RANDBETWEEN(2,COUNTA(Companies!$A:$A)),1)</f>
        <v>2</v>
      </c>
      <c r="B1951" s="5">
        <f t="shared" si="361"/>
        <v>1950</v>
      </c>
      <c r="C1951" s="6">
        <f t="shared" ca="1" si="362"/>
        <v>1</v>
      </c>
      <c r="D1951" s="7">
        <f ca="1">IF($B1951 = 1 + N("Presidente"),
    127,
    IF($B1951 = 2 + N("Vice-Presidente"),
        72,
        IF($B1951 = 3 + N("Secretária bilíngue"),
            13,
            RANDBETWEEN(5,COUNT(Name!$A:$A) + 1)
        )
    )
)</f>
        <v>233</v>
      </c>
      <c r="E1951" s="7" t="str">
        <f ca="1" xml:space="preserve">
VLOOKUP(
  $D1951,
  Name!$A:$B,
  2,
  FALSE
)
&amp; " " &amp;
IF($B1951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Lorenzo Augusto Testa Tavarez</v>
      </c>
      <c r="F1951" s="7">
        <v>2</v>
      </c>
      <c r="G1951" s="7" cm="1">
        <f t="array" aca="1" ref="G1951" ca="1">INDEX(States!$B:$B,RANDBETWEEN(2,COUNTA(States!$A:$A)),1)</f>
        <v>20</v>
      </c>
      <c r="H1951" s="7" t="str">
        <f ca="1">VLOOKUP($D1951,Name!$A:$C,3,FALSE)</f>
        <v>M</v>
      </c>
      <c r="I1951" s="7" cm="1">
        <f t="array" aca="1" ref="I1951" ca="1">INDEX('Marital status'!$A:$A,RANDBETWEEN(2,COUNTA('Marital status'!$A:$A)),1)</f>
        <v>6</v>
      </c>
      <c r="J1951" s="7">
        <f t="shared" ca="1" si="363"/>
        <v>2</v>
      </c>
      <c r="K1951" s="8">
        <f t="shared" ca="1" si="364"/>
        <v>37743</v>
      </c>
      <c r="L1951" s="6">
        <f t="shared" ca="1" si="365"/>
        <v>4</v>
      </c>
      <c r="M1951" s="7">
        <f ca="1" xml:space="preserve">
  IF(OR($N1951 = 2, $N1951 = 3, $N1951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951" s="6">
        <f t="shared" ca="1" si="366"/>
        <v>8</v>
      </c>
      <c r="O1951" s="6">
        <f t="shared" ca="1" si="367"/>
        <v>3</v>
      </c>
      <c r="P1951" s="8">
        <f t="shared" ca="1" si="368"/>
        <v>42736</v>
      </c>
      <c r="Q1951" s="6">
        <f ca="1">RANDBETWEEN(2,COUNTA('Recruitment source'!$A:$A))</f>
        <v>6</v>
      </c>
      <c r="R1951" s="8" t="e">
        <f t="shared" ca="1" si="369"/>
        <v>#N/A</v>
      </c>
      <c r="S1951" s="6" t="e">
        <f t="shared" ca="1" si="370"/>
        <v>#N/A</v>
      </c>
      <c r="T1951" s="6">
        <f t="shared" ca="1" si="360"/>
        <v>3</v>
      </c>
      <c r="U1951" s="1">
        <f t="shared" ca="1" si="371"/>
        <v>2000</v>
      </c>
    </row>
    <row r="1952" spans="1:21" x14ac:dyDescent="0.2">
      <c r="A1952" s="7" cm="1">
        <f t="array" aca="1" ref="A1952" ca="1">INDEX(Companies!$A:$A,RANDBETWEEN(2,COUNTA(Companies!$A:$A)),1)</f>
        <v>2</v>
      </c>
      <c r="B1952" s="5">
        <f t="shared" si="361"/>
        <v>1951</v>
      </c>
      <c r="C1952" s="6">
        <f t="shared" ca="1" si="362"/>
        <v>1</v>
      </c>
      <c r="D1952" s="7">
        <f ca="1">IF($B1952 = 1 + N("Presidente"),
    127,
    IF($B1952 = 2 + N("Vice-Presidente"),
        72,
        IF($B1952 = 3 + N("Secretária bilíngue"),
            13,
            RANDBETWEEN(5,COUNT(Name!$A:$A) + 1)
        )
    )
)</f>
        <v>91</v>
      </c>
      <c r="E1952" s="7" t="str">
        <f ca="1" xml:space="preserve">
VLOOKUP(
  $D1952,
  Name!$A:$B,
  2,
  FALSE
)
&amp; " " &amp;
IF($B1952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Cecilia Auth Fernandes</v>
      </c>
      <c r="F1952" s="7">
        <v>2</v>
      </c>
      <c r="G1952" s="7" cm="1">
        <f t="array" aca="1" ref="G1952" ca="1">INDEX(States!$B:$B,RANDBETWEEN(2,COUNTA(States!$A:$A)),1)</f>
        <v>8</v>
      </c>
      <c r="H1952" s="7" t="str">
        <f ca="1">VLOOKUP($D1952,Name!$A:$C,3,FALSE)</f>
        <v>F</v>
      </c>
      <c r="I1952" s="7" cm="1">
        <f t="array" aca="1" ref="I1952" ca="1">INDEX('Marital status'!$A:$A,RANDBETWEEN(2,COUNTA('Marital status'!$A:$A)),1)</f>
        <v>6</v>
      </c>
      <c r="J1952" s="7">
        <f t="shared" ca="1" si="363"/>
        <v>2</v>
      </c>
      <c r="K1952" s="8">
        <f t="shared" ca="1" si="364"/>
        <v>31531</v>
      </c>
      <c r="L1952" s="6">
        <f t="shared" ca="1" si="365"/>
        <v>4</v>
      </c>
      <c r="M1952" s="7">
        <f ca="1" xml:space="preserve">
  IF(OR($N1952 = 2, $N1952 = 3, $N1952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952" s="6">
        <f t="shared" ca="1" si="366"/>
        <v>7</v>
      </c>
      <c r="O1952" s="6" t="e">
        <f t="shared" ca="1" si="367"/>
        <v>#N/A</v>
      </c>
      <c r="P1952" s="8">
        <f t="shared" ca="1" si="368"/>
        <v>43849</v>
      </c>
      <c r="Q1952" s="6">
        <f ca="1">RANDBETWEEN(2,COUNTA('Recruitment source'!$A:$A))</f>
        <v>7</v>
      </c>
      <c r="R1952" s="8" t="e">
        <f t="shared" ca="1" si="369"/>
        <v>#N/A</v>
      </c>
      <c r="S1952" s="6" t="e">
        <f t="shared" ca="1" si="370"/>
        <v>#N/A</v>
      </c>
      <c r="T1952" s="6">
        <f t="shared" ca="1" si="360"/>
        <v>3</v>
      </c>
      <c r="U1952" s="1">
        <f t="shared" ca="1" si="371"/>
        <v>1005</v>
      </c>
    </row>
    <row r="1953" spans="1:21" x14ac:dyDescent="0.2">
      <c r="A1953" s="7" cm="1">
        <f t="array" aca="1" ref="A1953" ca="1">INDEX(Companies!$A:$A,RANDBETWEEN(2,COUNTA(Companies!$A:$A)),1)</f>
        <v>2</v>
      </c>
      <c r="B1953" s="5">
        <f t="shared" si="361"/>
        <v>1952</v>
      </c>
      <c r="C1953" s="6">
        <f t="shared" ca="1" si="362"/>
        <v>1</v>
      </c>
      <c r="D1953" s="7">
        <f ca="1">IF($B1953 = 1 + N("Presidente"),
    127,
    IF($B1953 = 2 + N("Vice-Presidente"),
        72,
        IF($B1953 = 3 + N("Secretária bilíngue"),
            13,
            RANDBETWEEN(5,COUNT(Name!$A:$A) + 1)
        )
    )
)</f>
        <v>310</v>
      </c>
      <c r="E1953" s="7" t="str">
        <f ca="1" xml:space="preserve">
VLOOKUP(
  $D1953,
  Name!$A:$B,
  2,
  FALSE
)
&amp; " " &amp;
IF($B1953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Oliver Campos Peçanha</v>
      </c>
      <c r="F1953" s="7">
        <v>2</v>
      </c>
      <c r="G1953" s="7" cm="1">
        <f t="array" aca="1" ref="G1953" ca="1">INDEX(States!$B:$B,RANDBETWEEN(2,COUNTA(States!$A:$A)),1)</f>
        <v>14</v>
      </c>
      <c r="H1953" s="7" t="str">
        <f ca="1">VLOOKUP($D1953,Name!$A:$C,3,FALSE)</f>
        <v>M</v>
      </c>
      <c r="I1953" s="7" cm="1">
        <f t="array" aca="1" ref="I1953" ca="1">INDEX('Marital status'!$A:$A,RANDBETWEEN(2,COUNTA('Marital status'!$A:$A)),1)</f>
        <v>2</v>
      </c>
      <c r="J1953" s="7">
        <f t="shared" ca="1" si="363"/>
        <v>3</v>
      </c>
      <c r="K1953" s="8">
        <f t="shared" ca="1" si="364"/>
        <v>37123</v>
      </c>
      <c r="L1953" s="6">
        <f t="shared" ca="1" si="365"/>
        <v>5</v>
      </c>
      <c r="M1953" s="7">
        <f ca="1" xml:space="preserve">
  IF(OR($N1953 = 2, $N1953 = 3, $N1953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953" s="6">
        <f t="shared" ca="1" si="366"/>
        <v>8</v>
      </c>
      <c r="O1953" s="6">
        <f t="shared" ca="1" si="367"/>
        <v>3</v>
      </c>
      <c r="P1953" s="8">
        <f t="shared" ca="1" si="368"/>
        <v>40949</v>
      </c>
      <c r="Q1953" s="6">
        <f ca="1">RANDBETWEEN(2,COUNTA('Recruitment source'!$A:$A))</f>
        <v>6</v>
      </c>
      <c r="R1953" s="8" t="e">
        <f t="shared" ca="1" si="369"/>
        <v>#N/A</v>
      </c>
      <c r="S1953" s="6" t="e">
        <f t="shared" ca="1" si="370"/>
        <v>#N/A</v>
      </c>
      <c r="T1953" s="6">
        <f t="shared" ca="1" si="360"/>
        <v>5</v>
      </c>
      <c r="U1953" s="1">
        <f t="shared" ca="1" si="371"/>
        <v>2080</v>
      </c>
    </row>
    <row r="1954" spans="1:21" x14ac:dyDescent="0.2">
      <c r="A1954" s="7" cm="1">
        <f t="array" aca="1" ref="A1954" ca="1">INDEX(Companies!$A:$A,RANDBETWEEN(2,COUNTA(Companies!$A:$A)),1)</f>
        <v>2</v>
      </c>
      <c r="B1954" s="5">
        <f t="shared" si="361"/>
        <v>1953</v>
      </c>
      <c r="C1954" s="6">
        <f t="shared" ca="1" si="362"/>
        <v>1</v>
      </c>
      <c r="D1954" s="7">
        <f ca="1">IF($B1954 = 1 + N("Presidente"),
    127,
    IF($B1954 = 2 + N("Vice-Presidente"),
        72,
        IF($B1954 = 3 + N("Secretária bilíngue"),
            13,
            RANDBETWEEN(5,COUNT(Name!$A:$A) + 1)
        )
    )
)</f>
        <v>167</v>
      </c>
      <c r="E1954" s="7" t="str">
        <f ca="1" xml:space="preserve">
VLOOKUP(
  $D1954,
  Name!$A:$B,
  2,
  FALSE
)
&amp; " " &amp;
IF($B1954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Henrique Carvalho Leone</v>
      </c>
      <c r="F1954" s="7">
        <v>2</v>
      </c>
      <c r="G1954" s="7" cm="1">
        <f t="array" aca="1" ref="G1954" ca="1">INDEX(States!$B:$B,RANDBETWEEN(2,COUNTA(States!$A:$A)),1)</f>
        <v>9</v>
      </c>
      <c r="H1954" s="7" t="str">
        <f ca="1">VLOOKUP($D1954,Name!$A:$C,3,FALSE)</f>
        <v>M</v>
      </c>
      <c r="I1954" s="7" cm="1">
        <f t="array" aca="1" ref="I1954" ca="1">INDEX('Marital status'!$A:$A,RANDBETWEEN(2,COUNTA('Marital status'!$A:$A)),1)</f>
        <v>6</v>
      </c>
      <c r="J1954" s="7">
        <f t="shared" ca="1" si="363"/>
        <v>2</v>
      </c>
      <c r="K1954" s="8">
        <f t="shared" ca="1" si="364"/>
        <v>30194</v>
      </c>
      <c r="L1954" s="6">
        <f t="shared" ca="1" si="365"/>
        <v>4</v>
      </c>
      <c r="M1954" s="7">
        <f ca="1" xml:space="preserve">
  IF(OR($N1954 = 2, $N1954 = 3, $N1954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954" s="6">
        <f t="shared" ca="1" si="366"/>
        <v>7</v>
      </c>
      <c r="O1954" s="6" t="e">
        <f t="shared" ca="1" si="367"/>
        <v>#N/A</v>
      </c>
      <c r="P1954" s="8">
        <f t="shared" ca="1" si="368"/>
        <v>43956</v>
      </c>
      <c r="Q1954" s="6">
        <f ca="1">RANDBETWEEN(2,COUNTA('Recruitment source'!$A:$A))</f>
        <v>9</v>
      </c>
      <c r="R1954" s="8" t="e">
        <f t="shared" ca="1" si="369"/>
        <v>#N/A</v>
      </c>
      <c r="S1954" s="6" t="e">
        <f t="shared" ca="1" si="370"/>
        <v>#N/A</v>
      </c>
      <c r="T1954" s="6">
        <f t="shared" ca="1" si="360"/>
        <v>4</v>
      </c>
      <c r="U1954" s="1">
        <f t="shared" ca="1" si="371"/>
        <v>1005</v>
      </c>
    </row>
    <row r="1955" spans="1:21" x14ac:dyDescent="0.2">
      <c r="A1955" s="7" cm="1">
        <f t="array" aca="1" ref="A1955" ca="1">INDEX(Companies!$A:$A,RANDBETWEEN(2,COUNTA(Companies!$A:$A)),1)</f>
        <v>2</v>
      </c>
      <c r="B1955" s="5">
        <f t="shared" si="361"/>
        <v>1954</v>
      </c>
      <c r="C1955" s="6">
        <f t="shared" ca="1" si="362"/>
        <v>1</v>
      </c>
      <c r="D1955" s="7">
        <f ca="1">IF($B1955 = 1 + N("Presidente"),
    127,
    IF($B1955 = 2 + N("Vice-Presidente"),
        72,
        IF($B1955 = 3 + N("Secretária bilíngue"),
            13,
            RANDBETWEEN(5,COUNT(Name!$A:$A) + 1)
        )
    )
)</f>
        <v>74</v>
      </c>
      <c r="E1955" s="7" t="str">
        <f ca="1" xml:space="preserve">
VLOOKUP(
  $D1955,
  Name!$A:$B,
  2,
  FALSE
)
&amp; " " &amp;
IF($B1955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Brenda Castro Araújo</v>
      </c>
      <c r="F1955" s="7">
        <v>2</v>
      </c>
      <c r="G1955" s="7" cm="1">
        <f t="array" aca="1" ref="G1955" ca="1">INDEX(States!$B:$B,RANDBETWEEN(2,COUNTA(States!$A:$A)),1)</f>
        <v>12</v>
      </c>
      <c r="H1955" s="7" t="str">
        <f ca="1">VLOOKUP($D1955,Name!$A:$C,3,FALSE)</f>
        <v>F</v>
      </c>
      <c r="I1955" s="7" cm="1">
        <f t="array" aca="1" ref="I1955" ca="1">INDEX('Marital status'!$A:$A,RANDBETWEEN(2,COUNTA('Marital status'!$A:$A)),1)</f>
        <v>2</v>
      </c>
      <c r="J1955" s="7">
        <f t="shared" ca="1" si="363"/>
        <v>2</v>
      </c>
      <c r="K1955" s="8">
        <f t="shared" ca="1" si="364"/>
        <v>37112</v>
      </c>
      <c r="L1955" s="6">
        <f t="shared" ca="1" si="365"/>
        <v>4</v>
      </c>
      <c r="M1955" s="7">
        <f ca="1" xml:space="preserve">
  IF(OR($N1955 = 2, $N1955 = 3, $N1955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955" s="6">
        <f t="shared" ca="1" si="366"/>
        <v>8</v>
      </c>
      <c r="O1955" s="6">
        <f t="shared" ca="1" si="367"/>
        <v>3</v>
      </c>
      <c r="P1955" s="8">
        <f t="shared" ca="1" si="368"/>
        <v>39908</v>
      </c>
      <c r="Q1955" s="6">
        <f ca="1">RANDBETWEEN(2,COUNTA('Recruitment source'!$A:$A))</f>
        <v>8</v>
      </c>
      <c r="R1955" s="8" t="e">
        <f t="shared" ca="1" si="369"/>
        <v>#N/A</v>
      </c>
      <c r="S1955" s="6" t="e">
        <f t="shared" ca="1" si="370"/>
        <v>#N/A</v>
      </c>
      <c r="T1955" s="6">
        <f t="shared" ca="1" si="360"/>
        <v>2</v>
      </c>
      <c r="U1955" s="1">
        <f t="shared" ca="1" si="371"/>
        <v>2000</v>
      </c>
    </row>
    <row r="1956" spans="1:21" x14ac:dyDescent="0.2">
      <c r="A1956" s="7" cm="1">
        <f t="array" aca="1" ref="A1956" ca="1">INDEX(Companies!$A:$A,RANDBETWEEN(2,COUNTA(Companies!$A:$A)),1)</f>
        <v>2</v>
      </c>
      <c r="B1956" s="5">
        <f t="shared" si="361"/>
        <v>1955</v>
      </c>
      <c r="C1956" s="6">
        <f t="shared" ca="1" si="362"/>
        <v>1</v>
      </c>
      <c r="D1956" s="7">
        <f ca="1">IF($B1956 = 1 + N("Presidente"),
    127,
    IF($B1956 = 2 + N("Vice-Presidente"),
        72,
        IF($B1956 = 3 + N("Secretária bilíngue"),
            13,
            RANDBETWEEN(5,COUNT(Name!$A:$A) + 1)
        )
    )
)</f>
        <v>300</v>
      </c>
      <c r="E1956" s="7" t="str">
        <f ca="1" xml:space="preserve">
VLOOKUP(
  $D1956,
  Name!$A:$B,
  2,
  FALSE
)
&amp; " " &amp;
IF($B1956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Muricy Araújo Poeta</v>
      </c>
      <c r="F1956" s="7">
        <v>2</v>
      </c>
      <c r="G1956" s="7" cm="1">
        <f t="array" aca="1" ref="G1956" ca="1">INDEX(States!$B:$B,RANDBETWEEN(2,COUNTA(States!$A:$A)),1)</f>
        <v>10</v>
      </c>
      <c r="H1956" s="7" t="str">
        <f ca="1">VLOOKUP($D1956,Name!$A:$C,3,FALSE)</f>
        <v>M</v>
      </c>
      <c r="I1956" s="7" cm="1">
        <f t="array" aca="1" ref="I1956" ca="1">INDEX('Marital status'!$A:$A,RANDBETWEEN(2,COUNTA('Marital status'!$A:$A)),1)</f>
        <v>4</v>
      </c>
      <c r="J1956" s="7">
        <f t="shared" ca="1" si="363"/>
        <v>2</v>
      </c>
      <c r="K1956" s="8">
        <f t="shared" ca="1" si="364"/>
        <v>27538</v>
      </c>
      <c r="L1956" s="6">
        <f t="shared" ca="1" si="365"/>
        <v>4</v>
      </c>
      <c r="M1956" s="7">
        <f ca="1" xml:space="preserve">
  IF(OR($N1956 = 2, $N1956 = 3, $N1956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956" s="6">
        <f t="shared" ca="1" si="366"/>
        <v>6</v>
      </c>
      <c r="O1956" s="6" t="e">
        <f t="shared" ca="1" si="367"/>
        <v>#N/A</v>
      </c>
      <c r="P1956" s="8">
        <f t="shared" ca="1" si="368"/>
        <v>41974</v>
      </c>
      <c r="Q1956" s="6">
        <f ca="1">RANDBETWEEN(2,COUNTA('Recruitment source'!$A:$A))</f>
        <v>5</v>
      </c>
      <c r="R1956" s="8" t="e">
        <f t="shared" ca="1" si="369"/>
        <v>#N/A</v>
      </c>
      <c r="S1956" s="6" t="e">
        <f t="shared" ca="1" si="370"/>
        <v>#N/A</v>
      </c>
      <c r="T1956" s="6">
        <f t="shared" ca="1" si="360"/>
        <v>4</v>
      </c>
      <c r="U1956" s="1">
        <f t="shared" ca="1" si="371"/>
        <v>885</v>
      </c>
    </row>
    <row r="1957" spans="1:21" x14ac:dyDescent="0.2">
      <c r="A1957" s="7" cm="1">
        <f t="array" aca="1" ref="A1957" ca="1">INDEX(Companies!$A:$A,RANDBETWEEN(2,COUNTA(Companies!$A:$A)),1)</f>
        <v>2</v>
      </c>
      <c r="B1957" s="5">
        <f t="shared" si="361"/>
        <v>1956</v>
      </c>
      <c r="C1957" s="6">
        <f t="shared" ca="1" si="362"/>
        <v>1</v>
      </c>
      <c r="D1957" s="7">
        <f ca="1">IF($B1957 = 1 + N("Presidente"),
    127,
    IF($B1957 = 2 + N("Vice-Presidente"),
        72,
        IF($B1957 = 3 + N("Secretária bilíngue"),
            13,
            RANDBETWEEN(5,COUNT(Name!$A:$A) + 1)
        )
    )
)</f>
        <v>137</v>
      </c>
      <c r="E1957" s="7" t="str">
        <f ca="1" xml:space="preserve">
VLOOKUP(
  $D1957,
  Name!$A:$B,
  2,
  FALSE
)
&amp; " " &amp;
IF($B1957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Fernanda Pinheiro Gallo</v>
      </c>
      <c r="F1957" s="7">
        <v>2</v>
      </c>
      <c r="G1957" s="7" cm="1">
        <f t="array" aca="1" ref="G1957" ca="1">INDEX(States!$B:$B,RANDBETWEEN(2,COUNTA(States!$A:$A)),1)</f>
        <v>21</v>
      </c>
      <c r="H1957" s="7" t="str">
        <f ca="1">VLOOKUP($D1957,Name!$A:$C,3,FALSE)</f>
        <v>F</v>
      </c>
      <c r="I1957" s="7" cm="1">
        <f t="array" aca="1" ref="I1957" ca="1">INDEX('Marital status'!$A:$A,RANDBETWEEN(2,COUNTA('Marital status'!$A:$A)),1)</f>
        <v>5</v>
      </c>
      <c r="J1957" s="7">
        <f t="shared" ca="1" si="363"/>
        <v>5</v>
      </c>
      <c r="K1957" s="8">
        <f t="shared" ca="1" si="364"/>
        <v>37640</v>
      </c>
      <c r="L1957" s="6">
        <f t="shared" ca="1" si="365"/>
        <v>4</v>
      </c>
      <c r="M1957" s="7">
        <f ca="1" xml:space="preserve">
  IF(OR($N1957 = 2, $N1957 = 3, $N1957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957" s="6">
        <f t="shared" ca="1" si="366"/>
        <v>8</v>
      </c>
      <c r="O1957" s="6">
        <f t="shared" ca="1" si="367"/>
        <v>3</v>
      </c>
      <c r="P1957" s="8">
        <f t="shared" ca="1" si="368"/>
        <v>39043</v>
      </c>
      <c r="Q1957" s="6">
        <f ca="1">RANDBETWEEN(2,COUNTA('Recruitment source'!$A:$A))</f>
        <v>9</v>
      </c>
      <c r="R1957" s="8" t="e">
        <f t="shared" ca="1" si="369"/>
        <v>#N/A</v>
      </c>
      <c r="S1957" s="6" t="e">
        <f t="shared" ca="1" si="370"/>
        <v>#N/A</v>
      </c>
      <c r="T1957" s="6">
        <f t="shared" ca="1" si="360"/>
        <v>3</v>
      </c>
      <c r="U1957" s="1">
        <f t="shared" ca="1" si="371"/>
        <v>2000</v>
      </c>
    </row>
    <row r="1958" spans="1:21" x14ac:dyDescent="0.2">
      <c r="A1958" s="7" cm="1">
        <f t="array" aca="1" ref="A1958" ca="1">INDEX(Companies!$A:$A,RANDBETWEEN(2,COUNTA(Companies!$A:$A)),1)</f>
        <v>2</v>
      </c>
      <c r="B1958" s="5">
        <f t="shared" si="361"/>
        <v>1957</v>
      </c>
      <c r="C1958" s="6">
        <f t="shared" ca="1" si="362"/>
        <v>1</v>
      </c>
      <c r="D1958" s="7">
        <f ca="1">IF($B1958 = 1 + N("Presidente"),
    127,
    IF($B1958 = 2 + N("Vice-Presidente"),
        72,
        IF($B1958 = 3 + N("Secretária bilíngue"),
            13,
            RANDBETWEEN(5,COUNT(Name!$A:$A) + 1)
        )
    )
)</f>
        <v>71</v>
      </c>
      <c r="E1958" s="7" t="str">
        <f ca="1" xml:space="preserve">
VLOOKUP(
  $D1958,
  Name!$A:$B,
  2,
  FALSE
)
&amp; " " &amp;
IF($B1958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Bernardo Lombardi Costa</v>
      </c>
      <c r="F1958" s="7">
        <v>2</v>
      </c>
      <c r="G1958" s="7" cm="1">
        <f t="array" aca="1" ref="G1958" ca="1">INDEX(States!$B:$B,RANDBETWEEN(2,COUNTA(States!$A:$A)),1)</f>
        <v>12</v>
      </c>
      <c r="H1958" s="7" t="str">
        <f ca="1">VLOOKUP($D1958,Name!$A:$C,3,FALSE)</f>
        <v>M</v>
      </c>
      <c r="I1958" s="7" cm="1">
        <f t="array" aca="1" ref="I1958" ca="1">INDEX('Marital status'!$A:$A,RANDBETWEEN(2,COUNTA('Marital status'!$A:$A)),1)</f>
        <v>4</v>
      </c>
      <c r="J1958" s="7">
        <f t="shared" ca="1" si="363"/>
        <v>4</v>
      </c>
      <c r="K1958" s="8">
        <f t="shared" ca="1" si="364"/>
        <v>18646</v>
      </c>
      <c r="L1958" s="6">
        <f t="shared" ca="1" si="365"/>
        <v>4</v>
      </c>
      <c r="M1958" s="7">
        <f ca="1" xml:space="preserve">
  IF(OR($N1958 = 2, $N1958 = 3, $N1958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958" s="6">
        <f t="shared" ca="1" si="366"/>
        <v>6</v>
      </c>
      <c r="O1958" s="6" t="e">
        <f t="shared" ca="1" si="367"/>
        <v>#N/A</v>
      </c>
      <c r="P1958" s="8">
        <f t="shared" ca="1" si="368"/>
        <v>44139</v>
      </c>
      <c r="Q1958" s="6">
        <f ca="1">RANDBETWEEN(2,COUNTA('Recruitment source'!$A:$A))</f>
        <v>9</v>
      </c>
      <c r="R1958" s="8" t="e">
        <f t="shared" ca="1" si="369"/>
        <v>#N/A</v>
      </c>
      <c r="S1958" s="6" t="e">
        <f t="shared" ca="1" si="370"/>
        <v>#N/A</v>
      </c>
      <c r="T1958" s="6">
        <f t="shared" ca="1" si="360"/>
        <v>5</v>
      </c>
      <c r="U1958" s="1">
        <f t="shared" ca="1" si="371"/>
        <v>805</v>
      </c>
    </row>
    <row r="1959" spans="1:21" x14ac:dyDescent="0.2">
      <c r="A1959" s="7" cm="1">
        <f t="array" aca="1" ref="A1959" ca="1">INDEX(Companies!$A:$A,RANDBETWEEN(2,COUNTA(Companies!$A:$A)),1)</f>
        <v>2</v>
      </c>
      <c r="B1959" s="5">
        <f t="shared" si="361"/>
        <v>1958</v>
      </c>
      <c r="C1959" s="6">
        <f t="shared" ca="1" si="362"/>
        <v>1</v>
      </c>
      <c r="D1959" s="7">
        <f ca="1">IF($B1959 = 1 + N("Presidente"),
    127,
    IF($B1959 = 2 + N("Vice-Presidente"),
        72,
        IF($B1959 = 3 + N("Secretária bilíngue"),
            13,
            RANDBETWEEN(5,COUNT(Name!$A:$A) + 1)
        )
    )
)</f>
        <v>71</v>
      </c>
      <c r="E1959" s="7" t="str">
        <f ca="1" xml:space="preserve">
VLOOKUP(
  $D1959,
  Name!$A:$B,
  2,
  FALSE
)
&amp; " " &amp;
IF($B1959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Bernardo Paulista Duarte</v>
      </c>
      <c r="F1959" s="7">
        <v>2</v>
      </c>
      <c r="G1959" s="7" cm="1">
        <f t="array" aca="1" ref="G1959" ca="1">INDEX(States!$B:$B,RANDBETWEEN(2,COUNTA(States!$A:$A)),1)</f>
        <v>21</v>
      </c>
      <c r="H1959" s="7" t="str">
        <f ca="1">VLOOKUP($D1959,Name!$A:$C,3,FALSE)</f>
        <v>M</v>
      </c>
      <c r="I1959" s="7" cm="1">
        <f t="array" aca="1" ref="I1959" ca="1">INDEX('Marital status'!$A:$A,RANDBETWEEN(2,COUNTA('Marital status'!$A:$A)),1)</f>
        <v>5</v>
      </c>
      <c r="J1959" s="7">
        <f t="shared" ca="1" si="363"/>
        <v>2</v>
      </c>
      <c r="K1959" s="8">
        <f t="shared" ca="1" si="364"/>
        <v>33462</v>
      </c>
      <c r="L1959" s="6">
        <f t="shared" ca="1" si="365"/>
        <v>4</v>
      </c>
      <c r="M1959" s="7">
        <f ca="1" xml:space="preserve">
  IF(OR($N1959 = 2, $N1959 = 3, $N1959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959" s="6">
        <f t="shared" ca="1" si="366"/>
        <v>8</v>
      </c>
      <c r="O1959" s="6">
        <f t="shared" ca="1" si="367"/>
        <v>3</v>
      </c>
      <c r="P1959" s="8">
        <f t="shared" ca="1" si="368"/>
        <v>44318</v>
      </c>
      <c r="Q1959" s="6">
        <f ca="1">RANDBETWEEN(2,COUNTA('Recruitment source'!$A:$A))</f>
        <v>2</v>
      </c>
      <c r="R1959" s="8" t="e">
        <f t="shared" ca="1" si="369"/>
        <v>#N/A</v>
      </c>
      <c r="S1959" s="6" t="e">
        <f t="shared" ca="1" si="370"/>
        <v>#N/A</v>
      </c>
      <c r="T1959" s="6">
        <f t="shared" ca="1" si="360"/>
        <v>5</v>
      </c>
      <c r="U1959" s="1">
        <f t="shared" ca="1" si="371"/>
        <v>2080</v>
      </c>
    </row>
    <row r="1960" spans="1:21" x14ac:dyDescent="0.2">
      <c r="A1960" s="7" cm="1">
        <f t="array" aca="1" ref="A1960" ca="1">INDEX(Companies!$A:$A,RANDBETWEEN(2,COUNTA(Companies!$A:$A)),1)</f>
        <v>2</v>
      </c>
      <c r="B1960" s="5">
        <f t="shared" si="361"/>
        <v>1959</v>
      </c>
      <c r="C1960" s="6">
        <f t="shared" ca="1" si="362"/>
        <v>1</v>
      </c>
      <c r="D1960" s="7">
        <f ca="1">IF($B1960 = 1 + N("Presidente"),
    127,
    IF($B1960 = 2 + N("Vice-Presidente"),
        72,
        IF($B1960 = 3 + N("Secretária bilíngue"),
            13,
            RANDBETWEEN(5,COUNT(Name!$A:$A) + 1)
        )
    )
)</f>
        <v>128</v>
      </c>
      <c r="E1960" s="7" t="str">
        <f ca="1" xml:space="preserve">
VLOOKUP(
  $D1960,
  Name!$A:$B,
  2,
  FALSE
)
&amp; " " &amp;
IF($B1960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Enzo Gabriel Alencar Auth</v>
      </c>
      <c r="F1960" s="7">
        <v>2</v>
      </c>
      <c r="G1960" s="7" cm="1">
        <f t="array" aca="1" ref="G1960" ca="1">INDEX(States!$B:$B,RANDBETWEEN(2,COUNTA(States!$A:$A)),1)</f>
        <v>5</v>
      </c>
      <c r="H1960" s="7" t="str">
        <f ca="1">VLOOKUP($D1960,Name!$A:$C,3,FALSE)</f>
        <v>M</v>
      </c>
      <c r="I1960" s="7" cm="1">
        <f t="array" aca="1" ref="I1960" ca="1">INDEX('Marital status'!$A:$A,RANDBETWEEN(2,COUNTA('Marital status'!$A:$A)),1)</f>
        <v>6</v>
      </c>
      <c r="J1960" s="7">
        <f t="shared" ca="1" si="363"/>
        <v>3</v>
      </c>
      <c r="K1960" s="8">
        <f t="shared" ca="1" si="364"/>
        <v>20814</v>
      </c>
      <c r="L1960" s="6">
        <f t="shared" ca="1" si="365"/>
        <v>4</v>
      </c>
      <c r="M1960" s="7">
        <f ca="1" xml:space="preserve">
  IF(OR($N1960 = 2, $N1960 = 3, $N1960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960" s="6">
        <f t="shared" ca="1" si="366"/>
        <v>6</v>
      </c>
      <c r="O1960" s="6" t="e">
        <f t="shared" ca="1" si="367"/>
        <v>#N/A</v>
      </c>
      <c r="P1960" s="8">
        <f t="shared" ca="1" si="368"/>
        <v>37506</v>
      </c>
      <c r="Q1960" s="6">
        <f ca="1">RANDBETWEEN(2,COUNTA('Recruitment source'!$A:$A))</f>
        <v>5</v>
      </c>
      <c r="R1960" s="8" t="e">
        <f t="shared" ca="1" si="369"/>
        <v>#N/A</v>
      </c>
      <c r="S1960" s="6" t="e">
        <f t="shared" ca="1" si="370"/>
        <v>#N/A</v>
      </c>
      <c r="T1960" s="6">
        <f t="shared" ca="1" si="360"/>
        <v>4</v>
      </c>
      <c r="U1960" s="1">
        <f t="shared" ca="1" si="371"/>
        <v>885</v>
      </c>
    </row>
    <row r="1961" spans="1:21" x14ac:dyDescent="0.2">
      <c r="A1961" s="7" cm="1">
        <f t="array" aca="1" ref="A1961" ca="1">INDEX(Companies!$A:$A,RANDBETWEEN(2,COUNTA(Companies!$A:$A)),1)</f>
        <v>2</v>
      </c>
      <c r="B1961" s="5">
        <f t="shared" si="361"/>
        <v>1960</v>
      </c>
      <c r="C1961" s="6">
        <f t="shared" ca="1" si="362"/>
        <v>1</v>
      </c>
      <c r="D1961" s="7">
        <f ca="1">IF($B1961 = 1 + N("Presidente"),
    127,
    IF($B1961 = 2 + N("Vice-Presidente"),
        72,
        IF($B1961 = 3 + N("Secretária bilíngue"),
            13,
            RANDBETWEEN(5,COUNT(Name!$A:$A) + 1)
        )
    )
)</f>
        <v>5</v>
      </c>
      <c r="E1961" s="7" t="str">
        <f ca="1" xml:space="preserve">
VLOOKUP(
  $D1961,
  Name!$A:$B,
  2,
  FALSE
)
&amp; " " &amp;
IF($B1961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Abel Colombo Monteiro</v>
      </c>
      <c r="F1961" s="7">
        <v>2</v>
      </c>
      <c r="G1961" s="7" cm="1">
        <f t="array" aca="1" ref="G1961" ca="1">INDEX(States!$B:$B,RANDBETWEEN(2,COUNTA(States!$A:$A)),1)</f>
        <v>15</v>
      </c>
      <c r="H1961" s="7" t="str">
        <f ca="1">VLOOKUP($D1961,Name!$A:$C,3,FALSE)</f>
        <v>M</v>
      </c>
      <c r="I1961" s="7" cm="1">
        <f t="array" aca="1" ref="I1961" ca="1">INDEX('Marital status'!$A:$A,RANDBETWEEN(2,COUNTA('Marital status'!$A:$A)),1)</f>
        <v>6</v>
      </c>
      <c r="J1961" s="7">
        <f t="shared" ca="1" si="363"/>
        <v>2</v>
      </c>
      <c r="K1961" s="8">
        <f t="shared" ca="1" si="364"/>
        <v>35900</v>
      </c>
      <c r="L1961" s="6">
        <f t="shared" ca="1" si="365"/>
        <v>5</v>
      </c>
      <c r="M1961" s="7">
        <f ca="1" xml:space="preserve">
  IF(OR($N1961 = 2, $N1961 = 3, $N1961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961" s="6">
        <f t="shared" ca="1" si="366"/>
        <v>8</v>
      </c>
      <c r="O1961" s="6">
        <f t="shared" ca="1" si="367"/>
        <v>2</v>
      </c>
      <c r="P1961" s="8">
        <f t="shared" ca="1" si="368"/>
        <v>40344</v>
      </c>
      <c r="Q1961" s="6">
        <f ca="1">RANDBETWEEN(2,COUNTA('Recruitment source'!$A:$A))</f>
        <v>4</v>
      </c>
      <c r="R1961" s="8" t="e">
        <f t="shared" ca="1" si="369"/>
        <v>#N/A</v>
      </c>
      <c r="S1961" s="6" t="e">
        <f t="shared" ca="1" si="370"/>
        <v>#N/A</v>
      </c>
      <c r="T1961" s="6">
        <f t="shared" ca="1" si="360"/>
        <v>2</v>
      </c>
      <c r="U1961" s="1">
        <f t="shared" ca="1" si="371"/>
        <v>2000</v>
      </c>
    </row>
    <row r="1962" spans="1:21" x14ac:dyDescent="0.2">
      <c r="A1962" s="7" cm="1">
        <f t="array" aca="1" ref="A1962" ca="1">INDEX(Companies!$A:$A,RANDBETWEEN(2,COUNTA(Companies!$A:$A)),1)</f>
        <v>2</v>
      </c>
      <c r="B1962" s="5">
        <f t="shared" si="361"/>
        <v>1961</v>
      </c>
      <c r="C1962" s="6">
        <f t="shared" ca="1" si="362"/>
        <v>1</v>
      </c>
      <c r="D1962" s="7">
        <f ca="1">IF($B1962 = 1 + N("Presidente"),
    127,
    IF($B1962 = 2 + N("Vice-Presidente"),
        72,
        IF($B1962 = 3 + N("Secretária bilíngue"),
            13,
            RANDBETWEEN(5,COUNT(Name!$A:$A) + 1)
        )
    )
)</f>
        <v>226</v>
      </c>
      <c r="E1962" s="7" t="str">
        <f ca="1" xml:space="preserve">
VLOOKUP(
  $D1962,
  Name!$A:$B,
  2,
  FALSE
)
&amp; " " &amp;
IF($B1962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Levy Anunciação Paulista</v>
      </c>
      <c r="F1962" s="7">
        <v>2</v>
      </c>
      <c r="G1962" s="7" cm="1">
        <f t="array" aca="1" ref="G1962" ca="1">INDEX(States!$B:$B,RANDBETWEEN(2,COUNTA(States!$A:$A)),1)</f>
        <v>18</v>
      </c>
      <c r="H1962" s="7" t="str">
        <f ca="1">VLOOKUP($D1962,Name!$A:$C,3,FALSE)</f>
        <v>M</v>
      </c>
      <c r="I1962" s="7" cm="1">
        <f t="array" aca="1" ref="I1962" ca="1">INDEX('Marital status'!$A:$A,RANDBETWEEN(2,COUNTA('Marital status'!$A:$A)),1)</f>
        <v>5</v>
      </c>
      <c r="J1962" s="7">
        <f t="shared" ca="1" si="363"/>
        <v>2</v>
      </c>
      <c r="K1962" s="8">
        <f t="shared" ca="1" si="364"/>
        <v>34445</v>
      </c>
      <c r="L1962" s="6">
        <f t="shared" ca="1" si="365"/>
        <v>4</v>
      </c>
      <c r="M1962" s="7">
        <f ca="1" xml:space="preserve">
  IF(OR($N1962 = 2, $N1962 = 3, $N1962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962" s="6">
        <f t="shared" ca="1" si="366"/>
        <v>7</v>
      </c>
      <c r="O1962" s="6" t="e">
        <f t="shared" ca="1" si="367"/>
        <v>#N/A</v>
      </c>
      <c r="P1962" s="8">
        <f t="shared" ca="1" si="368"/>
        <v>43075</v>
      </c>
      <c r="Q1962" s="6">
        <f ca="1">RANDBETWEEN(2,COUNTA('Recruitment source'!$A:$A))</f>
        <v>2</v>
      </c>
      <c r="R1962" s="8" t="e">
        <f t="shared" ca="1" si="369"/>
        <v>#N/A</v>
      </c>
      <c r="S1962" s="6" t="e">
        <f t="shared" ca="1" si="370"/>
        <v>#N/A</v>
      </c>
      <c r="T1962" s="6">
        <f t="shared" ca="1" si="360"/>
        <v>3</v>
      </c>
      <c r="U1962" s="1">
        <f t="shared" ca="1" si="371"/>
        <v>1005</v>
      </c>
    </row>
    <row r="1963" spans="1:21" x14ac:dyDescent="0.2">
      <c r="A1963" s="7" cm="1">
        <f t="array" aca="1" ref="A1963" ca="1">INDEX(Companies!$A:$A,RANDBETWEEN(2,COUNTA(Companies!$A:$A)),1)</f>
        <v>2</v>
      </c>
      <c r="B1963" s="5">
        <f t="shared" si="361"/>
        <v>1962</v>
      </c>
      <c r="C1963" s="6">
        <f t="shared" ca="1" si="362"/>
        <v>1</v>
      </c>
      <c r="D1963" s="7">
        <f ca="1">IF($B1963 = 1 + N("Presidente"),
    127,
    IF($B1963 = 2 + N("Vice-Presidente"),
        72,
        IF($B1963 = 3 + N("Secretária bilíngue"),
            13,
            RANDBETWEEN(5,COUNT(Name!$A:$A) + 1)
        )
    )
)</f>
        <v>364</v>
      </c>
      <c r="E1963" s="7" t="str">
        <f ca="1" xml:space="preserve">
VLOOKUP(
  $D1963,
  Name!$A:$B,
  2,
  FALSE
)
&amp; " " &amp;
IF($B1963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Yasmin Bragança Oliveira</v>
      </c>
      <c r="F1963" s="7">
        <v>2</v>
      </c>
      <c r="G1963" s="7" cm="1">
        <f t="array" aca="1" ref="G1963" ca="1">INDEX(States!$B:$B,RANDBETWEEN(2,COUNTA(States!$A:$A)),1)</f>
        <v>11</v>
      </c>
      <c r="H1963" s="7" t="str">
        <f ca="1">VLOOKUP($D1963,Name!$A:$C,3,FALSE)</f>
        <v>F</v>
      </c>
      <c r="I1963" s="7" cm="1">
        <f t="array" aca="1" ref="I1963" ca="1">INDEX('Marital status'!$A:$A,RANDBETWEEN(2,COUNTA('Marital status'!$A:$A)),1)</f>
        <v>5</v>
      </c>
      <c r="J1963" s="7">
        <f t="shared" ca="1" si="363"/>
        <v>2</v>
      </c>
      <c r="K1963" s="8">
        <f t="shared" ca="1" si="364"/>
        <v>34799</v>
      </c>
      <c r="L1963" s="6">
        <f t="shared" ca="1" si="365"/>
        <v>5</v>
      </c>
      <c r="M1963" s="7">
        <f ca="1" xml:space="preserve">
  IF(OR($N1963 = 2, $N1963 = 3, $N1963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963" s="6">
        <f t="shared" ca="1" si="366"/>
        <v>8</v>
      </c>
      <c r="O1963" s="6">
        <f t="shared" ca="1" si="367"/>
        <v>2</v>
      </c>
      <c r="P1963" s="8">
        <f t="shared" ca="1" si="368"/>
        <v>42176</v>
      </c>
      <c r="Q1963" s="6">
        <f ca="1">RANDBETWEEN(2,COUNTA('Recruitment source'!$A:$A))</f>
        <v>9</v>
      </c>
      <c r="R1963" s="8" t="e">
        <f t="shared" ca="1" si="369"/>
        <v>#N/A</v>
      </c>
      <c r="S1963" s="6" t="e">
        <f t="shared" ca="1" si="370"/>
        <v>#N/A</v>
      </c>
      <c r="T1963" s="6">
        <f t="shared" ca="1" si="360"/>
        <v>4</v>
      </c>
      <c r="U1963" s="1">
        <f t="shared" ca="1" si="371"/>
        <v>2050</v>
      </c>
    </row>
    <row r="1964" spans="1:21" x14ac:dyDescent="0.2">
      <c r="A1964" s="7" cm="1">
        <f t="array" aca="1" ref="A1964" ca="1">INDEX(Companies!$A:$A,RANDBETWEEN(2,COUNTA(Companies!$A:$A)),1)</f>
        <v>2</v>
      </c>
      <c r="B1964" s="5">
        <f t="shared" si="361"/>
        <v>1963</v>
      </c>
      <c r="C1964" s="6">
        <f t="shared" ca="1" si="362"/>
        <v>1</v>
      </c>
      <c r="D1964" s="7">
        <f ca="1">IF($B1964 = 1 + N("Presidente"),
    127,
    IF($B1964 = 2 + N("Vice-Presidente"),
        72,
        IF($B1964 = 3 + N("Secretária bilíngue"),
            13,
            RANDBETWEEN(5,COUNT(Name!$A:$A) + 1)
        )
    )
)</f>
        <v>74</v>
      </c>
      <c r="E1964" s="7" t="str">
        <f ca="1" xml:space="preserve">
VLOOKUP(
  $D1964,
  Name!$A:$B,
  2,
  FALSE
)
&amp; " " &amp;
IF($B1964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Brenda Camões Veiga</v>
      </c>
      <c r="F1964" s="7">
        <v>2</v>
      </c>
      <c r="G1964" s="7" cm="1">
        <f t="array" aca="1" ref="G1964" ca="1">INDEX(States!$B:$B,RANDBETWEEN(2,COUNTA(States!$A:$A)),1)</f>
        <v>18</v>
      </c>
      <c r="H1964" s="7" t="str">
        <f ca="1">VLOOKUP($D1964,Name!$A:$C,3,FALSE)</f>
        <v>F</v>
      </c>
      <c r="I1964" s="7" cm="1">
        <f t="array" aca="1" ref="I1964" ca="1">INDEX('Marital status'!$A:$A,RANDBETWEEN(2,COUNTA('Marital status'!$A:$A)),1)</f>
        <v>3</v>
      </c>
      <c r="J1964" s="7">
        <f t="shared" ca="1" si="363"/>
        <v>2</v>
      </c>
      <c r="K1964" s="8">
        <f t="shared" ca="1" si="364"/>
        <v>19538</v>
      </c>
      <c r="L1964" s="6">
        <f t="shared" ca="1" si="365"/>
        <v>4</v>
      </c>
      <c r="M1964" s="7">
        <f ca="1" xml:space="preserve">
  IF(OR($N1964 = 2, $N1964 = 3, $N1964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964" s="6">
        <f t="shared" ca="1" si="366"/>
        <v>6</v>
      </c>
      <c r="O1964" s="6" t="e">
        <f t="shared" ca="1" si="367"/>
        <v>#N/A</v>
      </c>
      <c r="P1964" s="8">
        <f t="shared" ca="1" si="368"/>
        <v>39120</v>
      </c>
      <c r="Q1964" s="6">
        <f ca="1">RANDBETWEEN(2,COUNTA('Recruitment source'!$A:$A))</f>
        <v>6</v>
      </c>
      <c r="R1964" s="8" t="e">
        <f t="shared" ca="1" si="369"/>
        <v>#N/A</v>
      </c>
      <c r="S1964" s="6" t="e">
        <f t="shared" ca="1" si="370"/>
        <v>#N/A</v>
      </c>
      <c r="T1964" s="6">
        <f t="shared" ca="1" si="360"/>
        <v>3</v>
      </c>
      <c r="U1964" s="1">
        <f t="shared" ca="1" si="371"/>
        <v>805</v>
      </c>
    </row>
    <row r="1965" spans="1:21" x14ac:dyDescent="0.2">
      <c r="A1965" s="7" cm="1">
        <f t="array" aca="1" ref="A1965" ca="1">INDEX(Companies!$A:$A,RANDBETWEEN(2,COUNTA(Companies!$A:$A)),1)</f>
        <v>2</v>
      </c>
      <c r="B1965" s="5">
        <f t="shared" si="361"/>
        <v>1964</v>
      </c>
      <c r="C1965" s="6">
        <f t="shared" ca="1" si="362"/>
        <v>1</v>
      </c>
      <c r="D1965" s="7">
        <f ca="1">IF($B1965 = 1 + N("Presidente"),
    127,
    IF($B1965 = 2 + N("Vice-Presidente"),
        72,
        IF($B1965 = 3 + N("Secretária bilíngue"),
            13,
            RANDBETWEEN(5,COUNT(Name!$A:$A) + 1)
        )
    )
)</f>
        <v>20</v>
      </c>
      <c r="E1965" s="7" t="str">
        <f ca="1" xml:space="preserve">
VLOOKUP(
  $D1965,
  Name!$A:$B,
  2,
  FALSE
)
&amp; " " &amp;
IF($B1965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Alini Anunciação Cardoso</v>
      </c>
      <c r="F1965" s="7">
        <v>2</v>
      </c>
      <c r="G1965" s="7" cm="1">
        <f t="array" aca="1" ref="G1965" ca="1">INDEX(States!$B:$B,RANDBETWEEN(2,COUNTA(States!$A:$A)),1)</f>
        <v>17</v>
      </c>
      <c r="H1965" s="7" t="str">
        <f ca="1">VLOOKUP($D1965,Name!$A:$C,3,FALSE)</f>
        <v>F</v>
      </c>
      <c r="I1965" s="7" cm="1">
        <f t="array" aca="1" ref="I1965" ca="1">INDEX('Marital status'!$A:$A,RANDBETWEEN(2,COUNTA('Marital status'!$A:$A)),1)</f>
        <v>3</v>
      </c>
      <c r="J1965" s="7">
        <f t="shared" ca="1" si="363"/>
        <v>2</v>
      </c>
      <c r="K1965" s="8">
        <f t="shared" ca="1" si="364"/>
        <v>33626</v>
      </c>
      <c r="L1965" s="6">
        <f t="shared" ca="1" si="365"/>
        <v>4</v>
      </c>
      <c r="M1965" s="7">
        <f ca="1" xml:space="preserve">
  IF(OR($N1965 = 2, $N1965 = 3, $N1965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965" s="6">
        <f t="shared" ca="1" si="366"/>
        <v>8</v>
      </c>
      <c r="O1965" s="6">
        <f t="shared" ca="1" si="367"/>
        <v>3</v>
      </c>
      <c r="P1965" s="8">
        <f t="shared" ca="1" si="368"/>
        <v>36464</v>
      </c>
      <c r="Q1965" s="6">
        <f ca="1">RANDBETWEEN(2,COUNTA('Recruitment source'!$A:$A))</f>
        <v>3</v>
      </c>
      <c r="R1965" s="8" t="e">
        <f t="shared" ca="1" si="369"/>
        <v>#N/A</v>
      </c>
      <c r="S1965" s="6" t="e">
        <f t="shared" ca="1" si="370"/>
        <v>#N/A</v>
      </c>
      <c r="T1965" s="6">
        <f t="shared" ca="1" si="360"/>
        <v>2</v>
      </c>
      <c r="U1965" s="1">
        <f t="shared" ca="1" si="371"/>
        <v>2000</v>
      </c>
    </row>
    <row r="1966" spans="1:21" x14ac:dyDescent="0.2">
      <c r="A1966" s="7" cm="1">
        <f t="array" aca="1" ref="A1966" ca="1">INDEX(Companies!$A:$A,RANDBETWEEN(2,COUNTA(Companies!$A:$A)),1)</f>
        <v>2</v>
      </c>
      <c r="B1966" s="5">
        <f t="shared" si="361"/>
        <v>1965</v>
      </c>
      <c r="C1966" s="6">
        <f t="shared" ca="1" si="362"/>
        <v>1</v>
      </c>
      <c r="D1966" s="7">
        <f ca="1">IF($B1966 = 1 + N("Presidente"),
    127,
    IF($B1966 = 2 + N("Vice-Presidente"),
        72,
        IF($B1966 = 3 + N("Secretária bilíngue"),
            13,
            RANDBETWEEN(5,COUNT(Name!$A:$A) + 1)
        )
    )
)</f>
        <v>206</v>
      </c>
      <c r="E1966" s="7" t="str">
        <f ca="1" xml:space="preserve">
VLOOKUP(
  $D1966,
  Name!$A:$B,
  2,
  FALSE
)
&amp; " " &amp;
IF($B1966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Kamilla Greco Melo</v>
      </c>
      <c r="F1966" s="7">
        <v>2</v>
      </c>
      <c r="G1966" s="7" cm="1">
        <f t="array" aca="1" ref="G1966" ca="1">INDEX(States!$B:$B,RANDBETWEEN(2,COUNTA(States!$A:$A)),1)</f>
        <v>15</v>
      </c>
      <c r="H1966" s="7" t="str">
        <f ca="1">VLOOKUP($D1966,Name!$A:$C,3,FALSE)</f>
        <v>F</v>
      </c>
      <c r="I1966" s="7" cm="1">
        <f t="array" aca="1" ref="I1966" ca="1">INDEX('Marital status'!$A:$A,RANDBETWEEN(2,COUNTA('Marital status'!$A:$A)),1)</f>
        <v>3</v>
      </c>
      <c r="J1966" s="7">
        <f t="shared" ca="1" si="363"/>
        <v>2</v>
      </c>
      <c r="K1966" s="8">
        <f t="shared" ca="1" si="364"/>
        <v>29659</v>
      </c>
      <c r="L1966" s="6">
        <f t="shared" ca="1" si="365"/>
        <v>4</v>
      </c>
      <c r="M1966" s="7">
        <f ca="1" xml:space="preserve">
  IF(OR($N1966 = 2, $N1966 = 3, $N1966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966" s="6">
        <f t="shared" ca="1" si="366"/>
        <v>7</v>
      </c>
      <c r="O1966" s="6" t="e">
        <f t="shared" ca="1" si="367"/>
        <v>#N/A</v>
      </c>
      <c r="P1966" s="8">
        <f t="shared" ca="1" si="368"/>
        <v>43807</v>
      </c>
      <c r="Q1966" s="6">
        <f ca="1">RANDBETWEEN(2,COUNTA('Recruitment source'!$A:$A))</f>
        <v>9</v>
      </c>
      <c r="R1966" s="8" t="e">
        <f t="shared" ca="1" si="369"/>
        <v>#N/A</v>
      </c>
      <c r="S1966" s="6" t="e">
        <f t="shared" ca="1" si="370"/>
        <v>#N/A</v>
      </c>
      <c r="T1966" s="6">
        <f t="shared" ca="1" si="360"/>
        <v>4</v>
      </c>
      <c r="U1966" s="1">
        <f t="shared" ca="1" si="371"/>
        <v>1005</v>
      </c>
    </row>
    <row r="1967" spans="1:21" x14ac:dyDescent="0.2">
      <c r="A1967" s="7" cm="1">
        <f t="array" aca="1" ref="A1967" ca="1">INDEX(Companies!$A:$A,RANDBETWEEN(2,COUNTA(Companies!$A:$A)),1)</f>
        <v>2</v>
      </c>
      <c r="B1967" s="5">
        <f t="shared" si="361"/>
        <v>1966</v>
      </c>
      <c r="C1967" s="6">
        <f t="shared" ca="1" si="362"/>
        <v>1</v>
      </c>
      <c r="D1967" s="7">
        <f ca="1">IF($B1967 = 1 + N("Presidente"),
    127,
    IF($B1967 = 2 + N("Vice-Presidente"),
        72,
        IF($B1967 = 3 + N("Secretária bilíngue"),
            13,
            RANDBETWEEN(5,COUNT(Name!$A:$A) + 1)
        )
    )
)</f>
        <v>291</v>
      </c>
      <c r="E1967" s="7" t="str">
        <f ca="1" xml:space="preserve">
VLOOKUP(
  $D1967,
  Name!$A:$B,
  2,
  FALSE
)
&amp; " " &amp;
IF($B1967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Melyssa Alvaregna Morato</v>
      </c>
      <c r="F1967" s="7">
        <v>2</v>
      </c>
      <c r="G1967" s="7" cm="1">
        <f t="array" aca="1" ref="G1967" ca="1">INDEX(States!$B:$B,RANDBETWEEN(2,COUNTA(States!$A:$A)),1)</f>
        <v>4</v>
      </c>
      <c r="H1967" s="7" t="str">
        <f ca="1">VLOOKUP($D1967,Name!$A:$C,3,FALSE)</f>
        <v>F</v>
      </c>
      <c r="I1967" s="7" cm="1">
        <f t="array" aca="1" ref="I1967" ca="1">INDEX('Marital status'!$A:$A,RANDBETWEEN(2,COUNTA('Marital status'!$A:$A)),1)</f>
        <v>4</v>
      </c>
      <c r="J1967" s="7">
        <f t="shared" ca="1" si="363"/>
        <v>3</v>
      </c>
      <c r="K1967" s="8">
        <f t="shared" ca="1" si="364"/>
        <v>36520</v>
      </c>
      <c r="L1967" s="6">
        <f t="shared" ca="1" si="365"/>
        <v>4</v>
      </c>
      <c r="M1967" s="7">
        <f ca="1" xml:space="preserve">
  IF(OR($N1967 = 2, $N1967 = 3, $N1967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967" s="6">
        <f t="shared" ca="1" si="366"/>
        <v>8</v>
      </c>
      <c r="O1967" s="6">
        <f t="shared" ca="1" si="367"/>
        <v>4</v>
      </c>
      <c r="P1967" s="8">
        <f t="shared" ca="1" si="368"/>
        <v>36495</v>
      </c>
      <c r="Q1967" s="6">
        <f ca="1">RANDBETWEEN(2,COUNTA('Recruitment source'!$A:$A))</f>
        <v>6</v>
      </c>
      <c r="R1967" s="8" t="e">
        <f t="shared" ca="1" si="369"/>
        <v>#N/A</v>
      </c>
      <c r="S1967" s="6" t="e">
        <f t="shared" ca="1" si="370"/>
        <v>#N/A</v>
      </c>
      <c r="T1967" s="6">
        <f t="shared" ca="1" si="360"/>
        <v>3</v>
      </c>
      <c r="U1967" s="1">
        <f t="shared" ca="1" si="371"/>
        <v>2000</v>
      </c>
    </row>
    <row r="1968" spans="1:21" x14ac:dyDescent="0.2">
      <c r="A1968" s="7" cm="1">
        <f t="array" aca="1" ref="A1968" ca="1">INDEX(Companies!$A:$A,RANDBETWEEN(2,COUNTA(Companies!$A:$A)),1)</f>
        <v>2</v>
      </c>
      <c r="B1968" s="5">
        <f t="shared" si="361"/>
        <v>1967</v>
      </c>
      <c r="C1968" s="6">
        <f t="shared" ca="1" si="362"/>
        <v>1</v>
      </c>
      <c r="D1968" s="7">
        <f ca="1">IF($B1968 = 1 + N("Presidente"),
    127,
    IF($B1968 = 2 + N("Vice-Presidente"),
        72,
        IF($B1968 = 3 + N("Secretária bilíngue"),
            13,
            RANDBETWEEN(5,COUNT(Name!$A:$A) + 1)
        )
    )
)</f>
        <v>120</v>
      </c>
      <c r="E1968" s="7" t="str">
        <f ca="1" xml:space="preserve">
VLOOKUP(
  $D1968,
  Name!$A:$B,
  2,
  FALSE
)
&amp; " " &amp;
IF($B1968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Eliza Longo Veiga</v>
      </c>
      <c r="F1968" s="7">
        <v>2</v>
      </c>
      <c r="G1968" s="7" cm="1">
        <f t="array" aca="1" ref="G1968" ca="1">INDEX(States!$B:$B,RANDBETWEEN(2,COUNTA(States!$A:$A)),1)</f>
        <v>6</v>
      </c>
      <c r="H1968" s="7" t="str">
        <f ca="1">VLOOKUP($D1968,Name!$A:$C,3,FALSE)</f>
        <v>F</v>
      </c>
      <c r="I1968" s="7" cm="1">
        <f t="array" aca="1" ref="I1968" ca="1">INDEX('Marital status'!$A:$A,RANDBETWEEN(2,COUNTA('Marital status'!$A:$A)),1)</f>
        <v>5</v>
      </c>
      <c r="J1968" s="7">
        <f t="shared" ca="1" si="363"/>
        <v>2</v>
      </c>
      <c r="K1968" s="8">
        <f t="shared" ca="1" si="364"/>
        <v>25098</v>
      </c>
      <c r="L1968" s="6">
        <f t="shared" ca="1" si="365"/>
        <v>4</v>
      </c>
      <c r="M1968" s="7">
        <f ca="1" xml:space="preserve">
  IF(OR($N1968 = 2, $N1968 = 3, $N1968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968" s="6">
        <f t="shared" ca="1" si="366"/>
        <v>6</v>
      </c>
      <c r="O1968" s="6" t="e">
        <f t="shared" ca="1" si="367"/>
        <v>#N/A</v>
      </c>
      <c r="P1968" s="8">
        <f t="shared" ca="1" si="368"/>
        <v>44830</v>
      </c>
      <c r="Q1968" s="6">
        <f ca="1">RANDBETWEEN(2,COUNTA('Recruitment source'!$A:$A))</f>
        <v>4</v>
      </c>
      <c r="R1968" s="8" t="e">
        <f t="shared" ca="1" si="369"/>
        <v>#N/A</v>
      </c>
      <c r="S1968" s="6" t="e">
        <f t="shared" ca="1" si="370"/>
        <v>#N/A</v>
      </c>
      <c r="T1968" s="6">
        <f t="shared" ca="1" si="360"/>
        <v>4</v>
      </c>
      <c r="U1968" s="1">
        <f t="shared" ca="1" si="371"/>
        <v>805</v>
      </c>
    </row>
    <row r="1969" spans="1:21" x14ac:dyDescent="0.2">
      <c r="A1969" s="7" cm="1">
        <f t="array" aca="1" ref="A1969" ca="1">INDEX(Companies!$A:$A,RANDBETWEEN(2,COUNTA(Companies!$A:$A)),1)</f>
        <v>2</v>
      </c>
      <c r="B1969" s="5">
        <f t="shared" si="361"/>
        <v>1968</v>
      </c>
      <c r="C1969" s="6">
        <f t="shared" ca="1" si="362"/>
        <v>1</v>
      </c>
      <c r="D1969" s="7">
        <f ca="1">IF($B1969 = 1 + N("Presidente"),
    127,
    IF($B1969 = 2 + N("Vice-Presidente"),
        72,
        IF($B1969 = 3 + N("Secretária bilíngue"),
            13,
            RANDBETWEEN(5,COUNT(Name!$A:$A) + 1)
        )
    )
)</f>
        <v>64</v>
      </c>
      <c r="E1969" s="7" t="str">
        <f ca="1" xml:space="preserve">
VLOOKUP(
  $D1969,
  Name!$A:$B,
  2,
  FALSE
)
&amp; " " &amp;
IF($B1969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Ayla Conti Faria</v>
      </c>
      <c r="F1969" s="7">
        <v>2</v>
      </c>
      <c r="G1969" s="7" cm="1">
        <f t="array" aca="1" ref="G1969" ca="1">INDEX(States!$B:$B,RANDBETWEEN(2,COUNTA(States!$A:$A)),1)</f>
        <v>12</v>
      </c>
      <c r="H1969" s="7" t="str">
        <f ca="1">VLOOKUP($D1969,Name!$A:$C,3,FALSE)</f>
        <v>F</v>
      </c>
      <c r="I1969" s="7" cm="1">
        <f t="array" aca="1" ref="I1969" ca="1">INDEX('Marital status'!$A:$A,RANDBETWEEN(2,COUNTA('Marital status'!$A:$A)),1)</f>
        <v>5</v>
      </c>
      <c r="J1969" s="7">
        <f t="shared" ca="1" si="363"/>
        <v>4</v>
      </c>
      <c r="K1969" s="8">
        <f t="shared" ca="1" si="364"/>
        <v>32541</v>
      </c>
      <c r="L1969" s="6">
        <f t="shared" ca="1" si="365"/>
        <v>5</v>
      </c>
      <c r="M1969" s="7">
        <f ca="1" xml:space="preserve">
  IF(OR($N1969 = 2, $N1969 = 3, $N1969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969" s="6">
        <f t="shared" ca="1" si="366"/>
        <v>8</v>
      </c>
      <c r="O1969" s="6">
        <f t="shared" ca="1" si="367"/>
        <v>4</v>
      </c>
      <c r="P1969" s="8">
        <f t="shared" ca="1" si="368"/>
        <v>37005</v>
      </c>
      <c r="Q1969" s="6">
        <f ca="1">RANDBETWEEN(2,COUNTA('Recruitment source'!$A:$A))</f>
        <v>9</v>
      </c>
      <c r="R1969" s="8" t="e">
        <f t="shared" ca="1" si="369"/>
        <v>#N/A</v>
      </c>
      <c r="S1969" s="6" t="e">
        <f t="shared" ca="1" si="370"/>
        <v>#N/A</v>
      </c>
      <c r="T1969" s="6">
        <f t="shared" ca="1" si="360"/>
        <v>5</v>
      </c>
      <c r="U1969" s="1">
        <f t="shared" ca="1" si="371"/>
        <v>2000</v>
      </c>
    </row>
    <row r="1970" spans="1:21" x14ac:dyDescent="0.2">
      <c r="A1970" s="7" cm="1">
        <f t="array" aca="1" ref="A1970" ca="1">INDEX(Companies!$A:$A,RANDBETWEEN(2,COUNTA(Companies!$A:$A)),1)</f>
        <v>2</v>
      </c>
      <c r="B1970" s="5">
        <f t="shared" si="361"/>
        <v>1969</v>
      </c>
      <c r="C1970" s="6">
        <f t="shared" ca="1" si="362"/>
        <v>1</v>
      </c>
      <c r="D1970" s="7">
        <f ca="1">IF($B1970 = 1 + N("Presidente"),
    127,
    IF($B1970 = 2 + N("Vice-Presidente"),
        72,
        IF($B1970 = 3 + N("Secretária bilíngue"),
            13,
            RANDBETWEEN(5,COUNT(Name!$A:$A) + 1)
        )
    )
)</f>
        <v>331</v>
      </c>
      <c r="E1970" s="7" t="str">
        <f ca="1" xml:space="preserve">
VLOOKUP(
  $D1970,
  Name!$A:$B,
  2,
  FALSE
)
&amp; " " &amp;
IF($B1970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Renato Sá Morais</v>
      </c>
      <c r="F1970" s="7">
        <v>2</v>
      </c>
      <c r="G1970" s="7" cm="1">
        <f t="array" aca="1" ref="G1970" ca="1">INDEX(States!$B:$B,RANDBETWEEN(2,COUNTA(States!$A:$A)),1)</f>
        <v>15</v>
      </c>
      <c r="H1970" s="7" t="str">
        <f ca="1">VLOOKUP($D1970,Name!$A:$C,3,FALSE)</f>
        <v>M</v>
      </c>
      <c r="I1970" s="7" cm="1">
        <f t="array" aca="1" ref="I1970" ca="1">INDEX('Marital status'!$A:$A,RANDBETWEEN(2,COUNTA('Marital status'!$A:$A)),1)</f>
        <v>4</v>
      </c>
      <c r="J1970" s="7">
        <f t="shared" ca="1" si="363"/>
        <v>2</v>
      </c>
      <c r="K1970" s="8">
        <f t="shared" ca="1" si="364"/>
        <v>19032</v>
      </c>
      <c r="L1970" s="6">
        <f t="shared" ca="1" si="365"/>
        <v>4</v>
      </c>
      <c r="M1970" s="7">
        <f ca="1" xml:space="preserve">
  IF(OR($N1970 = 2, $N1970 = 3, $N1970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970" s="6">
        <f t="shared" ca="1" si="366"/>
        <v>6</v>
      </c>
      <c r="O1970" s="6" t="e">
        <f t="shared" ca="1" si="367"/>
        <v>#N/A</v>
      </c>
      <c r="P1970" s="8">
        <f t="shared" ca="1" si="368"/>
        <v>37331</v>
      </c>
      <c r="Q1970" s="6">
        <f ca="1">RANDBETWEEN(2,COUNTA('Recruitment source'!$A:$A))</f>
        <v>11</v>
      </c>
      <c r="R1970" s="8" t="e">
        <f t="shared" ca="1" si="369"/>
        <v>#N/A</v>
      </c>
      <c r="S1970" s="6" t="e">
        <f t="shared" ca="1" si="370"/>
        <v>#N/A</v>
      </c>
      <c r="T1970" s="6">
        <f t="shared" ca="1" si="360"/>
        <v>2</v>
      </c>
      <c r="U1970" s="1">
        <f t="shared" ca="1" si="371"/>
        <v>885</v>
      </c>
    </row>
    <row r="1971" spans="1:21" x14ac:dyDescent="0.2">
      <c r="A1971" s="7" cm="1">
        <f t="array" aca="1" ref="A1971" ca="1">INDEX(Companies!$A:$A,RANDBETWEEN(2,COUNTA(Companies!$A:$A)),1)</f>
        <v>2</v>
      </c>
      <c r="B1971" s="5">
        <f t="shared" si="361"/>
        <v>1970</v>
      </c>
      <c r="C1971" s="6">
        <f t="shared" ca="1" si="362"/>
        <v>1</v>
      </c>
      <c r="D1971" s="7">
        <f ca="1">IF($B1971 = 1 + N("Presidente"),
    127,
    IF($B1971 = 2 + N("Vice-Presidente"),
        72,
        IF($B1971 = 3 + N("Secretária bilíngue"),
            13,
            RANDBETWEEN(5,COUNT(Name!$A:$A) + 1)
        )
    )
)</f>
        <v>216</v>
      </c>
      <c r="E1971" s="7" t="str">
        <f ca="1" xml:space="preserve">
VLOOKUP(
  $D1971,
  Name!$A:$B,
  2,
  FALSE
)
&amp; " " &amp;
IF($B1971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Laís Chaves Vieira</v>
      </c>
      <c r="F1971" s="7">
        <v>2</v>
      </c>
      <c r="G1971" s="7" cm="1">
        <f t="array" aca="1" ref="G1971" ca="1">INDEX(States!$B:$B,RANDBETWEEN(2,COUNTA(States!$A:$A)),1)</f>
        <v>11</v>
      </c>
      <c r="H1971" s="7" t="str">
        <f ca="1">VLOOKUP($D1971,Name!$A:$C,3,FALSE)</f>
        <v>F</v>
      </c>
      <c r="I1971" s="7" cm="1">
        <f t="array" aca="1" ref="I1971" ca="1">INDEX('Marital status'!$A:$A,RANDBETWEEN(2,COUNTA('Marital status'!$A:$A)),1)</f>
        <v>3</v>
      </c>
      <c r="J1971" s="7">
        <f t="shared" ca="1" si="363"/>
        <v>2</v>
      </c>
      <c r="K1971" s="8">
        <f t="shared" ca="1" si="364"/>
        <v>37563</v>
      </c>
      <c r="L1971" s="6">
        <f t="shared" ca="1" si="365"/>
        <v>5</v>
      </c>
      <c r="M1971" s="7">
        <f ca="1" xml:space="preserve">
  IF(OR($N1971 = 2, $N1971 = 3, $N1971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971" s="6">
        <f t="shared" ca="1" si="366"/>
        <v>8</v>
      </c>
      <c r="O1971" s="6">
        <f t="shared" ca="1" si="367"/>
        <v>3</v>
      </c>
      <c r="P1971" s="8">
        <f t="shared" ca="1" si="368"/>
        <v>37126</v>
      </c>
      <c r="Q1971" s="6">
        <f ca="1">RANDBETWEEN(2,COUNTA('Recruitment source'!$A:$A))</f>
        <v>11</v>
      </c>
      <c r="R1971" s="8" t="e">
        <f t="shared" ca="1" si="369"/>
        <v>#N/A</v>
      </c>
      <c r="S1971" s="6" t="e">
        <f t="shared" ca="1" si="370"/>
        <v>#N/A</v>
      </c>
      <c r="T1971" s="6">
        <f t="shared" ca="1" si="360"/>
        <v>3</v>
      </c>
      <c r="U1971" s="1">
        <f t="shared" ca="1" si="371"/>
        <v>2000</v>
      </c>
    </row>
    <row r="1972" spans="1:21" x14ac:dyDescent="0.2">
      <c r="A1972" s="7" cm="1">
        <f t="array" aca="1" ref="A1972" ca="1">INDEX(Companies!$A:$A,RANDBETWEEN(2,COUNTA(Companies!$A:$A)),1)</f>
        <v>2</v>
      </c>
      <c r="B1972" s="5">
        <f t="shared" si="361"/>
        <v>1971</v>
      </c>
      <c r="C1972" s="6">
        <f t="shared" ca="1" si="362"/>
        <v>1</v>
      </c>
      <c r="D1972" s="7">
        <f ca="1">IF($B1972 = 1 + N("Presidente"),
    127,
    IF($B1972 = 2 + N("Vice-Presidente"),
        72,
        IF($B1972 = 3 + N("Secretária bilíngue"),
            13,
            RANDBETWEEN(5,COUNT(Name!$A:$A) + 1)
        )
    )
)</f>
        <v>195</v>
      </c>
      <c r="E1972" s="7" t="str">
        <f ca="1" xml:space="preserve">
VLOOKUP(
  $D1972,
  Name!$A:$B,
  2,
  FALSE
)
&amp; " " &amp;
IF($B1972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Joaquim Santoro Camacho</v>
      </c>
      <c r="F1972" s="7">
        <v>2</v>
      </c>
      <c r="G1972" s="7" cm="1">
        <f t="array" aca="1" ref="G1972" ca="1">INDEX(States!$B:$B,RANDBETWEEN(2,COUNTA(States!$A:$A)),1)</f>
        <v>10</v>
      </c>
      <c r="H1972" s="7" t="str">
        <f ca="1">VLOOKUP($D1972,Name!$A:$C,3,FALSE)</f>
        <v>M</v>
      </c>
      <c r="I1972" s="7" cm="1">
        <f t="array" aca="1" ref="I1972" ca="1">INDEX('Marital status'!$A:$A,RANDBETWEEN(2,COUNTA('Marital status'!$A:$A)),1)</f>
        <v>6</v>
      </c>
      <c r="J1972" s="7">
        <f t="shared" ca="1" si="363"/>
        <v>2</v>
      </c>
      <c r="K1972" s="8">
        <f t="shared" ca="1" si="364"/>
        <v>26295</v>
      </c>
      <c r="L1972" s="6">
        <f t="shared" ca="1" si="365"/>
        <v>4</v>
      </c>
      <c r="M1972" s="7">
        <f ca="1" xml:space="preserve">
  IF(OR($N1972 = 2, $N1972 = 3, $N1972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1972" s="6">
        <f t="shared" ca="1" si="366"/>
        <v>6</v>
      </c>
      <c r="O1972" s="6" t="e">
        <f t="shared" ca="1" si="367"/>
        <v>#N/A</v>
      </c>
      <c r="P1972" s="8">
        <f t="shared" ca="1" si="368"/>
        <v>38733</v>
      </c>
      <c r="Q1972" s="6">
        <f ca="1">RANDBETWEEN(2,COUNTA('Recruitment source'!$A:$A))</f>
        <v>9</v>
      </c>
      <c r="R1972" s="8" t="e">
        <f t="shared" ca="1" si="369"/>
        <v>#N/A</v>
      </c>
      <c r="S1972" s="6" t="e">
        <f t="shared" ca="1" si="370"/>
        <v>#N/A</v>
      </c>
      <c r="T1972" s="6">
        <f t="shared" ca="1" si="360"/>
        <v>5</v>
      </c>
      <c r="U1972" s="1">
        <f t="shared" ca="1" si="371"/>
        <v>805</v>
      </c>
    </row>
    <row r="1973" spans="1:21" x14ac:dyDescent="0.2">
      <c r="A1973" s="7" cm="1">
        <f t="array" aca="1" ref="A1973" ca="1">INDEX(Companies!$A:$A,RANDBETWEEN(2,COUNTA(Companies!$A:$A)),1)</f>
        <v>2</v>
      </c>
      <c r="B1973" s="5">
        <f t="shared" si="361"/>
        <v>1972</v>
      </c>
      <c r="C1973" s="6">
        <f t="shared" ca="1" si="362"/>
        <v>1</v>
      </c>
      <c r="D1973" s="7">
        <f ca="1">IF($B1973 = 1 + N("Presidente"),
    127,
    IF($B1973 = 2 + N("Vice-Presidente"),
        72,
        IF($B1973 = 3 + N("Secretária bilíngue"),
            13,
            RANDBETWEEN(5,COUNT(Name!$A:$A) + 1)
        )
    )
)</f>
        <v>219</v>
      </c>
      <c r="E1973" s="7" t="str">
        <f ca="1" xml:space="preserve">
VLOOKUP(
  $D1973,
  Name!$A:$B,
  2,
  FALSE
)
&amp; " " &amp;
IF($B1973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Larissa Veiga Barbieri</v>
      </c>
      <c r="F1973" s="7">
        <v>2</v>
      </c>
      <c r="G1973" s="7" cm="1">
        <f t="array" aca="1" ref="G1973" ca="1">INDEX(States!$B:$B,RANDBETWEEN(2,COUNTA(States!$A:$A)),1)</f>
        <v>21</v>
      </c>
      <c r="H1973" s="7" t="str">
        <f ca="1">VLOOKUP($D1973,Name!$A:$C,3,FALSE)</f>
        <v>F</v>
      </c>
      <c r="I1973" s="7" cm="1">
        <f t="array" aca="1" ref="I1973" ca="1">INDEX('Marital status'!$A:$A,RANDBETWEEN(2,COUNTA('Marital status'!$A:$A)),1)</f>
        <v>3</v>
      </c>
      <c r="J1973" s="7">
        <f t="shared" ca="1" si="363"/>
        <v>2</v>
      </c>
      <c r="K1973" s="8">
        <f t="shared" ca="1" si="364"/>
        <v>35107</v>
      </c>
      <c r="L1973" s="6">
        <f t="shared" ca="1" si="365"/>
        <v>4</v>
      </c>
      <c r="M1973" s="7">
        <f ca="1" xml:space="preserve">
  IF(OR($N1973 = 2, $N1973 = 3, $N1973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973" s="6">
        <f t="shared" ca="1" si="366"/>
        <v>8</v>
      </c>
      <c r="O1973" s="6">
        <f t="shared" ca="1" si="367"/>
        <v>3</v>
      </c>
      <c r="P1973" s="8">
        <f t="shared" ca="1" si="368"/>
        <v>36288</v>
      </c>
      <c r="Q1973" s="6">
        <f ca="1">RANDBETWEEN(2,COUNTA('Recruitment source'!$A:$A))</f>
        <v>6</v>
      </c>
      <c r="R1973" s="8" t="e">
        <f t="shared" ca="1" si="369"/>
        <v>#N/A</v>
      </c>
      <c r="S1973" s="6" t="e">
        <f t="shared" ca="1" si="370"/>
        <v>#N/A</v>
      </c>
      <c r="T1973" s="6">
        <f t="shared" ca="1" si="360"/>
        <v>3</v>
      </c>
      <c r="U1973" s="1">
        <f t="shared" ca="1" si="371"/>
        <v>2000</v>
      </c>
    </row>
    <row r="1974" spans="1:21" x14ac:dyDescent="0.2">
      <c r="A1974" s="7" cm="1">
        <f t="array" aca="1" ref="A1974" ca="1">INDEX(Companies!$A:$A,RANDBETWEEN(2,COUNTA(Companies!$A:$A)),1)</f>
        <v>2</v>
      </c>
      <c r="B1974" s="5">
        <f t="shared" si="361"/>
        <v>1973</v>
      </c>
      <c r="C1974" s="6">
        <f t="shared" ca="1" si="362"/>
        <v>1</v>
      </c>
      <c r="D1974" s="7">
        <f ca="1">IF($B1974 = 1 + N("Presidente"),
    127,
    IF($B1974 = 2 + N("Vice-Presidente"),
        72,
        IF($B1974 = 3 + N("Secretária bilíngue"),
            13,
            RANDBETWEEN(5,COUNT(Name!$A:$A) + 1)
        )
    )
)</f>
        <v>38</v>
      </c>
      <c r="E1974" s="7" t="str">
        <f ca="1" xml:space="preserve">
VLOOKUP(
  $D1974,
  Name!$A:$B,
  2,
  FALSE
)
&amp; " " &amp;
IF($B1974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Analu Badu Souza</v>
      </c>
      <c r="F1974" s="7">
        <v>2</v>
      </c>
      <c r="G1974" s="7" cm="1">
        <f t="array" aca="1" ref="G1974" ca="1">INDEX(States!$B:$B,RANDBETWEEN(2,COUNTA(States!$A:$A)),1)</f>
        <v>12</v>
      </c>
      <c r="H1974" s="7" t="str">
        <f ca="1">VLOOKUP($D1974,Name!$A:$C,3,FALSE)</f>
        <v>F</v>
      </c>
      <c r="I1974" s="7" cm="1">
        <f t="array" aca="1" ref="I1974" ca="1">INDEX('Marital status'!$A:$A,RANDBETWEEN(2,COUNTA('Marital status'!$A:$A)),1)</f>
        <v>5</v>
      </c>
      <c r="J1974" s="7">
        <f t="shared" ca="1" si="363"/>
        <v>3</v>
      </c>
      <c r="K1974" s="8">
        <f t="shared" ca="1" si="364"/>
        <v>29787</v>
      </c>
      <c r="L1974" s="6">
        <f t="shared" ca="1" si="365"/>
        <v>4</v>
      </c>
      <c r="M1974" s="7">
        <f ca="1" xml:space="preserve">
  IF(OR($N1974 = 2, $N1974 = 3, $N1974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974" s="6">
        <f t="shared" ca="1" si="366"/>
        <v>6</v>
      </c>
      <c r="O1974" s="6" t="e">
        <f t="shared" ca="1" si="367"/>
        <v>#N/A</v>
      </c>
      <c r="P1974" s="8">
        <f t="shared" ca="1" si="368"/>
        <v>42432</v>
      </c>
      <c r="Q1974" s="6">
        <f ca="1">RANDBETWEEN(2,COUNTA('Recruitment source'!$A:$A))</f>
        <v>8</v>
      </c>
      <c r="R1974" s="8" t="e">
        <f t="shared" ca="1" si="369"/>
        <v>#N/A</v>
      </c>
      <c r="S1974" s="6" t="e">
        <f t="shared" ca="1" si="370"/>
        <v>#N/A</v>
      </c>
      <c r="T1974" s="6">
        <f t="shared" ca="1" si="360"/>
        <v>2</v>
      </c>
      <c r="U1974" s="1">
        <f t="shared" ca="1" si="371"/>
        <v>805</v>
      </c>
    </row>
    <row r="1975" spans="1:21" x14ac:dyDescent="0.2">
      <c r="A1975" s="7" cm="1">
        <f t="array" aca="1" ref="A1975" ca="1">INDEX(Companies!$A:$A,RANDBETWEEN(2,COUNTA(Companies!$A:$A)),1)</f>
        <v>2</v>
      </c>
      <c r="B1975" s="5">
        <f t="shared" si="361"/>
        <v>1974</v>
      </c>
      <c r="C1975" s="6">
        <f t="shared" ca="1" si="362"/>
        <v>1</v>
      </c>
      <c r="D1975" s="7">
        <f ca="1">IF($B1975 = 1 + N("Presidente"),
    127,
    IF($B1975 = 2 + N("Vice-Presidente"),
        72,
        IF($B1975 = 3 + N("Secretária bilíngue"),
            13,
            RANDBETWEEN(5,COUNT(Name!$A:$A) + 1)
        )
    )
)</f>
        <v>188</v>
      </c>
      <c r="E1975" s="7" t="str">
        <f ca="1" xml:space="preserve">
VLOOKUP(
  $D1975,
  Name!$A:$B,
  2,
  FALSE
)
&amp; " " &amp;
IF($B1975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Lucas Albuquerque Frois</v>
      </c>
      <c r="F1975" s="7">
        <v>2</v>
      </c>
      <c r="G1975" s="7" cm="1">
        <f t="array" aca="1" ref="G1975" ca="1">INDEX(States!$B:$B,RANDBETWEEN(2,COUNTA(States!$A:$A)),1)</f>
        <v>3</v>
      </c>
      <c r="H1975" s="7" t="str">
        <f ca="1">VLOOKUP($D1975,Name!$A:$C,3,FALSE)</f>
        <v>M</v>
      </c>
      <c r="I1975" s="7" cm="1">
        <f t="array" aca="1" ref="I1975" ca="1">INDEX('Marital status'!$A:$A,RANDBETWEEN(2,COUNTA('Marital status'!$A:$A)),1)</f>
        <v>4</v>
      </c>
      <c r="J1975" s="7">
        <f t="shared" ca="1" si="363"/>
        <v>2</v>
      </c>
      <c r="K1975" s="8">
        <f t="shared" ca="1" si="364"/>
        <v>35198</v>
      </c>
      <c r="L1975" s="6">
        <f t="shared" ca="1" si="365"/>
        <v>4</v>
      </c>
      <c r="M1975" s="7">
        <f ca="1" xml:space="preserve">
  IF(OR($N1975 = 2, $N1975 = 3, $N1975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975" s="6">
        <f t="shared" ca="1" si="366"/>
        <v>8</v>
      </c>
      <c r="O1975" s="6">
        <f t="shared" ca="1" si="367"/>
        <v>4</v>
      </c>
      <c r="P1975" s="8">
        <f t="shared" ca="1" si="368"/>
        <v>37308</v>
      </c>
      <c r="Q1975" s="6">
        <f ca="1">RANDBETWEEN(2,COUNTA('Recruitment source'!$A:$A))</f>
        <v>11</v>
      </c>
      <c r="R1975" s="8" t="e">
        <f t="shared" ca="1" si="369"/>
        <v>#N/A</v>
      </c>
      <c r="S1975" s="6" t="e">
        <f t="shared" ca="1" si="370"/>
        <v>#N/A</v>
      </c>
      <c r="T1975" s="6">
        <f t="shared" ca="1" si="360"/>
        <v>5</v>
      </c>
      <c r="U1975" s="1">
        <f t="shared" ca="1" si="371"/>
        <v>2000</v>
      </c>
    </row>
    <row r="1976" spans="1:21" x14ac:dyDescent="0.2">
      <c r="A1976" s="7" cm="1">
        <f t="array" aca="1" ref="A1976" ca="1">INDEX(Companies!$A:$A,RANDBETWEEN(2,COUNTA(Companies!$A:$A)),1)</f>
        <v>2</v>
      </c>
      <c r="B1976" s="5">
        <f t="shared" si="361"/>
        <v>1975</v>
      </c>
      <c r="C1976" s="6">
        <f t="shared" ca="1" si="362"/>
        <v>1</v>
      </c>
      <c r="D1976" s="7">
        <f ca="1">IF($B1976 = 1 + N("Presidente"),
    127,
    IF($B1976 = 2 + N("Vice-Presidente"),
        72,
        IF($B1976 = 3 + N("Secretária bilíngue"),
            13,
            RANDBETWEEN(5,COUNT(Name!$A:$A) + 1)
        )
    )
)</f>
        <v>184</v>
      </c>
      <c r="E1976" s="7" t="str">
        <f ca="1" xml:space="preserve">
VLOOKUP(
  $D1976,
  Name!$A:$B,
  2,
  FALSE
)
&amp; " " &amp;
IF($B1976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Joanna Auth Farina</v>
      </c>
      <c r="F1976" s="7">
        <v>2</v>
      </c>
      <c r="G1976" s="7" cm="1">
        <f t="array" aca="1" ref="G1976" ca="1">INDEX(States!$B:$B,RANDBETWEEN(2,COUNTA(States!$A:$A)),1)</f>
        <v>11</v>
      </c>
      <c r="H1976" s="7" t="str">
        <f ca="1">VLOOKUP($D1976,Name!$A:$C,3,FALSE)</f>
        <v>F</v>
      </c>
      <c r="I1976" s="7" cm="1">
        <f t="array" aca="1" ref="I1976" ca="1">INDEX('Marital status'!$A:$A,RANDBETWEEN(2,COUNTA('Marital status'!$A:$A)),1)</f>
        <v>2</v>
      </c>
      <c r="J1976" s="7">
        <f t="shared" ca="1" si="363"/>
        <v>5</v>
      </c>
      <c r="K1976" s="8">
        <f t="shared" ca="1" si="364"/>
        <v>22569</v>
      </c>
      <c r="L1976" s="6">
        <f t="shared" ca="1" si="365"/>
        <v>4</v>
      </c>
      <c r="M1976" s="7">
        <f ca="1" xml:space="preserve">
  IF(OR($N1976 = 2, $N1976 = 3, $N1976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976" s="6">
        <f t="shared" ca="1" si="366"/>
        <v>6</v>
      </c>
      <c r="O1976" s="6" t="e">
        <f t="shared" ca="1" si="367"/>
        <v>#N/A</v>
      </c>
      <c r="P1976" s="8">
        <f t="shared" ca="1" si="368"/>
        <v>40046</v>
      </c>
      <c r="Q1976" s="6">
        <f ca="1">RANDBETWEEN(2,COUNTA('Recruitment source'!$A:$A))</f>
        <v>5</v>
      </c>
      <c r="R1976" s="8" t="e">
        <f t="shared" ca="1" si="369"/>
        <v>#N/A</v>
      </c>
      <c r="S1976" s="6" t="e">
        <f t="shared" ca="1" si="370"/>
        <v>#N/A</v>
      </c>
      <c r="T1976" s="6">
        <f t="shared" ca="1" si="360"/>
        <v>5</v>
      </c>
      <c r="U1976" s="1">
        <f t="shared" ca="1" si="371"/>
        <v>885</v>
      </c>
    </row>
    <row r="1977" spans="1:21" x14ac:dyDescent="0.2">
      <c r="A1977" s="7" cm="1">
        <f t="array" aca="1" ref="A1977" ca="1">INDEX(Companies!$A:$A,RANDBETWEEN(2,COUNTA(Companies!$A:$A)),1)</f>
        <v>2</v>
      </c>
      <c r="B1977" s="5">
        <f t="shared" si="361"/>
        <v>1976</v>
      </c>
      <c r="C1977" s="6">
        <f t="shared" ca="1" si="362"/>
        <v>1</v>
      </c>
      <c r="D1977" s="7">
        <f ca="1">IF($B1977 = 1 + N("Presidente"),
    127,
    IF($B1977 = 2 + N("Vice-Presidente"),
        72,
        IF($B1977 = 3 + N("Secretária bilíngue"),
            13,
            RANDBETWEEN(5,COUNT(Name!$A:$A) + 1)
        )
    )
)</f>
        <v>110</v>
      </c>
      <c r="E1977" s="7" t="str">
        <f ca="1" xml:space="preserve">
VLOOKUP(
  $D1977,
  Name!$A:$B,
  2,
  FALSE
)
&amp; " " &amp;
IF($B1977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Miguel Aragão Ramos</v>
      </c>
      <c r="F1977" s="7">
        <v>2</v>
      </c>
      <c r="G1977" s="7" cm="1">
        <f t="array" aca="1" ref="G1977" ca="1">INDEX(States!$B:$B,RANDBETWEEN(2,COUNTA(States!$A:$A)),1)</f>
        <v>20</v>
      </c>
      <c r="H1977" s="7" t="str">
        <f ca="1">VLOOKUP($D1977,Name!$A:$C,3,FALSE)</f>
        <v>M</v>
      </c>
      <c r="I1977" s="7" cm="1">
        <f t="array" aca="1" ref="I1977" ca="1">INDEX('Marital status'!$A:$A,RANDBETWEEN(2,COUNTA('Marital status'!$A:$A)),1)</f>
        <v>4</v>
      </c>
      <c r="J1977" s="7">
        <f t="shared" ca="1" si="363"/>
        <v>2</v>
      </c>
      <c r="K1977" s="8">
        <f t="shared" ca="1" si="364"/>
        <v>33268</v>
      </c>
      <c r="L1977" s="6">
        <f t="shared" ca="1" si="365"/>
        <v>4</v>
      </c>
      <c r="M1977" s="7">
        <f ca="1" xml:space="preserve">
  IF(OR($N1977 = 2, $N1977 = 3, $N1977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977" s="6">
        <f t="shared" ca="1" si="366"/>
        <v>8</v>
      </c>
      <c r="O1977" s="6">
        <f t="shared" ca="1" si="367"/>
        <v>2</v>
      </c>
      <c r="P1977" s="8">
        <f t="shared" ca="1" si="368"/>
        <v>43429</v>
      </c>
      <c r="Q1977" s="6">
        <f ca="1">RANDBETWEEN(2,COUNTA('Recruitment source'!$A:$A))</f>
        <v>9</v>
      </c>
      <c r="R1977" s="8" t="e">
        <f t="shared" ca="1" si="369"/>
        <v>#N/A</v>
      </c>
      <c r="S1977" s="6" t="e">
        <f t="shared" ca="1" si="370"/>
        <v>#N/A</v>
      </c>
      <c r="T1977" s="6">
        <f t="shared" ca="1" si="360"/>
        <v>2</v>
      </c>
      <c r="U1977" s="1">
        <f t="shared" ca="1" si="371"/>
        <v>2000</v>
      </c>
    </row>
    <row r="1978" spans="1:21" x14ac:dyDescent="0.2">
      <c r="A1978" s="7" cm="1">
        <f t="array" aca="1" ref="A1978" ca="1">INDEX(Companies!$A:$A,RANDBETWEEN(2,COUNTA(Companies!$A:$A)),1)</f>
        <v>2</v>
      </c>
      <c r="B1978" s="5">
        <f t="shared" si="361"/>
        <v>1977</v>
      </c>
      <c r="C1978" s="6">
        <f t="shared" ca="1" si="362"/>
        <v>1</v>
      </c>
      <c r="D1978" s="7">
        <f ca="1">IF($B1978 = 1 + N("Presidente"),
    127,
    IF($B1978 = 2 + N("Vice-Presidente"),
        72,
        IF($B1978 = 3 + N("Secretária bilíngue"),
            13,
            RANDBETWEEN(5,COUNT(Name!$A:$A) + 1)
        )
    )
)</f>
        <v>47</v>
      </c>
      <c r="E1978" s="7" t="str">
        <f ca="1" xml:space="preserve">
VLOOKUP(
  $D1978,
  Name!$A:$B,
  2,
  FALSE
)
&amp; " " &amp;
IF($B1978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Anne Caroline Brasil Melo</v>
      </c>
      <c r="F1978" s="7">
        <v>2</v>
      </c>
      <c r="G1978" s="7" cm="1">
        <f t="array" aca="1" ref="G1978" ca="1">INDEX(States!$B:$B,RANDBETWEEN(2,COUNTA(States!$A:$A)),1)</f>
        <v>18</v>
      </c>
      <c r="H1978" s="7" t="str">
        <f ca="1">VLOOKUP($D1978,Name!$A:$C,3,FALSE)</f>
        <v>F</v>
      </c>
      <c r="I1978" s="7" cm="1">
        <f t="array" aca="1" ref="I1978" ca="1">INDEX('Marital status'!$A:$A,RANDBETWEEN(2,COUNTA('Marital status'!$A:$A)),1)</f>
        <v>4</v>
      </c>
      <c r="J1978" s="7">
        <f t="shared" ca="1" si="363"/>
        <v>2</v>
      </c>
      <c r="K1978" s="8">
        <f t="shared" ca="1" si="364"/>
        <v>32202</v>
      </c>
      <c r="L1978" s="6">
        <f t="shared" ca="1" si="365"/>
        <v>4</v>
      </c>
      <c r="M1978" s="7">
        <f ca="1" xml:space="preserve">
  IF(OR($N1978 = 2, $N1978 = 3, $N1978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978" s="6">
        <f t="shared" ca="1" si="366"/>
        <v>7</v>
      </c>
      <c r="O1978" s="6" t="e">
        <f t="shared" ca="1" si="367"/>
        <v>#N/A</v>
      </c>
      <c r="P1978" s="8">
        <f t="shared" ca="1" si="368"/>
        <v>41180</v>
      </c>
      <c r="Q1978" s="6">
        <f ca="1">RANDBETWEEN(2,COUNTA('Recruitment source'!$A:$A))</f>
        <v>4</v>
      </c>
      <c r="R1978" s="8" t="e">
        <f t="shared" ca="1" si="369"/>
        <v>#N/A</v>
      </c>
      <c r="S1978" s="6" t="e">
        <f t="shared" ca="1" si="370"/>
        <v>#N/A</v>
      </c>
      <c r="T1978" s="6">
        <f t="shared" ca="1" si="360"/>
        <v>2</v>
      </c>
      <c r="U1978" s="1">
        <f t="shared" ca="1" si="371"/>
        <v>1085</v>
      </c>
    </row>
    <row r="1979" spans="1:21" x14ac:dyDescent="0.2">
      <c r="A1979" s="7" cm="1">
        <f t="array" aca="1" ref="A1979" ca="1">INDEX(Companies!$A:$A,RANDBETWEEN(2,COUNTA(Companies!$A:$A)),1)</f>
        <v>2</v>
      </c>
      <c r="B1979" s="5">
        <f t="shared" si="361"/>
        <v>1978</v>
      </c>
      <c r="C1979" s="6">
        <f t="shared" ca="1" si="362"/>
        <v>1</v>
      </c>
      <c r="D1979" s="7">
        <f ca="1">IF($B1979 = 1 + N("Presidente"),
    127,
    IF($B1979 = 2 + N("Vice-Presidente"),
        72,
        IF($B1979 = 3 + N("Secretária bilíngue"),
            13,
            RANDBETWEEN(5,COUNT(Name!$A:$A) + 1)
        )
    )
)</f>
        <v>282</v>
      </c>
      <c r="E1979" s="7" t="str">
        <f ca="1" xml:space="preserve">
VLOOKUP(
  $D1979,
  Name!$A:$B,
  2,
  FALSE
)
&amp; " " &amp;
IF($B1979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Marinah Santacruz Dias</v>
      </c>
      <c r="F1979" s="7">
        <v>2</v>
      </c>
      <c r="G1979" s="7" cm="1">
        <f t="array" aca="1" ref="G1979" ca="1">INDEX(States!$B:$B,RANDBETWEEN(2,COUNTA(States!$A:$A)),1)</f>
        <v>14</v>
      </c>
      <c r="H1979" s="7" t="str">
        <f ca="1">VLOOKUP($D1979,Name!$A:$C,3,FALSE)</f>
        <v>F</v>
      </c>
      <c r="I1979" s="7" cm="1">
        <f t="array" aca="1" ref="I1979" ca="1">INDEX('Marital status'!$A:$A,RANDBETWEEN(2,COUNTA('Marital status'!$A:$A)),1)</f>
        <v>2</v>
      </c>
      <c r="J1979" s="7">
        <f t="shared" ca="1" si="363"/>
        <v>2</v>
      </c>
      <c r="K1979" s="8">
        <f t="shared" ca="1" si="364"/>
        <v>35211</v>
      </c>
      <c r="L1979" s="6">
        <f t="shared" ca="1" si="365"/>
        <v>4</v>
      </c>
      <c r="M1979" s="7">
        <f ca="1" xml:space="preserve">
  IF(OR($N1979 = 2, $N1979 = 3, $N1979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979" s="6">
        <f t="shared" ca="1" si="366"/>
        <v>8</v>
      </c>
      <c r="O1979" s="6">
        <f t="shared" ca="1" si="367"/>
        <v>2</v>
      </c>
      <c r="P1979" s="8">
        <f t="shared" ca="1" si="368"/>
        <v>41019</v>
      </c>
      <c r="Q1979" s="6">
        <f ca="1">RANDBETWEEN(2,COUNTA('Recruitment source'!$A:$A))</f>
        <v>7</v>
      </c>
      <c r="R1979" s="8" t="e">
        <f t="shared" ca="1" si="369"/>
        <v>#N/A</v>
      </c>
      <c r="S1979" s="6" t="e">
        <f t="shared" ca="1" si="370"/>
        <v>#N/A</v>
      </c>
      <c r="T1979" s="6">
        <f t="shared" ca="1" si="360"/>
        <v>5</v>
      </c>
      <c r="U1979" s="1">
        <f t="shared" ca="1" si="371"/>
        <v>2000</v>
      </c>
    </row>
    <row r="1980" spans="1:21" x14ac:dyDescent="0.2">
      <c r="A1980" s="7" cm="1">
        <f t="array" aca="1" ref="A1980" ca="1">INDEX(Companies!$A:$A,RANDBETWEEN(2,COUNTA(Companies!$A:$A)),1)</f>
        <v>2</v>
      </c>
      <c r="B1980" s="5">
        <f t="shared" si="361"/>
        <v>1979</v>
      </c>
      <c r="C1980" s="6">
        <f t="shared" ca="1" si="362"/>
        <v>1</v>
      </c>
      <c r="D1980" s="7">
        <f ca="1">IF($B1980 = 1 + N("Presidente"),
    127,
    IF($B1980 = 2 + N("Vice-Presidente"),
        72,
        IF($B1980 = 3 + N("Secretária bilíngue"),
            13,
            RANDBETWEEN(5,COUNT(Name!$A:$A) + 1)
        )
    )
)</f>
        <v>257</v>
      </c>
      <c r="E1980" s="7" t="str">
        <f ca="1" xml:space="preserve">
VLOOKUP(
  $D1980,
  Name!$A:$B,
  2,
  FALSE
)
&amp; " " &amp;
IF($B1980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Gomes Ferrão</v>
      </c>
      <c r="F1980" s="7">
        <v>2</v>
      </c>
      <c r="G1980" s="7" cm="1">
        <f t="array" aca="1" ref="G1980" ca="1">INDEX(States!$B:$B,RANDBETWEEN(2,COUNTA(States!$A:$A)),1)</f>
        <v>5</v>
      </c>
      <c r="H1980" s="7" t="str">
        <f ca="1">VLOOKUP($D1980,Name!$A:$C,3,FALSE)</f>
        <v>F</v>
      </c>
      <c r="I1980" s="7" cm="1">
        <f t="array" aca="1" ref="I1980" ca="1">INDEX('Marital status'!$A:$A,RANDBETWEEN(2,COUNTA('Marital status'!$A:$A)),1)</f>
        <v>6</v>
      </c>
      <c r="J1980" s="7">
        <f t="shared" ca="1" si="363"/>
        <v>4</v>
      </c>
      <c r="K1980" s="8">
        <f t="shared" ca="1" si="364"/>
        <v>33646</v>
      </c>
      <c r="L1980" s="6">
        <f t="shared" ca="1" si="365"/>
        <v>4</v>
      </c>
      <c r="M1980" s="7">
        <f ca="1" xml:space="preserve">
  IF(OR($N1980 = 2, $N1980 = 3, $N1980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1980" s="6">
        <f t="shared" ca="1" si="366"/>
        <v>7</v>
      </c>
      <c r="O1980" s="6" t="e">
        <f t="shared" ca="1" si="367"/>
        <v>#N/A</v>
      </c>
      <c r="P1980" s="8">
        <f t="shared" ca="1" si="368"/>
        <v>37408</v>
      </c>
      <c r="Q1980" s="6">
        <f ca="1">RANDBETWEEN(2,COUNTA('Recruitment source'!$A:$A))</f>
        <v>6</v>
      </c>
      <c r="R1980" s="8" t="e">
        <f t="shared" ca="1" si="369"/>
        <v>#N/A</v>
      </c>
      <c r="S1980" s="6" t="e">
        <f t="shared" ca="1" si="370"/>
        <v>#N/A</v>
      </c>
      <c r="T1980" s="6">
        <f t="shared" ca="1" si="360"/>
        <v>3</v>
      </c>
      <c r="U1980" s="1">
        <f t="shared" ca="1" si="371"/>
        <v>1005</v>
      </c>
    </row>
    <row r="1981" spans="1:21" x14ac:dyDescent="0.2">
      <c r="A1981" s="7" cm="1">
        <f t="array" aca="1" ref="A1981" ca="1">INDEX(Companies!$A:$A,RANDBETWEEN(2,COUNTA(Companies!$A:$A)),1)</f>
        <v>2</v>
      </c>
      <c r="B1981" s="5">
        <f t="shared" si="361"/>
        <v>1980</v>
      </c>
      <c r="C1981" s="6">
        <f t="shared" ca="1" si="362"/>
        <v>1</v>
      </c>
      <c r="D1981" s="7">
        <f ca="1">IF($B1981 = 1 + N("Presidente"),
    127,
    IF($B1981 = 2 + N("Vice-Presidente"),
        72,
        IF($B1981 = 3 + N("Secretária bilíngue"),
            13,
            RANDBETWEEN(5,COUNT(Name!$A:$A) + 1)
        )
    )
)</f>
        <v>303</v>
      </c>
      <c r="E1981" s="7" t="str">
        <f ca="1" xml:space="preserve">
VLOOKUP(
  $D1981,
  Name!$A:$B,
  2,
  FALSE
)
&amp; " " &amp;
IF($B1981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Nathália Ribeiro Nunes</v>
      </c>
      <c r="F1981" s="7">
        <v>2</v>
      </c>
      <c r="G1981" s="7" cm="1">
        <f t="array" aca="1" ref="G1981" ca="1">INDEX(States!$B:$B,RANDBETWEEN(2,COUNTA(States!$A:$A)),1)</f>
        <v>8</v>
      </c>
      <c r="H1981" s="7" t="str">
        <f ca="1">VLOOKUP($D1981,Name!$A:$C,3,FALSE)</f>
        <v>F</v>
      </c>
      <c r="I1981" s="7" cm="1">
        <f t="array" aca="1" ref="I1981" ca="1">INDEX('Marital status'!$A:$A,RANDBETWEEN(2,COUNTA('Marital status'!$A:$A)),1)</f>
        <v>4</v>
      </c>
      <c r="J1981" s="7">
        <f t="shared" ca="1" si="363"/>
        <v>3</v>
      </c>
      <c r="K1981" s="8">
        <f t="shared" ca="1" si="364"/>
        <v>33401</v>
      </c>
      <c r="L1981" s="6">
        <f t="shared" ca="1" si="365"/>
        <v>5</v>
      </c>
      <c r="M1981" s="7">
        <f ca="1" xml:space="preserve">
  IF(OR($N1981 = 2, $N1981 = 3, $N1981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981" s="6">
        <f t="shared" ca="1" si="366"/>
        <v>8</v>
      </c>
      <c r="O1981" s="6">
        <f t="shared" ca="1" si="367"/>
        <v>2</v>
      </c>
      <c r="P1981" s="8">
        <f t="shared" ca="1" si="368"/>
        <v>42314</v>
      </c>
      <c r="Q1981" s="6">
        <f ca="1">RANDBETWEEN(2,COUNTA('Recruitment source'!$A:$A))</f>
        <v>4</v>
      </c>
      <c r="R1981" s="8" t="e">
        <f t="shared" ca="1" si="369"/>
        <v>#N/A</v>
      </c>
      <c r="S1981" s="6" t="e">
        <f t="shared" ca="1" si="370"/>
        <v>#N/A</v>
      </c>
      <c r="T1981" s="6">
        <f t="shared" ca="1" si="360"/>
        <v>5</v>
      </c>
      <c r="U1981" s="1">
        <f t="shared" ca="1" si="371"/>
        <v>2080</v>
      </c>
    </row>
    <row r="1982" spans="1:21" x14ac:dyDescent="0.2">
      <c r="A1982" s="7" cm="1">
        <f t="array" aca="1" ref="A1982" ca="1">INDEX(Companies!$A:$A,RANDBETWEEN(2,COUNTA(Companies!$A:$A)),1)</f>
        <v>2</v>
      </c>
      <c r="B1982" s="5">
        <f t="shared" si="361"/>
        <v>1981</v>
      </c>
      <c r="C1982" s="6">
        <f t="shared" ca="1" si="362"/>
        <v>1</v>
      </c>
      <c r="D1982" s="7">
        <f ca="1">IF($B1982 = 1 + N("Presidente"),
    127,
    IF($B1982 = 2 + N("Vice-Presidente"),
        72,
        IF($B1982 = 3 + N("Secretária bilíngue"),
            13,
            RANDBETWEEN(5,COUNT(Name!$A:$A) + 1)
        )
    )
)</f>
        <v>21</v>
      </c>
      <c r="E1982" s="7" t="str">
        <f ca="1" xml:space="preserve">
VLOOKUP(
  $D1982,
  Name!$A:$B,
  2,
  FALSE
)
&amp; " " &amp;
IF($B1982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Allana Barbosa Carneiro</v>
      </c>
      <c r="F1982" s="7">
        <v>2</v>
      </c>
      <c r="G1982" s="7" cm="1">
        <f t="array" aca="1" ref="G1982" ca="1">INDEX(States!$B:$B,RANDBETWEEN(2,COUNTA(States!$A:$A)),1)</f>
        <v>14</v>
      </c>
      <c r="H1982" s="7" t="str">
        <f ca="1">VLOOKUP($D1982,Name!$A:$C,3,FALSE)</f>
        <v>F</v>
      </c>
      <c r="I1982" s="7" cm="1">
        <f t="array" aca="1" ref="I1982" ca="1">INDEX('Marital status'!$A:$A,RANDBETWEEN(2,COUNTA('Marital status'!$A:$A)),1)</f>
        <v>3</v>
      </c>
      <c r="J1982" s="7">
        <f t="shared" ca="1" si="363"/>
        <v>2</v>
      </c>
      <c r="K1982" s="8">
        <f t="shared" ca="1" si="364"/>
        <v>29830</v>
      </c>
      <c r="L1982" s="6">
        <f t="shared" ca="1" si="365"/>
        <v>4</v>
      </c>
      <c r="M1982" s="7">
        <f ca="1" xml:space="preserve">
  IF(OR($N1982 = 2, $N1982 = 3, $N1982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1982" s="6">
        <f t="shared" ca="1" si="366"/>
        <v>7</v>
      </c>
      <c r="O1982" s="6" t="e">
        <f t="shared" ca="1" si="367"/>
        <v>#N/A</v>
      </c>
      <c r="P1982" s="8">
        <f t="shared" ca="1" si="368"/>
        <v>39119</v>
      </c>
      <c r="Q1982" s="6">
        <f ca="1">RANDBETWEEN(2,COUNTA('Recruitment source'!$A:$A))</f>
        <v>2</v>
      </c>
      <c r="R1982" s="8" t="e">
        <f t="shared" ca="1" si="369"/>
        <v>#N/A</v>
      </c>
      <c r="S1982" s="6" t="e">
        <f t="shared" ca="1" si="370"/>
        <v>#N/A</v>
      </c>
      <c r="T1982" s="6">
        <f t="shared" ca="1" si="360"/>
        <v>5</v>
      </c>
      <c r="U1982" s="1">
        <f t="shared" ca="1" si="371"/>
        <v>1005</v>
      </c>
    </row>
    <row r="1983" spans="1:21" x14ac:dyDescent="0.2">
      <c r="A1983" s="7" cm="1">
        <f t="array" aca="1" ref="A1983" ca="1">INDEX(Companies!$A:$A,RANDBETWEEN(2,COUNTA(Companies!$A:$A)),1)</f>
        <v>2</v>
      </c>
      <c r="B1983" s="5">
        <f t="shared" si="361"/>
        <v>1982</v>
      </c>
      <c r="C1983" s="6">
        <f t="shared" ca="1" si="362"/>
        <v>1</v>
      </c>
      <c r="D1983" s="7">
        <f ca="1">IF($B1983 = 1 + N("Presidente"),
    127,
    IF($B1983 = 2 + N("Vice-Presidente"),
        72,
        IF($B1983 = 3 + N("Secretária bilíngue"),
            13,
            RANDBETWEEN(5,COUNT(Name!$A:$A) + 1)
        )
    )
)</f>
        <v>146</v>
      </c>
      <c r="E1983" s="7" t="str">
        <f ca="1" xml:space="preserve">
VLOOKUP(
  $D1983,
  Name!$A:$B,
  2,
  FALSE
)
&amp; " " &amp;
IF($B1983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Francisco Ferrara Lopes</v>
      </c>
      <c r="F1983" s="7">
        <v>2</v>
      </c>
      <c r="G1983" s="7" cm="1">
        <f t="array" aca="1" ref="G1983" ca="1">INDEX(States!$B:$B,RANDBETWEEN(2,COUNTA(States!$A:$A)),1)</f>
        <v>2</v>
      </c>
      <c r="H1983" s="7" t="str">
        <f ca="1">VLOOKUP($D1983,Name!$A:$C,3,FALSE)</f>
        <v>M</v>
      </c>
      <c r="I1983" s="7" cm="1">
        <f t="array" aca="1" ref="I1983" ca="1">INDEX('Marital status'!$A:$A,RANDBETWEEN(2,COUNTA('Marital status'!$A:$A)),1)</f>
        <v>4</v>
      </c>
      <c r="J1983" s="7">
        <f t="shared" ca="1" si="363"/>
        <v>2</v>
      </c>
      <c r="K1983" s="8">
        <f t="shared" ca="1" si="364"/>
        <v>37720</v>
      </c>
      <c r="L1983" s="6">
        <f t="shared" ca="1" si="365"/>
        <v>5</v>
      </c>
      <c r="M1983" s="7">
        <f ca="1" xml:space="preserve">
  IF(OR($N1983 = 2, $N1983 = 3, $N1983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983" s="6">
        <f t="shared" ca="1" si="366"/>
        <v>8</v>
      </c>
      <c r="O1983" s="6">
        <f t="shared" ca="1" si="367"/>
        <v>3</v>
      </c>
      <c r="P1983" s="8">
        <f t="shared" ca="1" si="368"/>
        <v>42482</v>
      </c>
      <c r="Q1983" s="6">
        <f ca="1">RANDBETWEEN(2,COUNTA('Recruitment source'!$A:$A))</f>
        <v>8</v>
      </c>
      <c r="R1983" s="8" t="e">
        <f t="shared" ca="1" si="369"/>
        <v>#N/A</v>
      </c>
      <c r="S1983" s="6" t="e">
        <f t="shared" ca="1" si="370"/>
        <v>#N/A</v>
      </c>
      <c r="T1983" s="6">
        <f t="shared" ca="1" si="360"/>
        <v>3</v>
      </c>
      <c r="U1983" s="1">
        <f t="shared" ca="1" si="371"/>
        <v>2080</v>
      </c>
    </row>
    <row r="1984" spans="1:21" x14ac:dyDescent="0.2">
      <c r="A1984" s="7" cm="1">
        <f t="array" aca="1" ref="A1984" ca="1">INDEX(Companies!$A:$A,RANDBETWEEN(2,COUNTA(Companies!$A:$A)),1)</f>
        <v>2</v>
      </c>
      <c r="B1984" s="5">
        <f t="shared" si="361"/>
        <v>1983</v>
      </c>
      <c r="C1984" s="6">
        <f t="shared" ca="1" si="362"/>
        <v>1</v>
      </c>
      <c r="D1984" s="7">
        <f ca="1">IF($B1984 = 1 + N("Presidente"),
    127,
    IF($B1984 = 2 + N("Vice-Presidente"),
        72,
        IF($B1984 = 3 + N("Secretária bilíngue"),
            13,
            RANDBETWEEN(5,COUNT(Name!$A:$A) + 1)
        )
    )
)</f>
        <v>38</v>
      </c>
      <c r="E1984" s="7" t="str">
        <f ca="1" xml:space="preserve">
VLOOKUP(
  $D1984,
  Name!$A:$B,
  2,
  FALSE
)
&amp; " " &amp;
IF($B1984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Analu Caminha Pedrosa</v>
      </c>
      <c r="F1984" s="7">
        <v>2</v>
      </c>
      <c r="G1984" s="7" cm="1">
        <f t="array" aca="1" ref="G1984" ca="1">INDEX(States!$B:$B,RANDBETWEEN(2,COUNTA(States!$A:$A)),1)</f>
        <v>8</v>
      </c>
      <c r="H1984" s="7" t="str">
        <f ca="1">VLOOKUP($D1984,Name!$A:$C,3,FALSE)</f>
        <v>F</v>
      </c>
      <c r="I1984" s="7" cm="1">
        <f t="array" aca="1" ref="I1984" ca="1">INDEX('Marital status'!$A:$A,RANDBETWEEN(2,COUNTA('Marital status'!$A:$A)),1)</f>
        <v>5</v>
      </c>
      <c r="J1984" s="7">
        <f t="shared" ca="1" si="363"/>
        <v>2</v>
      </c>
      <c r="K1984" s="8">
        <f t="shared" ca="1" si="364"/>
        <v>32196</v>
      </c>
      <c r="L1984" s="6">
        <f t="shared" ca="1" si="365"/>
        <v>4</v>
      </c>
      <c r="M1984" s="7">
        <f ca="1" xml:space="preserve">
  IF(OR($N1984 = 2, $N1984 = 3, $N1984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984" s="6">
        <f t="shared" ca="1" si="366"/>
        <v>6</v>
      </c>
      <c r="O1984" s="6" t="e">
        <f t="shared" ca="1" si="367"/>
        <v>#N/A</v>
      </c>
      <c r="P1984" s="8">
        <f t="shared" ca="1" si="368"/>
        <v>38071</v>
      </c>
      <c r="Q1984" s="6">
        <f ca="1">RANDBETWEEN(2,COUNTA('Recruitment source'!$A:$A))</f>
        <v>2</v>
      </c>
      <c r="R1984" s="8" t="e">
        <f t="shared" ca="1" si="369"/>
        <v>#N/A</v>
      </c>
      <c r="S1984" s="6" t="e">
        <f t="shared" ca="1" si="370"/>
        <v>#N/A</v>
      </c>
      <c r="T1984" s="6">
        <f t="shared" ca="1" si="360"/>
        <v>4</v>
      </c>
      <c r="U1984" s="1">
        <f t="shared" ca="1" si="371"/>
        <v>805</v>
      </c>
    </row>
    <row r="1985" spans="1:21" x14ac:dyDescent="0.2">
      <c r="A1985" s="7" cm="1">
        <f t="array" aca="1" ref="A1985" ca="1">INDEX(Companies!$A:$A,RANDBETWEEN(2,COUNTA(Companies!$A:$A)),1)</f>
        <v>2</v>
      </c>
      <c r="B1985" s="5">
        <f t="shared" si="361"/>
        <v>1984</v>
      </c>
      <c r="C1985" s="6">
        <f t="shared" ca="1" si="362"/>
        <v>1</v>
      </c>
      <c r="D1985" s="7">
        <f ca="1">IF($B1985 = 1 + N("Presidente"),
    127,
    IF($B1985 = 2 + N("Vice-Presidente"),
        72,
        IF($B1985 = 3 + N("Secretária bilíngue"),
            13,
            RANDBETWEEN(5,COUNT(Name!$A:$A) + 1)
        )
    )
)</f>
        <v>248</v>
      </c>
      <c r="E1985" s="7" t="str">
        <f ca="1" xml:space="preserve">
VLOOKUP(
  $D1985,
  Name!$A:$B,
  2,
  FALSE
)
&amp; " " &amp;
IF($B1985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Luiza Russo Ildelfonso</v>
      </c>
      <c r="F1985" s="7">
        <v>2</v>
      </c>
      <c r="G1985" s="7" cm="1">
        <f t="array" aca="1" ref="G1985" ca="1">INDEX(States!$B:$B,RANDBETWEEN(2,COUNTA(States!$A:$A)),1)</f>
        <v>8</v>
      </c>
      <c r="H1985" s="7" t="str">
        <f ca="1">VLOOKUP($D1985,Name!$A:$C,3,FALSE)</f>
        <v>F</v>
      </c>
      <c r="I1985" s="7" cm="1">
        <f t="array" aca="1" ref="I1985" ca="1">INDEX('Marital status'!$A:$A,RANDBETWEEN(2,COUNTA('Marital status'!$A:$A)),1)</f>
        <v>3</v>
      </c>
      <c r="J1985" s="7">
        <f t="shared" ca="1" si="363"/>
        <v>2</v>
      </c>
      <c r="K1985" s="8">
        <f t="shared" ca="1" si="364"/>
        <v>34131</v>
      </c>
      <c r="L1985" s="6">
        <f t="shared" ca="1" si="365"/>
        <v>4</v>
      </c>
      <c r="M1985" s="7">
        <f ca="1" xml:space="preserve">
  IF(OR($N1985 = 2, $N1985 = 3, $N1985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985" s="6">
        <f t="shared" ca="1" si="366"/>
        <v>8</v>
      </c>
      <c r="O1985" s="6">
        <f t="shared" ca="1" si="367"/>
        <v>4</v>
      </c>
      <c r="P1985" s="8">
        <f t="shared" ca="1" si="368"/>
        <v>42139</v>
      </c>
      <c r="Q1985" s="6">
        <f ca="1">RANDBETWEEN(2,COUNTA('Recruitment source'!$A:$A))</f>
        <v>5</v>
      </c>
      <c r="R1985" s="8" t="e">
        <f t="shared" ca="1" si="369"/>
        <v>#N/A</v>
      </c>
      <c r="S1985" s="6" t="e">
        <f t="shared" ca="1" si="370"/>
        <v>#N/A</v>
      </c>
      <c r="T1985" s="6">
        <f t="shared" ca="1" si="360"/>
        <v>3</v>
      </c>
      <c r="U1985" s="1">
        <f t="shared" ca="1" si="371"/>
        <v>2080</v>
      </c>
    </row>
    <row r="1986" spans="1:21" x14ac:dyDescent="0.2">
      <c r="A1986" s="7" cm="1">
        <f t="array" aca="1" ref="A1986" ca="1">INDEX(Companies!$A:$A,RANDBETWEEN(2,COUNTA(Companies!$A:$A)),1)</f>
        <v>2</v>
      </c>
      <c r="B1986" s="5">
        <f t="shared" si="361"/>
        <v>1985</v>
      </c>
      <c r="C1986" s="6">
        <f t="shared" ca="1" si="362"/>
        <v>1</v>
      </c>
      <c r="D1986" s="7">
        <f ca="1">IF($B1986 = 1 + N("Presidente"),
    127,
    IF($B1986 = 2 + N("Vice-Presidente"),
        72,
        IF($B1986 = 3 + N("Secretária bilíngue"),
            13,
            RANDBETWEEN(5,COUNT(Name!$A:$A) + 1)
        )
    )
)</f>
        <v>307</v>
      </c>
      <c r="E1986" s="7" t="str">
        <f ca="1" xml:space="preserve">
VLOOKUP(
  $D1986,
  Name!$A:$B,
  2,
  FALSE
)
&amp; " " &amp;
IF($B1986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Nicole Abranches Sacramento</v>
      </c>
      <c r="F1986" s="7">
        <v>2</v>
      </c>
      <c r="G1986" s="7" cm="1">
        <f t="array" aca="1" ref="G1986" ca="1">INDEX(States!$B:$B,RANDBETWEEN(2,COUNTA(States!$A:$A)),1)</f>
        <v>21</v>
      </c>
      <c r="H1986" s="7" t="str">
        <f ca="1">VLOOKUP($D1986,Name!$A:$C,3,FALSE)</f>
        <v>F</v>
      </c>
      <c r="I1986" s="7" cm="1">
        <f t="array" aca="1" ref="I1986" ca="1">INDEX('Marital status'!$A:$A,RANDBETWEEN(2,COUNTA('Marital status'!$A:$A)),1)</f>
        <v>4</v>
      </c>
      <c r="J1986" s="7">
        <f t="shared" ca="1" si="363"/>
        <v>2</v>
      </c>
      <c r="K1986" s="8">
        <f t="shared" ca="1" si="364"/>
        <v>29824</v>
      </c>
      <c r="L1986" s="6">
        <f t="shared" ca="1" si="365"/>
        <v>4</v>
      </c>
      <c r="M1986" s="7">
        <f ca="1" xml:space="preserve">
  IF(OR($N1986 = 2, $N1986 = 3, $N1986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1986" s="6">
        <f t="shared" ca="1" si="366"/>
        <v>6</v>
      </c>
      <c r="O1986" s="6" t="e">
        <f t="shared" ca="1" si="367"/>
        <v>#N/A</v>
      </c>
      <c r="P1986" s="8">
        <f t="shared" ca="1" si="368"/>
        <v>40427</v>
      </c>
      <c r="Q1986" s="6">
        <f ca="1">RANDBETWEEN(2,COUNTA('Recruitment source'!$A:$A))</f>
        <v>6</v>
      </c>
      <c r="R1986" s="8" t="e">
        <f t="shared" ca="1" si="369"/>
        <v>#N/A</v>
      </c>
      <c r="S1986" s="6" t="e">
        <f t="shared" ca="1" si="370"/>
        <v>#N/A</v>
      </c>
      <c r="T1986" s="6">
        <f t="shared" ref="T1986:T2031" ca="1" si="372" xml:space="preserve">
IF(
 ISNA($R1986),
 IF(
   $N1986 = 2,
   5,
   IF(
     OR($N1986=3,$N1986=4,$N1986=5),
     RANDBETWEEN(4,5),
     IF(
       OR($N1986=11,$N1986=12),
       RANDBETWEEN(3,5),
       RANDBETWEEN(2,5)
     )
   )
 ),
 RANDBETWEEN(1,3)
)</f>
        <v>3</v>
      </c>
      <c r="U1986" s="1">
        <f t="shared" ca="1" si="371"/>
        <v>805</v>
      </c>
    </row>
    <row r="1987" spans="1:21" x14ac:dyDescent="0.2">
      <c r="A1987" s="7" cm="1">
        <f t="array" aca="1" ref="A1987" ca="1">INDEX(Companies!$A:$A,RANDBETWEEN(2,COUNTA(Companies!$A:$A)),1)</f>
        <v>2</v>
      </c>
      <c r="B1987" s="5">
        <f t="shared" ref="B1987:B2031" si="373">ROW() - 1</f>
        <v>1986</v>
      </c>
      <c r="C1987" s="6">
        <f t="shared" ref="C1987:C2031" ca="1" si="374">IF(ISNA($R1987),1,0)</f>
        <v>1</v>
      </c>
      <c r="D1987" s="7">
        <f ca="1">IF($B1987 = 1 + N("Presidente"),
    127,
    IF($B1987 = 2 + N("Vice-Presidente"),
        72,
        IF($B1987 = 3 + N("Secretária bilíngue"),
            13,
            RANDBETWEEN(5,COUNT(Name!$A:$A) + 1)
        )
    )
)</f>
        <v>95</v>
      </c>
      <c r="E1987" s="7" t="str">
        <f ca="1" xml:space="preserve">
VLOOKUP(
  $D1987,
  Name!$A:$B,
  2,
  FALSE
)
&amp; " " &amp;
IF($B1987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Clarice Bispo Alcantara</v>
      </c>
      <c r="F1987" s="7">
        <v>2</v>
      </c>
      <c r="G1987" s="7" cm="1">
        <f t="array" aca="1" ref="G1987" ca="1">INDEX(States!$B:$B,RANDBETWEEN(2,COUNTA(States!$A:$A)),1)</f>
        <v>12</v>
      </c>
      <c r="H1987" s="7" t="str">
        <f ca="1">VLOOKUP($D1987,Name!$A:$C,3,FALSE)</f>
        <v>F</v>
      </c>
      <c r="I1987" s="7" cm="1">
        <f t="array" aca="1" ref="I1987" ca="1">INDEX('Marital status'!$A:$A,RANDBETWEEN(2,COUNTA('Marital status'!$A:$A)),1)</f>
        <v>3</v>
      </c>
      <c r="J1987" s="7">
        <f t="shared" ref="J1987:J2031" ca="1" si="375" xml:space="preserve">
IF(AND($N1987 &gt;= 2, $N1987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K1987" s="8">
        <f t="shared" ref="K1987:K2031" ca="1" si="376" xml:space="preserve">
IF($N1987 = 5 + N("CEO"),
    TODAY() - 16340,
    IF($N1987 = 8 + N("Secretary"),
        RANDBETWEEN(TODAY() - 12418.5, TODAY()-6574.5),
        IF(OR($N1987 = 7, $N1987 = 14),
            RANDBETWEEN(TODAY() - 16071, TODAY() - 8766),
            IF(OR($N1987 = 13, $N1987 = 12, $N1987 = 11),
                RANDBETWEEN(TODAY() - 27393.75, TODAY() - 12783.75),
                RANDBETWEEN(TODAY() - 27393.75, TODAY()-10957.5)
            )
        )
    )
)</f>
        <v>33530</v>
      </c>
      <c r="L1987" s="6">
        <f t="shared" ref="L1987:L2031" ca="1" si="377" xml:space="preserve">
IF(OR($N1987 = 2, $N1987 = 3) + N("Se for presidente ou vice-presidente"),
    7 + N("Doutor"),
    IF($N1987 = 4 + N("Se for diretor"),
        RANDBETWEEN(5,7) + N("Graduate school or Master’s degree or Doctorate"),
        IF($N1987 = 11 + N("Se for gerente"),
            RANDBETWEEN(4,6) + N("Undergraduate degree or Graduate school or Master’s degree"),
            IF(AND($N1987 &gt;= 8, $N1987 &lt;= 10) + N("If coordinator or specialist or analyst"),
                RANDBETWEEN(4,5),
                4
            )
        )
    )
)</f>
        <v>5</v>
      </c>
      <c r="M1987" s="7">
        <f ca="1" xml:space="preserve">
  IF(OR($N1987 = 2, $N1987 = 3, $N1987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987" s="6">
        <f t="shared" ref="N1987:N2031" ca="1" si="378" xml:space="preserve">
IF($B1987 = 1 + N("Se matrícula for 1"),
  2 + N("Presidente"),
  IF($B1987 = 2 + N("Se matrícula for 2"),
    3 + N("Vice-presidente"),
    IF($B1987 = 3 + N("Se matrícula for 3"),
      5 + N("Secretária bilíngue"),
      IF(AND($B1987 &gt;= 4, $B1987 &lt;=14),
        4 + N("Diretor"),
        IF(AND($B1987 &gt;= 15, $B1987 &lt;= 25),
          11 + N("Manager"),
          IF(AND($B1987 &gt;= 26, $B1987 &lt;= 36),
            10 + N("Coordinador"),
            IF(AND($B1987 &gt;= 37, $B1987 &lt;= 47),
              9 + N("Especialista"),
                IF(MOD($B1987,2) = 0,
                  8 + N("Analista"),
                  RANDBETWEEN(6,7) + N("Estagiário ou Trainee")
                )
            )
          )
        )
      )
    )
  )
)</f>
        <v>8</v>
      </c>
      <c r="O1987" s="6">
        <f t="shared" ref="O1987:O2031" ca="1" si="379" xml:space="preserve">
IF($N1987 =8 + N("Analyst"),
    RANDBETWEEN(2, 4) + N("Jr, Pleno, Sr"),
    NA()
)</f>
        <v>3</v>
      </c>
      <c r="P1987" s="8">
        <f t="shared" ref="P1987:P2031" ca="1" si="380" xml:space="preserve">
IF(
   $N1987=2 + N("Presidente"),
   36161,
   IF(
       OR(
         $N1987=3 + N("Vice-Presidente"),
         $N1987=4 + N("Diretor"),
         $N1987=5 + N("Secretária bilíngue")
       ),
       RANDBETWEEN(36161,36411),
       IF(
         ((TODAY() - $K1987) / 365) &lt; 19,
         TODAY(),
         RANDBETWEEN(36161,TODAY())
       )
   )
)</f>
        <v>38850</v>
      </c>
      <c r="Q1987" s="6">
        <f ca="1">RANDBETWEEN(2,COUNTA('Recruitment source'!$A:$A))</f>
        <v>3</v>
      </c>
      <c r="R1987" s="8" t="e">
        <f t="shared" ref="R1987:R2031" ca="1" si="381" xml:space="preserve">
IF(MOD(
     ROW(),111
   )=0,
   RANDBETWEEN($P1987 + 1,TODAY() - 1),NA()
)</f>
        <v>#N/A</v>
      </c>
      <c r="S1987" s="6" t="e">
        <f t="shared" ref="S1987:S2031" ca="1" si="382" xml:space="preserve">
IF(
  ISNA(R1987),
  NA(),
  RANDBETWEEN(2,IF($H1987="F",10,9))
)</f>
        <v>#N/A</v>
      </c>
      <c r="T1987" s="6">
        <f t="shared" ca="1" si="372"/>
        <v>4</v>
      </c>
      <c r="U1987" s="1">
        <f t="shared" ref="U1987:U2031" ca="1" si="383" xml:space="preserve">
IF($N1987 = 2 + N("Presidente"),
    25000,
    IF($N1987 = 3 + N("Vice-presidente"),
        23000,
        IF(OR($N1987 = 5, $N1987= 10, $N1987 = 9) + N("Secretária bilíngue ou coordenador ou especialista"),
            8000,
            IF($N1987 = 4 + N("Diretor"),
                15000,
                IF($N1987 = 11 + N("Gerente"),
                    12000,
                    IF($N1987 = 6 + N("Estagiário"),
                        805,
                        IF($N1987 = 7 + N("Trainee"),
                            1005,
                            IF($N1987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IF($L1987 = 7,
  100,
  IF($L1987 = 8,
    200,
    IF($L1987 = 9,
      300,
      IF($L1987 = 10,
        400,
        0
      )
    )
  )
)
+
N("Adicional no salário por área")
+
IF($M1987 = 14 + N("Tecnologia da Informação"),
  120,
  IF($M1987 = 16 + N("Vendas"),
    110,
    IF($M1987 = 15 + N("Jurídico"),
      100,
      IF(OR($M1987 = 8, $M1987 = 9, $M1987 = 11) + N("Recursos humanos ou comercial ou comunicação e marketing"),
        80,
        0
      )
    )
  )
)
+
N("Adicionando pegadinha")
+
IF(AND($M1987 = 13, $N1987 = 8) + N("Se for de vendas e analista"),
  IF($J1987 = 2,
    50,
    0
  )
  +
  IF($H1987 = "M",
    50,
    0
  ),
  0
)</f>
        <v>2000</v>
      </c>
    </row>
    <row r="1988" spans="1:21" x14ac:dyDescent="0.2">
      <c r="A1988" s="7" cm="1">
        <f t="array" aca="1" ref="A1988" ca="1">INDEX(Companies!$A:$A,RANDBETWEEN(2,COUNTA(Companies!$A:$A)),1)</f>
        <v>2</v>
      </c>
      <c r="B1988" s="5">
        <f t="shared" si="373"/>
        <v>1987</v>
      </c>
      <c r="C1988" s="6">
        <f t="shared" ca="1" si="374"/>
        <v>1</v>
      </c>
      <c r="D1988" s="7">
        <f ca="1">IF($B1988 = 1 + N("Presidente"),
    127,
    IF($B1988 = 2 + N("Vice-Presidente"),
        72,
        IF($B1988 = 3 + N("Secretária bilíngue"),
            13,
            RANDBETWEEN(5,COUNT(Name!$A:$A) + 1)
        )
    )
)</f>
        <v>350</v>
      </c>
      <c r="E1988" s="7" t="str">
        <f ca="1" xml:space="preserve">
VLOOKUP(
  $D1988,
  Name!$A:$B,
  2,
  FALSE
)
&amp; " " &amp;
IF($B1988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Vanessa Figo Tavarez</v>
      </c>
      <c r="F1988" s="7">
        <v>2</v>
      </c>
      <c r="G1988" s="7" cm="1">
        <f t="array" aca="1" ref="G1988" ca="1">INDEX(States!$B:$B,RANDBETWEEN(2,COUNTA(States!$A:$A)),1)</f>
        <v>7</v>
      </c>
      <c r="H1988" s="7" t="str">
        <f ca="1">VLOOKUP($D1988,Name!$A:$C,3,FALSE)</f>
        <v>F</v>
      </c>
      <c r="I1988" s="7" cm="1">
        <f t="array" aca="1" ref="I1988" ca="1">INDEX('Marital status'!$A:$A,RANDBETWEEN(2,COUNTA('Marital status'!$A:$A)),1)</f>
        <v>2</v>
      </c>
      <c r="J1988" s="7">
        <f t="shared" ca="1" si="375"/>
        <v>3</v>
      </c>
      <c r="K1988" s="8">
        <f t="shared" ca="1" si="376"/>
        <v>30722</v>
      </c>
      <c r="L1988" s="6">
        <f t="shared" ca="1" si="377"/>
        <v>4</v>
      </c>
      <c r="M1988" s="7">
        <f ca="1" xml:space="preserve">
  IF(OR($N1988 = 2, $N1988 = 3, $N1988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1988" s="6">
        <f t="shared" ca="1" si="378"/>
        <v>6</v>
      </c>
      <c r="O1988" s="6" t="e">
        <f t="shared" ca="1" si="379"/>
        <v>#N/A</v>
      </c>
      <c r="P1988" s="8">
        <f t="shared" ca="1" si="380"/>
        <v>38068</v>
      </c>
      <c r="Q1988" s="6">
        <f ca="1">RANDBETWEEN(2,COUNTA('Recruitment source'!$A:$A))</f>
        <v>6</v>
      </c>
      <c r="R1988" s="8" t="e">
        <f t="shared" ca="1" si="381"/>
        <v>#N/A</v>
      </c>
      <c r="S1988" s="6" t="e">
        <f t="shared" ca="1" si="382"/>
        <v>#N/A</v>
      </c>
      <c r="T1988" s="6">
        <f t="shared" ca="1" si="372"/>
        <v>2</v>
      </c>
      <c r="U1988" s="1">
        <f t="shared" ca="1" si="383"/>
        <v>805</v>
      </c>
    </row>
    <row r="1989" spans="1:21" x14ac:dyDescent="0.2">
      <c r="A1989" s="7" cm="1">
        <f t="array" aca="1" ref="A1989" ca="1">INDEX(Companies!$A:$A,RANDBETWEEN(2,COUNTA(Companies!$A:$A)),1)</f>
        <v>2</v>
      </c>
      <c r="B1989" s="5">
        <f t="shared" si="373"/>
        <v>1988</v>
      </c>
      <c r="C1989" s="6">
        <f t="shared" ca="1" si="374"/>
        <v>1</v>
      </c>
      <c r="D1989" s="7">
        <f ca="1">IF($B1989 = 1 + N("Presidente"),
    127,
    IF($B1989 = 2 + N("Vice-Presidente"),
        72,
        IF($B1989 = 3 + N("Secretária bilíngue"),
            13,
            RANDBETWEEN(5,COUNT(Name!$A:$A) + 1)
        )
    )
)</f>
        <v>318</v>
      </c>
      <c r="E1989" s="7" t="str">
        <f ca="1" xml:space="preserve">
VLOOKUP(
  $D1989,
  Name!$A:$B,
  2,
  FALSE
)
&amp; " " &amp;
IF($B1989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Lucas Cardozo Longo</v>
      </c>
      <c r="F1989" s="7">
        <v>2</v>
      </c>
      <c r="G1989" s="7" cm="1">
        <f t="array" aca="1" ref="G1989" ca="1">INDEX(States!$B:$B,RANDBETWEEN(2,COUNTA(States!$A:$A)),1)</f>
        <v>20</v>
      </c>
      <c r="H1989" s="7" t="str">
        <f ca="1">VLOOKUP($D1989,Name!$A:$C,3,FALSE)</f>
        <v>M</v>
      </c>
      <c r="I1989" s="7" cm="1">
        <f t="array" aca="1" ref="I1989" ca="1">INDEX('Marital status'!$A:$A,RANDBETWEEN(2,COUNTA('Marital status'!$A:$A)),1)</f>
        <v>4</v>
      </c>
      <c r="J1989" s="7">
        <f t="shared" ca="1" si="375"/>
        <v>2</v>
      </c>
      <c r="K1989" s="8">
        <f t="shared" ca="1" si="376"/>
        <v>38109</v>
      </c>
      <c r="L1989" s="6">
        <f t="shared" ca="1" si="377"/>
        <v>4</v>
      </c>
      <c r="M1989" s="7">
        <f ca="1" xml:space="preserve">
  IF(OR($N1989 = 2, $N1989 = 3, $N1989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989" s="6">
        <f t="shared" ca="1" si="378"/>
        <v>8</v>
      </c>
      <c r="O1989" s="6">
        <f t="shared" ca="1" si="379"/>
        <v>4</v>
      </c>
      <c r="P1989" s="8">
        <f t="shared" ca="1" si="380"/>
        <v>44838</v>
      </c>
      <c r="Q1989" s="6">
        <f ca="1">RANDBETWEEN(2,COUNTA('Recruitment source'!$A:$A))</f>
        <v>8</v>
      </c>
      <c r="R1989" s="8" t="e">
        <f t="shared" ca="1" si="381"/>
        <v>#N/A</v>
      </c>
      <c r="S1989" s="6" t="e">
        <f t="shared" ca="1" si="382"/>
        <v>#N/A</v>
      </c>
      <c r="T1989" s="6">
        <f t="shared" ca="1" si="372"/>
        <v>5</v>
      </c>
      <c r="U1989" s="1">
        <f t="shared" ca="1" si="383"/>
        <v>2000</v>
      </c>
    </row>
    <row r="1990" spans="1:21" x14ac:dyDescent="0.2">
      <c r="A1990" s="7" cm="1">
        <f t="array" aca="1" ref="A1990" ca="1">INDEX(Companies!$A:$A,RANDBETWEEN(2,COUNTA(Companies!$A:$A)),1)</f>
        <v>2</v>
      </c>
      <c r="B1990" s="5">
        <f t="shared" si="373"/>
        <v>1989</v>
      </c>
      <c r="C1990" s="6">
        <f t="shared" ca="1" si="374"/>
        <v>1</v>
      </c>
      <c r="D1990" s="7">
        <f ca="1">IF($B1990 = 1 + N("Presidente"),
    127,
    IF($B1990 = 2 + N("Vice-Presidente"),
        72,
        IF($B1990 = 3 + N("Secretária bilíngue"),
            13,
            RANDBETWEEN(5,COUNT(Name!$A:$A) + 1)
        )
    )
)</f>
        <v>300</v>
      </c>
      <c r="E1990" s="7" t="str">
        <f ca="1" xml:space="preserve">
VLOOKUP(
  $D1990,
  Name!$A:$B,
  2,
  FALSE
)
&amp; " " &amp;
IF($B1990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Muricy Seixas Bactista</v>
      </c>
      <c r="F1990" s="7">
        <v>2</v>
      </c>
      <c r="G1990" s="7" cm="1">
        <f t="array" aca="1" ref="G1990" ca="1">INDEX(States!$B:$B,RANDBETWEEN(2,COUNTA(States!$A:$A)),1)</f>
        <v>19</v>
      </c>
      <c r="H1990" s="7" t="str">
        <f ca="1">VLOOKUP($D1990,Name!$A:$C,3,FALSE)</f>
        <v>M</v>
      </c>
      <c r="I1990" s="7" cm="1">
        <f t="array" aca="1" ref="I1990" ca="1">INDEX('Marital status'!$A:$A,RANDBETWEEN(2,COUNTA('Marital status'!$A:$A)),1)</f>
        <v>4</v>
      </c>
      <c r="J1990" s="7">
        <f t="shared" ca="1" si="375"/>
        <v>2</v>
      </c>
      <c r="K1990" s="8">
        <f t="shared" ca="1" si="376"/>
        <v>29728</v>
      </c>
      <c r="L1990" s="6">
        <f t="shared" ca="1" si="377"/>
        <v>4</v>
      </c>
      <c r="M1990" s="7">
        <f ca="1" xml:space="preserve">
  IF(OR($N1990 = 2, $N1990 = 3, $N1990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1990" s="6">
        <f t="shared" ca="1" si="378"/>
        <v>6</v>
      </c>
      <c r="O1990" s="6" t="e">
        <f t="shared" ca="1" si="379"/>
        <v>#N/A</v>
      </c>
      <c r="P1990" s="8">
        <f t="shared" ca="1" si="380"/>
        <v>36729</v>
      </c>
      <c r="Q1990" s="6">
        <f ca="1">RANDBETWEEN(2,COUNTA('Recruitment source'!$A:$A))</f>
        <v>11</v>
      </c>
      <c r="R1990" s="8" t="e">
        <f t="shared" ca="1" si="381"/>
        <v>#N/A</v>
      </c>
      <c r="S1990" s="6" t="e">
        <f t="shared" ca="1" si="382"/>
        <v>#N/A</v>
      </c>
      <c r="T1990" s="6">
        <f t="shared" ca="1" si="372"/>
        <v>4</v>
      </c>
      <c r="U1990" s="1">
        <f t="shared" ca="1" si="383"/>
        <v>805</v>
      </c>
    </row>
    <row r="1991" spans="1:21" x14ac:dyDescent="0.2">
      <c r="A1991" s="7" cm="1">
        <f t="array" aca="1" ref="A1991" ca="1">INDEX(Companies!$A:$A,RANDBETWEEN(2,COUNTA(Companies!$A:$A)),1)</f>
        <v>2</v>
      </c>
      <c r="B1991" s="5">
        <f t="shared" si="373"/>
        <v>1990</v>
      </c>
      <c r="C1991" s="6">
        <f t="shared" ca="1" si="374"/>
        <v>1</v>
      </c>
      <c r="D1991" s="7">
        <f ca="1">IF($B1991 = 1 + N("Presidente"),
    127,
    IF($B1991 = 2 + N("Vice-Presidente"),
        72,
        IF($B1991 = 3 + N("Secretária bilíngue"),
            13,
            RANDBETWEEN(5,COUNT(Name!$A:$A) + 1)
        )
    )
)</f>
        <v>126</v>
      </c>
      <c r="E1991" s="7" t="str">
        <f ca="1" xml:space="preserve">
VLOOKUP(
  $D1991,
  Name!$A:$B,
  2,
  FALSE
)
&amp; " " &amp;
IF($B1991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Enrico Ferrara Rizzo</v>
      </c>
      <c r="F1991" s="7">
        <v>2</v>
      </c>
      <c r="G1991" s="7" cm="1">
        <f t="array" aca="1" ref="G1991" ca="1">INDEX(States!$B:$B,RANDBETWEEN(2,COUNTA(States!$A:$A)),1)</f>
        <v>5</v>
      </c>
      <c r="H1991" s="7" t="str">
        <f ca="1">VLOOKUP($D1991,Name!$A:$C,3,FALSE)</f>
        <v>M</v>
      </c>
      <c r="I1991" s="7" cm="1">
        <f t="array" aca="1" ref="I1991" ca="1">INDEX('Marital status'!$A:$A,RANDBETWEEN(2,COUNTA('Marital status'!$A:$A)),1)</f>
        <v>2</v>
      </c>
      <c r="J1991" s="7">
        <f t="shared" ca="1" si="375"/>
        <v>4</v>
      </c>
      <c r="K1991" s="8">
        <f t="shared" ca="1" si="376"/>
        <v>35327</v>
      </c>
      <c r="L1991" s="6">
        <f t="shared" ca="1" si="377"/>
        <v>4</v>
      </c>
      <c r="M1991" s="7">
        <f ca="1" xml:space="preserve">
  IF(OR($N1991 = 2, $N1991 = 3, $N1991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991" s="6">
        <f t="shared" ca="1" si="378"/>
        <v>8</v>
      </c>
      <c r="O1991" s="6">
        <f t="shared" ca="1" si="379"/>
        <v>3</v>
      </c>
      <c r="P1991" s="8">
        <f t="shared" ca="1" si="380"/>
        <v>38643</v>
      </c>
      <c r="Q1991" s="6">
        <f ca="1">RANDBETWEEN(2,COUNTA('Recruitment source'!$A:$A))</f>
        <v>4</v>
      </c>
      <c r="R1991" s="8" t="e">
        <f t="shared" ca="1" si="381"/>
        <v>#N/A</v>
      </c>
      <c r="S1991" s="6" t="e">
        <f t="shared" ca="1" si="382"/>
        <v>#N/A</v>
      </c>
      <c r="T1991" s="6">
        <f t="shared" ca="1" si="372"/>
        <v>3</v>
      </c>
      <c r="U1991" s="1">
        <f t="shared" ca="1" si="383"/>
        <v>2080</v>
      </c>
    </row>
    <row r="1992" spans="1:21" x14ac:dyDescent="0.2">
      <c r="A1992" s="7" cm="1">
        <f t="array" aca="1" ref="A1992" ca="1">INDEX(Companies!$A:$A,RANDBETWEEN(2,COUNTA(Companies!$A:$A)),1)</f>
        <v>2</v>
      </c>
      <c r="B1992" s="5">
        <f t="shared" si="373"/>
        <v>1991</v>
      </c>
      <c r="C1992" s="6">
        <f t="shared" ca="1" si="374"/>
        <v>1</v>
      </c>
      <c r="D1992" s="7">
        <f ca="1">IF($B1992 = 1 + N("Presidente"),
    127,
    IF($B1992 = 2 + N("Vice-Presidente"),
        72,
        IF($B1992 = 3 + N("Secretária bilíngue"),
            13,
            RANDBETWEEN(5,COUNT(Name!$A:$A) + 1)
        )
    )
)</f>
        <v>89</v>
      </c>
      <c r="E1992" s="7" t="str">
        <f ca="1" xml:space="preserve">
VLOOKUP(
  $D1992,
  Name!$A:$B,
  2,
  FALSE
)
&amp; " " &amp;
IF($B1992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Cauã Albuquerque Figo</v>
      </c>
      <c r="F1992" s="7">
        <v>2</v>
      </c>
      <c r="G1992" s="7" cm="1">
        <f t="array" aca="1" ref="G1992" ca="1">INDEX(States!$B:$B,RANDBETWEEN(2,COUNTA(States!$A:$A)),1)</f>
        <v>21</v>
      </c>
      <c r="H1992" s="7" t="str">
        <f ca="1">VLOOKUP($D1992,Name!$A:$C,3,FALSE)</f>
        <v>M</v>
      </c>
      <c r="I1992" s="7" cm="1">
        <f t="array" aca="1" ref="I1992" ca="1">INDEX('Marital status'!$A:$A,RANDBETWEEN(2,COUNTA('Marital status'!$A:$A)),1)</f>
        <v>2</v>
      </c>
      <c r="J1992" s="7">
        <f t="shared" ca="1" si="375"/>
        <v>2</v>
      </c>
      <c r="K1992" s="8">
        <f t="shared" ca="1" si="376"/>
        <v>25335</v>
      </c>
      <c r="L1992" s="6">
        <f t="shared" ca="1" si="377"/>
        <v>4</v>
      </c>
      <c r="M1992" s="7">
        <f ca="1" xml:space="preserve">
  IF(OR($N1992 = 2, $N1992 = 3, $N1992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1992" s="6">
        <f t="shared" ca="1" si="378"/>
        <v>6</v>
      </c>
      <c r="O1992" s="6" t="e">
        <f t="shared" ca="1" si="379"/>
        <v>#N/A</v>
      </c>
      <c r="P1992" s="8">
        <f t="shared" ca="1" si="380"/>
        <v>39000</v>
      </c>
      <c r="Q1992" s="6">
        <f ca="1">RANDBETWEEN(2,COUNTA('Recruitment source'!$A:$A))</f>
        <v>6</v>
      </c>
      <c r="R1992" s="8" t="e">
        <f t="shared" ca="1" si="381"/>
        <v>#N/A</v>
      </c>
      <c r="S1992" s="6" t="e">
        <f t="shared" ca="1" si="382"/>
        <v>#N/A</v>
      </c>
      <c r="T1992" s="6">
        <f t="shared" ca="1" si="372"/>
        <v>2</v>
      </c>
      <c r="U1992" s="1">
        <f t="shared" ca="1" si="383"/>
        <v>805</v>
      </c>
    </row>
    <row r="1993" spans="1:21" x14ac:dyDescent="0.2">
      <c r="A1993" s="7" cm="1">
        <f t="array" aca="1" ref="A1993" ca="1">INDEX(Companies!$A:$A,RANDBETWEEN(2,COUNTA(Companies!$A:$A)),1)</f>
        <v>2</v>
      </c>
      <c r="B1993" s="5">
        <f t="shared" si="373"/>
        <v>1992</v>
      </c>
      <c r="C1993" s="6">
        <f t="shared" ca="1" si="374"/>
        <v>1</v>
      </c>
      <c r="D1993" s="7">
        <f ca="1">IF($B1993 = 1 + N("Presidente"),
    127,
    IF($B1993 = 2 + N("Vice-Presidente"),
        72,
        IF($B1993 = 3 + N("Secretária bilíngue"),
            13,
            RANDBETWEEN(5,COUNT(Name!$A:$A) + 1)
        )
    )
)</f>
        <v>143</v>
      </c>
      <c r="E1993" s="7" t="str">
        <f ca="1" xml:space="preserve">
VLOOKUP(
  $D1993,
  Name!$A:$B,
  2,
  FALSE
)
&amp; " " &amp;
IF($B1993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Flavio Cabral Asvilla</v>
      </c>
      <c r="F1993" s="7">
        <v>2</v>
      </c>
      <c r="G1993" s="7" cm="1">
        <f t="array" aca="1" ref="G1993" ca="1">INDEX(States!$B:$B,RANDBETWEEN(2,COUNTA(States!$A:$A)),1)</f>
        <v>19</v>
      </c>
      <c r="H1993" s="7" t="str">
        <f ca="1">VLOOKUP($D1993,Name!$A:$C,3,FALSE)</f>
        <v>M</v>
      </c>
      <c r="I1993" s="7" cm="1">
        <f t="array" aca="1" ref="I1993" ca="1">INDEX('Marital status'!$A:$A,RANDBETWEEN(2,COUNTA('Marital status'!$A:$A)),1)</f>
        <v>6</v>
      </c>
      <c r="J1993" s="7">
        <f t="shared" ca="1" si="375"/>
        <v>2</v>
      </c>
      <c r="K1993" s="8">
        <f t="shared" ca="1" si="376"/>
        <v>34483</v>
      </c>
      <c r="L1993" s="6">
        <f t="shared" ca="1" si="377"/>
        <v>4</v>
      </c>
      <c r="M1993" s="7">
        <f ca="1" xml:space="preserve">
  IF(OR($N1993 = 2, $N1993 = 3, $N1993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993" s="6">
        <f t="shared" ca="1" si="378"/>
        <v>8</v>
      </c>
      <c r="O1993" s="6">
        <f t="shared" ca="1" si="379"/>
        <v>3</v>
      </c>
      <c r="P1993" s="8">
        <f t="shared" ca="1" si="380"/>
        <v>36388</v>
      </c>
      <c r="Q1993" s="6">
        <f ca="1">RANDBETWEEN(2,COUNTA('Recruitment source'!$A:$A))</f>
        <v>11</v>
      </c>
      <c r="R1993" s="8" t="e">
        <f t="shared" ca="1" si="381"/>
        <v>#N/A</v>
      </c>
      <c r="S1993" s="6" t="e">
        <f t="shared" ca="1" si="382"/>
        <v>#N/A</v>
      </c>
      <c r="T1993" s="6">
        <f t="shared" ca="1" si="372"/>
        <v>4</v>
      </c>
      <c r="U1993" s="1">
        <f t="shared" ca="1" si="383"/>
        <v>2000</v>
      </c>
    </row>
    <row r="1994" spans="1:21" x14ac:dyDescent="0.2">
      <c r="A1994" s="7" cm="1">
        <f t="array" aca="1" ref="A1994" ca="1">INDEX(Companies!$A:$A,RANDBETWEEN(2,COUNTA(Companies!$A:$A)),1)</f>
        <v>2</v>
      </c>
      <c r="B1994" s="5">
        <f t="shared" si="373"/>
        <v>1993</v>
      </c>
      <c r="C1994" s="6">
        <f t="shared" ca="1" si="374"/>
        <v>1</v>
      </c>
      <c r="D1994" s="7">
        <f ca="1">IF($B1994 = 1 + N("Presidente"),
    127,
    IF($B1994 = 2 + N("Vice-Presidente"),
        72,
        IF($B1994 = 3 + N("Secretária bilíngue"),
            13,
            RANDBETWEEN(5,COUNT(Name!$A:$A) + 1)
        )
    )
)</f>
        <v>56</v>
      </c>
      <c r="E1994" s="7" t="str">
        <f ca="1" xml:space="preserve">
VLOOKUP(
  $D1994,
  Name!$A:$B,
  2,
  FALSE
)
&amp; " " &amp;
IF($B1994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Gabriel Noronha Campos</v>
      </c>
      <c r="F1994" s="7">
        <v>2</v>
      </c>
      <c r="G1994" s="7" cm="1">
        <f t="array" aca="1" ref="G1994" ca="1">INDEX(States!$B:$B,RANDBETWEEN(2,COUNTA(States!$A:$A)),1)</f>
        <v>21</v>
      </c>
      <c r="H1994" s="7" t="str">
        <f ca="1">VLOOKUP($D1994,Name!$A:$C,3,FALSE)</f>
        <v>M</v>
      </c>
      <c r="I1994" s="7" cm="1">
        <f t="array" aca="1" ref="I1994" ca="1">INDEX('Marital status'!$A:$A,RANDBETWEEN(2,COUNTA('Marital status'!$A:$A)),1)</f>
        <v>3</v>
      </c>
      <c r="J1994" s="7">
        <f t="shared" ca="1" si="375"/>
        <v>2</v>
      </c>
      <c r="K1994" s="8">
        <f t="shared" ca="1" si="376"/>
        <v>35475</v>
      </c>
      <c r="L1994" s="6">
        <f t="shared" ca="1" si="377"/>
        <v>4</v>
      </c>
      <c r="M1994" s="7">
        <f ca="1" xml:space="preserve">
  IF(OR($N1994 = 2, $N1994 = 3, $N1994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994" s="6">
        <f t="shared" ca="1" si="378"/>
        <v>7</v>
      </c>
      <c r="O1994" s="6" t="e">
        <f t="shared" ca="1" si="379"/>
        <v>#N/A</v>
      </c>
      <c r="P1994" s="8">
        <f t="shared" ca="1" si="380"/>
        <v>41239</v>
      </c>
      <c r="Q1994" s="6">
        <f ca="1">RANDBETWEEN(2,COUNTA('Recruitment source'!$A:$A))</f>
        <v>3</v>
      </c>
      <c r="R1994" s="8" t="e">
        <f t="shared" ca="1" si="381"/>
        <v>#N/A</v>
      </c>
      <c r="S1994" s="6" t="e">
        <f t="shared" ca="1" si="382"/>
        <v>#N/A</v>
      </c>
      <c r="T1994" s="6">
        <f t="shared" ca="1" si="372"/>
        <v>3</v>
      </c>
      <c r="U1994" s="1">
        <f t="shared" ca="1" si="383"/>
        <v>1005</v>
      </c>
    </row>
    <row r="1995" spans="1:21" x14ac:dyDescent="0.2">
      <c r="A1995" s="7" cm="1">
        <f t="array" aca="1" ref="A1995" ca="1">INDEX(Companies!$A:$A,RANDBETWEEN(2,COUNTA(Companies!$A:$A)),1)</f>
        <v>2</v>
      </c>
      <c r="B1995" s="5">
        <f t="shared" si="373"/>
        <v>1994</v>
      </c>
      <c r="C1995" s="6">
        <f t="shared" ca="1" si="374"/>
        <v>1</v>
      </c>
      <c r="D1995" s="7">
        <f ca="1">IF($B1995 = 1 + N("Presidente"),
    127,
    IF($B1995 = 2 + N("Vice-Presidente"),
        72,
        IF($B1995 = 3 + N("Secretária bilíngue"),
            13,
            RANDBETWEEN(5,COUNT(Name!$A:$A) + 1)
        )
    )
)</f>
        <v>190</v>
      </c>
      <c r="E1995" s="7" t="str">
        <f ca="1" xml:space="preserve">
VLOOKUP(
  $D1995,
  Name!$A:$B,
  2,
  FALSE
)
&amp; " " &amp;
IF($B1995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Miguel Azeredo Asvilla</v>
      </c>
      <c r="F1995" s="7">
        <v>2</v>
      </c>
      <c r="G1995" s="7" cm="1">
        <f t="array" aca="1" ref="G1995" ca="1">INDEX(States!$B:$B,RANDBETWEEN(2,COUNTA(States!$A:$A)),1)</f>
        <v>19</v>
      </c>
      <c r="H1995" s="7" t="str">
        <f ca="1">VLOOKUP($D1995,Name!$A:$C,3,FALSE)</f>
        <v>M</v>
      </c>
      <c r="I1995" s="7" cm="1">
        <f t="array" aca="1" ref="I1995" ca="1">INDEX('Marital status'!$A:$A,RANDBETWEEN(2,COUNTA('Marital status'!$A:$A)),1)</f>
        <v>2</v>
      </c>
      <c r="J1995" s="7">
        <f t="shared" ca="1" si="375"/>
        <v>5</v>
      </c>
      <c r="K1995" s="8">
        <f t="shared" ca="1" si="376"/>
        <v>36289</v>
      </c>
      <c r="L1995" s="6">
        <f t="shared" ca="1" si="377"/>
        <v>4</v>
      </c>
      <c r="M1995" s="7">
        <f ca="1" xml:space="preserve">
  IF(OR($N1995 = 2, $N1995 = 3, $N1995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995" s="6">
        <f t="shared" ca="1" si="378"/>
        <v>8</v>
      </c>
      <c r="O1995" s="6">
        <f t="shared" ca="1" si="379"/>
        <v>4</v>
      </c>
      <c r="P1995" s="8">
        <f t="shared" ca="1" si="380"/>
        <v>41318</v>
      </c>
      <c r="Q1995" s="6">
        <f ca="1">RANDBETWEEN(2,COUNTA('Recruitment source'!$A:$A))</f>
        <v>4</v>
      </c>
      <c r="R1995" s="8" t="e">
        <f t="shared" ca="1" si="381"/>
        <v>#N/A</v>
      </c>
      <c r="S1995" s="6" t="e">
        <f t="shared" ca="1" si="382"/>
        <v>#N/A</v>
      </c>
      <c r="T1995" s="6">
        <f t="shared" ca="1" si="372"/>
        <v>5</v>
      </c>
      <c r="U1995" s="1">
        <f t="shared" ca="1" si="383"/>
        <v>2080</v>
      </c>
    </row>
    <row r="1996" spans="1:21" x14ac:dyDescent="0.2">
      <c r="A1996" s="7" cm="1">
        <f t="array" aca="1" ref="A1996" ca="1">INDEX(Companies!$A:$A,RANDBETWEEN(2,COUNTA(Companies!$A:$A)),1)</f>
        <v>2</v>
      </c>
      <c r="B1996" s="5">
        <f t="shared" si="373"/>
        <v>1995</v>
      </c>
      <c r="C1996" s="6">
        <f t="shared" ca="1" si="374"/>
        <v>1</v>
      </c>
      <c r="D1996" s="7">
        <f ca="1">IF($B1996 = 1 + N("Presidente"),
    127,
    IF($B1996 = 2 + N("Vice-Presidente"),
        72,
        IF($B1996 = 3 + N("Secretária bilíngue"),
            13,
            RANDBETWEEN(5,COUNT(Name!$A:$A) + 1)
        )
    )
)</f>
        <v>17</v>
      </c>
      <c r="E1996" s="7" t="str">
        <f ca="1" xml:space="preserve">
VLOOKUP(
  $D1996,
  Name!$A:$B,
  2,
  FALSE
)
&amp; " " &amp;
IF($B1996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Alicia Barros Brasil</v>
      </c>
      <c r="F1996" s="7">
        <v>2</v>
      </c>
      <c r="G1996" s="7" cm="1">
        <f t="array" aca="1" ref="G1996" ca="1">INDEX(States!$B:$B,RANDBETWEEN(2,COUNTA(States!$A:$A)),1)</f>
        <v>5</v>
      </c>
      <c r="H1996" s="7" t="str">
        <f ca="1">VLOOKUP($D1996,Name!$A:$C,3,FALSE)</f>
        <v>F</v>
      </c>
      <c r="I1996" s="7" cm="1">
        <f t="array" aca="1" ref="I1996" ca="1">INDEX('Marital status'!$A:$A,RANDBETWEEN(2,COUNTA('Marital status'!$A:$A)),1)</f>
        <v>6</v>
      </c>
      <c r="J1996" s="7">
        <f t="shared" ca="1" si="375"/>
        <v>2</v>
      </c>
      <c r="K1996" s="8">
        <f t="shared" ca="1" si="376"/>
        <v>22537</v>
      </c>
      <c r="L1996" s="6">
        <f t="shared" ca="1" si="377"/>
        <v>4</v>
      </c>
      <c r="M1996" s="7">
        <f ca="1" xml:space="preserve">
  IF(OR($N1996 = 2, $N1996 = 3, $N1996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1996" s="6">
        <f t="shared" ca="1" si="378"/>
        <v>6</v>
      </c>
      <c r="O1996" s="6" t="e">
        <f t="shared" ca="1" si="379"/>
        <v>#N/A</v>
      </c>
      <c r="P1996" s="8">
        <f t="shared" ca="1" si="380"/>
        <v>42290</v>
      </c>
      <c r="Q1996" s="6">
        <f ca="1">RANDBETWEEN(2,COUNTA('Recruitment source'!$A:$A))</f>
        <v>6</v>
      </c>
      <c r="R1996" s="8" t="e">
        <f t="shared" ca="1" si="381"/>
        <v>#N/A</v>
      </c>
      <c r="S1996" s="6" t="e">
        <f t="shared" ca="1" si="382"/>
        <v>#N/A</v>
      </c>
      <c r="T1996" s="6">
        <f t="shared" ca="1" si="372"/>
        <v>5</v>
      </c>
      <c r="U1996" s="1">
        <f t="shared" ca="1" si="383"/>
        <v>885</v>
      </c>
    </row>
    <row r="1997" spans="1:21" x14ac:dyDescent="0.2">
      <c r="A1997" s="7" cm="1">
        <f t="array" aca="1" ref="A1997" ca="1">INDEX(Companies!$A:$A,RANDBETWEEN(2,COUNTA(Companies!$A:$A)),1)</f>
        <v>2</v>
      </c>
      <c r="B1997" s="5">
        <f t="shared" si="373"/>
        <v>1996</v>
      </c>
      <c r="C1997" s="6">
        <f t="shared" ca="1" si="374"/>
        <v>1</v>
      </c>
      <c r="D1997" s="7">
        <f ca="1">IF($B1997 = 1 + N("Presidente"),
    127,
    IF($B1997 = 2 + N("Vice-Presidente"),
        72,
        IF($B1997 = 3 + N("Secretária bilíngue"),
            13,
            RANDBETWEEN(5,COUNT(Name!$A:$A) + 1)
        )
    )
)</f>
        <v>157</v>
      </c>
      <c r="E1997" s="7" t="str">
        <f ca="1" xml:space="preserve">
VLOOKUP(
  $D1997,
  Name!$A:$B,
  2,
  FALSE
)
&amp; " " &amp;
IF($B1997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Guilherme Aguiar Padrão</v>
      </c>
      <c r="F1997" s="7">
        <v>2</v>
      </c>
      <c r="G1997" s="7" cm="1">
        <f t="array" aca="1" ref="G1997" ca="1">INDEX(States!$B:$B,RANDBETWEEN(2,COUNTA(States!$A:$A)),1)</f>
        <v>19</v>
      </c>
      <c r="H1997" s="7" t="str">
        <f ca="1">VLOOKUP($D1997,Name!$A:$C,3,FALSE)</f>
        <v>M</v>
      </c>
      <c r="I1997" s="7" cm="1">
        <f t="array" aca="1" ref="I1997" ca="1">INDEX('Marital status'!$A:$A,RANDBETWEEN(2,COUNTA('Marital status'!$A:$A)),1)</f>
        <v>3</v>
      </c>
      <c r="J1997" s="7">
        <f t="shared" ca="1" si="375"/>
        <v>2</v>
      </c>
      <c r="K1997" s="8">
        <f t="shared" ca="1" si="376"/>
        <v>33030</v>
      </c>
      <c r="L1997" s="6">
        <f t="shared" ca="1" si="377"/>
        <v>4</v>
      </c>
      <c r="M1997" s="7">
        <f ca="1" xml:space="preserve">
  IF(OR($N1997 = 2, $N1997 = 3, $N1997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1997" s="6">
        <f t="shared" ca="1" si="378"/>
        <v>8</v>
      </c>
      <c r="O1997" s="6">
        <f t="shared" ca="1" si="379"/>
        <v>2</v>
      </c>
      <c r="P1997" s="8">
        <f t="shared" ca="1" si="380"/>
        <v>39230</v>
      </c>
      <c r="Q1997" s="6">
        <f ca="1">RANDBETWEEN(2,COUNTA('Recruitment source'!$A:$A))</f>
        <v>5</v>
      </c>
      <c r="R1997" s="8" t="e">
        <f t="shared" ca="1" si="381"/>
        <v>#N/A</v>
      </c>
      <c r="S1997" s="6" t="e">
        <f t="shared" ca="1" si="382"/>
        <v>#N/A</v>
      </c>
      <c r="T1997" s="6">
        <f t="shared" ca="1" si="372"/>
        <v>3</v>
      </c>
      <c r="U1997" s="1">
        <f t="shared" ca="1" si="383"/>
        <v>2000</v>
      </c>
    </row>
    <row r="1998" spans="1:21" x14ac:dyDescent="0.2">
      <c r="A1998" s="7" cm="1">
        <f t="array" aca="1" ref="A1998" ca="1">INDEX(Companies!$A:$A,RANDBETWEEN(2,COUNTA(Companies!$A:$A)),1)</f>
        <v>2</v>
      </c>
      <c r="B1998" s="5">
        <f t="shared" si="373"/>
        <v>1997</v>
      </c>
      <c r="C1998" s="6">
        <f t="shared" ca="1" si="374"/>
        <v>0</v>
      </c>
      <c r="D1998" s="7">
        <f ca="1">IF($B1998 = 1 + N("Presidente"),
    127,
    IF($B1998 = 2 + N("Vice-Presidente"),
        72,
        IF($B1998 = 3 + N("Secretária bilíngue"),
            13,
            RANDBETWEEN(5,COUNT(Name!$A:$A) + 1)
        )
    )
)</f>
        <v>11</v>
      </c>
      <c r="E1998" s="7" t="str">
        <f ca="1" xml:space="preserve">
VLOOKUP(
  $D1998,
  Name!$A:$B,
  2,
  FALSE
)
&amp; " " &amp;
IF($B1998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Agatha Ramos Albuquerque</v>
      </c>
      <c r="F1998" s="7">
        <v>2</v>
      </c>
      <c r="G1998" s="7" cm="1">
        <f t="array" aca="1" ref="G1998" ca="1">INDEX(States!$B:$B,RANDBETWEEN(2,COUNTA(States!$A:$A)),1)</f>
        <v>19</v>
      </c>
      <c r="H1998" s="7" t="str">
        <f ca="1">VLOOKUP($D1998,Name!$A:$C,3,FALSE)</f>
        <v>F</v>
      </c>
      <c r="I1998" s="7" cm="1">
        <f t="array" aca="1" ref="I1998" ca="1">INDEX('Marital status'!$A:$A,RANDBETWEEN(2,COUNTA('Marital status'!$A:$A)),1)</f>
        <v>5</v>
      </c>
      <c r="J1998" s="7">
        <f t="shared" ca="1" si="375"/>
        <v>2</v>
      </c>
      <c r="K1998" s="8">
        <f t="shared" ca="1" si="376"/>
        <v>29963</v>
      </c>
      <c r="L1998" s="6">
        <f t="shared" ca="1" si="377"/>
        <v>4</v>
      </c>
      <c r="M1998" s="7">
        <f ca="1" xml:space="preserve">
  IF(OR($N1998 = 2, $N1998 = 3, $N1998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1998" s="6">
        <f t="shared" ca="1" si="378"/>
        <v>7</v>
      </c>
      <c r="O1998" s="6" t="e">
        <f t="shared" ca="1" si="379"/>
        <v>#N/A</v>
      </c>
      <c r="P1998" s="8">
        <f t="shared" ca="1" si="380"/>
        <v>44326</v>
      </c>
      <c r="Q1998" s="6">
        <f ca="1">RANDBETWEEN(2,COUNTA('Recruitment source'!$A:$A))</f>
        <v>10</v>
      </c>
      <c r="R1998" s="8">
        <f t="shared" ca="1" si="381"/>
        <v>44367</v>
      </c>
      <c r="S1998" s="6">
        <f t="shared" ca="1" si="382"/>
        <v>9</v>
      </c>
      <c r="T1998" s="6">
        <f t="shared" ca="1" si="372"/>
        <v>2</v>
      </c>
      <c r="U1998" s="1">
        <f t="shared" ca="1" si="383"/>
        <v>1085</v>
      </c>
    </row>
    <row r="1999" spans="1:21" x14ac:dyDescent="0.2">
      <c r="A1999" s="7" cm="1">
        <f t="array" aca="1" ref="A1999" ca="1">INDEX(Companies!$A:$A,RANDBETWEEN(2,COUNTA(Companies!$A:$A)),1)</f>
        <v>2</v>
      </c>
      <c r="B1999" s="5">
        <f t="shared" si="373"/>
        <v>1998</v>
      </c>
      <c r="C1999" s="6">
        <f t="shared" ca="1" si="374"/>
        <v>1</v>
      </c>
      <c r="D1999" s="7">
        <f ca="1">IF($B1999 = 1 + N("Presidente"),
    127,
    IF($B1999 = 2 + N("Vice-Presidente"),
        72,
        IF($B1999 = 3 + N("Secretária bilíngue"),
            13,
            RANDBETWEEN(5,COUNT(Name!$A:$A) + 1)
        )
    )
)</f>
        <v>74</v>
      </c>
      <c r="E1999" s="7" t="str">
        <f ca="1" xml:space="preserve">
VLOOKUP(
  $D1999,
  Name!$A:$B,
  2,
  FALSE
)
&amp; " " &amp;
IF($B1999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Brenda Brasão Morato</v>
      </c>
      <c r="F1999" s="7">
        <v>2</v>
      </c>
      <c r="G1999" s="7" cm="1">
        <f t="array" aca="1" ref="G1999" ca="1">INDEX(States!$B:$B,RANDBETWEEN(2,COUNTA(States!$A:$A)),1)</f>
        <v>7</v>
      </c>
      <c r="H1999" s="7" t="str">
        <f ca="1">VLOOKUP($D1999,Name!$A:$C,3,FALSE)</f>
        <v>F</v>
      </c>
      <c r="I1999" s="7" cm="1">
        <f t="array" aca="1" ref="I1999" ca="1">INDEX('Marital status'!$A:$A,RANDBETWEEN(2,COUNTA('Marital status'!$A:$A)),1)</f>
        <v>2</v>
      </c>
      <c r="J1999" s="7">
        <f t="shared" ca="1" si="375"/>
        <v>2</v>
      </c>
      <c r="K1999" s="8">
        <f t="shared" ca="1" si="376"/>
        <v>36765</v>
      </c>
      <c r="L1999" s="6">
        <f t="shared" ca="1" si="377"/>
        <v>4</v>
      </c>
      <c r="M1999" s="7">
        <f ca="1" xml:space="preserve">
  IF(OR($N1999 = 2, $N1999 = 3, $N1999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1999" s="6">
        <f t="shared" ca="1" si="378"/>
        <v>8</v>
      </c>
      <c r="O1999" s="6">
        <f t="shared" ca="1" si="379"/>
        <v>2</v>
      </c>
      <c r="P1999" s="8">
        <f t="shared" ca="1" si="380"/>
        <v>41107</v>
      </c>
      <c r="Q1999" s="6">
        <f ca="1">RANDBETWEEN(2,COUNTA('Recruitment source'!$A:$A))</f>
        <v>3</v>
      </c>
      <c r="R1999" s="8" t="e">
        <f t="shared" ca="1" si="381"/>
        <v>#N/A</v>
      </c>
      <c r="S1999" s="6" t="e">
        <f t="shared" ca="1" si="382"/>
        <v>#N/A</v>
      </c>
      <c r="T1999" s="6">
        <f t="shared" ca="1" si="372"/>
        <v>5</v>
      </c>
      <c r="U1999" s="1">
        <f t="shared" ca="1" si="383"/>
        <v>2080</v>
      </c>
    </row>
    <row r="2000" spans="1:21" x14ac:dyDescent="0.2">
      <c r="A2000" s="7" cm="1">
        <f t="array" aca="1" ref="A2000" ca="1">INDEX(Companies!$A:$A,RANDBETWEEN(2,COUNTA(Companies!$A:$A)),1)</f>
        <v>2</v>
      </c>
      <c r="B2000" s="5">
        <f t="shared" si="373"/>
        <v>1999</v>
      </c>
      <c r="C2000" s="6">
        <f t="shared" ca="1" si="374"/>
        <v>1</v>
      </c>
      <c r="D2000" s="7">
        <f ca="1">IF($B2000 = 1 + N("Presidente"),
    127,
    IF($B2000 = 2 + N("Vice-Presidente"),
        72,
        IF($B2000 = 3 + N("Secretária bilíngue"),
            13,
            RANDBETWEEN(5,COUNT(Name!$A:$A) + 1)
        )
    )
)</f>
        <v>239</v>
      </c>
      <c r="E2000" s="7" t="str">
        <f ca="1" xml:space="preserve">
VLOOKUP(
  $D2000,
  Name!$A:$B,
  2,
  FALSE
)
&amp; " " &amp;
IF($B2000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Lucas Gabriel Esposito Padrão</v>
      </c>
      <c r="F2000" s="7">
        <v>2</v>
      </c>
      <c r="G2000" s="7" cm="1">
        <f t="array" aca="1" ref="G2000" ca="1">INDEX(States!$B:$B,RANDBETWEEN(2,COUNTA(States!$A:$A)),1)</f>
        <v>11</v>
      </c>
      <c r="H2000" s="7" t="str">
        <f ca="1">VLOOKUP($D2000,Name!$A:$C,3,FALSE)</f>
        <v>M</v>
      </c>
      <c r="I2000" s="7" cm="1">
        <f t="array" aca="1" ref="I2000" ca="1">INDEX('Marital status'!$A:$A,RANDBETWEEN(2,COUNTA('Marital status'!$A:$A)),1)</f>
        <v>5</v>
      </c>
      <c r="J2000" s="7">
        <f t="shared" ca="1" si="375"/>
        <v>2</v>
      </c>
      <c r="K2000" s="8">
        <f t="shared" ca="1" si="376"/>
        <v>29744</v>
      </c>
      <c r="L2000" s="6">
        <f t="shared" ca="1" si="377"/>
        <v>4</v>
      </c>
      <c r="M2000" s="7">
        <f ca="1" xml:space="preserve">
  IF(OR($N2000 = 2, $N2000 = 3, $N2000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2000" s="6">
        <f t="shared" ca="1" si="378"/>
        <v>7</v>
      </c>
      <c r="O2000" s="6" t="e">
        <f t="shared" ca="1" si="379"/>
        <v>#N/A</v>
      </c>
      <c r="P2000" s="8">
        <f t="shared" ca="1" si="380"/>
        <v>38911</v>
      </c>
      <c r="Q2000" s="6">
        <f ca="1">RANDBETWEEN(2,COUNTA('Recruitment source'!$A:$A))</f>
        <v>6</v>
      </c>
      <c r="R2000" s="8" t="e">
        <f t="shared" ca="1" si="381"/>
        <v>#N/A</v>
      </c>
      <c r="S2000" s="6" t="e">
        <f t="shared" ca="1" si="382"/>
        <v>#N/A</v>
      </c>
      <c r="T2000" s="6">
        <f t="shared" ca="1" si="372"/>
        <v>3</v>
      </c>
      <c r="U2000" s="1">
        <f t="shared" ca="1" si="383"/>
        <v>1005</v>
      </c>
    </row>
    <row r="2001" spans="1:21" x14ac:dyDescent="0.2">
      <c r="A2001" s="7" cm="1">
        <f t="array" aca="1" ref="A2001" ca="1">INDEX(Companies!$A:$A,RANDBETWEEN(2,COUNTA(Companies!$A:$A)),1)</f>
        <v>2</v>
      </c>
      <c r="B2001" s="5">
        <f t="shared" si="373"/>
        <v>2000</v>
      </c>
      <c r="C2001" s="6">
        <f t="shared" ca="1" si="374"/>
        <v>1</v>
      </c>
      <c r="D2001" s="7">
        <f ca="1">IF($B2001 = 1 + N("Presidente"),
    127,
    IF($B2001 = 2 + N("Vice-Presidente"),
        72,
        IF($B2001 = 3 + N("Secretária bilíngue"),
            13,
            RANDBETWEEN(5,COUNT(Name!$A:$A) + 1)
        )
    )
)</f>
        <v>311</v>
      </c>
      <c r="E2001" s="7" t="str">
        <f ca="1" xml:space="preserve">
VLOOKUP(
  $D2001,
  Name!$A:$B,
  2,
  FALSE
)
&amp; " " &amp;
IF($B2001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Olívia Brito Zil</v>
      </c>
      <c r="F2001" s="7">
        <v>2</v>
      </c>
      <c r="G2001" s="7" cm="1">
        <f t="array" aca="1" ref="G2001" ca="1">INDEX(States!$B:$B,RANDBETWEEN(2,COUNTA(States!$A:$A)),1)</f>
        <v>11</v>
      </c>
      <c r="H2001" s="7" t="str">
        <f ca="1">VLOOKUP($D2001,Name!$A:$C,3,FALSE)</f>
        <v>F</v>
      </c>
      <c r="I2001" s="7" cm="1">
        <f t="array" aca="1" ref="I2001" ca="1">INDEX('Marital status'!$A:$A,RANDBETWEEN(2,COUNTA('Marital status'!$A:$A)),1)</f>
        <v>3</v>
      </c>
      <c r="J2001" s="7">
        <f t="shared" ca="1" si="375"/>
        <v>2</v>
      </c>
      <c r="K2001" s="8">
        <f t="shared" ca="1" si="376"/>
        <v>32626</v>
      </c>
      <c r="L2001" s="6">
        <f t="shared" ca="1" si="377"/>
        <v>4</v>
      </c>
      <c r="M2001" s="7">
        <f ca="1" xml:space="preserve">
  IF(OR($N2001 = 2, $N2001 = 3, $N2001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2001" s="6">
        <f t="shared" ca="1" si="378"/>
        <v>8</v>
      </c>
      <c r="O2001" s="6">
        <f t="shared" ca="1" si="379"/>
        <v>4</v>
      </c>
      <c r="P2001" s="8">
        <f t="shared" ca="1" si="380"/>
        <v>40904</v>
      </c>
      <c r="Q2001" s="6">
        <f ca="1">RANDBETWEEN(2,COUNTA('Recruitment source'!$A:$A))</f>
        <v>12</v>
      </c>
      <c r="R2001" s="8" t="e">
        <f t="shared" ca="1" si="381"/>
        <v>#N/A</v>
      </c>
      <c r="S2001" s="6" t="e">
        <f t="shared" ca="1" si="382"/>
        <v>#N/A</v>
      </c>
      <c r="T2001" s="6">
        <f t="shared" ca="1" si="372"/>
        <v>3</v>
      </c>
      <c r="U2001" s="1">
        <f t="shared" ca="1" si="383"/>
        <v>2000</v>
      </c>
    </row>
    <row r="2002" spans="1:21" x14ac:dyDescent="0.2">
      <c r="A2002" s="7" cm="1">
        <f t="array" aca="1" ref="A2002" ca="1">INDEX(Companies!$A:$A,RANDBETWEEN(2,COUNTA(Companies!$A:$A)),1)</f>
        <v>2</v>
      </c>
      <c r="B2002" s="5">
        <f t="shared" si="373"/>
        <v>2001</v>
      </c>
      <c r="C2002" s="6">
        <f t="shared" ca="1" si="374"/>
        <v>1</v>
      </c>
      <c r="D2002" s="7">
        <f ca="1">IF($B2002 = 1 + N("Presidente"),
    127,
    IF($B2002 = 2 + N("Vice-Presidente"),
        72,
        IF($B2002 = 3 + N("Secretária bilíngue"),
            13,
            RANDBETWEEN(5,COUNT(Name!$A:$A) + 1)
        )
    )
)</f>
        <v>308</v>
      </c>
      <c r="E2002" s="7" t="str">
        <f ca="1" xml:space="preserve">
VLOOKUP(
  $D2002,
  Name!$A:$B,
  2,
  FALSE
)
&amp; " " &amp;
IF($B2002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Noah Amor Arruda</v>
      </c>
      <c r="F2002" s="7">
        <v>2</v>
      </c>
      <c r="G2002" s="7" cm="1">
        <f t="array" aca="1" ref="G2002" ca="1">INDEX(States!$B:$B,RANDBETWEEN(2,COUNTA(States!$A:$A)),1)</f>
        <v>4</v>
      </c>
      <c r="H2002" s="7" t="str">
        <f ca="1">VLOOKUP($D2002,Name!$A:$C,3,FALSE)</f>
        <v>M</v>
      </c>
      <c r="I2002" s="7" cm="1">
        <f t="array" aca="1" ref="I2002" ca="1">INDEX('Marital status'!$A:$A,RANDBETWEEN(2,COUNTA('Marital status'!$A:$A)),1)</f>
        <v>3</v>
      </c>
      <c r="J2002" s="7">
        <f t="shared" ca="1" si="375"/>
        <v>4</v>
      </c>
      <c r="K2002" s="8">
        <f t="shared" ca="1" si="376"/>
        <v>33719</v>
      </c>
      <c r="L2002" s="6">
        <f t="shared" ca="1" si="377"/>
        <v>4</v>
      </c>
      <c r="M2002" s="7">
        <f ca="1" xml:space="preserve">
  IF(OR($N2002 = 2, $N2002 = 3, $N2002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2002" s="6">
        <f t="shared" ca="1" si="378"/>
        <v>7</v>
      </c>
      <c r="O2002" s="6" t="e">
        <f t="shared" ca="1" si="379"/>
        <v>#N/A</v>
      </c>
      <c r="P2002" s="8">
        <f t="shared" ca="1" si="380"/>
        <v>36304</v>
      </c>
      <c r="Q2002" s="6">
        <f ca="1">RANDBETWEEN(2,COUNTA('Recruitment source'!$A:$A))</f>
        <v>11</v>
      </c>
      <c r="R2002" s="8" t="e">
        <f t="shared" ca="1" si="381"/>
        <v>#N/A</v>
      </c>
      <c r="S2002" s="6" t="e">
        <f t="shared" ca="1" si="382"/>
        <v>#N/A</v>
      </c>
      <c r="T2002" s="6">
        <f t="shared" ca="1" si="372"/>
        <v>5</v>
      </c>
      <c r="U2002" s="1">
        <f t="shared" ca="1" si="383"/>
        <v>1085</v>
      </c>
    </row>
    <row r="2003" spans="1:21" x14ac:dyDescent="0.2">
      <c r="A2003" s="7" cm="1">
        <f t="array" aca="1" ref="A2003" ca="1">INDEX(Companies!$A:$A,RANDBETWEEN(2,COUNTA(Companies!$A:$A)),1)</f>
        <v>2</v>
      </c>
      <c r="B2003" s="5">
        <f t="shared" si="373"/>
        <v>2002</v>
      </c>
      <c r="C2003" s="6">
        <f t="shared" ca="1" si="374"/>
        <v>1</v>
      </c>
      <c r="D2003" s="7">
        <f ca="1">IF($B2003 = 1 + N("Presidente"),
    127,
    IF($B2003 = 2 + N("Vice-Presidente"),
        72,
        IF($B2003 = 3 + N("Secretária bilíngue"),
            13,
            RANDBETWEEN(5,COUNT(Name!$A:$A) + 1)
        )
    )
)</f>
        <v>143</v>
      </c>
      <c r="E2003" s="7" t="str">
        <f ca="1" xml:space="preserve">
VLOOKUP(
  $D2003,
  Name!$A:$B,
  2,
  FALSE
)
&amp; " " &amp;
IF($B2003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Flavio Camões Araújo</v>
      </c>
      <c r="F2003" s="7">
        <v>2</v>
      </c>
      <c r="G2003" s="7" cm="1">
        <f t="array" aca="1" ref="G2003" ca="1">INDEX(States!$B:$B,RANDBETWEEN(2,COUNTA(States!$A:$A)),1)</f>
        <v>3</v>
      </c>
      <c r="H2003" s="7" t="str">
        <f ca="1">VLOOKUP($D2003,Name!$A:$C,3,FALSE)</f>
        <v>M</v>
      </c>
      <c r="I2003" s="7" cm="1">
        <f t="array" aca="1" ref="I2003" ca="1">INDEX('Marital status'!$A:$A,RANDBETWEEN(2,COUNTA('Marital status'!$A:$A)),1)</f>
        <v>6</v>
      </c>
      <c r="J2003" s="7">
        <f t="shared" ca="1" si="375"/>
        <v>2</v>
      </c>
      <c r="K2003" s="8">
        <f t="shared" ca="1" si="376"/>
        <v>37078</v>
      </c>
      <c r="L2003" s="6">
        <f t="shared" ca="1" si="377"/>
        <v>5</v>
      </c>
      <c r="M2003" s="7">
        <f ca="1" xml:space="preserve">
  IF(OR($N2003 = 2, $N2003 = 3, $N2003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2003" s="6">
        <f t="shared" ca="1" si="378"/>
        <v>8</v>
      </c>
      <c r="O2003" s="6">
        <f t="shared" ca="1" si="379"/>
        <v>4</v>
      </c>
      <c r="P2003" s="8">
        <f t="shared" ca="1" si="380"/>
        <v>36986</v>
      </c>
      <c r="Q2003" s="6">
        <f ca="1">RANDBETWEEN(2,COUNTA('Recruitment source'!$A:$A))</f>
        <v>7</v>
      </c>
      <c r="R2003" s="8" t="e">
        <f t="shared" ca="1" si="381"/>
        <v>#N/A</v>
      </c>
      <c r="S2003" s="6" t="e">
        <f t="shared" ca="1" si="382"/>
        <v>#N/A</v>
      </c>
      <c r="T2003" s="6">
        <f t="shared" ca="1" si="372"/>
        <v>4</v>
      </c>
      <c r="U2003" s="1">
        <f t="shared" ca="1" si="383"/>
        <v>2080</v>
      </c>
    </row>
    <row r="2004" spans="1:21" x14ac:dyDescent="0.2">
      <c r="A2004" s="7" cm="1">
        <f t="array" aca="1" ref="A2004" ca="1">INDEX(Companies!$A:$A,RANDBETWEEN(2,COUNTA(Companies!$A:$A)),1)</f>
        <v>2</v>
      </c>
      <c r="B2004" s="5">
        <f t="shared" si="373"/>
        <v>2003</v>
      </c>
      <c r="C2004" s="6">
        <f t="shared" ca="1" si="374"/>
        <v>1</v>
      </c>
      <c r="D2004" s="7">
        <f ca="1">IF($B2004 = 1 + N("Presidente"),
    127,
    IF($B2004 = 2 + N("Vice-Presidente"),
        72,
        IF($B2004 = 3 + N("Secretária bilíngue"),
            13,
            RANDBETWEEN(5,COUNT(Name!$A:$A) + 1)
        )
    )
)</f>
        <v>269</v>
      </c>
      <c r="E2004" s="7" t="str">
        <f ca="1" xml:space="preserve">
VLOOKUP(
  $D2004,
  Name!$A:$B,
  2,
  FALSE
)
&amp; " " &amp;
IF($B2004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Júlia Soares Bicalho</v>
      </c>
      <c r="F2004" s="7">
        <v>2</v>
      </c>
      <c r="G2004" s="7" cm="1">
        <f t="array" aca="1" ref="G2004" ca="1">INDEX(States!$B:$B,RANDBETWEEN(2,COUNTA(States!$A:$A)),1)</f>
        <v>19</v>
      </c>
      <c r="H2004" s="7" t="str">
        <f ca="1">VLOOKUP($D2004,Name!$A:$C,3,FALSE)</f>
        <v>F</v>
      </c>
      <c r="I2004" s="7" cm="1">
        <f t="array" aca="1" ref="I2004" ca="1">INDEX('Marital status'!$A:$A,RANDBETWEEN(2,COUNTA('Marital status'!$A:$A)),1)</f>
        <v>4</v>
      </c>
      <c r="J2004" s="7">
        <f t="shared" ca="1" si="375"/>
        <v>2</v>
      </c>
      <c r="K2004" s="8">
        <f t="shared" ca="1" si="376"/>
        <v>22553</v>
      </c>
      <c r="L2004" s="6">
        <f t="shared" ca="1" si="377"/>
        <v>4</v>
      </c>
      <c r="M2004" s="7">
        <f ca="1" xml:space="preserve">
  IF(OR($N2004 = 2, $N2004 = 3, $N2004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2004" s="6">
        <f t="shared" ca="1" si="378"/>
        <v>6</v>
      </c>
      <c r="O2004" s="6" t="e">
        <f t="shared" ca="1" si="379"/>
        <v>#N/A</v>
      </c>
      <c r="P2004" s="8">
        <f t="shared" ca="1" si="380"/>
        <v>39754</v>
      </c>
      <c r="Q2004" s="6">
        <f ca="1">RANDBETWEEN(2,COUNTA('Recruitment source'!$A:$A))</f>
        <v>10</v>
      </c>
      <c r="R2004" s="8" t="e">
        <f t="shared" ca="1" si="381"/>
        <v>#N/A</v>
      </c>
      <c r="S2004" s="6" t="e">
        <f t="shared" ca="1" si="382"/>
        <v>#N/A</v>
      </c>
      <c r="T2004" s="6">
        <f t="shared" ca="1" si="372"/>
        <v>3</v>
      </c>
      <c r="U2004" s="1">
        <f t="shared" ca="1" si="383"/>
        <v>885</v>
      </c>
    </row>
    <row r="2005" spans="1:21" x14ac:dyDescent="0.2">
      <c r="A2005" s="7" cm="1">
        <f t="array" aca="1" ref="A2005" ca="1">INDEX(Companies!$A:$A,RANDBETWEEN(2,COUNTA(Companies!$A:$A)),1)</f>
        <v>2</v>
      </c>
      <c r="B2005" s="5">
        <f t="shared" si="373"/>
        <v>2004</v>
      </c>
      <c r="C2005" s="6">
        <f t="shared" ca="1" si="374"/>
        <v>1</v>
      </c>
      <c r="D2005" s="7">
        <f ca="1">IF($B2005 = 1 + N("Presidente"),
    127,
    IF($B2005 = 2 + N("Vice-Presidente"),
        72,
        IF($B2005 = 3 + N("Secretária bilíngue"),
            13,
            RANDBETWEEN(5,COUNT(Name!$A:$A) + 1)
        )
    )
)</f>
        <v>326</v>
      </c>
      <c r="E2005" s="7" t="str">
        <f ca="1" xml:space="preserve">
VLOOKUP(
  $D2005,
  Name!$A:$B,
  2,
  FALSE
)
&amp; " " &amp;
IF($B2005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Rainah Martini Freitas</v>
      </c>
      <c r="F2005" s="7">
        <v>2</v>
      </c>
      <c r="G2005" s="7" cm="1">
        <f t="array" aca="1" ref="G2005" ca="1">INDEX(States!$B:$B,RANDBETWEEN(2,COUNTA(States!$A:$A)),1)</f>
        <v>4</v>
      </c>
      <c r="H2005" s="7" t="str">
        <f ca="1">VLOOKUP($D2005,Name!$A:$C,3,FALSE)</f>
        <v>F</v>
      </c>
      <c r="I2005" s="7" cm="1">
        <f t="array" aca="1" ref="I2005" ca="1">INDEX('Marital status'!$A:$A,RANDBETWEEN(2,COUNTA('Marital status'!$A:$A)),1)</f>
        <v>3</v>
      </c>
      <c r="J2005" s="7">
        <f t="shared" ca="1" si="375"/>
        <v>2</v>
      </c>
      <c r="K2005" s="8">
        <f t="shared" ca="1" si="376"/>
        <v>33884</v>
      </c>
      <c r="L2005" s="6">
        <f t="shared" ca="1" si="377"/>
        <v>4</v>
      </c>
      <c r="M2005" s="7">
        <f ca="1" xml:space="preserve">
  IF(OR($N2005 = 2, $N2005 = 3, $N2005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2005" s="6">
        <f t="shared" ca="1" si="378"/>
        <v>8</v>
      </c>
      <c r="O2005" s="6">
        <f t="shared" ca="1" si="379"/>
        <v>2</v>
      </c>
      <c r="P2005" s="8">
        <f t="shared" ca="1" si="380"/>
        <v>40095</v>
      </c>
      <c r="Q2005" s="6">
        <f ca="1">RANDBETWEEN(2,COUNTA('Recruitment source'!$A:$A))</f>
        <v>4</v>
      </c>
      <c r="R2005" s="8" t="e">
        <f t="shared" ca="1" si="381"/>
        <v>#N/A</v>
      </c>
      <c r="S2005" s="6" t="e">
        <f t="shared" ca="1" si="382"/>
        <v>#N/A</v>
      </c>
      <c r="T2005" s="6">
        <f t="shared" ca="1" si="372"/>
        <v>4</v>
      </c>
      <c r="U2005" s="1">
        <f t="shared" ca="1" si="383"/>
        <v>2000</v>
      </c>
    </row>
    <row r="2006" spans="1:21" x14ac:dyDescent="0.2">
      <c r="A2006" s="7" cm="1">
        <f t="array" aca="1" ref="A2006" ca="1">INDEX(Companies!$A:$A,RANDBETWEEN(2,COUNTA(Companies!$A:$A)),1)</f>
        <v>2</v>
      </c>
      <c r="B2006" s="5">
        <f t="shared" si="373"/>
        <v>2005</v>
      </c>
      <c r="C2006" s="6">
        <f t="shared" ca="1" si="374"/>
        <v>1</v>
      </c>
      <c r="D2006" s="7">
        <f ca="1">IF($B2006 = 1 + N("Presidente"),
    127,
    IF($B2006 = 2 + N("Vice-Presidente"),
        72,
        IF($B2006 = 3 + N("Secretária bilíngue"),
            13,
            RANDBETWEEN(5,COUNT(Name!$A:$A) + 1)
        )
    )
)</f>
        <v>247</v>
      </c>
      <c r="E2006" s="7" t="str">
        <f ca="1" xml:space="preserve">
VLOOKUP(
  $D2006,
  Name!$A:$B,
  2,
  FALSE
)
&amp; " " &amp;
IF($B2006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Otávio Freitas Cardozo</v>
      </c>
      <c r="F2006" s="7">
        <v>2</v>
      </c>
      <c r="G2006" s="7" cm="1">
        <f t="array" aca="1" ref="G2006" ca="1">INDEX(States!$B:$B,RANDBETWEEN(2,COUNTA(States!$A:$A)),1)</f>
        <v>19</v>
      </c>
      <c r="H2006" s="7" t="str">
        <f ca="1">VLOOKUP($D2006,Name!$A:$C,3,FALSE)</f>
        <v>M</v>
      </c>
      <c r="I2006" s="7" cm="1">
        <f t="array" aca="1" ref="I2006" ca="1">INDEX('Marital status'!$A:$A,RANDBETWEEN(2,COUNTA('Marital status'!$A:$A)),1)</f>
        <v>3</v>
      </c>
      <c r="J2006" s="7">
        <f t="shared" ca="1" si="375"/>
        <v>2</v>
      </c>
      <c r="K2006" s="8">
        <f t="shared" ca="1" si="376"/>
        <v>25120</v>
      </c>
      <c r="L2006" s="6">
        <f t="shared" ca="1" si="377"/>
        <v>4</v>
      </c>
      <c r="M2006" s="7">
        <f ca="1" xml:space="preserve">
  IF(OR($N2006 = 2, $N2006 = 3, $N2006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2006" s="6">
        <f t="shared" ca="1" si="378"/>
        <v>6</v>
      </c>
      <c r="O2006" s="6" t="e">
        <f t="shared" ca="1" si="379"/>
        <v>#N/A</v>
      </c>
      <c r="P2006" s="8">
        <f t="shared" ca="1" si="380"/>
        <v>37989</v>
      </c>
      <c r="Q2006" s="6">
        <f ca="1">RANDBETWEEN(2,COUNTA('Recruitment source'!$A:$A))</f>
        <v>3</v>
      </c>
      <c r="R2006" s="8" t="e">
        <f t="shared" ca="1" si="381"/>
        <v>#N/A</v>
      </c>
      <c r="S2006" s="6" t="e">
        <f t="shared" ca="1" si="382"/>
        <v>#N/A</v>
      </c>
      <c r="T2006" s="6">
        <f t="shared" ca="1" si="372"/>
        <v>3</v>
      </c>
      <c r="U2006" s="1">
        <f t="shared" ca="1" si="383"/>
        <v>885</v>
      </c>
    </row>
    <row r="2007" spans="1:21" x14ac:dyDescent="0.2">
      <c r="A2007" s="7" cm="1">
        <f t="array" aca="1" ref="A2007" ca="1">INDEX(Companies!$A:$A,RANDBETWEEN(2,COUNTA(Companies!$A:$A)),1)</f>
        <v>2</v>
      </c>
      <c r="B2007" s="5">
        <f t="shared" si="373"/>
        <v>2006</v>
      </c>
      <c r="C2007" s="6">
        <f t="shared" ca="1" si="374"/>
        <v>1</v>
      </c>
      <c r="D2007" s="7">
        <f ca="1">IF($B2007 = 1 + N("Presidente"),
    127,
    IF($B2007 = 2 + N("Vice-Presidente"),
        72,
        IF($B2007 = 3 + N("Secretária bilíngue"),
            13,
            RANDBETWEEN(5,COUNT(Name!$A:$A) + 1)
        )
    )
)</f>
        <v>107</v>
      </c>
      <c r="E2007" s="7" t="str">
        <f ca="1" xml:space="preserve">
VLOOKUP(
  $D2007,
  Name!$A:$B,
  2,
  FALSE
)
&amp; " " &amp;
IF($B2007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Lucca Farina Bicalho</v>
      </c>
      <c r="F2007" s="7">
        <v>2</v>
      </c>
      <c r="G2007" s="7" cm="1">
        <f t="array" aca="1" ref="G2007" ca="1">INDEX(States!$B:$B,RANDBETWEEN(2,COUNTA(States!$A:$A)),1)</f>
        <v>6</v>
      </c>
      <c r="H2007" s="7" t="str">
        <f ca="1">VLOOKUP($D2007,Name!$A:$C,3,FALSE)</f>
        <v>M</v>
      </c>
      <c r="I2007" s="7" cm="1">
        <f t="array" aca="1" ref="I2007" ca="1">INDEX('Marital status'!$A:$A,RANDBETWEEN(2,COUNTA('Marital status'!$A:$A)),1)</f>
        <v>2</v>
      </c>
      <c r="J2007" s="7">
        <f t="shared" ca="1" si="375"/>
        <v>2</v>
      </c>
      <c r="K2007" s="8">
        <f t="shared" ca="1" si="376"/>
        <v>36282</v>
      </c>
      <c r="L2007" s="6">
        <f t="shared" ca="1" si="377"/>
        <v>5</v>
      </c>
      <c r="M2007" s="7">
        <f ca="1" xml:space="preserve">
  IF(OR($N2007 = 2, $N2007 = 3, $N2007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2007" s="6">
        <f t="shared" ca="1" si="378"/>
        <v>8</v>
      </c>
      <c r="O2007" s="6">
        <f t="shared" ca="1" si="379"/>
        <v>4</v>
      </c>
      <c r="P2007" s="8">
        <f t="shared" ca="1" si="380"/>
        <v>40928</v>
      </c>
      <c r="Q2007" s="6">
        <f ca="1">RANDBETWEEN(2,COUNTA('Recruitment source'!$A:$A))</f>
        <v>12</v>
      </c>
      <c r="R2007" s="8" t="e">
        <f t="shared" ca="1" si="381"/>
        <v>#N/A</v>
      </c>
      <c r="S2007" s="6" t="e">
        <f t="shared" ca="1" si="382"/>
        <v>#N/A</v>
      </c>
      <c r="T2007" s="6">
        <f t="shared" ca="1" si="372"/>
        <v>2</v>
      </c>
      <c r="U2007" s="1">
        <f t="shared" ca="1" si="383"/>
        <v>2100</v>
      </c>
    </row>
    <row r="2008" spans="1:21" x14ac:dyDescent="0.2">
      <c r="A2008" s="7" cm="1">
        <f t="array" aca="1" ref="A2008" ca="1">INDEX(Companies!$A:$A,RANDBETWEEN(2,COUNTA(Companies!$A:$A)),1)</f>
        <v>2</v>
      </c>
      <c r="B2008" s="5">
        <f t="shared" si="373"/>
        <v>2007</v>
      </c>
      <c r="C2008" s="6">
        <f t="shared" ca="1" si="374"/>
        <v>1</v>
      </c>
      <c r="D2008" s="7">
        <f ca="1">IF($B2008 = 1 + N("Presidente"),
    127,
    IF($B2008 = 2 + N("Vice-Presidente"),
        72,
        IF($B2008 = 3 + N("Secretária bilíngue"),
            13,
            RANDBETWEEN(5,COUNT(Name!$A:$A) + 1)
        )
    )
)</f>
        <v>238</v>
      </c>
      <c r="E2008" s="7" t="str">
        <f ca="1" xml:space="preserve">
VLOOKUP(
  $D2008,
  Name!$A:$B,
  2,
  FALSE
)
&amp; " " &amp;
IF($B2008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Lucas de Oliveira Café</v>
      </c>
      <c r="F2008" s="7">
        <v>2</v>
      </c>
      <c r="G2008" s="7" cm="1">
        <f t="array" aca="1" ref="G2008" ca="1">INDEX(States!$B:$B,RANDBETWEEN(2,COUNTA(States!$A:$A)),1)</f>
        <v>9</v>
      </c>
      <c r="H2008" s="7" t="str">
        <f ca="1">VLOOKUP($D2008,Name!$A:$C,3,FALSE)</f>
        <v>M</v>
      </c>
      <c r="I2008" s="7" cm="1">
        <f t="array" aca="1" ref="I2008" ca="1">INDEX('Marital status'!$A:$A,RANDBETWEEN(2,COUNTA('Marital status'!$A:$A)),1)</f>
        <v>4</v>
      </c>
      <c r="J2008" s="7">
        <f t="shared" ca="1" si="375"/>
        <v>2</v>
      </c>
      <c r="K2008" s="8">
        <f t="shared" ca="1" si="376"/>
        <v>22262</v>
      </c>
      <c r="L2008" s="6">
        <f t="shared" ca="1" si="377"/>
        <v>4</v>
      </c>
      <c r="M2008" s="7">
        <f ca="1" xml:space="preserve">
  IF(OR($N2008 = 2, $N2008 = 3, $N2008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2008" s="6">
        <f t="shared" ca="1" si="378"/>
        <v>6</v>
      </c>
      <c r="O2008" s="6" t="e">
        <f t="shared" ca="1" si="379"/>
        <v>#N/A</v>
      </c>
      <c r="P2008" s="8">
        <f t="shared" ca="1" si="380"/>
        <v>41656</v>
      </c>
      <c r="Q2008" s="6">
        <f ca="1">RANDBETWEEN(2,COUNTA('Recruitment source'!$A:$A))</f>
        <v>3</v>
      </c>
      <c r="R2008" s="8" t="e">
        <f t="shared" ca="1" si="381"/>
        <v>#N/A</v>
      </c>
      <c r="S2008" s="6" t="e">
        <f t="shared" ca="1" si="382"/>
        <v>#N/A</v>
      </c>
      <c r="T2008" s="6">
        <f t="shared" ca="1" si="372"/>
        <v>5</v>
      </c>
      <c r="U2008" s="1">
        <f t="shared" ca="1" si="383"/>
        <v>805</v>
      </c>
    </row>
    <row r="2009" spans="1:21" x14ac:dyDescent="0.2">
      <c r="A2009" s="7" cm="1">
        <f t="array" aca="1" ref="A2009" ca="1">INDEX(Companies!$A:$A,RANDBETWEEN(2,COUNTA(Companies!$A:$A)),1)</f>
        <v>2</v>
      </c>
      <c r="B2009" s="5">
        <f t="shared" si="373"/>
        <v>2008</v>
      </c>
      <c r="C2009" s="6">
        <f t="shared" ca="1" si="374"/>
        <v>1</v>
      </c>
      <c r="D2009" s="7">
        <f ca="1">IF($B2009 = 1 + N("Presidente"),
    127,
    IF($B2009 = 2 + N("Vice-Presidente"),
        72,
        IF($B2009 = 3 + N("Secretária bilíngue"),
            13,
            RANDBETWEEN(5,COUNT(Name!$A:$A) + 1)
        )
    )
)</f>
        <v>139</v>
      </c>
      <c r="E2009" s="7" t="str">
        <f ca="1" xml:space="preserve">
VLOOKUP(
  $D2009,
  Name!$A:$B,
  2,
  FALSE
)
&amp; " " &amp;
IF($B2009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Mariano Bactista Farina</v>
      </c>
      <c r="F2009" s="7">
        <v>2</v>
      </c>
      <c r="G2009" s="7" cm="1">
        <f t="array" aca="1" ref="G2009" ca="1">INDEX(States!$B:$B,RANDBETWEEN(2,COUNTA(States!$A:$A)),1)</f>
        <v>8</v>
      </c>
      <c r="H2009" s="7" t="str">
        <f ca="1">VLOOKUP($D2009,Name!$A:$C,3,FALSE)</f>
        <v>M</v>
      </c>
      <c r="I2009" s="7" cm="1">
        <f t="array" aca="1" ref="I2009" ca="1">INDEX('Marital status'!$A:$A,RANDBETWEEN(2,COUNTA('Marital status'!$A:$A)),1)</f>
        <v>2</v>
      </c>
      <c r="J2009" s="7">
        <f t="shared" ca="1" si="375"/>
        <v>3</v>
      </c>
      <c r="K2009" s="8">
        <f t="shared" ca="1" si="376"/>
        <v>32622</v>
      </c>
      <c r="L2009" s="6">
        <f t="shared" ca="1" si="377"/>
        <v>5</v>
      </c>
      <c r="M2009" s="7">
        <f ca="1" xml:space="preserve">
  IF(OR($N2009 = 2, $N2009 = 3, $N2009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2009" s="6">
        <f t="shared" ca="1" si="378"/>
        <v>8</v>
      </c>
      <c r="O2009" s="6">
        <f t="shared" ca="1" si="379"/>
        <v>3</v>
      </c>
      <c r="P2009" s="8">
        <f t="shared" ca="1" si="380"/>
        <v>36772</v>
      </c>
      <c r="Q2009" s="6">
        <f ca="1">RANDBETWEEN(2,COUNTA('Recruitment source'!$A:$A))</f>
        <v>3</v>
      </c>
      <c r="R2009" s="8" t="e">
        <f t="shared" ca="1" si="381"/>
        <v>#N/A</v>
      </c>
      <c r="S2009" s="6" t="e">
        <f t="shared" ca="1" si="382"/>
        <v>#N/A</v>
      </c>
      <c r="T2009" s="6">
        <f t="shared" ca="1" si="372"/>
        <v>3</v>
      </c>
      <c r="U2009" s="1">
        <f t="shared" ca="1" si="383"/>
        <v>2000</v>
      </c>
    </row>
    <row r="2010" spans="1:21" x14ac:dyDescent="0.2">
      <c r="A2010" s="7" cm="1">
        <f t="array" aca="1" ref="A2010" ca="1">INDEX(Companies!$A:$A,RANDBETWEEN(2,COUNTA(Companies!$A:$A)),1)</f>
        <v>2</v>
      </c>
      <c r="B2010" s="5">
        <f t="shared" si="373"/>
        <v>2009</v>
      </c>
      <c r="C2010" s="6">
        <f t="shared" ca="1" si="374"/>
        <v>1</v>
      </c>
      <c r="D2010" s="7">
        <f ca="1">IF($B2010 = 1 + N("Presidente"),
    127,
    IF($B2010 = 2 + N("Vice-Presidente"),
        72,
        IF($B2010 = 3 + N("Secretária bilíngue"),
            13,
            RANDBETWEEN(5,COUNT(Name!$A:$A) + 1)
        )
    )
)</f>
        <v>16</v>
      </c>
      <c r="E2010" s="7" t="str">
        <f ca="1" xml:space="preserve">
VLOOKUP(
  $D2010,
  Name!$A:$B,
  2,
  FALSE
)
&amp; " " &amp;
IF($B2010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Alice Figo Gonçalves</v>
      </c>
      <c r="F2010" s="7">
        <v>2</v>
      </c>
      <c r="G2010" s="7" cm="1">
        <f t="array" aca="1" ref="G2010" ca="1">INDEX(States!$B:$B,RANDBETWEEN(2,COUNTA(States!$A:$A)),1)</f>
        <v>16</v>
      </c>
      <c r="H2010" s="7" t="str">
        <f ca="1">VLOOKUP($D2010,Name!$A:$C,3,FALSE)</f>
        <v>F</v>
      </c>
      <c r="I2010" s="7" cm="1">
        <f t="array" aca="1" ref="I2010" ca="1">INDEX('Marital status'!$A:$A,RANDBETWEEN(2,COUNTA('Marital status'!$A:$A)),1)</f>
        <v>3</v>
      </c>
      <c r="J2010" s="7">
        <f t="shared" ca="1" si="375"/>
        <v>2</v>
      </c>
      <c r="K2010" s="8">
        <f t="shared" ca="1" si="376"/>
        <v>20633</v>
      </c>
      <c r="L2010" s="6">
        <f t="shared" ca="1" si="377"/>
        <v>4</v>
      </c>
      <c r="M2010" s="7">
        <f ca="1" xml:space="preserve">
  IF(OR($N2010 = 2, $N2010 = 3, $N2010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N2010" s="6">
        <f t="shared" ca="1" si="378"/>
        <v>6</v>
      </c>
      <c r="O2010" s="6" t="e">
        <f t="shared" ca="1" si="379"/>
        <v>#N/A</v>
      </c>
      <c r="P2010" s="8">
        <f t="shared" ca="1" si="380"/>
        <v>40314</v>
      </c>
      <c r="Q2010" s="6">
        <f ca="1">RANDBETWEEN(2,COUNTA('Recruitment source'!$A:$A))</f>
        <v>5</v>
      </c>
      <c r="R2010" s="8" t="e">
        <f t="shared" ca="1" si="381"/>
        <v>#N/A</v>
      </c>
      <c r="S2010" s="6" t="e">
        <f t="shared" ca="1" si="382"/>
        <v>#N/A</v>
      </c>
      <c r="T2010" s="6">
        <f t="shared" ca="1" si="372"/>
        <v>2</v>
      </c>
      <c r="U2010" s="1">
        <f t="shared" ca="1" si="383"/>
        <v>805</v>
      </c>
    </row>
    <row r="2011" spans="1:21" x14ac:dyDescent="0.2">
      <c r="A2011" s="7" cm="1">
        <f t="array" aca="1" ref="A2011" ca="1">INDEX(Companies!$A:$A,RANDBETWEEN(2,COUNTA(Companies!$A:$A)),1)</f>
        <v>2</v>
      </c>
      <c r="B2011" s="5">
        <f t="shared" si="373"/>
        <v>2010</v>
      </c>
      <c r="C2011" s="6">
        <f t="shared" ca="1" si="374"/>
        <v>1</v>
      </c>
      <c r="D2011" s="7">
        <f ca="1">IF($B2011 = 1 + N("Presidente"),
    127,
    IF($B2011 = 2 + N("Vice-Presidente"),
        72,
        IF($B2011 = 3 + N("Secretária bilíngue"),
            13,
            RANDBETWEEN(5,COUNT(Name!$A:$A) + 1)
        )
    )
)</f>
        <v>359</v>
      </c>
      <c r="E2011" s="7" t="str">
        <f ca="1" xml:space="preserve">
VLOOKUP(
  $D2011,
  Name!$A:$B,
  2,
  FALSE
)
&amp; " " &amp;
IF($B2011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Vitor Saragoça Camargo</v>
      </c>
      <c r="F2011" s="7">
        <v>2</v>
      </c>
      <c r="G2011" s="7" cm="1">
        <f t="array" aca="1" ref="G2011" ca="1">INDEX(States!$B:$B,RANDBETWEEN(2,COUNTA(States!$A:$A)),1)</f>
        <v>15</v>
      </c>
      <c r="H2011" s="7" t="str">
        <f ca="1">VLOOKUP($D2011,Name!$A:$C,3,FALSE)</f>
        <v>M</v>
      </c>
      <c r="I2011" s="7" cm="1">
        <f t="array" aca="1" ref="I2011" ca="1">INDEX('Marital status'!$A:$A,RANDBETWEEN(2,COUNTA('Marital status'!$A:$A)),1)</f>
        <v>3</v>
      </c>
      <c r="J2011" s="7">
        <f t="shared" ca="1" si="375"/>
        <v>2</v>
      </c>
      <c r="K2011" s="8">
        <f t="shared" ca="1" si="376"/>
        <v>32835</v>
      </c>
      <c r="L2011" s="6">
        <f t="shared" ca="1" si="377"/>
        <v>5</v>
      </c>
      <c r="M2011" s="7">
        <f ca="1" xml:space="preserve">
  IF(OR($N2011 = 2, $N2011 = 3, $N2011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2011" s="6">
        <f t="shared" ca="1" si="378"/>
        <v>8</v>
      </c>
      <c r="O2011" s="6">
        <f t="shared" ca="1" si="379"/>
        <v>2</v>
      </c>
      <c r="P2011" s="8">
        <f t="shared" ca="1" si="380"/>
        <v>40501</v>
      </c>
      <c r="Q2011" s="6">
        <f ca="1">RANDBETWEEN(2,COUNTA('Recruitment source'!$A:$A))</f>
        <v>5</v>
      </c>
      <c r="R2011" s="8" t="e">
        <f t="shared" ca="1" si="381"/>
        <v>#N/A</v>
      </c>
      <c r="S2011" s="6" t="e">
        <f t="shared" ca="1" si="382"/>
        <v>#N/A</v>
      </c>
      <c r="T2011" s="6">
        <f t="shared" ca="1" si="372"/>
        <v>2</v>
      </c>
      <c r="U2011" s="1">
        <f t="shared" ca="1" si="383"/>
        <v>2080</v>
      </c>
    </row>
    <row r="2012" spans="1:21" x14ac:dyDescent="0.2">
      <c r="A2012" s="7" cm="1">
        <f t="array" aca="1" ref="A2012" ca="1">INDEX(Companies!$A:$A,RANDBETWEEN(2,COUNTA(Companies!$A:$A)),1)</f>
        <v>2</v>
      </c>
      <c r="B2012" s="5">
        <f t="shared" si="373"/>
        <v>2011</v>
      </c>
      <c r="C2012" s="6">
        <f t="shared" ca="1" si="374"/>
        <v>1</v>
      </c>
      <c r="D2012" s="7">
        <f ca="1">IF($B2012 = 1 + N("Presidente"),
    127,
    IF($B2012 = 2 + N("Vice-Presidente"),
        72,
        IF($B2012 = 3 + N("Secretária bilíngue"),
            13,
            RANDBETWEEN(5,COUNT(Name!$A:$A) + 1)
        )
    )
)</f>
        <v>323</v>
      </c>
      <c r="E2012" s="7" t="str">
        <f ca="1" xml:space="preserve">
VLOOKUP(
  $D2012,
  Name!$A:$B,
  2,
  FALSE
)
&amp; " " &amp;
IF($B2012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Rachel Andrade Ferrari</v>
      </c>
      <c r="F2012" s="7">
        <v>2</v>
      </c>
      <c r="G2012" s="7" cm="1">
        <f t="array" aca="1" ref="G2012" ca="1">INDEX(States!$B:$B,RANDBETWEEN(2,COUNTA(States!$A:$A)),1)</f>
        <v>12</v>
      </c>
      <c r="H2012" s="7" t="str">
        <f ca="1">VLOOKUP($D2012,Name!$A:$C,3,FALSE)</f>
        <v>F</v>
      </c>
      <c r="I2012" s="7" cm="1">
        <f t="array" aca="1" ref="I2012" ca="1">INDEX('Marital status'!$A:$A,RANDBETWEEN(2,COUNTA('Marital status'!$A:$A)),1)</f>
        <v>4</v>
      </c>
      <c r="J2012" s="7">
        <f t="shared" ca="1" si="375"/>
        <v>2</v>
      </c>
      <c r="K2012" s="8">
        <f t="shared" ca="1" si="376"/>
        <v>29309</v>
      </c>
      <c r="L2012" s="6">
        <f t="shared" ca="1" si="377"/>
        <v>4</v>
      </c>
      <c r="M2012" s="7">
        <f ca="1" xml:space="preserve">
  IF(OR($N2012 = 2, $N2012 = 3, $N2012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2012" s="6">
        <f t="shared" ca="1" si="378"/>
        <v>6</v>
      </c>
      <c r="O2012" s="6" t="e">
        <f t="shared" ca="1" si="379"/>
        <v>#N/A</v>
      </c>
      <c r="P2012" s="8">
        <f t="shared" ca="1" si="380"/>
        <v>36634</v>
      </c>
      <c r="Q2012" s="6">
        <f ca="1">RANDBETWEEN(2,COUNTA('Recruitment source'!$A:$A))</f>
        <v>8</v>
      </c>
      <c r="R2012" s="8" t="e">
        <f t="shared" ca="1" si="381"/>
        <v>#N/A</v>
      </c>
      <c r="S2012" s="6" t="e">
        <f t="shared" ca="1" si="382"/>
        <v>#N/A</v>
      </c>
      <c r="T2012" s="6">
        <f t="shared" ca="1" si="372"/>
        <v>2</v>
      </c>
      <c r="U2012" s="1">
        <f t="shared" ca="1" si="383"/>
        <v>805</v>
      </c>
    </row>
    <row r="2013" spans="1:21" x14ac:dyDescent="0.2">
      <c r="A2013" s="7" cm="1">
        <f t="array" aca="1" ref="A2013" ca="1">INDEX(Companies!$A:$A,RANDBETWEEN(2,COUNTA(Companies!$A:$A)),1)</f>
        <v>2</v>
      </c>
      <c r="B2013" s="5">
        <f t="shared" si="373"/>
        <v>2012</v>
      </c>
      <c r="C2013" s="6">
        <f t="shared" ca="1" si="374"/>
        <v>1</v>
      </c>
      <c r="D2013" s="7">
        <f ca="1">IF($B2013 = 1 + N("Presidente"),
    127,
    IF($B2013 = 2 + N("Vice-Presidente"),
        72,
        IF($B2013 = 3 + N("Secretária bilíngue"),
            13,
            RANDBETWEEN(5,COUNT(Name!$A:$A) + 1)
        )
    )
)</f>
        <v>13</v>
      </c>
      <c r="E2013" s="7" t="str">
        <f ca="1" xml:space="preserve">
VLOOKUP(
  $D2013,
  Name!$A:$B,
  2,
  FALSE
)
&amp; " " &amp;
IF($B2013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Alessandra Leite Barros</v>
      </c>
      <c r="F2013" s="7">
        <v>2</v>
      </c>
      <c r="G2013" s="7" cm="1">
        <f t="array" aca="1" ref="G2013" ca="1">INDEX(States!$B:$B,RANDBETWEEN(2,COUNTA(States!$A:$A)),1)</f>
        <v>4</v>
      </c>
      <c r="H2013" s="7" t="str">
        <f ca="1">VLOOKUP($D2013,Name!$A:$C,3,FALSE)</f>
        <v>F</v>
      </c>
      <c r="I2013" s="7" cm="1">
        <f t="array" aca="1" ref="I2013" ca="1">INDEX('Marital status'!$A:$A,RANDBETWEEN(2,COUNTA('Marital status'!$A:$A)),1)</f>
        <v>4</v>
      </c>
      <c r="J2013" s="7">
        <f t="shared" ca="1" si="375"/>
        <v>4</v>
      </c>
      <c r="K2013" s="8">
        <f t="shared" ca="1" si="376"/>
        <v>37488</v>
      </c>
      <c r="L2013" s="6">
        <f t="shared" ca="1" si="377"/>
        <v>4</v>
      </c>
      <c r="M2013" s="7">
        <f ca="1" xml:space="preserve">
  IF(OR($N2013 = 2, $N2013 = 3, $N2013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2013" s="6">
        <f t="shared" ca="1" si="378"/>
        <v>8</v>
      </c>
      <c r="O2013" s="6">
        <f t="shared" ca="1" si="379"/>
        <v>3</v>
      </c>
      <c r="P2013" s="8">
        <f t="shared" ca="1" si="380"/>
        <v>43115</v>
      </c>
      <c r="Q2013" s="6">
        <f ca="1">RANDBETWEEN(2,COUNTA('Recruitment source'!$A:$A))</f>
        <v>12</v>
      </c>
      <c r="R2013" s="8" t="e">
        <f t="shared" ca="1" si="381"/>
        <v>#N/A</v>
      </c>
      <c r="S2013" s="6" t="e">
        <f t="shared" ca="1" si="382"/>
        <v>#N/A</v>
      </c>
      <c r="T2013" s="6">
        <f t="shared" ca="1" si="372"/>
        <v>3</v>
      </c>
      <c r="U2013" s="1">
        <f t="shared" ca="1" si="383"/>
        <v>2000</v>
      </c>
    </row>
    <row r="2014" spans="1:21" x14ac:dyDescent="0.2">
      <c r="A2014" s="7" cm="1">
        <f t="array" aca="1" ref="A2014" ca="1">INDEX(Companies!$A:$A,RANDBETWEEN(2,COUNTA(Companies!$A:$A)),1)</f>
        <v>2</v>
      </c>
      <c r="B2014" s="5">
        <f t="shared" si="373"/>
        <v>2013</v>
      </c>
      <c r="C2014" s="6">
        <f t="shared" ca="1" si="374"/>
        <v>1</v>
      </c>
      <c r="D2014" s="7">
        <f ca="1">IF($B2014 = 1 + N("Presidente"),
    127,
    IF($B2014 = 2 + N("Vice-Presidente"),
        72,
        IF($B2014 = 3 + N("Secretária bilíngue"),
            13,
            RANDBETWEEN(5,COUNT(Name!$A:$A) + 1)
        )
    )
)</f>
        <v>244</v>
      </c>
      <c r="E2014" s="7" t="str">
        <f ca="1" xml:space="preserve">
VLOOKUP(
  $D2014,
  Name!$A:$B,
  2,
  FALSE
)
&amp; " " &amp;
IF($B2014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Gustavo Nascimento Barbosa</v>
      </c>
      <c r="F2014" s="7">
        <v>2</v>
      </c>
      <c r="G2014" s="7" cm="1">
        <f t="array" aca="1" ref="G2014" ca="1">INDEX(States!$B:$B,RANDBETWEEN(2,COUNTA(States!$A:$A)),1)</f>
        <v>14</v>
      </c>
      <c r="H2014" s="7" t="str">
        <f ca="1">VLOOKUP($D2014,Name!$A:$C,3,FALSE)</f>
        <v>M</v>
      </c>
      <c r="I2014" s="7" cm="1">
        <f t="array" aca="1" ref="I2014" ca="1">INDEX('Marital status'!$A:$A,RANDBETWEEN(2,COUNTA('Marital status'!$A:$A)),1)</f>
        <v>5</v>
      </c>
      <c r="J2014" s="7">
        <f t="shared" ca="1" si="375"/>
        <v>5</v>
      </c>
      <c r="K2014" s="8">
        <f t="shared" ca="1" si="376"/>
        <v>23750</v>
      </c>
      <c r="L2014" s="6">
        <f t="shared" ca="1" si="377"/>
        <v>4</v>
      </c>
      <c r="M2014" s="7">
        <f ca="1" xml:space="preserve">
  IF(OR($N2014 = 2, $N2014 = 3, $N2014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N2014" s="6">
        <f t="shared" ca="1" si="378"/>
        <v>6</v>
      </c>
      <c r="O2014" s="6" t="e">
        <f t="shared" ca="1" si="379"/>
        <v>#N/A</v>
      </c>
      <c r="P2014" s="8">
        <f t="shared" ca="1" si="380"/>
        <v>43781</v>
      </c>
      <c r="Q2014" s="6">
        <f ca="1">RANDBETWEEN(2,COUNTA('Recruitment source'!$A:$A))</f>
        <v>7</v>
      </c>
      <c r="R2014" s="8" t="e">
        <f t="shared" ca="1" si="381"/>
        <v>#N/A</v>
      </c>
      <c r="S2014" s="6" t="e">
        <f t="shared" ca="1" si="382"/>
        <v>#N/A</v>
      </c>
      <c r="T2014" s="6">
        <f t="shared" ca="1" si="372"/>
        <v>5</v>
      </c>
      <c r="U2014" s="1">
        <f t="shared" ca="1" si="383"/>
        <v>805</v>
      </c>
    </row>
    <row r="2015" spans="1:21" x14ac:dyDescent="0.2">
      <c r="A2015" s="7" cm="1">
        <f t="array" aca="1" ref="A2015" ca="1">INDEX(Companies!$A:$A,RANDBETWEEN(2,COUNTA(Companies!$A:$A)),1)</f>
        <v>2</v>
      </c>
      <c r="B2015" s="5">
        <f t="shared" si="373"/>
        <v>2014</v>
      </c>
      <c r="C2015" s="6">
        <f t="shared" ca="1" si="374"/>
        <v>1</v>
      </c>
      <c r="D2015" s="7">
        <f ca="1">IF($B2015 = 1 + N("Presidente"),
    127,
    IF($B2015 = 2 + N("Vice-Presidente"),
        72,
        IF($B2015 = 3 + N("Secretária bilíngue"),
            13,
            RANDBETWEEN(5,COUNT(Name!$A:$A) + 1)
        )
    )
)</f>
        <v>105</v>
      </c>
      <c r="E2015" s="7" t="str">
        <f ca="1" xml:space="preserve">
VLOOKUP(
  $D2015,
  Name!$A:$B,
  2,
  FALSE
)
&amp; " " &amp;
IF($B2015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Arruda Gallo</v>
      </c>
      <c r="F2015" s="7">
        <v>2</v>
      </c>
      <c r="G2015" s="7" cm="1">
        <f t="array" aca="1" ref="G2015" ca="1">INDEX(States!$B:$B,RANDBETWEEN(2,COUNTA(States!$A:$A)),1)</f>
        <v>17</v>
      </c>
      <c r="H2015" s="7" t="str">
        <f ca="1">VLOOKUP($D2015,Name!$A:$C,3,FALSE)</f>
        <v>M</v>
      </c>
      <c r="I2015" s="7" cm="1">
        <f t="array" aca="1" ref="I2015" ca="1">INDEX('Marital status'!$A:$A,RANDBETWEEN(2,COUNTA('Marital status'!$A:$A)),1)</f>
        <v>6</v>
      </c>
      <c r="J2015" s="7">
        <f t="shared" ca="1" si="375"/>
        <v>2</v>
      </c>
      <c r="K2015" s="8">
        <f t="shared" ca="1" si="376"/>
        <v>34568</v>
      </c>
      <c r="L2015" s="6">
        <f t="shared" ca="1" si="377"/>
        <v>4</v>
      </c>
      <c r="M2015" s="7">
        <f ca="1" xml:space="preserve">
  IF(OR($N2015 = 2, $N2015 = 3, $N2015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2015" s="6">
        <f t="shared" ca="1" si="378"/>
        <v>8</v>
      </c>
      <c r="O2015" s="6">
        <f t="shared" ca="1" si="379"/>
        <v>3</v>
      </c>
      <c r="P2015" s="8">
        <f t="shared" ca="1" si="380"/>
        <v>37837</v>
      </c>
      <c r="Q2015" s="6">
        <f ca="1">RANDBETWEEN(2,COUNTA('Recruitment source'!$A:$A))</f>
        <v>4</v>
      </c>
      <c r="R2015" s="8" t="e">
        <f t="shared" ca="1" si="381"/>
        <v>#N/A</v>
      </c>
      <c r="S2015" s="6" t="e">
        <f t="shared" ca="1" si="382"/>
        <v>#N/A</v>
      </c>
      <c r="T2015" s="6">
        <f t="shared" ca="1" si="372"/>
        <v>3</v>
      </c>
      <c r="U2015" s="1">
        <f t="shared" ca="1" si="383"/>
        <v>2080</v>
      </c>
    </row>
    <row r="2016" spans="1:21" x14ac:dyDescent="0.2">
      <c r="A2016" s="7" cm="1">
        <f t="array" aca="1" ref="A2016" ca="1">INDEX(Companies!$A:$A,RANDBETWEEN(2,COUNTA(Companies!$A:$A)),1)</f>
        <v>2</v>
      </c>
      <c r="B2016" s="5">
        <f t="shared" si="373"/>
        <v>2015</v>
      </c>
      <c r="C2016" s="6">
        <f t="shared" ca="1" si="374"/>
        <v>1</v>
      </c>
      <c r="D2016" s="7">
        <f ca="1">IF($B2016 = 1 + N("Presidente"),
    127,
    IF($B2016 = 2 + N("Vice-Presidente"),
        72,
        IF($B2016 = 3 + N("Secretária bilíngue"),
            13,
            RANDBETWEEN(5,COUNT(Name!$A:$A) + 1)
        )
    )
)</f>
        <v>41</v>
      </c>
      <c r="E2016" s="7" t="str">
        <f ca="1" xml:space="preserve">
VLOOKUP(
  $D2016,
  Name!$A:$B,
  2,
  FALSE
)
&amp; " " &amp;
IF($B2016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Ane Caroline Aguiar Batista</v>
      </c>
      <c r="F2016" s="7">
        <v>2</v>
      </c>
      <c r="G2016" s="7" cm="1">
        <f t="array" aca="1" ref="G2016" ca="1">INDEX(States!$B:$B,RANDBETWEEN(2,COUNTA(States!$A:$A)),1)</f>
        <v>18</v>
      </c>
      <c r="H2016" s="7" t="str">
        <f ca="1">VLOOKUP($D2016,Name!$A:$C,3,FALSE)</f>
        <v>F</v>
      </c>
      <c r="I2016" s="7" cm="1">
        <f t="array" aca="1" ref="I2016" ca="1">INDEX('Marital status'!$A:$A,RANDBETWEEN(2,COUNTA('Marital status'!$A:$A)),1)</f>
        <v>4</v>
      </c>
      <c r="J2016" s="7">
        <f t="shared" ca="1" si="375"/>
        <v>3</v>
      </c>
      <c r="K2016" s="8">
        <f t="shared" ca="1" si="376"/>
        <v>32118</v>
      </c>
      <c r="L2016" s="6">
        <f t="shared" ca="1" si="377"/>
        <v>4</v>
      </c>
      <c r="M2016" s="7">
        <f ca="1" xml:space="preserve">
  IF(OR($N2016 = 2, $N2016 = 3, $N2016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2016" s="6">
        <f t="shared" ca="1" si="378"/>
        <v>7</v>
      </c>
      <c r="O2016" s="6" t="e">
        <f t="shared" ca="1" si="379"/>
        <v>#N/A</v>
      </c>
      <c r="P2016" s="8">
        <f t="shared" ca="1" si="380"/>
        <v>39172</v>
      </c>
      <c r="Q2016" s="6">
        <f ca="1">RANDBETWEEN(2,COUNTA('Recruitment source'!$A:$A))</f>
        <v>2</v>
      </c>
      <c r="R2016" s="8" t="e">
        <f t="shared" ca="1" si="381"/>
        <v>#N/A</v>
      </c>
      <c r="S2016" s="6" t="e">
        <f t="shared" ca="1" si="382"/>
        <v>#N/A</v>
      </c>
      <c r="T2016" s="6">
        <f t="shared" ca="1" si="372"/>
        <v>4</v>
      </c>
      <c r="U2016" s="1">
        <f t="shared" ca="1" si="383"/>
        <v>1085</v>
      </c>
    </row>
    <row r="2017" spans="1:21" x14ac:dyDescent="0.2">
      <c r="A2017" s="7" cm="1">
        <f t="array" aca="1" ref="A2017" ca="1">INDEX(Companies!$A:$A,RANDBETWEEN(2,COUNTA(Companies!$A:$A)),1)</f>
        <v>2</v>
      </c>
      <c r="B2017" s="5">
        <f t="shared" si="373"/>
        <v>2016</v>
      </c>
      <c r="C2017" s="6">
        <f t="shared" ca="1" si="374"/>
        <v>1</v>
      </c>
      <c r="D2017" s="7">
        <f ca="1">IF($B2017 = 1 + N("Presidente"),
    127,
    IF($B2017 = 2 + N("Vice-Presidente"),
        72,
        IF($B2017 = 3 + N("Secretária bilíngue"),
            13,
            RANDBETWEEN(5,COUNT(Name!$A:$A) + 1)
        )
    )
)</f>
        <v>176</v>
      </c>
      <c r="E2017" s="7" t="str">
        <f ca="1" xml:space="preserve">
VLOOKUP(
  $D2017,
  Name!$A:$B,
  2,
  FALSE
)
&amp; " " &amp;
IF($B2017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Isabelle Ramos Braga</v>
      </c>
      <c r="F2017" s="7">
        <v>2</v>
      </c>
      <c r="G2017" s="7" cm="1">
        <f t="array" aca="1" ref="G2017" ca="1">INDEX(States!$B:$B,RANDBETWEEN(2,COUNTA(States!$A:$A)),1)</f>
        <v>8</v>
      </c>
      <c r="H2017" s="7" t="str">
        <f ca="1">VLOOKUP($D2017,Name!$A:$C,3,FALSE)</f>
        <v>F</v>
      </c>
      <c r="I2017" s="7" cm="1">
        <f t="array" aca="1" ref="I2017" ca="1">INDEX('Marital status'!$A:$A,RANDBETWEEN(2,COUNTA('Marital status'!$A:$A)),1)</f>
        <v>5</v>
      </c>
      <c r="J2017" s="7">
        <f t="shared" ca="1" si="375"/>
        <v>2</v>
      </c>
      <c r="K2017" s="8">
        <f t="shared" ca="1" si="376"/>
        <v>36054</v>
      </c>
      <c r="L2017" s="6">
        <f t="shared" ca="1" si="377"/>
        <v>5</v>
      </c>
      <c r="M2017" s="7">
        <f ca="1" xml:space="preserve">
  IF(OR($N2017 = 2, $N2017 = 3, $N2017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2017" s="6">
        <f t="shared" ca="1" si="378"/>
        <v>8</v>
      </c>
      <c r="O2017" s="6">
        <f t="shared" ca="1" si="379"/>
        <v>4</v>
      </c>
      <c r="P2017" s="8">
        <f t="shared" ca="1" si="380"/>
        <v>42845</v>
      </c>
      <c r="Q2017" s="6">
        <f ca="1">RANDBETWEEN(2,COUNTA('Recruitment source'!$A:$A))</f>
        <v>10</v>
      </c>
      <c r="R2017" s="8" t="e">
        <f t="shared" ca="1" si="381"/>
        <v>#N/A</v>
      </c>
      <c r="S2017" s="6" t="e">
        <f t="shared" ca="1" si="382"/>
        <v>#N/A</v>
      </c>
      <c r="T2017" s="6">
        <f t="shared" ca="1" si="372"/>
        <v>3</v>
      </c>
      <c r="U2017" s="1">
        <f t="shared" ca="1" si="383"/>
        <v>2000</v>
      </c>
    </row>
    <row r="2018" spans="1:21" x14ac:dyDescent="0.2">
      <c r="A2018" s="7" cm="1">
        <f t="array" aca="1" ref="A2018" ca="1">INDEX(Companies!$A:$A,RANDBETWEEN(2,COUNTA(Companies!$A:$A)),1)</f>
        <v>2</v>
      </c>
      <c r="B2018" s="5">
        <f t="shared" si="373"/>
        <v>2017</v>
      </c>
      <c r="C2018" s="6">
        <f t="shared" ca="1" si="374"/>
        <v>1</v>
      </c>
      <c r="D2018" s="7">
        <f ca="1">IF($B2018 = 1 + N("Presidente"),
    127,
    IF($B2018 = 2 + N("Vice-Presidente"),
        72,
        IF($B2018 = 3 + N("Secretária bilíngue"),
            13,
            RANDBETWEEN(5,COUNT(Name!$A:$A) + 1)
        )
    )
)</f>
        <v>266</v>
      </c>
      <c r="E2018" s="7" t="str">
        <f ca="1" xml:space="preserve">
VLOOKUP(
  $D2018,
  Name!$A:$B,
  2,
  FALSE
)
&amp; " " &amp;
IF($B2018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Helena Pimenta Lombardi</v>
      </c>
      <c r="F2018" s="7">
        <v>2</v>
      </c>
      <c r="G2018" s="7" cm="1">
        <f t="array" aca="1" ref="G2018" ca="1">INDEX(States!$B:$B,RANDBETWEEN(2,COUNTA(States!$A:$A)),1)</f>
        <v>12</v>
      </c>
      <c r="H2018" s="7" t="str">
        <f ca="1">VLOOKUP($D2018,Name!$A:$C,3,FALSE)</f>
        <v>F</v>
      </c>
      <c r="I2018" s="7" cm="1">
        <f t="array" aca="1" ref="I2018" ca="1">INDEX('Marital status'!$A:$A,RANDBETWEEN(2,COUNTA('Marital status'!$A:$A)),1)</f>
        <v>5</v>
      </c>
      <c r="J2018" s="7">
        <f t="shared" ca="1" si="375"/>
        <v>2</v>
      </c>
      <c r="K2018" s="8">
        <f t="shared" ca="1" si="376"/>
        <v>35570</v>
      </c>
      <c r="L2018" s="6">
        <f t="shared" ca="1" si="377"/>
        <v>4</v>
      </c>
      <c r="M2018" s="7">
        <f ca="1" xml:space="preserve">
  IF(OR($N2018 = 2, $N2018 = 3, $N2018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2018" s="6">
        <f t="shared" ca="1" si="378"/>
        <v>7</v>
      </c>
      <c r="O2018" s="6" t="e">
        <f t="shared" ca="1" si="379"/>
        <v>#N/A</v>
      </c>
      <c r="P2018" s="8">
        <f t="shared" ca="1" si="380"/>
        <v>39524</v>
      </c>
      <c r="Q2018" s="6">
        <f ca="1">RANDBETWEEN(2,COUNTA('Recruitment source'!$A:$A))</f>
        <v>4</v>
      </c>
      <c r="R2018" s="8" t="e">
        <f t="shared" ca="1" si="381"/>
        <v>#N/A</v>
      </c>
      <c r="S2018" s="6" t="e">
        <f t="shared" ca="1" si="382"/>
        <v>#N/A</v>
      </c>
      <c r="T2018" s="6">
        <f t="shared" ca="1" si="372"/>
        <v>2</v>
      </c>
      <c r="U2018" s="1">
        <f t="shared" ca="1" si="383"/>
        <v>1005</v>
      </c>
    </row>
    <row r="2019" spans="1:21" x14ac:dyDescent="0.2">
      <c r="A2019" s="7" cm="1">
        <f t="array" aca="1" ref="A2019" ca="1">INDEX(Companies!$A:$A,RANDBETWEEN(2,COUNTA(Companies!$A:$A)),1)</f>
        <v>2</v>
      </c>
      <c r="B2019" s="5">
        <f t="shared" si="373"/>
        <v>2018</v>
      </c>
      <c r="C2019" s="6">
        <f t="shared" ca="1" si="374"/>
        <v>1</v>
      </c>
      <c r="D2019" s="7">
        <f ca="1">IF($B2019 = 1 + N("Presidente"),
    127,
    IF($B2019 = 2 + N("Vice-Presidente"),
        72,
        IF($B2019 = 3 + N("Secretária bilíngue"),
            13,
            RANDBETWEEN(5,COUNT(Name!$A:$A) + 1)
        )
    )
)</f>
        <v>129</v>
      </c>
      <c r="E2019" s="7" t="str">
        <f ca="1" xml:space="preserve">
VLOOKUP(
  $D2019,
  Name!$A:$B,
  2,
  FALSE
)
&amp; " " &amp;
IF($B2019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Enzo Miguel Pedroso Junqueira</v>
      </c>
      <c r="F2019" s="7">
        <v>2</v>
      </c>
      <c r="G2019" s="7" cm="1">
        <f t="array" aca="1" ref="G2019" ca="1">INDEX(States!$B:$B,RANDBETWEEN(2,COUNTA(States!$A:$A)),1)</f>
        <v>7</v>
      </c>
      <c r="H2019" s="7" t="str">
        <f ca="1">VLOOKUP($D2019,Name!$A:$C,3,FALSE)</f>
        <v>M</v>
      </c>
      <c r="I2019" s="7" cm="1">
        <f t="array" aca="1" ref="I2019" ca="1">INDEX('Marital status'!$A:$A,RANDBETWEEN(2,COUNTA('Marital status'!$A:$A)),1)</f>
        <v>4</v>
      </c>
      <c r="J2019" s="7">
        <f t="shared" ca="1" si="375"/>
        <v>2</v>
      </c>
      <c r="K2019" s="8">
        <f t="shared" ca="1" si="376"/>
        <v>33758</v>
      </c>
      <c r="L2019" s="6">
        <f t="shared" ca="1" si="377"/>
        <v>4</v>
      </c>
      <c r="M2019" s="7">
        <f ca="1" xml:space="preserve">
  IF(OR($N2019 = 2, $N2019 = 3, $N2019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2019" s="6">
        <f t="shared" ca="1" si="378"/>
        <v>8</v>
      </c>
      <c r="O2019" s="6">
        <f t="shared" ca="1" si="379"/>
        <v>4</v>
      </c>
      <c r="P2019" s="8">
        <f t="shared" ca="1" si="380"/>
        <v>41905</v>
      </c>
      <c r="Q2019" s="6">
        <f ca="1">RANDBETWEEN(2,COUNTA('Recruitment source'!$A:$A))</f>
        <v>2</v>
      </c>
      <c r="R2019" s="8" t="e">
        <f t="shared" ca="1" si="381"/>
        <v>#N/A</v>
      </c>
      <c r="S2019" s="6" t="e">
        <f t="shared" ca="1" si="382"/>
        <v>#N/A</v>
      </c>
      <c r="T2019" s="6">
        <f t="shared" ca="1" si="372"/>
        <v>2</v>
      </c>
      <c r="U2019" s="1">
        <f t="shared" ca="1" si="383"/>
        <v>2080</v>
      </c>
    </row>
    <row r="2020" spans="1:21" x14ac:dyDescent="0.2">
      <c r="A2020" s="7" cm="1">
        <f t="array" aca="1" ref="A2020" ca="1">INDEX(Companies!$A:$A,RANDBETWEEN(2,COUNTA(Companies!$A:$A)),1)</f>
        <v>2</v>
      </c>
      <c r="B2020" s="5">
        <f t="shared" si="373"/>
        <v>2019</v>
      </c>
      <c r="C2020" s="6">
        <f t="shared" ca="1" si="374"/>
        <v>1</v>
      </c>
      <c r="D2020" s="7">
        <f ca="1">IF($B2020 = 1 + N("Presidente"),
    127,
    IF($B2020 = 2 + N("Vice-Presidente"),
        72,
        IF($B2020 = 3 + N("Secretária bilíngue"),
            13,
            RANDBETWEEN(5,COUNT(Name!$A:$A) + 1)
        )
    )
)</f>
        <v>69</v>
      </c>
      <c r="E2020" s="7" t="str">
        <f ca="1" xml:space="preserve">
VLOOKUP(
  $D2020,
  Name!$A:$B,
  2,
  FALSE
)
&amp; " " &amp;
IF($B2020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Benjamin Alvarenga Cabral</v>
      </c>
      <c r="F2020" s="7">
        <v>2</v>
      </c>
      <c r="G2020" s="7" cm="1">
        <f t="array" aca="1" ref="G2020" ca="1">INDEX(States!$B:$B,RANDBETWEEN(2,COUNTA(States!$A:$A)),1)</f>
        <v>3</v>
      </c>
      <c r="H2020" s="7" t="str">
        <f ca="1">VLOOKUP($D2020,Name!$A:$C,3,FALSE)</f>
        <v>M</v>
      </c>
      <c r="I2020" s="7" cm="1">
        <f t="array" aca="1" ref="I2020" ca="1">INDEX('Marital status'!$A:$A,RANDBETWEEN(2,COUNTA('Marital status'!$A:$A)),1)</f>
        <v>3</v>
      </c>
      <c r="J2020" s="7">
        <f t="shared" ca="1" si="375"/>
        <v>2</v>
      </c>
      <c r="K2020" s="8">
        <f t="shared" ca="1" si="376"/>
        <v>33476</v>
      </c>
      <c r="L2020" s="6">
        <f t="shared" ca="1" si="377"/>
        <v>4</v>
      </c>
      <c r="M2020" s="7">
        <f ca="1" xml:space="preserve">
  IF(OR($N2020 = 2, $N2020 = 3, $N2020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N2020" s="6">
        <f t="shared" ca="1" si="378"/>
        <v>6</v>
      </c>
      <c r="O2020" s="6" t="e">
        <f t="shared" ca="1" si="379"/>
        <v>#N/A</v>
      </c>
      <c r="P2020" s="8">
        <f t="shared" ca="1" si="380"/>
        <v>38410</v>
      </c>
      <c r="Q2020" s="6">
        <f ca="1">RANDBETWEEN(2,COUNTA('Recruitment source'!$A:$A))</f>
        <v>8</v>
      </c>
      <c r="R2020" s="8" t="e">
        <f t="shared" ca="1" si="381"/>
        <v>#N/A</v>
      </c>
      <c r="S2020" s="6" t="e">
        <f t="shared" ca="1" si="382"/>
        <v>#N/A</v>
      </c>
      <c r="T2020" s="6">
        <f t="shared" ca="1" si="372"/>
        <v>4</v>
      </c>
      <c r="U2020" s="1">
        <f t="shared" ca="1" si="383"/>
        <v>805</v>
      </c>
    </row>
    <row r="2021" spans="1:21" x14ac:dyDescent="0.2">
      <c r="A2021" s="7" cm="1">
        <f t="array" aca="1" ref="A2021" ca="1">INDEX(Companies!$A:$A,RANDBETWEEN(2,COUNTA(Companies!$A:$A)),1)</f>
        <v>2</v>
      </c>
      <c r="B2021" s="5">
        <f t="shared" si="373"/>
        <v>2020</v>
      </c>
      <c r="C2021" s="6">
        <f t="shared" ca="1" si="374"/>
        <v>1</v>
      </c>
      <c r="D2021" s="7">
        <f ca="1">IF($B2021 = 1 + N("Presidente"),
    127,
    IF($B2021 = 2 + N("Vice-Presidente"),
        72,
        IF($B2021 = 3 + N("Secretária bilíngue"),
            13,
            RANDBETWEEN(5,COUNT(Name!$A:$A) + 1)
        )
    )
)</f>
        <v>133</v>
      </c>
      <c r="E2021" s="7" t="str">
        <f ca="1" xml:space="preserve">
VLOOKUP(
  $D2021,
  Name!$A:$B,
  2,
  FALSE
)
&amp; " " &amp;
IF($B2021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Esther Figo Alvarenga</v>
      </c>
      <c r="F2021" s="7">
        <v>2</v>
      </c>
      <c r="G2021" s="7" cm="1">
        <f t="array" aca="1" ref="G2021" ca="1">INDEX(States!$B:$B,RANDBETWEEN(2,COUNTA(States!$A:$A)),1)</f>
        <v>7</v>
      </c>
      <c r="H2021" s="7" t="str">
        <f ca="1">VLOOKUP($D2021,Name!$A:$C,3,FALSE)</f>
        <v>F</v>
      </c>
      <c r="I2021" s="7" cm="1">
        <f t="array" aca="1" ref="I2021" ca="1">INDEX('Marital status'!$A:$A,RANDBETWEEN(2,COUNTA('Marital status'!$A:$A)),1)</f>
        <v>6</v>
      </c>
      <c r="J2021" s="7">
        <f t="shared" ca="1" si="375"/>
        <v>2</v>
      </c>
      <c r="K2021" s="8">
        <f t="shared" ca="1" si="376"/>
        <v>36336</v>
      </c>
      <c r="L2021" s="6">
        <f t="shared" ca="1" si="377"/>
        <v>4</v>
      </c>
      <c r="M2021" s="7">
        <f ca="1" xml:space="preserve">
  IF(OR($N2021 = 2, $N2021 = 3, $N2021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2021" s="6">
        <f t="shared" ca="1" si="378"/>
        <v>8</v>
      </c>
      <c r="O2021" s="6">
        <f t="shared" ca="1" si="379"/>
        <v>4</v>
      </c>
      <c r="P2021" s="8">
        <f t="shared" ca="1" si="380"/>
        <v>42494</v>
      </c>
      <c r="Q2021" s="6">
        <f ca="1">RANDBETWEEN(2,COUNTA('Recruitment source'!$A:$A))</f>
        <v>7</v>
      </c>
      <c r="R2021" s="8" t="e">
        <f t="shared" ca="1" si="381"/>
        <v>#N/A</v>
      </c>
      <c r="S2021" s="6" t="e">
        <f t="shared" ca="1" si="382"/>
        <v>#N/A</v>
      </c>
      <c r="T2021" s="6">
        <f t="shared" ca="1" si="372"/>
        <v>5</v>
      </c>
      <c r="U2021" s="1">
        <f t="shared" ca="1" si="383"/>
        <v>2000</v>
      </c>
    </row>
    <row r="2022" spans="1:21" x14ac:dyDescent="0.2">
      <c r="A2022" s="7" cm="1">
        <f t="array" aca="1" ref="A2022" ca="1">INDEX(Companies!$A:$A,RANDBETWEEN(2,COUNTA(Companies!$A:$A)),1)</f>
        <v>2</v>
      </c>
      <c r="B2022" s="5">
        <f t="shared" si="373"/>
        <v>2021</v>
      </c>
      <c r="C2022" s="6">
        <f t="shared" ca="1" si="374"/>
        <v>1</v>
      </c>
      <c r="D2022" s="7">
        <f ca="1">IF($B2022 = 1 + N("Presidente"),
    127,
    IF($B2022 = 2 + N("Vice-Presidente"),
        72,
        IF($B2022 = 3 + N("Secretária bilíngue"),
            13,
            RANDBETWEEN(5,COUNT(Name!$A:$A) + 1)
        )
    )
)</f>
        <v>154</v>
      </c>
      <c r="E2022" s="7" t="str">
        <f ca="1" xml:space="preserve">
VLOOKUP(
  $D2022,
  Name!$A:$B,
  2,
  FALSE
)
&amp; " " &amp;
IF($B2022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Giovanna Martinelli Esposito</v>
      </c>
      <c r="F2022" s="7">
        <v>2</v>
      </c>
      <c r="G2022" s="7" cm="1">
        <f t="array" aca="1" ref="G2022" ca="1">INDEX(States!$B:$B,RANDBETWEEN(2,COUNTA(States!$A:$A)),1)</f>
        <v>19</v>
      </c>
      <c r="H2022" s="7" t="str">
        <f ca="1">VLOOKUP($D2022,Name!$A:$C,3,FALSE)</f>
        <v>F</v>
      </c>
      <c r="I2022" s="7" cm="1">
        <f t="array" aca="1" ref="I2022" ca="1">INDEX('Marital status'!$A:$A,RANDBETWEEN(2,COUNTA('Marital status'!$A:$A)),1)</f>
        <v>6</v>
      </c>
      <c r="J2022" s="7">
        <f t="shared" ca="1" si="375"/>
        <v>2</v>
      </c>
      <c r="K2022" s="8">
        <f t="shared" ca="1" si="376"/>
        <v>34270</v>
      </c>
      <c r="L2022" s="6">
        <f t="shared" ca="1" si="377"/>
        <v>4</v>
      </c>
      <c r="M2022" s="7">
        <f ca="1" xml:space="preserve">
  IF(OR($N2022 = 2, $N2022 = 3, $N2022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2022" s="6">
        <f t="shared" ca="1" si="378"/>
        <v>7</v>
      </c>
      <c r="O2022" s="6" t="e">
        <f t="shared" ca="1" si="379"/>
        <v>#N/A</v>
      </c>
      <c r="P2022" s="8">
        <f t="shared" ca="1" si="380"/>
        <v>39519</v>
      </c>
      <c r="Q2022" s="6">
        <f ca="1">RANDBETWEEN(2,COUNTA('Recruitment source'!$A:$A))</f>
        <v>11</v>
      </c>
      <c r="R2022" s="8" t="e">
        <f t="shared" ca="1" si="381"/>
        <v>#N/A</v>
      </c>
      <c r="S2022" s="6" t="e">
        <f t="shared" ca="1" si="382"/>
        <v>#N/A</v>
      </c>
      <c r="T2022" s="6">
        <f t="shared" ca="1" si="372"/>
        <v>2</v>
      </c>
      <c r="U2022" s="1">
        <f t="shared" ca="1" si="383"/>
        <v>1005</v>
      </c>
    </row>
    <row r="2023" spans="1:21" x14ac:dyDescent="0.2">
      <c r="A2023" s="7" cm="1">
        <f t="array" aca="1" ref="A2023" ca="1">INDEX(Companies!$A:$A,RANDBETWEEN(2,COUNTA(Companies!$A:$A)),1)</f>
        <v>2</v>
      </c>
      <c r="B2023" s="5">
        <f t="shared" si="373"/>
        <v>2022</v>
      </c>
      <c r="C2023" s="6">
        <f t="shared" ca="1" si="374"/>
        <v>1</v>
      </c>
      <c r="D2023" s="7">
        <f ca="1">IF($B2023 = 1 + N("Presidente"),
    127,
    IF($B2023 = 2 + N("Vice-Presidente"),
        72,
        IF($B2023 = 3 + N("Secretária bilíngue"),
            13,
            RANDBETWEEN(5,COUNT(Name!$A:$A) + 1)
        )
    )
)</f>
        <v>328</v>
      </c>
      <c r="E2023" s="7" t="str">
        <f ca="1" xml:space="preserve">
VLOOKUP(
  $D2023,
  Name!$A:$B,
  2,
  FALSE
)
&amp; " " &amp;
IF($B2023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Raul Mello Rinaldi</v>
      </c>
      <c r="F2023" s="7">
        <v>2</v>
      </c>
      <c r="G2023" s="7" cm="1">
        <f t="array" aca="1" ref="G2023" ca="1">INDEX(States!$B:$B,RANDBETWEEN(2,COUNTA(States!$A:$A)),1)</f>
        <v>18</v>
      </c>
      <c r="H2023" s="7" t="str">
        <f ca="1">VLOOKUP($D2023,Name!$A:$C,3,FALSE)</f>
        <v>M</v>
      </c>
      <c r="I2023" s="7" cm="1">
        <f t="array" aca="1" ref="I2023" ca="1">INDEX('Marital status'!$A:$A,RANDBETWEEN(2,COUNTA('Marital status'!$A:$A)),1)</f>
        <v>3</v>
      </c>
      <c r="J2023" s="7">
        <f t="shared" ca="1" si="375"/>
        <v>3</v>
      </c>
      <c r="K2023" s="8">
        <f t="shared" ca="1" si="376"/>
        <v>37612</v>
      </c>
      <c r="L2023" s="6">
        <f t="shared" ca="1" si="377"/>
        <v>5</v>
      </c>
      <c r="M2023" s="7">
        <f ca="1" xml:space="preserve">
  IF(OR($N2023 = 2, $N2023 = 3, $N2023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N2023" s="6">
        <f t="shared" ca="1" si="378"/>
        <v>8</v>
      </c>
      <c r="O2023" s="6">
        <f t="shared" ca="1" si="379"/>
        <v>3</v>
      </c>
      <c r="P2023" s="8">
        <f t="shared" ca="1" si="380"/>
        <v>39316</v>
      </c>
      <c r="Q2023" s="6">
        <f ca="1">RANDBETWEEN(2,COUNTA('Recruitment source'!$A:$A))</f>
        <v>3</v>
      </c>
      <c r="R2023" s="8" t="e">
        <f t="shared" ca="1" si="381"/>
        <v>#N/A</v>
      </c>
      <c r="S2023" s="6" t="e">
        <f t="shared" ca="1" si="382"/>
        <v>#N/A</v>
      </c>
      <c r="T2023" s="6">
        <f t="shared" ca="1" si="372"/>
        <v>4</v>
      </c>
      <c r="U2023" s="1">
        <f t="shared" ca="1" si="383"/>
        <v>2000</v>
      </c>
    </row>
    <row r="2024" spans="1:21" x14ac:dyDescent="0.2">
      <c r="A2024" s="7" cm="1">
        <f t="array" aca="1" ref="A2024" ca="1">INDEX(Companies!$A:$A,RANDBETWEEN(2,COUNTA(Companies!$A:$A)),1)</f>
        <v>2</v>
      </c>
      <c r="B2024" s="5">
        <f t="shared" si="373"/>
        <v>2023</v>
      </c>
      <c r="C2024" s="6">
        <f t="shared" ca="1" si="374"/>
        <v>1</v>
      </c>
      <c r="D2024" s="7">
        <f ca="1">IF($B2024 = 1 + N("Presidente"),
    127,
    IF($B2024 = 2 + N("Vice-Presidente"),
        72,
        IF($B2024 = 3 + N("Secretária bilíngue"),
            13,
            RANDBETWEEN(5,COUNT(Name!$A:$A) + 1)
        )
    )
)</f>
        <v>322</v>
      </c>
      <c r="E2024" s="7" t="str">
        <f ca="1" xml:space="preserve">
VLOOKUP(
  $D2024,
  Name!$A:$B,
  2,
  FALSE
)
&amp; " " &amp;
IF($B2024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Pietro Moura Martinelli</v>
      </c>
      <c r="F2024" s="7">
        <v>2</v>
      </c>
      <c r="G2024" s="7" cm="1">
        <f t="array" aca="1" ref="G2024" ca="1">INDEX(States!$B:$B,RANDBETWEEN(2,COUNTA(States!$A:$A)),1)</f>
        <v>15</v>
      </c>
      <c r="H2024" s="7" t="str">
        <f ca="1">VLOOKUP($D2024,Name!$A:$C,3,FALSE)</f>
        <v>M</v>
      </c>
      <c r="I2024" s="7" cm="1">
        <f t="array" aca="1" ref="I2024" ca="1">INDEX('Marital status'!$A:$A,RANDBETWEEN(2,COUNTA('Marital status'!$A:$A)),1)</f>
        <v>6</v>
      </c>
      <c r="J2024" s="7">
        <f t="shared" ca="1" si="375"/>
        <v>4</v>
      </c>
      <c r="K2024" s="8">
        <f t="shared" ca="1" si="376"/>
        <v>33316</v>
      </c>
      <c r="L2024" s="6">
        <f t="shared" ca="1" si="377"/>
        <v>4</v>
      </c>
      <c r="M2024" s="7">
        <f ca="1" xml:space="preserve">
  IF(OR($N2024 = 2, $N2024 = 3, $N2024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N2024" s="6">
        <f t="shared" ca="1" si="378"/>
        <v>7</v>
      </c>
      <c r="O2024" s="6" t="e">
        <f t="shared" ca="1" si="379"/>
        <v>#N/A</v>
      </c>
      <c r="P2024" s="8">
        <f t="shared" ca="1" si="380"/>
        <v>37403</v>
      </c>
      <c r="Q2024" s="6">
        <f ca="1">RANDBETWEEN(2,COUNTA('Recruitment source'!$A:$A))</f>
        <v>6</v>
      </c>
      <c r="R2024" s="8" t="e">
        <f t="shared" ca="1" si="381"/>
        <v>#N/A</v>
      </c>
      <c r="S2024" s="6" t="e">
        <f t="shared" ca="1" si="382"/>
        <v>#N/A</v>
      </c>
      <c r="T2024" s="6">
        <f t="shared" ca="1" si="372"/>
        <v>5</v>
      </c>
      <c r="U2024" s="1">
        <f t="shared" ca="1" si="383"/>
        <v>1005</v>
      </c>
    </row>
    <row r="2025" spans="1:21" x14ac:dyDescent="0.2">
      <c r="A2025" s="7" cm="1">
        <f t="array" aca="1" ref="A2025" ca="1">INDEX(Companies!$A:$A,RANDBETWEEN(2,COUNTA(Companies!$A:$A)),1)</f>
        <v>2</v>
      </c>
      <c r="B2025" s="5">
        <f t="shared" si="373"/>
        <v>2024</v>
      </c>
      <c r="C2025" s="6">
        <f t="shared" ca="1" si="374"/>
        <v>1</v>
      </c>
      <c r="D2025" s="7">
        <f ca="1">IF($B2025 = 1 + N("Presidente"),
    127,
    IF($B2025 = 2 + N("Vice-Presidente"),
        72,
        IF($B2025 = 3 + N("Secretária bilíngue"),
            13,
            RANDBETWEEN(5,COUNT(Name!$A:$A) + 1)
        )
    )
)</f>
        <v>243</v>
      </c>
      <c r="E2025" s="7" t="str">
        <f ca="1" xml:space="preserve">
VLOOKUP(
  $D2025,
  Name!$A:$B,
  2,
  FALSE
)
&amp; " " &amp;
IF($B2025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Felipe Andrioli Vieira</v>
      </c>
      <c r="F2025" s="7">
        <v>2</v>
      </c>
      <c r="G2025" s="7" cm="1">
        <f t="array" aca="1" ref="G2025" ca="1">INDEX(States!$B:$B,RANDBETWEEN(2,COUNTA(States!$A:$A)),1)</f>
        <v>21</v>
      </c>
      <c r="H2025" s="7" t="str">
        <f ca="1">VLOOKUP($D2025,Name!$A:$C,3,FALSE)</f>
        <v>M</v>
      </c>
      <c r="I2025" s="7" cm="1">
        <f t="array" aca="1" ref="I2025" ca="1">INDEX('Marital status'!$A:$A,RANDBETWEEN(2,COUNTA('Marital status'!$A:$A)),1)</f>
        <v>5</v>
      </c>
      <c r="J2025" s="7">
        <f t="shared" ca="1" si="375"/>
        <v>2</v>
      </c>
      <c r="K2025" s="8">
        <f t="shared" ca="1" si="376"/>
        <v>36177</v>
      </c>
      <c r="L2025" s="6">
        <f t="shared" ca="1" si="377"/>
        <v>4</v>
      </c>
      <c r="M2025" s="7">
        <f ca="1" xml:space="preserve">
  IF(OR($N2025 = 2, $N2025 = 3, $N2025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2025" s="6">
        <f t="shared" ca="1" si="378"/>
        <v>8</v>
      </c>
      <c r="O2025" s="6">
        <f t="shared" ca="1" si="379"/>
        <v>2</v>
      </c>
      <c r="P2025" s="8">
        <f t="shared" ca="1" si="380"/>
        <v>36456</v>
      </c>
      <c r="Q2025" s="6">
        <f ca="1">RANDBETWEEN(2,COUNTA('Recruitment source'!$A:$A))</f>
        <v>12</v>
      </c>
      <c r="R2025" s="8" t="e">
        <f t="shared" ca="1" si="381"/>
        <v>#N/A</v>
      </c>
      <c r="S2025" s="6" t="e">
        <f t="shared" ca="1" si="382"/>
        <v>#N/A</v>
      </c>
      <c r="T2025" s="6">
        <f t="shared" ca="1" si="372"/>
        <v>5</v>
      </c>
      <c r="U2025" s="1">
        <f t="shared" ca="1" si="383"/>
        <v>2100</v>
      </c>
    </row>
    <row r="2026" spans="1:21" x14ac:dyDescent="0.2">
      <c r="A2026" s="7" cm="1">
        <f t="array" aca="1" ref="A2026" ca="1">INDEX(Companies!$A:$A,RANDBETWEEN(2,COUNTA(Companies!$A:$A)),1)</f>
        <v>2</v>
      </c>
      <c r="B2026" s="5">
        <f t="shared" si="373"/>
        <v>2025</v>
      </c>
      <c r="C2026" s="6">
        <f t="shared" ca="1" si="374"/>
        <v>1</v>
      </c>
      <c r="D2026" s="7">
        <f ca="1">IF($B2026 = 1 + N("Presidente"),
    127,
    IF($B2026 = 2 + N("Vice-Presidente"),
        72,
        IF($B2026 = 3 + N("Secretária bilíngue"),
            13,
            RANDBETWEEN(5,COUNT(Name!$A:$A) + 1)
        )
    )
)</f>
        <v>33</v>
      </c>
      <c r="E2026" s="7" t="str">
        <f ca="1" xml:space="preserve">
VLOOKUP(
  $D2026,
  Name!$A:$B,
  2,
  FALSE
)
&amp; " " &amp;
IF($B2026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Lívia Greco Esteves</v>
      </c>
      <c r="F2026" s="7">
        <v>2</v>
      </c>
      <c r="G2026" s="7" cm="1">
        <f t="array" aca="1" ref="G2026" ca="1">INDEX(States!$B:$B,RANDBETWEEN(2,COUNTA(States!$A:$A)),1)</f>
        <v>4</v>
      </c>
      <c r="H2026" s="7" t="str">
        <f ca="1">VLOOKUP($D2026,Name!$A:$C,3,FALSE)</f>
        <v>F</v>
      </c>
      <c r="I2026" s="7" cm="1">
        <f t="array" aca="1" ref="I2026" ca="1">INDEX('Marital status'!$A:$A,RANDBETWEEN(2,COUNTA('Marital status'!$A:$A)),1)</f>
        <v>4</v>
      </c>
      <c r="J2026" s="7">
        <f t="shared" ca="1" si="375"/>
        <v>2</v>
      </c>
      <c r="K2026" s="8">
        <f t="shared" ca="1" si="376"/>
        <v>32819</v>
      </c>
      <c r="L2026" s="6">
        <f t="shared" ca="1" si="377"/>
        <v>4</v>
      </c>
      <c r="M2026" s="7">
        <f ca="1" xml:space="preserve">
  IF(OR($N2026 = 2, $N2026 = 3, $N2026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N2026" s="6">
        <f t="shared" ca="1" si="378"/>
        <v>7</v>
      </c>
      <c r="O2026" s="6" t="e">
        <f t="shared" ca="1" si="379"/>
        <v>#N/A</v>
      </c>
      <c r="P2026" s="8">
        <f t="shared" ca="1" si="380"/>
        <v>41530</v>
      </c>
      <c r="Q2026" s="6">
        <f ca="1">RANDBETWEEN(2,COUNTA('Recruitment source'!$A:$A))</f>
        <v>2</v>
      </c>
      <c r="R2026" s="8" t="e">
        <f t="shared" ca="1" si="381"/>
        <v>#N/A</v>
      </c>
      <c r="S2026" s="6" t="e">
        <f t="shared" ca="1" si="382"/>
        <v>#N/A</v>
      </c>
      <c r="T2026" s="6">
        <f t="shared" ca="1" si="372"/>
        <v>3</v>
      </c>
      <c r="U2026" s="1">
        <f t="shared" ca="1" si="383"/>
        <v>1005</v>
      </c>
    </row>
    <row r="2027" spans="1:21" x14ac:dyDescent="0.2">
      <c r="A2027" s="7" cm="1">
        <f t="array" aca="1" ref="A2027" ca="1">INDEX(Companies!$A:$A,RANDBETWEEN(2,COUNTA(Companies!$A:$A)),1)</f>
        <v>2</v>
      </c>
      <c r="B2027" s="5">
        <f t="shared" si="373"/>
        <v>2026</v>
      </c>
      <c r="C2027" s="6">
        <f t="shared" ca="1" si="374"/>
        <v>1</v>
      </c>
      <c r="D2027" s="7">
        <f ca="1">IF($B2027 = 1 + N("Presidente"),
    127,
    IF($B2027 = 2 + N("Vice-Presidente"),
        72,
        IF($B2027 = 3 + N("Secretária bilíngue"),
            13,
            RANDBETWEEN(5,COUNT(Name!$A:$A) + 1)
        )
    )
)</f>
        <v>275</v>
      </c>
      <c r="E2027" s="7" t="str">
        <f ca="1" xml:space="preserve">
VLOOKUP(
  $D2027,
  Name!$A:$B,
  2,
  FALSE
)
&amp; " " &amp;
IF($B2027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Vitória Vieira Pedrosa</v>
      </c>
      <c r="F2027" s="7">
        <v>2</v>
      </c>
      <c r="G2027" s="7" cm="1">
        <f t="array" aca="1" ref="G2027" ca="1">INDEX(States!$B:$B,RANDBETWEEN(2,COUNTA(States!$A:$A)),1)</f>
        <v>16</v>
      </c>
      <c r="H2027" s="7" t="str">
        <f ca="1">VLOOKUP($D2027,Name!$A:$C,3,FALSE)</f>
        <v>F</v>
      </c>
      <c r="I2027" s="7" cm="1">
        <f t="array" aca="1" ref="I2027" ca="1">INDEX('Marital status'!$A:$A,RANDBETWEEN(2,COUNTA('Marital status'!$A:$A)),1)</f>
        <v>2</v>
      </c>
      <c r="J2027" s="7">
        <f t="shared" ca="1" si="375"/>
        <v>2</v>
      </c>
      <c r="K2027" s="8">
        <f t="shared" ca="1" si="376"/>
        <v>36603</v>
      </c>
      <c r="L2027" s="6">
        <f t="shared" ca="1" si="377"/>
        <v>4</v>
      </c>
      <c r="M2027" s="7">
        <f ca="1" xml:space="preserve">
  IF(OR($N2027 = 2, $N2027 = 3, $N2027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N2027" s="6">
        <f t="shared" ca="1" si="378"/>
        <v>8</v>
      </c>
      <c r="O2027" s="6">
        <f t="shared" ca="1" si="379"/>
        <v>4</v>
      </c>
      <c r="P2027" s="8">
        <f t="shared" ca="1" si="380"/>
        <v>38366</v>
      </c>
      <c r="Q2027" s="6">
        <f ca="1">RANDBETWEEN(2,COUNTA('Recruitment source'!$A:$A))</f>
        <v>12</v>
      </c>
      <c r="R2027" s="8" t="e">
        <f t="shared" ca="1" si="381"/>
        <v>#N/A</v>
      </c>
      <c r="S2027" s="6" t="e">
        <f t="shared" ca="1" si="382"/>
        <v>#N/A</v>
      </c>
      <c r="T2027" s="6">
        <f t="shared" ca="1" si="372"/>
        <v>3</v>
      </c>
      <c r="U2027" s="1">
        <f t="shared" ca="1" si="383"/>
        <v>2080</v>
      </c>
    </row>
    <row r="2028" spans="1:21" x14ac:dyDescent="0.2">
      <c r="A2028" s="7" cm="1">
        <f t="array" aca="1" ref="A2028" ca="1">INDEX(Companies!$A:$A,RANDBETWEEN(2,COUNTA(Companies!$A:$A)),1)</f>
        <v>2</v>
      </c>
      <c r="B2028" s="5">
        <f t="shared" si="373"/>
        <v>2027</v>
      </c>
      <c r="C2028" s="6">
        <f t="shared" ca="1" si="374"/>
        <v>1</v>
      </c>
      <c r="D2028" s="7">
        <f ca="1">IF($B2028 = 1 + N("Presidente"),
    127,
    IF($B2028 = 2 + N("Vice-Presidente"),
        72,
        IF($B2028 = 3 + N("Secretária bilíngue"),
            13,
            RANDBETWEEN(5,COUNT(Name!$A:$A) + 1)
        )
    )
)</f>
        <v>276</v>
      </c>
      <c r="E2028" s="7" t="str">
        <f ca="1" xml:space="preserve">
VLOOKUP(
  $D2028,
  Name!$A:$B,
  2,
  FALSE
)
&amp; " " &amp;
IF($B2028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Mariah Reis Cardozo</v>
      </c>
      <c r="F2028" s="7">
        <v>2</v>
      </c>
      <c r="G2028" s="7" cm="1">
        <f t="array" aca="1" ref="G2028" ca="1">INDEX(States!$B:$B,RANDBETWEEN(2,COUNTA(States!$A:$A)),1)</f>
        <v>6</v>
      </c>
      <c r="H2028" s="7" t="str">
        <f ca="1">VLOOKUP($D2028,Name!$A:$C,3,FALSE)</f>
        <v>F</v>
      </c>
      <c r="I2028" s="7" cm="1">
        <f t="array" aca="1" ref="I2028" ca="1">INDEX('Marital status'!$A:$A,RANDBETWEEN(2,COUNTA('Marital status'!$A:$A)),1)</f>
        <v>5</v>
      </c>
      <c r="J2028" s="7">
        <f t="shared" ca="1" si="375"/>
        <v>2</v>
      </c>
      <c r="K2028" s="8">
        <f t="shared" ca="1" si="376"/>
        <v>31673</v>
      </c>
      <c r="L2028" s="6">
        <f t="shared" ca="1" si="377"/>
        <v>4</v>
      </c>
      <c r="M2028" s="7">
        <f ca="1" xml:space="preserve">
  IF(OR($N2028 = 2, $N2028 = 3, $N2028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N2028" s="6">
        <f t="shared" ca="1" si="378"/>
        <v>6</v>
      </c>
      <c r="O2028" s="6" t="e">
        <f t="shared" ca="1" si="379"/>
        <v>#N/A</v>
      </c>
      <c r="P2028" s="8">
        <f t="shared" ca="1" si="380"/>
        <v>43001</v>
      </c>
      <c r="Q2028" s="6">
        <f ca="1">RANDBETWEEN(2,COUNTA('Recruitment source'!$A:$A))</f>
        <v>5</v>
      </c>
      <c r="R2028" s="8" t="e">
        <f t="shared" ca="1" si="381"/>
        <v>#N/A</v>
      </c>
      <c r="S2028" s="6" t="e">
        <f t="shared" ca="1" si="382"/>
        <v>#N/A</v>
      </c>
      <c r="T2028" s="6">
        <f t="shared" ca="1" si="372"/>
        <v>3</v>
      </c>
      <c r="U2028" s="1">
        <f t="shared" ca="1" si="383"/>
        <v>885</v>
      </c>
    </row>
    <row r="2029" spans="1:21" x14ac:dyDescent="0.2">
      <c r="A2029" s="7" cm="1">
        <f t="array" aca="1" ref="A2029" ca="1">INDEX(Companies!$A:$A,RANDBETWEEN(2,COUNTA(Companies!$A:$A)),1)</f>
        <v>2</v>
      </c>
      <c r="B2029" s="5">
        <f t="shared" si="373"/>
        <v>2028</v>
      </c>
      <c r="C2029" s="6">
        <f t="shared" ca="1" si="374"/>
        <v>1</v>
      </c>
      <c r="D2029" s="7">
        <f ca="1">IF($B2029 = 1 + N("Presidente"),
    127,
    IF($B2029 = 2 + N("Vice-Presidente"),
        72,
        IF($B2029 = 3 + N("Secretária bilíngue"),
            13,
            RANDBETWEEN(5,COUNT(Name!$A:$A) + 1)
        )
    )
)</f>
        <v>212</v>
      </c>
      <c r="E2029" s="7" t="str">
        <f ca="1" xml:space="preserve">
VLOOKUP(
  $D2029,
  Name!$A:$B,
  2,
  FALSE
)
&amp; " " &amp;
IF($B2029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Kelly Mello Cabral</v>
      </c>
      <c r="F2029" s="7">
        <v>2</v>
      </c>
      <c r="G2029" s="7" cm="1">
        <f t="array" aca="1" ref="G2029" ca="1">INDEX(States!$B:$B,RANDBETWEEN(2,COUNTA(States!$A:$A)),1)</f>
        <v>4</v>
      </c>
      <c r="H2029" s="7" t="str">
        <f ca="1">VLOOKUP($D2029,Name!$A:$C,3,FALSE)</f>
        <v>F</v>
      </c>
      <c r="I2029" s="7" cm="1">
        <f t="array" aca="1" ref="I2029" ca="1">INDEX('Marital status'!$A:$A,RANDBETWEEN(2,COUNTA('Marital status'!$A:$A)),1)</f>
        <v>2</v>
      </c>
      <c r="J2029" s="7">
        <f t="shared" ca="1" si="375"/>
        <v>2</v>
      </c>
      <c r="K2029" s="8">
        <f t="shared" ca="1" si="376"/>
        <v>33877</v>
      </c>
      <c r="L2029" s="6">
        <f t="shared" ca="1" si="377"/>
        <v>5</v>
      </c>
      <c r="M2029" s="7">
        <f ca="1" xml:space="preserve">
  IF(OR($N2029 = 2, $N2029 = 3, $N2029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N2029" s="6">
        <f t="shared" ca="1" si="378"/>
        <v>8</v>
      </c>
      <c r="O2029" s="6">
        <f t="shared" ca="1" si="379"/>
        <v>2</v>
      </c>
      <c r="P2029" s="8">
        <f t="shared" ca="1" si="380"/>
        <v>43840</v>
      </c>
      <c r="Q2029" s="6">
        <f ca="1">RANDBETWEEN(2,COUNTA('Recruitment source'!$A:$A))</f>
        <v>4</v>
      </c>
      <c r="R2029" s="8" t="e">
        <f t="shared" ca="1" si="381"/>
        <v>#N/A</v>
      </c>
      <c r="S2029" s="6" t="e">
        <f t="shared" ca="1" si="382"/>
        <v>#N/A</v>
      </c>
      <c r="T2029" s="6">
        <f t="shared" ca="1" si="372"/>
        <v>3</v>
      </c>
      <c r="U2029" s="1">
        <f t="shared" ca="1" si="383"/>
        <v>2080</v>
      </c>
    </row>
    <row r="2030" spans="1:21" x14ac:dyDescent="0.2">
      <c r="A2030" s="7" cm="1">
        <f t="array" aca="1" ref="A2030" ca="1">INDEX(Companies!$A:$A,RANDBETWEEN(2,COUNTA(Companies!$A:$A)),1)</f>
        <v>2</v>
      </c>
      <c r="B2030" s="5">
        <f t="shared" si="373"/>
        <v>2029</v>
      </c>
      <c r="C2030" s="6">
        <f t="shared" ca="1" si="374"/>
        <v>1</v>
      </c>
      <c r="D2030" s="7">
        <f ca="1">IF($B2030 = 1 + N("Presidente"),
    127,
    IF($B2030 = 2 + N("Vice-Presidente"),
        72,
        IF($B2030 = 3 + N("Secretária bilíngue"),
            13,
            RANDBETWEEN(5,COUNT(Name!$A:$A) + 1)
        )
    )
)</f>
        <v>225</v>
      </c>
      <c r="E2030" s="7" t="str">
        <f ca="1" xml:space="preserve">
VLOOKUP(
  $D2030,
  Name!$A:$B,
  2,
  FALSE
)
&amp; " " &amp;
IF($B2030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Levi Greco Café</v>
      </c>
      <c r="F2030" s="7">
        <v>2</v>
      </c>
      <c r="G2030" s="7" cm="1">
        <f t="array" aca="1" ref="G2030" ca="1">INDEX(States!$B:$B,RANDBETWEEN(2,COUNTA(States!$A:$A)),1)</f>
        <v>4</v>
      </c>
      <c r="H2030" s="7" t="str">
        <f ca="1">VLOOKUP($D2030,Name!$A:$C,3,FALSE)</f>
        <v>M</v>
      </c>
      <c r="I2030" s="7" cm="1">
        <f t="array" aca="1" ref="I2030" ca="1">INDEX('Marital status'!$A:$A,RANDBETWEEN(2,COUNTA('Marital status'!$A:$A)),1)</f>
        <v>3</v>
      </c>
      <c r="J2030" s="7">
        <f t="shared" ca="1" si="375"/>
        <v>3</v>
      </c>
      <c r="K2030" s="8">
        <f t="shared" ca="1" si="376"/>
        <v>19532</v>
      </c>
      <c r="L2030" s="6">
        <f t="shared" ca="1" si="377"/>
        <v>4</v>
      </c>
      <c r="M2030" s="7">
        <f ca="1" xml:space="preserve">
  IF(OR($N2030 = 2, $N2030 = 3, $N2030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N2030" s="6">
        <f t="shared" ca="1" si="378"/>
        <v>6</v>
      </c>
      <c r="O2030" s="6" t="e">
        <f t="shared" ca="1" si="379"/>
        <v>#N/A</v>
      </c>
      <c r="P2030" s="8">
        <f t="shared" ca="1" si="380"/>
        <v>43187</v>
      </c>
      <c r="Q2030" s="6">
        <f ca="1">RANDBETWEEN(2,COUNTA('Recruitment source'!$A:$A))</f>
        <v>3</v>
      </c>
      <c r="R2030" s="8" t="e">
        <f t="shared" ca="1" si="381"/>
        <v>#N/A</v>
      </c>
      <c r="S2030" s="6" t="e">
        <f t="shared" ca="1" si="382"/>
        <v>#N/A</v>
      </c>
      <c r="T2030" s="6">
        <f t="shared" ca="1" si="372"/>
        <v>5</v>
      </c>
      <c r="U2030" s="1">
        <f t="shared" ca="1" si="383"/>
        <v>805</v>
      </c>
    </row>
    <row r="2031" spans="1:21" x14ac:dyDescent="0.2">
      <c r="A2031" s="7" cm="1">
        <f t="array" aca="1" ref="A2031" ca="1">INDEX(Companies!$A:$A,RANDBETWEEN(2,COUNTA(Companies!$A:$A)),1)</f>
        <v>2</v>
      </c>
      <c r="B2031" s="5">
        <f t="shared" si="373"/>
        <v>2030</v>
      </c>
      <c r="C2031" s="6">
        <f t="shared" ca="1" si="374"/>
        <v>1</v>
      </c>
      <c r="D2031" s="7">
        <f ca="1">IF($B2031 = 1 + N("Presidente"),
    127,
    IF($B2031 = 2 + N("Vice-Presidente"),
        72,
        IF($B2031 = 3 + N("Secretária bilíngue"),
            13,
            RANDBETWEEN(5,COUNT(Name!$A:$A) + 1)
        )
    )
)</f>
        <v>195</v>
      </c>
      <c r="E2031" s="7" t="str">
        <f ca="1" xml:space="preserve">
VLOOKUP(
  $D2031,
  Name!$A:$B,
  2,
  FALSE
)
&amp; " " &amp;
IF($B2031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Joaquim Veiga Monti</v>
      </c>
      <c r="F2031" s="7">
        <v>2</v>
      </c>
      <c r="G2031" s="7" cm="1">
        <f t="array" aca="1" ref="G2031" ca="1">INDEX(States!$B:$B,RANDBETWEEN(2,COUNTA(States!$A:$A)),1)</f>
        <v>5</v>
      </c>
      <c r="H2031" s="7" t="str">
        <f ca="1">VLOOKUP($D2031,Name!$A:$C,3,FALSE)</f>
        <v>M</v>
      </c>
      <c r="I2031" s="7" cm="1">
        <f t="array" aca="1" ref="I2031" ca="1">INDEX('Marital status'!$A:$A,RANDBETWEEN(2,COUNTA('Marital status'!$A:$A)),1)</f>
        <v>6</v>
      </c>
      <c r="J2031" s="7">
        <f t="shared" ca="1" si="375"/>
        <v>2</v>
      </c>
      <c r="K2031" s="8">
        <f t="shared" ca="1" si="376"/>
        <v>37174</v>
      </c>
      <c r="L2031" s="6">
        <f t="shared" ca="1" si="377"/>
        <v>5</v>
      </c>
      <c r="M2031" s="7">
        <f ca="1" xml:space="preserve">
  IF(OR($N2031 = 2, $N2031 = 3, $N2031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N2031" s="6">
        <f t="shared" ca="1" si="378"/>
        <v>8</v>
      </c>
      <c r="O2031" s="6">
        <f t="shared" ca="1" si="379"/>
        <v>3</v>
      </c>
      <c r="P2031" s="8">
        <f t="shared" ca="1" si="380"/>
        <v>40664</v>
      </c>
      <c r="Q2031" s="6">
        <f ca="1">RANDBETWEEN(2,COUNTA('Recruitment source'!$A:$A))</f>
        <v>5</v>
      </c>
      <c r="R2031" s="8" t="e">
        <f t="shared" ca="1" si="381"/>
        <v>#N/A</v>
      </c>
      <c r="S2031" s="6" t="e">
        <f t="shared" ca="1" si="382"/>
        <v>#N/A</v>
      </c>
      <c r="T2031" s="6">
        <f t="shared" ca="1" si="372"/>
        <v>4</v>
      </c>
      <c r="U2031" s="1">
        <f t="shared" ca="1" si="383"/>
        <v>2100</v>
      </c>
    </row>
    <row r="2032" spans="1:21" x14ac:dyDescent="0.2">
      <c r="K2032" s="8"/>
    </row>
    <row r="2033" spans="11:11" x14ac:dyDescent="0.2">
      <c r="K2033" s="8"/>
    </row>
    <row r="2034" spans="11:11" x14ac:dyDescent="0.2">
      <c r="K2034" s="8"/>
    </row>
    <row r="2035" spans="11:11" x14ac:dyDescent="0.2">
      <c r="K2035" s="8"/>
    </row>
    <row r="2036" spans="11:11" x14ac:dyDescent="0.2">
      <c r="K2036" s="8"/>
    </row>
    <row r="2037" spans="11:11" x14ac:dyDescent="0.2">
      <c r="K2037" s="8"/>
    </row>
    <row r="2038" spans="11:11" x14ac:dyDescent="0.2">
      <c r="K2038" s="8"/>
    </row>
    <row r="2039" spans="11:11" x14ac:dyDescent="0.2">
      <c r="K2039" s="8"/>
    </row>
    <row r="2040" spans="11:11" x14ac:dyDescent="0.2">
      <c r="K2040" s="8"/>
    </row>
    <row r="2041" spans="11:11" x14ac:dyDescent="0.2">
      <c r="K2041" s="8"/>
    </row>
    <row r="2042" spans="11:11" x14ac:dyDescent="0.2">
      <c r="K2042" s="8"/>
    </row>
    <row r="2043" spans="11:11" x14ac:dyDescent="0.2">
      <c r="K2043" s="8"/>
    </row>
    <row r="2044" spans="11:11" x14ac:dyDescent="0.2">
      <c r="K2044" s="8"/>
    </row>
    <row r="2045" spans="11:11" x14ac:dyDescent="0.2">
      <c r="K2045" s="8"/>
    </row>
    <row r="2046" spans="11:11" x14ac:dyDescent="0.2">
      <c r="K2046" s="8"/>
    </row>
    <row r="2047" spans="11:11" x14ac:dyDescent="0.2">
      <c r="K2047" s="8"/>
    </row>
    <row r="2048" spans="11:11" x14ac:dyDescent="0.2">
      <c r="K2048" s="8"/>
    </row>
    <row r="2049" spans="11:11" x14ac:dyDescent="0.2">
      <c r="K2049" s="8"/>
    </row>
    <row r="2050" spans="11:11" x14ac:dyDescent="0.2">
      <c r="K2050" s="8"/>
    </row>
    <row r="2051" spans="11:11" x14ac:dyDescent="0.2">
      <c r="K2051" s="8"/>
    </row>
    <row r="2052" spans="11:11" x14ac:dyDescent="0.2">
      <c r="K2052" s="8"/>
    </row>
    <row r="2053" spans="11:11" x14ac:dyDescent="0.2">
      <c r="K2053" s="8"/>
    </row>
    <row r="2054" spans="11:11" x14ac:dyDescent="0.2">
      <c r="K2054" s="8"/>
    </row>
    <row r="2055" spans="11:11" x14ac:dyDescent="0.2">
      <c r="K2055" s="8"/>
    </row>
    <row r="2056" spans="11:11" x14ac:dyDescent="0.2">
      <c r="K2056" s="8"/>
    </row>
    <row r="2057" spans="11:11" x14ac:dyDescent="0.2">
      <c r="K2057" s="8"/>
    </row>
    <row r="2058" spans="11:11" x14ac:dyDescent="0.2">
      <c r="K2058" s="8"/>
    </row>
    <row r="2059" spans="11:11" x14ac:dyDescent="0.2">
      <c r="K2059" s="8"/>
    </row>
    <row r="2060" spans="11:11" x14ac:dyDescent="0.2">
      <c r="K2060" s="8"/>
    </row>
    <row r="2061" spans="11:11" x14ac:dyDescent="0.2">
      <c r="K2061" s="8"/>
    </row>
    <row r="2062" spans="11:11" x14ac:dyDescent="0.2">
      <c r="K2062" s="8"/>
    </row>
    <row r="2063" spans="11:11" x14ac:dyDescent="0.2">
      <c r="K2063" s="8"/>
    </row>
    <row r="2064" spans="11:11" x14ac:dyDescent="0.2">
      <c r="K2064" s="8"/>
    </row>
    <row r="2065" spans="11:11" x14ac:dyDescent="0.2">
      <c r="K2065" s="8"/>
    </row>
    <row r="2066" spans="11:11" x14ac:dyDescent="0.2">
      <c r="K2066" s="8"/>
    </row>
    <row r="2067" spans="11:11" x14ac:dyDescent="0.2">
      <c r="K2067" s="8"/>
    </row>
    <row r="2068" spans="11:11" x14ac:dyDescent="0.2">
      <c r="K2068" s="8"/>
    </row>
    <row r="2069" spans="11:11" x14ac:dyDescent="0.2">
      <c r="K2069" s="8"/>
    </row>
    <row r="2070" spans="11:11" x14ac:dyDescent="0.2">
      <c r="K2070" s="8"/>
    </row>
    <row r="2071" spans="11:11" x14ac:dyDescent="0.2">
      <c r="K2071" s="8"/>
    </row>
    <row r="2072" spans="11:11" x14ac:dyDescent="0.2">
      <c r="K2072" s="8"/>
    </row>
    <row r="2073" spans="11:11" x14ac:dyDescent="0.2">
      <c r="K2073" s="8"/>
    </row>
    <row r="2074" spans="11:11" x14ac:dyDescent="0.2">
      <c r="K2074" s="8"/>
    </row>
    <row r="2075" spans="11:11" x14ac:dyDescent="0.2">
      <c r="K2075" s="8"/>
    </row>
    <row r="2076" spans="11:11" x14ac:dyDescent="0.2">
      <c r="K2076" s="8"/>
    </row>
    <row r="2077" spans="11:11" x14ac:dyDescent="0.2">
      <c r="K2077" s="8"/>
    </row>
    <row r="2078" spans="11:11" x14ac:dyDescent="0.2">
      <c r="K2078" s="8"/>
    </row>
    <row r="2079" spans="11:11" x14ac:dyDescent="0.2">
      <c r="K2079" s="8"/>
    </row>
    <row r="2080" spans="11:11" x14ac:dyDescent="0.2">
      <c r="K2080" s="8"/>
    </row>
    <row r="2081" spans="11:11" x14ac:dyDescent="0.2">
      <c r="K2081" s="8"/>
    </row>
    <row r="2082" spans="11:11" x14ac:dyDescent="0.2">
      <c r="K2082" s="8"/>
    </row>
    <row r="2083" spans="11:11" x14ac:dyDescent="0.2">
      <c r="K2083" s="8"/>
    </row>
    <row r="2084" spans="11:11" x14ac:dyDescent="0.2">
      <c r="K2084" s="8"/>
    </row>
    <row r="2085" spans="11:11" x14ac:dyDescent="0.2">
      <c r="K2085" s="8"/>
    </row>
    <row r="2086" spans="11:11" x14ac:dyDescent="0.2">
      <c r="K2086" s="8"/>
    </row>
    <row r="2087" spans="11:11" x14ac:dyDescent="0.2">
      <c r="K2087" s="8"/>
    </row>
    <row r="2088" spans="11:11" x14ac:dyDescent="0.2">
      <c r="K2088" s="8"/>
    </row>
    <row r="2089" spans="11:11" x14ac:dyDescent="0.2">
      <c r="K2089" s="8"/>
    </row>
    <row r="2090" spans="11:11" x14ac:dyDescent="0.2">
      <c r="K2090" s="8"/>
    </row>
    <row r="2091" spans="11:11" x14ac:dyDescent="0.2">
      <c r="K2091" s="8"/>
    </row>
    <row r="2092" spans="11:11" x14ac:dyDescent="0.2">
      <c r="K2092" s="8"/>
    </row>
    <row r="2093" spans="11:11" x14ac:dyDescent="0.2">
      <c r="K2093" s="8"/>
    </row>
    <row r="2094" spans="11:11" x14ac:dyDescent="0.2">
      <c r="K2094" s="8"/>
    </row>
    <row r="2095" spans="11:11" x14ac:dyDescent="0.2">
      <c r="K2095" s="8"/>
    </row>
    <row r="2096" spans="11:11" x14ac:dyDescent="0.2">
      <c r="K2096" s="8"/>
    </row>
    <row r="2097" spans="11:11" x14ac:dyDescent="0.2">
      <c r="K2097" s="8"/>
    </row>
    <row r="2098" spans="11:11" x14ac:dyDescent="0.2">
      <c r="K2098" s="8"/>
    </row>
    <row r="2099" spans="11:11" x14ac:dyDescent="0.2">
      <c r="K2099" s="8"/>
    </row>
    <row r="2100" spans="11:11" x14ac:dyDescent="0.2">
      <c r="K2100" s="8"/>
    </row>
    <row r="2101" spans="11:11" x14ac:dyDescent="0.2">
      <c r="K2101" s="8"/>
    </row>
    <row r="2102" spans="11:11" x14ac:dyDescent="0.2">
      <c r="K2102" s="8"/>
    </row>
    <row r="2103" spans="11:11" x14ac:dyDescent="0.2">
      <c r="K2103" s="8"/>
    </row>
    <row r="2104" spans="11:11" x14ac:dyDescent="0.2">
      <c r="K2104" s="8"/>
    </row>
    <row r="2105" spans="11:11" x14ac:dyDescent="0.2">
      <c r="K2105" s="8"/>
    </row>
    <row r="2106" spans="11:11" x14ac:dyDescent="0.2">
      <c r="K2106" s="8"/>
    </row>
    <row r="2107" spans="11:11" x14ac:dyDescent="0.2">
      <c r="K2107" s="8"/>
    </row>
    <row r="2108" spans="11:11" x14ac:dyDescent="0.2">
      <c r="K2108" s="8"/>
    </row>
    <row r="2109" spans="11:11" x14ac:dyDescent="0.2">
      <c r="K2109" s="8"/>
    </row>
    <row r="2110" spans="11:11" x14ac:dyDescent="0.2">
      <c r="K2110" s="8"/>
    </row>
    <row r="2111" spans="11:11" x14ac:dyDescent="0.2">
      <c r="K2111" s="8"/>
    </row>
    <row r="2112" spans="11:11" x14ac:dyDescent="0.2">
      <c r="K2112" s="8"/>
    </row>
    <row r="2113" spans="11:11" x14ac:dyDescent="0.2">
      <c r="K2113" s="8"/>
    </row>
    <row r="2114" spans="11:11" x14ac:dyDescent="0.2">
      <c r="K2114" s="8"/>
    </row>
    <row r="2115" spans="11:11" x14ac:dyDescent="0.2">
      <c r="K2115" s="8"/>
    </row>
    <row r="2116" spans="11:11" x14ac:dyDescent="0.2">
      <c r="K2116" s="8"/>
    </row>
    <row r="2117" spans="11:11" x14ac:dyDescent="0.2">
      <c r="K2117" s="8"/>
    </row>
    <row r="2118" spans="11:11" x14ac:dyDescent="0.2">
      <c r="K2118" s="8"/>
    </row>
    <row r="2119" spans="11:11" x14ac:dyDescent="0.2">
      <c r="K2119" s="8"/>
    </row>
    <row r="2120" spans="11:11" x14ac:dyDescent="0.2">
      <c r="K2120" s="8"/>
    </row>
    <row r="2121" spans="11:11" x14ac:dyDescent="0.2">
      <c r="K2121" s="8"/>
    </row>
    <row r="2122" spans="11:11" x14ac:dyDescent="0.2">
      <c r="K2122" s="8"/>
    </row>
    <row r="2123" spans="11:11" x14ac:dyDescent="0.2">
      <c r="K2123" s="8"/>
    </row>
    <row r="2124" spans="11:11" x14ac:dyDescent="0.2">
      <c r="K2124" s="8"/>
    </row>
    <row r="2125" spans="11:11" x14ac:dyDescent="0.2">
      <c r="K2125" s="8"/>
    </row>
    <row r="2126" spans="11:11" x14ac:dyDescent="0.2">
      <c r="K2126" s="8"/>
    </row>
    <row r="2127" spans="11:11" x14ac:dyDescent="0.2">
      <c r="K2127" s="8"/>
    </row>
    <row r="2128" spans="11:11" x14ac:dyDescent="0.2">
      <c r="K2128" s="8"/>
    </row>
    <row r="2129" spans="11:11" x14ac:dyDescent="0.2">
      <c r="K2129" s="8"/>
    </row>
    <row r="2130" spans="11:11" x14ac:dyDescent="0.2">
      <c r="K2130" s="8"/>
    </row>
    <row r="2131" spans="11:11" x14ac:dyDescent="0.2">
      <c r="K2131" s="8"/>
    </row>
    <row r="2132" spans="11:11" x14ac:dyDescent="0.2">
      <c r="K2132" s="8"/>
    </row>
    <row r="2133" spans="11:11" x14ac:dyDescent="0.2">
      <c r="K2133" s="8"/>
    </row>
    <row r="2134" spans="11:11" x14ac:dyDescent="0.2">
      <c r="K2134" s="8"/>
    </row>
    <row r="2135" spans="11:11" x14ac:dyDescent="0.2">
      <c r="K2135" s="8"/>
    </row>
    <row r="2136" spans="11:11" x14ac:dyDescent="0.2">
      <c r="K2136" s="8"/>
    </row>
    <row r="2137" spans="11:11" x14ac:dyDescent="0.2">
      <c r="K2137" s="8"/>
    </row>
    <row r="2138" spans="11:11" x14ac:dyDescent="0.2">
      <c r="K2138" s="8"/>
    </row>
    <row r="2139" spans="11:11" x14ac:dyDescent="0.2">
      <c r="K2139" s="8"/>
    </row>
    <row r="2140" spans="11:11" x14ac:dyDescent="0.2">
      <c r="K2140" s="8"/>
    </row>
    <row r="2141" spans="11:11" x14ac:dyDescent="0.2">
      <c r="K2141" s="8"/>
    </row>
    <row r="2142" spans="11:11" x14ac:dyDescent="0.2">
      <c r="K2142" s="8"/>
    </row>
    <row r="2143" spans="11:11" x14ac:dyDescent="0.2">
      <c r="K2143" s="8"/>
    </row>
    <row r="2144" spans="11:11" x14ac:dyDescent="0.2">
      <c r="K2144" s="8"/>
    </row>
    <row r="2145" spans="11:11" x14ac:dyDescent="0.2">
      <c r="K2145" s="8"/>
    </row>
    <row r="2146" spans="11:11" x14ac:dyDescent="0.2">
      <c r="K2146" s="8"/>
    </row>
    <row r="2147" spans="11:11" x14ac:dyDescent="0.2">
      <c r="K2147" s="8"/>
    </row>
    <row r="2148" spans="11:11" x14ac:dyDescent="0.2">
      <c r="K2148" s="8"/>
    </row>
    <row r="2149" spans="11:11" x14ac:dyDescent="0.2">
      <c r="K2149" s="8"/>
    </row>
    <row r="2150" spans="11:11" x14ac:dyDescent="0.2">
      <c r="K2150" s="8"/>
    </row>
    <row r="2151" spans="11:11" x14ac:dyDescent="0.2">
      <c r="K2151" s="8"/>
    </row>
    <row r="2152" spans="11:11" x14ac:dyDescent="0.2">
      <c r="K2152" s="8"/>
    </row>
    <row r="2153" spans="11:11" x14ac:dyDescent="0.2">
      <c r="K2153" s="8"/>
    </row>
    <row r="2154" spans="11:11" x14ac:dyDescent="0.2">
      <c r="K2154" s="8"/>
    </row>
    <row r="2155" spans="11:11" x14ac:dyDescent="0.2">
      <c r="K2155" s="8"/>
    </row>
    <row r="2156" spans="11:11" x14ac:dyDescent="0.2">
      <c r="K2156" s="8"/>
    </row>
    <row r="2157" spans="11:11" x14ac:dyDescent="0.2">
      <c r="K2157" s="8"/>
    </row>
    <row r="2158" spans="11:11" x14ac:dyDescent="0.2">
      <c r="K2158" s="8"/>
    </row>
    <row r="2159" spans="11:11" x14ac:dyDescent="0.2">
      <c r="K2159" s="8"/>
    </row>
    <row r="2160" spans="11:11" x14ac:dyDescent="0.2">
      <c r="K2160" s="8"/>
    </row>
    <row r="2161" spans="11:11" x14ac:dyDescent="0.2">
      <c r="K2161" s="8"/>
    </row>
    <row r="2162" spans="11:11" x14ac:dyDescent="0.2">
      <c r="K2162" s="8"/>
    </row>
    <row r="2163" spans="11:11" x14ac:dyDescent="0.2">
      <c r="K2163" s="8"/>
    </row>
    <row r="2164" spans="11:11" x14ac:dyDescent="0.2">
      <c r="K2164" s="8"/>
    </row>
    <row r="2165" spans="11:11" x14ac:dyDescent="0.2">
      <c r="K2165" s="8"/>
    </row>
    <row r="2166" spans="11:11" x14ac:dyDescent="0.2">
      <c r="K2166" s="8"/>
    </row>
    <row r="2167" spans="11:11" x14ac:dyDescent="0.2">
      <c r="K2167" s="8"/>
    </row>
    <row r="2168" spans="11:11" x14ac:dyDescent="0.2">
      <c r="K2168" s="8"/>
    </row>
    <row r="2169" spans="11:11" x14ac:dyDescent="0.2">
      <c r="K2169" s="8"/>
    </row>
    <row r="2170" spans="11:11" x14ac:dyDescent="0.2">
      <c r="K2170" s="8"/>
    </row>
    <row r="2171" spans="11:11" x14ac:dyDescent="0.2">
      <c r="K2171" s="8"/>
    </row>
    <row r="2172" spans="11:11" x14ac:dyDescent="0.2">
      <c r="K2172" s="8"/>
    </row>
    <row r="2173" spans="11:11" x14ac:dyDescent="0.2">
      <c r="K2173" s="8"/>
    </row>
    <row r="2174" spans="11:11" x14ac:dyDescent="0.2">
      <c r="K2174" s="8"/>
    </row>
    <row r="2175" spans="11:11" x14ac:dyDescent="0.2">
      <c r="K2175" s="8"/>
    </row>
    <row r="2176" spans="11:11" x14ac:dyDescent="0.2">
      <c r="K2176" s="8"/>
    </row>
    <row r="2177" spans="11:11" x14ac:dyDescent="0.2">
      <c r="K2177" s="8"/>
    </row>
    <row r="2178" spans="11:11" x14ac:dyDescent="0.2">
      <c r="K2178" s="8"/>
    </row>
    <row r="2179" spans="11:11" x14ac:dyDescent="0.2">
      <c r="K2179" s="8"/>
    </row>
    <row r="2180" spans="11:11" x14ac:dyDescent="0.2">
      <c r="K2180" s="8"/>
    </row>
    <row r="2181" spans="11:11" x14ac:dyDescent="0.2">
      <c r="K2181" s="8"/>
    </row>
    <row r="2182" spans="11:11" x14ac:dyDescent="0.2">
      <c r="K2182" s="8"/>
    </row>
    <row r="2183" spans="11:11" x14ac:dyDescent="0.2">
      <c r="K2183" s="8"/>
    </row>
    <row r="2184" spans="11:11" x14ac:dyDescent="0.2">
      <c r="K2184" s="8"/>
    </row>
    <row r="2185" spans="11:11" x14ac:dyDescent="0.2">
      <c r="K2185" s="8"/>
    </row>
    <row r="2186" spans="11:11" x14ac:dyDescent="0.2">
      <c r="K2186" s="8"/>
    </row>
    <row r="2187" spans="11:11" x14ac:dyDescent="0.2">
      <c r="K2187" s="8"/>
    </row>
    <row r="2188" spans="11:11" x14ac:dyDescent="0.2">
      <c r="K2188" s="8"/>
    </row>
    <row r="2189" spans="11:11" x14ac:dyDescent="0.2">
      <c r="K2189" s="8"/>
    </row>
    <row r="2190" spans="11:11" x14ac:dyDescent="0.2">
      <c r="K2190" s="8"/>
    </row>
    <row r="2191" spans="11:11" x14ac:dyDescent="0.2">
      <c r="K2191" s="8"/>
    </row>
    <row r="2192" spans="11:11" x14ac:dyDescent="0.2">
      <c r="K2192" s="8"/>
    </row>
    <row r="2193" spans="11:11" x14ac:dyDescent="0.2">
      <c r="K2193" s="8"/>
    </row>
    <row r="2194" spans="11:11" x14ac:dyDescent="0.2">
      <c r="K2194" s="8"/>
    </row>
    <row r="2195" spans="11:11" x14ac:dyDescent="0.2">
      <c r="K2195" s="8"/>
    </row>
    <row r="2196" spans="11:11" x14ac:dyDescent="0.2">
      <c r="K2196" s="8"/>
    </row>
    <row r="2197" spans="11:11" x14ac:dyDescent="0.2">
      <c r="K2197" s="8"/>
    </row>
    <row r="2198" spans="11:11" x14ac:dyDescent="0.2">
      <c r="K2198" s="8"/>
    </row>
    <row r="2199" spans="11:11" x14ac:dyDescent="0.2">
      <c r="K2199" s="8"/>
    </row>
    <row r="2200" spans="11:11" x14ac:dyDescent="0.2">
      <c r="K2200" s="8"/>
    </row>
    <row r="2201" spans="11:11" x14ac:dyDescent="0.2">
      <c r="K2201" s="8"/>
    </row>
    <row r="2202" spans="11:11" x14ac:dyDescent="0.2">
      <c r="K2202" s="8"/>
    </row>
    <row r="2203" spans="11:11" x14ac:dyDescent="0.2">
      <c r="K2203" s="8"/>
    </row>
    <row r="2204" spans="11:11" x14ac:dyDescent="0.2">
      <c r="K2204" s="8"/>
    </row>
    <row r="2205" spans="11:11" x14ac:dyDescent="0.2">
      <c r="K2205" s="8"/>
    </row>
    <row r="2206" spans="11:11" x14ac:dyDescent="0.2">
      <c r="K2206" s="8"/>
    </row>
    <row r="2207" spans="11:11" x14ac:dyDescent="0.2">
      <c r="K2207" s="8"/>
    </row>
    <row r="2208" spans="11:11" x14ac:dyDescent="0.2">
      <c r="K2208" s="8"/>
    </row>
    <row r="2209" spans="11:11" x14ac:dyDescent="0.2">
      <c r="K2209" s="8"/>
    </row>
    <row r="2210" spans="11:11" x14ac:dyDescent="0.2">
      <c r="K2210" s="8"/>
    </row>
    <row r="2211" spans="11:11" x14ac:dyDescent="0.2">
      <c r="K2211" s="8"/>
    </row>
    <row r="2212" spans="11:11" x14ac:dyDescent="0.2">
      <c r="K2212" s="8"/>
    </row>
    <row r="2213" spans="11:11" x14ac:dyDescent="0.2">
      <c r="K2213" s="8"/>
    </row>
    <row r="2214" spans="11:11" x14ac:dyDescent="0.2">
      <c r="K2214" s="8"/>
    </row>
    <row r="2215" spans="11:11" x14ac:dyDescent="0.2">
      <c r="K2215" s="8"/>
    </row>
    <row r="2216" spans="11:11" x14ac:dyDescent="0.2">
      <c r="K2216" s="8"/>
    </row>
    <row r="2217" spans="11:11" x14ac:dyDescent="0.2">
      <c r="K2217" s="8"/>
    </row>
    <row r="2218" spans="11:11" x14ac:dyDescent="0.2">
      <c r="K2218" s="8"/>
    </row>
    <row r="2219" spans="11:11" x14ac:dyDescent="0.2">
      <c r="K2219" s="8"/>
    </row>
    <row r="2220" spans="11:11" x14ac:dyDescent="0.2">
      <c r="K2220" s="8"/>
    </row>
    <row r="2221" spans="11:11" x14ac:dyDescent="0.2">
      <c r="K2221" s="8"/>
    </row>
    <row r="2222" spans="11:11" x14ac:dyDescent="0.2">
      <c r="K2222" s="8"/>
    </row>
    <row r="2223" spans="11:11" x14ac:dyDescent="0.2">
      <c r="K2223" s="8"/>
    </row>
    <row r="2224" spans="11:11" x14ac:dyDescent="0.2">
      <c r="K2224" s="8"/>
    </row>
    <row r="2225" spans="11:11" x14ac:dyDescent="0.2">
      <c r="K2225" s="8"/>
    </row>
    <row r="2226" spans="11:11" x14ac:dyDescent="0.2">
      <c r="K2226" s="8"/>
    </row>
    <row r="2227" spans="11:11" x14ac:dyDescent="0.2">
      <c r="K2227" s="8"/>
    </row>
    <row r="2228" spans="11:11" x14ac:dyDescent="0.2">
      <c r="K2228" s="8"/>
    </row>
    <row r="2229" spans="11:11" x14ac:dyDescent="0.2">
      <c r="K2229" s="8"/>
    </row>
    <row r="2230" spans="11:11" x14ac:dyDescent="0.2">
      <c r="K2230" s="8"/>
    </row>
    <row r="2231" spans="11:11" x14ac:dyDescent="0.2">
      <c r="K2231" s="8"/>
    </row>
    <row r="2232" spans="11:11" x14ac:dyDescent="0.2">
      <c r="K2232" s="8"/>
    </row>
    <row r="2233" spans="11:11" x14ac:dyDescent="0.2">
      <c r="K2233" s="8"/>
    </row>
    <row r="2234" spans="11:11" x14ac:dyDescent="0.2">
      <c r="K2234" s="8"/>
    </row>
    <row r="2235" spans="11:11" x14ac:dyDescent="0.2">
      <c r="K2235" s="8"/>
    </row>
    <row r="2236" spans="11:11" x14ac:dyDescent="0.2">
      <c r="K2236" s="8"/>
    </row>
    <row r="2237" spans="11:11" x14ac:dyDescent="0.2">
      <c r="K2237" s="8"/>
    </row>
    <row r="2238" spans="11:11" x14ac:dyDescent="0.2">
      <c r="K2238" s="8"/>
    </row>
    <row r="2239" spans="11:11" x14ac:dyDescent="0.2">
      <c r="K2239" s="8"/>
    </row>
    <row r="2240" spans="11:11" x14ac:dyDescent="0.2">
      <c r="K2240" s="8"/>
    </row>
    <row r="2241" spans="11:11" x14ac:dyDescent="0.2">
      <c r="K2241" s="8"/>
    </row>
    <row r="2242" spans="11:11" x14ac:dyDescent="0.2">
      <c r="K2242" s="8"/>
    </row>
    <row r="2243" spans="11:11" x14ac:dyDescent="0.2">
      <c r="K2243" s="8"/>
    </row>
    <row r="2244" spans="11:11" x14ac:dyDescent="0.2">
      <c r="K2244" s="8"/>
    </row>
    <row r="2245" spans="11:11" x14ac:dyDescent="0.2">
      <c r="K2245" s="8"/>
    </row>
    <row r="2246" spans="11:11" x14ac:dyDescent="0.2">
      <c r="K2246" s="8"/>
    </row>
    <row r="2247" spans="11:11" x14ac:dyDescent="0.2">
      <c r="K2247" s="8"/>
    </row>
    <row r="2248" spans="11:11" x14ac:dyDescent="0.2">
      <c r="K2248" s="8"/>
    </row>
    <row r="2249" spans="11:11" x14ac:dyDescent="0.2">
      <c r="K2249" s="8"/>
    </row>
    <row r="2250" spans="11:11" x14ac:dyDescent="0.2">
      <c r="K2250" s="8"/>
    </row>
    <row r="2251" spans="11:11" x14ac:dyDescent="0.2">
      <c r="K2251" s="8"/>
    </row>
    <row r="2252" spans="11:11" x14ac:dyDescent="0.2">
      <c r="K2252" s="8"/>
    </row>
    <row r="2253" spans="11:11" x14ac:dyDescent="0.2">
      <c r="K2253" s="8"/>
    </row>
    <row r="2254" spans="11:11" x14ac:dyDescent="0.2">
      <c r="K2254" s="8"/>
    </row>
    <row r="2255" spans="11:11" x14ac:dyDescent="0.2">
      <c r="K2255" s="8"/>
    </row>
    <row r="2256" spans="11:11" x14ac:dyDescent="0.2">
      <c r="K2256" s="8"/>
    </row>
    <row r="2257" spans="11:11" x14ac:dyDescent="0.2">
      <c r="K2257" s="8"/>
    </row>
    <row r="2258" spans="11:11" x14ac:dyDescent="0.2">
      <c r="K2258" s="8"/>
    </row>
    <row r="2259" spans="11:11" x14ac:dyDescent="0.2">
      <c r="K2259" s="8"/>
    </row>
    <row r="2260" spans="11:11" x14ac:dyDescent="0.2">
      <c r="K2260" s="8"/>
    </row>
    <row r="2261" spans="11:11" x14ac:dyDescent="0.2">
      <c r="K2261" s="8"/>
    </row>
    <row r="2262" spans="11:11" x14ac:dyDescent="0.2">
      <c r="K2262" s="8"/>
    </row>
    <row r="2263" spans="11:11" x14ac:dyDescent="0.2">
      <c r="K2263" s="8"/>
    </row>
    <row r="2264" spans="11:11" x14ac:dyDescent="0.2">
      <c r="K2264" s="8"/>
    </row>
    <row r="2265" spans="11:11" x14ac:dyDescent="0.2">
      <c r="K2265" s="8"/>
    </row>
    <row r="2266" spans="11:11" x14ac:dyDescent="0.2">
      <c r="K2266" s="8"/>
    </row>
    <row r="2267" spans="11:11" x14ac:dyDescent="0.2">
      <c r="K2267" s="8"/>
    </row>
    <row r="2268" spans="11:11" x14ac:dyDescent="0.2">
      <c r="K2268" s="8"/>
    </row>
    <row r="2269" spans="11:11" x14ac:dyDescent="0.2">
      <c r="K2269" s="8"/>
    </row>
    <row r="2270" spans="11:11" x14ac:dyDescent="0.2">
      <c r="K2270" s="8"/>
    </row>
    <row r="2271" spans="11:11" x14ac:dyDescent="0.2">
      <c r="K2271" s="8"/>
    </row>
    <row r="2272" spans="11:11" x14ac:dyDescent="0.2">
      <c r="K2272" s="8"/>
    </row>
    <row r="2273" spans="11:11" x14ac:dyDescent="0.2">
      <c r="K2273" s="8"/>
    </row>
    <row r="2274" spans="11:11" x14ac:dyDescent="0.2">
      <c r="K2274" s="8"/>
    </row>
    <row r="2275" spans="11:11" x14ac:dyDescent="0.2">
      <c r="K2275" s="8"/>
    </row>
    <row r="2276" spans="11:11" x14ac:dyDescent="0.2">
      <c r="K2276" s="8"/>
    </row>
    <row r="2277" spans="11:11" x14ac:dyDescent="0.2">
      <c r="K2277" s="8"/>
    </row>
    <row r="2278" spans="11:11" x14ac:dyDescent="0.2">
      <c r="K2278" s="8"/>
    </row>
    <row r="2279" spans="11:11" x14ac:dyDescent="0.2">
      <c r="K2279" s="8"/>
    </row>
    <row r="2280" spans="11:11" x14ac:dyDescent="0.2">
      <c r="K2280" s="8"/>
    </row>
    <row r="2281" spans="11:11" x14ac:dyDescent="0.2">
      <c r="K2281" s="8"/>
    </row>
    <row r="2282" spans="11:11" x14ac:dyDescent="0.2">
      <c r="K2282" s="8"/>
    </row>
    <row r="2283" spans="11:11" x14ac:dyDescent="0.2">
      <c r="K2283" s="8"/>
    </row>
    <row r="2284" spans="11:11" x14ac:dyDescent="0.2">
      <c r="K2284" s="8"/>
    </row>
    <row r="2285" spans="11:11" x14ac:dyDescent="0.2">
      <c r="K2285" s="8"/>
    </row>
    <row r="2286" spans="11:11" x14ac:dyDescent="0.2">
      <c r="K2286" s="8"/>
    </row>
    <row r="2287" spans="11:11" x14ac:dyDescent="0.2">
      <c r="K2287" s="8"/>
    </row>
    <row r="2288" spans="11:11" x14ac:dyDescent="0.2">
      <c r="K2288" s="8"/>
    </row>
    <row r="2289" spans="11:11" x14ac:dyDescent="0.2">
      <c r="K2289" s="8"/>
    </row>
    <row r="2290" spans="11:11" x14ac:dyDescent="0.2">
      <c r="K2290" s="8"/>
    </row>
    <row r="2291" spans="11:11" x14ac:dyDescent="0.2">
      <c r="K2291" s="8"/>
    </row>
    <row r="2292" spans="11:11" x14ac:dyDescent="0.2">
      <c r="K2292" s="8"/>
    </row>
    <row r="2293" spans="11:11" x14ac:dyDescent="0.2">
      <c r="K2293" s="8"/>
    </row>
    <row r="2294" spans="11:11" x14ac:dyDescent="0.2">
      <c r="K2294" s="8"/>
    </row>
    <row r="2295" spans="11:11" x14ac:dyDescent="0.2">
      <c r="K2295" s="8"/>
    </row>
    <row r="2296" spans="11:11" x14ac:dyDescent="0.2">
      <c r="K2296" s="8"/>
    </row>
    <row r="2297" spans="11:11" x14ac:dyDescent="0.2">
      <c r="K2297" s="8"/>
    </row>
    <row r="2298" spans="11:11" x14ac:dyDescent="0.2">
      <c r="K2298" s="8"/>
    </row>
    <row r="2299" spans="11:11" x14ac:dyDescent="0.2">
      <c r="K2299" s="8"/>
    </row>
    <row r="2300" spans="11:11" x14ac:dyDescent="0.2">
      <c r="K2300" s="8"/>
    </row>
    <row r="2301" spans="11:11" x14ac:dyDescent="0.2">
      <c r="K2301" s="8"/>
    </row>
    <row r="2302" spans="11:11" x14ac:dyDescent="0.2">
      <c r="K2302" s="8"/>
    </row>
    <row r="2303" spans="11:11" x14ac:dyDescent="0.2">
      <c r="K2303" s="8"/>
    </row>
    <row r="2304" spans="11:11" x14ac:dyDescent="0.2">
      <c r="K2304" s="8"/>
    </row>
    <row r="2305" spans="11:11" x14ac:dyDescent="0.2">
      <c r="K2305" s="8"/>
    </row>
    <row r="2306" spans="11:11" x14ac:dyDescent="0.2">
      <c r="K2306" s="8"/>
    </row>
    <row r="2307" spans="11:11" x14ac:dyDescent="0.2">
      <c r="K2307" s="8"/>
    </row>
    <row r="2308" spans="11:11" x14ac:dyDescent="0.2">
      <c r="K2308" s="8"/>
    </row>
    <row r="2309" spans="11:11" x14ac:dyDescent="0.2">
      <c r="K2309" s="8"/>
    </row>
    <row r="2310" spans="11:11" x14ac:dyDescent="0.2">
      <c r="K2310" s="8"/>
    </row>
    <row r="2311" spans="11:11" x14ac:dyDescent="0.2">
      <c r="K2311" s="8"/>
    </row>
    <row r="2312" spans="11:11" x14ac:dyDescent="0.2">
      <c r="K2312" s="8"/>
    </row>
    <row r="2313" spans="11:11" x14ac:dyDescent="0.2">
      <c r="K2313" s="8"/>
    </row>
    <row r="2314" spans="11:11" x14ac:dyDescent="0.2">
      <c r="K2314" s="8"/>
    </row>
    <row r="2315" spans="11:11" x14ac:dyDescent="0.2">
      <c r="K2315" s="8"/>
    </row>
    <row r="2316" spans="11:11" x14ac:dyDescent="0.2">
      <c r="K2316" s="8"/>
    </row>
    <row r="2317" spans="11:11" x14ac:dyDescent="0.2">
      <c r="K2317" s="8"/>
    </row>
    <row r="2318" spans="11:11" x14ac:dyDescent="0.2">
      <c r="K2318" s="8"/>
    </row>
    <row r="2319" spans="11:11" x14ac:dyDescent="0.2">
      <c r="K2319" s="8"/>
    </row>
    <row r="2320" spans="11:11" x14ac:dyDescent="0.2">
      <c r="K2320" s="8"/>
    </row>
    <row r="2321" spans="11:11" x14ac:dyDescent="0.2">
      <c r="K2321" s="8"/>
    </row>
    <row r="2322" spans="11:11" x14ac:dyDescent="0.2">
      <c r="K2322" s="8"/>
    </row>
    <row r="2323" spans="11:11" x14ac:dyDescent="0.2">
      <c r="K2323" s="8"/>
    </row>
    <row r="2324" spans="11:11" x14ac:dyDescent="0.2">
      <c r="K2324" s="8"/>
    </row>
    <row r="2325" spans="11:11" x14ac:dyDescent="0.2">
      <c r="K2325" s="8"/>
    </row>
    <row r="2326" spans="11:11" x14ac:dyDescent="0.2">
      <c r="K2326" s="8"/>
    </row>
    <row r="2327" spans="11:11" x14ac:dyDescent="0.2">
      <c r="K2327" s="8"/>
    </row>
    <row r="2328" spans="11:11" x14ac:dyDescent="0.2">
      <c r="K2328" s="8"/>
    </row>
    <row r="2329" spans="11:11" x14ac:dyDescent="0.2">
      <c r="K2329" s="8"/>
    </row>
    <row r="2330" spans="11:11" x14ac:dyDescent="0.2">
      <c r="K2330" s="8"/>
    </row>
    <row r="2331" spans="11:11" x14ac:dyDescent="0.2">
      <c r="K2331" s="8"/>
    </row>
    <row r="2332" spans="11:11" x14ac:dyDescent="0.2">
      <c r="K2332" s="8"/>
    </row>
    <row r="2333" spans="11:11" x14ac:dyDescent="0.2">
      <c r="K2333" s="8"/>
    </row>
    <row r="2334" spans="11:11" x14ac:dyDescent="0.2">
      <c r="K2334" s="8"/>
    </row>
    <row r="2335" spans="11:11" x14ac:dyDescent="0.2">
      <c r="K2335" s="8"/>
    </row>
    <row r="2336" spans="11:11" x14ac:dyDescent="0.2">
      <c r="K2336" s="8"/>
    </row>
    <row r="2337" spans="11:11" x14ac:dyDescent="0.2">
      <c r="K2337" s="8"/>
    </row>
    <row r="2338" spans="11:11" x14ac:dyDescent="0.2">
      <c r="K2338" s="8"/>
    </row>
    <row r="2339" spans="11:11" x14ac:dyDescent="0.2">
      <c r="K2339" s="8"/>
    </row>
    <row r="2340" spans="11:11" x14ac:dyDescent="0.2">
      <c r="K2340" s="8"/>
    </row>
    <row r="2341" spans="11:11" x14ac:dyDescent="0.2">
      <c r="K2341" s="8"/>
    </row>
    <row r="2342" spans="11:11" x14ac:dyDescent="0.2">
      <c r="K2342" s="8"/>
    </row>
    <row r="2343" spans="11:11" x14ac:dyDescent="0.2">
      <c r="K2343" s="8"/>
    </row>
    <row r="2344" spans="11:11" x14ac:dyDescent="0.2">
      <c r="K2344" s="8"/>
    </row>
    <row r="2345" spans="11:11" x14ac:dyDescent="0.2">
      <c r="K2345" s="8"/>
    </row>
    <row r="2346" spans="11:11" x14ac:dyDescent="0.2">
      <c r="K2346" s="8"/>
    </row>
    <row r="2347" spans="11:11" x14ac:dyDescent="0.2">
      <c r="K2347" s="8"/>
    </row>
    <row r="2348" spans="11:11" x14ac:dyDescent="0.2">
      <c r="K2348" s="8"/>
    </row>
    <row r="2349" spans="11:11" x14ac:dyDescent="0.2">
      <c r="K2349" s="8"/>
    </row>
    <row r="2350" spans="11:11" x14ac:dyDescent="0.2">
      <c r="K2350" s="8"/>
    </row>
    <row r="2351" spans="11:11" x14ac:dyDescent="0.2">
      <c r="K2351" s="8"/>
    </row>
    <row r="2352" spans="11:11" x14ac:dyDescent="0.2">
      <c r="K2352" s="8"/>
    </row>
    <row r="2353" spans="11:11" x14ac:dyDescent="0.2">
      <c r="K2353" s="8"/>
    </row>
    <row r="2354" spans="11:11" x14ac:dyDescent="0.2">
      <c r="K2354" s="8"/>
    </row>
    <row r="2355" spans="11:11" x14ac:dyDescent="0.2">
      <c r="K2355" s="8"/>
    </row>
    <row r="2356" spans="11:11" x14ac:dyDescent="0.2">
      <c r="K2356" s="8"/>
    </row>
    <row r="2357" spans="11:11" x14ac:dyDescent="0.2">
      <c r="K2357" s="8"/>
    </row>
    <row r="2358" spans="11:11" x14ac:dyDescent="0.2">
      <c r="K2358" s="8"/>
    </row>
    <row r="2359" spans="11:11" x14ac:dyDescent="0.2">
      <c r="K2359" s="8"/>
    </row>
    <row r="2360" spans="11:11" x14ac:dyDescent="0.2">
      <c r="K2360" s="8"/>
    </row>
    <row r="2361" spans="11:11" x14ac:dyDescent="0.2">
      <c r="K2361" s="8"/>
    </row>
    <row r="2362" spans="11:11" x14ac:dyDescent="0.2">
      <c r="K2362" s="8"/>
    </row>
    <row r="2363" spans="11:11" x14ac:dyDescent="0.2">
      <c r="K2363" s="8"/>
    </row>
    <row r="2364" spans="11:11" x14ac:dyDescent="0.2">
      <c r="K2364" s="8"/>
    </row>
    <row r="2365" spans="11:11" x14ac:dyDescent="0.2">
      <c r="K2365" s="8"/>
    </row>
    <row r="2366" spans="11:11" x14ac:dyDescent="0.2">
      <c r="K2366" s="8"/>
    </row>
    <row r="2367" spans="11:11" x14ac:dyDescent="0.2">
      <c r="K2367" s="8"/>
    </row>
    <row r="2368" spans="11:11" x14ac:dyDescent="0.2">
      <c r="K2368" s="8"/>
    </row>
    <row r="2369" spans="11:11" x14ac:dyDescent="0.2">
      <c r="K2369" s="8"/>
    </row>
    <row r="2370" spans="11:11" x14ac:dyDescent="0.2">
      <c r="K2370" s="8"/>
    </row>
    <row r="2371" spans="11:11" x14ac:dyDescent="0.2">
      <c r="K2371" s="8"/>
    </row>
    <row r="2372" spans="11:11" x14ac:dyDescent="0.2">
      <c r="K2372" s="8"/>
    </row>
    <row r="2373" spans="11:11" x14ac:dyDescent="0.2">
      <c r="K2373" s="8"/>
    </row>
    <row r="2374" spans="11:11" x14ac:dyDescent="0.2">
      <c r="K2374" s="8"/>
    </row>
    <row r="2375" spans="11:11" x14ac:dyDescent="0.2">
      <c r="K2375" s="8"/>
    </row>
    <row r="2376" spans="11:11" x14ac:dyDescent="0.2">
      <c r="K2376" s="8"/>
    </row>
    <row r="2377" spans="11:11" x14ac:dyDescent="0.2">
      <c r="K2377" s="8"/>
    </row>
    <row r="2378" spans="11:11" x14ac:dyDescent="0.2">
      <c r="K2378" s="8"/>
    </row>
    <row r="2379" spans="11:11" x14ac:dyDescent="0.2">
      <c r="K2379" s="8"/>
    </row>
    <row r="2380" spans="11:11" x14ac:dyDescent="0.2">
      <c r="K2380" s="8"/>
    </row>
    <row r="2381" spans="11:11" x14ac:dyDescent="0.2">
      <c r="K2381" s="8"/>
    </row>
    <row r="2382" spans="11:11" x14ac:dyDescent="0.2">
      <c r="K2382" s="8"/>
    </row>
    <row r="2383" spans="11:11" x14ac:dyDescent="0.2">
      <c r="K2383" s="8"/>
    </row>
    <row r="2384" spans="11:11" x14ac:dyDescent="0.2">
      <c r="K2384" s="8"/>
    </row>
    <row r="2385" spans="11:11" x14ac:dyDescent="0.2">
      <c r="K2385" s="8"/>
    </row>
    <row r="2386" spans="11:11" x14ac:dyDescent="0.2">
      <c r="K2386" s="8"/>
    </row>
    <row r="2387" spans="11:11" x14ac:dyDescent="0.2">
      <c r="K2387" s="8"/>
    </row>
    <row r="2388" spans="11:11" x14ac:dyDescent="0.2">
      <c r="K2388" s="8"/>
    </row>
    <row r="2389" spans="11:11" x14ac:dyDescent="0.2">
      <c r="K2389" s="8"/>
    </row>
    <row r="2390" spans="11:11" x14ac:dyDescent="0.2">
      <c r="K2390" s="8"/>
    </row>
    <row r="2391" spans="11:11" x14ac:dyDescent="0.2">
      <c r="K2391" s="8"/>
    </row>
    <row r="2392" spans="11:11" x14ac:dyDescent="0.2">
      <c r="K2392" s="8"/>
    </row>
    <row r="2393" spans="11:11" x14ac:dyDescent="0.2">
      <c r="K2393" s="8"/>
    </row>
    <row r="2394" spans="11:11" x14ac:dyDescent="0.2">
      <c r="K2394" s="8"/>
    </row>
    <row r="2395" spans="11:11" x14ac:dyDescent="0.2">
      <c r="K2395" s="8"/>
    </row>
    <row r="2396" spans="11:11" x14ac:dyDescent="0.2">
      <c r="K2396" s="8"/>
    </row>
    <row r="2397" spans="11:11" x14ac:dyDescent="0.2">
      <c r="K2397" s="8"/>
    </row>
    <row r="2398" spans="11:11" x14ac:dyDescent="0.2">
      <c r="K2398" s="8"/>
    </row>
    <row r="2399" spans="11:11" x14ac:dyDescent="0.2">
      <c r="K2399" s="8"/>
    </row>
    <row r="2400" spans="11:11" x14ac:dyDescent="0.2">
      <c r="K2400" s="8"/>
    </row>
    <row r="2401" spans="11:11" x14ac:dyDescent="0.2">
      <c r="K2401" s="8"/>
    </row>
    <row r="2402" spans="11:11" x14ac:dyDescent="0.2">
      <c r="K2402" s="8"/>
    </row>
    <row r="2403" spans="11:11" x14ac:dyDescent="0.2">
      <c r="K2403" s="8"/>
    </row>
    <row r="2404" spans="11:11" x14ac:dyDescent="0.2">
      <c r="K2404" s="8"/>
    </row>
    <row r="2405" spans="11:11" x14ac:dyDescent="0.2">
      <c r="K2405" s="8"/>
    </row>
    <row r="2406" spans="11:11" x14ac:dyDescent="0.2">
      <c r="K2406" s="8"/>
    </row>
    <row r="2407" spans="11:11" x14ac:dyDescent="0.2">
      <c r="K2407" s="8"/>
    </row>
    <row r="2408" spans="11:11" x14ac:dyDescent="0.2">
      <c r="K2408" s="8"/>
    </row>
    <row r="2409" spans="11:11" x14ac:dyDescent="0.2">
      <c r="K2409" s="8"/>
    </row>
    <row r="2410" spans="11:11" x14ac:dyDescent="0.2">
      <c r="K2410" s="8"/>
    </row>
    <row r="2411" spans="11:11" x14ac:dyDescent="0.2">
      <c r="K2411" s="8"/>
    </row>
    <row r="2412" spans="11:11" x14ac:dyDescent="0.2">
      <c r="K2412" s="8"/>
    </row>
    <row r="2413" spans="11:11" x14ac:dyDescent="0.2">
      <c r="K2413" s="8"/>
    </row>
    <row r="2414" spans="11:11" x14ac:dyDescent="0.2">
      <c r="K2414" s="8"/>
    </row>
    <row r="2415" spans="11:11" x14ac:dyDescent="0.2">
      <c r="K2415" s="8"/>
    </row>
    <row r="2416" spans="11:11" x14ac:dyDescent="0.2">
      <c r="K2416" s="8"/>
    </row>
    <row r="2417" spans="11:11" x14ac:dyDescent="0.2">
      <c r="K2417" s="8"/>
    </row>
    <row r="2418" spans="11:11" x14ac:dyDescent="0.2">
      <c r="K2418" s="8"/>
    </row>
    <row r="2419" spans="11:11" x14ac:dyDescent="0.2">
      <c r="K2419" s="8"/>
    </row>
    <row r="2420" spans="11:11" x14ac:dyDescent="0.2">
      <c r="K2420" s="8"/>
    </row>
    <row r="2421" spans="11:11" x14ac:dyDescent="0.2">
      <c r="K2421" s="8"/>
    </row>
    <row r="2422" spans="11:11" x14ac:dyDescent="0.2">
      <c r="K2422" s="8"/>
    </row>
    <row r="2423" spans="11:11" x14ac:dyDescent="0.2">
      <c r="K2423" s="8"/>
    </row>
    <row r="2424" spans="11:11" x14ac:dyDescent="0.2">
      <c r="K2424" s="8"/>
    </row>
    <row r="2425" spans="11:11" x14ac:dyDescent="0.2">
      <c r="K2425" s="8"/>
    </row>
    <row r="2426" spans="11:11" x14ac:dyDescent="0.2">
      <c r="K2426" s="8"/>
    </row>
    <row r="2427" spans="11:11" x14ac:dyDescent="0.2">
      <c r="K2427" s="8"/>
    </row>
    <row r="2428" spans="11:11" x14ac:dyDescent="0.2">
      <c r="K2428" s="8"/>
    </row>
    <row r="2429" spans="11:11" x14ac:dyDescent="0.2">
      <c r="K2429" s="8"/>
    </row>
    <row r="2430" spans="11:11" x14ac:dyDescent="0.2">
      <c r="K2430" s="8"/>
    </row>
    <row r="2431" spans="11:11" x14ac:dyDescent="0.2">
      <c r="K2431" s="8"/>
    </row>
    <row r="2432" spans="11:11" x14ac:dyDescent="0.2">
      <c r="K2432" s="8"/>
    </row>
    <row r="2433" spans="11:11" x14ac:dyDescent="0.2">
      <c r="K2433" s="8"/>
    </row>
    <row r="2434" spans="11:11" x14ac:dyDescent="0.2">
      <c r="K2434" s="8"/>
    </row>
    <row r="2435" spans="11:11" x14ac:dyDescent="0.2">
      <c r="K2435" s="8"/>
    </row>
    <row r="2436" spans="11:11" x14ac:dyDescent="0.2">
      <c r="K2436" s="8"/>
    </row>
    <row r="2437" spans="11:11" x14ac:dyDescent="0.2">
      <c r="K2437" s="8"/>
    </row>
    <row r="2438" spans="11:11" x14ac:dyDescent="0.2">
      <c r="K2438" s="8"/>
    </row>
    <row r="2439" spans="11:11" x14ac:dyDescent="0.2">
      <c r="K2439" s="8"/>
    </row>
    <row r="2440" spans="11:11" x14ac:dyDescent="0.2">
      <c r="K2440" s="8"/>
    </row>
    <row r="2441" spans="11:11" x14ac:dyDescent="0.2">
      <c r="K2441" s="8"/>
    </row>
    <row r="2442" spans="11:11" x14ac:dyDescent="0.2">
      <c r="K2442" s="8"/>
    </row>
    <row r="2443" spans="11:11" x14ac:dyDescent="0.2">
      <c r="K2443" s="8"/>
    </row>
    <row r="2444" spans="11:11" x14ac:dyDescent="0.2">
      <c r="K2444" s="8"/>
    </row>
    <row r="2445" spans="11:11" x14ac:dyDescent="0.2">
      <c r="K2445" s="8"/>
    </row>
    <row r="2446" spans="11:11" x14ac:dyDescent="0.2">
      <c r="K2446" s="8"/>
    </row>
    <row r="2447" spans="11:11" x14ac:dyDescent="0.2">
      <c r="K2447" s="8"/>
    </row>
    <row r="2448" spans="11:11" x14ac:dyDescent="0.2">
      <c r="K2448" s="8"/>
    </row>
    <row r="2449" spans="11:11" x14ac:dyDescent="0.2">
      <c r="K2449" s="8"/>
    </row>
    <row r="2450" spans="11:11" x14ac:dyDescent="0.2">
      <c r="K2450" s="8"/>
    </row>
    <row r="2451" spans="11:11" x14ac:dyDescent="0.2">
      <c r="K2451" s="8"/>
    </row>
    <row r="2452" spans="11:11" x14ac:dyDescent="0.2">
      <c r="K2452" s="8"/>
    </row>
    <row r="2453" spans="11:11" x14ac:dyDescent="0.2">
      <c r="K2453" s="8"/>
    </row>
    <row r="2454" spans="11:11" x14ac:dyDescent="0.2">
      <c r="K2454" s="8"/>
    </row>
    <row r="2455" spans="11:11" x14ac:dyDescent="0.2">
      <c r="K2455" s="8"/>
    </row>
    <row r="2456" spans="11:11" x14ac:dyDescent="0.2">
      <c r="K2456" s="8"/>
    </row>
    <row r="2457" spans="11:11" x14ac:dyDescent="0.2">
      <c r="K2457" s="8"/>
    </row>
    <row r="2458" spans="11:11" x14ac:dyDescent="0.2">
      <c r="K2458" s="8"/>
    </row>
    <row r="2459" spans="11:11" x14ac:dyDescent="0.2">
      <c r="K2459" s="8"/>
    </row>
    <row r="2460" spans="11:11" x14ac:dyDescent="0.2">
      <c r="K2460" s="8"/>
    </row>
    <row r="2461" spans="11:11" x14ac:dyDescent="0.2">
      <c r="K2461" s="8"/>
    </row>
    <row r="2462" spans="11:11" x14ac:dyDescent="0.2">
      <c r="K2462" s="8"/>
    </row>
    <row r="2463" spans="11:11" x14ac:dyDescent="0.2">
      <c r="K2463" s="8"/>
    </row>
    <row r="2464" spans="11:11" x14ac:dyDescent="0.2">
      <c r="K2464" s="8"/>
    </row>
    <row r="2465" spans="11:11" x14ac:dyDescent="0.2">
      <c r="K2465" s="8"/>
    </row>
    <row r="2466" spans="11:11" x14ac:dyDescent="0.2">
      <c r="K2466" s="8"/>
    </row>
    <row r="2467" spans="11:11" x14ac:dyDescent="0.2">
      <c r="K2467" s="8"/>
    </row>
    <row r="2468" spans="11:11" x14ac:dyDescent="0.2">
      <c r="K2468" s="8"/>
    </row>
    <row r="2469" spans="11:11" x14ac:dyDescent="0.2">
      <c r="K2469" s="8"/>
    </row>
    <row r="2470" spans="11:11" x14ac:dyDescent="0.2">
      <c r="K2470" s="8"/>
    </row>
    <row r="2471" spans="11:11" x14ac:dyDescent="0.2">
      <c r="K2471" s="8"/>
    </row>
    <row r="2472" spans="11:11" x14ac:dyDescent="0.2">
      <c r="K2472" s="8"/>
    </row>
    <row r="2473" spans="11:11" x14ac:dyDescent="0.2">
      <c r="K2473" s="8"/>
    </row>
    <row r="2474" spans="11:11" x14ac:dyDescent="0.2">
      <c r="K2474" s="8"/>
    </row>
    <row r="2475" spans="11:11" x14ac:dyDescent="0.2">
      <c r="K2475" s="8"/>
    </row>
    <row r="2476" spans="11:11" x14ac:dyDescent="0.2">
      <c r="K2476" s="8"/>
    </row>
    <row r="2477" spans="11:11" x14ac:dyDescent="0.2">
      <c r="K2477" s="8"/>
    </row>
    <row r="2478" spans="11:11" x14ac:dyDescent="0.2">
      <c r="K2478" s="8"/>
    </row>
    <row r="2479" spans="11:11" x14ac:dyDescent="0.2">
      <c r="K2479" s="8"/>
    </row>
    <row r="2480" spans="11:11" x14ac:dyDescent="0.2">
      <c r="K2480" s="8"/>
    </row>
    <row r="2481" spans="11:11" x14ac:dyDescent="0.2">
      <c r="K2481" s="8"/>
    </row>
    <row r="2482" spans="11:11" x14ac:dyDescent="0.2">
      <c r="K2482" s="8"/>
    </row>
    <row r="2483" spans="11:11" x14ac:dyDescent="0.2">
      <c r="K2483" s="8"/>
    </row>
    <row r="2484" spans="11:11" x14ac:dyDescent="0.2">
      <c r="K2484" s="8"/>
    </row>
    <row r="2485" spans="11:11" x14ac:dyDescent="0.2">
      <c r="K2485" s="8"/>
    </row>
    <row r="2486" spans="11:11" x14ac:dyDescent="0.2">
      <c r="K2486" s="8"/>
    </row>
    <row r="2487" spans="11:11" x14ac:dyDescent="0.2">
      <c r="K2487" s="8"/>
    </row>
    <row r="2488" spans="11:11" x14ac:dyDescent="0.2">
      <c r="K2488" s="8"/>
    </row>
    <row r="2489" spans="11:11" x14ac:dyDescent="0.2">
      <c r="K2489" s="8"/>
    </row>
    <row r="2490" spans="11:11" x14ac:dyDescent="0.2">
      <c r="K2490" s="8"/>
    </row>
    <row r="2491" spans="11:11" x14ac:dyDescent="0.2">
      <c r="K2491" s="8"/>
    </row>
    <row r="2492" spans="11:11" x14ac:dyDescent="0.2">
      <c r="K2492" s="8"/>
    </row>
    <row r="2493" spans="11:11" x14ac:dyDescent="0.2">
      <c r="K2493" s="8"/>
    </row>
    <row r="2494" spans="11:11" x14ac:dyDescent="0.2">
      <c r="K2494" s="8"/>
    </row>
    <row r="2495" spans="11:11" x14ac:dyDescent="0.2">
      <c r="K2495" s="8"/>
    </row>
    <row r="2496" spans="11:11" x14ac:dyDescent="0.2">
      <c r="K2496" s="8"/>
    </row>
    <row r="2497" spans="11:11" x14ac:dyDescent="0.2">
      <c r="K2497" s="8"/>
    </row>
    <row r="2498" spans="11:11" x14ac:dyDescent="0.2">
      <c r="K2498" s="8"/>
    </row>
    <row r="2499" spans="11:11" x14ac:dyDescent="0.2">
      <c r="K2499" s="8"/>
    </row>
    <row r="2500" spans="11:11" x14ac:dyDescent="0.2">
      <c r="K2500" s="8"/>
    </row>
    <row r="2501" spans="11:11" x14ac:dyDescent="0.2">
      <c r="K2501" s="8"/>
    </row>
    <row r="2502" spans="11:11" x14ac:dyDescent="0.2">
      <c r="K2502" s="8"/>
    </row>
    <row r="2503" spans="11:11" x14ac:dyDescent="0.2">
      <c r="K2503" s="8"/>
    </row>
    <row r="2504" spans="11:11" x14ac:dyDescent="0.2">
      <c r="K2504" s="8"/>
    </row>
    <row r="2505" spans="11:11" x14ac:dyDescent="0.2">
      <c r="K2505" s="8"/>
    </row>
    <row r="2506" spans="11:11" x14ac:dyDescent="0.2">
      <c r="K2506" s="8"/>
    </row>
    <row r="2507" spans="11:11" x14ac:dyDescent="0.2">
      <c r="K2507" s="8"/>
    </row>
    <row r="2508" spans="11:11" x14ac:dyDescent="0.2">
      <c r="K2508" s="8"/>
    </row>
    <row r="2509" spans="11:11" x14ac:dyDescent="0.2">
      <c r="K2509" s="8"/>
    </row>
    <row r="2510" spans="11:11" x14ac:dyDescent="0.2">
      <c r="K2510" s="8"/>
    </row>
    <row r="2511" spans="11:11" x14ac:dyDescent="0.2">
      <c r="K2511" s="8"/>
    </row>
    <row r="2512" spans="11:11" x14ac:dyDescent="0.2">
      <c r="K2512" s="8"/>
    </row>
    <row r="2513" spans="11:11" x14ac:dyDescent="0.2">
      <c r="K2513" s="8"/>
    </row>
    <row r="2514" spans="11:11" x14ac:dyDescent="0.2">
      <c r="K2514" s="8"/>
    </row>
    <row r="2515" spans="11:11" x14ac:dyDescent="0.2">
      <c r="K2515" s="8"/>
    </row>
    <row r="2516" spans="11:11" x14ac:dyDescent="0.2">
      <c r="K2516" s="8"/>
    </row>
    <row r="2517" spans="11:11" x14ac:dyDescent="0.2">
      <c r="K2517" s="8"/>
    </row>
    <row r="2518" spans="11:11" x14ac:dyDescent="0.2">
      <c r="K2518" s="8"/>
    </row>
    <row r="2519" spans="11:11" x14ac:dyDescent="0.2">
      <c r="K2519" s="8"/>
    </row>
    <row r="2520" spans="11:11" x14ac:dyDescent="0.2">
      <c r="K2520" s="8"/>
    </row>
    <row r="2521" spans="11:11" x14ac:dyDescent="0.2">
      <c r="K2521" s="8"/>
    </row>
    <row r="2522" spans="11:11" x14ac:dyDescent="0.2">
      <c r="K2522" s="8"/>
    </row>
    <row r="2523" spans="11:11" x14ac:dyDescent="0.2">
      <c r="K2523" s="8"/>
    </row>
    <row r="2524" spans="11:11" x14ac:dyDescent="0.2">
      <c r="K2524" s="8"/>
    </row>
    <row r="2525" spans="11:11" x14ac:dyDescent="0.2">
      <c r="K2525" s="8"/>
    </row>
    <row r="2526" spans="11:11" x14ac:dyDescent="0.2">
      <c r="K2526" s="8"/>
    </row>
    <row r="2527" spans="11:11" x14ac:dyDescent="0.2">
      <c r="K2527" s="8"/>
    </row>
    <row r="2528" spans="11:11" x14ac:dyDescent="0.2">
      <c r="K2528" s="8"/>
    </row>
    <row r="2529" spans="11:11" x14ac:dyDescent="0.2">
      <c r="K2529" s="8"/>
    </row>
    <row r="2530" spans="11:11" x14ac:dyDescent="0.2">
      <c r="K2530" s="8"/>
    </row>
    <row r="2531" spans="11:11" x14ac:dyDescent="0.2">
      <c r="K2531" s="8"/>
    </row>
    <row r="2532" spans="11:11" x14ac:dyDescent="0.2">
      <c r="K2532" s="8"/>
    </row>
    <row r="2533" spans="11:11" x14ac:dyDescent="0.2">
      <c r="K2533" s="8"/>
    </row>
    <row r="2534" spans="11:11" x14ac:dyDescent="0.2">
      <c r="K2534" s="8"/>
    </row>
    <row r="2535" spans="11:11" x14ac:dyDescent="0.2">
      <c r="K2535" s="8"/>
    </row>
    <row r="2536" spans="11:11" x14ac:dyDescent="0.2">
      <c r="K2536" s="8"/>
    </row>
    <row r="2537" spans="11:11" x14ac:dyDescent="0.2">
      <c r="K2537" s="8"/>
    </row>
    <row r="2538" spans="11:11" x14ac:dyDescent="0.2">
      <c r="K2538" s="8"/>
    </row>
    <row r="2539" spans="11:11" x14ac:dyDescent="0.2">
      <c r="K2539" s="8"/>
    </row>
    <row r="2540" spans="11:11" x14ac:dyDescent="0.2">
      <c r="K2540" s="8"/>
    </row>
    <row r="2541" spans="11:11" x14ac:dyDescent="0.2">
      <c r="K2541" s="8"/>
    </row>
    <row r="2542" spans="11:11" x14ac:dyDescent="0.2">
      <c r="K2542" s="8"/>
    </row>
    <row r="2543" spans="11:11" x14ac:dyDescent="0.2">
      <c r="K2543" s="8"/>
    </row>
    <row r="2544" spans="11:11" x14ac:dyDescent="0.2">
      <c r="K2544" s="8"/>
    </row>
    <row r="2545" spans="11:11" x14ac:dyDescent="0.2">
      <c r="K2545" s="8"/>
    </row>
    <row r="2546" spans="11:11" x14ac:dyDescent="0.2">
      <c r="K2546" s="8"/>
    </row>
    <row r="2547" spans="11:11" x14ac:dyDescent="0.2">
      <c r="K2547" s="8"/>
    </row>
    <row r="2548" spans="11:11" x14ac:dyDescent="0.2">
      <c r="K2548" s="8"/>
    </row>
    <row r="2549" spans="11:11" x14ac:dyDescent="0.2">
      <c r="K2549" s="8"/>
    </row>
    <row r="2550" spans="11:11" x14ac:dyDescent="0.2">
      <c r="K2550" s="8"/>
    </row>
    <row r="2551" spans="11:11" x14ac:dyDescent="0.2">
      <c r="K2551" s="8"/>
    </row>
    <row r="2552" spans="11:11" x14ac:dyDescent="0.2">
      <c r="K2552" s="8"/>
    </row>
    <row r="2553" spans="11:11" x14ac:dyDescent="0.2">
      <c r="K2553" s="8"/>
    </row>
    <row r="2554" spans="11:11" x14ac:dyDescent="0.2">
      <c r="K2554" s="8"/>
    </row>
    <row r="2555" spans="11:11" x14ac:dyDescent="0.2">
      <c r="K2555" s="8"/>
    </row>
    <row r="2556" spans="11:11" x14ac:dyDescent="0.2">
      <c r="K2556" s="8"/>
    </row>
    <row r="2557" spans="11:11" x14ac:dyDescent="0.2">
      <c r="K2557" s="8"/>
    </row>
    <row r="2558" spans="11:11" x14ac:dyDescent="0.2">
      <c r="K2558" s="8"/>
    </row>
    <row r="2559" spans="11:11" x14ac:dyDescent="0.2">
      <c r="K2559" s="8"/>
    </row>
    <row r="2560" spans="11:11" x14ac:dyDescent="0.2">
      <c r="K2560" s="8"/>
    </row>
    <row r="2561" spans="11:11" x14ac:dyDescent="0.2">
      <c r="K2561" s="8"/>
    </row>
    <row r="2562" spans="11:11" x14ac:dyDescent="0.2">
      <c r="K2562" s="8"/>
    </row>
    <row r="2563" spans="11:11" x14ac:dyDescent="0.2">
      <c r="K2563" s="8"/>
    </row>
    <row r="2564" spans="11:11" x14ac:dyDescent="0.2">
      <c r="K2564" s="8"/>
    </row>
    <row r="2565" spans="11:11" x14ac:dyDescent="0.2">
      <c r="K2565" s="8"/>
    </row>
    <row r="2566" spans="11:11" x14ac:dyDescent="0.2">
      <c r="K2566" s="8"/>
    </row>
    <row r="2567" spans="11:11" x14ac:dyDescent="0.2">
      <c r="K2567" s="8"/>
    </row>
    <row r="2568" spans="11:11" x14ac:dyDescent="0.2">
      <c r="K2568" s="8"/>
    </row>
    <row r="2569" spans="11:11" x14ac:dyDescent="0.2">
      <c r="K2569" s="8"/>
    </row>
    <row r="2570" spans="11:11" x14ac:dyDescent="0.2">
      <c r="K2570" s="8"/>
    </row>
    <row r="2571" spans="11:11" x14ac:dyDescent="0.2">
      <c r="K2571" s="8"/>
    </row>
    <row r="2572" spans="11:11" x14ac:dyDescent="0.2">
      <c r="K2572" s="8"/>
    </row>
    <row r="2573" spans="11:11" x14ac:dyDescent="0.2">
      <c r="K2573" s="8"/>
    </row>
    <row r="2574" spans="11:11" x14ac:dyDescent="0.2">
      <c r="K2574" s="8"/>
    </row>
    <row r="2575" spans="11:11" x14ac:dyDescent="0.2">
      <c r="K2575" s="8"/>
    </row>
    <row r="2576" spans="11:11" x14ac:dyDescent="0.2">
      <c r="K2576" s="8"/>
    </row>
    <row r="2577" spans="11:11" x14ac:dyDescent="0.2">
      <c r="K2577" s="8"/>
    </row>
    <row r="2578" spans="11:11" x14ac:dyDescent="0.2">
      <c r="K2578" s="8"/>
    </row>
    <row r="2579" spans="11:11" x14ac:dyDescent="0.2">
      <c r="K2579" s="8"/>
    </row>
    <row r="2580" spans="11:11" x14ac:dyDescent="0.2">
      <c r="K2580" s="8"/>
    </row>
    <row r="2581" spans="11:11" x14ac:dyDescent="0.2">
      <c r="K2581" s="8"/>
    </row>
    <row r="2582" spans="11:11" x14ac:dyDescent="0.2">
      <c r="K2582" s="8"/>
    </row>
    <row r="2583" spans="11:11" x14ac:dyDescent="0.2">
      <c r="K2583" s="8"/>
    </row>
    <row r="2584" spans="11:11" x14ac:dyDescent="0.2">
      <c r="K2584" s="8"/>
    </row>
    <row r="2585" spans="11:11" x14ac:dyDescent="0.2">
      <c r="K2585" s="8"/>
    </row>
    <row r="2586" spans="11:11" x14ac:dyDescent="0.2">
      <c r="K2586" s="8"/>
    </row>
    <row r="2587" spans="11:11" x14ac:dyDescent="0.2">
      <c r="K2587" s="8"/>
    </row>
    <row r="2588" spans="11:11" x14ac:dyDescent="0.2">
      <c r="K2588" s="8"/>
    </row>
    <row r="2589" spans="11:11" x14ac:dyDescent="0.2">
      <c r="K2589" s="8"/>
    </row>
    <row r="2590" spans="11:11" x14ac:dyDescent="0.2">
      <c r="K2590" s="8"/>
    </row>
    <row r="2591" spans="11:11" x14ac:dyDescent="0.2">
      <c r="K2591" s="8"/>
    </row>
    <row r="2592" spans="11:11" x14ac:dyDescent="0.2">
      <c r="K2592" s="8"/>
    </row>
    <row r="2593" spans="11:11" x14ac:dyDescent="0.2">
      <c r="K2593" s="8"/>
    </row>
    <row r="2594" spans="11:11" x14ac:dyDescent="0.2">
      <c r="K2594" s="8"/>
    </row>
    <row r="2595" spans="11:11" x14ac:dyDescent="0.2">
      <c r="K2595" s="8"/>
    </row>
    <row r="2596" spans="11:11" x14ac:dyDescent="0.2">
      <c r="K2596" s="8"/>
    </row>
    <row r="2597" spans="11:11" x14ac:dyDescent="0.2">
      <c r="K2597" s="8"/>
    </row>
    <row r="2598" spans="11:11" x14ac:dyDescent="0.2">
      <c r="K2598" s="8"/>
    </row>
    <row r="2599" spans="11:11" x14ac:dyDescent="0.2">
      <c r="K2599" s="8"/>
    </row>
    <row r="2600" spans="11:11" x14ac:dyDescent="0.2">
      <c r="K2600" s="8"/>
    </row>
    <row r="2601" spans="11:11" x14ac:dyDescent="0.2">
      <c r="K2601" s="8"/>
    </row>
    <row r="2602" spans="11:11" x14ac:dyDescent="0.2">
      <c r="K2602" s="8"/>
    </row>
    <row r="2603" spans="11:11" x14ac:dyDescent="0.2">
      <c r="K2603" s="8"/>
    </row>
    <row r="2604" spans="11:11" x14ac:dyDescent="0.2">
      <c r="K2604" s="8"/>
    </row>
    <row r="2605" spans="11:11" x14ac:dyDescent="0.2">
      <c r="K2605" s="8"/>
    </row>
    <row r="2606" spans="11:11" x14ac:dyDescent="0.2">
      <c r="K2606" s="8"/>
    </row>
    <row r="2607" spans="11:11" x14ac:dyDescent="0.2">
      <c r="K2607" s="8"/>
    </row>
    <row r="2608" spans="11:11" x14ac:dyDescent="0.2">
      <c r="K2608" s="8"/>
    </row>
    <row r="2609" spans="11:11" x14ac:dyDescent="0.2">
      <c r="K2609" s="8"/>
    </row>
    <row r="2610" spans="11:11" x14ac:dyDescent="0.2">
      <c r="K2610" s="8"/>
    </row>
    <row r="2611" spans="11:11" x14ac:dyDescent="0.2">
      <c r="K2611" s="8"/>
    </row>
    <row r="2612" spans="11:11" x14ac:dyDescent="0.2">
      <c r="K2612" s="8"/>
    </row>
    <row r="2613" spans="11:11" x14ac:dyDescent="0.2">
      <c r="K2613" s="8"/>
    </row>
    <row r="2614" spans="11:11" x14ac:dyDescent="0.2">
      <c r="K2614" s="8"/>
    </row>
    <row r="2615" spans="11:11" x14ac:dyDescent="0.2">
      <c r="K2615" s="8"/>
    </row>
    <row r="2616" spans="11:11" x14ac:dyDescent="0.2">
      <c r="K2616" s="8"/>
    </row>
    <row r="2617" spans="11:11" x14ac:dyDescent="0.2">
      <c r="K2617" s="8"/>
    </row>
    <row r="2618" spans="11:11" x14ac:dyDescent="0.2">
      <c r="K2618" s="8"/>
    </row>
    <row r="2619" spans="11:11" x14ac:dyDescent="0.2">
      <c r="K2619" s="8"/>
    </row>
    <row r="2620" spans="11:11" x14ac:dyDescent="0.2">
      <c r="K2620" s="8"/>
    </row>
    <row r="2621" spans="11:11" x14ac:dyDescent="0.2">
      <c r="K2621" s="8"/>
    </row>
    <row r="2622" spans="11:11" x14ac:dyDescent="0.2">
      <c r="K2622" s="8"/>
    </row>
    <row r="2623" spans="11:11" x14ac:dyDescent="0.2">
      <c r="K2623" s="8"/>
    </row>
    <row r="2624" spans="11:11" x14ac:dyDescent="0.2">
      <c r="K2624" s="8"/>
    </row>
    <row r="2625" spans="11:11" x14ac:dyDescent="0.2">
      <c r="K2625" s="8"/>
    </row>
    <row r="2626" spans="11:11" x14ac:dyDescent="0.2">
      <c r="K2626" s="8"/>
    </row>
    <row r="2627" spans="11:11" x14ac:dyDescent="0.2">
      <c r="K2627" s="8"/>
    </row>
    <row r="2628" spans="11:11" x14ac:dyDescent="0.2">
      <c r="K2628" s="8"/>
    </row>
    <row r="2629" spans="11:11" x14ac:dyDescent="0.2">
      <c r="K2629" s="8"/>
    </row>
    <row r="2630" spans="11:11" x14ac:dyDescent="0.2">
      <c r="K2630" s="8"/>
    </row>
    <row r="2631" spans="11:11" x14ac:dyDescent="0.2">
      <c r="K2631" s="8"/>
    </row>
    <row r="2632" spans="11:11" x14ac:dyDescent="0.2">
      <c r="K2632" s="8"/>
    </row>
    <row r="2633" spans="11:11" x14ac:dyDescent="0.2">
      <c r="K2633" s="8"/>
    </row>
    <row r="2634" spans="11:11" x14ac:dyDescent="0.2">
      <c r="K2634" s="8"/>
    </row>
    <row r="2635" spans="11:11" x14ac:dyDescent="0.2">
      <c r="K2635" s="8"/>
    </row>
    <row r="2636" spans="11:11" x14ac:dyDescent="0.2">
      <c r="K2636" s="8"/>
    </row>
    <row r="2637" spans="11:11" x14ac:dyDescent="0.2">
      <c r="K2637" s="8"/>
    </row>
    <row r="2638" spans="11:11" x14ac:dyDescent="0.2">
      <c r="K2638" s="8"/>
    </row>
    <row r="2639" spans="11:11" x14ac:dyDescent="0.2">
      <c r="K2639" s="8"/>
    </row>
    <row r="2640" spans="11:11" x14ac:dyDescent="0.2">
      <c r="K2640" s="8"/>
    </row>
    <row r="2641" spans="11:11" x14ac:dyDescent="0.2">
      <c r="K2641" s="8"/>
    </row>
    <row r="2642" spans="11:11" x14ac:dyDescent="0.2">
      <c r="K2642" s="8"/>
    </row>
    <row r="2643" spans="11:11" x14ac:dyDescent="0.2">
      <c r="K2643" s="8"/>
    </row>
    <row r="2644" spans="11:11" x14ac:dyDescent="0.2">
      <c r="K2644" s="8"/>
    </row>
    <row r="2645" spans="11:11" x14ac:dyDescent="0.2">
      <c r="K2645" s="8"/>
    </row>
    <row r="2646" spans="11:11" x14ac:dyDescent="0.2">
      <c r="K2646" s="8"/>
    </row>
    <row r="2647" spans="11:11" x14ac:dyDescent="0.2">
      <c r="K2647" s="8"/>
    </row>
    <row r="2648" spans="11:11" x14ac:dyDescent="0.2">
      <c r="K2648" s="8"/>
    </row>
    <row r="2649" spans="11:11" x14ac:dyDescent="0.2">
      <c r="K2649" s="8"/>
    </row>
    <row r="2650" spans="11:11" x14ac:dyDescent="0.2">
      <c r="K2650" s="8"/>
    </row>
    <row r="2651" spans="11:11" x14ac:dyDescent="0.2">
      <c r="K2651" s="8"/>
    </row>
    <row r="2652" spans="11:11" x14ac:dyDescent="0.2">
      <c r="K2652" s="8"/>
    </row>
    <row r="2653" spans="11:11" x14ac:dyDescent="0.2">
      <c r="K2653" s="8"/>
    </row>
    <row r="2654" spans="11:11" x14ac:dyDescent="0.2">
      <c r="K2654" s="8"/>
    </row>
    <row r="2655" spans="11:11" x14ac:dyDescent="0.2">
      <c r="K2655" s="8"/>
    </row>
    <row r="2656" spans="11:11" x14ac:dyDescent="0.2">
      <c r="K2656" s="8"/>
    </row>
    <row r="2657" spans="11:11" x14ac:dyDescent="0.2">
      <c r="K2657" s="8"/>
    </row>
    <row r="2658" spans="11:11" x14ac:dyDescent="0.2">
      <c r="K2658" s="8"/>
    </row>
    <row r="2659" spans="11:11" x14ac:dyDescent="0.2">
      <c r="K2659" s="8"/>
    </row>
    <row r="2660" spans="11:11" x14ac:dyDescent="0.2">
      <c r="K2660" s="8"/>
    </row>
    <row r="2661" spans="11:11" x14ac:dyDescent="0.2">
      <c r="K2661" s="8"/>
    </row>
    <row r="2662" spans="11:11" x14ac:dyDescent="0.2">
      <c r="K2662" s="8"/>
    </row>
    <row r="2663" spans="11:11" x14ac:dyDescent="0.2">
      <c r="K2663" s="8"/>
    </row>
    <row r="2664" spans="11:11" x14ac:dyDescent="0.2">
      <c r="K2664" s="8"/>
    </row>
    <row r="2665" spans="11:11" x14ac:dyDescent="0.2">
      <c r="K2665" s="8"/>
    </row>
    <row r="2666" spans="11:11" x14ac:dyDescent="0.2">
      <c r="K2666" s="8"/>
    </row>
    <row r="2667" spans="11:11" x14ac:dyDescent="0.2">
      <c r="K2667" s="8"/>
    </row>
    <row r="2668" spans="11:11" x14ac:dyDescent="0.2">
      <c r="K2668" s="8"/>
    </row>
    <row r="2669" spans="11:11" x14ac:dyDescent="0.2">
      <c r="K2669" s="8"/>
    </row>
    <row r="2670" spans="11:11" x14ac:dyDescent="0.2">
      <c r="K2670" s="8"/>
    </row>
    <row r="2671" spans="11:11" x14ac:dyDescent="0.2">
      <c r="K2671" s="8"/>
    </row>
    <row r="2672" spans="11:11" x14ac:dyDescent="0.2">
      <c r="K2672" s="8"/>
    </row>
    <row r="2673" spans="11:11" x14ac:dyDescent="0.2">
      <c r="K2673" s="8"/>
    </row>
    <row r="2674" spans="11:11" x14ac:dyDescent="0.2">
      <c r="K2674" s="8"/>
    </row>
    <row r="2675" spans="11:11" x14ac:dyDescent="0.2">
      <c r="K2675" s="8"/>
    </row>
    <row r="2676" spans="11:11" x14ac:dyDescent="0.2">
      <c r="K2676" s="8"/>
    </row>
    <row r="2677" spans="11:11" x14ac:dyDescent="0.2">
      <c r="K2677" s="8"/>
    </row>
    <row r="2678" spans="11:11" x14ac:dyDescent="0.2">
      <c r="K2678" s="8"/>
    </row>
    <row r="2679" spans="11:11" x14ac:dyDescent="0.2">
      <c r="K2679" s="8"/>
    </row>
    <row r="2680" spans="11:11" x14ac:dyDescent="0.2">
      <c r="K2680" s="8"/>
    </row>
    <row r="2681" spans="11:11" x14ac:dyDescent="0.2">
      <c r="K2681" s="8"/>
    </row>
    <row r="2682" spans="11:11" x14ac:dyDescent="0.2">
      <c r="K2682" s="8"/>
    </row>
    <row r="2683" spans="11:11" x14ac:dyDescent="0.2">
      <c r="K2683" s="8"/>
    </row>
    <row r="2684" spans="11:11" x14ac:dyDescent="0.2">
      <c r="K2684" s="8"/>
    </row>
    <row r="2685" spans="11:11" x14ac:dyDescent="0.2">
      <c r="K2685" s="8"/>
    </row>
    <row r="2686" spans="11:11" x14ac:dyDescent="0.2">
      <c r="K2686" s="8"/>
    </row>
    <row r="2687" spans="11:11" x14ac:dyDescent="0.2">
      <c r="K2687" s="8"/>
    </row>
    <row r="2688" spans="11:11" x14ac:dyDescent="0.2">
      <c r="K2688" s="8"/>
    </row>
    <row r="2689" spans="11:11" x14ac:dyDescent="0.2">
      <c r="K2689" s="8"/>
    </row>
    <row r="2690" spans="11:11" x14ac:dyDescent="0.2">
      <c r="K2690" s="8"/>
    </row>
    <row r="2691" spans="11:11" x14ac:dyDescent="0.2">
      <c r="K2691" s="8"/>
    </row>
    <row r="2692" spans="11:11" x14ac:dyDescent="0.2">
      <c r="K2692" s="8"/>
    </row>
    <row r="2693" spans="11:11" x14ac:dyDescent="0.2">
      <c r="K2693" s="8"/>
    </row>
    <row r="2694" spans="11:11" x14ac:dyDescent="0.2">
      <c r="K2694" s="8"/>
    </row>
    <row r="2695" spans="11:11" x14ac:dyDescent="0.2">
      <c r="K2695" s="8"/>
    </row>
    <row r="2696" spans="11:11" x14ac:dyDescent="0.2">
      <c r="K2696" s="8"/>
    </row>
    <row r="2697" spans="11:11" x14ac:dyDescent="0.2">
      <c r="K2697" s="8"/>
    </row>
    <row r="2698" spans="11:11" x14ac:dyDescent="0.2">
      <c r="K2698" s="8"/>
    </row>
    <row r="2699" spans="11:11" x14ac:dyDescent="0.2">
      <c r="K2699" s="8"/>
    </row>
    <row r="2700" spans="11:11" x14ac:dyDescent="0.2">
      <c r="K2700" s="8"/>
    </row>
    <row r="2701" spans="11:11" x14ac:dyDescent="0.2">
      <c r="K2701" s="8"/>
    </row>
    <row r="2702" spans="11:11" x14ac:dyDescent="0.2">
      <c r="K2702" s="8"/>
    </row>
    <row r="2703" spans="11:11" x14ac:dyDescent="0.2">
      <c r="K2703" s="8"/>
    </row>
    <row r="2704" spans="11:11" x14ac:dyDescent="0.2">
      <c r="K2704" s="8"/>
    </row>
    <row r="2705" spans="11:11" x14ac:dyDescent="0.2">
      <c r="K2705" s="8"/>
    </row>
    <row r="2706" spans="11:11" x14ac:dyDescent="0.2">
      <c r="K2706" s="8"/>
    </row>
    <row r="2707" spans="11:11" x14ac:dyDescent="0.2">
      <c r="K2707" s="8"/>
    </row>
    <row r="2708" spans="11:11" x14ac:dyDescent="0.2">
      <c r="K2708" s="8"/>
    </row>
    <row r="2709" spans="11:11" x14ac:dyDescent="0.2">
      <c r="K2709" s="8"/>
    </row>
    <row r="2710" spans="11:11" x14ac:dyDescent="0.2">
      <c r="K2710" s="8"/>
    </row>
    <row r="2711" spans="11:11" x14ac:dyDescent="0.2">
      <c r="K2711" s="8"/>
    </row>
    <row r="2712" spans="11:11" x14ac:dyDescent="0.2">
      <c r="K2712" s="8"/>
    </row>
    <row r="2713" spans="11:11" x14ac:dyDescent="0.2">
      <c r="K2713" s="8"/>
    </row>
    <row r="2714" spans="11:11" x14ac:dyDescent="0.2">
      <c r="K2714" s="8"/>
    </row>
    <row r="2715" spans="11:11" x14ac:dyDescent="0.2">
      <c r="K2715" s="8"/>
    </row>
    <row r="2716" spans="11:11" x14ac:dyDescent="0.2">
      <c r="K2716" s="8"/>
    </row>
    <row r="2717" spans="11:11" x14ac:dyDescent="0.2">
      <c r="K2717" s="8"/>
    </row>
    <row r="2718" spans="11:11" x14ac:dyDescent="0.2">
      <c r="K2718" s="8"/>
    </row>
    <row r="2719" spans="11:11" x14ac:dyDescent="0.2">
      <c r="K2719" s="8"/>
    </row>
    <row r="2720" spans="11:11" x14ac:dyDescent="0.2">
      <c r="K2720" s="8"/>
    </row>
    <row r="2721" spans="11:11" x14ac:dyDescent="0.2">
      <c r="K2721" s="8"/>
    </row>
    <row r="2722" spans="11:11" x14ac:dyDescent="0.2">
      <c r="K2722" s="8"/>
    </row>
    <row r="2723" spans="11:11" x14ac:dyDescent="0.2">
      <c r="K2723" s="8"/>
    </row>
    <row r="2724" spans="11:11" x14ac:dyDescent="0.2">
      <c r="K2724" s="8"/>
    </row>
    <row r="2725" spans="11:11" x14ac:dyDescent="0.2">
      <c r="K2725" s="8"/>
    </row>
    <row r="2726" spans="11:11" x14ac:dyDescent="0.2">
      <c r="K2726" s="8"/>
    </row>
    <row r="2727" spans="11:11" x14ac:dyDescent="0.2">
      <c r="K2727" s="8"/>
    </row>
    <row r="2728" spans="11:11" x14ac:dyDescent="0.2">
      <c r="K2728" s="8"/>
    </row>
    <row r="2729" spans="11:11" x14ac:dyDescent="0.2">
      <c r="K2729" s="8"/>
    </row>
    <row r="2730" spans="11:11" x14ac:dyDescent="0.2">
      <c r="K2730" s="8"/>
    </row>
    <row r="2731" spans="11:11" x14ac:dyDescent="0.2">
      <c r="K2731" s="8"/>
    </row>
    <row r="2732" spans="11:11" x14ac:dyDescent="0.2">
      <c r="K2732" s="8"/>
    </row>
    <row r="2733" spans="11:11" x14ac:dyDescent="0.2">
      <c r="K2733" s="8"/>
    </row>
    <row r="2734" spans="11:11" x14ac:dyDescent="0.2">
      <c r="K2734" s="8"/>
    </row>
    <row r="2735" spans="11:11" x14ac:dyDescent="0.2">
      <c r="K2735" s="8"/>
    </row>
    <row r="2736" spans="11:11" x14ac:dyDescent="0.2">
      <c r="K2736" s="8"/>
    </row>
    <row r="2737" spans="11:11" x14ac:dyDescent="0.2">
      <c r="K2737" s="8"/>
    </row>
    <row r="2738" spans="11:11" x14ac:dyDescent="0.2">
      <c r="K2738" s="8"/>
    </row>
    <row r="2739" spans="11:11" x14ac:dyDescent="0.2">
      <c r="K2739" s="8"/>
    </row>
    <row r="2740" spans="11:11" x14ac:dyDescent="0.2">
      <c r="K2740" s="8"/>
    </row>
    <row r="2741" spans="11:11" x14ac:dyDescent="0.2">
      <c r="K2741" s="8"/>
    </row>
    <row r="2742" spans="11:11" x14ac:dyDescent="0.2">
      <c r="K2742" s="8"/>
    </row>
    <row r="2743" spans="11:11" x14ac:dyDescent="0.2">
      <c r="K2743" s="8"/>
    </row>
    <row r="2744" spans="11:11" x14ac:dyDescent="0.2">
      <c r="K2744" s="8"/>
    </row>
    <row r="2745" spans="11:11" x14ac:dyDescent="0.2">
      <c r="K2745" s="8"/>
    </row>
    <row r="2746" spans="11:11" x14ac:dyDescent="0.2">
      <c r="K2746" s="8"/>
    </row>
    <row r="2747" spans="11:11" x14ac:dyDescent="0.2">
      <c r="K2747" s="8"/>
    </row>
    <row r="2748" spans="11:11" x14ac:dyDescent="0.2">
      <c r="K2748" s="8"/>
    </row>
    <row r="2749" spans="11:11" x14ac:dyDescent="0.2">
      <c r="K2749" s="8"/>
    </row>
    <row r="2750" spans="11:11" x14ac:dyDescent="0.2">
      <c r="K2750" s="8"/>
    </row>
    <row r="2751" spans="11:11" x14ac:dyDescent="0.2">
      <c r="K2751" s="8"/>
    </row>
    <row r="2752" spans="11:11" x14ac:dyDescent="0.2">
      <c r="K2752" s="8"/>
    </row>
    <row r="2753" spans="11:11" x14ac:dyDescent="0.2">
      <c r="K2753" s="8"/>
    </row>
    <row r="2754" spans="11:11" x14ac:dyDescent="0.2">
      <c r="K2754" s="8"/>
    </row>
    <row r="2755" spans="11:11" x14ac:dyDescent="0.2">
      <c r="K2755" s="8"/>
    </row>
    <row r="2756" spans="11:11" x14ac:dyDescent="0.2">
      <c r="K2756" s="8"/>
    </row>
    <row r="2757" spans="11:11" x14ac:dyDescent="0.2">
      <c r="K2757" s="8"/>
    </row>
    <row r="2758" spans="11:11" x14ac:dyDescent="0.2">
      <c r="K2758" s="8"/>
    </row>
    <row r="2759" spans="11:11" x14ac:dyDescent="0.2">
      <c r="K2759" s="8"/>
    </row>
    <row r="2760" spans="11:11" x14ac:dyDescent="0.2">
      <c r="K2760" s="8"/>
    </row>
    <row r="2761" spans="11:11" x14ac:dyDescent="0.2">
      <c r="K2761" s="8"/>
    </row>
    <row r="2762" spans="11:11" x14ac:dyDescent="0.2">
      <c r="K2762" s="8"/>
    </row>
    <row r="2763" spans="11:11" x14ac:dyDescent="0.2">
      <c r="K2763" s="8"/>
    </row>
    <row r="2764" spans="11:11" x14ac:dyDescent="0.2">
      <c r="K2764" s="8"/>
    </row>
    <row r="2765" spans="11:11" x14ac:dyDescent="0.2">
      <c r="K2765" s="8"/>
    </row>
    <row r="2766" spans="11:11" x14ac:dyDescent="0.2">
      <c r="K2766" s="8"/>
    </row>
    <row r="2767" spans="11:11" x14ac:dyDescent="0.2">
      <c r="K2767" s="8"/>
    </row>
    <row r="2768" spans="11:11" x14ac:dyDescent="0.2">
      <c r="K2768" s="8"/>
    </row>
    <row r="2769" spans="11:11" x14ac:dyDescent="0.2">
      <c r="K2769" s="8"/>
    </row>
    <row r="2770" spans="11:11" x14ac:dyDescent="0.2">
      <c r="K2770" s="8"/>
    </row>
    <row r="2771" spans="11:11" x14ac:dyDescent="0.2">
      <c r="K2771" s="8"/>
    </row>
    <row r="2772" spans="11:11" x14ac:dyDescent="0.2">
      <c r="K2772" s="8"/>
    </row>
    <row r="2773" spans="11:11" x14ac:dyDescent="0.2">
      <c r="K2773" s="8"/>
    </row>
    <row r="2774" spans="11:11" x14ac:dyDescent="0.2">
      <c r="K2774" s="8"/>
    </row>
    <row r="2775" spans="11:11" x14ac:dyDescent="0.2">
      <c r="K2775" s="8"/>
    </row>
    <row r="2776" spans="11:11" x14ac:dyDescent="0.2">
      <c r="K2776" s="8"/>
    </row>
    <row r="2777" spans="11:11" x14ac:dyDescent="0.2">
      <c r="K2777" s="8"/>
    </row>
    <row r="2778" spans="11:11" x14ac:dyDescent="0.2">
      <c r="K2778" s="8"/>
    </row>
    <row r="2779" spans="11:11" x14ac:dyDescent="0.2">
      <c r="K2779" s="8"/>
    </row>
    <row r="2780" spans="11:11" x14ac:dyDescent="0.2">
      <c r="K2780" s="8"/>
    </row>
    <row r="2781" spans="11:11" x14ac:dyDescent="0.2">
      <c r="K2781" s="8"/>
    </row>
    <row r="2782" spans="11:11" x14ac:dyDescent="0.2">
      <c r="K2782" s="8"/>
    </row>
    <row r="2783" spans="11:11" x14ac:dyDescent="0.2">
      <c r="K2783" s="8"/>
    </row>
    <row r="2784" spans="11:11" x14ac:dyDescent="0.2">
      <c r="K2784" s="8"/>
    </row>
    <row r="2785" spans="11:11" x14ac:dyDescent="0.2">
      <c r="K2785" s="8"/>
    </row>
    <row r="2786" spans="11:11" x14ac:dyDescent="0.2">
      <c r="K2786" s="8"/>
    </row>
    <row r="2787" spans="11:11" x14ac:dyDescent="0.2">
      <c r="K2787" s="8"/>
    </row>
    <row r="2788" spans="11:11" x14ac:dyDescent="0.2">
      <c r="K2788" s="8"/>
    </row>
    <row r="2789" spans="11:11" x14ac:dyDescent="0.2">
      <c r="K2789" s="8"/>
    </row>
    <row r="2790" spans="11:11" x14ac:dyDescent="0.2">
      <c r="K2790" s="8"/>
    </row>
    <row r="2791" spans="11:11" x14ac:dyDescent="0.2">
      <c r="K2791" s="8"/>
    </row>
    <row r="2792" spans="11:11" x14ac:dyDescent="0.2">
      <c r="K2792" s="8"/>
    </row>
    <row r="2793" spans="11:11" x14ac:dyDescent="0.2">
      <c r="K2793" s="8"/>
    </row>
    <row r="2794" spans="11:11" x14ac:dyDescent="0.2">
      <c r="K2794" s="8"/>
    </row>
    <row r="2795" spans="11:11" x14ac:dyDescent="0.2">
      <c r="K2795" s="8"/>
    </row>
    <row r="2796" spans="11:11" x14ac:dyDescent="0.2">
      <c r="K2796" s="8"/>
    </row>
    <row r="2797" spans="11:11" x14ac:dyDescent="0.2">
      <c r="K2797" s="8"/>
    </row>
    <row r="2798" spans="11:11" x14ac:dyDescent="0.2">
      <c r="K2798" s="8"/>
    </row>
    <row r="2799" spans="11:11" x14ac:dyDescent="0.2">
      <c r="K2799" s="8"/>
    </row>
    <row r="2800" spans="11:11" x14ac:dyDescent="0.2">
      <c r="K2800" s="8"/>
    </row>
    <row r="2801" spans="11:11" x14ac:dyDescent="0.2">
      <c r="K2801" s="8"/>
    </row>
    <row r="2802" spans="11:11" x14ac:dyDescent="0.2">
      <c r="K2802" s="8"/>
    </row>
    <row r="2803" spans="11:11" x14ac:dyDescent="0.2">
      <c r="K2803" s="8"/>
    </row>
    <row r="2804" spans="11:11" x14ac:dyDescent="0.2">
      <c r="K2804" s="8"/>
    </row>
    <row r="2805" spans="11:11" x14ac:dyDescent="0.2">
      <c r="K2805" s="8"/>
    </row>
    <row r="2806" spans="11:11" x14ac:dyDescent="0.2">
      <c r="K2806" s="8"/>
    </row>
    <row r="2807" spans="11:11" x14ac:dyDescent="0.2">
      <c r="K2807" s="8"/>
    </row>
    <row r="2808" spans="11:11" x14ac:dyDescent="0.2">
      <c r="K2808" s="8"/>
    </row>
    <row r="2809" spans="11:11" x14ac:dyDescent="0.2">
      <c r="K2809" s="8"/>
    </row>
    <row r="2810" spans="11:11" x14ac:dyDescent="0.2">
      <c r="K2810" s="8"/>
    </row>
    <row r="2811" spans="11:11" x14ac:dyDescent="0.2">
      <c r="K2811" s="8"/>
    </row>
    <row r="2812" spans="11:11" x14ac:dyDescent="0.2">
      <c r="K2812" s="8"/>
    </row>
    <row r="2813" spans="11:11" x14ac:dyDescent="0.2">
      <c r="K2813" s="8"/>
    </row>
    <row r="2814" spans="11:11" x14ac:dyDescent="0.2">
      <c r="K2814" s="8"/>
    </row>
    <row r="2815" spans="11:11" x14ac:dyDescent="0.2">
      <c r="K2815" s="8"/>
    </row>
    <row r="2816" spans="11:11" x14ac:dyDescent="0.2">
      <c r="K2816" s="8"/>
    </row>
    <row r="2817" spans="11:11" x14ac:dyDescent="0.2">
      <c r="K2817" s="8"/>
    </row>
    <row r="2818" spans="11:11" x14ac:dyDescent="0.2">
      <c r="K2818" s="8"/>
    </row>
    <row r="2819" spans="11:11" x14ac:dyDescent="0.2">
      <c r="K2819" s="8"/>
    </row>
    <row r="2820" spans="11:11" x14ac:dyDescent="0.2">
      <c r="K2820" s="8"/>
    </row>
    <row r="2821" spans="11:11" x14ac:dyDescent="0.2">
      <c r="K2821" s="8"/>
    </row>
    <row r="2822" spans="11:11" x14ac:dyDescent="0.2">
      <c r="K2822" s="8"/>
    </row>
    <row r="2823" spans="11:11" x14ac:dyDescent="0.2">
      <c r="K2823" s="8"/>
    </row>
    <row r="2824" spans="11:11" x14ac:dyDescent="0.2">
      <c r="K2824" s="8"/>
    </row>
    <row r="2825" spans="11:11" x14ac:dyDescent="0.2">
      <c r="K2825" s="8"/>
    </row>
    <row r="2826" spans="11:11" x14ac:dyDescent="0.2">
      <c r="K2826" s="8"/>
    </row>
    <row r="2827" spans="11:11" x14ac:dyDescent="0.2">
      <c r="K2827" s="8"/>
    </row>
    <row r="2828" spans="11:11" x14ac:dyDescent="0.2">
      <c r="K2828" s="8"/>
    </row>
    <row r="2829" spans="11:11" x14ac:dyDescent="0.2">
      <c r="K2829" s="8"/>
    </row>
    <row r="2830" spans="11:11" x14ac:dyDescent="0.2">
      <c r="K2830" s="8"/>
    </row>
    <row r="2831" spans="11:11" x14ac:dyDescent="0.2">
      <c r="K2831" s="8"/>
    </row>
    <row r="2832" spans="11:11" x14ac:dyDescent="0.2">
      <c r="K2832" s="8"/>
    </row>
    <row r="2833" spans="11:11" x14ac:dyDescent="0.2">
      <c r="K2833" s="8"/>
    </row>
    <row r="2834" spans="11:11" x14ac:dyDescent="0.2">
      <c r="K2834" s="8"/>
    </row>
    <row r="2835" spans="11:11" x14ac:dyDescent="0.2">
      <c r="K2835" s="8"/>
    </row>
    <row r="2836" spans="11:11" x14ac:dyDescent="0.2">
      <c r="K2836" s="8"/>
    </row>
    <row r="2837" spans="11:11" x14ac:dyDescent="0.2">
      <c r="K2837" s="8"/>
    </row>
    <row r="2838" spans="11:11" x14ac:dyDescent="0.2">
      <c r="K2838" s="8"/>
    </row>
    <row r="2839" spans="11:11" x14ac:dyDescent="0.2">
      <c r="K2839" s="8"/>
    </row>
    <row r="2840" spans="11:11" x14ac:dyDescent="0.2">
      <c r="K2840" s="8"/>
    </row>
    <row r="2841" spans="11:11" x14ac:dyDescent="0.2">
      <c r="K2841" s="8"/>
    </row>
    <row r="2842" spans="11:11" x14ac:dyDescent="0.2">
      <c r="K2842" s="8"/>
    </row>
    <row r="2843" spans="11:11" x14ac:dyDescent="0.2">
      <c r="K2843" s="8"/>
    </row>
    <row r="2844" spans="11:11" x14ac:dyDescent="0.2">
      <c r="K2844" s="8"/>
    </row>
    <row r="2845" spans="11:11" x14ac:dyDescent="0.2">
      <c r="K2845" s="8"/>
    </row>
    <row r="2846" spans="11:11" x14ac:dyDescent="0.2">
      <c r="K2846" s="8"/>
    </row>
    <row r="2847" spans="11:11" x14ac:dyDescent="0.2">
      <c r="K2847" s="8"/>
    </row>
    <row r="2848" spans="11:11" x14ac:dyDescent="0.2">
      <c r="K2848" s="8"/>
    </row>
    <row r="2849" spans="11:11" x14ac:dyDescent="0.2">
      <c r="K2849" s="8"/>
    </row>
    <row r="2850" spans="11:11" x14ac:dyDescent="0.2">
      <c r="K2850" s="8"/>
    </row>
    <row r="2851" spans="11:11" x14ac:dyDescent="0.2">
      <c r="K2851" s="8"/>
    </row>
    <row r="2852" spans="11:11" x14ac:dyDescent="0.2">
      <c r="K2852" s="8"/>
    </row>
    <row r="2853" spans="11:11" x14ac:dyDescent="0.2">
      <c r="K2853" s="8"/>
    </row>
    <row r="2854" spans="11:11" x14ac:dyDescent="0.2">
      <c r="K2854" s="8"/>
    </row>
    <row r="2855" spans="11:11" x14ac:dyDescent="0.2">
      <c r="K2855" s="8"/>
    </row>
    <row r="2856" spans="11:11" x14ac:dyDescent="0.2">
      <c r="K2856" s="8"/>
    </row>
    <row r="2857" spans="11:11" x14ac:dyDescent="0.2">
      <c r="K2857" s="8"/>
    </row>
    <row r="2858" spans="11:11" x14ac:dyDescent="0.2">
      <c r="K2858" s="8"/>
    </row>
    <row r="2859" spans="11:11" x14ac:dyDescent="0.2">
      <c r="K2859" s="8"/>
    </row>
    <row r="2860" spans="11:11" x14ac:dyDescent="0.2">
      <c r="K2860" s="8"/>
    </row>
    <row r="2861" spans="11:11" x14ac:dyDescent="0.2">
      <c r="K2861" s="8"/>
    </row>
    <row r="2862" spans="11:11" x14ac:dyDescent="0.2">
      <c r="K2862" s="8"/>
    </row>
    <row r="2863" spans="11:11" x14ac:dyDescent="0.2">
      <c r="K2863" s="8"/>
    </row>
    <row r="2864" spans="11:11" x14ac:dyDescent="0.2">
      <c r="K2864" s="8"/>
    </row>
    <row r="2865" spans="11:11" x14ac:dyDescent="0.2">
      <c r="K2865" s="8"/>
    </row>
    <row r="2866" spans="11:11" x14ac:dyDescent="0.2">
      <c r="K2866" s="8"/>
    </row>
    <row r="2867" spans="11:11" x14ac:dyDescent="0.2">
      <c r="K2867" s="8"/>
    </row>
    <row r="2868" spans="11:11" x14ac:dyDescent="0.2">
      <c r="K2868" s="8"/>
    </row>
    <row r="2869" spans="11:11" x14ac:dyDescent="0.2">
      <c r="K2869" s="8"/>
    </row>
    <row r="2870" spans="11:11" x14ac:dyDescent="0.2">
      <c r="K2870" s="8"/>
    </row>
    <row r="2871" spans="11:11" x14ac:dyDescent="0.2">
      <c r="K2871" s="8"/>
    </row>
    <row r="2872" spans="11:11" x14ac:dyDescent="0.2">
      <c r="K2872" s="8"/>
    </row>
    <row r="2873" spans="11:11" x14ac:dyDescent="0.2">
      <c r="K2873" s="8"/>
    </row>
    <row r="2874" spans="11:11" x14ac:dyDescent="0.2">
      <c r="K2874" s="8"/>
    </row>
    <row r="2875" spans="11:11" x14ac:dyDescent="0.2">
      <c r="K2875" s="8"/>
    </row>
    <row r="2876" spans="11:11" x14ac:dyDescent="0.2">
      <c r="K2876" s="8"/>
    </row>
    <row r="2877" spans="11:11" x14ac:dyDescent="0.2">
      <c r="K2877" s="8"/>
    </row>
    <row r="2878" spans="11:11" x14ac:dyDescent="0.2">
      <c r="K2878" s="8"/>
    </row>
    <row r="2879" spans="11:11" x14ac:dyDescent="0.2">
      <c r="K2879" s="8"/>
    </row>
    <row r="2880" spans="11:11" x14ac:dyDescent="0.2">
      <c r="K2880" s="8"/>
    </row>
    <row r="2881" spans="11:11" x14ac:dyDescent="0.2">
      <c r="K2881" s="8"/>
    </row>
    <row r="2882" spans="11:11" x14ac:dyDescent="0.2">
      <c r="K2882" s="8"/>
    </row>
    <row r="2883" spans="11:11" x14ac:dyDescent="0.2">
      <c r="K2883" s="8"/>
    </row>
    <row r="2884" spans="11:11" x14ac:dyDescent="0.2">
      <c r="K2884" s="8"/>
    </row>
    <row r="2885" spans="11:11" x14ac:dyDescent="0.2">
      <c r="K2885" s="8"/>
    </row>
    <row r="2886" spans="11:11" x14ac:dyDescent="0.2">
      <c r="K2886" s="8"/>
    </row>
    <row r="2887" spans="11:11" x14ac:dyDescent="0.2">
      <c r="K2887" s="8"/>
    </row>
    <row r="2888" spans="11:11" x14ac:dyDescent="0.2">
      <c r="K2888" s="8"/>
    </row>
    <row r="2889" spans="11:11" x14ac:dyDescent="0.2">
      <c r="K2889" s="8"/>
    </row>
    <row r="2890" spans="11:11" x14ac:dyDescent="0.2">
      <c r="K2890" s="8"/>
    </row>
    <row r="2891" spans="11:11" x14ac:dyDescent="0.2">
      <c r="K2891" s="8"/>
    </row>
    <row r="2892" spans="11:11" x14ac:dyDescent="0.2">
      <c r="K2892" s="8"/>
    </row>
    <row r="2893" spans="11:11" x14ac:dyDescent="0.2">
      <c r="K2893" s="8"/>
    </row>
    <row r="2894" spans="11:11" x14ac:dyDescent="0.2">
      <c r="K2894" s="8"/>
    </row>
    <row r="2895" spans="11:11" x14ac:dyDescent="0.2">
      <c r="K2895" s="8"/>
    </row>
    <row r="2896" spans="11:11" x14ac:dyDescent="0.2">
      <c r="K2896" s="8"/>
    </row>
    <row r="2897" spans="11:11" x14ac:dyDescent="0.2">
      <c r="K2897" s="8"/>
    </row>
    <row r="2898" spans="11:11" x14ac:dyDescent="0.2">
      <c r="K2898" s="8"/>
    </row>
    <row r="2899" spans="11:11" x14ac:dyDescent="0.2">
      <c r="K2899" s="8"/>
    </row>
    <row r="2900" spans="11:11" x14ac:dyDescent="0.2">
      <c r="K2900" s="8"/>
    </row>
    <row r="2901" spans="11:11" x14ac:dyDescent="0.2">
      <c r="K2901" s="8"/>
    </row>
    <row r="2902" spans="11:11" x14ac:dyDescent="0.2">
      <c r="K2902" s="8"/>
    </row>
    <row r="2903" spans="11:11" x14ac:dyDescent="0.2">
      <c r="K2903" s="8"/>
    </row>
    <row r="2904" spans="11:11" x14ac:dyDescent="0.2">
      <c r="K2904" s="8"/>
    </row>
    <row r="2905" spans="11:11" x14ac:dyDescent="0.2">
      <c r="K2905" s="8"/>
    </row>
    <row r="2906" spans="11:11" x14ac:dyDescent="0.2">
      <c r="K2906" s="8"/>
    </row>
    <row r="2907" spans="11:11" x14ac:dyDescent="0.2">
      <c r="K2907" s="8"/>
    </row>
    <row r="2908" spans="11:11" x14ac:dyDescent="0.2">
      <c r="K2908" s="8"/>
    </row>
    <row r="2909" spans="11:11" x14ac:dyDescent="0.2">
      <c r="K2909" s="8"/>
    </row>
    <row r="2910" spans="11:11" x14ac:dyDescent="0.2">
      <c r="K2910" s="8"/>
    </row>
    <row r="2911" spans="11:11" x14ac:dyDescent="0.2">
      <c r="K2911" s="8"/>
    </row>
    <row r="2912" spans="11:11" x14ac:dyDescent="0.2">
      <c r="K2912" s="8"/>
    </row>
    <row r="2913" spans="11:11" x14ac:dyDescent="0.2">
      <c r="K2913" s="8"/>
    </row>
    <row r="2914" spans="11:11" x14ac:dyDescent="0.2">
      <c r="K2914" s="8"/>
    </row>
    <row r="2915" spans="11:11" x14ac:dyDescent="0.2">
      <c r="K2915" s="8"/>
    </row>
    <row r="2916" spans="11:11" x14ac:dyDescent="0.2">
      <c r="K2916" s="8"/>
    </row>
    <row r="2917" spans="11:11" x14ac:dyDescent="0.2">
      <c r="K2917" s="8"/>
    </row>
    <row r="2918" spans="11:11" x14ac:dyDescent="0.2">
      <c r="K2918" s="8"/>
    </row>
    <row r="2919" spans="11:11" x14ac:dyDescent="0.2">
      <c r="K2919" s="8"/>
    </row>
    <row r="2920" spans="11:11" x14ac:dyDescent="0.2">
      <c r="K2920" s="8"/>
    </row>
    <row r="2921" spans="11:11" x14ac:dyDescent="0.2">
      <c r="K2921" s="8"/>
    </row>
    <row r="2922" spans="11:11" x14ac:dyDescent="0.2">
      <c r="K2922" s="8"/>
    </row>
    <row r="2923" spans="11:11" x14ac:dyDescent="0.2">
      <c r="K2923" s="8"/>
    </row>
    <row r="2924" spans="11:11" x14ac:dyDescent="0.2">
      <c r="K2924" s="8"/>
    </row>
    <row r="2925" spans="11:11" x14ac:dyDescent="0.2">
      <c r="K2925" s="8"/>
    </row>
    <row r="2926" spans="11:11" x14ac:dyDescent="0.2">
      <c r="K2926" s="8"/>
    </row>
    <row r="2927" spans="11:11" x14ac:dyDescent="0.2">
      <c r="K2927" s="8"/>
    </row>
    <row r="2928" spans="11:11" x14ac:dyDescent="0.2">
      <c r="K2928" s="8"/>
    </row>
    <row r="2929" spans="11:11" x14ac:dyDescent="0.2">
      <c r="K2929" s="8"/>
    </row>
    <row r="2930" spans="11:11" x14ac:dyDescent="0.2">
      <c r="K2930" s="8"/>
    </row>
    <row r="2931" spans="11:11" x14ac:dyDescent="0.2">
      <c r="K2931" s="8"/>
    </row>
    <row r="2932" spans="11:11" x14ac:dyDescent="0.2">
      <c r="K2932" s="8"/>
    </row>
    <row r="2933" spans="11:11" x14ac:dyDescent="0.2">
      <c r="K2933" s="8"/>
    </row>
    <row r="2934" spans="11:11" x14ac:dyDescent="0.2">
      <c r="K2934" s="8"/>
    </row>
    <row r="2935" spans="11:11" x14ac:dyDescent="0.2">
      <c r="K2935" s="8"/>
    </row>
    <row r="2936" spans="11:11" x14ac:dyDescent="0.2">
      <c r="K2936" s="8"/>
    </row>
    <row r="2937" spans="11:11" x14ac:dyDescent="0.2">
      <c r="K2937" s="8"/>
    </row>
    <row r="2938" spans="11:11" x14ac:dyDescent="0.2">
      <c r="K2938" s="8"/>
    </row>
    <row r="2939" spans="11:11" x14ac:dyDescent="0.2">
      <c r="K2939" s="8"/>
    </row>
    <row r="2940" spans="11:11" x14ac:dyDescent="0.2">
      <c r="K2940" s="8"/>
    </row>
    <row r="2941" spans="11:11" x14ac:dyDescent="0.2">
      <c r="K2941" s="8"/>
    </row>
    <row r="2942" spans="11:11" x14ac:dyDescent="0.2">
      <c r="K2942" s="8"/>
    </row>
    <row r="2943" spans="11:11" x14ac:dyDescent="0.2">
      <c r="K2943" s="8"/>
    </row>
    <row r="2944" spans="11:11" x14ac:dyDescent="0.2">
      <c r="K2944" s="8"/>
    </row>
    <row r="2945" spans="11:11" x14ac:dyDescent="0.2">
      <c r="K2945" s="8"/>
    </row>
    <row r="2946" spans="11:11" x14ac:dyDescent="0.2">
      <c r="K2946" s="8"/>
    </row>
    <row r="2947" spans="11:11" x14ac:dyDescent="0.2">
      <c r="K2947" s="8"/>
    </row>
    <row r="2948" spans="11:11" x14ac:dyDescent="0.2">
      <c r="K2948" s="8"/>
    </row>
    <row r="2949" spans="11:11" x14ac:dyDescent="0.2">
      <c r="K2949" s="8"/>
    </row>
    <row r="2950" spans="11:11" x14ac:dyDescent="0.2">
      <c r="K2950" s="8"/>
    </row>
    <row r="2951" spans="11:11" x14ac:dyDescent="0.2">
      <c r="K2951" s="8"/>
    </row>
    <row r="2952" spans="11:11" x14ac:dyDescent="0.2">
      <c r="K2952" s="8"/>
    </row>
    <row r="2953" spans="11:11" x14ac:dyDescent="0.2">
      <c r="K2953" s="8"/>
    </row>
    <row r="2954" spans="11:11" x14ac:dyDescent="0.2">
      <c r="K2954" s="8"/>
    </row>
    <row r="2955" spans="11:11" x14ac:dyDescent="0.2">
      <c r="K2955" s="8"/>
    </row>
    <row r="2956" spans="11:11" x14ac:dyDescent="0.2">
      <c r="K2956" s="8"/>
    </row>
    <row r="2957" spans="11:11" x14ac:dyDescent="0.2">
      <c r="K2957" s="8"/>
    </row>
    <row r="2958" spans="11:11" x14ac:dyDescent="0.2">
      <c r="K2958" s="8"/>
    </row>
    <row r="2959" spans="11:11" x14ac:dyDescent="0.2">
      <c r="K2959" s="8"/>
    </row>
    <row r="2960" spans="11:11" x14ac:dyDescent="0.2">
      <c r="K2960" s="8"/>
    </row>
    <row r="2961" spans="11:11" x14ac:dyDescent="0.2">
      <c r="K2961" s="8"/>
    </row>
    <row r="2962" spans="11:11" x14ac:dyDescent="0.2">
      <c r="K2962" s="8"/>
    </row>
    <row r="2963" spans="11:11" x14ac:dyDescent="0.2">
      <c r="K2963" s="8"/>
    </row>
    <row r="2964" spans="11:11" x14ac:dyDescent="0.2">
      <c r="K2964" s="8"/>
    </row>
    <row r="2965" spans="11:11" x14ac:dyDescent="0.2">
      <c r="K2965" s="8"/>
    </row>
    <row r="2966" spans="11:11" x14ac:dyDescent="0.2">
      <c r="K2966" s="8"/>
    </row>
    <row r="2967" spans="11:11" x14ac:dyDescent="0.2">
      <c r="K2967" s="8"/>
    </row>
    <row r="2968" spans="11:11" x14ac:dyDescent="0.2">
      <c r="K2968" s="8"/>
    </row>
    <row r="2969" spans="11:11" x14ac:dyDescent="0.2">
      <c r="K2969" s="8"/>
    </row>
    <row r="2970" spans="11:11" x14ac:dyDescent="0.2">
      <c r="K2970" s="8"/>
    </row>
    <row r="2971" spans="11:11" x14ac:dyDescent="0.2">
      <c r="K2971" s="8"/>
    </row>
    <row r="2972" spans="11:11" x14ac:dyDescent="0.2">
      <c r="K2972" s="8"/>
    </row>
    <row r="2973" spans="11:11" x14ac:dyDescent="0.2">
      <c r="K2973" s="8"/>
    </row>
    <row r="2974" spans="11:11" x14ac:dyDescent="0.2">
      <c r="K2974" s="8"/>
    </row>
    <row r="2975" spans="11:11" x14ac:dyDescent="0.2">
      <c r="K2975" s="8"/>
    </row>
    <row r="2976" spans="11:11" x14ac:dyDescent="0.2">
      <c r="K2976" s="8"/>
    </row>
    <row r="2977" spans="11:11" x14ac:dyDescent="0.2">
      <c r="K2977" s="8"/>
    </row>
    <row r="2978" spans="11:11" x14ac:dyDescent="0.2">
      <c r="K2978" s="8"/>
    </row>
    <row r="2979" spans="11:11" x14ac:dyDescent="0.2">
      <c r="K2979" s="8"/>
    </row>
    <row r="2980" spans="11:11" x14ac:dyDescent="0.2">
      <c r="K2980" s="8"/>
    </row>
    <row r="2981" spans="11:11" x14ac:dyDescent="0.2">
      <c r="K2981" s="8"/>
    </row>
    <row r="2982" spans="11:11" x14ac:dyDescent="0.2">
      <c r="K2982" s="8"/>
    </row>
    <row r="2983" spans="11:11" x14ac:dyDescent="0.2">
      <c r="K2983" s="8"/>
    </row>
    <row r="2984" spans="11:11" x14ac:dyDescent="0.2">
      <c r="K2984" s="8"/>
    </row>
    <row r="2985" spans="11:11" x14ac:dyDescent="0.2">
      <c r="K2985" s="8"/>
    </row>
    <row r="2986" spans="11:11" x14ac:dyDescent="0.2">
      <c r="K2986" s="8"/>
    </row>
    <row r="2987" spans="11:11" x14ac:dyDescent="0.2">
      <c r="K2987" s="8"/>
    </row>
    <row r="2988" spans="11:11" x14ac:dyDescent="0.2">
      <c r="K2988" s="8"/>
    </row>
    <row r="2989" spans="11:11" x14ac:dyDescent="0.2">
      <c r="K2989" s="8"/>
    </row>
    <row r="2990" spans="11:11" x14ac:dyDescent="0.2">
      <c r="K2990" s="8"/>
    </row>
    <row r="2991" spans="11:11" x14ac:dyDescent="0.2">
      <c r="K2991" s="8"/>
    </row>
    <row r="2992" spans="11:11" x14ac:dyDescent="0.2">
      <c r="K2992" s="8"/>
    </row>
    <row r="2993" spans="11:11" x14ac:dyDescent="0.2">
      <c r="K2993" s="8"/>
    </row>
    <row r="2994" spans="11:11" x14ac:dyDescent="0.2">
      <c r="K2994" s="8"/>
    </row>
    <row r="2995" spans="11:11" x14ac:dyDescent="0.2">
      <c r="K2995" s="8"/>
    </row>
    <row r="2996" spans="11:11" x14ac:dyDescent="0.2">
      <c r="K2996" s="8"/>
    </row>
    <row r="2997" spans="11:11" x14ac:dyDescent="0.2">
      <c r="K2997" s="8"/>
    </row>
    <row r="2998" spans="11:11" x14ac:dyDescent="0.2">
      <c r="K2998" s="8"/>
    </row>
    <row r="2999" spans="11:11" x14ac:dyDescent="0.2">
      <c r="K2999" s="8"/>
    </row>
    <row r="3000" spans="11:11" x14ac:dyDescent="0.2">
      <c r="K3000" s="8"/>
    </row>
    <row r="3001" spans="11:11" x14ac:dyDescent="0.2">
      <c r="K3001" s="8"/>
    </row>
    <row r="3002" spans="11:11" x14ac:dyDescent="0.2">
      <c r="K3002" s="8"/>
    </row>
    <row r="3003" spans="11:11" x14ac:dyDescent="0.2">
      <c r="K3003" s="8"/>
    </row>
    <row r="3004" spans="11:11" x14ac:dyDescent="0.2">
      <c r="K3004" s="8"/>
    </row>
    <row r="3005" spans="11:11" x14ac:dyDescent="0.2">
      <c r="K3005" s="8"/>
    </row>
    <row r="3006" spans="11:11" x14ac:dyDescent="0.2">
      <c r="K3006" s="8"/>
    </row>
    <row r="3007" spans="11:11" x14ac:dyDescent="0.2">
      <c r="K3007" s="8"/>
    </row>
    <row r="3008" spans="11:11" x14ac:dyDescent="0.2">
      <c r="K3008" s="8"/>
    </row>
    <row r="3009" spans="11:11" x14ac:dyDescent="0.2">
      <c r="K3009" s="8"/>
    </row>
    <row r="3010" spans="11:11" x14ac:dyDescent="0.2">
      <c r="K3010" s="8"/>
    </row>
    <row r="3011" spans="11:11" x14ac:dyDescent="0.2">
      <c r="K3011" s="8"/>
    </row>
    <row r="3012" spans="11:11" x14ac:dyDescent="0.2">
      <c r="K3012" s="8"/>
    </row>
    <row r="3013" spans="11:11" x14ac:dyDescent="0.2">
      <c r="K3013" s="8"/>
    </row>
    <row r="3014" spans="11:11" x14ac:dyDescent="0.2">
      <c r="K3014" s="8"/>
    </row>
    <row r="3015" spans="11:11" x14ac:dyDescent="0.2">
      <c r="K3015" s="8"/>
    </row>
    <row r="3016" spans="11:11" x14ac:dyDescent="0.2">
      <c r="K3016" s="8"/>
    </row>
    <row r="3017" spans="11:11" x14ac:dyDescent="0.2">
      <c r="K3017" s="8"/>
    </row>
    <row r="3018" spans="11:11" x14ac:dyDescent="0.2">
      <c r="K3018" s="8"/>
    </row>
    <row r="3019" spans="11:11" x14ac:dyDescent="0.2">
      <c r="K3019" s="8"/>
    </row>
    <row r="3020" spans="11:11" x14ac:dyDescent="0.2">
      <c r="K3020" s="8"/>
    </row>
    <row r="3021" spans="11:11" x14ac:dyDescent="0.2">
      <c r="K3021" s="8"/>
    </row>
    <row r="3022" spans="11:11" x14ac:dyDescent="0.2">
      <c r="K3022" s="8"/>
    </row>
    <row r="3023" spans="11:11" x14ac:dyDescent="0.2">
      <c r="K3023" s="8"/>
    </row>
    <row r="3024" spans="11:11" x14ac:dyDescent="0.2">
      <c r="K3024" s="8"/>
    </row>
    <row r="3025" spans="11:11" x14ac:dyDescent="0.2">
      <c r="K3025" s="8"/>
    </row>
    <row r="3026" spans="11:11" x14ac:dyDescent="0.2">
      <c r="K3026" s="8"/>
    </row>
    <row r="3027" spans="11:11" x14ac:dyDescent="0.2">
      <c r="K3027" s="8"/>
    </row>
    <row r="3028" spans="11:11" x14ac:dyDescent="0.2">
      <c r="K3028" s="8"/>
    </row>
    <row r="3029" spans="11:11" x14ac:dyDescent="0.2">
      <c r="K3029" s="8"/>
    </row>
    <row r="3030" spans="11:11" x14ac:dyDescent="0.2">
      <c r="K3030" s="8"/>
    </row>
    <row r="3031" spans="11:11" x14ac:dyDescent="0.2">
      <c r="K3031" s="8"/>
    </row>
    <row r="3032" spans="11:11" x14ac:dyDescent="0.2">
      <c r="K3032" s="8"/>
    </row>
    <row r="3033" spans="11:11" x14ac:dyDescent="0.2">
      <c r="K3033" s="8"/>
    </row>
    <row r="3034" spans="11:11" x14ac:dyDescent="0.2">
      <c r="K3034" s="8"/>
    </row>
    <row r="3035" spans="11:11" x14ac:dyDescent="0.2">
      <c r="K3035" s="8"/>
    </row>
    <row r="3036" spans="11:11" x14ac:dyDescent="0.2">
      <c r="K3036" s="8"/>
    </row>
    <row r="3037" spans="11:11" x14ac:dyDescent="0.2">
      <c r="K3037" s="8"/>
    </row>
    <row r="3038" spans="11:11" x14ac:dyDescent="0.2">
      <c r="K3038" s="8"/>
    </row>
    <row r="3039" spans="11:11" x14ac:dyDescent="0.2">
      <c r="K3039" s="8"/>
    </row>
    <row r="3040" spans="11:11" x14ac:dyDescent="0.2">
      <c r="K3040" s="8"/>
    </row>
    <row r="3041" spans="11:11" x14ac:dyDescent="0.2">
      <c r="K3041" s="8"/>
    </row>
    <row r="3042" spans="11:11" x14ac:dyDescent="0.2">
      <c r="K3042" s="8"/>
    </row>
    <row r="3043" spans="11:11" x14ac:dyDescent="0.2">
      <c r="K3043" s="8"/>
    </row>
    <row r="3044" spans="11:11" x14ac:dyDescent="0.2">
      <c r="K3044" s="8"/>
    </row>
    <row r="3045" spans="11:11" x14ac:dyDescent="0.2">
      <c r="K3045" s="8"/>
    </row>
    <row r="3046" spans="11:11" x14ac:dyDescent="0.2">
      <c r="K3046" s="8"/>
    </row>
    <row r="3047" spans="11:11" x14ac:dyDescent="0.2">
      <c r="K3047" s="8"/>
    </row>
    <row r="3048" spans="11:11" x14ac:dyDescent="0.2">
      <c r="K3048" s="8"/>
    </row>
    <row r="3049" spans="11:11" x14ac:dyDescent="0.2">
      <c r="K3049" s="8"/>
    </row>
    <row r="3050" spans="11:11" x14ac:dyDescent="0.2">
      <c r="K3050" s="8"/>
    </row>
    <row r="3051" spans="11:11" x14ac:dyDescent="0.2">
      <c r="K3051" s="8"/>
    </row>
    <row r="3052" spans="11:11" x14ac:dyDescent="0.2">
      <c r="K3052" s="8"/>
    </row>
    <row r="3053" spans="11:11" x14ac:dyDescent="0.2">
      <c r="K3053" s="8"/>
    </row>
    <row r="3054" spans="11:11" x14ac:dyDescent="0.2">
      <c r="K3054" s="8"/>
    </row>
    <row r="3055" spans="11:11" x14ac:dyDescent="0.2">
      <c r="K3055" s="8"/>
    </row>
    <row r="3056" spans="11:11" x14ac:dyDescent="0.2">
      <c r="K3056" s="8"/>
    </row>
    <row r="3057" spans="11:11" x14ac:dyDescent="0.2">
      <c r="K3057" s="8"/>
    </row>
    <row r="3058" spans="11:11" x14ac:dyDescent="0.2">
      <c r="K3058" s="8"/>
    </row>
    <row r="3059" spans="11:11" x14ac:dyDescent="0.2">
      <c r="K3059" s="8"/>
    </row>
    <row r="3060" spans="11:11" x14ac:dyDescent="0.2">
      <c r="K3060" s="8"/>
    </row>
    <row r="3061" spans="11:11" x14ac:dyDescent="0.2">
      <c r="K3061" s="8"/>
    </row>
    <row r="3062" spans="11:11" x14ac:dyDescent="0.2">
      <c r="K3062" s="8"/>
    </row>
    <row r="3063" spans="11:11" x14ac:dyDescent="0.2">
      <c r="K3063" s="8"/>
    </row>
    <row r="3064" spans="11:11" x14ac:dyDescent="0.2">
      <c r="K3064" s="8"/>
    </row>
    <row r="3065" spans="11:11" x14ac:dyDescent="0.2">
      <c r="K3065" s="8"/>
    </row>
    <row r="3066" spans="11:11" x14ac:dyDescent="0.2">
      <c r="K3066" s="8"/>
    </row>
    <row r="3067" spans="11:11" x14ac:dyDescent="0.2">
      <c r="K3067" s="8"/>
    </row>
    <row r="3068" spans="11:11" x14ac:dyDescent="0.2">
      <c r="K3068" s="8"/>
    </row>
    <row r="3069" spans="11:11" x14ac:dyDescent="0.2">
      <c r="K3069" s="8"/>
    </row>
    <row r="3070" spans="11:11" x14ac:dyDescent="0.2">
      <c r="K3070" s="8"/>
    </row>
    <row r="3071" spans="11:11" x14ac:dyDescent="0.2">
      <c r="K3071" s="8"/>
    </row>
    <row r="3072" spans="11:11" x14ac:dyDescent="0.2">
      <c r="K3072" s="8"/>
    </row>
    <row r="3073" spans="11:11" x14ac:dyDescent="0.2">
      <c r="K3073" s="8"/>
    </row>
    <row r="3074" spans="11:11" x14ac:dyDescent="0.2">
      <c r="K3074" s="8"/>
    </row>
    <row r="3075" spans="11:11" x14ac:dyDescent="0.2">
      <c r="K3075" s="8"/>
    </row>
    <row r="3076" spans="11:11" x14ac:dyDescent="0.2">
      <c r="K3076" s="8"/>
    </row>
    <row r="3077" spans="11:11" x14ac:dyDescent="0.2">
      <c r="K3077" s="8"/>
    </row>
    <row r="3078" spans="11:11" x14ac:dyDescent="0.2">
      <c r="K3078" s="8"/>
    </row>
    <row r="3079" spans="11:11" x14ac:dyDescent="0.2">
      <c r="K3079" s="8"/>
    </row>
    <row r="3080" spans="11:11" x14ac:dyDescent="0.2">
      <c r="K3080" s="8"/>
    </row>
    <row r="3081" spans="11:11" x14ac:dyDescent="0.2">
      <c r="K3081" s="8"/>
    </row>
    <row r="3082" spans="11:11" x14ac:dyDescent="0.2">
      <c r="K3082" s="8"/>
    </row>
    <row r="3083" spans="11:11" x14ac:dyDescent="0.2">
      <c r="K3083" s="8"/>
    </row>
    <row r="3084" spans="11:11" x14ac:dyDescent="0.2">
      <c r="K3084" s="8"/>
    </row>
    <row r="3085" spans="11:11" x14ac:dyDescent="0.2">
      <c r="K3085" s="8"/>
    </row>
    <row r="3086" spans="11:11" x14ac:dyDescent="0.2">
      <c r="K3086" s="8"/>
    </row>
    <row r="3087" spans="11:11" x14ac:dyDescent="0.2">
      <c r="K3087" s="8"/>
    </row>
    <row r="3088" spans="11:11" x14ac:dyDescent="0.2">
      <c r="K3088" s="8"/>
    </row>
    <row r="3089" spans="11:11" x14ac:dyDescent="0.2">
      <c r="K3089" s="8"/>
    </row>
    <row r="3090" spans="11:11" x14ac:dyDescent="0.2">
      <c r="K3090" s="8"/>
    </row>
    <row r="3091" spans="11:11" x14ac:dyDescent="0.2">
      <c r="K3091" s="8"/>
    </row>
    <row r="3092" spans="11:11" x14ac:dyDescent="0.2">
      <c r="K3092" s="8"/>
    </row>
    <row r="3093" spans="11:11" x14ac:dyDescent="0.2">
      <c r="K3093" s="8"/>
    </row>
    <row r="3094" spans="11:11" x14ac:dyDescent="0.2">
      <c r="K3094" s="8"/>
    </row>
    <row r="3095" spans="11:11" x14ac:dyDescent="0.2">
      <c r="K3095" s="8"/>
    </row>
    <row r="3096" spans="11:11" x14ac:dyDescent="0.2">
      <c r="K3096" s="8"/>
    </row>
    <row r="3097" spans="11:11" x14ac:dyDescent="0.2">
      <c r="K3097" s="8"/>
    </row>
    <row r="3098" spans="11:11" x14ac:dyDescent="0.2">
      <c r="K3098" s="8"/>
    </row>
    <row r="3099" spans="11:11" x14ac:dyDescent="0.2">
      <c r="K3099" s="8"/>
    </row>
    <row r="3100" spans="11:11" x14ac:dyDescent="0.2">
      <c r="K3100" s="8"/>
    </row>
    <row r="3101" spans="11:11" x14ac:dyDescent="0.2">
      <c r="K3101" s="8"/>
    </row>
    <row r="3102" spans="11:11" x14ac:dyDescent="0.2">
      <c r="K3102" s="8"/>
    </row>
    <row r="3103" spans="11:11" x14ac:dyDescent="0.2">
      <c r="K3103" s="8"/>
    </row>
    <row r="3104" spans="11:11" x14ac:dyDescent="0.2">
      <c r="K3104" s="8"/>
    </row>
    <row r="3105" spans="11:11" x14ac:dyDescent="0.2">
      <c r="K3105" s="8"/>
    </row>
    <row r="3106" spans="11:11" x14ac:dyDescent="0.2">
      <c r="K3106" s="8"/>
    </row>
    <row r="3107" spans="11:11" x14ac:dyDescent="0.2">
      <c r="K3107" s="8"/>
    </row>
    <row r="3108" spans="11:11" x14ac:dyDescent="0.2">
      <c r="K3108" s="8"/>
    </row>
    <row r="3109" spans="11:11" x14ac:dyDescent="0.2">
      <c r="K3109" s="8"/>
    </row>
    <row r="3110" spans="11:11" x14ac:dyDescent="0.2">
      <c r="K3110" s="8"/>
    </row>
    <row r="3111" spans="11:11" x14ac:dyDescent="0.2">
      <c r="K3111" s="8"/>
    </row>
    <row r="3112" spans="11:11" x14ac:dyDescent="0.2">
      <c r="K3112" s="8"/>
    </row>
    <row r="3113" spans="11:11" x14ac:dyDescent="0.2">
      <c r="K3113" s="8"/>
    </row>
    <row r="3114" spans="11:11" x14ac:dyDescent="0.2">
      <c r="K3114" s="8"/>
    </row>
    <row r="3115" spans="11:11" x14ac:dyDescent="0.2">
      <c r="K3115" s="8"/>
    </row>
    <row r="3116" spans="11:11" x14ac:dyDescent="0.2">
      <c r="K3116" s="8"/>
    </row>
    <row r="3117" spans="11:11" x14ac:dyDescent="0.2">
      <c r="K3117" s="8"/>
    </row>
    <row r="3118" spans="11:11" x14ac:dyDescent="0.2">
      <c r="K3118" s="8"/>
    </row>
    <row r="3119" spans="11:11" x14ac:dyDescent="0.2">
      <c r="K3119" s="8"/>
    </row>
    <row r="3120" spans="11:11" x14ac:dyDescent="0.2">
      <c r="K3120" s="8"/>
    </row>
    <row r="3121" spans="11:11" x14ac:dyDescent="0.2">
      <c r="K3121" s="8"/>
    </row>
    <row r="3122" spans="11:11" x14ac:dyDescent="0.2">
      <c r="K3122" s="8"/>
    </row>
    <row r="3123" spans="11:11" x14ac:dyDescent="0.2">
      <c r="K3123" s="8"/>
    </row>
    <row r="3124" spans="11:11" x14ac:dyDescent="0.2">
      <c r="K3124" s="8"/>
    </row>
    <row r="3125" spans="11:11" x14ac:dyDescent="0.2">
      <c r="K3125" s="8"/>
    </row>
    <row r="3126" spans="11:11" x14ac:dyDescent="0.2">
      <c r="K3126" s="8"/>
    </row>
    <row r="3127" spans="11:11" x14ac:dyDescent="0.2">
      <c r="K3127" s="8"/>
    </row>
    <row r="3128" spans="11:11" x14ac:dyDescent="0.2">
      <c r="K3128" s="8"/>
    </row>
    <row r="3129" spans="11:11" x14ac:dyDescent="0.2">
      <c r="K3129" s="8"/>
    </row>
    <row r="3130" spans="11:11" x14ac:dyDescent="0.2">
      <c r="K3130" s="8"/>
    </row>
    <row r="3131" spans="11:11" x14ac:dyDescent="0.2">
      <c r="K3131" s="8"/>
    </row>
    <row r="3132" spans="11:11" x14ac:dyDescent="0.2">
      <c r="K3132" s="8"/>
    </row>
    <row r="3133" spans="11:11" x14ac:dyDescent="0.2">
      <c r="K3133" s="8"/>
    </row>
    <row r="3134" spans="11:11" x14ac:dyDescent="0.2">
      <c r="K3134" s="8"/>
    </row>
    <row r="3135" spans="11:11" x14ac:dyDescent="0.2">
      <c r="K3135" s="8"/>
    </row>
    <row r="3136" spans="11:11" x14ac:dyDescent="0.2">
      <c r="K3136" s="8"/>
    </row>
    <row r="3137" spans="11:11" x14ac:dyDescent="0.2">
      <c r="K3137" s="8"/>
    </row>
    <row r="3138" spans="11:11" x14ac:dyDescent="0.2">
      <c r="K3138" s="8"/>
    </row>
    <row r="3139" spans="11:11" x14ac:dyDescent="0.2">
      <c r="K3139" s="8"/>
    </row>
    <row r="3140" spans="11:11" x14ac:dyDescent="0.2">
      <c r="K3140" s="8"/>
    </row>
    <row r="3141" spans="11:11" x14ac:dyDescent="0.2">
      <c r="K3141" s="8"/>
    </row>
    <row r="3142" spans="11:11" x14ac:dyDescent="0.2">
      <c r="K3142" s="8"/>
    </row>
    <row r="3143" spans="11:11" x14ac:dyDescent="0.2">
      <c r="K3143" s="8"/>
    </row>
    <row r="3144" spans="11:11" x14ac:dyDescent="0.2">
      <c r="K3144" s="8"/>
    </row>
    <row r="3145" spans="11:11" x14ac:dyDescent="0.2">
      <c r="K3145" s="8"/>
    </row>
    <row r="3146" spans="11:11" x14ac:dyDescent="0.2">
      <c r="K3146" s="8"/>
    </row>
    <row r="3147" spans="11:11" x14ac:dyDescent="0.2">
      <c r="K3147" s="8"/>
    </row>
    <row r="3148" spans="11:11" x14ac:dyDescent="0.2">
      <c r="K3148" s="8"/>
    </row>
    <row r="3149" spans="11:11" x14ac:dyDescent="0.2">
      <c r="K3149" s="8"/>
    </row>
    <row r="3150" spans="11:11" x14ac:dyDescent="0.2">
      <c r="K3150" s="8"/>
    </row>
    <row r="3151" spans="11:11" x14ac:dyDescent="0.2">
      <c r="K3151" s="8"/>
    </row>
    <row r="3152" spans="11:11" x14ac:dyDescent="0.2">
      <c r="K3152" s="8"/>
    </row>
    <row r="3153" spans="11:11" x14ac:dyDescent="0.2">
      <c r="K3153" s="8"/>
    </row>
    <row r="3154" spans="11:11" x14ac:dyDescent="0.2">
      <c r="K3154" s="8"/>
    </row>
    <row r="3155" spans="11:11" x14ac:dyDescent="0.2">
      <c r="K3155" s="8"/>
    </row>
    <row r="3156" spans="11:11" x14ac:dyDescent="0.2">
      <c r="K3156" s="8"/>
    </row>
    <row r="3157" spans="11:11" x14ac:dyDescent="0.2">
      <c r="K3157" s="8"/>
    </row>
    <row r="3158" spans="11:11" x14ac:dyDescent="0.2">
      <c r="K3158" s="8"/>
    </row>
    <row r="3159" spans="11:11" x14ac:dyDescent="0.2">
      <c r="K3159" s="8"/>
    </row>
    <row r="3160" spans="11:11" x14ac:dyDescent="0.2">
      <c r="K3160" s="8"/>
    </row>
    <row r="3161" spans="11:11" x14ac:dyDescent="0.2">
      <c r="K3161" s="8"/>
    </row>
    <row r="3162" spans="11:11" x14ac:dyDescent="0.2">
      <c r="K3162" s="8"/>
    </row>
    <row r="3163" spans="11:11" x14ac:dyDescent="0.2">
      <c r="K3163" s="8"/>
    </row>
    <row r="3164" spans="11:11" x14ac:dyDescent="0.2">
      <c r="K3164" s="8"/>
    </row>
    <row r="3165" spans="11:11" x14ac:dyDescent="0.2">
      <c r="K3165" s="8"/>
    </row>
    <row r="3166" spans="11:11" x14ac:dyDescent="0.2">
      <c r="K3166" s="8"/>
    </row>
    <row r="3167" spans="11:11" x14ac:dyDescent="0.2">
      <c r="K3167" s="8"/>
    </row>
    <row r="3168" spans="11:11" x14ac:dyDescent="0.2">
      <c r="K3168" s="8"/>
    </row>
    <row r="3169" spans="11:11" x14ac:dyDescent="0.2">
      <c r="K3169" s="8"/>
    </row>
    <row r="3170" spans="11:11" x14ac:dyDescent="0.2">
      <c r="K3170" s="8"/>
    </row>
    <row r="3171" spans="11:11" x14ac:dyDescent="0.2">
      <c r="K3171" s="8"/>
    </row>
    <row r="3172" spans="11:11" x14ac:dyDescent="0.2">
      <c r="K3172" s="8"/>
    </row>
    <row r="3173" spans="11:11" x14ac:dyDescent="0.2">
      <c r="K3173" s="8"/>
    </row>
    <row r="3174" spans="11:11" x14ac:dyDescent="0.2">
      <c r="K3174" s="8"/>
    </row>
    <row r="3175" spans="11:11" x14ac:dyDescent="0.2">
      <c r="K3175" s="8"/>
    </row>
    <row r="3176" spans="11:11" x14ac:dyDescent="0.2">
      <c r="K3176" s="8"/>
    </row>
    <row r="3177" spans="11:11" x14ac:dyDescent="0.2">
      <c r="K3177" s="8"/>
    </row>
    <row r="3178" spans="11:11" x14ac:dyDescent="0.2">
      <c r="K3178" s="8"/>
    </row>
    <row r="3179" spans="11:11" x14ac:dyDescent="0.2">
      <c r="K3179" s="8"/>
    </row>
    <row r="3180" spans="11:11" x14ac:dyDescent="0.2">
      <c r="K3180" s="8"/>
    </row>
    <row r="3181" spans="11:11" x14ac:dyDescent="0.2">
      <c r="K3181" s="8"/>
    </row>
    <row r="3182" spans="11:11" x14ac:dyDescent="0.2">
      <c r="K3182" s="8"/>
    </row>
    <row r="3183" spans="11:11" x14ac:dyDescent="0.2">
      <c r="K3183" s="8"/>
    </row>
    <row r="3184" spans="11:11" x14ac:dyDescent="0.2">
      <c r="K3184" s="8"/>
    </row>
    <row r="3185" spans="11:11" x14ac:dyDescent="0.2">
      <c r="K3185" s="8"/>
    </row>
    <row r="3186" spans="11:11" x14ac:dyDescent="0.2">
      <c r="K3186" s="8"/>
    </row>
    <row r="3187" spans="11:11" x14ac:dyDescent="0.2">
      <c r="K3187" s="8"/>
    </row>
    <row r="3188" spans="11:11" x14ac:dyDescent="0.2">
      <c r="K3188" s="8"/>
    </row>
    <row r="3189" spans="11:11" x14ac:dyDescent="0.2">
      <c r="K3189" s="8"/>
    </row>
    <row r="3190" spans="11:11" x14ac:dyDescent="0.2">
      <c r="K3190" s="8"/>
    </row>
    <row r="3191" spans="11:11" x14ac:dyDescent="0.2">
      <c r="K3191" s="8"/>
    </row>
    <row r="3192" spans="11:11" x14ac:dyDescent="0.2">
      <c r="K3192" s="8"/>
    </row>
    <row r="3193" spans="11:11" x14ac:dyDescent="0.2">
      <c r="K3193" s="8"/>
    </row>
    <row r="3194" spans="11:11" x14ac:dyDescent="0.2">
      <c r="K3194" s="8"/>
    </row>
    <row r="3195" spans="11:11" x14ac:dyDescent="0.2">
      <c r="K3195" s="8"/>
    </row>
    <row r="3196" spans="11:11" x14ac:dyDescent="0.2">
      <c r="K3196" s="8"/>
    </row>
    <row r="3197" spans="11:11" x14ac:dyDescent="0.2">
      <c r="K3197" s="8"/>
    </row>
    <row r="3198" spans="11:11" x14ac:dyDescent="0.2">
      <c r="K3198" s="8"/>
    </row>
    <row r="3199" spans="11:11" x14ac:dyDescent="0.2">
      <c r="K3199" s="8"/>
    </row>
    <row r="3200" spans="11:11" x14ac:dyDescent="0.2">
      <c r="K3200" s="8"/>
    </row>
    <row r="3201" spans="11:11" x14ac:dyDescent="0.2">
      <c r="K3201" s="8"/>
    </row>
    <row r="3202" spans="11:11" x14ac:dyDescent="0.2">
      <c r="K3202" s="8"/>
    </row>
    <row r="3203" spans="11:11" x14ac:dyDescent="0.2">
      <c r="K3203" s="8"/>
    </row>
    <row r="3204" spans="11:11" x14ac:dyDescent="0.2">
      <c r="K3204" s="8"/>
    </row>
    <row r="3205" spans="11:11" x14ac:dyDescent="0.2">
      <c r="K3205" s="8"/>
    </row>
    <row r="3206" spans="11:11" x14ac:dyDescent="0.2">
      <c r="K3206" s="8"/>
    </row>
    <row r="3207" spans="11:11" x14ac:dyDescent="0.2">
      <c r="K3207" s="8"/>
    </row>
    <row r="3208" spans="11:11" x14ac:dyDescent="0.2">
      <c r="K3208" s="8"/>
    </row>
    <row r="3209" spans="11:11" x14ac:dyDescent="0.2">
      <c r="K3209" s="8"/>
    </row>
    <row r="3210" spans="11:11" x14ac:dyDescent="0.2">
      <c r="K3210" s="8"/>
    </row>
    <row r="3211" spans="11:11" x14ac:dyDescent="0.2">
      <c r="K3211" s="8"/>
    </row>
    <row r="3212" spans="11:11" x14ac:dyDescent="0.2">
      <c r="K3212" s="8"/>
    </row>
    <row r="3213" spans="11:11" x14ac:dyDescent="0.2">
      <c r="K3213" s="8"/>
    </row>
    <row r="3214" spans="11:11" x14ac:dyDescent="0.2">
      <c r="K3214" s="8"/>
    </row>
    <row r="3215" spans="11:11" x14ac:dyDescent="0.2">
      <c r="K3215" s="8"/>
    </row>
    <row r="3216" spans="11:11" x14ac:dyDescent="0.2">
      <c r="K3216" s="8"/>
    </row>
    <row r="3217" spans="11:11" x14ac:dyDescent="0.2">
      <c r="K3217" s="8"/>
    </row>
    <row r="3218" spans="11:11" x14ac:dyDescent="0.2">
      <c r="K3218" s="8"/>
    </row>
    <row r="3219" spans="11:11" x14ac:dyDescent="0.2">
      <c r="K3219" s="8"/>
    </row>
    <row r="3220" spans="11:11" x14ac:dyDescent="0.2">
      <c r="K3220" s="8"/>
    </row>
    <row r="3221" spans="11:11" x14ac:dyDescent="0.2">
      <c r="K3221" s="8"/>
    </row>
    <row r="3222" spans="11:11" x14ac:dyDescent="0.2">
      <c r="K3222" s="8"/>
    </row>
    <row r="3223" spans="11:11" x14ac:dyDescent="0.2">
      <c r="K3223" s="8"/>
    </row>
    <row r="3224" spans="11:11" x14ac:dyDescent="0.2">
      <c r="K3224" s="8"/>
    </row>
    <row r="3225" spans="11:11" x14ac:dyDescent="0.2">
      <c r="K3225" s="8"/>
    </row>
    <row r="3226" spans="11:11" x14ac:dyDescent="0.2">
      <c r="K3226" s="8"/>
    </row>
    <row r="3227" spans="11:11" x14ac:dyDescent="0.2">
      <c r="K3227" s="8"/>
    </row>
    <row r="3228" spans="11:11" x14ac:dyDescent="0.2">
      <c r="K3228" s="8"/>
    </row>
    <row r="3229" spans="11:11" x14ac:dyDescent="0.2">
      <c r="K3229" s="8"/>
    </row>
    <row r="3230" spans="11:11" x14ac:dyDescent="0.2">
      <c r="K3230" s="8"/>
    </row>
    <row r="3231" spans="11:11" x14ac:dyDescent="0.2">
      <c r="K3231" s="8"/>
    </row>
    <row r="3232" spans="11:11" x14ac:dyDescent="0.2">
      <c r="K3232" s="8"/>
    </row>
    <row r="3233" spans="11:11" x14ac:dyDescent="0.2">
      <c r="K3233" s="8"/>
    </row>
    <row r="3234" spans="11:11" x14ac:dyDescent="0.2">
      <c r="K3234" s="8"/>
    </row>
    <row r="3235" spans="11:11" x14ac:dyDescent="0.2">
      <c r="K3235" s="8"/>
    </row>
    <row r="3236" spans="11:11" x14ac:dyDescent="0.2">
      <c r="K3236" s="8"/>
    </row>
    <row r="3237" spans="11:11" x14ac:dyDescent="0.2">
      <c r="K3237" s="8"/>
    </row>
    <row r="3238" spans="11:11" x14ac:dyDescent="0.2">
      <c r="K3238" s="8"/>
    </row>
    <row r="3239" spans="11:11" x14ac:dyDescent="0.2">
      <c r="K3239" s="8"/>
    </row>
    <row r="3240" spans="11:11" x14ac:dyDescent="0.2">
      <c r="K3240" s="8"/>
    </row>
    <row r="3241" spans="11:11" x14ac:dyDescent="0.2">
      <c r="K3241" s="8"/>
    </row>
    <row r="3242" spans="11:11" x14ac:dyDescent="0.2">
      <c r="K3242" s="8"/>
    </row>
    <row r="3243" spans="11:11" x14ac:dyDescent="0.2">
      <c r="K3243" s="8"/>
    </row>
    <row r="3244" spans="11:11" x14ac:dyDescent="0.2">
      <c r="K3244" s="8"/>
    </row>
    <row r="3245" spans="11:11" x14ac:dyDescent="0.2">
      <c r="K3245" s="8"/>
    </row>
    <row r="3246" spans="11:11" x14ac:dyDescent="0.2">
      <c r="K3246" s="8"/>
    </row>
    <row r="3247" spans="11:11" x14ac:dyDescent="0.2">
      <c r="K3247" s="8"/>
    </row>
    <row r="3248" spans="11:11" x14ac:dyDescent="0.2">
      <c r="K3248" s="8"/>
    </row>
    <row r="3249" spans="11:11" x14ac:dyDescent="0.2">
      <c r="K3249" s="8"/>
    </row>
    <row r="3250" spans="11:11" x14ac:dyDescent="0.2">
      <c r="K3250" s="8"/>
    </row>
    <row r="3251" spans="11:11" x14ac:dyDescent="0.2">
      <c r="K3251" s="8"/>
    </row>
    <row r="3252" spans="11:11" x14ac:dyDescent="0.2">
      <c r="K3252" s="8"/>
    </row>
    <row r="3253" spans="11:11" x14ac:dyDescent="0.2">
      <c r="K3253" s="8"/>
    </row>
    <row r="3254" spans="11:11" x14ac:dyDescent="0.2">
      <c r="K3254" s="8"/>
    </row>
    <row r="3255" spans="11:11" x14ac:dyDescent="0.2">
      <c r="K3255" s="8"/>
    </row>
    <row r="3256" spans="11:11" x14ac:dyDescent="0.2">
      <c r="K3256" s="8"/>
    </row>
    <row r="3257" spans="11:11" x14ac:dyDescent="0.2">
      <c r="K3257" s="8"/>
    </row>
    <row r="3258" spans="11:11" x14ac:dyDescent="0.2">
      <c r="K3258" s="8"/>
    </row>
    <row r="3259" spans="11:11" x14ac:dyDescent="0.2">
      <c r="K3259" s="8"/>
    </row>
    <row r="3260" spans="11:11" x14ac:dyDescent="0.2">
      <c r="K3260" s="8"/>
    </row>
    <row r="3261" spans="11:11" x14ac:dyDescent="0.2">
      <c r="K3261" s="8"/>
    </row>
    <row r="3262" spans="11:11" x14ac:dyDescent="0.2">
      <c r="K3262" s="8"/>
    </row>
    <row r="3263" spans="11:11" x14ac:dyDescent="0.2">
      <c r="K3263" s="8"/>
    </row>
    <row r="3264" spans="11:11" x14ac:dyDescent="0.2">
      <c r="K3264" s="8"/>
    </row>
    <row r="3265" spans="11:11" x14ac:dyDescent="0.2">
      <c r="K3265" s="8"/>
    </row>
    <row r="3266" spans="11:11" x14ac:dyDescent="0.2">
      <c r="K3266" s="8"/>
    </row>
    <row r="3267" spans="11:11" x14ac:dyDescent="0.2">
      <c r="K3267" s="8"/>
    </row>
    <row r="3268" spans="11:11" x14ac:dyDescent="0.2">
      <c r="K3268" s="8"/>
    </row>
    <row r="3269" spans="11:11" x14ac:dyDescent="0.2">
      <c r="K3269" s="8"/>
    </row>
    <row r="3270" spans="11:11" x14ac:dyDescent="0.2">
      <c r="K3270" s="8"/>
    </row>
    <row r="3271" spans="11:11" x14ac:dyDescent="0.2">
      <c r="K3271" s="8"/>
    </row>
    <row r="3272" spans="11:11" x14ac:dyDescent="0.2">
      <c r="K3272" s="8"/>
    </row>
    <row r="3273" spans="11:11" x14ac:dyDescent="0.2">
      <c r="K3273" s="8"/>
    </row>
    <row r="3274" spans="11:11" x14ac:dyDescent="0.2">
      <c r="K3274" s="8"/>
    </row>
    <row r="3275" spans="11:11" x14ac:dyDescent="0.2">
      <c r="K3275" s="8"/>
    </row>
    <row r="3276" spans="11:11" x14ac:dyDescent="0.2">
      <c r="K3276" s="8"/>
    </row>
    <row r="3277" spans="11:11" x14ac:dyDescent="0.2">
      <c r="K3277" s="8"/>
    </row>
    <row r="3278" spans="11:11" x14ac:dyDescent="0.2">
      <c r="K3278" s="8"/>
    </row>
    <row r="3279" spans="11:11" x14ac:dyDescent="0.2">
      <c r="K3279" s="8"/>
    </row>
    <row r="3280" spans="11:11" x14ac:dyDescent="0.2">
      <c r="K3280" s="8"/>
    </row>
    <row r="3281" spans="11:11" x14ac:dyDescent="0.2">
      <c r="K3281" s="8"/>
    </row>
    <row r="3282" spans="11:11" x14ac:dyDescent="0.2">
      <c r="K3282" s="8"/>
    </row>
    <row r="3283" spans="11:11" x14ac:dyDescent="0.2">
      <c r="K3283" s="8"/>
    </row>
    <row r="3284" spans="11:11" x14ac:dyDescent="0.2">
      <c r="K3284" s="8"/>
    </row>
    <row r="3285" spans="11:11" x14ac:dyDescent="0.2">
      <c r="K3285" s="8"/>
    </row>
    <row r="3286" spans="11:11" x14ac:dyDescent="0.2">
      <c r="K3286" s="8"/>
    </row>
    <row r="3287" spans="11:11" x14ac:dyDescent="0.2">
      <c r="K3287" s="8"/>
    </row>
    <row r="3288" spans="11:11" x14ac:dyDescent="0.2">
      <c r="K3288" s="8"/>
    </row>
    <row r="3289" spans="11:11" x14ac:dyDescent="0.2">
      <c r="K3289" s="8"/>
    </row>
    <row r="3290" spans="11:11" x14ac:dyDescent="0.2">
      <c r="K3290" s="8"/>
    </row>
    <row r="3291" spans="11:11" x14ac:dyDescent="0.2">
      <c r="K3291" s="8"/>
    </row>
    <row r="3292" spans="11:11" x14ac:dyDescent="0.2">
      <c r="K3292" s="8"/>
    </row>
    <row r="3293" spans="11:11" x14ac:dyDescent="0.2">
      <c r="K3293" s="8"/>
    </row>
    <row r="3294" spans="11:11" x14ac:dyDescent="0.2">
      <c r="K3294" s="8"/>
    </row>
    <row r="3295" spans="11:11" x14ac:dyDescent="0.2">
      <c r="K3295" s="8"/>
    </row>
    <row r="3296" spans="11:11" x14ac:dyDescent="0.2">
      <c r="K3296" s="8"/>
    </row>
    <row r="3297" spans="11:11" x14ac:dyDescent="0.2">
      <c r="K3297" s="8"/>
    </row>
    <row r="3298" spans="11:11" x14ac:dyDescent="0.2">
      <c r="K3298" s="8"/>
    </row>
    <row r="3299" spans="11:11" x14ac:dyDescent="0.2">
      <c r="K3299" s="8"/>
    </row>
    <row r="3300" spans="11:11" x14ac:dyDescent="0.2">
      <c r="K3300" s="8"/>
    </row>
    <row r="3301" spans="11:11" x14ac:dyDescent="0.2">
      <c r="K3301" s="8"/>
    </row>
    <row r="3302" spans="11:11" x14ac:dyDescent="0.2">
      <c r="K3302" s="8"/>
    </row>
    <row r="3303" spans="11:11" x14ac:dyDescent="0.2">
      <c r="K3303" s="8"/>
    </row>
    <row r="3304" spans="11:11" x14ac:dyDescent="0.2">
      <c r="K3304" s="8"/>
    </row>
    <row r="3305" spans="11:11" x14ac:dyDescent="0.2">
      <c r="K3305" s="8"/>
    </row>
    <row r="3306" spans="11:11" x14ac:dyDescent="0.2">
      <c r="K3306" s="8"/>
    </row>
    <row r="3307" spans="11:11" x14ac:dyDescent="0.2">
      <c r="K3307" s="8"/>
    </row>
    <row r="3308" spans="11:11" x14ac:dyDescent="0.2">
      <c r="K3308" s="8"/>
    </row>
    <row r="3309" spans="11:11" x14ac:dyDescent="0.2">
      <c r="K3309" s="8"/>
    </row>
    <row r="3310" spans="11:11" x14ac:dyDescent="0.2">
      <c r="K3310" s="8"/>
    </row>
    <row r="3311" spans="11:11" x14ac:dyDescent="0.2">
      <c r="K3311" s="8"/>
    </row>
    <row r="3312" spans="11:11" x14ac:dyDescent="0.2">
      <c r="K3312" s="8"/>
    </row>
    <row r="3313" spans="11:11" x14ac:dyDescent="0.2">
      <c r="K3313" s="8"/>
    </row>
    <row r="3314" spans="11:11" x14ac:dyDescent="0.2">
      <c r="K3314" s="8"/>
    </row>
    <row r="3315" spans="11:11" x14ac:dyDescent="0.2">
      <c r="K3315" s="8"/>
    </row>
    <row r="3316" spans="11:11" x14ac:dyDescent="0.2">
      <c r="K3316" s="8"/>
    </row>
    <row r="3317" spans="11:11" x14ac:dyDescent="0.2">
      <c r="K3317" s="8"/>
    </row>
    <row r="3318" spans="11:11" x14ac:dyDescent="0.2">
      <c r="K3318" s="8"/>
    </row>
    <row r="3319" spans="11:11" x14ac:dyDescent="0.2">
      <c r="K3319" s="8"/>
    </row>
    <row r="3320" spans="11:11" x14ac:dyDescent="0.2">
      <c r="K3320" s="8"/>
    </row>
    <row r="3321" spans="11:11" x14ac:dyDescent="0.2">
      <c r="K3321" s="8"/>
    </row>
    <row r="3322" spans="11:11" x14ac:dyDescent="0.2">
      <c r="K3322" s="8"/>
    </row>
    <row r="3323" spans="11:11" x14ac:dyDescent="0.2">
      <c r="K3323" s="8"/>
    </row>
    <row r="3324" spans="11:11" x14ac:dyDescent="0.2">
      <c r="K3324" s="8"/>
    </row>
    <row r="3325" spans="11:11" x14ac:dyDescent="0.2">
      <c r="K3325" s="8"/>
    </row>
    <row r="3326" spans="11:11" x14ac:dyDescent="0.2">
      <c r="K3326" s="8"/>
    </row>
    <row r="3327" spans="11:11" x14ac:dyDescent="0.2">
      <c r="K3327" s="8"/>
    </row>
    <row r="3328" spans="11:11" x14ac:dyDescent="0.2">
      <c r="K3328" s="8"/>
    </row>
    <row r="3329" spans="11:11" x14ac:dyDescent="0.2">
      <c r="K3329" s="8"/>
    </row>
    <row r="3330" spans="11:11" x14ac:dyDescent="0.2">
      <c r="K3330" s="8"/>
    </row>
    <row r="3331" spans="11:11" x14ac:dyDescent="0.2">
      <c r="K3331" s="8"/>
    </row>
    <row r="3332" spans="11:11" x14ac:dyDescent="0.2">
      <c r="K3332" s="8"/>
    </row>
    <row r="3333" spans="11:11" x14ac:dyDescent="0.2">
      <c r="K3333" s="8"/>
    </row>
    <row r="3334" spans="11:11" x14ac:dyDescent="0.2">
      <c r="K3334" s="8"/>
    </row>
    <row r="3335" spans="11:11" x14ac:dyDescent="0.2">
      <c r="K3335" s="8"/>
    </row>
    <row r="3336" spans="11:11" x14ac:dyDescent="0.2">
      <c r="K3336" s="8"/>
    </row>
    <row r="3337" spans="11:11" x14ac:dyDescent="0.2">
      <c r="K3337" s="8"/>
    </row>
    <row r="3338" spans="11:11" x14ac:dyDescent="0.2">
      <c r="K3338" s="8"/>
    </row>
    <row r="3339" spans="11:11" x14ac:dyDescent="0.2">
      <c r="K3339" s="8"/>
    </row>
    <row r="3340" spans="11:11" x14ac:dyDescent="0.2">
      <c r="K3340" s="8"/>
    </row>
    <row r="3341" spans="11:11" x14ac:dyDescent="0.2">
      <c r="K3341" s="8"/>
    </row>
    <row r="3342" spans="11:11" x14ac:dyDescent="0.2">
      <c r="K3342" s="8"/>
    </row>
    <row r="3343" spans="11:11" x14ac:dyDescent="0.2">
      <c r="K3343" s="8"/>
    </row>
    <row r="3344" spans="11:11" x14ac:dyDescent="0.2">
      <c r="K3344" s="8"/>
    </row>
    <row r="3345" spans="11:11" x14ac:dyDescent="0.2">
      <c r="K3345" s="8"/>
    </row>
    <row r="3346" spans="11:11" x14ac:dyDescent="0.2">
      <c r="K3346" s="8"/>
    </row>
    <row r="3347" spans="11:11" x14ac:dyDescent="0.2">
      <c r="K3347" s="8"/>
    </row>
    <row r="3348" spans="11:11" x14ac:dyDescent="0.2">
      <c r="K3348" s="8"/>
    </row>
    <row r="3349" spans="11:11" x14ac:dyDescent="0.2">
      <c r="K3349" s="8"/>
    </row>
    <row r="3350" spans="11:11" x14ac:dyDescent="0.2">
      <c r="K3350" s="8"/>
    </row>
    <row r="3351" spans="11:11" x14ac:dyDescent="0.2">
      <c r="K3351" s="8"/>
    </row>
    <row r="3352" spans="11:11" x14ac:dyDescent="0.2">
      <c r="K3352" s="8"/>
    </row>
    <row r="3353" spans="11:11" x14ac:dyDescent="0.2">
      <c r="K3353" s="8"/>
    </row>
    <row r="3354" spans="11:11" x14ac:dyDescent="0.2">
      <c r="K3354" s="8"/>
    </row>
    <row r="3355" spans="11:11" x14ac:dyDescent="0.2">
      <c r="K3355" s="8"/>
    </row>
    <row r="3356" spans="11:11" x14ac:dyDescent="0.2">
      <c r="K3356" s="8"/>
    </row>
    <row r="3357" spans="11:11" x14ac:dyDescent="0.2">
      <c r="K3357" s="8"/>
    </row>
    <row r="3358" spans="11:11" x14ac:dyDescent="0.2">
      <c r="K3358" s="8"/>
    </row>
    <row r="3359" spans="11:11" x14ac:dyDescent="0.2">
      <c r="K3359" s="8"/>
    </row>
    <row r="3360" spans="11:11" x14ac:dyDescent="0.2">
      <c r="K3360" s="8"/>
    </row>
    <row r="3361" spans="11:11" x14ac:dyDescent="0.2">
      <c r="K3361" s="8"/>
    </row>
    <row r="3362" spans="11:11" x14ac:dyDescent="0.2">
      <c r="K3362" s="8"/>
    </row>
    <row r="3363" spans="11:11" x14ac:dyDescent="0.2">
      <c r="K3363" s="8"/>
    </row>
    <row r="3364" spans="11:11" x14ac:dyDescent="0.2">
      <c r="K3364" s="8"/>
    </row>
    <row r="3365" spans="11:11" x14ac:dyDescent="0.2">
      <c r="K3365" s="8"/>
    </row>
    <row r="3366" spans="11:11" x14ac:dyDescent="0.2">
      <c r="K3366" s="8"/>
    </row>
    <row r="3367" spans="11:11" x14ac:dyDescent="0.2">
      <c r="K3367" s="8"/>
    </row>
    <row r="3368" spans="11:11" x14ac:dyDescent="0.2">
      <c r="K3368" s="8"/>
    </row>
    <row r="3369" spans="11:11" x14ac:dyDescent="0.2">
      <c r="K3369" s="8"/>
    </row>
    <row r="3370" spans="11:11" x14ac:dyDescent="0.2">
      <c r="K3370" s="8"/>
    </row>
    <row r="3371" spans="11:11" x14ac:dyDescent="0.2">
      <c r="K3371" s="8"/>
    </row>
    <row r="3372" spans="11:11" x14ac:dyDescent="0.2">
      <c r="K3372" s="8"/>
    </row>
    <row r="3373" spans="11:11" x14ac:dyDescent="0.2">
      <c r="K3373" s="8"/>
    </row>
    <row r="3374" spans="11:11" x14ac:dyDescent="0.2">
      <c r="K3374" s="8"/>
    </row>
    <row r="3375" spans="11:11" x14ac:dyDescent="0.2">
      <c r="K3375" s="8"/>
    </row>
    <row r="3376" spans="11:11" x14ac:dyDescent="0.2">
      <c r="K3376" s="8"/>
    </row>
    <row r="3377" spans="11:11" x14ac:dyDescent="0.2">
      <c r="K3377" s="8"/>
    </row>
    <row r="3378" spans="11:11" x14ac:dyDescent="0.2">
      <c r="K3378" s="8"/>
    </row>
    <row r="3379" spans="11:11" x14ac:dyDescent="0.2">
      <c r="K3379" s="8"/>
    </row>
    <row r="3380" spans="11:11" x14ac:dyDescent="0.2">
      <c r="K3380" s="8"/>
    </row>
    <row r="3381" spans="11:11" x14ac:dyDescent="0.2">
      <c r="K3381" s="8"/>
    </row>
    <row r="3382" spans="11:11" x14ac:dyDescent="0.2">
      <c r="K3382" s="8"/>
    </row>
    <row r="3383" spans="11:11" x14ac:dyDescent="0.2">
      <c r="K3383" s="8"/>
    </row>
    <row r="3384" spans="11:11" x14ac:dyDescent="0.2">
      <c r="K3384" s="8"/>
    </row>
    <row r="3385" spans="11:11" x14ac:dyDescent="0.2">
      <c r="K3385" s="8"/>
    </row>
    <row r="3386" spans="11:11" x14ac:dyDescent="0.2">
      <c r="K3386" s="8"/>
    </row>
    <row r="3387" spans="11:11" x14ac:dyDescent="0.2">
      <c r="K3387" s="8"/>
    </row>
    <row r="3388" spans="11:11" x14ac:dyDescent="0.2">
      <c r="K3388" s="8"/>
    </row>
    <row r="3389" spans="11:11" x14ac:dyDescent="0.2">
      <c r="K3389" s="8"/>
    </row>
    <row r="3390" spans="11:11" x14ac:dyDescent="0.2">
      <c r="K3390" s="8"/>
    </row>
    <row r="3391" spans="11:11" x14ac:dyDescent="0.2">
      <c r="K3391" s="8"/>
    </row>
    <row r="3392" spans="11:11" x14ac:dyDescent="0.2">
      <c r="K3392" s="8"/>
    </row>
    <row r="3393" spans="11:11" x14ac:dyDescent="0.2">
      <c r="K3393" s="8"/>
    </row>
    <row r="3394" spans="11:11" x14ac:dyDescent="0.2">
      <c r="K3394" s="8"/>
    </row>
    <row r="3395" spans="11:11" x14ac:dyDescent="0.2">
      <c r="K3395" s="8"/>
    </row>
    <row r="3396" spans="11:11" x14ac:dyDescent="0.2">
      <c r="K3396" s="8"/>
    </row>
    <row r="3397" spans="11:11" x14ac:dyDescent="0.2">
      <c r="K3397" s="8"/>
    </row>
    <row r="3398" spans="11:11" x14ac:dyDescent="0.2">
      <c r="K3398" s="8"/>
    </row>
    <row r="3399" spans="11:11" x14ac:dyDescent="0.2">
      <c r="K3399" s="8"/>
    </row>
    <row r="3400" spans="11:11" x14ac:dyDescent="0.2">
      <c r="K3400" s="8"/>
    </row>
    <row r="3401" spans="11:11" x14ac:dyDescent="0.2">
      <c r="K3401" s="8"/>
    </row>
    <row r="3402" spans="11:11" x14ac:dyDescent="0.2">
      <c r="K3402" s="8"/>
    </row>
    <row r="3403" spans="11:11" x14ac:dyDescent="0.2">
      <c r="K3403" s="8"/>
    </row>
    <row r="3404" spans="11:11" x14ac:dyDescent="0.2">
      <c r="K3404" s="8"/>
    </row>
    <row r="3405" spans="11:11" x14ac:dyDescent="0.2">
      <c r="K3405" s="8"/>
    </row>
    <row r="3406" spans="11:11" x14ac:dyDescent="0.2">
      <c r="K3406" s="8"/>
    </row>
    <row r="3407" spans="11:11" x14ac:dyDescent="0.2">
      <c r="K3407" s="8"/>
    </row>
    <row r="3408" spans="11:11" x14ac:dyDescent="0.2">
      <c r="K3408" s="8"/>
    </row>
    <row r="3409" spans="11:11" x14ac:dyDescent="0.2">
      <c r="K3409" s="8"/>
    </row>
    <row r="3410" spans="11:11" x14ac:dyDescent="0.2">
      <c r="K3410" s="8"/>
    </row>
    <row r="3411" spans="11:11" x14ac:dyDescent="0.2">
      <c r="K3411" s="8"/>
    </row>
    <row r="3412" spans="11:11" x14ac:dyDescent="0.2">
      <c r="K3412" s="8"/>
    </row>
    <row r="3413" spans="11:11" x14ac:dyDescent="0.2">
      <c r="K3413" s="8"/>
    </row>
    <row r="3414" spans="11:11" x14ac:dyDescent="0.2">
      <c r="K3414" s="8"/>
    </row>
    <row r="3415" spans="11:11" x14ac:dyDescent="0.2">
      <c r="K3415" s="8"/>
    </row>
    <row r="3416" spans="11:11" x14ac:dyDescent="0.2">
      <c r="K3416" s="8"/>
    </row>
    <row r="3417" spans="11:11" x14ac:dyDescent="0.2">
      <c r="K3417" s="8"/>
    </row>
    <row r="3418" spans="11:11" x14ac:dyDescent="0.2">
      <c r="K3418" s="8"/>
    </row>
    <row r="3419" spans="11:11" x14ac:dyDescent="0.2">
      <c r="K3419" s="8"/>
    </row>
    <row r="3420" spans="11:11" x14ac:dyDescent="0.2">
      <c r="K3420" s="8"/>
    </row>
    <row r="3421" spans="11:11" x14ac:dyDescent="0.2">
      <c r="K3421" s="8"/>
    </row>
    <row r="3422" spans="11:11" x14ac:dyDescent="0.2">
      <c r="K3422" s="8"/>
    </row>
    <row r="3423" spans="11:11" x14ac:dyDescent="0.2">
      <c r="K3423" s="8"/>
    </row>
    <row r="3424" spans="11:11" x14ac:dyDescent="0.2">
      <c r="K3424" s="8"/>
    </row>
    <row r="3425" spans="11:11" x14ac:dyDescent="0.2">
      <c r="K3425" s="8"/>
    </row>
    <row r="3426" spans="11:11" x14ac:dyDescent="0.2">
      <c r="K3426" s="8"/>
    </row>
    <row r="3427" spans="11:11" x14ac:dyDescent="0.2">
      <c r="K3427" s="8"/>
    </row>
    <row r="3428" spans="11:11" x14ac:dyDescent="0.2">
      <c r="K3428" s="8"/>
    </row>
    <row r="3429" spans="11:11" x14ac:dyDescent="0.2">
      <c r="K3429" s="8"/>
    </row>
    <row r="3430" spans="11:11" x14ac:dyDescent="0.2">
      <c r="K3430" s="8"/>
    </row>
    <row r="3431" spans="11:11" x14ac:dyDescent="0.2">
      <c r="K3431" s="8"/>
    </row>
    <row r="3432" spans="11:11" x14ac:dyDescent="0.2">
      <c r="K3432" s="8"/>
    </row>
    <row r="3433" spans="11:11" x14ac:dyDescent="0.2">
      <c r="K3433" s="8"/>
    </row>
    <row r="3434" spans="11:11" x14ac:dyDescent="0.2">
      <c r="K3434" s="8"/>
    </row>
    <row r="3435" spans="11:11" x14ac:dyDescent="0.2">
      <c r="K3435" s="8"/>
    </row>
    <row r="3436" spans="11:11" x14ac:dyDescent="0.2">
      <c r="K3436" s="8"/>
    </row>
    <row r="3437" spans="11:11" x14ac:dyDescent="0.2">
      <c r="K3437" s="8"/>
    </row>
    <row r="3438" spans="11:11" x14ac:dyDescent="0.2">
      <c r="K3438" s="8"/>
    </row>
    <row r="3439" spans="11:11" x14ac:dyDescent="0.2">
      <c r="K3439" s="8"/>
    </row>
    <row r="3440" spans="11:11" x14ac:dyDescent="0.2">
      <c r="K3440" s="8"/>
    </row>
    <row r="3441" spans="11:11" x14ac:dyDescent="0.2">
      <c r="K3441" s="8"/>
    </row>
    <row r="3442" spans="11:11" x14ac:dyDescent="0.2">
      <c r="K3442" s="8"/>
    </row>
    <row r="3443" spans="11:11" x14ac:dyDescent="0.2">
      <c r="K3443" s="8"/>
    </row>
    <row r="3444" spans="11:11" x14ac:dyDescent="0.2">
      <c r="K3444" s="8"/>
    </row>
    <row r="3445" spans="11:11" x14ac:dyDescent="0.2">
      <c r="K3445" s="8"/>
    </row>
    <row r="3446" spans="11:11" x14ac:dyDescent="0.2">
      <c r="K3446" s="8"/>
    </row>
    <row r="3447" spans="11:11" x14ac:dyDescent="0.2">
      <c r="K3447" s="8"/>
    </row>
    <row r="3448" spans="11:11" x14ac:dyDescent="0.2">
      <c r="K3448" s="8"/>
    </row>
    <row r="3449" spans="11:11" x14ac:dyDescent="0.2">
      <c r="K3449" s="8"/>
    </row>
    <row r="3450" spans="11:11" x14ac:dyDescent="0.2">
      <c r="K3450" s="8"/>
    </row>
    <row r="3451" spans="11:11" x14ac:dyDescent="0.2">
      <c r="K3451" s="8"/>
    </row>
    <row r="3452" spans="11:11" x14ac:dyDescent="0.2">
      <c r="K3452" s="8"/>
    </row>
    <row r="3453" spans="11:11" x14ac:dyDescent="0.2">
      <c r="K3453" s="8"/>
    </row>
    <row r="3454" spans="11:11" x14ac:dyDescent="0.2">
      <c r="K3454" s="8"/>
    </row>
    <row r="3455" spans="11:11" x14ac:dyDescent="0.2">
      <c r="K3455" s="8"/>
    </row>
    <row r="3456" spans="11:11" x14ac:dyDescent="0.2">
      <c r="K3456" s="8"/>
    </row>
    <row r="3457" spans="11:11" x14ac:dyDescent="0.2">
      <c r="K3457" s="8"/>
    </row>
    <row r="3458" spans="11:11" x14ac:dyDescent="0.2">
      <c r="K3458" s="8"/>
    </row>
    <row r="3459" spans="11:11" x14ac:dyDescent="0.2">
      <c r="K3459" s="8"/>
    </row>
    <row r="3460" spans="11:11" x14ac:dyDescent="0.2">
      <c r="K3460" s="8"/>
    </row>
    <row r="3461" spans="11:11" x14ac:dyDescent="0.2">
      <c r="K3461" s="8"/>
    </row>
    <row r="3462" spans="11:11" x14ac:dyDescent="0.2">
      <c r="K3462" s="8"/>
    </row>
    <row r="3463" spans="11:11" x14ac:dyDescent="0.2">
      <c r="K3463" s="8"/>
    </row>
    <row r="3464" spans="11:11" x14ac:dyDescent="0.2">
      <c r="K3464" s="8"/>
    </row>
    <row r="3465" spans="11:11" x14ac:dyDescent="0.2">
      <c r="K3465" s="8"/>
    </row>
    <row r="3466" spans="11:11" x14ac:dyDescent="0.2">
      <c r="K3466" s="8"/>
    </row>
    <row r="3467" spans="11:11" x14ac:dyDescent="0.2">
      <c r="K3467" s="8"/>
    </row>
    <row r="3468" spans="11:11" x14ac:dyDescent="0.2">
      <c r="K3468" s="8"/>
    </row>
    <row r="3469" spans="11:11" x14ac:dyDescent="0.2">
      <c r="K3469" s="8"/>
    </row>
    <row r="3470" spans="11:11" x14ac:dyDescent="0.2">
      <c r="K3470" s="8"/>
    </row>
    <row r="3471" spans="11:11" x14ac:dyDescent="0.2">
      <c r="K3471" s="8"/>
    </row>
    <row r="3472" spans="11:11" x14ac:dyDescent="0.2">
      <c r="K3472" s="8"/>
    </row>
    <row r="3473" spans="11:11" x14ac:dyDescent="0.2">
      <c r="K3473" s="8"/>
    </row>
    <row r="3474" spans="11:11" x14ac:dyDescent="0.2">
      <c r="K3474" s="8"/>
    </row>
    <row r="3475" spans="11:11" x14ac:dyDescent="0.2">
      <c r="K3475" s="8"/>
    </row>
    <row r="3476" spans="11:11" x14ac:dyDescent="0.2">
      <c r="K3476" s="8"/>
    </row>
    <row r="3477" spans="11:11" x14ac:dyDescent="0.2">
      <c r="K3477" s="8"/>
    </row>
    <row r="3478" spans="11:11" x14ac:dyDescent="0.2">
      <c r="K3478" s="8"/>
    </row>
    <row r="3479" spans="11:11" x14ac:dyDescent="0.2">
      <c r="K3479" s="8"/>
    </row>
    <row r="3480" spans="11:11" x14ac:dyDescent="0.2">
      <c r="K3480" s="8"/>
    </row>
    <row r="3481" spans="11:11" x14ac:dyDescent="0.2">
      <c r="K3481" s="8"/>
    </row>
    <row r="3482" spans="11:11" x14ac:dyDescent="0.2">
      <c r="K3482" s="8"/>
    </row>
    <row r="3483" spans="11:11" x14ac:dyDescent="0.2">
      <c r="K3483" s="8"/>
    </row>
    <row r="3484" spans="11:11" x14ac:dyDescent="0.2">
      <c r="K3484" s="8"/>
    </row>
    <row r="3485" spans="11:11" x14ac:dyDescent="0.2">
      <c r="K3485" s="8"/>
    </row>
    <row r="3486" spans="11:11" x14ac:dyDescent="0.2">
      <c r="K3486" s="8"/>
    </row>
    <row r="3487" spans="11:11" x14ac:dyDescent="0.2">
      <c r="K3487" s="8"/>
    </row>
    <row r="3488" spans="11:11" x14ac:dyDescent="0.2">
      <c r="K3488" s="8"/>
    </row>
    <row r="3489" spans="11:11" x14ac:dyDescent="0.2">
      <c r="K3489" s="8"/>
    </row>
    <row r="3490" spans="11:11" x14ac:dyDescent="0.2">
      <c r="K3490" s="8"/>
    </row>
    <row r="3491" spans="11:11" x14ac:dyDescent="0.2">
      <c r="K3491" s="8"/>
    </row>
    <row r="3492" spans="11:11" x14ac:dyDescent="0.2">
      <c r="K3492" s="8"/>
    </row>
    <row r="3493" spans="11:11" x14ac:dyDescent="0.2">
      <c r="K3493" s="8"/>
    </row>
    <row r="3494" spans="11:11" x14ac:dyDescent="0.2">
      <c r="K3494" s="8"/>
    </row>
    <row r="3495" spans="11:11" x14ac:dyDescent="0.2">
      <c r="K3495" s="8"/>
    </row>
    <row r="3496" spans="11:11" x14ac:dyDescent="0.2">
      <c r="K3496" s="8"/>
    </row>
    <row r="3497" spans="11:11" x14ac:dyDescent="0.2">
      <c r="K3497" s="8"/>
    </row>
    <row r="3498" spans="11:11" x14ac:dyDescent="0.2">
      <c r="K3498" s="8"/>
    </row>
    <row r="3499" spans="11:11" x14ac:dyDescent="0.2">
      <c r="K3499" s="8"/>
    </row>
    <row r="3500" spans="11:11" x14ac:dyDescent="0.2">
      <c r="K3500" s="8"/>
    </row>
    <row r="3501" spans="11:11" x14ac:dyDescent="0.2">
      <c r="K3501" s="8"/>
    </row>
    <row r="3502" spans="11:11" x14ac:dyDescent="0.2">
      <c r="K3502" s="8"/>
    </row>
    <row r="3503" spans="11:11" x14ac:dyDescent="0.2">
      <c r="K3503" s="8"/>
    </row>
    <row r="3504" spans="11:11" x14ac:dyDescent="0.2">
      <c r="K3504" s="8"/>
    </row>
    <row r="3505" spans="11:11" x14ac:dyDescent="0.2">
      <c r="K3505" s="8"/>
    </row>
    <row r="3506" spans="11:11" x14ac:dyDescent="0.2">
      <c r="K3506" s="8"/>
    </row>
    <row r="3507" spans="11:11" x14ac:dyDescent="0.2">
      <c r="K3507" s="8"/>
    </row>
    <row r="3508" spans="11:11" x14ac:dyDescent="0.2">
      <c r="K3508" s="8"/>
    </row>
    <row r="3509" spans="11:11" x14ac:dyDescent="0.2">
      <c r="K3509" s="8"/>
    </row>
    <row r="3510" spans="11:11" x14ac:dyDescent="0.2">
      <c r="K3510" s="8"/>
    </row>
    <row r="3511" spans="11:11" x14ac:dyDescent="0.2">
      <c r="K3511" s="8"/>
    </row>
    <row r="3512" spans="11:11" x14ac:dyDescent="0.2">
      <c r="K3512" s="8"/>
    </row>
    <row r="3513" spans="11:11" x14ac:dyDescent="0.2">
      <c r="K3513" s="8"/>
    </row>
    <row r="3514" spans="11:11" x14ac:dyDescent="0.2">
      <c r="K3514" s="8"/>
    </row>
    <row r="3515" spans="11:11" x14ac:dyDescent="0.2">
      <c r="K3515" s="8"/>
    </row>
    <row r="3516" spans="11:11" x14ac:dyDescent="0.2">
      <c r="K3516" s="8"/>
    </row>
    <row r="3517" spans="11:11" x14ac:dyDescent="0.2">
      <c r="K3517" s="8"/>
    </row>
    <row r="3518" spans="11:11" x14ac:dyDescent="0.2">
      <c r="K3518" s="8"/>
    </row>
    <row r="3519" spans="11:11" x14ac:dyDescent="0.2">
      <c r="K3519" s="8"/>
    </row>
    <row r="3520" spans="11:11" x14ac:dyDescent="0.2">
      <c r="K3520" s="8"/>
    </row>
    <row r="3521" spans="11:11" x14ac:dyDescent="0.2">
      <c r="K3521" s="8"/>
    </row>
    <row r="3522" spans="11:11" x14ac:dyDescent="0.2">
      <c r="K3522" s="8"/>
    </row>
    <row r="3523" spans="11:11" x14ac:dyDescent="0.2">
      <c r="K3523" s="8"/>
    </row>
    <row r="3524" spans="11:11" x14ac:dyDescent="0.2">
      <c r="K3524" s="8"/>
    </row>
    <row r="3525" spans="11:11" x14ac:dyDescent="0.2">
      <c r="K3525" s="8"/>
    </row>
    <row r="3526" spans="11:11" x14ac:dyDescent="0.2">
      <c r="K3526" s="8"/>
    </row>
    <row r="3527" spans="11:11" x14ac:dyDescent="0.2">
      <c r="K3527" s="8"/>
    </row>
    <row r="3528" spans="11:11" x14ac:dyDescent="0.2">
      <c r="K3528" s="8"/>
    </row>
    <row r="3529" spans="11:11" x14ac:dyDescent="0.2">
      <c r="K3529" s="8"/>
    </row>
    <row r="3530" spans="11:11" x14ac:dyDescent="0.2">
      <c r="K3530" s="8"/>
    </row>
    <row r="3531" spans="11:11" x14ac:dyDescent="0.2">
      <c r="K3531" s="8"/>
    </row>
    <row r="3532" spans="11:11" x14ac:dyDescent="0.2">
      <c r="K3532" s="8"/>
    </row>
    <row r="3533" spans="11:11" x14ac:dyDescent="0.2">
      <c r="K3533" s="8"/>
    </row>
    <row r="3534" spans="11:11" x14ac:dyDescent="0.2">
      <c r="K3534" s="8"/>
    </row>
    <row r="3535" spans="11:11" x14ac:dyDescent="0.2">
      <c r="K3535" s="8"/>
    </row>
    <row r="3536" spans="11:11" x14ac:dyDescent="0.2">
      <c r="K3536" s="8"/>
    </row>
    <row r="3537" spans="11:11" x14ac:dyDescent="0.2">
      <c r="K3537" s="8"/>
    </row>
    <row r="3538" spans="11:11" x14ac:dyDescent="0.2">
      <c r="K3538" s="8"/>
    </row>
    <row r="3539" spans="11:11" x14ac:dyDescent="0.2">
      <c r="K3539" s="8"/>
    </row>
    <row r="3540" spans="11:11" x14ac:dyDescent="0.2">
      <c r="K3540" s="8"/>
    </row>
    <row r="3541" spans="11:11" x14ac:dyDescent="0.2">
      <c r="K3541" s="8"/>
    </row>
    <row r="3542" spans="11:11" x14ac:dyDescent="0.2">
      <c r="K3542" s="8"/>
    </row>
    <row r="3543" spans="11:11" x14ac:dyDescent="0.2">
      <c r="K3543" s="8"/>
    </row>
    <row r="3544" spans="11:11" x14ac:dyDescent="0.2">
      <c r="K3544" s="8"/>
    </row>
    <row r="3545" spans="11:11" x14ac:dyDescent="0.2">
      <c r="K3545" s="8"/>
    </row>
    <row r="3546" spans="11:11" x14ac:dyDescent="0.2">
      <c r="K3546" s="8"/>
    </row>
    <row r="3547" spans="11:11" x14ac:dyDescent="0.2">
      <c r="K3547" s="8"/>
    </row>
    <row r="3548" spans="11:11" x14ac:dyDescent="0.2">
      <c r="K3548" s="8"/>
    </row>
    <row r="3549" spans="11:11" x14ac:dyDescent="0.2">
      <c r="K3549" s="8"/>
    </row>
    <row r="3550" spans="11:11" x14ac:dyDescent="0.2">
      <c r="K3550" s="8"/>
    </row>
    <row r="3551" spans="11:11" x14ac:dyDescent="0.2">
      <c r="K3551" s="8"/>
    </row>
    <row r="3552" spans="11:11" x14ac:dyDescent="0.2">
      <c r="K3552" s="8"/>
    </row>
    <row r="3553" spans="11:11" x14ac:dyDescent="0.2">
      <c r="K3553" s="8"/>
    </row>
    <row r="3554" spans="11:11" x14ac:dyDescent="0.2">
      <c r="K3554" s="8"/>
    </row>
    <row r="3555" spans="11:11" x14ac:dyDescent="0.2">
      <c r="K3555" s="8"/>
    </row>
    <row r="3556" spans="11:11" x14ac:dyDescent="0.2">
      <c r="K3556" s="8"/>
    </row>
    <row r="3557" spans="11:11" x14ac:dyDescent="0.2">
      <c r="K3557" s="8"/>
    </row>
    <row r="3558" spans="11:11" x14ac:dyDescent="0.2">
      <c r="K3558" s="8"/>
    </row>
    <row r="3559" spans="11:11" x14ac:dyDescent="0.2">
      <c r="K3559" s="8"/>
    </row>
    <row r="3560" spans="11:11" x14ac:dyDescent="0.2">
      <c r="K3560" s="8"/>
    </row>
    <row r="3561" spans="11:11" x14ac:dyDescent="0.2">
      <c r="K3561" s="8"/>
    </row>
    <row r="3562" spans="11:11" x14ac:dyDescent="0.2">
      <c r="K3562" s="8"/>
    </row>
    <row r="3563" spans="11:11" x14ac:dyDescent="0.2">
      <c r="K3563" s="8"/>
    </row>
    <row r="3564" spans="11:11" x14ac:dyDescent="0.2">
      <c r="K3564" s="8"/>
    </row>
    <row r="3565" spans="11:11" x14ac:dyDescent="0.2">
      <c r="K3565" s="8"/>
    </row>
    <row r="3566" spans="11:11" x14ac:dyDescent="0.2">
      <c r="K3566" s="8"/>
    </row>
    <row r="3567" spans="11:11" x14ac:dyDescent="0.2">
      <c r="K3567" s="8"/>
    </row>
    <row r="3568" spans="11:11" x14ac:dyDescent="0.2">
      <c r="K3568" s="8"/>
    </row>
    <row r="3569" spans="11:11" x14ac:dyDescent="0.2">
      <c r="K3569" s="8"/>
    </row>
    <row r="3570" spans="11:11" x14ac:dyDescent="0.2">
      <c r="K3570" s="8"/>
    </row>
    <row r="3571" spans="11:11" x14ac:dyDescent="0.2">
      <c r="K3571" s="8"/>
    </row>
    <row r="3572" spans="11:11" x14ac:dyDescent="0.2">
      <c r="K3572" s="8"/>
    </row>
    <row r="3573" spans="11:11" x14ac:dyDescent="0.2">
      <c r="K3573" s="8"/>
    </row>
    <row r="3574" spans="11:11" x14ac:dyDescent="0.2">
      <c r="K3574" s="8"/>
    </row>
    <row r="3575" spans="11:11" x14ac:dyDescent="0.2">
      <c r="K3575" s="8"/>
    </row>
    <row r="3576" spans="11:11" x14ac:dyDescent="0.2">
      <c r="K3576" s="8"/>
    </row>
    <row r="3577" spans="11:11" x14ac:dyDescent="0.2">
      <c r="K3577" s="8"/>
    </row>
    <row r="3578" spans="11:11" x14ac:dyDescent="0.2">
      <c r="K3578" s="8"/>
    </row>
    <row r="3579" spans="11:11" x14ac:dyDescent="0.2">
      <c r="K3579" s="8"/>
    </row>
    <row r="3580" spans="11:11" x14ac:dyDescent="0.2">
      <c r="K3580" s="8"/>
    </row>
    <row r="3581" spans="11:11" x14ac:dyDescent="0.2">
      <c r="K3581" s="8"/>
    </row>
    <row r="3582" spans="11:11" x14ac:dyDescent="0.2">
      <c r="K3582" s="8"/>
    </row>
    <row r="3583" spans="11:11" x14ac:dyDescent="0.2">
      <c r="K3583" s="8"/>
    </row>
    <row r="3584" spans="11:11" x14ac:dyDescent="0.2">
      <c r="K3584" s="8"/>
    </row>
    <row r="3585" spans="11:11" x14ac:dyDescent="0.2">
      <c r="K3585" s="8"/>
    </row>
    <row r="3586" spans="11:11" x14ac:dyDescent="0.2">
      <c r="K3586" s="8"/>
    </row>
    <row r="3587" spans="11:11" x14ac:dyDescent="0.2">
      <c r="K3587" s="8"/>
    </row>
    <row r="3588" spans="11:11" x14ac:dyDescent="0.2">
      <c r="K3588" s="8"/>
    </row>
    <row r="3589" spans="11:11" x14ac:dyDescent="0.2">
      <c r="K3589" s="8"/>
    </row>
    <row r="3590" spans="11:11" x14ac:dyDescent="0.2">
      <c r="K3590" s="8"/>
    </row>
    <row r="3591" spans="11:11" x14ac:dyDescent="0.2">
      <c r="K3591" s="8"/>
    </row>
    <row r="3592" spans="11:11" x14ac:dyDescent="0.2">
      <c r="K3592" s="8"/>
    </row>
    <row r="3593" spans="11:11" x14ac:dyDescent="0.2">
      <c r="K3593" s="8"/>
    </row>
    <row r="3594" spans="11:11" x14ac:dyDescent="0.2">
      <c r="K3594" s="8"/>
    </row>
    <row r="3595" spans="11:11" x14ac:dyDescent="0.2">
      <c r="K3595" s="8"/>
    </row>
    <row r="3596" spans="11:11" x14ac:dyDescent="0.2">
      <c r="K3596" s="8"/>
    </row>
    <row r="3597" spans="11:11" x14ac:dyDescent="0.2">
      <c r="K3597" s="8"/>
    </row>
    <row r="3598" spans="11:11" x14ac:dyDescent="0.2">
      <c r="K3598" s="8"/>
    </row>
    <row r="3599" spans="11:11" x14ac:dyDescent="0.2">
      <c r="K3599" s="8"/>
    </row>
    <row r="3600" spans="11:11" x14ac:dyDescent="0.2">
      <c r="K3600" s="8"/>
    </row>
    <row r="3601" spans="11:11" x14ac:dyDescent="0.2">
      <c r="K3601" s="8"/>
    </row>
    <row r="3602" spans="11:11" x14ac:dyDescent="0.2">
      <c r="K3602" s="8"/>
    </row>
    <row r="3603" spans="11:11" x14ac:dyDescent="0.2">
      <c r="K3603" s="8"/>
    </row>
    <row r="3604" spans="11:11" x14ac:dyDescent="0.2">
      <c r="K3604" s="8"/>
    </row>
    <row r="3605" spans="11:11" x14ac:dyDescent="0.2">
      <c r="K3605" s="8"/>
    </row>
    <row r="3606" spans="11:11" x14ac:dyDescent="0.2">
      <c r="K3606" s="8"/>
    </row>
    <row r="3607" spans="11:11" x14ac:dyDescent="0.2">
      <c r="K3607" s="8"/>
    </row>
    <row r="3608" spans="11:11" x14ac:dyDescent="0.2">
      <c r="K3608" s="8"/>
    </row>
    <row r="3609" spans="11:11" x14ac:dyDescent="0.2">
      <c r="K3609" s="8"/>
    </row>
    <row r="3610" spans="11:11" x14ac:dyDescent="0.2">
      <c r="K3610" s="8"/>
    </row>
    <row r="3611" spans="11:11" x14ac:dyDescent="0.2">
      <c r="K3611" s="8"/>
    </row>
    <row r="3612" spans="11:11" x14ac:dyDescent="0.2">
      <c r="K3612" s="8"/>
    </row>
    <row r="3613" spans="11:11" x14ac:dyDescent="0.2">
      <c r="K3613" s="8"/>
    </row>
    <row r="3614" spans="11:11" x14ac:dyDescent="0.2">
      <c r="K3614" s="8"/>
    </row>
    <row r="3615" spans="11:11" x14ac:dyDescent="0.2">
      <c r="K3615" s="8"/>
    </row>
    <row r="3616" spans="11:11" x14ac:dyDescent="0.2">
      <c r="K3616" s="8"/>
    </row>
    <row r="3617" spans="11:11" x14ac:dyDescent="0.2">
      <c r="K3617" s="8"/>
    </row>
    <row r="3618" spans="11:11" x14ac:dyDescent="0.2">
      <c r="K3618" s="8"/>
    </row>
    <row r="3619" spans="11:11" x14ac:dyDescent="0.2">
      <c r="K3619" s="8"/>
    </row>
    <row r="3620" spans="11:11" x14ac:dyDescent="0.2">
      <c r="K3620" s="8"/>
    </row>
    <row r="3621" spans="11:11" x14ac:dyDescent="0.2">
      <c r="K3621" s="8"/>
    </row>
    <row r="3622" spans="11:11" x14ac:dyDescent="0.2">
      <c r="K3622" s="8"/>
    </row>
    <row r="3623" spans="11:11" x14ac:dyDescent="0.2">
      <c r="K3623" s="8"/>
    </row>
    <row r="3624" spans="11:11" x14ac:dyDescent="0.2">
      <c r="K3624" s="8"/>
    </row>
    <row r="3625" spans="11:11" x14ac:dyDescent="0.2">
      <c r="K3625" s="8"/>
    </row>
    <row r="3626" spans="11:11" x14ac:dyDescent="0.2">
      <c r="K3626" s="8"/>
    </row>
    <row r="3627" spans="11:11" x14ac:dyDescent="0.2">
      <c r="K3627" s="8"/>
    </row>
    <row r="3628" spans="11:11" x14ac:dyDescent="0.2">
      <c r="K3628" s="8"/>
    </row>
    <row r="3629" spans="11:11" x14ac:dyDescent="0.2">
      <c r="K3629" s="8"/>
    </row>
    <row r="3630" spans="11:11" x14ac:dyDescent="0.2">
      <c r="K3630" s="8"/>
    </row>
    <row r="3631" spans="11:11" x14ac:dyDescent="0.2">
      <c r="K3631" s="8"/>
    </row>
    <row r="3632" spans="11:11" x14ac:dyDescent="0.2">
      <c r="K3632" s="8"/>
    </row>
    <row r="3633" spans="11:11" x14ac:dyDescent="0.2">
      <c r="K3633" s="8"/>
    </row>
    <row r="3634" spans="11:11" x14ac:dyDescent="0.2">
      <c r="K3634" s="8"/>
    </row>
    <row r="3635" spans="11:11" x14ac:dyDescent="0.2">
      <c r="K3635" s="8"/>
    </row>
    <row r="3636" spans="11:11" x14ac:dyDescent="0.2">
      <c r="K3636" s="8"/>
    </row>
    <row r="3637" spans="11:11" x14ac:dyDescent="0.2">
      <c r="K3637" s="8"/>
    </row>
    <row r="3638" spans="11:11" x14ac:dyDescent="0.2">
      <c r="K3638" s="8"/>
    </row>
    <row r="3639" spans="11:11" x14ac:dyDescent="0.2">
      <c r="K3639" s="8"/>
    </row>
    <row r="3640" spans="11:11" x14ac:dyDescent="0.2">
      <c r="K3640" s="8"/>
    </row>
    <row r="3641" spans="11:11" x14ac:dyDescent="0.2">
      <c r="K3641" s="8"/>
    </row>
    <row r="3642" spans="11:11" x14ac:dyDescent="0.2">
      <c r="K3642" s="8"/>
    </row>
    <row r="3643" spans="11:11" x14ac:dyDescent="0.2">
      <c r="K3643" s="8"/>
    </row>
    <row r="3644" spans="11:11" x14ac:dyDescent="0.2">
      <c r="K3644" s="8"/>
    </row>
    <row r="3645" spans="11:11" x14ac:dyDescent="0.2">
      <c r="K3645" s="8"/>
    </row>
    <row r="3646" spans="11:11" x14ac:dyDescent="0.2">
      <c r="K3646" s="8"/>
    </row>
    <row r="3647" spans="11:11" x14ac:dyDescent="0.2">
      <c r="K3647" s="8"/>
    </row>
    <row r="3648" spans="11:11" x14ac:dyDescent="0.2">
      <c r="K3648" s="8"/>
    </row>
    <row r="3649" spans="11:11" x14ac:dyDescent="0.2">
      <c r="K3649" s="8"/>
    </row>
    <row r="3650" spans="11:11" x14ac:dyDescent="0.2">
      <c r="K3650" s="8"/>
    </row>
    <row r="3651" spans="11:11" x14ac:dyDescent="0.2">
      <c r="K3651" s="8"/>
    </row>
    <row r="3652" spans="11:11" x14ac:dyDescent="0.2">
      <c r="K3652" s="8"/>
    </row>
    <row r="3653" spans="11:11" x14ac:dyDescent="0.2">
      <c r="K3653" s="8"/>
    </row>
    <row r="3654" spans="11:11" x14ac:dyDescent="0.2">
      <c r="K3654" s="8"/>
    </row>
    <row r="3655" spans="11:11" x14ac:dyDescent="0.2">
      <c r="K3655" s="8"/>
    </row>
    <row r="3656" spans="11:11" x14ac:dyDescent="0.2">
      <c r="K3656" s="8"/>
    </row>
    <row r="3657" spans="11:11" x14ac:dyDescent="0.2">
      <c r="K3657" s="8"/>
    </row>
    <row r="3658" spans="11:11" x14ac:dyDescent="0.2">
      <c r="K3658" s="8"/>
    </row>
    <row r="3659" spans="11:11" x14ac:dyDescent="0.2">
      <c r="K3659" s="8"/>
    </row>
    <row r="3660" spans="11:11" x14ac:dyDescent="0.2">
      <c r="K3660" s="8"/>
    </row>
    <row r="3661" spans="11:11" x14ac:dyDescent="0.2">
      <c r="K3661" s="8"/>
    </row>
    <row r="3662" spans="11:11" x14ac:dyDescent="0.2">
      <c r="K3662" s="8"/>
    </row>
    <row r="3663" spans="11:11" x14ac:dyDescent="0.2">
      <c r="K3663" s="8"/>
    </row>
    <row r="3664" spans="11:11" x14ac:dyDescent="0.2">
      <c r="K3664" s="8"/>
    </row>
    <row r="3665" spans="11:11" x14ac:dyDescent="0.2">
      <c r="K3665" s="8"/>
    </row>
    <row r="3666" spans="11:11" x14ac:dyDescent="0.2">
      <c r="K3666" s="8"/>
    </row>
    <row r="3667" spans="11:11" x14ac:dyDescent="0.2">
      <c r="K3667" s="8"/>
    </row>
    <row r="3668" spans="11:11" x14ac:dyDescent="0.2">
      <c r="K3668" s="8"/>
    </row>
    <row r="3669" spans="11:11" x14ac:dyDescent="0.2">
      <c r="K3669" s="8"/>
    </row>
    <row r="3670" spans="11:11" x14ac:dyDescent="0.2">
      <c r="K3670" s="8"/>
    </row>
    <row r="3671" spans="11:11" x14ac:dyDescent="0.2">
      <c r="K3671" s="8"/>
    </row>
    <row r="3672" spans="11:11" x14ac:dyDescent="0.2">
      <c r="K3672" s="8"/>
    </row>
    <row r="3673" spans="11:11" x14ac:dyDescent="0.2">
      <c r="K3673" s="8"/>
    </row>
    <row r="3674" spans="11:11" x14ac:dyDescent="0.2">
      <c r="K3674" s="8"/>
    </row>
    <row r="3675" spans="11:11" x14ac:dyDescent="0.2">
      <c r="K3675" s="8"/>
    </row>
    <row r="3676" spans="11:11" x14ac:dyDescent="0.2">
      <c r="K3676" s="8"/>
    </row>
    <row r="3677" spans="11:11" x14ac:dyDescent="0.2">
      <c r="K3677" s="8"/>
    </row>
    <row r="3678" spans="11:11" x14ac:dyDescent="0.2">
      <c r="K3678" s="8"/>
    </row>
    <row r="3679" spans="11:11" x14ac:dyDescent="0.2">
      <c r="K3679" s="8"/>
    </row>
    <row r="3680" spans="11:11" x14ac:dyDescent="0.2">
      <c r="K3680" s="8"/>
    </row>
    <row r="3681" spans="11:11" x14ac:dyDescent="0.2">
      <c r="K3681" s="8"/>
    </row>
    <row r="3682" spans="11:11" x14ac:dyDescent="0.2">
      <c r="K3682" s="8"/>
    </row>
    <row r="3683" spans="11:11" x14ac:dyDescent="0.2">
      <c r="K3683" s="8"/>
    </row>
    <row r="3684" spans="11:11" x14ac:dyDescent="0.2">
      <c r="K3684" s="8"/>
    </row>
    <row r="3685" spans="11:11" x14ac:dyDescent="0.2">
      <c r="K3685" s="8"/>
    </row>
    <row r="3686" spans="11:11" x14ac:dyDescent="0.2">
      <c r="K3686" s="8"/>
    </row>
    <row r="3687" spans="11:11" x14ac:dyDescent="0.2">
      <c r="K3687" s="8"/>
    </row>
    <row r="3688" spans="11:11" x14ac:dyDescent="0.2">
      <c r="K3688" s="8"/>
    </row>
    <row r="3689" spans="11:11" x14ac:dyDescent="0.2">
      <c r="K3689" s="8"/>
    </row>
    <row r="3690" spans="11:11" x14ac:dyDescent="0.2">
      <c r="K3690" s="8"/>
    </row>
    <row r="3691" spans="11:11" x14ac:dyDescent="0.2">
      <c r="K3691" s="8"/>
    </row>
    <row r="3692" spans="11:11" x14ac:dyDescent="0.2">
      <c r="K3692" s="8"/>
    </row>
    <row r="3693" spans="11:11" x14ac:dyDescent="0.2">
      <c r="K3693" s="8"/>
    </row>
    <row r="3694" spans="11:11" x14ac:dyDescent="0.2">
      <c r="K3694" s="8"/>
    </row>
    <row r="3695" spans="11:11" x14ac:dyDescent="0.2">
      <c r="K3695" s="8"/>
    </row>
    <row r="3696" spans="11:11" x14ac:dyDescent="0.2">
      <c r="K3696" s="8"/>
    </row>
    <row r="3697" spans="11:11" x14ac:dyDescent="0.2">
      <c r="K3697" s="8"/>
    </row>
    <row r="3698" spans="11:11" x14ac:dyDescent="0.2">
      <c r="K3698" s="8"/>
    </row>
    <row r="3699" spans="11:11" x14ac:dyDescent="0.2">
      <c r="K3699" s="8"/>
    </row>
    <row r="3700" spans="11:11" x14ac:dyDescent="0.2">
      <c r="K3700" s="8"/>
    </row>
    <row r="3701" spans="11:11" x14ac:dyDescent="0.2">
      <c r="K3701" s="8"/>
    </row>
    <row r="3702" spans="11:11" x14ac:dyDescent="0.2">
      <c r="K3702" s="8"/>
    </row>
    <row r="3703" spans="11:11" x14ac:dyDescent="0.2">
      <c r="K3703" s="8"/>
    </row>
    <row r="3704" spans="11:11" x14ac:dyDescent="0.2">
      <c r="K3704" s="8"/>
    </row>
    <row r="3705" spans="11:11" x14ac:dyDescent="0.2">
      <c r="K3705" s="8"/>
    </row>
    <row r="3706" spans="11:11" x14ac:dyDescent="0.2">
      <c r="K3706" s="8"/>
    </row>
    <row r="3707" spans="11:11" x14ac:dyDescent="0.2">
      <c r="K3707" s="8"/>
    </row>
    <row r="3708" spans="11:11" x14ac:dyDescent="0.2">
      <c r="K3708" s="8"/>
    </row>
    <row r="3709" spans="11:11" x14ac:dyDescent="0.2">
      <c r="K3709" s="8"/>
    </row>
    <row r="3710" spans="11:11" x14ac:dyDescent="0.2">
      <c r="K3710" s="8"/>
    </row>
    <row r="3711" spans="11:11" x14ac:dyDescent="0.2">
      <c r="K3711" s="8"/>
    </row>
    <row r="3712" spans="11:11" x14ac:dyDescent="0.2">
      <c r="K3712" s="8"/>
    </row>
    <row r="3713" spans="11:11" x14ac:dyDescent="0.2">
      <c r="K3713" s="8"/>
    </row>
    <row r="3714" spans="11:11" x14ac:dyDescent="0.2">
      <c r="K3714" s="8"/>
    </row>
    <row r="3715" spans="11:11" x14ac:dyDescent="0.2">
      <c r="K3715" s="8"/>
    </row>
    <row r="3716" spans="11:11" x14ac:dyDescent="0.2">
      <c r="K3716" s="8"/>
    </row>
    <row r="3717" spans="11:11" x14ac:dyDescent="0.2">
      <c r="K3717" s="8"/>
    </row>
    <row r="3718" spans="11:11" x14ac:dyDescent="0.2">
      <c r="K3718" s="8"/>
    </row>
    <row r="3719" spans="11:11" x14ac:dyDescent="0.2">
      <c r="K3719" s="8"/>
    </row>
    <row r="3720" spans="11:11" x14ac:dyDescent="0.2">
      <c r="K3720" s="8"/>
    </row>
    <row r="3721" spans="11:11" x14ac:dyDescent="0.2">
      <c r="K3721" s="8"/>
    </row>
    <row r="3722" spans="11:11" x14ac:dyDescent="0.2">
      <c r="K3722" s="8"/>
    </row>
    <row r="3723" spans="11:11" x14ac:dyDescent="0.2">
      <c r="K3723" s="8"/>
    </row>
    <row r="3724" spans="11:11" x14ac:dyDescent="0.2">
      <c r="K3724" s="8"/>
    </row>
    <row r="3725" spans="11:11" x14ac:dyDescent="0.2">
      <c r="K3725" s="8"/>
    </row>
    <row r="3726" spans="11:11" x14ac:dyDescent="0.2">
      <c r="K3726" s="8"/>
    </row>
    <row r="3727" spans="11:11" x14ac:dyDescent="0.2">
      <c r="K3727" s="8"/>
    </row>
    <row r="3728" spans="11:11" x14ac:dyDescent="0.2">
      <c r="K3728" s="8"/>
    </row>
    <row r="3729" spans="11:11" x14ac:dyDescent="0.2">
      <c r="K3729" s="8"/>
    </row>
    <row r="3730" spans="11:11" x14ac:dyDescent="0.2">
      <c r="K3730" s="8"/>
    </row>
    <row r="3731" spans="11:11" x14ac:dyDescent="0.2">
      <c r="K3731" s="8"/>
    </row>
    <row r="3732" spans="11:11" x14ac:dyDescent="0.2">
      <c r="K3732" s="8"/>
    </row>
    <row r="3733" spans="11:11" x14ac:dyDescent="0.2">
      <c r="K3733" s="8"/>
    </row>
    <row r="3734" spans="11:11" x14ac:dyDescent="0.2">
      <c r="K3734" s="8"/>
    </row>
    <row r="3735" spans="11:11" x14ac:dyDescent="0.2">
      <c r="K3735" s="8"/>
    </row>
    <row r="3736" spans="11:11" x14ac:dyDescent="0.2">
      <c r="K3736" s="8"/>
    </row>
    <row r="3737" spans="11:11" x14ac:dyDescent="0.2">
      <c r="K3737" s="8"/>
    </row>
    <row r="3738" spans="11:11" x14ac:dyDescent="0.2">
      <c r="K3738" s="8"/>
    </row>
    <row r="3739" spans="11:11" x14ac:dyDescent="0.2">
      <c r="K3739" s="8"/>
    </row>
    <row r="3740" spans="11:11" x14ac:dyDescent="0.2">
      <c r="K3740" s="8"/>
    </row>
    <row r="3741" spans="11:11" x14ac:dyDescent="0.2">
      <c r="K3741" s="8"/>
    </row>
    <row r="3742" spans="11:11" x14ac:dyDescent="0.2">
      <c r="K3742" s="8"/>
    </row>
    <row r="3743" spans="11:11" x14ac:dyDescent="0.2">
      <c r="K3743" s="8"/>
    </row>
    <row r="3744" spans="11:11" x14ac:dyDescent="0.2">
      <c r="K3744" s="8"/>
    </row>
    <row r="3745" spans="11:11" x14ac:dyDescent="0.2">
      <c r="K3745" s="8"/>
    </row>
    <row r="3746" spans="11:11" x14ac:dyDescent="0.2">
      <c r="K3746" s="8"/>
    </row>
    <row r="3747" spans="11:11" x14ac:dyDescent="0.2">
      <c r="K3747" s="8"/>
    </row>
    <row r="3748" spans="11:11" x14ac:dyDescent="0.2">
      <c r="K3748" s="8"/>
    </row>
    <row r="3749" spans="11:11" x14ac:dyDescent="0.2">
      <c r="K3749" s="8"/>
    </row>
    <row r="3750" spans="11:11" x14ac:dyDescent="0.2">
      <c r="K3750" s="8"/>
    </row>
    <row r="3751" spans="11:11" x14ac:dyDescent="0.2">
      <c r="K3751" s="8"/>
    </row>
    <row r="3752" spans="11:11" x14ac:dyDescent="0.2">
      <c r="K3752" s="8"/>
    </row>
    <row r="3753" spans="11:11" x14ac:dyDescent="0.2">
      <c r="K3753" s="8"/>
    </row>
    <row r="3754" spans="11:11" x14ac:dyDescent="0.2">
      <c r="K3754" s="8"/>
    </row>
    <row r="3755" spans="11:11" x14ac:dyDescent="0.2">
      <c r="K3755" s="8"/>
    </row>
    <row r="3756" spans="11:11" x14ac:dyDescent="0.2">
      <c r="K3756" s="8"/>
    </row>
    <row r="3757" spans="11:11" x14ac:dyDescent="0.2">
      <c r="K3757" s="8"/>
    </row>
    <row r="3758" spans="11:11" x14ac:dyDescent="0.2">
      <c r="K3758" s="8"/>
    </row>
    <row r="3759" spans="11:11" x14ac:dyDescent="0.2">
      <c r="K3759" s="8"/>
    </row>
    <row r="3760" spans="11:11" x14ac:dyDescent="0.2">
      <c r="K3760" s="8"/>
    </row>
    <row r="3761" spans="11:11" x14ac:dyDescent="0.2">
      <c r="K3761" s="8"/>
    </row>
    <row r="3762" spans="11:11" x14ac:dyDescent="0.2">
      <c r="K3762" s="8"/>
    </row>
    <row r="3763" spans="11:11" x14ac:dyDescent="0.2">
      <c r="K3763" s="8"/>
    </row>
    <row r="3764" spans="11:11" x14ac:dyDescent="0.2">
      <c r="K3764" s="8"/>
    </row>
    <row r="3765" spans="11:11" x14ac:dyDescent="0.2">
      <c r="K3765" s="8"/>
    </row>
    <row r="3766" spans="11:11" x14ac:dyDescent="0.2">
      <c r="K3766" s="8"/>
    </row>
    <row r="3767" spans="11:11" x14ac:dyDescent="0.2">
      <c r="K3767" s="8"/>
    </row>
    <row r="3768" spans="11:11" x14ac:dyDescent="0.2">
      <c r="K3768" s="8"/>
    </row>
    <row r="3769" spans="11:11" x14ac:dyDescent="0.2">
      <c r="K3769" s="8"/>
    </row>
    <row r="3770" spans="11:11" x14ac:dyDescent="0.2">
      <c r="K3770" s="8"/>
    </row>
    <row r="3771" spans="11:11" x14ac:dyDescent="0.2">
      <c r="K3771" s="8"/>
    </row>
    <row r="3772" spans="11:11" x14ac:dyDescent="0.2">
      <c r="K3772" s="8"/>
    </row>
    <row r="3773" spans="11:11" x14ac:dyDescent="0.2">
      <c r="K3773" s="8"/>
    </row>
    <row r="3774" spans="11:11" x14ac:dyDescent="0.2">
      <c r="K3774" s="8"/>
    </row>
    <row r="3775" spans="11:11" x14ac:dyDescent="0.2">
      <c r="K3775" s="8"/>
    </row>
    <row r="3776" spans="11:11" x14ac:dyDescent="0.2">
      <c r="K3776" s="8"/>
    </row>
    <row r="3777" spans="11:11" x14ac:dyDescent="0.2">
      <c r="K3777" s="8"/>
    </row>
    <row r="3778" spans="11:11" x14ac:dyDescent="0.2">
      <c r="K3778" s="8"/>
    </row>
    <row r="3779" spans="11:11" x14ac:dyDescent="0.2">
      <c r="K3779" s="8"/>
    </row>
    <row r="3780" spans="11:11" x14ac:dyDescent="0.2">
      <c r="K3780" s="8"/>
    </row>
    <row r="3781" spans="11:11" x14ac:dyDescent="0.2">
      <c r="K3781" s="8"/>
    </row>
    <row r="3782" spans="11:11" x14ac:dyDescent="0.2">
      <c r="K3782" s="8"/>
    </row>
    <row r="3783" spans="11:11" x14ac:dyDescent="0.2">
      <c r="K3783" s="8"/>
    </row>
    <row r="3784" spans="11:11" x14ac:dyDescent="0.2">
      <c r="K3784" s="8"/>
    </row>
    <row r="3785" spans="11:11" x14ac:dyDescent="0.2">
      <c r="K3785" s="8"/>
    </row>
    <row r="3786" spans="11:11" x14ac:dyDescent="0.2">
      <c r="K3786" s="8"/>
    </row>
    <row r="3787" spans="11:11" x14ac:dyDescent="0.2">
      <c r="K3787" s="8"/>
    </row>
    <row r="3788" spans="11:11" x14ac:dyDescent="0.2">
      <c r="K3788" s="8"/>
    </row>
    <row r="3789" spans="11:11" x14ac:dyDescent="0.2">
      <c r="K3789" s="8"/>
    </row>
    <row r="3790" spans="11:11" x14ac:dyDescent="0.2">
      <c r="K3790" s="8"/>
    </row>
    <row r="3791" spans="11:11" x14ac:dyDescent="0.2">
      <c r="K3791" s="8"/>
    </row>
    <row r="3792" spans="11:11" x14ac:dyDescent="0.2">
      <c r="K3792" s="8"/>
    </row>
    <row r="3793" spans="11:11" x14ac:dyDescent="0.2">
      <c r="K3793" s="8"/>
    </row>
    <row r="3794" spans="11:11" x14ac:dyDescent="0.2">
      <c r="K3794" s="8"/>
    </row>
    <row r="3795" spans="11:11" x14ac:dyDescent="0.2">
      <c r="K3795" s="8"/>
    </row>
    <row r="3796" spans="11:11" x14ac:dyDescent="0.2">
      <c r="K3796" s="8"/>
    </row>
    <row r="3797" spans="11:11" x14ac:dyDescent="0.2">
      <c r="K3797" s="8"/>
    </row>
    <row r="3798" spans="11:11" x14ac:dyDescent="0.2">
      <c r="K3798" s="8"/>
    </row>
    <row r="3799" spans="11:11" x14ac:dyDescent="0.2">
      <c r="K3799" s="8"/>
    </row>
    <row r="3800" spans="11:11" x14ac:dyDescent="0.2">
      <c r="K3800" s="8"/>
    </row>
    <row r="3801" spans="11:11" x14ac:dyDescent="0.2">
      <c r="K3801" s="8"/>
    </row>
    <row r="3802" spans="11:11" x14ac:dyDescent="0.2">
      <c r="K3802" s="8"/>
    </row>
    <row r="3803" spans="11:11" x14ac:dyDescent="0.2">
      <c r="K3803" s="8"/>
    </row>
    <row r="3804" spans="11:11" x14ac:dyDescent="0.2">
      <c r="K3804" s="8"/>
    </row>
    <row r="3805" spans="11:11" x14ac:dyDescent="0.2">
      <c r="K3805" s="8"/>
    </row>
    <row r="3806" spans="11:11" x14ac:dyDescent="0.2">
      <c r="K3806" s="8"/>
    </row>
    <row r="3807" spans="11:11" x14ac:dyDescent="0.2">
      <c r="K3807" s="8"/>
    </row>
    <row r="3808" spans="11:11" x14ac:dyDescent="0.2">
      <c r="K3808" s="8"/>
    </row>
    <row r="3809" spans="11:11" x14ac:dyDescent="0.2">
      <c r="K3809" s="8"/>
    </row>
    <row r="3810" spans="11:11" x14ac:dyDescent="0.2">
      <c r="K3810" s="8"/>
    </row>
    <row r="3811" spans="11:11" x14ac:dyDescent="0.2">
      <c r="K3811" s="8"/>
    </row>
    <row r="3812" spans="11:11" x14ac:dyDescent="0.2">
      <c r="K3812" s="8"/>
    </row>
    <row r="3813" spans="11:11" x14ac:dyDescent="0.2">
      <c r="K3813" s="8"/>
    </row>
    <row r="3814" spans="11:11" x14ac:dyDescent="0.2">
      <c r="K3814" s="8"/>
    </row>
    <row r="3815" spans="11:11" x14ac:dyDescent="0.2">
      <c r="K3815" s="8"/>
    </row>
    <row r="3816" spans="11:11" x14ac:dyDescent="0.2">
      <c r="K3816" s="8"/>
    </row>
    <row r="3817" spans="11:11" x14ac:dyDescent="0.2">
      <c r="K3817" s="8"/>
    </row>
    <row r="3818" spans="11:11" x14ac:dyDescent="0.2">
      <c r="K3818" s="8"/>
    </row>
    <row r="3819" spans="11:11" x14ac:dyDescent="0.2">
      <c r="K3819" s="8"/>
    </row>
    <row r="3820" spans="11:11" x14ac:dyDescent="0.2">
      <c r="K3820" s="8"/>
    </row>
    <row r="3821" spans="11:11" x14ac:dyDescent="0.2">
      <c r="K3821" s="8"/>
    </row>
    <row r="3822" spans="11:11" x14ac:dyDescent="0.2">
      <c r="K3822" s="8"/>
    </row>
    <row r="3823" spans="11:11" x14ac:dyDescent="0.2">
      <c r="K3823" s="8"/>
    </row>
    <row r="3824" spans="11:11" x14ac:dyDescent="0.2">
      <c r="K3824" s="8"/>
    </row>
    <row r="3825" spans="11:11" x14ac:dyDescent="0.2">
      <c r="K3825" s="8"/>
    </row>
    <row r="3826" spans="11:11" x14ac:dyDescent="0.2">
      <c r="K3826" s="8"/>
    </row>
    <row r="3827" spans="11:11" x14ac:dyDescent="0.2">
      <c r="K3827" s="8"/>
    </row>
    <row r="3828" spans="11:11" x14ac:dyDescent="0.2">
      <c r="K3828" s="8"/>
    </row>
    <row r="3829" spans="11:11" x14ac:dyDescent="0.2">
      <c r="K3829" s="8"/>
    </row>
    <row r="3830" spans="11:11" x14ac:dyDescent="0.2">
      <c r="K3830" s="8"/>
    </row>
    <row r="3831" spans="11:11" x14ac:dyDescent="0.2">
      <c r="K3831" s="8"/>
    </row>
    <row r="3832" spans="11:11" x14ac:dyDescent="0.2">
      <c r="K3832" s="8"/>
    </row>
    <row r="3833" spans="11:11" x14ac:dyDescent="0.2">
      <c r="K3833" s="8"/>
    </row>
    <row r="3834" spans="11:11" x14ac:dyDescent="0.2">
      <c r="K3834" s="8"/>
    </row>
    <row r="3835" spans="11:11" x14ac:dyDescent="0.2">
      <c r="K3835" s="8"/>
    </row>
    <row r="3836" spans="11:11" x14ac:dyDescent="0.2">
      <c r="K3836" s="8"/>
    </row>
    <row r="3837" spans="11:11" x14ac:dyDescent="0.2">
      <c r="K3837" s="8"/>
    </row>
    <row r="3838" spans="11:11" x14ac:dyDescent="0.2">
      <c r="K3838" s="8"/>
    </row>
    <row r="3839" spans="11:11" x14ac:dyDescent="0.2">
      <c r="K3839" s="8"/>
    </row>
    <row r="3840" spans="11:11" x14ac:dyDescent="0.2">
      <c r="K3840" s="8"/>
    </row>
    <row r="3841" spans="11:11" x14ac:dyDescent="0.2">
      <c r="K3841" s="8"/>
    </row>
    <row r="3842" spans="11:11" x14ac:dyDescent="0.2">
      <c r="K3842" s="8"/>
    </row>
    <row r="3843" spans="11:11" x14ac:dyDescent="0.2">
      <c r="K3843" s="8"/>
    </row>
    <row r="3844" spans="11:11" x14ac:dyDescent="0.2">
      <c r="K3844" s="8"/>
    </row>
    <row r="3845" spans="11:11" x14ac:dyDescent="0.2">
      <c r="K3845" s="8"/>
    </row>
    <row r="3846" spans="11:11" x14ac:dyDescent="0.2">
      <c r="K3846" s="8"/>
    </row>
    <row r="3847" spans="11:11" x14ac:dyDescent="0.2">
      <c r="K3847" s="8"/>
    </row>
    <row r="3848" spans="11:11" x14ac:dyDescent="0.2">
      <c r="K3848" s="8"/>
    </row>
    <row r="3849" spans="11:11" x14ac:dyDescent="0.2">
      <c r="K3849" s="8"/>
    </row>
    <row r="3850" spans="11:11" x14ac:dyDescent="0.2">
      <c r="K3850" s="8"/>
    </row>
    <row r="3851" spans="11:11" x14ac:dyDescent="0.2">
      <c r="K3851" s="8"/>
    </row>
    <row r="3852" spans="11:11" x14ac:dyDescent="0.2">
      <c r="K3852" s="8"/>
    </row>
    <row r="3853" spans="11:11" x14ac:dyDescent="0.2">
      <c r="K3853" s="8"/>
    </row>
    <row r="3854" spans="11:11" x14ac:dyDescent="0.2">
      <c r="K3854" s="8"/>
    </row>
    <row r="3855" spans="11:11" x14ac:dyDescent="0.2">
      <c r="K3855" s="8"/>
    </row>
    <row r="3856" spans="11:11" x14ac:dyDescent="0.2">
      <c r="K3856" s="8"/>
    </row>
    <row r="3857" spans="11:11" x14ac:dyDescent="0.2">
      <c r="K3857" s="8"/>
    </row>
    <row r="3858" spans="11:11" x14ac:dyDescent="0.2">
      <c r="K3858" s="8"/>
    </row>
    <row r="3859" spans="11:11" x14ac:dyDescent="0.2">
      <c r="K3859" s="8"/>
    </row>
    <row r="3860" spans="11:11" x14ac:dyDescent="0.2">
      <c r="K3860" s="8"/>
    </row>
    <row r="3861" spans="11:11" x14ac:dyDescent="0.2">
      <c r="K3861" s="8"/>
    </row>
    <row r="3862" spans="11:11" x14ac:dyDescent="0.2">
      <c r="K3862" s="8"/>
    </row>
    <row r="3863" spans="11:11" x14ac:dyDescent="0.2">
      <c r="K3863" s="8"/>
    </row>
    <row r="3864" spans="11:11" x14ac:dyDescent="0.2">
      <c r="K3864" s="8"/>
    </row>
    <row r="3865" spans="11:11" x14ac:dyDescent="0.2">
      <c r="K3865" s="8"/>
    </row>
    <row r="3866" spans="11:11" x14ac:dyDescent="0.2">
      <c r="K3866" s="8"/>
    </row>
    <row r="3867" spans="11:11" x14ac:dyDescent="0.2">
      <c r="K3867" s="8"/>
    </row>
    <row r="3868" spans="11:11" x14ac:dyDescent="0.2">
      <c r="K3868" s="8"/>
    </row>
    <row r="3869" spans="11:11" x14ac:dyDescent="0.2">
      <c r="K3869" s="8"/>
    </row>
    <row r="3870" spans="11:11" x14ac:dyDescent="0.2">
      <c r="K3870" s="8"/>
    </row>
    <row r="3871" spans="11:11" x14ac:dyDescent="0.2">
      <c r="K3871" s="8"/>
    </row>
    <row r="3872" spans="11:11" x14ac:dyDescent="0.2">
      <c r="K3872" s="8"/>
    </row>
    <row r="3873" spans="11:11" x14ac:dyDescent="0.2">
      <c r="K3873" s="8"/>
    </row>
    <row r="3874" spans="11:11" x14ac:dyDescent="0.2">
      <c r="K3874" s="8"/>
    </row>
    <row r="3875" spans="11:11" x14ac:dyDescent="0.2">
      <c r="K3875" s="8"/>
    </row>
    <row r="3876" spans="11:11" x14ac:dyDescent="0.2">
      <c r="K3876" s="8"/>
    </row>
    <row r="3877" spans="11:11" x14ac:dyDescent="0.2">
      <c r="K3877" s="8"/>
    </row>
    <row r="3878" spans="11:11" x14ac:dyDescent="0.2">
      <c r="K3878" s="8"/>
    </row>
    <row r="3879" spans="11:11" x14ac:dyDescent="0.2">
      <c r="K3879" s="8"/>
    </row>
    <row r="3880" spans="11:11" x14ac:dyDescent="0.2">
      <c r="K3880" s="8"/>
    </row>
    <row r="3881" spans="11:11" x14ac:dyDescent="0.2">
      <c r="K3881" s="8"/>
    </row>
    <row r="3882" spans="11:11" x14ac:dyDescent="0.2">
      <c r="K3882" s="8"/>
    </row>
    <row r="3883" spans="11:11" x14ac:dyDescent="0.2">
      <c r="K3883" s="8"/>
    </row>
    <row r="3884" spans="11:11" x14ac:dyDescent="0.2">
      <c r="K3884" s="8"/>
    </row>
    <row r="3885" spans="11:11" x14ac:dyDescent="0.2">
      <c r="K3885" s="8"/>
    </row>
    <row r="3886" spans="11:11" x14ac:dyDescent="0.2">
      <c r="K3886" s="8"/>
    </row>
    <row r="3887" spans="11:11" x14ac:dyDescent="0.2">
      <c r="K3887" s="8"/>
    </row>
    <row r="3888" spans="11:11" x14ac:dyDescent="0.2">
      <c r="K3888" s="8"/>
    </row>
    <row r="3889" spans="11:11" x14ac:dyDescent="0.2">
      <c r="K3889" s="8"/>
    </row>
    <row r="3890" spans="11:11" x14ac:dyDescent="0.2">
      <c r="K3890" s="8"/>
    </row>
    <row r="3891" spans="11:11" x14ac:dyDescent="0.2">
      <c r="K3891" s="8"/>
    </row>
    <row r="3892" spans="11:11" x14ac:dyDescent="0.2">
      <c r="K3892" s="8"/>
    </row>
    <row r="3893" spans="11:11" x14ac:dyDescent="0.2">
      <c r="K3893" s="8"/>
    </row>
    <row r="3894" spans="11:11" x14ac:dyDescent="0.2">
      <c r="K3894" s="8"/>
    </row>
    <row r="3895" spans="11:11" x14ac:dyDescent="0.2">
      <c r="K3895" s="8"/>
    </row>
    <row r="3896" spans="11:11" x14ac:dyDescent="0.2">
      <c r="K3896" s="8"/>
    </row>
    <row r="3897" spans="11:11" x14ac:dyDescent="0.2">
      <c r="K3897" s="8"/>
    </row>
    <row r="3898" spans="11:11" x14ac:dyDescent="0.2">
      <c r="K3898" s="8"/>
    </row>
    <row r="3899" spans="11:11" x14ac:dyDescent="0.2">
      <c r="K3899" s="8"/>
    </row>
    <row r="3900" spans="11:11" x14ac:dyDescent="0.2">
      <c r="K3900" s="8"/>
    </row>
    <row r="3901" spans="11:11" x14ac:dyDescent="0.2">
      <c r="K3901" s="8"/>
    </row>
    <row r="3902" spans="11:11" x14ac:dyDescent="0.2">
      <c r="K3902" s="8"/>
    </row>
    <row r="3903" spans="11:11" x14ac:dyDescent="0.2">
      <c r="K3903" s="8"/>
    </row>
    <row r="3904" spans="11:11" x14ac:dyDescent="0.2">
      <c r="K3904" s="8"/>
    </row>
    <row r="3905" spans="11:11" x14ac:dyDescent="0.2">
      <c r="K3905" s="8"/>
    </row>
    <row r="3906" spans="11:11" x14ac:dyDescent="0.2">
      <c r="K3906" s="8"/>
    </row>
    <row r="3907" spans="11:11" x14ac:dyDescent="0.2">
      <c r="K3907" s="8"/>
    </row>
    <row r="3908" spans="11:11" x14ac:dyDescent="0.2">
      <c r="K3908" s="8"/>
    </row>
    <row r="3909" spans="11:11" x14ac:dyDescent="0.2">
      <c r="K3909" s="8"/>
    </row>
    <row r="3910" spans="11:11" x14ac:dyDescent="0.2">
      <c r="K3910" s="8"/>
    </row>
    <row r="3911" spans="11:11" x14ac:dyDescent="0.2">
      <c r="K3911" s="8"/>
    </row>
    <row r="3912" spans="11:11" x14ac:dyDescent="0.2">
      <c r="K3912" s="8"/>
    </row>
    <row r="3913" spans="11:11" x14ac:dyDescent="0.2">
      <c r="K3913" s="8"/>
    </row>
    <row r="3914" spans="11:11" x14ac:dyDescent="0.2">
      <c r="K3914" s="8"/>
    </row>
    <row r="3915" spans="11:11" x14ac:dyDescent="0.2">
      <c r="K3915" s="8"/>
    </row>
    <row r="3916" spans="11:11" x14ac:dyDescent="0.2">
      <c r="K3916" s="8"/>
    </row>
    <row r="3917" spans="11:11" x14ac:dyDescent="0.2">
      <c r="K3917" s="8"/>
    </row>
    <row r="3918" spans="11:11" x14ac:dyDescent="0.2">
      <c r="K3918" s="8"/>
    </row>
    <row r="3919" spans="11:11" x14ac:dyDescent="0.2">
      <c r="K3919" s="8"/>
    </row>
    <row r="3920" spans="11:11" x14ac:dyDescent="0.2">
      <c r="K3920" s="8"/>
    </row>
    <row r="3921" spans="11:11" x14ac:dyDescent="0.2">
      <c r="K3921" s="8"/>
    </row>
    <row r="3922" spans="11:11" x14ac:dyDescent="0.2">
      <c r="K3922" s="8"/>
    </row>
    <row r="3923" spans="11:11" x14ac:dyDescent="0.2">
      <c r="K3923" s="8"/>
    </row>
    <row r="3924" spans="11:11" x14ac:dyDescent="0.2">
      <c r="K3924" s="8"/>
    </row>
    <row r="3925" spans="11:11" x14ac:dyDescent="0.2">
      <c r="K3925" s="8"/>
    </row>
    <row r="3926" spans="11:11" x14ac:dyDescent="0.2">
      <c r="K3926" s="8"/>
    </row>
    <row r="3927" spans="11:11" x14ac:dyDescent="0.2">
      <c r="K3927" s="8"/>
    </row>
    <row r="3928" spans="11:11" x14ac:dyDescent="0.2">
      <c r="K3928" s="8"/>
    </row>
    <row r="3929" spans="11:11" x14ac:dyDescent="0.2">
      <c r="K3929" s="8"/>
    </row>
    <row r="3930" spans="11:11" x14ac:dyDescent="0.2">
      <c r="K3930" s="8"/>
    </row>
    <row r="3931" spans="11:11" x14ac:dyDescent="0.2">
      <c r="K3931" s="8"/>
    </row>
    <row r="3932" spans="11:11" x14ac:dyDescent="0.2">
      <c r="K3932" s="8"/>
    </row>
    <row r="3933" spans="11:11" x14ac:dyDescent="0.2">
      <c r="K3933" s="8"/>
    </row>
    <row r="3934" spans="11:11" x14ac:dyDescent="0.2">
      <c r="K3934" s="8"/>
    </row>
    <row r="3935" spans="11:11" x14ac:dyDescent="0.2">
      <c r="K3935" s="8"/>
    </row>
    <row r="3936" spans="11:11" x14ac:dyDescent="0.2">
      <c r="K3936" s="8"/>
    </row>
    <row r="3937" spans="11:11" x14ac:dyDescent="0.2">
      <c r="K3937" s="8"/>
    </row>
    <row r="3938" spans="11:11" x14ac:dyDescent="0.2">
      <c r="K3938" s="8"/>
    </row>
    <row r="3939" spans="11:11" x14ac:dyDescent="0.2">
      <c r="K3939" s="8"/>
    </row>
    <row r="3940" spans="11:11" x14ac:dyDescent="0.2">
      <c r="K3940" s="8"/>
    </row>
    <row r="3941" spans="11:11" x14ac:dyDescent="0.2">
      <c r="K3941" s="8"/>
    </row>
    <row r="3942" spans="11:11" x14ac:dyDescent="0.2">
      <c r="K3942" s="8"/>
    </row>
    <row r="3943" spans="11:11" x14ac:dyDescent="0.2">
      <c r="K3943" s="8"/>
    </row>
    <row r="3944" spans="11:11" x14ac:dyDescent="0.2">
      <c r="K3944" s="8"/>
    </row>
    <row r="3945" spans="11:11" x14ac:dyDescent="0.2">
      <c r="K3945" s="8"/>
    </row>
    <row r="3946" spans="11:11" x14ac:dyDescent="0.2">
      <c r="K3946" s="8"/>
    </row>
    <row r="3947" spans="11:11" x14ac:dyDescent="0.2">
      <c r="K3947" s="8"/>
    </row>
    <row r="3948" spans="11:11" x14ac:dyDescent="0.2">
      <c r="K3948" s="8"/>
    </row>
    <row r="3949" spans="11:11" x14ac:dyDescent="0.2">
      <c r="K3949" s="8"/>
    </row>
    <row r="3950" spans="11:11" x14ac:dyDescent="0.2">
      <c r="K3950" s="8"/>
    </row>
    <row r="3951" spans="11:11" x14ac:dyDescent="0.2">
      <c r="K3951" s="8"/>
    </row>
    <row r="3952" spans="11:11" x14ac:dyDescent="0.2">
      <c r="K3952" s="8"/>
    </row>
    <row r="3953" spans="11:11" x14ac:dyDescent="0.2">
      <c r="K3953" s="8"/>
    </row>
    <row r="3954" spans="11:11" x14ac:dyDescent="0.2">
      <c r="K3954" s="8"/>
    </row>
    <row r="3955" spans="11:11" x14ac:dyDescent="0.2">
      <c r="K3955" s="8"/>
    </row>
    <row r="3956" spans="11:11" x14ac:dyDescent="0.2">
      <c r="K3956" s="8"/>
    </row>
    <row r="3957" spans="11:11" x14ac:dyDescent="0.2">
      <c r="K3957" s="8"/>
    </row>
    <row r="3958" spans="11:11" x14ac:dyDescent="0.2">
      <c r="K3958" s="8"/>
    </row>
    <row r="3959" spans="11:11" x14ac:dyDescent="0.2">
      <c r="K3959" s="8"/>
    </row>
    <row r="3960" spans="11:11" x14ac:dyDescent="0.2">
      <c r="K3960" s="8"/>
    </row>
    <row r="3961" spans="11:11" x14ac:dyDescent="0.2">
      <c r="K3961" s="8"/>
    </row>
    <row r="3962" spans="11:11" x14ac:dyDescent="0.2">
      <c r="K3962" s="8"/>
    </row>
    <row r="3963" spans="11:11" x14ac:dyDescent="0.2">
      <c r="K3963" s="8"/>
    </row>
    <row r="3964" spans="11:11" x14ac:dyDescent="0.2">
      <c r="K3964" s="8"/>
    </row>
    <row r="3965" spans="11:11" x14ac:dyDescent="0.2">
      <c r="K3965" s="8"/>
    </row>
    <row r="3966" spans="11:11" x14ac:dyDescent="0.2">
      <c r="K3966" s="8"/>
    </row>
    <row r="3967" spans="11:11" x14ac:dyDescent="0.2">
      <c r="K3967" s="8"/>
    </row>
    <row r="3968" spans="11:11" x14ac:dyDescent="0.2">
      <c r="K3968" s="8"/>
    </row>
    <row r="3969" spans="11:11" x14ac:dyDescent="0.2">
      <c r="K3969" s="8"/>
    </row>
    <row r="3970" spans="11:11" x14ac:dyDescent="0.2">
      <c r="K3970" s="8"/>
    </row>
    <row r="3971" spans="11:11" x14ac:dyDescent="0.2">
      <c r="K3971" s="8"/>
    </row>
    <row r="3972" spans="11:11" x14ac:dyDescent="0.2">
      <c r="K3972" s="8"/>
    </row>
    <row r="3973" spans="11:11" x14ac:dyDescent="0.2">
      <c r="K3973" s="8"/>
    </row>
    <row r="3974" spans="11:11" x14ac:dyDescent="0.2">
      <c r="K3974" s="8"/>
    </row>
    <row r="3975" spans="11:11" x14ac:dyDescent="0.2">
      <c r="K3975" s="8"/>
    </row>
    <row r="3976" spans="11:11" x14ac:dyDescent="0.2">
      <c r="K3976" s="8"/>
    </row>
    <row r="3977" spans="11:11" x14ac:dyDescent="0.2">
      <c r="K3977" s="8"/>
    </row>
    <row r="3978" spans="11:11" x14ac:dyDescent="0.2">
      <c r="K3978" s="8"/>
    </row>
    <row r="3979" spans="11:11" x14ac:dyDescent="0.2">
      <c r="K3979" s="8"/>
    </row>
    <row r="3980" spans="11:11" x14ac:dyDescent="0.2">
      <c r="K3980" s="8"/>
    </row>
    <row r="3981" spans="11:11" x14ac:dyDescent="0.2">
      <c r="K3981" s="8"/>
    </row>
    <row r="3982" spans="11:11" x14ac:dyDescent="0.2">
      <c r="K3982" s="8"/>
    </row>
    <row r="3983" spans="11:11" x14ac:dyDescent="0.2">
      <c r="K3983" s="8"/>
    </row>
    <row r="3984" spans="11:11" x14ac:dyDescent="0.2">
      <c r="K3984" s="8"/>
    </row>
    <row r="3985" spans="11:11" x14ac:dyDescent="0.2">
      <c r="K3985" s="8"/>
    </row>
    <row r="3986" spans="11:11" x14ac:dyDescent="0.2">
      <c r="K3986" s="8"/>
    </row>
    <row r="3987" spans="11:11" x14ac:dyDescent="0.2">
      <c r="K3987" s="8"/>
    </row>
    <row r="3988" spans="11:11" x14ac:dyDescent="0.2">
      <c r="K3988" s="8"/>
    </row>
    <row r="3989" spans="11:11" x14ac:dyDescent="0.2">
      <c r="K3989" s="8"/>
    </row>
    <row r="3990" spans="11:11" x14ac:dyDescent="0.2">
      <c r="K3990" s="8"/>
    </row>
    <row r="3991" spans="11:11" x14ac:dyDescent="0.2">
      <c r="K3991" s="8"/>
    </row>
    <row r="3992" spans="11:11" x14ac:dyDescent="0.2">
      <c r="K3992" s="8"/>
    </row>
    <row r="3993" spans="11:11" x14ac:dyDescent="0.2">
      <c r="K3993" s="8"/>
    </row>
    <row r="3994" spans="11:11" x14ac:dyDescent="0.2">
      <c r="K3994" s="8"/>
    </row>
    <row r="3995" spans="11:11" x14ac:dyDescent="0.2">
      <c r="K3995" s="8"/>
    </row>
    <row r="3996" spans="11:11" x14ac:dyDescent="0.2">
      <c r="K3996" s="8"/>
    </row>
    <row r="3997" spans="11:11" x14ac:dyDescent="0.2">
      <c r="K3997" s="8"/>
    </row>
    <row r="3998" spans="11:11" x14ac:dyDescent="0.2">
      <c r="K3998" s="8"/>
    </row>
    <row r="3999" spans="11:11" x14ac:dyDescent="0.2">
      <c r="K3999" s="8"/>
    </row>
    <row r="4000" spans="11:11" x14ac:dyDescent="0.2">
      <c r="K4000" s="8"/>
    </row>
    <row r="4001" spans="11:11" x14ac:dyDescent="0.2">
      <c r="K4001" s="8"/>
    </row>
    <row r="4002" spans="11:11" x14ac:dyDescent="0.2">
      <c r="K4002" s="8"/>
    </row>
    <row r="4003" spans="11:11" x14ac:dyDescent="0.2">
      <c r="K4003" s="8"/>
    </row>
    <row r="4004" spans="11:11" x14ac:dyDescent="0.2">
      <c r="K4004" s="8"/>
    </row>
    <row r="4005" spans="11:11" x14ac:dyDescent="0.2">
      <c r="K4005" s="8"/>
    </row>
    <row r="4006" spans="11:11" x14ac:dyDescent="0.2">
      <c r="K4006" s="8"/>
    </row>
    <row r="4007" spans="11:11" x14ac:dyDescent="0.2">
      <c r="K4007" s="8"/>
    </row>
    <row r="4008" spans="11:11" x14ac:dyDescent="0.2">
      <c r="K4008" s="8"/>
    </row>
    <row r="4009" spans="11:11" x14ac:dyDescent="0.2">
      <c r="K4009" s="8"/>
    </row>
    <row r="4010" spans="11:11" x14ac:dyDescent="0.2">
      <c r="K4010" s="8"/>
    </row>
    <row r="4011" spans="11:11" x14ac:dyDescent="0.2">
      <c r="K4011" s="8"/>
    </row>
    <row r="4012" spans="11:11" x14ac:dyDescent="0.2">
      <c r="K4012" s="8"/>
    </row>
    <row r="4013" spans="11:11" x14ac:dyDescent="0.2">
      <c r="K4013" s="8"/>
    </row>
    <row r="4014" spans="11:11" x14ac:dyDescent="0.2">
      <c r="K4014" s="8"/>
    </row>
    <row r="4015" spans="11:11" x14ac:dyDescent="0.2">
      <c r="K4015" s="8"/>
    </row>
    <row r="4016" spans="11:11" x14ac:dyDescent="0.2">
      <c r="K4016" s="8"/>
    </row>
    <row r="4017" spans="11:11" x14ac:dyDescent="0.2">
      <c r="K4017" s="8"/>
    </row>
    <row r="4018" spans="11:11" x14ac:dyDescent="0.2">
      <c r="K4018" s="8"/>
    </row>
    <row r="4019" spans="11:11" x14ac:dyDescent="0.2">
      <c r="K4019" s="8"/>
    </row>
    <row r="4020" spans="11:11" x14ac:dyDescent="0.2">
      <c r="K4020" s="8"/>
    </row>
    <row r="4021" spans="11:11" x14ac:dyDescent="0.2">
      <c r="K4021" s="8"/>
    </row>
    <row r="4022" spans="11:11" x14ac:dyDescent="0.2">
      <c r="K4022" s="8"/>
    </row>
    <row r="4023" spans="11:11" x14ac:dyDescent="0.2">
      <c r="K4023" s="8"/>
    </row>
    <row r="4024" spans="11:11" x14ac:dyDescent="0.2">
      <c r="K4024" s="8"/>
    </row>
    <row r="4025" spans="11:11" x14ac:dyDescent="0.2">
      <c r="K4025" s="8"/>
    </row>
    <row r="4026" spans="11:11" x14ac:dyDescent="0.2">
      <c r="K4026" s="8"/>
    </row>
    <row r="4027" spans="11:11" x14ac:dyDescent="0.2">
      <c r="K4027" s="8"/>
    </row>
    <row r="4028" spans="11:11" x14ac:dyDescent="0.2">
      <c r="K4028" s="8"/>
    </row>
    <row r="4029" spans="11:11" x14ac:dyDescent="0.2">
      <c r="K4029" s="8"/>
    </row>
    <row r="4030" spans="11:11" x14ac:dyDescent="0.2">
      <c r="K4030" s="8"/>
    </row>
    <row r="4031" spans="11:11" x14ac:dyDescent="0.2">
      <c r="K4031" s="8"/>
    </row>
    <row r="4032" spans="11:11" x14ac:dyDescent="0.2">
      <c r="K4032" s="8"/>
    </row>
    <row r="4033" spans="11:11" x14ac:dyDescent="0.2">
      <c r="K4033" s="8"/>
    </row>
    <row r="4034" spans="11:11" x14ac:dyDescent="0.2">
      <c r="K4034" s="8"/>
    </row>
    <row r="4035" spans="11:11" x14ac:dyDescent="0.2">
      <c r="K4035" s="8"/>
    </row>
    <row r="4036" spans="11:11" x14ac:dyDescent="0.2">
      <c r="K4036" s="8"/>
    </row>
    <row r="4037" spans="11:11" x14ac:dyDescent="0.2">
      <c r="K4037" s="8"/>
    </row>
    <row r="4038" spans="11:11" x14ac:dyDescent="0.2">
      <c r="K4038" s="8"/>
    </row>
    <row r="4039" spans="11:11" x14ac:dyDescent="0.2">
      <c r="K4039" s="8"/>
    </row>
    <row r="4040" spans="11:11" x14ac:dyDescent="0.2">
      <c r="K4040" s="8"/>
    </row>
    <row r="4041" spans="11:11" x14ac:dyDescent="0.2">
      <c r="K4041" s="8"/>
    </row>
    <row r="4042" spans="11:11" x14ac:dyDescent="0.2">
      <c r="K4042" s="8"/>
    </row>
    <row r="4043" spans="11:11" x14ac:dyDescent="0.2">
      <c r="K4043" s="8"/>
    </row>
    <row r="4044" spans="11:11" x14ac:dyDescent="0.2">
      <c r="K4044" s="8"/>
    </row>
    <row r="4045" spans="11:11" x14ac:dyDescent="0.2">
      <c r="K4045" s="8"/>
    </row>
    <row r="4046" spans="11:11" x14ac:dyDescent="0.2">
      <c r="K4046" s="8"/>
    </row>
    <row r="4047" spans="11:11" x14ac:dyDescent="0.2">
      <c r="K4047" s="8"/>
    </row>
    <row r="4048" spans="11:11" x14ac:dyDescent="0.2">
      <c r="K4048" s="8"/>
    </row>
    <row r="4049" spans="11:11" x14ac:dyDescent="0.2">
      <c r="K4049" s="8"/>
    </row>
    <row r="4050" spans="11:11" x14ac:dyDescent="0.2">
      <c r="K4050" s="8"/>
    </row>
    <row r="4051" spans="11:11" x14ac:dyDescent="0.2">
      <c r="K4051" s="8"/>
    </row>
    <row r="4052" spans="11:11" x14ac:dyDescent="0.2">
      <c r="K4052" s="8"/>
    </row>
    <row r="4053" spans="11:11" x14ac:dyDescent="0.2">
      <c r="K4053" s="8"/>
    </row>
    <row r="4054" spans="11:11" x14ac:dyDescent="0.2">
      <c r="K4054" s="8"/>
    </row>
    <row r="4055" spans="11:11" x14ac:dyDescent="0.2">
      <c r="K4055" s="8"/>
    </row>
    <row r="4056" spans="11:11" x14ac:dyDescent="0.2">
      <c r="K4056" s="8"/>
    </row>
    <row r="4057" spans="11:11" x14ac:dyDescent="0.2">
      <c r="K4057" s="8"/>
    </row>
    <row r="4058" spans="11:11" x14ac:dyDescent="0.2">
      <c r="K4058" s="8"/>
    </row>
    <row r="4059" spans="11:11" x14ac:dyDescent="0.2">
      <c r="K4059" s="8"/>
    </row>
    <row r="4060" spans="11:11" x14ac:dyDescent="0.2">
      <c r="K4060" s="8"/>
    </row>
    <row r="4061" spans="11:11" x14ac:dyDescent="0.2">
      <c r="K4061" s="8"/>
    </row>
    <row r="4062" spans="11:11" x14ac:dyDescent="0.2">
      <c r="K4062" s="8"/>
    </row>
    <row r="4063" spans="11:11" x14ac:dyDescent="0.2">
      <c r="K4063" s="8"/>
    </row>
    <row r="4064" spans="11:11" x14ac:dyDescent="0.2">
      <c r="K4064" s="8"/>
    </row>
    <row r="4065" spans="11:11" x14ac:dyDescent="0.2">
      <c r="K4065" s="8"/>
    </row>
    <row r="4066" spans="11:11" x14ac:dyDescent="0.2">
      <c r="K4066" s="8"/>
    </row>
    <row r="4067" spans="11:11" x14ac:dyDescent="0.2">
      <c r="K4067" s="8"/>
    </row>
    <row r="4068" spans="11:11" x14ac:dyDescent="0.2">
      <c r="K4068" s="8"/>
    </row>
    <row r="4069" spans="11:11" x14ac:dyDescent="0.2">
      <c r="K4069" s="8"/>
    </row>
    <row r="4070" spans="11:11" x14ac:dyDescent="0.2">
      <c r="K4070" s="8"/>
    </row>
    <row r="4071" spans="11:11" x14ac:dyDescent="0.2">
      <c r="K4071" s="8"/>
    </row>
    <row r="4072" spans="11:11" x14ac:dyDescent="0.2">
      <c r="K4072" s="8"/>
    </row>
    <row r="4073" spans="11:11" x14ac:dyDescent="0.2">
      <c r="K4073" s="8"/>
    </row>
    <row r="4074" spans="11:11" x14ac:dyDescent="0.2">
      <c r="K4074" s="8"/>
    </row>
    <row r="4075" spans="11:11" x14ac:dyDescent="0.2">
      <c r="K4075" s="8"/>
    </row>
    <row r="4076" spans="11:11" x14ac:dyDescent="0.2">
      <c r="K4076" s="8"/>
    </row>
    <row r="4077" spans="11:11" x14ac:dyDescent="0.2">
      <c r="K4077" s="8"/>
    </row>
    <row r="4078" spans="11:11" x14ac:dyDescent="0.2">
      <c r="K4078" s="8"/>
    </row>
    <row r="4079" spans="11:11" x14ac:dyDescent="0.2">
      <c r="K4079" s="8"/>
    </row>
    <row r="4080" spans="11:11" x14ac:dyDescent="0.2">
      <c r="K4080" s="8"/>
    </row>
    <row r="4081" spans="11:11" x14ac:dyDescent="0.2">
      <c r="K4081" s="8"/>
    </row>
    <row r="4082" spans="11:11" x14ac:dyDescent="0.2">
      <c r="K4082" s="8"/>
    </row>
    <row r="4083" spans="11:11" x14ac:dyDescent="0.2">
      <c r="K4083" s="8"/>
    </row>
    <row r="4084" spans="11:11" x14ac:dyDescent="0.2">
      <c r="K4084" s="8"/>
    </row>
    <row r="4085" spans="11:11" x14ac:dyDescent="0.2">
      <c r="K4085" s="8"/>
    </row>
    <row r="4086" spans="11:11" x14ac:dyDescent="0.2">
      <c r="K4086" s="8"/>
    </row>
    <row r="4087" spans="11:11" x14ac:dyDescent="0.2">
      <c r="K4087" s="8"/>
    </row>
    <row r="4088" spans="11:11" x14ac:dyDescent="0.2">
      <c r="K4088" s="8"/>
    </row>
    <row r="4089" spans="11:11" x14ac:dyDescent="0.2">
      <c r="K4089" s="8"/>
    </row>
    <row r="4090" spans="11:11" x14ac:dyDescent="0.2">
      <c r="K4090" s="8"/>
    </row>
    <row r="4091" spans="11:11" x14ac:dyDescent="0.2">
      <c r="K4091" s="8"/>
    </row>
    <row r="4092" spans="11:11" x14ac:dyDescent="0.2">
      <c r="K4092" s="8"/>
    </row>
    <row r="4093" spans="11:11" x14ac:dyDescent="0.2">
      <c r="K4093" s="8"/>
    </row>
    <row r="4094" spans="11:11" x14ac:dyDescent="0.2">
      <c r="K4094" s="8"/>
    </row>
    <row r="4095" spans="11:11" x14ac:dyDescent="0.2">
      <c r="K4095" s="8"/>
    </row>
    <row r="4096" spans="11:11" x14ac:dyDescent="0.2">
      <c r="K4096" s="8"/>
    </row>
    <row r="4097" spans="11:11" x14ac:dyDescent="0.2">
      <c r="K4097" s="8"/>
    </row>
    <row r="4098" spans="11:11" x14ac:dyDescent="0.2">
      <c r="K4098" s="8"/>
    </row>
    <row r="4099" spans="11:11" x14ac:dyDescent="0.2">
      <c r="K4099" s="8"/>
    </row>
    <row r="4100" spans="11:11" x14ac:dyDescent="0.2">
      <c r="K4100" s="8"/>
    </row>
    <row r="4101" spans="11:11" x14ac:dyDescent="0.2">
      <c r="K4101" s="8"/>
    </row>
    <row r="4102" spans="11:11" x14ac:dyDescent="0.2">
      <c r="K4102" s="8"/>
    </row>
    <row r="4103" spans="11:11" x14ac:dyDescent="0.2">
      <c r="K4103" s="8"/>
    </row>
    <row r="4104" spans="11:11" x14ac:dyDescent="0.2">
      <c r="K4104" s="8"/>
    </row>
    <row r="4105" spans="11:11" x14ac:dyDescent="0.2">
      <c r="K4105" s="8"/>
    </row>
    <row r="4106" spans="11:11" x14ac:dyDescent="0.2">
      <c r="K4106" s="8"/>
    </row>
    <row r="4107" spans="11:11" x14ac:dyDescent="0.2">
      <c r="K4107" s="8"/>
    </row>
    <row r="4108" spans="11:11" x14ac:dyDescent="0.2">
      <c r="K4108" s="8"/>
    </row>
    <row r="4109" spans="11:11" x14ac:dyDescent="0.2">
      <c r="K4109" s="8"/>
    </row>
    <row r="4110" spans="11:11" x14ac:dyDescent="0.2">
      <c r="K4110" s="8"/>
    </row>
    <row r="4111" spans="11:11" x14ac:dyDescent="0.2">
      <c r="K4111" s="8"/>
    </row>
    <row r="4112" spans="11:11" x14ac:dyDescent="0.2">
      <c r="K4112" s="8"/>
    </row>
    <row r="4113" spans="11:11" x14ac:dyDescent="0.2">
      <c r="K4113" s="8"/>
    </row>
    <row r="4114" spans="11:11" x14ac:dyDescent="0.2">
      <c r="K4114" s="8"/>
    </row>
    <row r="4115" spans="11:11" x14ac:dyDescent="0.2">
      <c r="K4115" s="8"/>
    </row>
    <row r="4116" spans="11:11" x14ac:dyDescent="0.2">
      <c r="K4116" s="8"/>
    </row>
    <row r="4117" spans="11:11" x14ac:dyDescent="0.2">
      <c r="K4117" s="8"/>
    </row>
    <row r="4118" spans="11:11" x14ac:dyDescent="0.2">
      <c r="K4118" s="8"/>
    </row>
    <row r="4119" spans="11:11" x14ac:dyDescent="0.2">
      <c r="K4119" s="8"/>
    </row>
    <row r="4120" spans="11:11" x14ac:dyDescent="0.2">
      <c r="K4120" s="8"/>
    </row>
    <row r="4121" spans="11:11" x14ac:dyDescent="0.2">
      <c r="K4121" s="8"/>
    </row>
    <row r="4122" spans="11:11" x14ac:dyDescent="0.2">
      <c r="K4122" s="8"/>
    </row>
    <row r="4123" spans="11:11" x14ac:dyDescent="0.2">
      <c r="K4123" s="8"/>
    </row>
    <row r="4124" spans="11:11" x14ac:dyDescent="0.2">
      <c r="K4124" s="8"/>
    </row>
    <row r="4125" spans="11:11" x14ac:dyDescent="0.2">
      <c r="K4125" s="8"/>
    </row>
    <row r="4126" spans="11:11" x14ac:dyDescent="0.2">
      <c r="K4126" s="8"/>
    </row>
    <row r="4127" spans="11:11" x14ac:dyDescent="0.2">
      <c r="K4127" s="8"/>
    </row>
    <row r="4128" spans="11:11" x14ac:dyDescent="0.2">
      <c r="K4128" s="8"/>
    </row>
    <row r="4129" spans="11:11" x14ac:dyDescent="0.2">
      <c r="K4129" s="8"/>
    </row>
    <row r="4130" spans="11:11" x14ac:dyDescent="0.2">
      <c r="K4130" s="8"/>
    </row>
    <row r="4131" spans="11:11" x14ac:dyDescent="0.2">
      <c r="K4131" s="8"/>
    </row>
    <row r="4132" spans="11:11" x14ac:dyDescent="0.2">
      <c r="K4132" s="8"/>
    </row>
    <row r="4133" spans="11:11" x14ac:dyDescent="0.2">
      <c r="K4133" s="8"/>
    </row>
    <row r="4134" spans="11:11" x14ac:dyDescent="0.2">
      <c r="K4134" s="8"/>
    </row>
    <row r="4135" spans="11:11" x14ac:dyDescent="0.2">
      <c r="K4135" s="8"/>
    </row>
    <row r="4136" spans="11:11" x14ac:dyDescent="0.2">
      <c r="K4136" s="8"/>
    </row>
    <row r="4137" spans="11:11" x14ac:dyDescent="0.2">
      <c r="K4137" s="8"/>
    </row>
    <row r="4138" spans="11:11" x14ac:dyDescent="0.2">
      <c r="K4138" s="8"/>
    </row>
    <row r="4139" spans="11:11" x14ac:dyDescent="0.2">
      <c r="K4139" s="8"/>
    </row>
    <row r="4140" spans="11:11" x14ac:dyDescent="0.2">
      <c r="K4140" s="8"/>
    </row>
    <row r="4141" spans="11:11" x14ac:dyDescent="0.2">
      <c r="K4141" s="8"/>
    </row>
    <row r="4142" spans="11:11" x14ac:dyDescent="0.2">
      <c r="K4142" s="8"/>
    </row>
    <row r="4143" spans="11:11" x14ac:dyDescent="0.2">
      <c r="K4143" s="8"/>
    </row>
    <row r="4144" spans="11:11" x14ac:dyDescent="0.2">
      <c r="K4144" s="8"/>
    </row>
    <row r="4145" spans="11:11" x14ac:dyDescent="0.2">
      <c r="K4145" s="8"/>
    </row>
    <row r="4146" spans="11:11" x14ac:dyDescent="0.2">
      <c r="K4146" s="8"/>
    </row>
    <row r="4147" spans="11:11" x14ac:dyDescent="0.2">
      <c r="K4147" s="8"/>
    </row>
    <row r="4148" spans="11:11" x14ac:dyDescent="0.2">
      <c r="K4148" s="8"/>
    </row>
    <row r="4149" spans="11:11" x14ac:dyDescent="0.2">
      <c r="K4149" s="8"/>
    </row>
    <row r="4150" spans="11:11" x14ac:dyDescent="0.2">
      <c r="K4150" s="8"/>
    </row>
    <row r="4151" spans="11:11" x14ac:dyDescent="0.2">
      <c r="K4151" s="8"/>
    </row>
    <row r="4152" spans="11:11" x14ac:dyDescent="0.2">
      <c r="K4152" s="8"/>
    </row>
    <row r="4153" spans="11:11" x14ac:dyDescent="0.2">
      <c r="K4153" s="8"/>
    </row>
    <row r="4154" spans="11:11" x14ac:dyDescent="0.2">
      <c r="K4154" s="8"/>
    </row>
    <row r="4155" spans="11:11" x14ac:dyDescent="0.2">
      <c r="K4155" s="8"/>
    </row>
    <row r="4156" spans="11:11" x14ac:dyDescent="0.2">
      <c r="K4156" s="8"/>
    </row>
    <row r="4157" spans="11:11" x14ac:dyDescent="0.2">
      <c r="K4157" s="8"/>
    </row>
    <row r="4158" spans="11:11" x14ac:dyDescent="0.2">
      <c r="K4158" s="8"/>
    </row>
    <row r="4159" spans="11:11" x14ac:dyDescent="0.2">
      <c r="K4159" s="8"/>
    </row>
    <row r="4160" spans="11:11" x14ac:dyDescent="0.2">
      <c r="K4160" s="8"/>
    </row>
    <row r="4161" spans="11:11" x14ac:dyDescent="0.2">
      <c r="K4161" s="8"/>
    </row>
    <row r="4162" spans="11:11" x14ac:dyDescent="0.2">
      <c r="K4162" s="8"/>
    </row>
    <row r="4163" spans="11:11" x14ac:dyDescent="0.2">
      <c r="K4163" s="8"/>
    </row>
    <row r="4164" spans="11:11" x14ac:dyDescent="0.2">
      <c r="K4164" s="8"/>
    </row>
    <row r="4165" spans="11:11" x14ac:dyDescent="0.2">
      <c r="K4165" s="8"/>
    </row>
    <row r="4166" spans="11:11" x14ac:dyDescent="0.2">
      <c r="K4166" s="8"/>
    </row>
    <row r="4167" spans="11:11" x14ac:dyDescent="0.2">
      <c r="K4167" s="8"/>
    </row>
    <row r="4168" spans="11:11" x14ac:dyDescent="0.2">
      <c r="K4168" s="8"/>
    </row>
    <row r="4169" spans="11:11" x14ac:dyDescent="0.2">
      <c r="K4169" s="8"/>
    </row>
    <row r="4170" spans="11:11" x14ac:dyDescent="0.2">
      <c r="K4170" s="8"/>
    </row>
    <row r="4171" spans="11:11" x14ac:dyDescent="0.2">
      <c r="K4171" s="8"/>
    </row>
    <row r="4172" spans="11:11" x14ac:dyDescent="0.2">
      <c r="K4172" s="8"/>
    </row>
    <row r="4173" spans="11:11" x14ac:dyDescent="0.2">
      <c r="K4173" s="8"/>
    </row>
    <row r="4174" spans="11:11" x14ac:dyDescent="0.2">
      <c r="K4174" s="8"/>
    </row>
    <row r="4175" spans="11:11" x14ac:dyDescent="0.2">
      <c r="K4175" s="8"/>
    </row>
    <row r="4176" spans="11:11" x14ac:dyDescent="0.2">
      <c r="K4176" s="8"/>
    </row>
    <row r="4177" spans="11:11" x14ac:dyDescent="0.2">
      <c r="K4177" s="8"/>
    </row>
    <row r="4178" spans="11:11" x14ac:dyDescent="0.2">
      <c r="K4178" s="8"/>
    </row>
    <row r="4179" spans="11:11" x14ac:dyDescent="0.2">
      <c r="K4179" s="8"/>
    </row>
    <row r="4180" spans="11:11" x14ac:dyDescent="0.2">
      <c r="K4180" s="8"/>
    </row>
    <row r="4181" spans="11:11" x14ac:dyDescent="0.2">
      <c r="K4181" s="8"/>
    </row>
    <row r="4182" spans="11:11" x14ac:dyDescent="0.2">
      <c r="K4182" s="8"/>
    </row>
    <row r="4183" spans="11:11" x14ac:dyDescent="0.2">
      <c r="K4183" s="8"/>
    </row>
    <row r="4184" spans="11:11" x14ac:dyDescent="0.2">
      <c r="K4184" s="8"/>
    </row>
    <row r="4185" spans="11:11" x14ac:dyDescent="0.2">
      <c r="K4185" s="8"/>
    </row>
    <row r="4186" spans="11:11" x14ac:dyDescent="0.2">
      <c r="K4186" s="8"/>
    </row>
    <row r="4187" spans="11:11" x14ac:dyDescent="0.2">
      <c r="K4187" s="8"/>
    </row>
    <row r="4188" spans="11:11" x14ac:dyDescent="0.2">
      <c r="K4188" s="8"/>
    </row>
    <row r="4189" spans="11:11" x14ac:dyDescent="0.2">
      <c r="K4189" s="8"/>
    </row>
    <row r="4190" spans="11:11" x14ac:dyDescent="0.2">
      <c r="K4190" s="8"/>
    </row>
    <row r="4191" spans="11:11" x14ac:dyDescent="0.2">
      <c r="K4191" s="8"/>
    </row>
    <row r="4192" spans="11:11" x14ac:dyDescent="0.2">
      <c r="K4192" s="8"/>
    </row>
    <row r="4193" spans="11:11" x14ac:dyDescent="0.2">
      <c r="K4193" s="8"/>
    </row>
    <row r="4194" spans="11:11" x14ac:dyDescent="0.2">
      <c r="K4194" s="8"/>
    </row>
    <row r="4195" spans="11:11" x14ac:dyDescent="0.2">
      <c r="K4195" s="8"/>
    </row>
    <row r="4196" spans="11:11" x14ac:dyDescent="0.2">
      <c r="K4196" s="8"/>
    </row>
    <row r="4197" spans="11:11" x14ac:dyDescent="0.2">
      <c r="K4197" s="8"/>
    </row>
    <row r="4198" spans="11:11" x14ac:dyDescent="0.2">
      <c r="K4198" s="8"/>
    </row>
    <row r="4199" spans="11:11" x14ac:dyDescent="0.2">
      <c r="K4199" s="8"/>
    </row>
    <row r="4200" spans="11:11" x14ac:dyDescent="0.2">
      <c r="K4200" s="8"/>
    </row>
    <row r="4201" spans="11:11" x14ac:dyDescent="0.2">
      <c r="K4201" s="8"/>
    </row>
    <row r="4202" spans="11:11" x14ac:dyDescent="0.2">
      <c r="K4202" s="8"/>
    </row>
    <row r="4203" spans="11:11" x14ac:dyDescent="0.2">
      <c r="K4203" s="8"/>
    </row>
    <row r="4204" spans="11:11" x14ac:dyDescent="0.2">
      <c r="K4204" s="8"/>
    </row>
    <row r="4205" spans="11:11" x14ac:dyDescent="0.2">
      <c r="K4205" s="8"/>
    </row>
    <row r="4206" spans="11:11" x14ac:dyDescent="0.2">
      <c r="K4206" s="8"/>
    </row>
    <row r="4207" spans="11:11" x14ac:dyDescent="0.2">
      <c r="K4207" s="8"/>
    </row>
    <row r="4208" spans="11:11" x14ac:dyDescent="0.2">
      <c r="K4208" s="8"/>
    </row>
    <row r="4209" spans="11:11" x14ac:dyDescent="0.2">
      <c r="K4209" s="8"/>
    </row>
    <row r="4210" spans="11:11" x14ac:dyDescent="0.2">
      <c r="K4210" s="8"/>
    </row>
    <row r="4211" spans="11:11" x14ac:dyDescent="0.2">
      <c r="K4211" s="8"/>
    </row>
    <row r="4212" spans="11:11" x14ac:dyDescent="0.2">
      <c r="K4212" s="8"/>
    </row>
    <row r="4213" spans="11:11" x14ac:dyDescent="0.2">
      <c r="K4213" s="8"/>
    </row>
    <row r="4214" spans="11:11" x14ac:dyDescent="0.2">
      <c r="K4214" s="8"/>
    </row>
    <row r="4215" spans="11:11" x14ac:dyDescent="0.2">
      <c r="K4215" s="8"/>
    </row>
    <row r="4216" spans="11:11" x14ac:dyDescent="0.2">
      <c r="K4216" s="8"/>
    </row>
    <row r="4217" spans="11:11" x14ac:dyDescent="0.2">
      <c r="K4217" s="8"/>
    </row>
    <row r="4218" spans="11:11" x14ac:dyDescent="0.2">
      <c r="K4218" s="8"/>
    </row>
    <row r="4219" spans="11:11" x14ac:dyDescent="0.2">
      <c r="K4219" s="8"/>
    </row>
    <row r="4220" spans="11:11" x14ac:dyDescent="0.2">
      <c r="K4220" s="8"/>
    </row>
    <row r="4221" spans="11:11" x14ac:dyDescent="0.2">
      <c r="K4221" s="8"/>
    </row>
    <row r="4222" spans="11:11" x14ac:dyDescent="0.2">
      <c r="K4222" s="8"/>
    </row>
    <row r="4223" spans="11:11" x14ac:dyDescent="0.2">
      <c r="K4223" s="8"/>
    </row>
    <row r="4224" spans="11:11" x14ac:dyDescent="0.2">
      <c r="K4224" s="8"/>
    </row>
    <row r="4225" spans="11:11" x14ac:dyDescent="0.2">
      <c r="K4225" s="8"/>
    </row>
    <row r="4226" spans="11:11" x14ac:dyDescent="0.2">
      <c r="K4226" s="8"/>
    </row>
    <row r="4227" spans="11:11" x14ac:dyDescent="0.2">
      <c r="K4227" s="8"/>
    </row>
    <row r="4228" spans="11:11" x14ac:dyDescent="0.2">
      <c r="K4228" s="8"/>
    </row>
    <row r="4229" spans="11:11" x14ac:dyDescent="0.2">
      <c r="K4229" s="8"/>
    </row>
    <row r="4230" spans="11:11" x14ac:dyDescent="0.2">
      <c r="K4230" s="8"/>
    </row>
    <row r="4231" spans="11:11" x14ac:dyDescent="0.2">
      <c r="K4231" s="8"/>
    </row>
    <row r="4232" spans="11:11" x14ac:dyDescent="0.2">
      <c r="K4232" s="8"/>
    </row>
    <row r="4233" spans="11:11" x14ac:dyDescent="0.2">
      <c r="K4233" s="8"/>
    </row>
    <row r="4234" spans="11:11" x14ac:dyDescent="0.2">
      <c r="K4234" s="8"/>
    </row>
    <row r="4235" spans="11:11" x14ac:dyDescent="0.2">
      <c r="K4235" s="8"/>
    </row>
    <row r="4236" spans="11:11" x14ac:dyDescent="0.2">
      <c r="K4236" s="8"/>
    </row>
    <row r="4237" spans="11:11" x14ac:dyDescent="0.2">
      <c r="K4237" s="8"/>
    </row>
    <row r="4238" spans="11:11" x14ac:dyDescent="0.2">
      <c r="K4238" s="8"/>
    </row>
    <row r="4239" spans="11:11" x14ac:dyDescent="0.2">
      <c r="K4239" s="8"/>
    </row>
    <row r="4240" spans="11:11" x14ac:dyDescent="0.2">
      <c r="K4240" s="8"/>
    </row>
    <row r="4241" spans="11:11" x14ac:dyDescent="0.2">
      <c r="K4241" s="8"/>
    </row>
    <row r="4242" spans="11:11" x14ac:dyDescent="0.2">
      <c r="K4242" s="8"/>
    </row>
    <row r="4243" spans="11:11" x14ac:dyDescent="0.2">
      <c r="K4243" s="8"/>
    </row>
    <row r="4244" spans="11:11" x14ac:dyDescent="0.2">
      <c r="K4244" s="8"/>
    </row>
    <row r="4245" spans="11:11" x14ac:dyDescent="0.2">
      <c r="K4245" s="8"/>
    </row>
    <row r="4246" spans="11:11" x14ac:dyDescent="0.2">
      <c r="K4246" s="8"/>
    </row>
    <row r="4247" spans="11:11" x14ac:dyDescent="0.2">
      <c r="K4247" s="8"/>
    </row>
    <row r="4248" spans="11:11" x14ac:dyDescent="0.2">
      <c r="K4248" s="8"/>
    </row>
    <row r="4249" spans="11:11" x14ac:dyDescent="0.2">
      <c r="K4249" s="8"/>
    </row>
    <row r="4250" spans="11:11" x14ac:dyDescent="0.2">
      <c r="K4250" s="8"/>
    </row>
    <row r="4251" spans="11:11" x14ac:dyDescent="0.2">
      <c r="K4251" s="8"/>
    </row>
    <row r="4252" spans="11:11" x14ac:dyDescent="0.2">
      <c r="K4252" s="8"/>
    </row>
    <row r="4253" spans="11:11" x14ac:dyDescent="0.2">
      <c r="K4253" s="8"/>
    </row>
    <row r="4254" spans="11:11" x14ac:dyDescent="0.2">
      <c r="K4254" s="8"/>
    </row>
    <row r="4255" spans="11:11" x14ac:dyDescent="0.2">
      <c r="K4255" s="8"/>
    </row>
    <row r="4256" spans="11:11" x14ac:dyDescent="0.2">
      <c r="K4256" s="8"/>
    </row>
    <row r="4257" spans="11:11" x14ac:dyDescent="0.2">
      <c r="K4257" s="8"/>
    </row>
    <row r="4258" spans="11:11" x14ac:dyDescent="0.2">
      <c r="K4258" s="8"/>
    </row>
    <row r="4259" spans="11:11" x14ac:dyDescent="0.2">
      <c r="K4259" s="8"/>
    </row>
    <row r="4260" spans="11:11" x14ac:dyDescent="0.2">
      <c r="K4260" s="8"/>
    </row>
    <row r="4261" spans="11:11" x14ac:dyDescent="0.2">
      <c r="K4261" s="8"/>
    </row>
    <row r="4262" spans="11:11" x14ac:dyDescent="0.2">
      <c r="K4262" s="8"/>
    </row>
    <row r="4263" spans="11:11" x14ac:dyDescent="0.2">
      <c r="K4263" s="8"/>
    </row>
    <row r="4264" spans="11:11" x14ac:dyDescent="0.2">
      <c r="K4264" s="8"/>
    </row>
    <row r="4265" spans="11:11" x14ac:dyDescent="0.2">
      <c r="K4265" s="8"/>
    </row>
    <row r="4266" spans="11:11" x14ac:dyDescent="0.2">
      <c r="K4266" s="8"/>
    </row>
    <row r="4267" spans="11:11" x14ac:dyDescent="0.2">
      <c r="K4267" s="8"/>
    </row>
    <row r="4268" spans="11:11" x14ac:dyDescent="0.2">
      <c r="K4268" s="8"/>
    </row>
    <row r="4269" spans="11:11" x14ac:dyDescent="0.2">
      <c r="K4269" s="8"/>
    </row>
    <row r="4270" spans="11:11" x14ac:dyDescent="0.2">
      <c r="K4270" s="8"/>
    </row>
    <row r="4271" spans="11:11" x14ac:dyDescent="0.2">
      <c r="K4271" s="8"/>
    </row>
    <row r="4272" spans="11:11" x14ac:dyDescent="0.2">
      <c r="K4272" s="8"/>
    </row>
    <row r="4273" spans="11:11" x14ac:dyDescent="0.2">
      <c r="K4273" s="8"/>
    </row>
    <row r="4274" spans="11:11" x14ac:dyDescent="0.2">
      <c r="K4274" s="8"/>
    </row>
    <row r="4275" spans="11:11" x14ac:dyDescent="0.2">
      <c r="K4275" s="8"/>
    </row>
    <row r="4276" spans="11:11" x14ac:dyDescent="0.2">
      <c r="K4276" s="8"/>
    </row>
    <row r="4277" spans="11:11" x14ac:dyDescent="0.2">
      <c r="K4277" s="8"/>
    </row>
    <row r="4278" spans="11:11" x14ac:dyDescent="0.2">
      <c r="K4278" s="8"/>
    </row>
    <row r="4279" spans="11:11" x14ac:dyDescent="0.2">
      <c r="K4279" s="8"/>
    </row>
    <row r="4280" spans="11:11" x14ac:dyDescent="0.2">
      <c r="K4280" s="8"/>
    </row>
    <row r="4281" spans="11:11" x14ac:dyDescent="0.2">
      <c r="K4281" s="8"/>
    </row>
    <row r="4282" spans="11:11" x14ac:dyDescent="0.2">
      <c r="K4282" s="8"/>
    </row>
    <row r="4283" spans="11:11" x14ac:dyDescent="0.2">
      <c r="K4283" s="8"/>
    </row>
    <row r="4284" spans="11:11" x14ac:dyDescent="0.2">
      <c r="K4284" s="8"/>
    </row>
    <row r="4285" spans="11:11" x14ac:dyDescent="0.2">
      <c r="K4285" s="8"/>
    </row>
    <row r="4286" spans="11:11" x14ac:dyDescent="0.2">
      <c r="K4286" s="8"/>
    </row>
    <row r="4287" spans="11:11" x14ac:dyDescent="0.2">
      <c r="K4287" s="8"/>
    </row>
    <row r="4288" spans="11:11" x14ac:dyDescent="0.2">
      <c r="K4288" s="8"/>
    </row>
    <row r="4289" spans="11:11" x14ac:dyDescent="0.2">
      <c r="K4289" s="8"/>
    </row>
    <row r="4290" spans="11:11" x14ac:dyDescent="0.2">
      <c r="K4290" s="8"/>
    </row>
    <row r="4291" spans="11:11" x14ac:dyDescent="0.2">
      <c r="K4291" s="8"/>
    </row>
    <row r="4292" spans="11:11" x14ac:dyDescent="0.2">
      <c r="K4292" s="8"/>
    </row>
    <row r="4293" spans="11:11" x14ac:dyDescent="0.2">
      <c r="K4293" s="8"/>
    </row>
    <row r="4294" spans="11:11" x14ac:dyDescent="0.2">
      <c r="K4294" s="8"/>
    </row>
    <row r="4295" spans="11:11" x14ac:dyDescent="0.2">
      <c r="K4295" s="8"/>
    </row>
    <row r="4296" spans="11:11" x14ac:dyDescent="0.2">
      <c r="K4296" s="8"/>
    </row>
    <row r="4297" spans="11:11" x14ac:dyDescent="0.2">
      <c r="K4297" s="8"/>
    </row>
    <row r="4298" spans="11:11" x14ac:dyDescent="0.2">
      <c r="K4298" s="8"/>
    </row>
    <row r="4299" spans="11:11" x14ac:dyDescent="0.2">
      <c r="K4299" s="8"/>
    </row>
    <row r="4300" spans="11:11" x14ac:dyDescent="0.2">
      <c r="K4300" s="8"/>
    </row>
    <row r="4301" spans="11:11" x14ac:dyDescent="0.2">
      <c r="K4301" s="8"/>
    </row>
    <row r="4302" spans="11:11" x14ac:dyDescent="0.2">
      <c r="K4302" s="8"/>
    </row>
    <row r="4303" spans="11:11" x14ac:dyDescent="0.2">
      <c r="K4303" s="8"/>
    </row>
    <row r="4304" spans="11:11" x14ac:dyDescent="0.2">
      <c r="K4304" s="8"/>
    </row>
    <row r="4305" spans="11:11" x14ac:dyDescent="0.2">
      <c r="K4305" s="8"/>
    </row>
    <row r="4306" spans="11:11" x14ac:dyDescent="0.2">
      <c r="K4306" s="8"/>
    </row>
    <row r="4307" spans="11:11" x14ac:dyDescent="0.2">
      <c r="K4307" s="8"/>
    </row>
    <row r="4308" spans="11:11" x14ac:dyDescent="0.2">
      <c r="K4308" s="8"/>
    </row>
    <row r="4309" spans="11:11" x14ac:dyDescent="0.2">
      <c r="K4309" s="8"/>
    </row>
    <row r="4310" spans="11:11" x14ac:dyDescent="0.2">
      <c r="K4310" s="8"/>
    </row>
    <row r="4311" spans="11:11" x14ac:dyDescent="0.2">
      <c r="K4311" s="8"/>
    </row>
    <row r="4312" spans="11:11" x14ac:dyDescent="0.2">
      <c r="K4312" s="8"/>
    </row>
    <row r="4313" spans="11:11" x14ac:dyDescent="0.2">
      <c r="K4313" s="8"/>
    </row>
    <row r="4314" spans="11:11" x14ac:dyDescent="0.2">
      <c r="K4314" s="8"/>
    </row>
    <row r="4315" spans="11:11" x14ac:dyDescent="0.2">
      <c r="K4315" s="8"/>
    </row>
    <row r="4316" spans="11:11" x14ac:dyDescent="0.2">
      <c r="K4316" s="8"/>
    </row>
    <row r="4317" spans="11:11" x14ac:dyDescent="0.2">
      <c r="K4317" s="8"/>
    </row>
    <row r="4318" spans="11:11" x14ac:dyDescent="0.2">
      <c r="K4318" s="8"/>
    </row>
    <row r="4319" spans="11:11" x14ac:dyDescent="0.2">
      <c r="K4319" s="8"/>
    </row>
    <row r="4320" spans="11:11" x14ac:dyDescent="0.2">
      <c r="K4320" s="8"/>
    </row>
    <row r="4321" spans="11:11" x14ac:dyDescent="0.2">
      <c r="K4321" s="8"/>
    </row>
    <row r="4322" spans="11:11" x14ac:dyDescent="0.2">
      <c r="K4322" s="8"/>
    </row>
    <row r="4323" spans="11:11" x14ac:dyDescent="0.2">
      <c r="K4323" s="8"/>
    </row>
    <row r="4324" spans="11:11" x14ac:dyDescent="0.2">
      <c r="K4324" s="8"/>
    </row>
    <row r="4325" spans="11:11" x14ac:dyDescent="0.2">
      <c r="K4325" s="8"/>
    </row>
    <row r="4326" spans="11:11" x14ac:dyDescent="0.2">
      <c r="K4326" s="8"/>
    </row>
    <row r="4327" spans="11:11" x14ac:dyDescent="0.2">
      <c r="K4327" s="8"/>
    </row>
    <row r="4328" spans="11:11" x14ac:dyDescent="0.2">
      <c r="K4328" s="8"/>
    </row>
    <row r="4329" spans="11:11" x14ac:dyDescent="0.2">
      <c r="K4329" s="8"/>
    </row>
    <row r="4330" spans="11:11" x14ac:dyDescent="0.2">
      <c r="K4330" s="8"/>
    </row>
    <row r="4331" spans="11:11" x14ac:dyDescent="0.2">
      <c r="K4331" s="8"/>
    </row>
    <row r="4332" spans="11:11" x14ac:dyDescent="0.2">
      <c r="K4332" s="8"/>
    </row>
    <row r="4333" spans="11:11" x14ac:dyDescent="0.2">
      <c r="K4333" s="8"/>
    </row>
    <row r="4334" spans="11:11" x14ac:dyDescent="0.2">
      <c r="K4334" s="8"/>
    </row>
    <row r="4335" spans="11:11" x14ac:dyDescent="0.2">
      <c r="K4335" s="8"/>
    </row>
    <row r="4336" spans="11:11" x14ac:dyDescent="0.2">
      <c r="K4336" s="8"/>
    </row>
    <row r="4337" spans="11:11" x14ac:dyDescent="0.2">
      <c r="K4337" s="8"/>
    </row>
    <row r="4338" spans="11:11" x14ac:dyDescent="0.2">
      <c r="K4338" s="8"/>
    </row>
    <row r="4339" spans="11:11" x14ac:dyDescent="0.2">
      <c r="K4339" s="8"/>
    </row>
    <row r="4340" spans="11:11" x14ac:dyDescent="0.2">
      <c r="K4340" s="8"/>
    </row>
    <row r="4341" spans="11:11" x14ac:dyDescent="0.2">
      <c r="K4341" s="8"/>
    </row>
    <row r="4342" spans="11:11" x14ac:dyDescent="0.2">
      <c r="K4342" s="8"/>
    </row>
    <row r="4343" spans="11:11" x14ac:dyDescent="0.2">
      <c r="K4343" s="8"/>
    </row>
    <row r="4344" spans="11:11" x14ac:dyDescent="0.2">
      <c r="K4344" s="8"/>
    </row>
    <row r="4345" spans="11:11" x14ac:dyDescent="0.2">
      <c r="K4345" s="8"/>
    </row>
    <row r="4346" spans="11:11" x14ac:dyDescent="0.2">
      <c r="K4346" s="8"/>
    </row>
    <row r="4347" spans="11:11" x14ac:dyDescent="0.2">
      <c r="K4347" s="8"/>
    </row>
    <row r="4348" spans="11:11" x14ac:dyDescent="0.2">
      <c r="K4348" s="8"/>
    </row>
    <row r="4349" spans="11:11" x14ac:dyDescent="0.2">
      <c r="K4349" s="8"/>
    </row>
    <row r="4350" spans="11:11" x14ac:dyDescent="0.2">
      <c r="K4350" s="8"/>
    </row>
    <row r="4351" spans="11:11" x14ac:dyDescent="0.2">
      <c r="K4351" s="8"/>
    </row>
    <row r="4352" spans="11:11" x14ac:dyDescent="0.2">
      <c r="K4352" s="8"/>
    </row>
    <row r="4353" spans="11:11" x14ac:dyDescent="0.2">
      <c r="K4353" s="8"/>
    </row>
    <row r="4354" spans="11:11" x14ac:dyDescent="0.2">
      <c r="K4354" s="8"/>
    </row>
    <row r="4355" spans="11:11" x14ac:dyDescent="0.2">
      <c r="K4355" s="8"/>
    </row>
    <row r="4356" spans="11:11" x14ac:dyDescent="0.2">
      <c r="K4356" s="8"/>
    </row>
    <row r="4357" spans="11:11" x14ac:dyDescent="0.2">
      <c r="K4357" s="8"/>
    </row>
    <row r="4358" spans="11:11" x14ac:dyDescent="0.2">
      <c r="K4358" s="8"/>
    </row>
    <row r="4359" spans="11:11" x14ac:dyDescent="0.2">
      <c r="K4359" s="8"/>
    </row>
    <row r="4360" spans="11:11" x14ac:dyDescent="0.2">
      <c r="K4360" s="8"/>
    </row>
    <row r="4361" spans="11:11" x14ac:dyDescent="0.2">
      <c r="K4361" s="8"/>
    </row>
    <row r="4362" spans="11:11" x14ac:dyDescent="0.2">
      <c r="K4362" s="8"/>
    </row>
    <row r="4363" spans="11:11" x14ac:dyDescent="0.2">
      <c r="K4363" s="8"/>
    </row>
    <row r="4364" spans="11:11" x14ac:dyDescent="0.2">
      <c r="K4364" s="8"/>
    </row>
    <row r="4365" spans="11:11" x14ac:dyDescent="0.2">
      <c r="K4365" s="8"/>
    </row>
    <row r="4366" spans="11:11" x14ac:dyDescent="0.2">
      <c r="K4366" s="8"/>
    </row>
    <row r="4367" spans="11:11" x14ac:dyDescent="0.2">
      <c r="K4367" s="8"/>
    </row>
    <row r="4368" spans="11:11" x14ac:dyDescent="0.2">
      <c r="K4368" s="8"/>
    </row>
    <row r="4369" spans="11:11" x14ac:dyDescent="0.2">
      <c r="K4369" s="8"/>
    </row>
    <row r="4370" spans="11:11" x14ac:dyDescent="0.2">
      <c r="K4370" s="8"/>
    </row>
    <row r="4371" spans="11:11" x14ac:dyDescent="0.2">
      <c r="K4371" s="8"/>
    </row>
    <row r="4372" spans="11:11" x14ac:dyDescent="0.2">
      <c r="K4372" s="8"/>
    </row>
    <row r="4373" spans="11:11" x14ac:dyDescent="0.2">
      <c r="K4373" s="8"/>
    </row>
    <row r="4374" spans="11:11" x14ac:dyDescent="0.2">
      <c r="K4374" s="8"/>
    </row>
    <row r="4375" spans="11:11" x14ac:dyDescent="0.2">
      <c r="K4375" s="8"/>
    </row>
    <row r="4376" spans="11:11" x14ac:dyDescent="0.2">
      <c r="K4376" s="8"/>
    </row>
    <row r="4377" spans="11:11" x14ac:dyDescent="0.2">
      <c r="K4377" s="8"/>
    </row>
    <row r="4378" spans="11:11" x14ac:dyDescent="0.2">
      <c r="K4378" s="8"/>
    </row>
    <row r="4379" spans="11:11" x14ac:dyDescent="0.2">
      <c r="K4379" s="8"/>
    </row>
    <row r="4380" spans="11:11" x14ac:dyDescent="0.2">
      <c r="K4380" s="8"/>
    </row>
    <row r="4381" spans="11:11" x14ac:dyDescent="0.2">
      <c r="K4381" s="8"/>
    </row>
    <row r="4382" spans="11:11" x14ac:dyDescent="0.2">
      <c r="K4382" s="8"/>
    </row>
    <row r="4383" spans="11:11" x14ac:dyDescent="0.2">
      <c r="K4383" s="8"/>
    </row>
    <row r="4384" spans="11:11" x14ac:dyDescent="0.2">
      <c r="K4384" s="8"/>
    </row>
    <row r="4385" spans="11:11" x14ac:dyDescent="0.2">
      <c r="K4385" s="8"/>
    </row>
    <row r="4386" spans="11:11" x14ac:dyDescent="0.2">
      <c r="K4386" s="8"/>
    </row>
    <row r="4387" spans="11:11" x14ac:dyDescent="0.2">
      <c r="K4387" s="8"/>
    </row>
    <row r="4388" spans="11:11" x14ac:dyDescent="0.2">
      <c r="K4388" s="8"/>
    </row>
    <row r="4389" spans="11:11" x14ac:dyDescent="0.2">
      <c r="K4389" s="8"/>
    </row>
    <row r="4390" spans="11:11" x14ac:dyDescent="0.2">
      <c r="K4390" s="8"/>
    </row>
    <row r="4391" spans="11:11" x14ac:dyDescent="0.2">
      <c r="K4391" s="8"/>
    </row>
    <row r="4392" spans="11:11" x14ac:dyDescent="0.2">
      <c r="K4392" s="8"/>
    </row>
    <row r="4393" spans="11:11" x14ac:dyDescent="0.2">
      <c r="K4393" s="8"/>
    </row>
    <row r="4394" spans="11:11" x14ac:dyDescent="0.2">
      <c r="K4394" s="8"/>
    </row>
    <row r="4395" spans="11:11" x14ac:dyDescent="0.2">
      <c r="K4395" s="8"/>
    </row>
    <row r="4396" spans="11:11" x14ac:dyDescent="0.2">
      <c r="K4396" s="8"/>
    </row>
    <row r="4397" spans="11:11" x14ac:dyDescent="0.2">
      <c r="K4397" s="8"/>
    </row>
    <row r="4398" spans="11:11" x14ac:dyDescent="0.2">
      <c r="K4398" s="8"/>
    </row>
    <row r="4399" spans="11:11" x14ac:dyDescent="0.2">
      <c r="K4399" s="8"/>
    </row>
    <row r="4400" spans="11:11" x14ac:dyDescent="0.2">
      <c r="K4400" s="8"/>
    </row>
    <row r="4401" spans="11:11" x14ac:dyDescent="0.2">
      <c r="K4401" s="8"/>
    </row>
    <row r="4402" spans="11:11" x14ac:dyDescent="0.2">
      <c r="K4402" s="8"/>
    </row>
    <row r="4403" spans="11:11" x14ac:dyDescent="0.2">
      <c r="K4403" s="8"/>
    </row>
    <row r="4404" spans="11:11" x14ac:dyDescent="0.2">
      <c r="K4404" s="8"/>
    </row>
    <row r="4405" spans="11:11" x14ac:dyDescent="0.2">
      <c r="K4405" s="8"/>
    </row>
    <row r="4406" spans="11:11" x14ac:dyDescent="0.2">
      <c r="K4406" s="8"/>
    </row>
    <row r="4407" spans="11:11" x14ac:dyDescent="0.2">
      <c r="K4407" s="8"/>
    </row>
    <row r="4408" spans="11:11" x14ac:dyDescent="0.2">
      <c r="K4408" s="8"/>
    </row>
    <row r="4409" spans="11:11" x14ac:dyDescent="0.2">
      <c r="K4409" s="8"/>
    </row>
    <row r="4410" spans="11:11" x14ac:dyDescent="0.2">
      <c r="K4410" s="8"/>
    </row>
    <row r="4411" spans="11:11" x14ac:dyDescent="0.2">
      <c r="K4411" s="8"/>
    </row>
    <row r="4412" spans="11:11" x14ac:dyDescent="0.2">
      <c r="K4412" s="8"/>
    </row>
    <row r="4413" spans="11:11" x14ac:dyDescent="0.2">
      <c r="K4413" s="8"/>
    </row>
    <row r="4414" spans="11:11" x14ac:dyDescent="0.2">
      <c r="K4414" s="8"/>
    </row>
    <row r="4415" spans="11:11" x14ac:dyDescent="0.2">
      <c r="K4415" s="8"/>
    </row>
    <row r="4416" spans="11:11" x14ac:dyDescent="0.2">
      <c r="K4416" s="8"/>
    </row>
    <row r="4417" spans="11:11" x14ac:dyDescent="0.2">
      <c r="K4417" s="8"/>
    </row>
    <row r="4418" spans="11:11" x14ac:dyDescent="0.2">
      <c r="K4418" s="8"/>
    </row>
    <row r="4419" spans="11:11" x14ac:dyDescent="0.2">
      <c r="K4419" s="8"/>
    </row>
    <row r="4420" spans="11:11" x14ac:dyDescent="0.2">
      <c r="K4420" s="8"/>
    </row>
    <row r="4421" spans="11:11" x14ac:dyDescent="0.2">
      <c r="K4421" s="8"/>
    </row>
    <row r="4422" spans="11:11" x14ac:dyDescent="0.2">
      <c r="K4422" s="8"/>
    </row>
    <row r="4423" spans="11:11" x14ac:dyDescent="0.2">
      <c r="K4423" s="8"/>
    </row>
    <row r="4424" spans="11:11" x14ac:dyDescent="0.2">
      <c r="K4424" s="8"/>
    </row>
    <row r="4425" spans="11:11" x14ac:dyDescent="0.2">
      <c r="K4425" s="8"/>
    </row>
    <row r="4426" spans="11:11" x14ac:dyDescent="0.2">
      <c r="K4426" s="8"/>
    </row>
    <row r="4427" spans="11:11" x14ac:dyDescent="0.2">
      <c r="K4427" s="8"/>
    </row>
    <row r="4428" spans="11:11" x14ac:dyDescent="0.2">
      <c r="K4428" s="8"/>
    </row>
    <row r="4429" spans="11:11" x14ac:dyDescent="0.2">
      <c r="K4429" s="8"/>
    </row>
    <row r="4430" spans="11:11" x14ac:dyDescent="0.2">
      <c r="K4430" s="8"/>
    </row>
    <row r="4431" spans="11:11" x14ac:dyDescent="0.2">
      <c r="K4431" s="8"/>
    </row>
    <row r="4432" spans="11:11" x14ac:dyDescent="0.2">
      <c r="K4432" s="8"/>
    </row>
    <row r="4433" spans="11:11" x14ac:dyDescent="0.2">
      <c r="K4433" s="8"/>
    </row>
    <row r="4434" spans="11:11" x14ac:dyDescent="0.2">
      <c r="K4434" s="8"/>
    </row>
    <row r="4435" spans="11:11" x14ac:dyDescent="0.2">
      <c r="K4435" s="8"/>
    </row>
    <row r="4436" spans="11:11" x14ac:dyDescent="0.2">
      <c r="K4436" s="8"/>
    </row>
    <row r="4437" spans="11:11" x14ac:dyDescent="0.2">
      <c r="K4437" s="8"/>
    </row>
    <row r="4438" spans="11:11" x14ac:dyDescent="0.2">
      <c r="K4438" s="8"/>
    </row>
    <row r="4439" spans="11:11" x14ac:dyDescent="0.2">
      <c r="K4439" s="8"/>
    </row>
    <row r="4440" spans="11:11" x14ac:dyDescent="0.2">
      <c r="K4440" s="8"/>
    </row>
    <row r="4441" spans="11:11" x14ac:dyDescent="0.2">
      <c r="K4441" s="8"/>
    </row>
    <row r="4442" spans="11:11" x14ac:dyDescent="0.2">
      <c r="K4442" s="8"/>
    </row>
    <row r="4443" spans="11:11" x14ac:dyDescent="0.2">
      <c r="K4443" s="8"/>
    </row>
    <row r="4444" spans="11:11" x14ac:dyDescent="0.2">
      <c r="K4444" s="8"/>
    </row>
    <row r="4445" spans="11:11" x14ac:dyDescent="0.2">
      <c r="K4445" s="8"/>
    </row>
    <row r="4446" spans="11:11" x14ac:dyDescent="0.2">
      <c r="K4446" s="8"/>
    </row>
    <row r="4447" spans="11:11" x14ac:dyDescent="0.2">
      <c r="K4447" s="8"/>
    </row>
    <row r="4448" spans="11:11" x14ac:dyDescent="0.2">
      <c r="K4448" s="8"/>
    </row>
    <row r="4449" spans="11:11" x14ac:dyDescent="0.2">
      <c r="K4449" s="8"/>
    </row>
    <row r="4450" spans="11:11" x14ac:dyDescent="0.2">
      <c r="K4450" s="8"/>
    </row>
    <row r="4451" spans="11:11" x14ac:dyDescent="0.2">
      <c r="K4451" s="8"/>
    </row>
    <row r="4452" spans="11:11" x14ac:dyDescent="0.2">
      <c r="K4452" s="8"/>
    </row>
    <row r="4453" spans="11:11" x14ac:dyDescent="0.2">
      <c r="K4453" s="8"/>
    </row>
    <row r="4454" spans="11:11" x14ac:dyDescent="0.2">
      <c r="K4454" s="8"/>
    </row>
    <row r="4455" spans="11:11" x14ac:dyDescent="0.2">
      <c r="K4455" s="8"/>
    </row>
    <row r="4456" spans="11:11" x14ac:dyDescent="0.2">
      <c r="K4456" s="8"/>
    </row>
    <row r="4457" spans="11:11" x14ac:dyDescent="0.2">
      <c r="K4457" s="8"/>
    </row>
    <row r="4458" spans="11:11" x14ac:dyDescent="0.2">
      <c r="K4458" s="8"/>
    </row>
    <row r="4459" spans="11:11" x14ac:dyDescent="0.2">
      <c r="K4459" s="8"/>
    </row>
    <row r="4460" spans="11:11" x14ac:dyDescent="0.2">
      <c r="K4460" s="8"/>
    </row>
    <row r="4461" spans="11:11" x14ac:dyDescent="0.2">
      <c r="K4461" s="8"/>
    </row>
    <row r="4462" spans="11:11" x14ac:dyDescent="0.2">
      <c r="K4462" s="8"/>
    </row>
    <row r="4463" spans="11:11" x14ac:dyDescent="0.2">
      <c r="K4463" s="8"/>
    </row>
    <row r="4464" spans="11:11" x14ac:dyDescent="0.2">
      <c r="K4464" s="8"/>
    </row>
    <row r="4465" spans="11:11" x14ac:dyDescent="0.2">
      <c r="K4465" s="8"/>
    </row>
    <row r="4466" spans="11:11" x14ac:dyDescent="0.2">
      <c r="K4466" s="8"/>
    </row>
    <row r="4467" spans="11:11" x14ac:dyDescent="0.2">
      <c r="K4467" s="8"/>
    </row>
    <row r="4468" spans="11:11" x14ac:dyDescent="0.2">
      <c r="K4468" s="8"/>
    </row>
    <row r="4469" spans="11:11" x14ac:dyDescent="0.2">
      <c r="K4469" s="8"/>
    </row>
    <row r="4470" spans="11:11" x14ac:dyDescent="0.2">
      <c r="K4470" s="8"/>
    </row>
    <row r="4471" spans="11:11" x14ac:dyDescent="0.2">
      <c r="K4471" s="8"/>
    </row>
    <row r="4472" spans="11:11" x14ac:dyDescent="0.2">
      <c r="K4472" s="8"/>
    </row>
    <row r="4473" spans="11:11" x14ac:dyDescent="0.2">
      <c r="K4473" s="8"/>
    </row>
    <row r="4474" spans="11:11" x14ac:dyDescent="0.2">
      <c r="K4474" s="8"/>
    </row>
    <row r="4475" spans="11:11" x14ac:dyDescent="0.2">
      <c r="K4475" s="8"/>
    </row>
    <row r="4476" spans="11:11" x14ac:dyDescent="0.2">
      <c r="K4476" s="8"/>
    </row>
    <row r="4477" spans="11:11" x14ac:dyDescent="0.2">
      <c r="K4477" s="8"/>
    </row>
    <row r="4478" spans="11:11" x14ac:dyDescent="0.2">
      <c r="K4478" s="8"/>
    </row>
    <row r="4479" spans="11:11" x14ac:dyDescent="0.2">
      <c r="K4479" s="8"/>
    </row>
    <row r="4480" spans="11:11" x14ac:dyDescent="0.2">
      <c r="K4480" s="8"/>
    </row>
    <row r="4481" spans="11:11" x14ac:dyDescent="0.2">
      <c r="K4481" s="8"/>
    </row>
    <row r="4482" spans="11:11" x14ac:dyDescent="0.2">
      <c r="K4482" s="8"/>
    </row>
    <row r="4483" spans="11:11" x14ac:dyDescent="0.2">
      <c r="K4483" s="8"/>
    </row>
    <row r="4484" spans="11:11" x14ac:dyDescent="0.2">
      <c r="K4484" s="8"/>
    </row>
    <row r="4485" spans="11:11" x14ac:dyDescent="0.2">
      <c r="K4485" s="8"/>
    </row>
    <row r="4486" spans="11:11" x14ac:dyDescent="0.2">
      <c r="K4486" s="8"/>
    </row>
    <row r="4487" spans="11:11" x14ac:dyDescent="0.2">
      <c r="K4487" s="8"/>
    </row>
    <row r="4488" spans="11:11" x14ac:dyDescent="0.2">
      <c r="K4488" s="8"/>
    </row>
    <row r="4489" spans="11:11" x14ac:dyDescent="0.2">
      <c r="K4489" s="8"/>
    </row>
    <row r="4490" spans="11:11" x14ac:dyDescent="0.2">
      <c r="K4490" s="8"/>
    </row>
    <row r="4491" spans="11:11" x14ac:dyDescent="0.2">
      <c r="K4491" s="8"/>
    </row>
    <row r="4492" spans="11:11" x14ac:dyDescent="0.2">
      <c r="K4492" s="8"/>
    </row>
    <row r="4493" spans="11:11" x14ac:dyDescent="0.2">
      <c r="K4493" s="8"/>
    </row>
    <row r="4494" spans="11:11" x14ac:dyDescent="0.2">
      <c r="K4494" s="8"/>
    </row>
    <row r="4495" spans="11:11" x14ac:dyDescent="0.2">
      <c r="K4495" s="8"/>
    </row>
    <row r="4496" spans="11:11" x14ac:dyDescent="0.2">
      <c r="K4496" s="8"/>
    </row>
    <row r="4497" spans="11:11" x14ac:dyDescent="0.2">
      <c r="K4497" s="8"/>
    </row>
    <row r="4498" spans="11:11" x14ac:dyDescent="0.2">
      <c r="K4498" s="8"/>
    </row>
    <row r="4499" spans="11:11" x14ac:dyDescent="0.2">
      <c r="K4499" s="8"/>
    </row>
    <row r="4500" spans="11:11" x14ac:dyDescent="0.2">
      <c r="K4500" s="8"/>
    </row>
    <row r="4501" spans="11:11" x14ac:dyDescent="0.2">
      <c r="K4501" s="8"/>
    </row>
    <row r="4502" spans="11:11" x14ac:dyDescent="0.2">
      <c r="K4502" s="8"/>
    </row>
    <row r="4503" spans="11:11" x14ac:dyDescent="0.2">
      <c r="K4503" s="8"/>
    </row>
    <row r="4504" spans="11:11" x14ac:dyDescent="0.2">
      <c r="K4504" s="8"/>
    </row>
    <row r="4505" spans="11:11" x14ac:dyDescent="0.2">
      <c r="K4505" s="8"/>
    </row>
    <row r="4506" spans="11:11" x14ac:dyDescent="0.2">
      <c r="K4506" s="8"/>
    </row>
    <row r="4507" spans="11:11" x14ac:dyDescent="0.2">
      <c r="K4507" s="8"/>
    </row>
    <row r="4508" spans="11:11" x14ac:dyDescent="0.2">
      <c r="K4508" s="8"/>
    </row>
    <row r="4509" spans="11:11" x14ac:dyDescent="0.2">
      <c r="K4509" s="8"/>
    </row>
    <row r="4510" spans="11:11" x14ac:dyDescent="0.2">
      <c r="K4510" s="8"/>
    </row>
    <row r="4511" spans="11:11" x14ac:dyDescent="0.2">
      <c r="K4511" s="8"/>
    </row>
    <row r="4512" spans="11:11" x14ac:dyDescent="0.2">
      <c r="K4512" s="8"/>
    </row>
    <row r="4513" spans="11:11" x14ac:dyDescent="0.2">
      <c r="K4513" s="8"/>
    </row>
    <row r="4514" spans="11:11" x14ac:dyDescent="0.2">
      <c r="K4514" s="8"/>
    </row>
    <row r="4515" spans="11:11" x14ac:dyDescent="0.2">
      <c r="K4515" s="8"/>
    </row>
    <row r="4516" spans="11:11" x14ac:dyDescent="0.2">
      <c r="K4516" s="8"/>
    </row>
    <row r="4517" spans="11:11" x14ac:dyDescent="0.2">
      <c r="K4517" s="8"/>
    </row>
    <row r="4518" spans="11:11" x14ac:dyDescent="0.2">
      <c r="K4518" s="8"/>
    </row>
    <row r="4519" spans="11:11" x14ac:dyDescent="0.2">
      <c r="K4519" s="8"/>
    </row>
    <row r="4520" spans="11:11" x14ac:dyDescent="0.2">
      <c r="K4520" s="8"/>
    </row>
    <row r="4521" spans="11:11" x14ac:dyDescent="0.2">
      <c r="K4521" s="8"/>
    </row>
    <row r="4522" spans="11:11" x14ac:dyDescent="0.2">
      <c r="K4522" s="8"/>
    </row>
    <row r="4523" spans="11:11" x14ac:dyDescent="0.2">
      <c r="K4523" s="8"/>
    </row>
    <row r="4524" spans="11:11" x14ac:dyDescent="0.2">
      <c r="K4524" s="8"/>
    </row>
    <row r="4525" spans="11:11" x14ac:dyDescent="0.2">
      <c r="K4525" s="8"/>
    </row>
    <row r="4526" spans="11:11" x14ac:dyDescent="0.2">
      <c r="K4526" s="8"/>
    </row>
    <row r="4527" spans="11:11" x14ac:dyDescent="0.2">
      <c r="K4527" s="8"/>
    </row>
    <row r="4528" spans="11:11" x14ac:dyDescent="0.2">
      <c r="K4528" s="8"/>
    </row>
    <row r="4529" spans="11:11" x14ac:dyDescent="0.2">
      <c r="K4529" s="8"/>
    </row>
    <row r="4530" spans="11:11" x14ac:dyDescent="0.2">
      <c r="K4530" s="8"/>
    </row>
    <row r="4531" spans="11:11" x14ac:dyDescent="0.2">
      <c r="K4531" s="8"/>
    </row>
    <row r="4532" spans="11:11" x14ac:dyDescent="0.2">
      <c r="K4532" s="8"/>
    </row>
    <row r="4533" spans="11:11" x14ac:dyDescent="0.2">
      <c r="K4533" s="8"/>
    </row>
    <row r="4534" spans="11:11" x14ac:dyDescent="0.2">
      <c r="K4534" s="8"/>
    </row>
    <row r="4535" spans="11:11" x14ac:dyDescent="0.2">
      <c r="K4535" s="8"/>
    </row>
    <row r="4536" spans="11:11" x14ac:dyDescent="0.2">
      <c r="K4536" s="8"/>
    </row>
    <row r="4537" spans="11:11" x14ac:dyDescent="0.2">
      <c r="K4537" s="8"/>
    </row>
    <row r="4538" spans="11:11" x14ac:dyDescent="0.2">
      <c r="K4538" s="8"/>
    </row>
    <row r="4539" spans="11:11" x14ac:dyDescent="0.2">
      <c r="K4539" s="8"/>
    </row>
    <row r="4540" spans="11:11" x14ac:dyDescent="0.2">
      <c r="K4540" s="8"/>
    </row>
    <row r="4541" spans="11:11" x14ac:dyDescent="0.2">
      <c r="K4541" s="8"/>
    </row>
    <row r="4542" spans="11:11" x14ac:dyDescent="0.2">
      <c r="K4542" s="8"/>
    </row>
    <row r="4543" spans="11:11" x14ac:dyDescent="0.2">
      <c r="K4543" s="8"/>
    </row>
    <row r="4544" spans="11:11" x14ac:dyDescent="0.2">
      <c r="K4544" s="8"/>
    </row>
    <row r="4545" spans="11:11" x14ac:dyDescent="0.2">
      <c r="K4545" s="8"/>
    </row>
    <row r="4546" spans="11:11" x14ac:dyDescent="0.2">
      <c r="K4546" s="8"/>
    </row>
    <row r="4547" spans="11:11" x14ac:dyDescent="0.2">
      <c r="K4547" s="8"/>
    </row>
    <row r="4548" spans="11:11" x14ac:dyDescent="0.2">
      <c r="K4548" s="8"/>
    </row>
    <row r="4549" spans="11:11" x14ac:dyDescent="0.2">
      <c r="K4549" s="8"/>
    </row>
    <row r="4550" spans="11:11" x14ac:dyDescent="0.2">
      <c r="K4550" s="8"/>
    </row>
    <row r="4551" spans="11:11" x14ac:dyDescent="0.2">
      <c r="K4551" s="8"/>
    </row>
    <row r="4552" spans="11:11" x14ac:dyDescent="0.2">
      <c r="K4552" s="8"/>
    </row>
    <row r="4553" spans="11:11" x14ac:dyDescent="0.2">
      <c r="K4553" s="8"/>
    </row>
    <row r="4554" spans="11:11" x14ac:dyDescent="0.2">
      <c r="K4554" s="8"/>
    </row>
    <row r="4555" spans="11:11" x14ac:dyDescent="0.2">
      <c r="K4555" s="8"/>
    </row>
    <row r="4556" spans="11:11" x14ac:dyDescent="0.2">
      <c r="K4556" s="8"/>
    </row>
    <row r="4557" spans="11:11" x14ac:dyDescent="0.2">
      <c r="K4557" s="8"/>
    </row>
    <row r="4558" spans="11:11" x14ac:dyDescent="0.2">
      <c r="K4558" s="8"/>
    </row>
    <row r="4559" spans="11:11" x14ac:dyDescent="0.2">
      <c r="K4559" s="8"/>
    </row>
    <row r="4560" spans="11:11" x14ac:dyDescent="0.2">
      <c r="K4560" s="8"/>
    </row>
    <row r="4561" spans="11:11" x14ac:dyDescent="0.2">
      <c r="K4561" s="8"/>
    </row>
    <row r="4562" spans="11:11" x14ac:dyDescent="0.2">
      <c r="K4562" s="8"/>
    </row>
    <row r="4563" spans="11:11" x14ac:dyDescent="0.2">
      <c r="K4563" s="8"/>
    </row>
    <row r="4564" spans="11:11" x14ac:dyDescent="0.2">
      <c r="K4564" s="8"/>
    </row>
    <row r="4565" spans="11:11" x14ac:dyDescent="0.2">
      <c r="K4565" s="8"/>
    </row>
    <row r="4566" spans="11:11" x14ac:dyDescent="0.2">
      <c r="K4566" s="8"/>
    </row>
    <row r="4567" spans="11:11" x14ac:dyDescent="0.2">
      <c r="K4567" s="8"/>
    </row>
    <row r="4568" spans="11:11" x14ac:dyDescent="0.2">
      <c r="K4568" s="8"/>
    </row>
    <row r="4569" spans="11:11" x14ac:dyDescent="0.2">
      <c r="K4569" s="8"/>
    </row>
    <row r="4570" spans="11:11" x14ac:dyDescent="0.2">
      <c r="K4570" s="8"/>
    </row>
    <row r="4571" spans="11:11" x14ac:dyDescent="0.2">
      <c r="K4571" s="8"/>
    </row>
    <row r="4572" spans="11:11" x14ac:dyDescent="0.2">
      <c r="K4572" s="8"/>
    </row>
    <row r="4573" spans="11:11" x14ac:dyDescent="0.2">
      <c r="K4573" s="8"/>
    </row>
    <row r="4574" spans="11:11" x14ac:dyDescent="0.2">
      <c r="K4574" s="8"/>
    </row>
    <row r="4575" spans="11:11" x14ac:dyDescent="0.2">
      <c r="K4575" s="8"/>
    </row>
    <row r="4576" spans="11:11" x14ac:dyDescent="0.2">
      <c r="K4576" s="8"/>
    </row>
    <row r="4577" spans="11:11" x14ac:dyDescent="0.2">
      <c r="K4577" s="8"/>
    </row>
    <row r="4578" spans="11:11" x14ac:dyDescent="0.2">
      <c r="K4578" s="8"/>
    </row>
    <row r="4579" spans="11:11" x14ac:dyDescent="0.2">
      <c r="K4579" s="8"/>
    </row>
    <row r="4580" spans="11:11" x14ac:dyDescent="0.2">
      <c r="K4580" s="8"/>
    </row>
    <row r="4581" spans="11:11" x14ac:dyDescent="0.2">
      <c r="K4581" s="8"/>
    </row>
    <row r="4582" spans="11:11" x14ac:dyDescent="0.2">
      <c r="K4582" s="8"/>
    </row>
    <row r="4583" spans="11:11" x14ac:dyDescent="0.2">
      <c r="K4583" s="8"/>
    </row>
    <row r="4584" spans="11:11" x14ac:dyDescent="0.2">
      <c r="K4584" s="8"/>
    </row>
    <row r="4585" spans="11:11" x14ac:dyDescent="0.2">
      <c r="K4585" s="8"/>
    </row>
    <row r="4586" spans="11:11" x14ac:dyDescent="0.2">
      <c r="K4586" s="8"/>
    </row>
    <row r="4587" spans="11:11" x14ac:dyDescent="0.2">
      <c r="K4587" s="8"/>
    </row>
    <row r="4588" spans="11:11" x14ac:dyDescent="0.2">
      <c r="K4588" s="8"/>
    </row>
    <row r="4589" spans="11:11" x14ac:dyDescent="0.2">
      <c r="K4589" s="8"/>
    </row>
    <row r="4590" spans="11:11" x14ac:dyDescent="0.2">
      <c r="K4590" s="8"/>
    </row>
    <row r="4591" spans="11:11" x14ac:dyDescent="0.2">
      <c r="K4591" s="8"/>
    </row>
    <row r="4592" spans="11:11" x14ac:dyDescent="0.2">
      <c r="K4592" s="8"/>
    </row>
    <row r="4593" spans="11:11" x14ac:dyDescent="0.2">
      <c r="K4593" s="8"/>
    </row>
    <row r="4594" spans="11:11" x14ac:dyDescent="0.2">
      <c r="K4594" s="8"/>
    </row>
    <row r="4595" spans="11:11" x14ac:dyDescent="0.2">
      <c r="K4595" s="8"/>
    </row>
    <row r="4596" spans="11:11" x14ac:dyDescent="0.2">
      <c r="K4596" s="8"/>
    </row>
    <row r="4597" spans="11:11" x14ac:dyDescent="0.2">
      <c r="K4597" s="8"/>
    </row>
    <row r="4598" spans="11:11" x14ac:dyDescent="0.2">
      <c r="K4598" s="8"/>
    </row>
    <row r="4599" spans="11:11" x14ac:dyDescent="0.2">
      <c r="K4599" s="8"/>
    </row>
    <row r="4600" spans="11:11" x14ac:dyDescent="0.2">
      <c r="K4600" s="8"/>
    </row>
    <row r="4601" spans="11:11" x14ac:dyDescent="0.2">
      <c r="K4601" s="8"/>
    </row>
    <row r="4602" spans="11:11" x14ac:dyDescent="0.2">
      <c r="K4602" s="8"/>
    </row>
    <row r="4603" spans="11:11" x14ac:dyDescent="0.2">
      <c r="K4603" s="8"/>
    </row>
    <row r="4604" spans="11:11" x14ac:dyDescent="0.2">
      <c r="K4604" s="8"/>
    </row>
    <row r="4605" spans="11:11" x14ac:dyDescent="0.2">
      <c r="K4605" s="8"/>
    </row>
    <row r="4606" spans="11:11" x14ac:dyDescent="0.2">
      <c r="K4606" s="8"/>
    </row>
    <row r="4607" spans="11:11" x14ac:dyDescent="0.2">
      <c r="K4607" s="8"/>
    </row>
    <row r="4608" spans="11:11" x14ac:dyDescent="0.2">
      <c r="K4608" s="8"/>
    </row>
    <row r="4609" spans="11:11" x14ac:dyDescent="0.2">
      <c r="K4609" s="8"/>
    </row>
    <row r="4610" spans="11:11" x14ac:dyDescent="0.2">
      <c r="K4610" s="8"/>
    </row>
    <row r="4611" spans="11:11" x14ac:dyDescent="0.2">
      <c r="K4611" s="8"/>
    </row>
    <row r="4612" spans="11:11" x14ac:dyDescent="0.2">
      <c r="K4612" s="8"/>
    </row>
    <row r="4613" spans="11:11" x14ac:dyDescent="0.2">
      <c r="K4613" s="8"/>
    </row>
    <row r="4614" spans="11:11" x14ac:dyDescent="0.2">
      <c r="K4614" s="8"/>
    </row>
    <row r="4615" spans="11:11" x14ac:dyDescent="0.2">
      <c r="K4615" s="8"/>
    </row>
    <row r="4616" spans="11:11" x14ac:dyDescent="0.2">
      <c r="K4616" s="8"/>
    </row>
    <row r="4617" spans="11:11" x14ac:dyDescent="0.2">
      <c r="K4617" s="8"/>
    </row>
    <row r="4618" spans="11:11" x14ac:dyDescent="0.2">
      <c r="K4618" s="8"/>
    </row>
    <row r="4619" spans="11:11" x14ac:dyDescent="0.2">
      <c r="K4619" s="8"/>
    </row>
    <row r="4620" spans="11:11" x14ac:dyDescent="0.2">
      <c r="K4620" s="8"/>
    </row>
    <row r="4621" spans="11:11" x14ac:dyDescent="0.2">
      <c r="K4621" s="8"/>
    </row>
    <row r="4622" spans="11:11" x14ac:dyDescent="0.2">
      <c r="K4622" s="8"/>
    </row>
    <row r="4623" spans="11:11" x14ac:dyDescent="0.2">
      <c r="K4623" s="8"/>
    </row>
    <row r="4624" spans="11:11" x14ac:dyDescent="0.2">
      <c r="K4624" s="8"/>
    </row>
    <row r="4625" spans="11:11" x14ac:dyDescent="0.2">
      <c r="K4625" s="8"/>
    </row>
    <row r="4626" spans="11:11" x14ac:dyDescent="0.2">
      <c r="K4626" s="8"/>
    </row>
    <row r="4627" spans="11:11" x14ac:dyDescent="0.2">
      <c r="K4627" s="8"/>
    </row>
    <row r="4628" spans="11:11" x14ac:dyDescent="0.2">
      <c r="K4628" s="8"/>
    </row>
    <row r="4629" spans="11:11" x14ac:dyDescent="0.2">
      <c r="K4629" s="8"/>
    </row>
    <row r="4630" spans="11:11" x14ac:dyDescent="0.2">
      <c r="K4630" s="8"/>
    </row>
    <row r="4631" spans="11:11" x14ac:dyDescent="0.2">
      <c r="K4631" s="8"/>
    </row>
    <row r="4632" spans="11:11" x14ac:dyDescent="0.2">
      <c r="K4632" s="8"/>
    </row>
    <row r="4633" spans="11:11" x14ac:dyDescent="0.2">
      <c r="K4633" s="8"/>
    </row>
    <row r="4634" spans="11:11" x14ac:dyDescent="0.2">
      <c r="K4634" s="8"/>
    </row>
    <row r="4635" spans="11:11" x14ac:dyDescent="0.2">
      <c r="K4635" s="8"/>
    </row>
    <row r="4636" spans="11:11" x14ac:dyDescent="0.2">
      <c r="K4636" s="8"/>
    </row>
    <row r="4637" spans="11:11" x14ac:dyDescent="0.2">
      <c r="K4637" s="8"/>
    </row>
    <row r="4638" spans="11:11" x14ac:dyDescent="0.2">
      <c r="K4638" s="8"/>
    </row>
    <row r="4639" spans="11:11" x14ac:dyDescent="0.2">
      <c r="K4639" s="8"/>
    </row>
    <row r="4640" spans="11:11" x14ac:dyDescent="0.2">
      <c r="K4640" s="8"/>
    </row>
    <row r="4641" spans="11:11" x14ac:dyDescent="0.2">
      <c r="K4641" s="8"/>
    </row>
    <row r="4642" spans="11:11" x14ac:dyDescent="0.2">
      <c r="K4642" s="8"/>
    </row>
    <row r="4643" spans="11:11" x14ac:dyDescent="0.2">
      <c r="K4643" s="8"/>
    </row>
    <row r="4644" spans="11:11" x14ac:dyDescent="0.2">
      <c r="K4644" s="8"/>
    </row>
    <row r="4645" spans="11:11" x14ac:dyDescent="0.2">
      <c r="K4645" s="8"/>
    </row>
    <row r="4646" spans="11:11" x14ac:dyDescent="0.2">
      <c r="K4646" s="8"/>
    </row>
    <row r="4647" spans="11:11" x14ac:dyDescent="0.2">
      <c r="K4647" s="8"/>
    </row>
    <row r="4648" spans="11:11" x14ac:dyDescent="0.2">
      <c r="K4648" s="8"/>
    </row>
    <row r="4649" spans="11:11" x14ac:dyDescent="0.2">
      <c r="K4649" s="8"/>
    </row>
    <row r="4650" spans="11:11" x14ac:dyDescent="0.2">
      <c r="K4650" s="8"/>
    </row>
    <row r="4651" spans="11:11" x14ac:dyDescent="0.2">
      <c r="K4651" s="8"/>
    </row>
    <row r="4652" spans="11:11" x14ac:dyDescent="0.2">
      <c r="K4652" s="8"/>
    </row>
    <row r="4653" spans="11:11" x14ac:dyDescent="0.2">
      <c r="K4653" s="8"/>
    </row>
    <row r="4654" spans="11:11" x14ac:dyDescent="0.2">
      <c r="K4654" s="8"/>
    </row>
    <row r="4655" spans="11:11" x14ac:dyDescent="0.2">
      <c r="K4655" s="8"/>
    </row>
    <row r="4656" spans="11:11" x14ac:dyDescent="0.2">
      <c r="K4656" s="8"/>
    </row>
    <row r="4657" spans="11:11" x14ac:dyDescent="0.2">
      <c r="K4657" s="8"/>
    </row>
    <row r="4658" spans="11:11" x14ac:dyDescent="0.2">
      <c r="K4658" s="8"/>
    </row>
    <row r="4659" spans="11:11" x14ac:dyDescent="0.2">
      <c r="K4659" s="8"/>
    </row>
    <row r="4660" spans="11:11" x14ac:dyDescent="0.2">
      <c r="K4660" s="8"/>
    </row>
    <row r="4661" spans="11:11" x14ac:dyDescent="0.2">
      <c r="K4661" s="8"/>
    </row>
    <row r="4662" spans="11:11" x14ac:dyDescent="0.2">
      <c r="K4662" s="8"/>
    </row>
    <row r="4663" spans="11:11" x14ac:dyDescent="0.2">
      <c r="K4663" s="8"/>
    </row>
    <row r="4664" spans="11:11" x14ac:dyDescent="0.2">
      <c r="K4664" s="8"/>
    </row>
    <row r="4665" spans="11:11" x14ac:dyDescent="0.2">
      <c r="K4665" s="8"/>
    </row>
    <row r="4666" spans="11:11" x14ac:dyDescent="0.2">
      <c r="K4666" s="8"/>
    </row>
    <row r="4667" spans="11:11" x14ac:dyDescent="0.2">
      <c r="K4667" s="8"/>
    </row>
    <row r="4668" spans="11:11" x14ac:dyDescent="0.2">
      <c r="K4668" s="8"/>
    </row>
    <row r="4669" spans="11:11" x14ac:dyDescent="0.2">
      <c r="K4669" s="8"/>
    </row>
    <row r="4670" spans="11:11" x14ac:dyDescent="0.2">
      <c r="K4670" s="8"/>
    </row>
    <row r="4671" spans="11:11" x14ac:dyDescent="0.2">
      <c r="K4671" s="8"/>
    </row>
    <row r="4672" spans="11:11" x14ac:dyDescent="0.2">
      <c r="K4672" s="8"/>
    </row>
    <row r="4673" spans="11:11" x14ac:dyDescent="0.2">
      <c r="K4673" s="8"/>
    </row>
    <row r="4674" spans="11:11" x14ac:dyDescent="0.2">
      <c r="K4674" s="8"/>
    </row>
    <row r="4675" spans="11:11" x14ac:dyDescent="0.2">
      <c r="K4675" s="8"/>
    </row>
    <row r="4676" spans="11:11" x14ac:dyDescent="0.2">
      <c r="K4676" s="8"/>
    </row>
    <row r="4677" spans="11:11" x14ac:dyDescent="0.2">
      <c r="K4677" s="8"/>
    </row>
    <row r="4678" spans="11:11" x14ac:dyDescent="0.2">
      <c r="K4678" s="8"/>
    </row>
    <row r="4679" spans="11:11" x14ac:dyDescent="0.2">
      <c r="K4679" s="8"/>
    </row>
    <row r="4680" spans="11:11" x14ac:dyDescent="0.2">
      <c r="K4680" s="8"/>
    </row>
    <row r="4681" spans="11:11" x14ac:dyDescent="0.2">
      <c r="K4681" s="8"/>
    </row>
    <row r="4682" spans="11:11" x14ac:dyDescent="0.2">
      <c r="K4682" s="8"/>
    </row>
    <row r="4683" spans="11:11" x14ac:dyDescent="0.2">
      <c r="K4683" s="8"/>
    </row>
    <row r="4684" spans="11:11" x14ac:dyDescent="0.2">
      <c r="K4684" s="8"/>
    </row>
    <row r="4685" spans="11:11" x14ac:dyDescent="0.2">
      <c r="K4685" s="8"/>
    </row>
    <row r="4686" spans="11:11" x14ac:dyDescent="0.2">
      <c r="K4686" s="8"/>
    </row>
    <row r="4687" spans="11:11" x14ac:dyDescent="0.2">
      <c r="K4687" s="8"/>
    </row>
    <row r="4688" spans="11:11" x14ac:dyDescent="0.2">
      <c r="K4688" s="8"/>
    </row>
    <row r="4689" spans="11:11" x14ac:dyDescent="0.2">
      <c r="K4689" s="8"/>
    </row>
    <row r="4690" spans="11:11" x14ac:dyDescent="0.2">
      <c r="K4690" s="8"/>
    </row>
    <row r="4691" spans="11:11" x14ac:dyDescent="0.2">
      <c r="K4691" s="8"/>
    </row>
    <row r="4692" spans="11:11" x14ac:dyDescent="0.2">
      <c r="K4692" s="8"/>
    </row>
    <row r="4693" spans="11:11" x14ac:dyDescent="0.2">
      <c r="K4693" s="8"/>
    </row>
    <row r="4694" spans="11:11" x14ac:dyDescent="0.2">
      <c r="K4694" s="8"/>
    </row>
    <row r="4695" spans="11:11" x14ac:dyDescent="0.2">
      <c r="K4695" s="8"/>
    </row>
    <row r="4696" spans="11:11" x14ac:dyDescent="0.2">
      <c r="K4696" s="8"/>
    </row>
    <row r="4697" spans="11:11" x14ac:dyDescent="0.2">
      <c r="K4697" s="8"/>
    </row>
    <row r="4698" spans="11:11" x14ac:dyDescent="0.2">
      <c r="K4698" s="8"/>
    </row>
    <row r="4699" spans="11:11" x14ac:dyDescent="0.2">
      <c r="K4699" s="8"/>
    </row>
    <row r="4700" spans="11:11" x14ac:dyDescent="0.2">
      <c r="K4700" s="8"/>
    </row>
    <row r="4701" spans="11:11" x14ac:dyDescent="0.2">
      <c r="K4701" s="8"/>
    </row>
    <row r="4702" spans="11:11" x14ac:dyDescent="0.2">
      <c r="K4702" s="8"/>
    </row>
    <row r="4703" spans="11:11" x14ac:dyDescent="0.2">
      <c r="K4703" s="8"/>
    </row>
    <row r="4704" spans="11:11" x14ac:dyDescent="0.2">
      <c r="K4704" s="8"/>
    </row>
    <row r="4705" spans="11:11" x14ac:dyDescent="0.2">
      <c r="K4705" s="8"/>
    </row>
    <row r="4706" spans="11:11" x14ac:dyDescent="0.2">
      <c r="K4706" s="8"/>
    </row>
    <row r="4707" spans="11:11" x14ac:dyDescent="0.2">
      <c r="K4707" s="8"/>
    </row>
    <row r="4708" spans="11:11" x14ac:dyDescent="0.2">
      <c r="K4708" s="8"/>
    </row>
    <row r="4709" spans="11:11" x14ac:dyDescent="0.2">
      <c r="K4709" s="8"/>
    </row>
    <row r="4710" spans="11:11" x14ac:dyDescent="0.2">
      <c r="K4710" s="8"/>
    </row>
    <row r="4711" spans="11:11" x14ac:dyDescent="0.2">
      <c r="K4711" s="8"/>
    </row>
    <row r="4712" spans="11:11" x14ac:dyDescent="0.2">
      <c r="K4712" s="8"/>
    </row>
    <row r="4713" spans="11:11" x14ac:dyDescent="0.2">
      <c r="K4713" s="8"/>
    </row>
    <row r="4714" spans="11:11" x14ac:dyDescent="0.2">
      <c r="K4714" s="8"/>
    </row>
    <row r="4715" spans="11:11" x14ac:dyDescent="0.2">
      <c r="K4715" s="8"/>
    </row>
    <row r="4716" spans="11:11" x14ac:dyDescent="0.2">
      <c r="K4716" s="8"/>
    </row>
    <row r="4717" spans="11:11" x14ac:dyDescent="0.2">
      <c r="K4717" s="8"/>
    </row>
    <row r="4718" spans="11:11" x14ac:dyDescent="0.2">
      <c r="K4718" s="8"/>
    </row>
    <row r="4719" spans="11:11" x14ac:dyDescent="0.2">
      <c r="K4719" s="8"/>
    </row>
    <row r="4720" spans="11:11" x14ac:dyDescent="0.2">
      <c r="K4720" s="8"/>
    </row>
    <row r="4721" spans="11:11" x14ac:dyDescent="0.2">
      <c r="K4721" s="8"/>
    </row>
    <row r="4722" spans="11:11" x14ac:dyDescent="0.2">
      <c r="K4722" s="8"/>
    </row>
    <row r="4723" spans="11:11" x14ac:dyDescent="0.2">
      <c r="K4723" s="8"/>
    </row>
    <row r="4724" spans="11:11" x14ac:dyDescent="0.2">
      <c r="K4724" s="8"/>
    </row>
    <row r="4725" spans="11:11" x14ac:dyDescent="0.2">
      <c r="K4725" s="8"/>
    </row>
    <row r="4726" spans="11:11" x14ac:dyDescent="0.2">
      <c r="K4726" s="8"/>
    </row>
    <row r="4727" spans="11:11" x14ac:dyDescent="0.2">
      <c r="K4727" s="8"/>
    </row>
    <row r="4728" spans="11:11" x14ac:dyDescent="0.2">
      <c r="K4728" s="8"/>
    </row>
    <row r="4729" spans="11:11" x14ac:dyDescent="0.2">
      <c r="K4729" s="8"/>
    </row>
    <row r="4730" spans="11:11" x14ac:dyDescent="0.2">
      <c r="K4730" s="8"/>
    </row>
    <row r="4731" spans="11:11" x14ac:dyDescent="0.2">
      <c r="K4731" s="8"/>
    </row>
    <row r="4732" spans="11:11" x14ac:dyDescent="0.2">
      <c r="K4732" s="8"/>
    </row>
    <row r="4733" spans="11:11" x14ac:dyDescent="0.2">
      <c r="K4733" s="8"/>
    </row>
    <row r="4734" spans="11:11" x14ac:dyDescent="0.2">
      <c r="K4734" s="8"/>
    </row>
    <row r="4735" spans="11:11" x14ac:dyDescent="0.2">
      <c r="K4735" s="8"/>
    </row>
    <row r="4736" spans="11:11" x14ac:dyDescent="0.2">
      <c r="K4736" s="8"/>
    </row>
    <row r="4737" spans="11:11" x14ac:dyDescent="0.2">
      <c r="K4737" s="8"/>
    </row>
    <row r="4738" spans="11:11" x14ac:dyDescent="0.2">
      <c r="K4738" s="8"/>
    </row>
    <row r="4739" spans="11:11" x14ac:dyDescent="0.2">
      <c r="K4739" s="8"/>
    </row>
    <row r="4740" spans="11:11" x14ac:dyDescent="0.2">
      <c r="K4740" s="8"/>
    </row>
    <row r="4741" spans="11:11" x14ac:dyDescent="0.2">
      <c r="K4741" s="8"/>
    </row>
    <row r="4742" spans="11:11" x14ac:dyDescent="0.2">
      <c r="K4742" s="8"/>
    </row>
    <row r="4743" spans="11:11" x14ac:dyDescent="0.2">
      <c r="K4743" s="8"/>
    </row>
    <row r="4744" spans="11:11" x14ac:dyDescent="0.2">
      <c r="K4744" s="8"/>
    </row>
    <row r="4745" spans="11:11" x14ac:dyDescent="0.2">
      <c r="K4745" s="8"/>
    </row>
    <row r="4746" spans="11:11" x14ac:dyDescent="0.2">
      <c r="K4746" s="8"/>
    </row>
    <row r="4747" spans="11:11" x14ac:dyDescent="0.2">
      <c r="K4747" s="8"/>
    </row>
    <row r="4748" spans="11:11" x14ac:dyDescent="0.2">
      <c r="K4748" s="8"/>
    </row>
    <row r="4749" spans="11:11" x14ac:dyDescent="0.2">
      <c r="K4749" s="8"/>
    </row>
    <row r="4750" spans="11:11" x14ac:dyDescent="0.2">
      <c r="K4750" s="8"/>
    </row>
    <row r="4751" spans="11:11" x14ac:dyDescent="0.2">
      <c r="K4751" s="8"/>
    </row>
    <row r="4752" spans="11:11" x14ac:dyDescent="0.2">
      <c r="K4752" s="8"/>
    </row>
    <row r="4753" spans="11:11" x14ac:dyDescent="0.2">
      <c r="K4753" s="8"/>
    </row>
    <row r="4754" spans="11:11" x14ac:dyDescent="0.2">
      <c r="K4754" s="8"/>
    </row>
    <row r="4755" spans="11:11" x14ac:dyDescent="0.2">
      <c r="K4755" s="8"/>
    </row>
    <row r="4756" spans="11:11" x14ac:dyDescent="0.2">
      <c r="K4756" s="8"/>
    </row>
    <row r="4757" spans="11:11" x14ac:dyDescent="0.2">
      <c r="K4757" s="8"/>
    </row>
    <row r="4758" spans="11:11" x14ac:dyDescent="0.2">
      <c r="K4758" s="8"/>
    </row>
    <row r="4759" spans="11:11" x14ac:dyDescent="0.2">
      <c r="K4759" s="8"/>
    </row>
    <row r="4760" spans="11:11" x14ac:dyDescent="0.2">
      <c r="K4760" s="8"/>
    </row>
    <row r="4761" spans="11:11" x14ac:dyDescent="0.2">
      <c r="K4761" s="8"/>
    </row>
    <row r="4762" spans="11:11" x14ac:dyDescent="0.2">
      <c r="K4762" s="8"/>
    </row>
    <row r="4763" spans="11:11" x14ac:dyDescent="0.2">
      <c r="K4763" s="8"/>
    </row>
    <row r="4764" spans="11:11" x14ac:dyDescent="0.2">
      <c r="K4764" s="8"/>
    </row>
    <row r="4765" spans="11:11" x14ac:dyDescent="0.2">
      <c r="K4765" s="8"/>
    </row>
    <row r="4766" spans="11:11" x14ac:dyDescent="0.2">
      <c r="K4766" s="8"/>
    </row>
    <row r="4767" spans="11:11" x14ac:dyDescent="0.2">
      <c r="K4767" s="8"/>
    </row>
    <row r="4768" spans="11:11" x14ac:dyDescent="0.2">
      <c r="K4768" s="8"/>
    </row>
    <row r="4769" spans="11:11" x14ac:dyDescent="0.2">
      <c r="K4769" s="8"/>
    </row>
    <row r="4770" spans="11:11" x14ac:dyDescent="0.2">
      <c r="K4770" s="8"/>
    </row>
    <row r="4771" spans="11:11" x14ac:dyDescent="0.2">
      <c r="K4771" s="8"/>
    </row>
    <row r="4772" spans="11:11" x14ac:dyDescent="0.2">
      <c r="K4772" s="8"/>
    </row>
    <row r="4773" spans="11:11" x14ac:dyDescent="0.2">
      <c r="K4773" s="8"/>
    </row>
    <row r="4774" spans="11:11" x14ac:dyDescent="0.2">
      <c r="K4774" s="8"/>
    </row>
    <row r="4775" spans="11:11" x14ac:dyDescent="0.2">
      <c r="K4775" s="8"/>
    </row>
    <row r="4776" spans="11:11" x14ac:dyDescent="0.2">
      <c r="K4776" s="8"/>
    </row>
    <row r="4777" spans="11:11" x14ac:dyDescent="0.2">
      <c r="K4777" s="8"/>
    </row>
    <row r="4778" spans="11:11" x14ac:dyDescent="0.2">
      <c r="K4778" s="8"/>
    </row>
    <row r="4779" spans="11:11" x14ac:dyDescent="0.2">
      <c r="K4779" s="8"/>
    </row>
    <row r="4780" spans="11:11" x14ac:dyDescent="0.2">
      <c r="K4780" s="8"/>
    </row>
    <row r="4781" spans="11:11" x14ac:dyDescent="0.2">
      <c r="K4781" s="8"/>
    </row>
    <row r="4782" spans="11:11" x14ac:dyDescent="0.2">
      <c r="K4782" s="8"/>
    </row>
    <row r="4783" spans="11:11" x14ac:dyDescent="0.2">
      <c r="K4783" s="8"/>
    </row>
    <row r="4784" spans="11:11" x14ac:dyDescent="0.2">
      <c r="K4784" s="8"/>
    </row>
    <row r="4785" spans="11:11" x14ac:dyDescent="0.2">
      <c r="K4785" s="8"/>
    </row>
    <row r="4786" spans="11:11" x14ac:dyDescent="0.2">
      <c r="K4786" s="8"/>
    </row>
    <row r="4787" spans="11:11" x14ac:dyDescent="0.2">
      <c r="K4787" s="8"/>
    </row>
    <row r="4788" spans="11:11" x14ac:dyDescent="0.2">
      <c r="K4788" s="8"/>
    </row>
    <row r="4789" spans="11:11" x14ac:dyDescent="0.2">
      <c r="K4789" s="8"/>
    </row>
    <row r="4790" spans="11:11" x14ac:dyDescent="0.2">
      <c r="K4790" s="8"/>
    </row>
    <row r="4791" spans="11:11" x14ac:dyDescent="0.2">
      <c r="K4791" s="8"/>
    </row>
    <row r="4792" spans="11:11" x14ac:dyDescent="0.2">
      <c r="K4792" s="8"/>
    </row>
    <row r="4793" spans="11:11" x14ac:dyDescent="0.2">
      <c r="K4793" s="8"/>
    </row>
    <row r="4794" spans="11:11" x14ac:dyDescent="0.2">
      <c r="K4794" s="8"/>
    </row>
    <row r="4795" spans="11:11" x14ac:dyDescent="0.2">
      <c r="K4795" s="8"/>
    </row>
    <row r="4796" spans="11:11" x14ac:dyDescent="0.2">
      <c r="K4796" s="8"/>
    </row>
    <row r="4797" spans="11:11" x14ac:dyDescent="0.2">
      <c r="K4797" s="8"/>
    </row>
    <row r="4798" spans="11:11" x14ac:dyDescent="0.2">
      <c r="K4798" s="8"/>
    </row>
    <row r="4799" spans="11:11" x14ac:dyDescent="0.2">
      <c r="K4799" s="8"/>
    </row>
    <row r="4800" spans="11:11" x14ac:dyDescent="0.2">
      <c r="K4800" s="8"/>
    </row>
    <row r="4801" spans="11:11" x14ac:dyDescent="0.2">
      <c r="K4801" s="8"/>
    </row>
    <row r="4802" spans="11:11" x14ac:dyDescent="0.2">
      <c r="K4802" s="8"/>
    </row>
    <row r="4803" spans="11:11" x14ac:dyDescent="0.2">
      <c r="K4803" s="8"/>
    </row>
    <row r="4804" spans="11:11" x14ac:dyDescent="0.2">
      <c r="K4804" s="8"/>
    </row>
    <row r="4805" spans="11:11" x14ac:dyDescent="0.2">
      <c r="K4805" s="8"/>
    </row>
    <row r="4806" spans="11:11" x14ac:dyDescent="0.2">
      <c r="K4806" s="8"/>
    </row>
    <row r="4807" spans="11:11" x14ac:dyDescent="0.2">
      <c r="K4807" s="8"/>
    </row>
    <row r="4808" spans="11:11" x14ac:dyDescent="0.2">
      <c r="K4808" s="8"/>
    </row>
    <row r="4809" spans="11:11" x14ac:dyDescent="0.2">
      <c r="K4809" s="8"/>
    </row>
    <row r="4810" spans="11:11" x14ac:dyDescent="0.2">
      <c r="K4810" s="8"/>
    </row>
    <row r="4811" spans="11:11" x14ac:dyDescent="0.2">
      <c r="K4811" s="8"/>
    </row>
    <row r="4812" spans="11:11" x14ac:dyDescent="0.2">
      <c r="K4812" s="8"/>
    </row>
    <row r="4813" spans="11:11" x14ac:dyDescent="0.2">
      <c r="K4813" s="8"/>
    </row>
    <row r="4814" spans="11:11" x14ac:dyDescent="0.2">
      <c r="K4814" s="8"/>
    </row>
    <row r="4815" spans="11:11" x14ac:dyDescent="0.2">
      <c r="K4815" s="8"/>
    </row>
    <row r="4816" spans="11:11" x14ac:dyDescent="0.2">
      <c r="K4816" s="8"/>
    </row>
    <row r="4817" spans="11:11" x14ac:dyDescent="0.2">
      <c r="K4817" s="8"/>
    </row>
    <row r="4818" spans="11:11" x14ac:dyDescent="0.2">
      <c r="K4818" s="8"/>
    </row>
    <row r="4819" spans="11:11" x14ac:dyDescent="0.2">
      <c r="K4819" s="8"/>
    </row>
    <row r="4820" spans="11:11" x14ac:dyDescent="0.2">
      <c r="K4820" s="8"/>
    </row>
    <row r="4821" spans="11:11" x14ac:dyDescent="0.2">
      <c r="K4821" s="8"/>
    </row>
    <row r="4822" spans="11:11" x14ac:dyDescent="0.2">
      <c r="K4822" s="8"/>
    </row>
    <row r="4823" spans="11:11" x14ac:dyDescent="0.2">
      <c r="K4823" s="8"/>
    </row>
    <row r="4824" spans="11:11" x14ac:dyDescent="0.2">
      <c r="K4824" s="8"/>
    </row>
    <row r="4825" spans="11:11" x14ac:dyDescent="0.2">
      <c r="K4825" s="8"/>
    </row>
    <row r="4826" spans="11:11" x14ac:dyDescent="0.2">
      <c r="K4826" s="8"/>
    </row>
    <row r="4827" spans="11:11" x14ac:dyDescent="0.2">
      <c r="K4827" s="8"/>
    </row>
    <row r="4828" spans="11:11" x14ac:dyDescent="0.2">
      <c r="K4828" s="8"/>
    </row>
    <row r="4829" spans="11:11" x14ac:dyDescent="0.2">
      <c r="K4829" s="8"/>
    </row>
    <row r="4830" spans="11:11" x14ac:dyDescent="0.2">
      <c r="K4830" s="8"/>
    </row>
    <row r="4831" spans="11:11" x14ac:dyDescent="0.2">
      <c r="K4831" s="8"/>
    </row>
    <row r="4832" spans="11:11" x14ac:dyDescent="0.2">
      <c r="K4832" s="8"/>
    </row>
    <row r="4833" spans="11:11" x14ac:dyDescent="0.2">
      <c r="K4833" s="8"/>
    </row>
    <row r="4834" spans="11:11" x14ac:dyDescent="0.2">
      <c r="K4834" s="8"/>
    </row>
    <row r="4835" spans="11:11" x14ac:dyDescent="0.2">
      <c r="K4835" s="8"/>
    </row>
    <row r="4836" spans="11:11" x14ac:dyDescent="0.2">
      <c r="K4836" s="8"/>
    </row>
    <row r="4837" spans="11:11" x14ac:dyDescent="0.2">
      <c r="K4837" s="8"/>
    </row>
    <row r="4838" spans="11:11" x14ac:dyDescent="0.2">
      <c r="K4838" s="8"/>
    </row>
    <row r="4839" spans="11:11" x14ac:dyDescent="0.2">
      <c r="K4839" s="8"/>
    </row>
    <row r="4840" spans="11:11" x14ac:dyDescent="0.2">
      <c r="K4840" s="8"/>
    </row>
    <row r="4841" spans="11:11" x14ac:dyDescent="0.2">
      <c r="K4841" s="8"/>
    </row>
    <row r="4842" spans="11:11" x14ac:dyDescent="0.2">
      <c r="K4842" s="8"/>
    </row>
    <row r="4843" spans="11:11" x14ac:dyDescent="0.2">
      <c r="K4843" s="8"/>
    </row>
    <row r="4844" spans="11:11" x14ac:dyDescent="0.2">
      <c r="K4844" s="8"/>
    </row>
    <row r="4845" spans="11:11" x14ac:dyDescent="0.2">
      <c r="K4845" s="8"/>
    </row>
    <row r="4846" spans="11:11" x14ac:dyDescent="0.2">
      <c r="K4846" s="8"/>
    </row>
    <row r="4847" spans="11:11" x14ac:dyDescent="0.2">
      <c r="K4847" s="8"/>
    </row>
    <row r="4848" spans="11:11" x14ac:dyDescent="0.2">
      <c r="K4848" s="8"/>
    </row>
    <row r="4849" spans="11:11" x14ac:dyDescent="0.2">
      <c r="K4849" s="8"/>
    </row>
    <row r="4850" spans="11:11" x14ac:dyDescent="0.2">
      <c r="K4850" s="8"/>
    </row>
    <row r="4851" spans="11:11" x14ac:dyDescent="0.2">
      <c r="K4851" s="8"/>
    </row>
    <row r="4852" spans="11:11" x14ac:dyDescent="0.2">
      <c r="K4852" s="8"/>
    </row>
    <row r="4853" spans="11:11" x14ac:dyDescent="0.2">
      <c r="K4853" s="8"/>
    </row>
    <row r="4854" spans="11:11" x14ac:dyDescent="0.2">
      <c r="K4854" s="8"/>
    </row>
    <row r="4855" spans="11:11" x14ac:dyDescent="0.2">
      <c r="K4855" s="8"/>
    </row>
    <row r="4856" spans="11:11" x14ac:dyDescent="0.2">
      <c r="K4856" s="8"/>
    </row>
    <row r="4857" spans="11:11" x14ac:dyDescent="0.2">
      <c r="K4857" s="8"/>
    </row>
    <row r="4858" spans="11:11" x14ac:dyDescent="0.2">
      <c r="K4858" s="8"/>
    </row>
    <row r="4859" spans="11:11" x14ac:dyDescent="0.2">
      <c r="K4859" s="8"/>
    </row>
    <row r="4860" spans="11:11" x14ac:dyDescent="0.2">
      <c r="K4860" s="8"/>
    </row>
    <row r="4861" spans="11:11" x14ac:dyDescent="0.2">
      <c r="K4861" s="8"/>
    </row>
    <row r="4862" spans="11:11" x14ac:dyDescent="0.2">
      <c r="K4862" s="8"/>
    </row>
    <row r="4863" spans="11:11" x14ac:dyDescent="0.2">
      <c r="K4863" s="8"/>
    </row>
    <row r="4864" spans="11:11" x14ac:dyDescent="0.2">
      <c r="K4864" s="8"/>
    </row>
    <row r="4865" spans="11:11" x14ac:dyDescent="0.2">
      <c r="K4865" s="8"/>
    </row>
    <row r="4866" spans="11:11" x14ac:dyDescent="0.2">
      <c r="K4866" s="8"/>
    </row>
    <row r="4867" spans="11:11" x14ac:dyDescent="0.2">
      <c r="K4867" s="8"/>
    </row>
    <row r="4868" spans="11:11" x14ac:dyDescent="0.2">
      <c r="K4868" s="8"/>
    </row>
    <row r="4869" spans="11:11" x14ac:dyDescent="0.2">
      <c r="K4869" s="8"/>
    </row>
    <row r="4870" spans="11:11" x14ac:dyDescent="0.2">
      <c r="K4870" s="8"/>
    </row>
    <row r="4871" spans="11:11" x14ac:dyDescent="0.2">
      <c r="K4871" s="8"/>
    </row>
    <row r="4872" spans="11:11" x14ac:dyDescent="0.2">
      <c r="K4872" s="8"/>
    </row>
    <row r="4873" spans="11:11" x14ac:dyDescent="0.2">
      <c r="K4873" s="8"/>
    </row>
    <row r="4874" spans="11:11" x14ac:dyDescent="0.2">
      <c r="K4874" s="8"/>
    </row>
    <row r="4875" spans="11:11" x14ac:dyDescent="0.2">
      <c r="K4875" s="8"/>
    </row>
    <row r="4876" spans="11:11" x14ac:dyDescent="0.2">
      <c r="K4876" s="8"/>
    </row>
    <row r="4877" spans="11:11" x14ac:dyDescent="0.2">
      <c r="K4877" s="8"/>
    </row>
    <row r="4878" spans="11:11" x14ac:dyDescent="0.2">
      <c r="K4878" s="8"/>
    </row>
    <row r="4879" spans="11:11" x14ac:dyDescent="0.2">
      <c r="K4879" s="8"/>
    </row>
    <row r="4880" spans="11:11" x14ac:dyDescent="0.2">
      <c r="K4880" s="8"/>
    </row>
    <row r="4881" spans="11:11" x14ac:dyDescent="0.2">
      <c r="K4881" s="8"/>
    </row>
    <row r="4882" spans="11:11" x14ac:dyDescent="0.2">
      <c r="K4882" s="8"/>
    </row>
    <row r="4883" spans="11:11" x14ac:dyDescent="0.2">
      <c r="K4883" s="8"/>
    </row>
    <row r="4884" spans="11:11" x14ac:dyDescent="0.2">
      <c r="K4884" s="8"/>
    </row>
    <row r="4885" spans="11:11" x14ac:dyDescent="0.2">
      <c r="K4885" s="8"/>
    </row>
    <row r="4886" spans="11:11" x14ac:dyDescent="0.2">
      <c r="K4886" s="8"/>
    </row>
    <row r="4887" spans="11:11" x14ac:dyDescent="0.2">
      <c r="K4887" s="8"/>
    </row>
    <row r="4888" spans="11:11" x14ac:dyDescent="0.2">
      <c r="K4888" s="8"/>
    </row>
    <row r="4889" spans="11:11" x14ac:dyDescent="0.2">
      <c r="K4889" s="8"/>
    </row>
    <row r="4890" spans="11:11" x14ac:dyDescent="0.2">
      <c r="K4890" s="8"/>
    </row>
    <row r="4891" spans="11:11" x14ac:dyDescent="0.2">
      <c r="K4891" s="8"/>
    </row>
    <row r="4892" spans="11:11" x14ac:dyDescent="0.2">
      <c r="K4892" s="8"/>
    </row>
    <row r="4893" spans="11:11" x14ac:dyDescent="0.2">
      <c r="K4893" s="8"/>
    </row>
    <row r="4894" spans="11:11" x14ac:dyDescent="0.2">
      <c r="K4894" s="8"/>
    </row>
    <row r="4895" spans="11:11" x14ac:dyDescent="0.2">
      <c r="K4895" s="8"/>
    </row>
    <row r="4896" spans="11:11" x14ac:dyDescent="0.2">
      <c r="K4896" s="8"/>
    </row>
    <row r="4897" spans="11:11" x14ac:dyDescent="0.2">
      <c r="K4897" s="8"/>
    </row>
    <row r="4898" spans="11:11" x14ac:dyDescent="0.2">
      <c r="K4898" s="8"/>
    </row>
    <row r="4899" spans="11:11" x14ac:dyDescent="0.2">
      <c r="K4899" s="8"/>
    </row>
    <row r="4900" spans="11:11" x14ac:dyDescent="0.2">
      <c r="K4900" s="8"/>
    </row>
    <row r="4901" spans="11:11" x14ac:dyDescent="0.2">
      <c r="K4901" s="8"/>
    </row>
    <row r="4902" spans="11:11" x14ac:dyDescent="0.2">
      <c r="K4902" s="8"/>
    </row>
    <row r="4903" spans="11:11" x14ac:dyDescent="0.2">
      <c r="K4903" s="8"/>
    </row>
    <row r="4904" spans="11:11" x14ac:dyDescent="0.2">
      <c r="K4904" s="8"/>
    </row>
    <row r="4905" spans="11:11" x14ac:dyDescent="0.2">
      <c r="K4905" s="8"/>
    </row>
    <row r="4906" spans="11:11" x14ac:dyDescent="0.2">
      <c r="K4906" s="8"/>
    </row>
    <row r="4907" spans="11:11" x14ac:dyDescent="0.2">
      <c r="K4907" s="8"/>
    </row>
    <row r="4908" spans="11:11" x14ac:dyDescent="0.2">
      <c r="K4908" s="8"/>
    </row>
    <row r="4909" spans="11:11" x14ac:dyDescent="0.2">
      <c r="K4909" s="8"/>
    </row>
    <row r="4910" spans="11:11" x14ac:dyDescent="0.2">
      <c r="K4910" s="8"/>
    </row>
    <row r="4911" spans="11:11" x14ac:dyDescent="0.2">
      <c r="K4911" s="8"/>
    </row>
    <row r="4912" spans="11:11" x14ac:dyDescent="0.2">
      <c r="K4912" s="8"/>
    </row>
    <row r="4913" spans="11:11" x14ac:dyDescent="0.2">
      <c r="K4913" s="8"/>
    </row>
    <row r="4914" spans="11:11" x14ac:dyDescent="0.2">
      <c r="K4914" s="8"/>
    </row>
    <row r="4915" spans="11:11" x14ac:dyDescent="0.2">
      <c r="K4915" s="8"/>
    </row>
    <row r="4916" spans="11:11" x14ac:dyDescent="0.2">
      <c r="K4916" s="8"/>
    </row>
    <row r="4917" spans="11:11" x14ac:dyDescent="0.2">
      <c r="K4917" s="8"/>
    </row>
    <row r="4918" spans="11:11" x14ac:dyDescent="0.2">
      <c r="K4918" s="8"/>
    </row>
    <row r="4919" spans="11:11" x14ac:dyDescent="0.2">
      <c r="K4919" s="8"/>
    </row>
    <row r="4920" spans="11:11" x14ac:dyDescent="0.2">
      <c r="K4920" s="8"/>
    </row>
    <row r="4921" spans="11:11" x14ac:dyDescent="0.2">
      <c r="K4921" s="8"/>
    </row>
    <row r="4922" spans="11:11" x14ac:dyDescent="0.2">
      <c r="K4922" s="8"/>
    </row>
    <row r="4923" spans="11:11" x14ac:dyDescent="0.2">
      <c r="K4923" s="8"/>
    </row>
    <row r="4924" spans="11:11" x14ac:dyDescent="0.2">
      <c r="K4924" s="8"/>
    </row>
    <row r="4925" spans="11:11" x14ac:dyDescent="0.2">
      <c r="K4925" s="8"/>
    </row>
    <row r="4926" spans="11:11" x14ac:dyDescent="0.2">
      <c r="K4926" s="8"/>
    </row>
    <row r="4927" spans="11:11" x14ac:dyDescent="0.2">
      <c r="K4927" s="8"/>
    </row>
    <row r="4928" spans="11:11" x14ac:dyDescent="0.2">
      <c r="K4928" s="8"/>
    </row>
    <row r="4929" spans="11:11" x14ac:dyDescent="0.2">
      <c r="K4929" s="8"/>
    </row>
    <row r="4930" spans="11:11" x14ac:dyDescent="0.2">
      <c r="K4930" s="8"/>
    </row>
    <row r="4931" spans="11:11" x14ac:dyDescent="0.2">
      <c r="K4931" s="8"/>
    </row>
    <row r="4932" spans="11:11" x14ac:dyDescent="0.2">
      <c r="K4932" s="8"/>
    </row>
    <row r="4933" spans="11:11" x14ac:dyDescent="0.2">
      <c r="K4933" s="8"/>
    </row>
    <row r="4934" spans="11:11" x14ac:dyDescent="0.2">
      <c r="K4934" s="8"/>
    </row>
    <row r="4935" spans="11:11" x14ac:dyDescent="0.2">
      <c r="K4935" s="8"/>
    </row>
    <row r="4936" spans="11:11" x14ac:dyDescent="0.2">
      <c r="K4936" s="8"/>
    </row>
    <row r="4937" spans="11:11" x14ac:dyDescent="0.2">
      <c r="K4937" s="8"/>
    </row>
    <row r="4938" spans="11:11" x14ac:dyDescent="0.2">
      <c r="K4938" s="8"/>
    </row>
    <row r="4939" spans="11:11" x14ac:dyDescent="0.2">
      <c r="K4939" s="8"/>
    </row>
    <row r="4940" spans="11:11" x14ac:dyDescent="0.2">
      <c r="K4940" s="8"/>
    </row>
    <row r="4941" spans="11:11" x14ac:dyDescent="0.2">
      <c r="K4941" s="8"/>
    </row>
    <row r="4942" spans="11:11" x14ac:dyDescent="0.2">
      <c r="K4942" s="8"/>
    </row>
    <row r="4943" spans="11:11" x14ac:dyDescent="0.2">
      <c r="K4943" s="8"/>
    </row>
    <row r="4944" spans="11:11" x14ac:dyDescent="0.2">
      <c r="K4944" s="8"/>
    </row>
    <row r="4945" spans="11:11" x14ac:dyDescent="0.2">
      <c r="K4945" s="8"/>
    </row>
    <row r="4946" spans="11:11" x14ac:dyDescent="0.2">
      <c r="K4946" s="8"/>
    </row>
    <row r="4947" spans="11:11" x14ac:dyDescent="0.2">
      <c r="K4947" s="8"/>
    </row>
    <row r="4948" spans="11:11" x14ac:dyDescent="0.2">
      <c r="K4948" s="8"/>
    </row>
    <row r="4949" spans="11:11" x14ac:dyDescent="0.2">
      <c r="K4949" s="8"/>
    </row>
    <row r="4950" spans="11:11" x14ac:dyDescent="0.2">
      <c r="K4950" s="8"/>
    </row>
    <row r="4951" spans="11:11" x14ac:dyDescent="0.2">
      <c r="K4951" s="8"/>
    </row>
    <row r="4952" spans="11:11" x14ac:dyDescent="0.2">
      <c r="K4952" s="8"/>
    </row>
    <row r="4953" spans="11:11" x14ac:dyDescent="0.2">
      <c r="K4953" s="8"/>
    </row>
    <row r="4954" spans="11:11" x14ac:dyDescent="0.2">
      <c r="K4954" s="8"/>
    </row>
    <row r="4955" spans="11:11" x14ac:dyDescent="0.2">
      <c r="K4955" s="8"/>
    </row>
    <row r="4956" spans="11:11" x14ac:dyDescent="0.2">
      <c r="K4956" s="8"/>
    </row>
    <row r="4957" spans="11:11" x14ac:dyDescent="0.2">
      <c r="K4957" s="8"/>
    </row>
    <row r="4958" spans="11:11" x14ac:dyDescent="0.2">
      <c r="K4958" s="8"/>
    </row>
    <row r="4959" spans="11:11" x14ac:dyDescent="0.2">
      <c r="K4959" s="8"/>
    </row>
    <row r="4960" spans="11:11" x14ac:dyDescent="0.2">
      <c r="K4960" s="8"/>
    </row>
    <row r="4961" spans="11:11" x14ac:dyDescent="0.2">
      <c r="K4961" s="8"/>
    </row>
    <row r="4962" spans="11:11" x14ac:dyDescent="0.2">
      <c r="K4962" s="8"/>
    </row>
    <row r="4963" spans="11:11" x14ac:dyDescent="0.2">
      <c r="K4963" s="8"/>
    </row>
    <row r="4964" spans="11:11" x14ac:dyDescent="0.2">
      <c r="K4964" s="8"/>
    </row>
    <row r="4965" spans="11:11" x14ac:dyDescent="0.2">
      <c r="K4965" s="8"/>
    </row>
    <row r="4966" spans="11:11" x14ac:dyDescent="0.2">
      <c r="K4966" s="8"/>
    </row>
    <row r="4967" spans="11:11" x14ac:dyDescent="0.2">
      <c r="K4967" s="8"/>
    </row>
    <row r="4968" spans="11:11" x14ac:dyDescent="0.2">
      <c r="K4968" s="8"/>
    </row>
    <row r="4969" spans="11:11" x14ac:dyDescent="0.2">
      <c r="K4969" s="8"/>
    </row>
    <row r="4970" spans="11:11" x14ac:dyDescent="0.2">
      <c r="K4970" s="8"/>
    </row>
    <row r="4971" spans="11:11" x14ac:dyDescent="0.2">
      <c r="K4971" s="8"/>
    </row>
    <row r="4972" spans="11:11" x14ac:dyDescent="0.2">
      <c r="K4972" s="8"/>
    </row>
    <row r="4973" spans="11:11" x14ac:dyDescent="0.2">
      <c r="K4973" s="8"/>
    </row>
    <row r="4974" spans="11:11" x14ac:dyDescent="0.2">
      <c r="K4974" s="8"/>
    </row>
    <row r="4975" spans="11:11" x14ac:dyDescent="0.2">
      <c r="K4975" s="8"/>
    </row>
    <row r="4976" spans="11:11" x14ac:dyDescent="0.2">
      <c r="K4976" s="8"/>
    </row>
    <row r="4977" spans="11:11" x14ac:dyDescent="0.2">
      <c r="K4977" s="8"/>
    </row>
    <row r="4978" spans="11:11" x14ac:dyDescent="0.2">
      <c r="K4978" s="8"/>
    </row>
    <row r="4979" spans="11:11" x14ac:dyDescent="0.2">
      <c r="K4979" s="8"/>
    </row>
    <row r="4980" spans="11:11" x14ac:dyDescent="0.2">
      <c r="K4980" s="8"/>
    </row>
    <row r="4981" spans="11:11" x14ac:dyDescent="0.2">
      <c r="K4981" s="8"/>
    </row>
    <row r="4982" spans="11:11" x14ac:dyDescent="0.2">
      <c r="K4982" s="8"/>
    </row>
    <row r="4983" spans="11:11" x14ac:dyDescent="0.2">
      <c r="K4983" s="8"/>
    </row>
    <row r="4984" spans="11:11" x14ac:dyDescent="0.2">
      <c r="K4984" s="8"/>
    </row>
    <row r="4985" spans="11:11" x14ac:dyDescent="0.2">
      <c r="K4985" s="8"/>
    </row>
    <row r="4986" spans="11:11" x14ac:dyDescent="0.2">
      <c r="K4986" s="8"/>
    </row>
    <row r="4987" spans="11:11" x14ac:dyDescent="0.2">
      <c r="K4987" s="8"/>
    </row>
    <row r="4988" spans="11:11" x14ac:dyDescent="0.2">
      <c r="K4988" s="8"/>
    </row>
    <row r="4989" spans="11:11" x14ac:dyDescent="0.2">
      <c r="K4989" s="8"/>
    </row>
    <row r="4990" spans="11:11" x14ac:dyDescent="0.2">
      <c r="K4990" s="8"/>
    </row>
    <row r="4991" spans="11:11" x14ac:dyDescent="0.2">
      <c r="K4991" s="8"/>
    </row>
    <row r="4992" spans="11:11" x14ac:dyDescent="0.2">
      <c r="K4992" s="8"/>
    </row>
    <row r="4993" spans="11:11" x14ac:dyDescent="0.2">
      <c r="K4993" s="8"/>
    </row>
    <row r="4994" spans="11:11" x14ac:dyDescent="0.2">
      <c r="K4994" s="8"/>
    </row>
    <row r="4995" spans="11:11" x14ac:dyDescent="0.2">
      <c r="K4995" s="8"/>
    </row>
    <row r="4996" spans="11:11" x14ac:dyDescent="0.2">
      <c r="K4996" s="8"/>
    </row>
    <row r="4997" spans="11:11" x14ac:dyDescent="0.2">
      <c r="K4997" s="8"/>
    </row>
    <row r="4998" spans="11:11" x14ac:dyDescent="0.2">
      <c r="K4998" s="8"/>
    </row>
    <row r="4999" spans="11:11" x14ac:dyDescent="0.2">
      <c r="K4999" s="8"/>
    </row>
    <row r="5000" spans="11:11" x14ac:dyDescent="0.2">
      <c r="K5000" s="8"/>
    </row>
    <row r="5001" spans="11:11" x14ac:dyDescent="0.2">
      <c r="K5001" s="8"/>
    </row>
    <row r="5002" spans="11:11" x14ac:dyDescent="0.2">
      <c r="K5002" s="8"/>
    </row>
    <row r="5003" spans="11:11" x14ac:dyDescent="0.2">
      <c r="K5003" s="8"/>
    </row>
    <row r="5004" spans="11:11" x14ac:dyDescent="0.2">
      <c r="K5004" s="8"/>
    </row>
    <row r="5005" spans="11:11" x14ac:dyDescent="0.2">
      <c r="K5005" s="8"/>
    </row>
    <row r="5006" spans="11:11" x14ac:dyDescent="0.2">
      <c r="K5006" s="8"/>
    </row>
    <row r="5007" spans="11:11" x14ac:dyDescent="0.2">
      <c r="K5007" s="8"/>
    </row>
    <row r="5008" spans="11:11" x14ac:dyDescent="0.2">
      <c r="K5008" s="8"/>
    </row>
    <row r="5009" spans="11:11" x14ac:dyDescent="0.2">
      <c r="K5009" s="8"/>
    </row>
    <row r="5010" spans="11:11" x14ac:dyDescent="0.2">
      <c r="K5010" s="8"/>
    </row>
    <row r="5011" spans="11:11" x14ac:dyDescent="0.2">
      <c r="K5011" s="8"/>
    </row>
    <row r="5012" spans="11:11" x14ac:dyDescent="0.2">
      <c r="K5012" s="8"/>
    </row>
    <row r="5013" spans="11:11" x14ac:dyDescent="0.2">
      <c r="K5013" s="8"/>
    </row>
    <row r="5014" spans="11:11" x14ac:dyDescent="0.2">
      <c r="K5014" s="8"/>
    </row>
    <row r="5015" spans="11:11" x14ac:dyDescent="0.2">
      <c r="K5015" s="8"/>
    </row>
    <row r="5016" spans="11:11" x14ac:dyDescent="0.2">
      <c r="K5016" s="8"/>
    </row>
    <row r="5017" spans="11:11" x14ac:dyDescent="0.2">
      <c r="K5017" s="8"/>
    </row>
    <row r="5018" spans="11:11" x14ac:dyDescent="0.2">
      <c r="K5018" s="8"/>
    </row>
    <row r="5019" spans="11:11" x14ac:dyDescent="0.2">
      <c r="K5019" s="8"/>
    </row>
    <row r="5020" spans="11:11" x14ac:dyDescent="0.2">
      <c r="K5020" s="8"/>
    </row>
    <row r="5021" spans="11:11" x14ac:dyDescent="0.2">
      <c r="K5021" s="8"/>
    </row>
    <row r="5022" spans="11:11" x14ac:dyDescent="0.2">
      <c r="K5022" s="8"/>
    </row>
    <row r="5023" spans="11:11" x14ac:dyDescent="0.2">
      <c r="K5023" s="8"/>
    </row>
    <row r="5024" spans="11:11" x14ac:dyDescent="0.2">
      <c r="K5024" s="8"/>
    </row>
    <row r="5025" spans="11:11" x14ac:dyDescent="0.2">
      <c r="K5025" s="8"/>
    </row>
    <row r="5026" spans="11:11" x14ac:dyDescent="0.2">
      <c r="K5026" s="8"/>
    </row>
    <row r="5027" spans="11:11" x14ac:dyDescent="0.2">
      <c r="K5027" s="8"/>
    </row>
    <row r="5028" spans="11:11" x14ac:dyDescent="0.2">
      <c r="K5028" s="8"/>
    </row>
    <row r="5029" spans="11:11" x14ac:dyDescent="0.2">
      <c r="K5029" s="8"/>
    </row>
    <row r="5030" spans="11:11" x14ac:dyDescent="0.2">
      <c r="K5030" s="8"/>
    </row>
    <row r="5031" spans="11:11" x14ac:dyDescent="0.2">
      <c r="K5031" s="8"/>
    </row>
    <row r="5032" spans="11:11" x14ac:dyDescent="0.2">
      <c r="K5032" s="8"/>
    </row>
    <row r="5033" spans="11:11" x14ac:dyDescent="0.2">
      <c r="K5033" s="8"/>
    </row>
    <row r="5034" spans="11:11" x14ac:dyDescent="0.2">
      <c r="K5034" s="8"/>
    </row>
    <row r="5035" spans="11:11" x14ac:dyDescent="0.2">
      <c r="K5035" s="8"/>
    </row>
    <row r="5036" spans="11:11" x14ac:dyDescent="0.2">
      <c r="K5036" s="8"/>
    </row>
    <row r="5037" spans="11:11" x14ac:dyDescent="0.2">
      <c r="K5037" s="8"/>
    </row>
    <row r="5038" spans="11:11" x14ac:dyDescent="0.2">
      <c r="K5038" s="8"/>
    </row>
    <row r="5039" spans="11:11" x14ac:dyDescent="0.2">
      <c r="K5039" s="8"/>
    </row>
    <row r="5040" spans="11:11" x14ac:dyDescent="0.2">
      <c r="K5040" s="8"/>
    </row>
    <row r="5041" spans="11:11" x14ac:dyDescent="0.2">
      <c r="K5041" s="8"/>
    </row>
    <row r="5042" spans="11:11" x14ac:dyDescent="0.2">
      <c r="K5042" s="8"/>
    </row>
    <row r="5043" spans="11:11" x14ac:dyDescent="0.2">
      <c r="K5043" s="8"/>
    </row>
    <row r="5044" spans="11:11" x14ac:dyDescent="0.2">
      <c r="K5044" s="8"/>
    </row>
    <row r="5045" spans="11:11" x14ac:dyDescent="0.2">
      <c r="K5045" s="8"/>
    </row>
    <row r="5046" spans="11:11" x14ac:dyDescent="0.2">
      <c r="K5046" s="8"/>
    </row>
    <row r="5047" spans="11:11" x14ac:dyDescent="0.2">
      <c r="K5047" s="8"/>
    </row>
    <row r="5048" spans="11:11" x14ac:dyDescent="0.2">
      <c r="K5048" s="8"/>
    </row>
    <row r="5049" spans="11:11" x14ac:dyDescent="0.2">
      <c r="K5049" s="8"/>
    </row>
    <row r="5050" spans="11:11" x14ac:dyDescent="0.2">
      <c r="K5050" s="8"/>
    </row>
    <row r="5051" spans="11:11" x14ac:dyDescent="0.2">
      <c r="K5051" s="8"/>
    </row>
    <row r="5052" spans="11:11" x14ac:dyDescent="0.2">
      <c r="K5052" s="8"/>
    </row>
    <row r="5053" spans="11:11" x14ac:dyDescent="0.2">
      <c r="K5053" s="8"/>
    </row>
    <row r="5054" spans="11:11" x14ac:dyDescent="0.2">
      <c r="K5054" s="8"/>
    </row>
    <row r="5055" spans="11:11" x14ac:dyDescent="0.2">
      <c r="K5055" s="8"/>
    </row>
    <row r="5056" spans="11:11" x14ac:dyDescent="0.2">
      <c r="K5056" s="8"/>
    </row>
    <row r="5057" spans="11:11" x14ac:dyDescent="0.2">
      <c r="K5057" s="8"/>
    </row>
    <row r="5058" spans="11:11" x14ac:dyDescent="0.2">
      <c r="K5058" s="8"/>
    </row>
    <row r="5059" spans="11:11" x14ac:dyDescent="0.2">
      <c r="K5059" s="8"/>
    </row>
    <row r="5060" spans="11:11" x14ac:dyDescent="0.2">
      <c r="K5060" s="8"/>
    </row>
    <row r="5061" spans="11:11" x14ac:dyDescent="0.2">
      <c r="K5061" s="8"/>
    </row>
    <row r="5062" spans="11:11" x14ac:dyDescent="0.2">
      <c r="K5062" s="8"/>
    </row>
    <row r="5063" spans="11:11" x14ac:dyDescent="0.2">
      <c r="K5063" s="8"/>
    </row>
    <row r="5064" spans="11:11" x14ac:dyDescent="0.2">
      <c r="K5064" s="8"/>
    </row>
    <row r="5065" spans="11:11" x14ac:dyDescent="0.2">
      <c r="K5065" s="8"/>
    </row>
    <row r="5066" spans="11:11" x14ac:dyDescent="0.2">
      <c r="K5066" s="8"/>
    </row>
    <row r="5067" spans="11:11" x14ac:dyDescent="0.2">
      <c r="K5067" s="8"/>
    </row>
    <row r="5068" spans="11:11" x14ac:dyDescent="0.2">
      <c r="K5068" s="8"/>
    </row>
    <row r="5069" spans="11:11" x14ac:dyDescent="0.2">
      <c r="K5069" s="8"/>
    </row>
    <row r="5070" spans="11:11" x14ac:dyDescent="0.2">
      <c r="K5070" s="8"/>
    </row>
    <row r="5071" spans="11:11" x14ac:dyDescent="0.2">
      <c r="K5071" s="8"/>
    </row>
    <row r="5072" spans="11:11" x14ac:dyDescent="0.2">
      <c r="K5072" s="8"/>
    </row>
    <row r="5073" spans="11:11" x14ac:dyDescent="0.2">
      <c r="K5073" s="8"/>
    </row>
    <row r="5074" spans="11:11" x14ac:dyDescent="0.2">
      <c r="K5074" s="8"/>
    </row>
    <row r="5075" spans="11:11" x14ac:dyDescent="0.2">
      <c r="K5075" s="8"/>
    </row>
    <row r="5076" spans="11:11" x14ac:dyDescent="0.2">
      <c r="K5076" s="8"/>
    </row>
    <row r="5077" spans="11:11" x14ac:dyDescent="0.2">
      <c r="K5077" s="8"/>
    </row>
    <row r="5078" spans="11:11" x14ac:dyDescent="0.2">
      <c r="K5078" s="8"/>
    </row>
    <row r="5079" spans="11:11" x14ac:dyDescent="0.2">
      <c r="K5079" s="8"/>
    </row>
    <row r="5080" spans="11:11" x14ac:dyDescent="0.2">
      <c r="K5080" s="8"/>
    </row>
    <row r="5081" spans="11:11" x14ac:dyDescent="0.2">
      <c r="K5081" s="8"/>
    </row>
    <row r="5082" spans="11:11" x14ac:dyDescent="0.2">
      <c r="K5082" s="8"/>
    </row>
    <row r="5083" spans="11:11" x14ac:dyDescent="0.2">
      <c r="K5083" s="8"/>
    </row>
    <row r="5084" spans="11:11" x14ac:dyDescent="0.2">
      <c r="K5084" s="8"/>
    </row>
    <row r="5085" spans="11:11" x14ac:dyDescent="0.2">
      <c r="K5085" s="8"/>
    </row>
    <row r="5086" spans="11:11" x14ac:dyDescent="0.2">
      <c r="K5086" s="8"/>
    </row>
    <row r="5087" spans="11:11" x14ac:dyDescent="0.2">
      <c r="K5087" s="8"/>
    </row>
    <row r="5088" spans="11:11" x14ac:dyDescent="0.2">
      <c r="K5088" s="8"/>
    </row>
    <row r="5089" spans="11:11" x14ac:dyDescent="0.2">
      <c r="K5089" s="8"/>
    </row>
    <row r="5090" spans="11:11" x14ac:dyDescent="0.2">
      <c r="K5090" s="8"/>
    </row>
    <row r="5091" spans="11:11" x14ac:dyDescent="0.2">
      <c r="K5091" s="8"/>
    </row>
    <row r="5092" spans="11:11" x14ac:dyDescent="0.2">
      <c r="K5092" s="8"/>
    </row>
    <row r="5093" spans="11:11" x14ac:dyDescent="0.2">
      <c r="K5093" s="8"/>
    </row>
    <row r="5094" spans="11:11" x14ac:dyDescent="0.2">
      <c r="K5094" s="8"/>
    </row>
    <row r="5095" spans="11:11" x14ac:dyDescent="0.2">
      <c r="K5095" s="8"/>
    </row>
    <row r="5096" spans="11:11" x14ac:dyDescent="0.2">
      <c r="K5096" s="8"/>
    </row>
    <row r="5097" spans="11:11" x14ac:dyDescent="0.2">
      <c r="K5097" s="8"/>
    </row>
    <row r="5098" spans="11:11" x14ac:dyDescent="0.2">
      <c r="K5098" s="8"/>
    </row>
    <row r="5099" spans="11:11" x14ac:dyDescent="0.2">
      <c r="K5099" s="8"/>
    </row>
    <row r="5100" spans="11:11" x14ac:dyDescent="0.2">
      <c r="K5100" s="8"/>
    </row>
    <row r="5101" spans="11:11" x14ac:dyDescent="0.2">
      <c r="K5101" s="8"/>
    </row>
    <row r="5102" spans="11:11" x14ac:dyDescent="0.2">
      <c r="K5102" s="8"/>
    </row>
    <row r="5103" spans="11:11" x14ac:dyDescent="0.2">
      <c r="K5103" s="8"/>
    </row>
    <row r="5104" spans="11:11" x14ac:dyDescent="0.2">
      <c r="K5104" s="8"/>
    </row>
    <row r="5105" spans="11:11" x14ac:dyDescent="0.2">
      <c r="K5105" s="8"/>
    </row>
    <row r="5106" spans="11:11" x14ac:dyDescent="0.2">
      <c r="K5106" s="8"/>
    </row>
    <row r="5107" spans="11:11" x14ac:dyDescent="0.2">
      <c r="K5107" s="8"/>
    </row>
    <row r="5108" spans="11:11" x14ac:dyDescent="0.2">
      <c r="K5108" s="8"/>
    </row>
    <row r="5109" spans="11:11" x14ac:dyDescent="0.2">
      <c r="K5109" s="8"/>
    </row>
    <row r="5110" spans="11:11" x14ac:dyDescent="0.2">
      <c r="K5110" s="8"/>
    </row>
    <row r="5111" spans="11:11" x14ac:dyDescent="0.2">
      <c r="K5111" s="8"/>
    </row>
    <row r="5112" spans="11:11" x14ac:dyDescent="0.2">
      <c r="K5112" s="8"/>
    </row>
    <row r="5113" spans="11:11" x14ac:dyDescent="0.2">
      <c r="K5113" s="8"/>
    </row>
    <row r="5114" spans="11:11" x14ac:dyDescent="0.2">
      <c r="K5114" s="8"/>
    </row>
    <row r="5115" spans="11:11" x14ac:dyDescent="0.2">
      <c r="K5115" s="8"/>
    </row>
    <row r="5116" spans="11:11" x14ac:dyDescent="0.2">
      <c r="K5116" s="8"/>
    </row>
    <row r="5117" spans="11:11" x14ac:dyDescent="0.2">
      <c r="K5117" s="8"/>
    </row>
    <row r="5118" spans="11:11" x14ac:dyDescent="0.2">
      <c r="K5118" s="8"/>
    </row>
    <row r="5119" spans="11:11" x14ac:dyDescent="0.2">
      <c r="K5119" s="8"/>
    </row>
    <row r="5120" spans="11:11" x14ac:dyDescent="0.2">
      <c r="K5120" s="8"/>
    </row>
    <row r="5121" spans="11:11" x14ac:dyDescent="0.2">
      <c r="K5121" s="8"/>
    </row>
    <row r="5122" spans="11:11" x14ac:dyDescent="0.2">
      <c r="K5122" s="8"/>
    </row>
    <row r="5123" spans="11:11" x14ac:dyDescent="0.2">
      <c r="K5123" s="8"/>
    </row>
    <row r="5124" spans="11:11" x14ac:dyDescent="0.2">
      <c r="K5124" s="8"/>
    </row>
    <row r="5125" spans="11:11" x14ac:dyDescent="0.2">
      <c r="K5125" s="8"/>
    </row>
    <row r="5126" spans="11:11" x14ac:dyDescent="0.2">
      <c r="K5126" s="8"/>
    </row>
    <row r="5127" spans="11:11" x14ac:dyDescent="0.2">
      <c r="K5127" s="8"/>
    </row>
    <row r="5128" spans="11:11" x14ac:dyDescent="0.2">
      <c r="K5128" s="8"/>
    </row>
    <row r="5129" spans="11:11" x14ac:dyDescent="0.2">
      <c r="K5129" s="8"/>
    </row>
    <row r="5130" spans="11:11" x14ac:dyDescent="0.2">
      <c r="K5130" s="8"/>
    </row>
    <row r="5131" spans="11:11" x14ac:dyDescent="0.2">
      <c r="K5131" s="8"/>
    </row>
    <row r="5132" spans="11:11" x14ac:dyDescent="0.2">
      <c r="K5132" s="8"/>
    </row>
    <row r="5133" spans="11:11" x14ac:dyDescent="0.2">
      <c r="K5133" s="8"/>
    </row>
    <row r="5134" spans="11:11" x14ac:dyDescent="0.2">
      <c r="K5134" s="8"/>
    </row>
    <row r="5135" spans="11:11" x14ac:dyDescent="0.2">
      <c r="K5135" s="8"/>
    </row>
    <row r="5136" spans="11:11" x14ac:dyDescent="0.2">
      <c r="K5136" s="8"/>
    </row>
    <row r="5137" spans="11:11" x14ac:dyDescent="0.2">
      <c r="K5137" s="8"/>
    </row>
    <row r="5138" spans="11:11" x14ac:dyDescent="0.2">
      <c r="K5138" s="8"/>
    </row>
    <row r="5139" spans="11:11" x14ac:dyDescent="0.2">
      <c r="K5139" s="8"/>
    </row>
    <row r="5140" spans="11:11" x14ac:dyDescent="0.2">
      <c r="K5140" s="8"/>
    </row>
    <row r="5141" spans="11:11" x14ac:dyDescent="0.2">
      <c r="K5141" s="8"/>
    </row>
    <row r="5142" spans="11:11" x14ac:dyDescent="0.2">
      <c r="K5142" s="8"/>
    </row>
    <row r="5143" spans="11:11" x14ac:dyDescent="0.2">
      <c r="K5143" s="8"/>
    </row>
    <row r="5144" spans="11:11" x14ac:dyDescent="0.2">
      <c r="K5144" s="8"/>
    </row>
    <row r="5145" spans="11:11" x14ac:dyDescent="0.2">
      <c r="K5145" s="8"/>
    </row>
    <row r="5146" spans="11:11" x14ac:dyDescent="0.2">
      <c r="K5146" s="8"/>
    </row>
    <row r="5147" spans="11:11" x14ac:dyDescent="0.2">
      <c r="K5147" s="8"/>
    </row>
    <row r="5148" spans="11:11" x14ac:dyDescent="0.2">
      <c r="K5148" s="8"/>
    </row>
    <row r="5149" spans="11:11" x14ac:dyDescent="0.2">
      <c r="K5149" s="8"/>
    </row>
    <row r="5150" spans="11:11" x14ac:dyDescent="0.2">
      <c r="K5150" s="8"/>
    </row>
    <row r="5151" spans="11:11" x14ac:dyDescent="0.2">
      <c r="K5151" s="8"/>
    </row>
    <row r="5152" spans="11:11" x14ac:dyDescent="0.2">
      <c r="K5152" s="8"/>
    </row>
    <row r="5153" spans="11:11" x14ac:dyDescent="0.2">
      <c r="K5153" s="8"/>
    </row>
    <row r="5154" spans="11:11" x14ac:dyDescent="0.2">
      <c r="K5154" s="8"/>
    </row>
    <row r="5155" spans="11:11" x14ac:dyDescent="0.2">
      <c r="K5155" s="8"/>
    </row>
    <row r="5156" spans="11:11" x14ac:dyDescent="0.2">
      <c r="K5156" s="8"/>
    </row>
    <row r="5157" spans="11:11" x14ac:dyDescent="0.2">
      <c r="K5157" s="8"/>
    </row>
    <row r="5158" spans="11:11" x14ac:dyDescent="0.2">
      <c r="K5158" s="8"/>
    </row>
    <row r="5159" spans="11:11" x14ac:dyDescent="0.2">
      <c r="K5159" s="8"/>
    </row>
    <row r="5160" spans="11:11" x14ac:dyDescent="0.2">
      <c r="K5160" s="8"/>
    </row>
    <row r="5161" spans="11:11" x14ac:dyDescent="0.2">
      <c r="K5161" s="8"/>
    </row>
    <row r="5162" spans="11:11" x14ac:dyDescent="0.2">
      <c r="K5162" s="8"/>
    </row>
    <row r="5163" spans="11:11" x14ac:dyDescent="0.2">
      <c r="K5163" s="8"/>
    </row>
    <row r="5164" spans="11:11" x14ac:dyDescent="0.2">
      <c r="K5164" s="8"/>
    </row>
    <row r="5165" spans="11:11" x14ac:dyDescent="0.2">
      <c r="K5165" s="8"/>
    </row>
    <row r="5166" spans="11:11" x14ac:dyDescent="0.2">
      <c r="K5166" s="8"/>
    </row>
    <row r="5167" spans="11:11" x14ac:dyDescent="0.2">
      <c r="K5167" s="8"/>
    </row>
    <row r="5168" spans="11:11" x14ac:dyDescent="0.2">
      <c r="K5168" s="8"/>
    </row>
    <row r="5169" spans="11:11" x14ac:dyDescent="0.2">
      <c r="K5169" s="8"/>
    </row>
    <row r="5170" spans="11:11" x14ac:dyDescent="0.2">
      <c r="K5170" s="8"/>
    </row>
    <row r="5171" spans="11:11" x14ac:dyDescent="0.2">
      <c r="K5171" s="8"/>
    </row>
    <row r="5172" spans="11:11" x14ac:dyDescent="0.2">
      <c r="K5172" s="8"/>
    </row>
    <row r="5173" spans="11:11" x14ac:dyDescent="0.2">
      <c r="K5173" s="8"/>
    </row>
    <row r="5174" spans="11:11" x14ac:dyDescent="0.2">
      <c r="K5174" s="8"/>
    </row>
    <row r="5175" spans="11:11" x14ac:dyDescent="0.2">
      <c r="K5175" s="8"/>
    </row>
    <row r="5176" spans="11:11" x14ac:dyDescent="0.2">
      <c r="K5176" s="8"/>
    </row>
    <row r="5177" spans="11:11" x14ac:dyDescent="0.2">
      <c r="K5177" s="8"/>
    </row>
    <row r="5178" spans="11:11" x14ac:dyDescent="0.2">
      <c r="K5178" s="8"/>
    </row>
    <row r="5179" spans="11:11" x14ac:dyDescent="0.2">
      <c r="K5179" s="8"/>
    </row>
    <row r="5180" spans="11:11" x14ac:dyDescent="0.2">
      <c r="K5180" s="8"/>
    </row>
    <row r="5181" spans="11:11" x14ac:dyDescent="0.2">
      <c r="K5181" s="8"/>
    </row>
    <row r="5182" spans="11:11" x14ac:dyDescent="0.2">
      <c r="K5182" s="8"/>
    </row>
    <row r="5183" spans="11:11" x14ac:dyDescent="0.2">
      <c r="K5183" s="8"/>
    </row>
    <row r="5184" spans="11:11" x14ac:dyDescent="0.2">
      <c r="K5184" s="8"/>
    </row>
    <row r="5185" spans="11:11" x14ac:dyDescent="0.2">
      <c r="K5185" s="8"/>
    </row>
    <row r="5186" spans="11:11" x14ac:dyDescent="0.2">
      <c r="K5186" s="8"/>
    </row>
    <row r="5187" spans="11:11" x14ac:dyDescent="0.2">
      <c r="K5187" s="8"/>
    </row>
    <row r="5188" spans="11:11" x14ac:dyDescent="0.2">
      <c r="K5188" s="8"/>
    </row>
    <row r="5189" spans="11:11" x14ac:dyDescent="0.2">
      <c r="K5189" s="8"/>
    </row>
    <row r="5190" spans="11:11" x14ac:dyDescent="0.2">
      <c r="K5190" s="8"/>
    </row>
    <row r="5191" spans="11:11" x14ac:dyDescent="0.2">
      <c r="K5191" s="8"/>
    </row>
    <row r="5192" spans="11:11" x14ac:dyDescent="0.2">
      <c r="K5192" s="8"/>
    </row>
    <row r="5193" spans="11:11" x14ac:dyDescent="0.2">
      <c r="K5193" s="8"/>
    </row>
    <row r="5194" spans="11:11" x14ac:dyDescent="0.2">
      <c r="K5194" s="8"/>
    </row>
    <row r="5195" spans="11:11" x14ac:dyDescent="0.2">
      <c r="K5195" s="8"/>
    </row>
    <row r="5196" spans="11:11" x14ac:dyDescent="0.2">
      <c r="K5196" s="8"/>
    </row>
    <row r="5197" spans="11:11" x14ac:dyDescent="0.2">
      <c r="K5197" s="8"/>
    </row>
    <row r="5198" spans="11:11" x14ac:dyDescent="0.2">
      <c r="K5198" s="8"/>
    </row>
    <row r="5199" spans="11:11" x14ac:dyDescent="0.2">
      <c r="K5199" s="8"/>
    </row>
    <row r="5200" spans="11:11" x14ac:dyDescent="0.2">
      <c r="K5200" s="8"/>
    </row>
    <row r="5201" spans="11:11" x14ac:dyDescent="0.2">
      <c r="K5201" s="8"/>
    </row>
    <row r="5202" spans="11:11" x14ac:dyDescent="0.2">
      <c r="K5202" s="8"/>
    </row>
    <row r="5203" spans="11:11" x14ac:dyDescent="0.2">
      <c r="K5203" s="8"/>
    </row>
    <row r="5204" spans="11:11" x14ac:dyDescent="0.2">
      <c r="K5204" s="8"/>
    </row>
    <row r="5205" spans="11:11" x14ac:dyDescent="0.2">
      <c r="K5205" s="8"/>
    </row>
    <row r="5206" spans="11:11" x14ac:dyDescent="0.2">
      <c r="K5206" s="8"/>
    </row>
    <row r="5207" spans="11:11" x14ac:dyDescent="0.2">
      <c r="K5207" s="8"/>
    </row>
    <row r="5208" spans="11:11" x14ac:dyDescent="0.2">
      <c r="K5208" s="8"/>
    </row>
    <row r="5209" spans="11:11" x14ac:dyDescent="0.2">
      <c r="K5209" s="8"/>
    </row>
    <row r="5210" spans="11:11" x14ac:dyDescent="0.2">
      <c r="K5210" s="8"/>
    </row>
    <row r="5211" spans="11:11" x14ac:dyDescent="0.2">
      <c r="K5211" s="8"/>
    </row>
    <row r="5212" spans="11:11" x14ac:dyDescent="0.2">
      <c r="K5212" s="8"/>
    </row>
    <row r="5213" spans="11:11" x14ac:dyDescent="0.2">
      <c r="K5213" s="8"/>
    </row>
    <row r="5214" spans="11:11" x14ac:dyDescent="0.2">
      <c r="K5214" s="8"/>
    </row>
    <row r="5215" spans="11:11" x14ac:dyDescent="0.2">
      <c r="K5215" s="8"/>
    </row>
    <row r="5216" spans="11:11" x14ac:dyDescent="0.2">
      <c r="K5216" s="8"/>
    </row>
    <row r="5217" spans="11:11" x14ac:dyDescent="0.2">
      <c r="K5217" s="8"/>
    </row>
    <row r="5218" spans="11:11" x14ac:dyDescent="0.2">
      <c r="K5218" s="8"/>
    </row>
    <row r="5219" spans="11:11" x14ac:dyDescent="0.2">
      <c r="K5219" s="8"/>
    </row>
    <row r="5220" spans="11:11" x14ac:dyDescent="0.2">
      <c r="K5220" s="8"/>
    </row>
    <row r="5221" spans="11:11" x14ac:dyDescent="0.2">
      <c r="K5221" s="8"/>
    </row>
    <row r="5222" spans="11:11" x14ac:dyDescent="0.2">
      <c r="K5222" s="8"/>
    </row>
    <row r="5223" spans="11:11" x14ac:dyDescent="0.2">
      <c r="K5223" s="8"/>
    </row>
    <row r="5224" spans="11:11" x14ac:dyDescent="0.2">
      <c r="K5224" s="8"/>
    </row>
    <row r="5225" spans="11:11" x14ac:dyDescent="0.2">
      <c r="K5225" s="8"/>
    </row>
    <row r="5226" spans="11:11" x14ac:dyDescent="0.2">
      <c r="K5226" s="8"/>
    </row>
    <row r="5227" spans="11:11" x14ac:dyDescent="0.2">
      <c r="K5227" s="8"/>
    </row>
    <row r="5228" spans="11:11" x14ac:dyDescent="0.2">
      <c r="K5228" s="8"/>
    </row>
    <row r="5229" spans="11:11" x14ac:dyDescent="0.2">
      <c r="K5229" s="8"/>
    </row>
    <row r="5230" spans="11:11" x14ac:dyDescent="0.2">
      <c r="K5230" s="8"/>
    </row>
    <row r="5231" spans="11:11" x14ac:dyDescent="0.2">
      <c r="K5231" s="8"/>
    </row>
    <row r="5232" spans="11:11" x14ac:dyDescent="0.2">
      <c r="K5232" s="8"/>
    </row>
    <row r="5233" spans="11:11" x14ac:dyDescent="0.2">
      <c r="K5233" s="8"/>
    </row>
    <row r="5234" spans="11:11" x14ac:dyDescent="0.2">
      <c r="K5234" s="8"/>
    </row>
    <row r="5235" spans="11:11" x14ac:dyDescent="0.2">
      <c r="K5235" s="8"/>
    </row>
    <row r="5236" spans="11:11" x14ac:dyDescent="0.2">
      <c r="K5236" s="8"/>
    </row>
    <row r="5237" spans="11:11" x14ac:dyDescent="0.2">
      <c r="K5237" s="8"/>
    </row>
    <row r="5238" spans="11:11" x14ac:dyDescent="0.2">
      <c r="K5238" s="8"/>
    </row>
    <row r="5239" spans="11:11" x14ac:dyDescent="0.2">
      <c r="K5239" s="8"/>
    </row>
    <row r="5240" spans="11:11" x14ac:dyDescent="0.2">
      <c r="K5240" s="8"/>
    </row>
    <row r="5241" spans="11:11" x14ac:dyDescent="0.2">
      <c r="K5241" s="8"/>
    </row>
    <row r="5242" spans="11:11" x14ac:dyDescent="0.2">
      <c r="K5242" s="8"/>
    </row>
    <row r="5243" spans="11:11" x14ac:dyDescent="0.2">
      <c r="K5243" s="8"/>
    </row>
    <row r="5244" spans="11:11" x14ac:dyDescent="0.2">
      <c r="K5244" s="8"/>
    </row>
    <row r="5245" spans="11:11" x14ac:dyDescent="0.2">
      <c r="K5245" s="8"/>
    </row>
    <row r="5246" spans="11:11" x14ac:dyDescent="0.2">
      <c r="K5246" s="8"/>
    </row>
    <row r="5247" spans="11:11" x14ac:dyDescent="0.2">
      <c r="K5247" s="8"/>
    </row>
    <row r="5248" spans="11:11" x14ac:dyDescent="0.2">
      <c r="K5248" s="8"/>
    </row>
    <row r="5249" spans="11:11" x14ac:dyDescent="0.2">
      <c r="K5249" s="8"/>
    </row>
    <row r="5250" spans="11:11" x14ac:dyDescent="0.2">
      <c r="K5250" s="8"/>
    </row>
    <row r="5251" spans="11:11" x14ac:dyDescent="0.2">
      <c r="K5251" s="8"/>
    </row>
    <row r="5252" spans="11:11" x14ac:dyDescent="0.2">
      <c r="K5252" s="8"/>
    </row>
    <row r="5253" spans="11:11" x14ac:dyDescent="0.2">
      <c r="K5253" s="8"/>
    </row>
    <row r="5254" spans="11:11" x14ac:dyDescent="0.2">
      <c r="K5254" s="8"/>
    </row>
    <row r="5255" spans="11:11" x14ac:dyDescent="0.2">
      <c r="K5255" s="8"/>
    </row>
    <row r="5256" spans="11:11" x14ac:dyDescent="0.2">
      <c r="K5256" s="8"/>
    </row>
    <row r="5257" spans="11:11" x14ac:dyDescent="0.2">
      <c r="K5257" s="8"/>
    </row>
    <row r="5258" spans="11:11" x14ac:dyDescent="0.2">
      <c r="K5258" s="8"/>
    </row>
    <row r="5259" spans="11:11" x14ac:dyDescent="0.2">
      <c r="K5259" s="8"/>
    </row>
    <row r="5260" spans="11:11" x14ac:dyDescent="0.2">
      <c r="K5260" s="8"/>
    </row>
    <row r="5261" spans="11:11" x14ac:dyDescent="0.2">
      <c r="K5261" s="8"/>
    </row>
    <row r="5262" spans="11:11" x14ac:dyDescent="0.2">
      <c r="K5262" s="8"/>
    </row>
    <row r="5263" spans="11:11" x14ac:dyDescent="0.2">
      <c r="K5263" s="8"/>
    </row>
    <row r="5264" spans="11:11" x14ac:dyDescent="0.2">
      <c r="K5264" s="8"/>
    </row>
    <row r="5265" spans="11:11" x14ac:dyDescent="0.2">
      <c r="K5265" s="8"/>
    </row>
    <row r="5266" spans="11:11" x14ac:dyDescent="0.2">
      <c r="K5266" s="8"/>
    </row>
    <row r="5267" spans="11:11" x14ac:dyDescent="0.2">
      <c r="K5267" s="8"/>
    </row>
    <row r="5268" spans="11:11" x14ac:dyDescent="0.2">
      <c r="K5268" s="8"/>
    </row>
    <row r="5269" spans="11:11" x14ac:dyDescent="0.2">
      <c r="K5269" s="8"/>
    </row>
    <row r="5270" spans="11:11" x14ac:dyDescent="0.2">
      <c r="K5270" s="8"/>
    </row>
    <row r="5271" spans="11:11" x14ac:dyDescent="0.2">
      <c r="K5271" s="8"/>
    </row>
    <row r="5272" spans="11:11" x14ac:dyDescent="0.2">
      <c r="K5272" s="8"/>
    </row>
    <row r="5273" spans="11:11" x14ac:dyDescent="0.2">
      <c r="K5273" s="8"/>
    </row>
    <row r="5274" spans="11:11" x14ac:dyDescent="0.2">
      <c r="K5274" s="8"/>
    </row>
    <row r="5275" spans="11:11" x14ac:dyDescent="0.2">
      <c r="K5275" s="8"/>
    </row>
    <row r="5276" spans="11:11" x14ac:dyDescent="0.2">
      <c r="K5276" s="8"/>
    </row>
    <row r="5277" spans="11:11" x14ac:dyDescent="0.2">
      <c r="K5277" s="8"/>
    </row>
    <row r="5278" spans="11:11" x14ac:dyDescent="0.2">
      <c r="K5278" s="8"/>
    </row>
    <row r="5279" spans="11:11" x14ac:dyDescent="0.2">
      <c r="K5279" s="8"/>
    </row>
    <row r="5280" spans="11:11" x14ac:dyDescent="0.2">
      <c r="K5280" s="8"/>
    </row>
    <row r="5281" spans="11:11" x14ac:dyDescent="0.2">
      <c r="K5281" s="8"/>
    </row>
    <row r="5282" spans="11:11" x14ac:dyDescent="0.2">
      <c r="K5282" s="8"/>
    </row>
    <row r="5283" spans="11:11" x14ac:dyDescent="0.2">
      <c r="K5283" s="8"/>
    </row>
    <row r="5284" spans="11:11" x14ac:dyDescent="0.2">
      <c r="K5284" s="8"/>
    </row>
    <row r="5285" spans="11:11" x14ac:dyDescent="0.2">
      <c r="K5285" s="8"/>
    </row>
    <row r="5286" spans="11:11" x14ac:dyDescent="0.2">
      <c r="K5286" s="8"/>
    </row>
    <row r="5287" spans="11:11" x14ac:dyDescent="0.2">
      <c r="K5287" s="8"/>
    </row>
    <row r="5288" spans="11:11" x14ac:dyDescent="0.2">
      <c r="K5288" s="8"/>
    </row>
    <row r="5289" spans="11:11" x14ac:dyDescent="0.2">
      <c r="K5289" s="8"/>
    </row>
    <row r="5290" spans="11:11" x14ac:dyDescent="0.2">
      <c r="K5290" s="8"/>
    </row>
    <row r="5291" spans="11:11" x14ac:dyDescent="0.2">
      <c r="K5291" s="8"/>
    </row>
    <row r="5292" spans="11:11" x14ac:dyDescent="0.2">
      <c r="K5292" s="8"/>
    </row>
    <row r="5293" spans="11:11" x14ac:dyDescent="0.2">
      <c r="K5293" s="8"/>
    </row>
    <row r="5294" spans="11:11" x14ac:dyDescent="0.2">
      <c r="K5294" s="8"/>
    </row>
    <row r="5295" spans="11:11" x14ac:dyDescent="0.2">
      <c r="K5295" s="8"/>
    </row>
    <row r="5296" spans="11:11" x14ac:dyDescent="0.2">
      <c r="K5296" s="8"/>
    </row>
    <row r="5297" spans="11:11" x14ac:dyDescent="0.2">
      <c r="K5297" s="8"/>
    </row>
    <row r="5298" spans="11:11" x14ac:dyDescent="0.2">
      <c r="K5298" s="8"/>
    </row>
    <row r="5299" spans="11:11" x14ac:dyDescent="0.2">
      <c r="K5299" s="8"/>
    </row>
    <row r="5300" spans="11:11" x14ac:dyDescent="0.2">
      <c r="K5300" s="8"/>
    </row>
    <row r="5301" spans="11:11" x14ac:dyDescent="0.2">
      <c r="K5301" s="8"/>
    </row>
    <row r="5302" spans="11:11" x14ac:dyDescent="0.2">
      <c r="K5302" s="8"/>
    </row>
    <row r="5303" spans="11:11" x14ac:dyDescent="0.2">
      <c r="K5303" s="8"/>
    </row>
    <row r="5304" spans="11:11" x14ac:dyDescent="0.2">
      <c r="K5304" s="8"/>
    </row>
    <row r="5305" spans="11:11" x14ac:dyDescent="0.2">
      <c r="K5305" s="8"/>
    </row>
    <row r="5306" spans="11:11" x14ac:dyDescent="0.2">
      <c r="K5306" s="8"/>
    </row>
    <row r="5307" spans="11:11" x14ac:dyDescent="0.2">
      <c r="K5307" s="8"/>
    </row>
    <row r="5308" spans="11:11" x14ac:dyDescent="0.2">
      <c r="K5308" s="8"/>
    </row>
    <row r="5309" spans="11:11" x14ac:dyDescent="0.2">
      <c r="K5309" s="8"/>
    </row>
    <row r="5310" spans="11:11" x14ac:dyDescent="0.2">
      <c r="K5310" s="8"/>
    </row>
    <row r="5311" spans="11:11" x14ac:dyDescent="0.2">
      <c r="K5311" s="8"/>
    </row>
    <row r="5312" spans="11:11" x14ac:dyDescent="0.2">
      <c r="K5312" s="8"/>
    </row>
    <row r="5313" spans="11:11" x14ac:dyDescent="0.2">
      <c r="K5313" s="8"/>
    </row>
    <row r="5314" spans="11:11" x14ac:dyDescent="0.2">
      <c r="K5314" s="8"/>
    </row>
    <row r="5315" spans="11:11" x14ac:dyDescent="0.2">
      <c r="K5315" s="8"/>
    </row>
    <row r="5316" spans="11:11" x14ac:dyDescent="0.2">
      <c r="K5316" s="8"/>
    </row>
    <row r="5317" spans="11:11" x14ac:dyDescent="0.2">
      <c r="K5317" s="8"/>
    </row>
    <row r="5318" spans="11:11" x14ac:dyDescent="0.2">
      <c r="K5318" s="8"/>
    </row>
    <row r="5319" spans="11:11" x14ac:dyDescent="0.2">
      <c r="K5319" s="8"/>
    </row>
    <row r="5320" spans="11:11" x14ac:dyDescent="0.2">
      <c r="K5320" s="8"/>
    </row>
    <row r="5321" spans="11:11" x14ac:dyDescent="0.2">
      <c r="K5321" s="8"/>
    </row>
    <row r="5322" spans="11:11" x14ac:dyDescent="0.2">
      <c r="K5322" s="8"/>
    </row>
    <row r="5323" spans="11:11" x14ac:dyDescent="0.2">
      <c r="K5323" s="8"/>
    </row>
    <row r="5324" spans="11:11" x14ac:dyDescent="0.2">
      <c r="K5324" s="8"/>
    </row>
    <row r="5325" spans="11:11" x14ac:dyDescent="0.2">
      <c r="K5325" s="8"/>
    </row>
    <row r="5326" spans="11:11" x14ac:dyDescent="0.2">
      <c r="K5326" s="8"/>
    </row>
    <row r="5327" spans="11:11" x14ac:dyDescent="0.2">
      <c r="K5327" s="8"/>
    </row>
    <row r="5328" spans="11:11" x14ac:dyDescent="0.2">
      <c r="K5328" s="8"/>
    </row>
    <row r="5329" spans="11:11" x14ac:dyDescent="0.2">
      <c r="K5329" s="8"/>
    </row>
    <row r="5330" spans="11:11" x14ac:dyDescent="0.2">
      <c r="K5330" s="8"/>
    </row>
    <row r="5331" spans="11:11" x14ac:dyDescent="0.2">
      <c r="K5331" s="8"/>
    </row>
    <row r="5332" spans="11:11" x14ac:dyDescent="0.2">
      <c r="K5332" s="8"/>
    </row>
    <row r="5333" spans="11:11" x14ac:dyDescent="0.2">
      <c r="K5333" s="8"/>
    </row>
    <row r="5334" spans="11:11" x14ac:dyDescent="0.2">
      <c r="K5334" s="8"/>
    </row>
    <row r="5335" spans="11:11" x14ac:dyDescent="0.2">
      <c r="K5335" s="8"/>
    </row>
    <row r="5336" spans="11:11" x14ac:dyDescent="0.2">
      <c r="K5336" s="8"/>
    </row>
    <row r="5337" spans="11:11" x14ac:dyDescent="0.2">
      <c r="K5337" s="8"/>
    </row>
    <row r="5338" spans="11:11" x14ac:dyDescent="0.2">
      <c r="K5338" s="8"/>
    </row>
    <row r="5339" spans="11:11" x14ac:dyDescent="0.2">
      <c r="K5339" s="8"/>
    </row>
    <row r="5340" spans="11:11" x14ac:dyDescent="0.2">
      <c r="K5340" s="8"/>
    </row>
    <row r="5341" spans="11:11" x14ac:dyDescent="0.2">
      <c r="K5341" s="8"/>
    </row>
    <row r="5342" spans="11:11" x14ac:dyDescent="0.2">
      <c r="K5342" s="8"/>
    </row>
    <row r="5343" spans="11:11" x14ac:dyDescent="0.2">
      <c r="K5343" s="8"/>
    </row>
    <row r="5344" spans="11:11" x14ac:dyDescent="0.2">
      <c r="K5344" s="8"/>
    </row>
    <row r="5345" spans="11:11" x14ac:dyDescent="0.2">
      <c r="K5345" s="8"/>
    </row>
    <row r="5346" spans="11:11" x14ac:dyDescent="0.2">
      <c r="K5346" s="8"/>
    </row>
    <row r="5347" spans="11:11" x14ac:dyDescent="0.2">
      <c r="K5347" s="8"/>
    </row>
    <row r="5348" spans="11:11" x14ac:dyDescent="0.2">
      <c r="K5348" s="8"/>
    </row>
    <row r="5349" spans="11:11" x14ac:dyDescent="0.2">
      <c r="K5349" s="8"/>
    </row>
    <row r="5350" spans="11:11" x14ac:dyDescent="0.2">
      <c r="K5350" s="8"/>
    </row>
    <row r="5351" spans="11:11" x14ac:dyDescent="0.2">
      <c r="K5351" s="8"/>
    </row>
    <row r="5352" spans="11:11" x14ac:dyDescent="0.2">
      <c r="K5352" s="8"/>
    </row>
    <row r="5353" spans="11:11" x14ac:dyDescent="0.2">
      <c r="K5353" s="8"/>
    </row>
    <row r="5354" spans="11:11" x14ac:dyDescent="0.2">
      <c r="K5354" s="8"/>
    </row>
    <row r="5355" spans="11:11" x14ac:dyDescent="0.2">
      <c r="K5355" s="8"/>
    </row>
    <row r="5356" spans="11:11" x14ac:dyDescent="0.2">
      <c r="K5356" s="8"/>
    </row>
    <row r="5357" spans="11:11" x14ac:dyDescent="0.2">
      <c r="K5357" s="8"/>
    </row>
    <row r="5358" spans="11:11" x14ac:dyDescent="0.2">
      <c r="K5358" s="8"/>
    </row>
    <row r="5359" spans="11:11" x14ac:dyDescent="0.2">
      <c r="K5359" s="8"/>
    </row>
    <row r="5360" spans="11:11" x14ac:dyDescent="0.2">
      <c r="K5360" s="8"/>
    </row>
    <row r="5361" spans="11:11" x14ac:dyDescent="0.2">
      <c r="K5361" s="8"/>
    </row>
    <row r="5362" spans="11:11" x14ac:dyDescent="0.2">
      <c r="K5362" s="8"/>
    </row>
    <row r="5363" spans="11:11" x14ac:dyDescent="0.2">
      <c r="K5363" s="8"/>
    </row>
    <row r="5364" spans="11:11" x14ac:dyDescent="0.2">
      <c r="K5364" s="8"/>
    </row>
    <row r="5365" spans="11:11" x14ac:dyDescent="0.2">
      <c r="K5365" s="8"/>
    </row>
    <row r="5366" spans="11:11" x14ac:dyDescent="0.2">
      <c r="K5366" s="8"/>
    </row>
    <row r="5367" spans="11:11" x14ac:dyDescent="0.2">
      <c r="K5367" s="8"/>
    </row>
    <row r="5368" spans="11:11" x14ac:dyDescent="0.2">
      <c r="K5368" s="8"/>
    </row>
    <row r="5369" spans="11:11" x14ac:dyDescent="0.2">
      <c r="K5369" s="8"/>
    </row>
    <row r="5370" spans="11:11" x14ac:dyDescent="0.2">
      <c r="K5370" s="8"/>
    </row>
    <row r="5371" spans="11:11" x14ac:dyDescent="0.2">
      <c r="K5371" s="8"/>
    </row>
    <row r="5372" spans="11:11" x14ac:dyDescent="0.2">
      <c r="K5372" s="8"/>
    </row>
    <row r="5373" spans="11:11" x14ac:dyDescent="0.2">
      <c r="K5373" s="8"/>
    </row>
    <row r="5374" spans="11:11" x14ac:dyDescent="0.2">
      <c r="K5374" s="8"/>
    </row>
    <row r="5375" spans="11:11" x14ac:dyDescent="0.2">
      <c r="K5375" s="8"/>
    </row>
    <row r="5376" spans="11:11" x14ac:dyDescent="0.2">
      <c r="K5376" s="8"/>
    </row>
    <row r="5377" spans="11:11" x14ac:dyDescent="0.2">
      <c r="K5377" s="8"/>
    </row>
    <row r="5378" spans="11:11" x14ac:dyDescent="0.2">
      <c r="K5378" s="8"/>
    </row>
    <row r="5379" spans="11:11" x14ac:dyDescent="0.2">
      <c r="K5379" s="8"/>
    </row>
    <row r="5380" spans="11:11" x14ac:dyDescent="0.2">
      <c r="K5380" s="8"/>
    </row>
    <row r="5381" spans="11:11" x14ac:dyDescent="0.2">
      <c r="K5381" s="8"/>
    </row>
    <row r="5382" spans="11:11" x14ac:dyDescent="0.2">
      <c r="K5382" s="8"/>
    </row>
    <row r="5383" spans="11:11" x14ac:dyDescent="0.2">
      <c r="K5383" s="8"/>
    </row>
    <row r="5384" spans="11:11" x14ac:dyDescent="0.2">
      <c r="K5384" s="8"/>
    </row>
    <row r="5385" spans="11:11" x14ac:dyDescent="0.2">
      <c r="K5385" s="8"/>
    </row>
    <row r="5386" spans="11:11" x14ac:dyDescent="0.2">
      <c r="K5386" s="8"/>
    </row>
    <row r="5387" spans="11:11" x14ac:dyDescent="0.2">
      <c r="K5387" s="8"/>
    </row>
    <row r="5388" spans="11:11" x14ac:dyDescent="0.2">
      <c r="K5388" s="8"/>
    </row>
    <row r="5389" spans="11:11" x14ac:dyDescent="0.2">
      <c r="K5389" s="8"/>
    </row>
    <row r="5390" spans="11:11" x14ac:dyDescent="0.2">
      <c r="K5390" s="8"/>
    </row>
    <row r="5391" spans="11:11" x14ac:dyDescent="0.2">
      <c r="K5391" s="8"/>
    </row>
    <row r="5392" spans="11:11" x14ac:dyDescent="0.2">
      <c r="K5392" s="8"/>
    </row>
    <row r="5393" spans="11:11" x14ac:dyDescent="0.2">
      <c r="K5393" s="8"/>
    </row>
    <row r="5394" spans="11:11" x14ac:dyDescent="0.2">
      <c r="K5394" s="8"/>
    </row>
    <row r="5395" spans="11:11" x14ac:dyDescent="0.2">
      <c r="K5395" s="8"/>
    </row>
    <row r="5396" spans="11:11" x14ac:dyDescent="0.2">
      <c r="K5396" s="8"/>
    </row>
    <row r="5397" spans="11:11" x14ac:dyDescent="0.2">
      <c r="K5397" s="8"/>
    </row>
    <row r="5398" spans="11:11" x14ac:dyDescent="0.2">
      <c r="K5398" s="8"/>
    </row>
    <row r="5399" spans="11:11" x14ac:dyDescent="0.2">
      <c r="K5399" s="8"/>
    </row>
    <row r="5400" spans="11:11" x14ac:dyDescent="0.2">
      <c r="K5400" s="8"/>
    </row>
    <row r="5401" spans="11:11" x14ac:dyDescent="0.2">
      <c r="K5401" s="8"/>
    </row>
    <row r="5402" spans="11:11" x14ac:dyDescent="0.2">
      <c r="K5402" s="8"/>
    </row>
    <row r="5403" spans="11:11" x14ac:dyDescent="0.2">
      <c r="K5403" s="8"/>
    </row>
    <row r="5404" spans="11:11" x14ac:dyDescent="0.2">
      <c r="K5404" s="8"/>
    </row>
    <row r="5405" spans="11:11" x14ac:dyDescent="0.2">
      <c r="K5405" s="8"/>
    </row>
    <row r="5406" spans="11:11" x14ac:dyDescent="0.2">
      <c r="K5406" s="8"/>
    </row>
    <row r="5407" spans="11:11" x14ac:dyDescent="0.2">
      <c r="K5407" s="8"/>
    </row>
    <row r="5408" spans="11:11" x14ac:dyDescent="0.2">
      <c r="K5408" s="8"/>
    </row>
    <row r="5409" spans="11:11" x14ac:dyDescent="0.2">
      <c r="K5409" s="8"/>
    </row>
    <row r="5410" spans="11:11" x14ac:dyDescent="0.2">
      <c r="K5410" s="8"/>
    </row>
    <row r="5411" spans="11:11" x14ac:dyDescent="0.2">
      <c r="K5411" s="8"/>
    </row>
    <row r="5412" spans="11:11" x14ac:dyDescent="0.2">
      <c r="K5412" s="8"/>
    </row>
    <row r="5413" spans="11:11" x14ac:dyDescent="0.2">
      <c r="K5413" s="8"/>
    </row>
    <row r="5414" spans="11:11" x14ac:dyDescent="0.2">
      <c r="K5414" s="8"/>
    </row>
    <row r="5415" spans="11:11" x14ac:dyDescent="0.2">
      <c r="K5415" s="8"/>
    </row>
    <row r="5416" spans="11:11" x14ac:dyDescent="0.2">
      <c r="K5416" s="8"/>
    </row>
    <row r="5417" spans="11:11" x14ac:dyDescent="0.2">
      <c r="K5417" s="8"/>
    </row>
    <row r="5418" spans="11:11" x14ac:dyDescent="0.2">
      <c r="K5418" s="8"/>
    </row>
    <row r="5419" spans="11:11" x14ac:dyDescent="0.2">
      <c r="K5419" s="8"/>
    </row>
    <row r="5420" spans="11:11" x14ac:dyDescent="0.2">
      <c r="K5420" s="8"/>
    </row>
    <row r="5421" spans="11:11" x14ac:dyDescent="0.2">
      <c r="K5421" s="8"/>
    </row>
    <row r="5422" spans="11:11" x14ac:dyDescent="0.2">
      <c r="K5422" s="8"/>
    </row>
    <row r="5423" spans="11:11" x14ac:dyDescent="0.2">
      <c r="K5423" s="8"/>
    </row>
    <row r="5424" spans="11:11" x14ac:dyDescent="0.2">
      <c r="K5424" s="8"/>
    </row>
    <row r="5425" spans="11:11" x14ac:dyDescent="0.2">
      <c r="K5425" s="8"/>
    </row>
    <row r="5426" spans="11:11" x14ac:dyDescent="0.2">
      <c r="K5426" s="8"/>
    </row>
    <row r="5427" spans="11:11" x14ac:dyDescent="0.2">
      <c r="K5427" s="8"/>
    </row>
    <row r="5428" spans="11:11" x14ac:dyDescent="0.2">
      <c r="K5428" s="8"/>
    </row>
    <row r="5429" spans="11:11" x14ac:dyDescent="0.2">
      <c r="K5429" s="8"/>
    </row>
    <row r="5430" spans="11:11" x14ac:dyDescent="0.2">
      <c r="K5430" s="8"/>
    </row>
    <row r="5431" spans="11:11" x14ac:dyDescent="0.2">
      <c r="K5431" s="8"/>
    </row>
    <row r="5432" spans="11:11" x14ac:dyDescent="0.2">
      <c r="K5432" s="8"/>
    </row>
    <row r="5433" spans="11:11" x14ac:dyDescent="0.2">
      <c r="K5433" s="8"/>
    </row>
    <row r="5434" spans="11:11" x14ac:dyDescent="0.2">
      <c r="K5434" s="8"/>
    </row>
    <row r="5435" spans="11:11" x14ac:dyDescent="0.2">
      <c r="K5435" s="8"/>
    </row>
    <row r="5436" spans="11:11" x14ac:dyDescent="0.2">
      <c r="K5436" s="8"/>
    </row>
    <row r="5437" spans="11:11" x14ac:dyDescent="0.2">
      <c r="K5437" s="8"/>
    </row>
    <row r="5438" spans="11:11" x14ac:dyDescent="0.2">
      <c r="K5438" s="8"/>
    </row>
    <row r="5439" spans="11:11" x14ac:dyDescent="0.2">
      <c r="K5439" s="8"/>
    </row>
    <row r="5440" spans="11:11" x14ac:dyDescent="0.2">
      <c r="K5440" s="8"/>
    </row>
    <row r="5441" spans="11:11" x14ac:dyDescent="0.2">
      <c r="K5441" s="8"/>
    </row>
    <row r="5442" spans="11:11" x14ac:dyDescent="0.2">
      <c r="K5442" s="8"/>
    </row>
    <row r="5443" spans="11:11" x14ac:dyDescent="0.2">
      <c r="K5443" s="8"/>
    </row>
    <row r="5444" spans="11:11" x14ac:dyDescent="0.2">
      <c r="K5444" s="8"/>
    </row>
    <row r="5445" spans="11:11" x14ac:dyDescent="0.2">
      <c r="K5445" s="8"/>
    </row>
    <row r="5446" spans="11:11" x14ac:dyDescent="0.2">
      <c r="K5446" s="8"/>
    </row>
    <row r="5447" spans="11:11" x14ac:dyDescent="0.2">
      <c r="K5447" s="8"/>
    </row>
    <row r="5448" spans="11:11" x14ac:dyDescent="0.2">
      <c r="K5448" s="8"/>
    </row>
    <row r="5449" spans="11:11" x14ac:dyDescent="0.2">
      <c r="K5449" s="8"/>
    </row>
    <row r="5450" spans="11:11" x14ac:dyDescent="0.2">
      <c r="K5450" s="8"/>
    </row>
    <row r="5451" spans="11:11" x14ac:dyDescent="0.2">
      <c r="K5451" s="8"/>
    </row>
    <row r="5452" spans="11:11" x14ac:dyDescent="0.2">
      <c r="K5452" s="8"/>
    </row>
    <row r="5453" spans="11:11" x14ac:dyDescent="0.2">
      <c r="K5453" s="8"/>
    </row>
    <row r="5454" spans="11:11" x14ac:dyDescent="0.2">
      <c r="K5454" s="8"/>
    </row>
    <row r="5455" spans="11:11" x14ac:dyDescent="0.2">
      <c r="K5455" s="8"/>
    </row>
    <row r="5456" spans="11:11" x14ac:dyDescent="0.2">
      <c r="K5456" s="8"/>
    </row>
    <row r="5457" spans="11:11" x14ac:dyDescent="0.2">
      <c r="K5457" s="8"/>
    </row>
    <row r="5458" spans="11:11" x14ac:dyDescent="0.2">
      <c r="K5458" s="8"/>
    </row>
    <row r="5459" spans="11:11" x14ac:dyDescent="0.2">
      <c r="K5459" s="8"/>
    </row>
    <row r="5460" spans="11:11" x14ac:dyDescent="0.2">
      <c r="K5460" s="8"/>
    </row>
    <row r="5461" spans="11:11" x14ac:dyDescent="0.2">
      <c r="K5461" s="8"/>
    </row>
    <row r="5462" spans="11:11" x14ac:dyDescent="0.2">
      <c r="K5462" s="8"/>
    </row>
    <row r="5463" spans="11:11" x14ac:dyDescent="0.2">
      <c r="K5463" s="8"/>
    </row>
    <row r="5464" spans="11:11" x14ac:dyDescent="0.2">
      <c r="K5464" s="8"/>
    </row>
    <row r="5465" spans="11:11" x14ac:dyDescent="0.2">
      <c r="K5465" s="8"/>
    </row>
    <row r="5466" spans="11:11" x14ac:dyDescent="0.2">
      <c r="K5466" s="8"/>
    </row>
    <row r="5467" spans="11:11" x14ac:dyDescent="0.2">
      <c r="K5467" s="8"/>
    </row>
    <row r="5468" spans="11:11" x14ac:dyDescent="0.2">
      <c r="K5468" s="8"/>
    </row>
    <row r="5469" spans="11:11" x14ac:dyDescent="0.2">
      <c r="K5469" s="8"/>
    </row>
    <row r="5470" spans="11:11" x14ac:dyDescent="0.2">
      <c r="K5470" s="8"/>
    </row>
    <row r="5471" spans="11:11" x14ac:dyDescent="0.2">
      <c r="K5471" s="8"/>
    </row>
    <row r="5472" spans="11:11" x14ac:dyDescent="0.2">
      <c r="K5472" s="8"/>
    </row>
    <row r="5473" spans="11:11" x14ac:dyDescent="0.2">
      <c r="K5473" s="8"/>
    </row>
    <row r="5474" spans="11:11" x14ac:dyDescent="0.2">
      <c r="K5474" s="8"/>
    </row>
    <row r="5475" spans="11:11" x14ac:dyDescent="0.2">
      <c r="K5475" s="8"/>
    </row>
    <row r="5476" spans="11:11" x14ac:dyDescent="0.2">
      <c r="K5476" s="8"/>
    </row>
    <row r="5477" spans="11:11" x14ac:dyDescent="0.2">
      <c r="K5477" s="8"/>
    </row>
    <row r="5478" spans="11:11" x14ac:dyDescent="0.2">
      <c r="K5478" s="8"/>
    </row>
    <row r="5479" spans="11:11" x14ac:dyDescent="0.2">
      <c r="K5479" s="8"/>
    </row>
    <row r="5480" spans="11:11" x14ac:dyDescent="0.2">
      <c r="K5480" s="8"/>
    </row>
    <row r="5481" spans="11:11" x14ac:dyDescent="0.2">
      <c r="K5481" s="8"/>
    </row>
    <row r="5482" spans="11:11" x14ac:dyDescent="0.2">
      <c r="K5482" s="8"/>
    </row>
    <row r="5483" spans="11:11" x14ac:dyDescent="0.2">
      <c r="K5483" s="8"/>
    </row>
    <row r="5484" spans="11:11" x14ac:dyDescent="0.2">
      <c r="K5484" s="8"/>
    </row>
    <row r="5485" spans="11:11" x14ac:dyDescent="0.2">
      <c r="K5485" s="8"/>
    </row>
    <row r="5486" spans="11:11" x14ac:dyDescent="0.2">
      <c r="K5486" s="8"/>
    </row>
    <row r="5487" spans="11:11" x14ac:dyDescent="0.2">
      <c r="K5487" s="8"/>
    </row>
    <row r="5488" spans="11:11" x14ac:dyDescent="0.2">
      <c r="K5488" s="8"/>
    </row>
    <row r="5489" spans="11:11" x14ac:dyDescent="0.2">
      <c r="K5489" s="8"/>
    </row>
    <row r="5490" spans="11:11" x14ac:dyDescent="0.2">
      <c r="K5490" s="8"/>
    </row>
    <row r="5491" spans="11:11" x14ac:dyDescent="0.2">
      <c r="K5491" s="8"/>
    </row>
    <row r="5492" spans="11:11" x14ac:dyDescent="0.2">
      <c r="K5492" s="8"/>
    </row>
    <row r="5493" spans="11:11" x14ac:dyDescent="0.2">
      <c r="K5493" s="8"/>
    </row>
    <row r="5494" spans="11:11" x14ac:dyDescent="0.2">
      <c r="K5494" s="8"/>
    </row>
    <row r="5495" spans="11:11" x14ac:dyDescent="0.2">
      <c r="K5495" s="8"/>
    </row>
    <row r="5496" spans="11:11" x14ac:dyDescent="0.2">
      <c r="K5496" s="8"/>
    </row>
    <row r="5497" spans="11:11" x14ac:dyDescent="0.2">
      <c r="K5497" s="8"/>
    </row>
    <row r="5498" spans="11:11" x14ac:dyDescent="0.2">
      <c r="K5498" s="8"/>
    </row>
    <row r="5499" spans="11:11" x14ac:dyDescent="0.2">
      <c r="K5499" s="8"/>
    </row>
    <row r="5500" spans="11:11" x14ac:dyDescent="0.2">
      <c r="K5500" s="8"/>
    </row>
    <row r="5501" spans="11:11" x14ac:dyDescent="0.2">
      <c r="K5501" s="8"/>
    </row>
    <row r="5502" spans="11:11" x14ac:dyDescent="0.2">
      <c r="K5502" s="8"/>
    </row>
    <row r="5503" spans="11:11" x14ac:dyDescent="0.2">
      <c r="K5503" s="8"/>
    </row>
    <row r="5504" spans="11:11" x14ac:dyDescent="0.2">
      <c r="K5504" s="8"/>
    </row>
    <row r="5505" spans="11:11" x14ac:dyDescent="0.2">
      <c r="K5505" s="8"/>
    </row>
    <row r="5506" spans="11:11" x14ac:dyDescent="0.2">
      <c r="K5506" s="8"/>
    </row>
    <row r="5507" spans="11:11" x14ac:dyDescent="0.2">
      <c r="K5507" s="8"/>
    </row>
    <row r="5508" spans="11:11" x14ac:dyDescent="0.2">
      <c r="K5508" s="8"/>
    </row>
    <row r="5509" spans="11:11" x14ac:dyDescent="0.2">
      <c r="K5509" s="8"/>
    </row>
    <row r="5510" spans="11:11" x14ac:dyDescent="0.2">
      <c r="K5510" s="8"/>
    </row>
    <row r="5511" spans="11:11" x14ac:dyDescent="0.2">
      <c r="K5511" s="8"/>
    </row>
    <row r="5512" spans="11:11" x14ac:dyDescent="0.2">
      <c r="K5512" s="8"/>
    </row>
    <row r="5513" spans="11:11" x14ac:dyDescent="0.2">
      <c r="K5513" s="8"/>
    </row>
    <row r="5514" spans="11:11" x14ac:dyDescent="0.2">
      <c r="K5514" s="8"/>
    </row>
    <row r="5515" spans="11:11" x14ac:dyDescent="0.2">
      <c r="K5515" s="8"/>
    </row>
    <row r="5516" spans="11:11" x14ac:dyDescent="0.2">
      <c r="K5516" s="8"/>
    </row>
    <row r="5517" spans="11:11" x14ac:dyDescent="0.2">
      <c r="K5517" s="8"/>
    </row>
    <row r="5518" spans="11:11" x14ac:dyDescent="0.2">
      <c r="K5518" s="8"/>
    </row>
    <row r="5519" spans="11:11" x14ac:dyDescent="0.2">
      <c r="K5519" s="8"/>
    </row>
    <row r="5520" spans="11:11" x14ac:dyDescent="0.2">
      <c r="K5520" s="8"/>
    </row>
    <row r="5521" spans="11:11" x14ac:dyDescent="0.2">
      <c r="K5521" s="8"/>
    </row>
    <row r="5522" spans="11:11" x14ac:dyDescent="0.2">
      <c r="K5522" s="8"/>
    </row>
    <row r="5523" spans="11:11" x14ac:dyDescent="0.2">
      <c r="K5523" s="8"/>
    </row>
    <row r="5524" spans="11:11" x14ac:dyDescent="0.2">
      <c r="K5524" s="8"/>
    </row>
    <row r="5525" spans="11:11" x14ac:dyDescent="0.2">
      <c r="K5525" s="8"/>
    </row>
    <row r="5526" spans="11:11" x14ac:dyDescent="0.2">
      <c r="K5526" s="8"/>
    </row>
    <row r="5527" spans="11:11" x14ac:dyDescent="0.2">
      <c r="K5527" s="8"/>
    </row>
    <row r="5528" spans="11:11" x14ac:dyDescent="0.2">
      <c r="K5528" s="8"/>
    </row>
    <row r="5529" spans="11:11" x14ac:dyDescent="0.2">
      <c r="K5529" s="8"/>
    </row>
    <row r="5530" spans="11:11" x14ac:dyDescent="0.2">
      <c r="K5530" s="8"/>
    </row>
    <row r="5531" spans="11:11" x14ac:dyDescent="0.2">
      <c r="K5531" s="8"/>
    </row>
    <row r="5532" spans="11:11" x14ac:dyDescent="0.2">
      <c r="K5532" s="8"/>
    </row>
    <row r="5533" spans="11:11" x14ac:dyDescent="0.2">
      <c r="K5533" s="8"/>
    </row>
    <row r="5534" spans="11:11" x14ac:dyDescent="0.2">
      <c r="K5534" s="8"/>
    </row>
    <row r="5535" spans="11:11" x14ac:dyDescent="0.2">
      <c r="K5535" s="8"/>
    </row>
    <row r="5536" spans="11:11" x14ac:dyDescent="0.2">
      <c r="K5536" s="8"/>
    </row>
    <row r="5537" spans="11:11" x14ac:dyDescent="0.2">
      <c r="K5537" s="8"/>
    </row>
    <row r="5538" spans="11:11" x14ac:dyDescent="0.2">
      <c r="K5538" s="8"/>
    </row>
    <row r="5539" spans="11:11" x14ac:dyDescent="0.2">
      <c r="K5539" s="8"/>
    </row>
    <row r="5540" spans="11:11" x14ac:dyDescent="0.2">
      <c r="K5540" s="8"/>
    </row>
    <row r="5541" spans="11:11" x14ac:dyDescent="0.2">
      <c r="K5541" s="8"/>
    </row>
    <row r="5542" spans="11:11" x14ac:dyDescent="0.2">
      <c r="K5542" s="8"/>
    </row>
    <row r="5543" spans="11:11" x14ac:dyDescent="0.2">
      <c r="K5543" s="8"/>
    </row>
    <row r="5544" spans="11:11" x14ac:dyDescent="0.2">
      <c r="K5544" s="8"/>
    </row>
    <row r="5545" spans="11:11" x14ac:dyDescent="0.2">
      <c r="K5545" s="8"/>
    </row>
    <row r="5546" spans="11:11" x14ac:dyDescent="0.2">
      <c r="K5546" s="8"/>
    </row>
    <row r="5547" spans="11:11" x14ac:dyDescent="0.2">
      <c r="K5547" s="8"/>
    </row>
    <row r="5548" spans="11:11" x14ac:dyDescent="0.2">
      <c r="K5548" s="8"/>
    </row>
    <row r="5549" spans="11:11" x14ac:dyDescent="0.2">
      <c r="K5549" s="8"/>
    </row>
    <row r="5550" spans="11:11" x14ac:dyDescent="0.2">
      <c r="K5550" s="8"/>
    </row>
    <row r="5551" spans="11:11" x14ac:dyDescent="0.2">
      <c r="K5551" s="8"/>
    </row>
    <row r="5552" spans="11:11" x14ac:dyDescent="0.2">
      <c r="K5552" s="8"/>
    </row>
    <row r="5553" spans="11:11" x14ac:dyDescent="0.2">
      <c r="K5553" s="8"/>
    </row>
    <row r="5554" spans="11:11" x14ac:dyDescent="0.2">
      <c r="K5554" s="8"/>
    </row>
    <row r="5555" spans="11:11" x14ac:dyDescent="0.2">
      <c r="K5555" s="8"/>
    </row>
    <row r="5556" spans="11:11" x14ac:dyDescent="0.2">
      <c r="K5556" s="8"/>
    </row>
    <row r="5557" spans="11:11" x14ac:dyDescent="0.2">
      <c r="K5557" s="8"/>
    </row>
    <row r="5558" spans="11:11" x14ac:dyDescent="0.2">
      <c r="K5558" s="8"/>
    </row>
    <row r="5559" spans="11:11" x14ac:dyDescent="0.2">
      <c r="K5559" s="8"/>
    </row>
    <row r="5560" spans="11:11" x14ac:dyDescent="0.2">
      <c r="K5560" s="8"/>
    </row>
    <row r="5561" spans="11:11" x14ac:dyDescent="0.2">
      <c r="K5561" s="8"/>
    </row>
    <row r="5562" spans="11:11" x14ac:dyDescent="0.2">
      <c r="K5562" s="8"/>
    </row>
    <row r="5563" spans="11:11" x14ac:dyDescent="0.2">
      <c r="K5563" s="8"/>
    </row>
    <row r="5564" spans="11:11" x14ac:dyDescent="0.2">
      <c r="K5564" s="8"/>
    </row>
    <row r="5565" spans="11:11" x14ac:dyDescent="0.2">
      <c r="K5565" s="8"/>
    </row>
    <row r="5566" spans="11:11" x14ac:dyDescent="0.2">
      <c r="K5566" s="8"/>
    </row>
    <row r="5567" spans="11:11" x14ac:dyDescent="0.2">
      <c r="K5567" s="8"/>
    </row>
    <row r="5568" spans="11:11" x14ac:dyDescent="0.2">
      <c r="K5568" s="8"/>
    </row>
    <row r="5569" spans="11:11" x14ac:dyDescent="0.2">
      <c r="K5569" s="8"/>
    </row>
    <row r="5570" spans="11:11" x14ac:dyDescent="0.2">
      <c r="K5570" s="8"/>
    </row>
    <row r="5571" spans="11:11" x14ac:dyDescent="0.2">
      <c r="K5571" s="8"/>
    </row>
    <row r="5572" spans="11:11" x14ac:dyDescent="0.2">
      <c r="K5572" s="8"/>
    </row>
    <row r="5573" spans="11:11" x14ac:dyDescent="0.2">
      <c r="K5573" s="8"/>
    </row>
    <row r="5574" spans="11:11" x14ac:dyDescent="0.2">
      <c r="K5574" s="8"/>
    </row>
    <row r="5575" spans="11:11" x14ac:dyDescent="0.2">
      <c r="K5575" s="8"/>
    </row>
    <row r="5576" spans="11:11" x14ac:dyDescent="0.2">
      <c r="K5576" s="8"/>
    </row>
    <row r="5577" spans="11:11" x14ac:dyDescent="0.2">
      <c r="K5577" s="8"/>
    </row>
    <row r="5578" spans="11:11" x14ac:dyDescent="0.2">
      <c r="K5578" s="8"/>
    </row>
    <row r="5579" spans="11:11" x14ac:dyDescent="0.2">
      <c r="K5579" s="8"/>
    </row>
    <row r="5580" spans="11:11" x14ac:dyDescent="0.2">
      <c r="K5580" s="8"/>
    </row>
    <row r="5581" spans="11:11" x14ac:dyDescent="0.2">
      <c r="K5581" s="8"/>
    </row>
    <row r="5582" spans="11:11" x14ac:dyDescent="0.2">
      <c r="K5582" s="8"/>
    </row>
    <row r="5583" spans="11:11" x14ac:dyDescent="0.2">
      <c r="K5583" s="8"/>
    </row>
    <row r="5584" spans="11:11" x14ac:dyDescent="0.2">
      <c r="K5584" s="8"/>
    </row>
    <row r="5585" spans="11:11" x14ac:dyDescent="0.2">
      <c r="K5585" s="8"/>
    </row>
    <row r="5586" spans="11:11" x14ac:dyDescent="0.2">
      <c r="K5586" s="8"/>
    </row>
    <row r="5587" spans="11:11" x14ac:dyDescent="0.2">
      <c r="K5587" s="8"/>
    </row>
    <row r="5588" spans="11:11" x14ac:dyDescent="0.2">
      <c r="K5588" s="8"/>
    </row>
    <row r="5589" spans="11:11" x14ac:dyDescent="0.2">
      <c r="K5589" s="8"/>
    </row>
    <row r="5590" spans="11:11" x14ac:dyDescent="0.2">
      <c r="K5590" s="8"/>
    </row>
    <row r="5591" spans="11:11" x14ac:dyDescent="0.2">
      <c r="K5591" s="8"/>
    </row>
    <row r="5592" spans="11:11" x14ac:dyDescent="0.2">
      <c r="K5592" s="8"/>
    </row>
    <row r="5593" spans="11:11" x14ac:dyDescent="0.2">
      <c r="K5593" s="8"/>
    </row>
    <row r="5594" spans="11:11" x14ac:dyDescent="0.2">
      <c r="K5594" s="8"/>
    </row>
    <row r="5595" spans="11:11" x14ac:dyDescent="0.2">
      <c r="K5595" s="8"/>
    </row>
    <row r="5596" spans="11:11" x14ac:dyDescent="0.2">
      <c r="K5596" s="8"/>
    </row>
    <row r="5597" spans="11:11" x14ac:dyDescent="0.2">
      <c r="K5597" s="8"/>
    </row>
    <row r="5598" spans="11:11" x14ac:dyDescent="0.2">
      <c r="K5598" s="8"/>
    </row>
    <row r="5599" spans="11:11" x14ac:dyDescent="0.2">
      <c r="K5599" s="8"/>
    </row>
    <row r="5600" spans="11:11" x14ac:dyDescent="0.2">
      <c r="K5600" s="8"/>
    </row>
    <row r="5601" spans="11:11" x14ac:dyDescent="0.2">
      <c r="K5601" s="8"/>
    </row>
    <row r="5602" spans="11:11" x14ac:dyDescent="0.2">
      <c r="K5602" s="8"/>
    </row>
    <row r="5603" spans="11:11" x14ac:dyDescent="0.2">
      <c r="K5603" s="8"/>
    </row>
    <row r="5604" spans="11:11" x14ac:dyDescent="0.2">
      <c r="K5604" s="8"/>
    </row>
    <row r="5605" spans="11:11" x14ac:dyDescent="0.2">
      <c r="K5605" s="8"/>
    </row>
    <row r="5606" spans="11:11" x14ac:dyDescent="0.2">
      <c r="K5606" s="8"/>
    </row>
    <row r="5607" spans="11:11" x14ac:dyDescent="0.2">
      <c r="K5607" s="8"/>
    </row>
    <row r="5608" spans="11:11" x14ac:dyDescent="0.2">
      <c r="K5608" s="8"/>
    </row>
    <row r="5609" spans="11:11" x14ac:dyDescent="0.2">
      <c r="K5609" s="8"/>
    </row>
    <row r="5610" spans="11:11" x14ac:dyDescent="0.2">
      <c r="K5610" s="8"/>
    </row>
    <row r="5611" spans="11:11" x14ac:dyDescent="0.2">
      <c r="K5611" s="8"/>
    </row>
    <row r="5612" spans="11:11" x14ac:dyDescent="0.2">
      <c r="K5612" s="8"/>
    </row>
    <row r="5613" spans="11:11" x14ac:dyDescent="0.2">
      <c r="K5613" s="8"/>
    </row>
    <row r="5614" spans="11:11" x14ac:dyDescent="0.2">
      <c r="K5614" s="8"/>
    </row>
    <row r="5615" spans="11:11" x14ac:dyDescent="0.2">
      <c r="K5615" s="8"/>
    </row>
    <row r="5616" spans="11:11" x14ac:dyDescent="0.2">
      <c r="K5616" s="8"/>
    </row>
    <row r="5617" spans="11:11" x14ac:dyDescent="0.2">
      <c r="K5617" s="8"/>
    </row>
    <row r="5618" spans="11:11" x14ac:dyDescent="0.2">
      <c r="K5618" s="8"/>
    </row>
    <row r="5619" spans="11:11" x14ac:dyDescent="0.2">
      <c r="K5619" s="8"/>
    </row>
    <row r="5620" spans="11:11" x14ac:dyDescent="0.2">
      <c r="K5620" s="8"/>
    </row>
    <row r="5621" spans="11:11" x14ac:dyDescent="0.2">
      <c r="K5621" s="8"/>
    </row>
    <row r="5622" spans="11:11" x14ac:dyDescent="0.2">
      <c r="K5622" s="8"/>
    </row>
    <row r="5623" spans="11:11" x14ac:dyDescent="0.2">
      <c r="K5623" s="8"/>
    </row>
    <row r="5624" spans="11:11" x14ac:dyDescent="0.2">
      <c r="K5624" s="8"/>
    </row>
    <row r="5625" spans="11:11" x14ac:dyDescent="0.2">
      <c r="K5625" s="8"/>
    </row>
    <row r="5626" spans="11:11" x14ac:dyDescent="0.2">
      <c r="K5626" s="8"/>
    </row>
    <row r="5627" spans="11:11" x14ac:dyDescent="0.2">
      <c r="K5627" s="8"/>
    </row>
    <row r="5628" spans="11:11" x14ac:dyDescent="0.2">
      <c r="K5628" s="8"/>
    </row>
    <row r="5629" spans="11:11" x14ac:dyDescent="0.2">
      <c r="K5629" s="8"/>
    </row>
    <row r="5630" spans="11:11" x14ac:dyDescent="0.2">
      <c r="K5630" s="8"/>
    </row>
    <row r="5631" spans="11:11" x14ac:dyDescent="0.2">
      <c r="K5631" s="8"/>
    </row>
    <row r="5632" spans="11:11" x14ac:dyDescent="0.2">
      <c r="K5632" s="8"/>
    </row>
    <row r="5633" spans="11:11" x14ac:dyDescent="0.2">
      <c r="K5633" s="8"/>
    </row>
    <row r="5634" spans="11:11" x14ac:dyDescent="0.2">
      <c r="K5634" s="8"/>
    </row>
    <row r="5635" spans="11:11" x14ac:dyDescent="0.2">
      <c r="K5635" s="8"/>
    </row>
    <row r="5636" spans="11:11" x14ac:dyDescent="0.2">
      <c r="K5636" s="8"/>
    </row>
    <row r="5637" spans="11:11" x14ac:dyDescent="0.2">
      <c r="K5637" s="8"/>
    </row>
    <row r="5638" spans="11:11" x14ac:dyDescent="0.2">
      <c r="K5638" s="8"/>
    </row>
    <row r="5639" spans="11:11" x14ac:dyDescent="0.2">
      <c r="K5639" s="8"/>
    </row>
    <row r="5640" spans="11:11" x14ac:dyDescent="0.2">
      <c r="K5640" s="8"/>
    </row>
    <row r="5641" spans="11:11" x14ac:dyDescent="0.2">
      <c r="K5641" s="8"/>
    </row>
    <row r="5642" spans="11:11" x14ac:dyDescent="0.2">
      <c r="K5642" s="8"/>
    </row>
    <row r="5643" spans="11:11" x14ac:dyDescent="0.2">
      <c r="K5643" s="8"/>
    </row>
    <row r="5644" spans="11:11" x14ac:dyDescent="0.2">
      <c r="K5644" s="8"/>
    </row>
    <row r="5645" spans="11:11" x14ac:dyDescent="0.2">
      <c r="K5645" s="8"/>
    </row>
    <row r="5646" spans="11:11" x14ac:dyDescent="0.2">
      <c r="K5646" s="8"/>
    </row>
    <row r="5647" spans="11:11" x14ac:dyDescent="0.2">
      <c r="K5647" s="8"/>
    </row>
    <row r="5648" spans="11:11" x14ac:dyDescent="0.2">
      <c r="K5648" s="8"/>
    </row>
    <row r="5649" spans="11:11" x14ac:dyDescent="0.2">
      <c r="K5649" s="8"/>
    </row>
    <row r="5650" spans="11:11" x14ac:dyDescent="0.2">
      <c r="K5650" s="8"/>
    </row>
    <row r="5651" spans="11:11" x14ac:dyDescent="0.2">
      <c r="K5651" s="8"/>
    </row>
    <row r="5652" spans="11:11" x14ac:dyDescent="0.2">
      <c r="K5652" s="8"/>
    </row>
    <row r="5653" spans="11:11" x14ac:dyDescent="0.2">
      <c r="K5653" s="8"/>
    </row>
    <row r="5654" spans="11:11" x14ac:dyDescent="0.2">
      <c r="K5654" s="8"/>
    </row>
    <row r="5655" spans="11:11" x14ac:dyDescent="0.2">
      <c r="K5655" s="8"/>
    </row>
    <row r="5656" spans="11:11" x14ac:dyDescent="0.2">
      <c r="K5656" s="8"/>
    </row>
    <row r="5657" spans="11:11" x14ac:dyDescent="0.2">
      <c r="K5657" s="8"/>
    </row>
    <row r="5658" spans="11:11" x14ac:dyDescent="0.2">
      <c r="K5658" s="8"/>
    </row>
    <row r="5659" spans="11:11" x14ac:dyDescent="0.2">
      <c r="K5659" s="8"/>
    </row>
    <row r="5660" spans="11:11" x14ac:dyDescent="0.2">
      <c r="K5660" s="8"/>
    </row>
    <row r="5661" spans="11:11" x14ac:dyDescent="0.2">
      <c r="K5661" s="8"/>
    </row>
    <row r="5662" spans="11:11" x14ac:dyDescent="0.2">
      <c r="K5662" s="8"/>
    </row>
    <row r="5663" spans="11:11" x14ac:dyDescent="0.2">
      <c r="K5663" s="8"/>
    </row>
    <row r="5664" spans="11:11" x14ac:dyDescent="0.2">
      <c r="K5664" s="8"/>
    </row>
    <row r="5665" spans="11:11" x14ac:dyDescent="0.2">
      <c r="K5665" s="8"/>
    </row>
    <row r="5666" spans="11:11" x14ac:dyDescent="0.2">
      <c r="K5666" s="8"/>
    </row>
    <row r="5667" spans="11:11" x14ac:dyDescent="0.2">
      <c r="K5667" s="8"/>
    </row>
    <row r="5668" spans="11:11" x14ac:dyDescent="0.2">
      <c r="K5668" s="8"/>
    </row>
    <row r="5669" spans="11:11" x14ac:dyDescent="0.2">
      <c r="K5669" s="8"/>
    </row>
    <row r="5670" spans="11:11" x14ac:dyDescent="0.2">
      <c r="K5670" s="8"/>
    </row>
    <row r="5671" spans="11:11" x14ac:dyDescent="0.2">
      <c r="K5671" s="8"/>
    </row>
    <row r="5672" spans="11:11" x14ac:dyDescent="0.2">
      <c r="K5672" s="8"/>
    </row>
    <row r="5673" spans="11:11" x14ac:dyDescent="0.2">
      <c r="K5673" s="8"/>
    </row>
    <row r="5674" spans="11:11" x14ac:dyDescent="0.2">
      <c r="K5674" s="8"/>
    </row>
    <row r="5675" spans="11:11" x14ac:dyDescent="0.2">
      <c r="K5675" s="8"/>
    </row>
    <row r="5676" spans="11:11" x14ac:dyDescent="0.2">
      <c r="K5676" s="8"/>
    </row>
    <row r="5677" spans="11:11" x14ac:dyDescent="0.2">
      <c r="K5677" s="8"/>
    </row>
    <row r="5678" spans="11:11" x14ac:dyDescent="0.2">
      <c r="K5678" s="8"/>
    </row>
    <row r="5679" spans="11:11" x14ac:dyDescent="0.2">
      <c r="K5679" s="8"/>
    </row>
    <row r="5680" spans="11:11" x14ac:dyDescent="0.2">
      <c r="K5680" s="8"/>
    </row>
    <row r="5681" spans="11:11" x14ac:dyDescent="0.2">
      <c r="K5681" s="8"/>
    </row>
    <row r="5682" spans="11:11" x14ac:dyDescent="0.2">
      <c r="K5682" s="8"/>
    </row>
    <row r="5683" spans="11:11" x14ac:dyDescent="0.2">
      <c r="K5683" s="8"/>
    </row>
    <row r="5684" spans="11:11" x14ac:dyDescent="0.2">
      <c r="K5684" s="8"/>
    </row>
    <row r="5685" spans="11:11" x14ac:dyDescent="0.2">
      <c r="K5685" s="8"/>
    </row>
    <row r="5686" spans="11:11" x14ac:dyDescent="0.2">
      <c r="K5686" s="8"/>
    </row>
    <row r="5687" spans="11:11" x14ac:dyDescent="0.2">
      <c r="K5687" s="8"/>
    </row>
    <row r="5688" spans="11:11" x14ac:dyDescent="0.2">
      <c r="K5688" s="8"/>
    </row>
    <row r="5689" spans="11:11" x14ac:dyDescent="0.2">
      <c r="K5689" s="8"/>
    </row>
    <row r="5690" spans="11:11" x14ac:dyDescent="0.2">
      <c r="K5690" s="8"/>
    </row>
    <row r="5691" spans="11:11" x14ac:dyDescent="0.2">
      <c r="K5691" s="8"/>
    </row>
    <row r="5692" spans="11:11" x14ac:dyDescent="0.2">
      <c r="K5692" s="8"/>
    </row>
    <row r="5693" spans="11:11" x14ac:dyDescent="0.2">
      <c r="K5693" s="8"/>
    </row>
    <row r="5694" spans="11:11" x14ac:dyDescent="0.2">
      <c r="K5694" s="8"/>
    </row>
    <row r="5695" spans="11:11" x14ac:dyDescent="0.2">
      <c r="K5695" s="8"/>
    </row>
    <row r="5696" spans="11:11" x14ac:dyDescent="0.2">
      <c r="K5696" s="8"/>
    </row>
    <row r="5697" spans="11:11" x14ac:dyDescent="0.2">
      <c r="K5697" s="8"/>
    </row>
    <row r="5698" spans="11:11" x14ac:dyDescent="0.2">
      <c r="K5698" s="8"/>
    </row>
    <row r="5699" spans="11:11" x14ac:dyDescent="0.2">
      <c r="K5699" s="8"/>
    </row>
    <row r="5700" spans="11:11" x14ac:dyDescent="0.2">
      <c r="K5700" s="8"/>
    </row>
    <row r="5701" spans="11:11" x14ac:dyDescent="0.2">
      <c r="K5701" s="8"/>
    </row>
    <row r="5702" spans="11:11" x14ac:dyDescent="0.2">
      <c r="K5702" s="8"/>
    </row>
    <row r="5703" spans="11:11" x14ac:dyDescent="0.2">
      <c r="K5703" s="8"/>
    </row>
    <row r="5704" spans="11:11" x14ac:dyDescent="0.2">
      <c r="K5704" s="8"/>
    </row>
    <row r="5705" spans="11:11" x14ac:dyDescent="0.2">
      <c r="K5705" s="8"/>
    </row>
    <row r="5706" spans="11:11" x14ac:dyDescent="0.2">
      <c r="K5706" s="8"/>
    </row>
    <row r="5707" spans="11:11" x14ac:dyDescent="0.2">
      <c r="K5707" s="8"/>
    </row>
    <row r="5708" spans="11:11" x14ac:dyDescent="0.2">
      <c r="K5708" s="8"/>
    </row>
    <row r="5709" spans="11:11" x14ac:dyDescent="0.2">
      <c r="K5709" s="8"/>
    </row>
    <row r="5710" spans="11:11" x14ac:dyDescent="0.2">
      <c r="K5710" s="8"/>
    </row>
    <row r="5711" spans="11:11" x14ac:dyDescent="0.2">
      <c r="K5711" s="8"/>
    </row>
    <row r="5712" spans="11:11" x14ac:dyDescent="0.2">
      <c r="K5712" s="8"/>
    </row>
    <row r="5713" spans="11:11" x14ac:dyDescent="0.2">
      <c r="K5713" s="8"/>
    </row>
    <row r="5714" spans="11:11" x14ac:dyDescent="0.2">
      <c r="K5714" s="8"/>
    </row>
    <row r="5715" spans="11:11" x14ac:dyDescent="0.2">
      <c r="K5715" s="8"/>
    </row>
    <row r="5716" spans="11:11" x14ac:dyDescent="0.2">
      <c r="K5716" s="8"/>
    </row>
    <row r="5717" spans="11:11" x14ac:dyDescent="0.2">
      <c r="K5717" s="8"/>
    </row>
    <row r="5718" spans="11:11" x14ac:dyDescent="0.2">
      <c r="K5718" s="8"/>
    </row>
    <row r="5719" spans="11:11" x14ac:dyDescent="0.2">
      <c r="K5719" s="8"/>
    </row>
    <row r="5720" spans="11:11" x14ac:dyDescent="0.2">
      <c r="K5720" s="8"/>
    </row>
    <row r="5721" spans="11:11" x14ac:dyDescent="0.2">
      <c r="K5721" s="8"/>
    </row>
    <row r="5722" spans="11:11" x14ac:dyDescent="0.2">
      <c r="K5722" s="8"/>
    </row>
    <row r="5723" spans="11:11" x14ac:dyDescent="0.2">
      <c r="K5723" s="8"/>
    </row>
    <row r="5724" spans="11:11" x14ac:dyDescent="0.2">
      <c r="K5724" s="8"/>
    </row>
    <row r="5725" spans="11:11" x14ac:dyDescent="0.2">
      <c r="K5725" s="8"/>
    </row>
    <row r="5726" spans="11:11" x14ac:dyDescent="0.2">
      <c r="K5726" s="8"/>
    </row>
    <row r="5727" spans="11:11" x14ac:dyDescent="0.2">
      <c r="K5727" s="8"/>
    </row>
    <row r="5728" spans="11:11" x14ac:dyDescent="0.2">
      <c r="K5728" s="8"/>
    </row>
    <row r="5729" spans="11:11" x14ac:dyDescent="0.2">
      <c r="K5729" s="8"/>
    </row>
    <row r="5730" spans="11:11" x14ac:dyDescent="0.2">
      <c r="K5730" s="8"/>
    </row>
    <row r="5731" spans="11:11" x14ac:dyDescent="0.2">
      <c r="K5731" s="8"/>
    </row>
    <row r="5732" spans="11:11" x14ac:dyDescent="0.2">
      <c r="K5732" s="8"/>
    </row>
    <row r="5733" spans="11:11" x14ac:dyDescent="0.2">
      <c r="K5733" s="8"/>
    </row>
    <row r="5734" spans="11:11" x14ac:dyDescent="0.2">
      <c r="K5734" s="8"/>
    </row>
    <row r="5735" spans="11:11" x14ac:dyDescent="0.2">
      <c r="K5735" s="8"/>
    </row>
    <row r="5736" spans="11:11" x14ac:dyDescent="0.2">
      <c r="K5736" s="8"/>
    </row>
    <row r="5737" spans="11:11" x14ac:dyDescent="0.2">
      <c r="K5737" s="8"/>
    </row>
    <row r="5738" spans="11:11" x14ac:dyDescent="0.2">
      <c r="K5738" s="8"/>
    </row>
    <row r="5739" spans="11:11" x14ac:dyDescent="0.2">
      <c r="K5739" s="8"/>
    </row>
    <row r="5740" spans="11:11" x14ac:dyDescent="0.2">
      <c r="K5740" s="8"/>
    </row>
    <row r="5741" spans="11:11" x14ac:dyDescent="0.2">
      <c r="K5741" s="8"/>
    </row>
    <row r="5742" spans="11:11" x14ac:dyDescent="0.2">
      <c r="K5742" s="8"/>
    </row>
    <row r="5743" spans="11:11" x14ac:dyDescent="0.2">
      <c r="K5743" s="8"/>
    </row>
    <row r="5744" spans="11:11" x14ac:dyDescent="0.2">
      <c r="K5744" s="8"/>
    </row>
    <row r="5745" spans="11:11" x14ac:dyDescent="0.2">
      <c r="K5745" s="8"/>
    </row>
    <row r="5746" spans="11:11" x14ac:dyDescent="0.2">
      <c r="K5746" s="8"/>
    </row>
    <row r="5747" spans="11:11" x14ac:dyDescent="0.2">
      <c r="K5747" s="8"/>
    </row>
    <row r="5748" spans="11:11" x14ac:dyDescent="0.2">
      <c r="K5748" s="8"/>
    </row>
    <row r="5749" spans="11:11" x14ac:dyDescent="0.2">
      <c r="K5749" s="8"/>
    </row>
    <row r="5750" spans="11:11" x14ac:dyDescent="0.2">
      <c r="K5750" s="8"/>
    </row>
    <row r="5751" spans="11:11" x14ac:dyDescent="0.2">
      <c r="K5751" s="8"/>
    </row>
    <row r="5752" spans="11:11" x14ac:dyDescent="0.2">
      <c r="K5752" s="8"/>
    </row>
    <row r="5753" spans="11:11" x14ac:dyDescent="0.2">
      <c r="K5753" s="8"/>
    </row>
    <row r="5754" spans="11:11" x14ac:dyDescent="0.2">
      <c r="K5754" s="8"/>
    </row>
    <row r="5755" spans="11:11" x14ac:dyDescent="0.2">
      <c r="K5755" s="8"/>
    </row>
    <row r="5756" spans="11:11" x14ac:dyDescent="0.2">
      <c r="K5756" s="8"/>
    </row>
    <row r="5757" spans="11:11" x14ac:dyDescent="0.2">
      <c r="K5757" s="8"/>
    </row>
    <row r="5758" spans="11:11" x14ac:dyDescent="0.2">
      <c r="K5758" s="8"/>
    </row>
    <row r="5759" spans="11:11" x14ac:dyDescent="0.2">
      <c r="K5759" s="8"/>
    </row>
    <row r="5760" spans="11:11" x14ac:dyDescent="0.2">
      <c r="K5760" s="8"/>
    </row>
    <row r="5761" spans="11:11" x14ac:dyDescent="0.2">
      <c r="K5761" s="8"/>
    </row>
    <row r="5762" spans="11:11" x14ac:dyDescent="0.2">
      <c r="K5762" s="8"/>
    </row>
    <row r="5763" spans="11:11" x14ac:dyDescent="0.2">
      <c r="K5763" s="8"/>
    </row>
    <row r="5764" spans="11:11" x14ac:dyDescent="0.2">
      <c r="K5764" s="8"/>
    </row>
    <row r="5765" spans="11:11" x14ac:dyDescent="0.2">
      <c r="K5765" s="8"/>
    </row>
    <row r="5766" spans="11:11" x14ac:dyDescent="0.2">
      <c r="K5766" s="8"/>
    </row>
    <row r="5767" spans="11:11" x14ac:dyDescent="0.2">
      <c r="K5767" s="8"/>
    </row>
    <row r="5768" spans="11:11" x14ac:dyDescent="0.2">
      <c r="K5768" s="8"/>
    </row>
    <row r="5769" spans="11:11" x14ac:dyDescent="0.2">
      <c r="K5769" s="8"/>
    </row>
    <row r="5770" spans="11:11" x14ac:dyDescent="0.2">
      <c r="K5770" s="8"/>
    </row>
    <row r="5771" spans="11:11" x14ac:dyDescent="0.2">
      <c r="K5771" s="8"/>
    </row>
    <row r="5772" spans="11:11" x14ac:dyDescent="0.2">
      <c r="K5772" s="8"/>
    </row>
    <row r="5773" spans="11:11" x14ac:dyDescent="0.2">
      <c r="K5773" s="8"/>
    </row>
    <row r="5774" spans="11:11" x14ac:dyDescent="0.2">
      <c r="K5774" s="8"/>
    </row>
    <row r="5775" spans="11:11" x14ac:dyDescent="0.2">
      <c r="K5775" s="8"/>
    </row>
    <row r="5776" spans="11:11" x14ac:dyDescent="0.2">
      <c r="K5776" s="8"/>
    </row>
    <row r="5777" spans="11:11" x14ac:dyDescent="0.2">
      <c r="K5777" s="8"/>
    </row>
    <row r="5778" spans="11:11" x14ac:dyDescent="0.2">
      <c r="K5778" s="8"/>
    </row>
    <row r="5779" spans="11:11" x14ac:dyDescent="0.2">
      <c r="K5779" s="8"/>
    </row>
    <row r="5780" spans="11:11" x14ac:dyDescent="0.2">
      <c r="K5780" s="8"/>
    </row>
    <row r="5781" spans="11:11" x14ac:dyDescent="0.2">
      <c r="K5781" s="8"/>
    </row>
    <row r="5782" spans="11:11" x14ac:dyDescent="0.2">
      <c r="K5782" s="8"/>
    </row>
    <row r="5783" spans="11:11" x14ac:dyDescent="0.2">
      <c r="K5783" s="8"/>
    </row>
    <row r="5784" spans="11:11" x14ac:dyDescent="0.2">
      <c r="K5784" s="8"/>
    </row>
    <row r="5785" spans="11:11" x14ac:dyDescent="0.2">
      <c r="K5785" s="8"/>
    </row>
    <row r="5786" spans="11:11" x14ac:dyDescent="0.2">
      <c r="K5786" s="8"/>
    </row>
    <row r="5787" spans="11:11" x14ac:dyDescent="0.2">
      <c r="K5787" s="8"/>
    </row>
    <row r="5788" spans="11:11" x14ac:dyDescent="0.2">
      <c r="K5788" s="8"/>
    </row>
    <row r="5789" spans="11:11" x14ac:dyDescent="0.2">
      <c r="K5789" s="8"/>
    </row>
    <row r="5790" spans="11:11" x14ac:dyDescent="0.2">
      <c r="K5790" s="8"/>
    </row>
    <row r="5791" spans="11:11" x14ac:dyDescent="0.2">
      <c r="K5791" s="8"/>
    </row>
    <row r="5792" spans="11:11" x14ac:dyDescent="0.2">
      <c r="K5792" s="8"/>
    </row>
    <row r="5793" spans="11:11" x14ac:dyDescent="0.2">
      <c r="K5793" s="8"/>
    </row>
    <row r="5794" spans="11:11" x14ac:dyDescent="0.2">
      <c r="K5794" s="8"/>
    </row>
    <row r="5795" spans="11:11" x14ac:dyDescent="0.2">
      <c r="K5795" s="8"/>
    </row>
    <row r="5796" spans="11:11" x14ac:dyDescent="0.2">
      <c r="K5796" s="8"/>
    </row>
    <row r="5797" spans="11:11" x14ac:dyDescent="0.2">
      <c r="K5797" s="8"/>
    </row>
    <row r="5798" spans="11:11" x14ac:dyDescent="0.2">
      <c r="K5798" s="8"/>
    </row>
    <row r="5799" spans="11:11" x14ac:dyDescent="0.2">
      <c r="K5799" s="8"/>
    </row>
    <row r="5800" spans="11:11" x14ac:dyDescent="0.2">
      <c r="K5800" s="8"/>
    </row>
    <row r="5801" spans="11:11" x14ac:dyDescent="0.2">
      <c r="K5801" s="8"/>
    </row>
    <row r="5802" spans="11:11" x14ac:dyDescent="0.2">
      <c r="K5802" s="8"/>
    </row>
    <row r="5803" spans="11:11" x14ac:dyDescent="0.2">
      <c r="K5803" s="8"/>
    </row>
    <row r="5804" spans="11:11" x14ac:dyDescent="0.2">
      <c r="K5804" s="8"/>
    </row>
    <row r="5805" spans="11:11" x14ac:dyDescent="0.2">
      <c r="K5805" s="8"/>
    </row>
    <row r="5806" spans="11:11" x14ac:dyDescent="0.2">
      <c r="K5806" s="8"/>
    </row>
    <row r="5807" spans="11:11" x14ac:dyDescent="0.2">
      <c r="K5807" s="8"/>
    </row>
    <row r="5808" spans="11:11" x14ac:dyDescent="0.2">
      <c r="K5808" s="8"/>
    </row>
    <row r="5809" spans="11:11" x14ac:dyDescent="0.2">
      <c r="K5809" s="8"/>
    </row>
    <row r="5810" spans="11:11" x14ac:dyDescent="0.2">
      <c r="K5810" s="8"/>
    </row>
    <row r="5811" spans="11:11" x14ac:dyDescent="0.2">
      <c r="K5811" s="8"/>
    </row>
    <row r="5812" spans="11:11" x14ac:dyDescent="0.2">
      <c r="K5812" s="8"/>
    </row>
    <row r="5813" spans="11:11" x14ac:dyDescent="0.2">
      <c r="K5813" s="8"/>
    </row>
    <row r="5814" spans="11:11" x14ac:dyDescent="0.2">
      <c r="K5814" s="8"/>
    </row>
    <row r="5815" spans="11:11" x14ac:dyDescent="0.2">
      <c r="K5815" s="8"/>
    </row>
    <row r="5816" spans="11:11" x14ac:dyDescent="0.2">
      <c r="K5816" s="8"/>
    </row>
    <row r="5817" spans="11:11" x14ac:dyDescent="0.2">
      <c r="K5817" s="8"/>
    </row>
    <row r="5818" spans="11:11" x14ac:dyDescent="0.2">
      <c r="K5818" s="8"/>
    </row>
    <row r="5819" spans="11:11" x14ac:dyDescent="0.2">
      <c r="K5819" s="8"/>
    </row>
    <row r="5820" spans="11:11" x14ac:dyDescent="0.2">
      <c r="K5820" s="8"/>
    </row>
    <row r="5821" spans="11:11" x14ac:dyDescent="0.2">
      <c r="K5821" s="8"/>
    </row>
    <row r="5822" spans="11:11" x14ac:dyDescent="0.2">
      <c r="K5822" s="8"/>
    </row>
    <row r="5823" spans="11:11" x14ac:dyDescent="0.2">
      <c r="K5823" s="8"/>
    </row>
    <row r="5824" spans="11:11" x14ac:dyDescent="0.2">
      <c r="K5824" s="8"/>
    </row>
    <row r="5825" spans="11:11" x14ac:dyDescent="0.2">
      <c r="K5825" s="8"/>
    </row>
    <row r="5826" spans="11:11" x14ac:dyDescent="0.2">
      <c r="K5826" s="8"/>
    </row>
    <row r="5827" spans="11:11" x14ac:dyDescent="0.2">
      <c r="K5827" s="8"/>
    </row>
    <row r="5828" spans="11:11" x14ac:dyDescent="0.2">
      <c r="K5828" s="8"/>
    </row>
    <row r="5829" spans="11:11" x14ac:dyDescent="0.2">
      <c r="K5829" s="8"/>
    </row>
    <row r="5830" spans="11:11" x14ac:dyDescent="0.2">
      <c r="K5830" s="8"/>
    </row>
    <row r="5831" spans="11:11" x14ac:dyDescent="0.2">
      <c r="K5831" s="8"/>
    </row>
    <row r="5832" spans="11:11" x14ac:dyDescent="0.2">
      <c r="K5832" s="8"/>
    </row>
    <row r="5833" spans="11:11" x14ac:dyDescent="0.2">
      <c r="K5833" s="8"/>
    </row>
    <row r="5834" spans="11:11" x14ac:dyDescent="0.2">
      <c r="K5834" s="8"/>
    </row>
    <row r="5835" spans="11:11" x14ac:dyDescent="0.2">
      <c r="K5835" s="8"/>
    </row>
    <row r="5836" spans="11:11" x14ac:dyDescent="0.2">
      <c r="K5836" s="8"/>
    </row>
    <row r="5837" spans="11:11" x14ac:dyDescent="0.2">
      <c r="K5837" s="8"/>
    </row>
    <row r="5838" spans="11:11" x14ac:dyDescent="0.2">
      <c r="K5838" s="8"/>
    </row>
    <row r="5839" spans="11:11" x14ac:dyDescent="0.2">
      <c r="K5839" s="8"/>
    </row>
    <row r="5840" spans="11:11" x14ac:dyDescent="0.2">
      <c r="K5840" s="8"/>
    </row>
    <row r="5841" spans="11:11" x14ac:dyDescent="0.2">
      <c r="K5841" s="8"/>
    </row>
    <row r="5842" spans="11:11" x14ac:dyDescent="0.2">
      <c r="K5842" s="8"/>
    </row>
    <row r="5843" spans="11:11" x14ac:dyDescent="0.2">
      <c r="K5843" s="8"/>
    </row>
    <row r="5844" spans="11:11" x14ac:dyDescent="0.2">
      <c r="K5844" s="8"/>
    </row>
    <row r="5845" spans="11:11" x14ac:dyDescent="0.2">
      <c r="K5845" s="8"/>
    </row>
    <row r="5846" spans="11:11" x14ac:dyDescent="0.2">
      <c r="K5846" s="8"/>
    </row>
    <row r="5847" spans="11:11" x14ac:dyDescent="0.2">
      <c r="K5847" s="8"/>
    </row>
    <row r="5848" spans="11:11" x14ac:dyDescent="0.2">
      <c r="K5848" s="8"/>
    </row>
    <row r="5849" spans="11:11" x14ac:dyDescent="0.2">
      <c r="K5849" s="8"/>
    </row>
    <row r="5850" spans="11:11" x14ac:dyDescent="0.2">
      <c r="K5850" s="8"/>
    </row>
    <row r="5851" spans="11:11" x14ac:dyDescent="0.2">
      <c r="K5851" s="8"/>
    </row>
    <row r="5852" spans="11:11" x14ac:dyDescent="0.2">
      <c r="K5852" s="8"/>
    </row>
    <row r="5853" spans="11:11" x14ac:dyDescent="0.2">
      <c r="K5853" s="8"/>
    </row>
    <row r="5854" spans="11:11" x14ac:dyDescent="0.2">
      <c r="K5854" s="8"/>
    </row>
    <row r="5855" spans="11:11" x14ac:dyDescent="0.2">
      <c r="K5855" s="8"/>
    </row>
    <row r="5856" spans="11:11" x14ac:dyDescent="0.2">
      <c r="K5856" s="8"/>
    </row>
    <row r="5857" spans="11:11" x14ac:dyDescent="0.2">
      <c r="K5857" s="8"/>
    </row>
    <row r="5858" spans="11:11" x14ac:dyDescent="0.2">
      <c r="K5858" s="8"/>
    </row>
    <row r="5859" spans="11:11" x14ac:dyDescent="0.2">
      <c r="K5859" s="8"/>
    </row>
    <row r="5860" spans="11:11" x14ac:dyDescent="0.2">
      <c r="K5860" s="8"/>
    </row>
    <row r="5861" spans="11:11" x14ac:dyDescent="0.2">
      <c r="K5861" s="8"/>
    </row>
    <row r="5862" spans="11:11" x14ac:dyDescent="0.2">
      <c r="K5862" s="8"/>
    </row>
    <row r="5863" spans="11:11" x14ac:dyDescent="0.2">
      <c r="K5863" s="8"/>
    </row>
    <row r="5864" spans="11:11" x14ac:dyDescent="0.2">
      <c r="K5864" s="8"/>
    </row>
    <row r="5865" spans="11:11" x14ac:dyDescent="0.2">
      <c r="K5865" s="8"/>
    </row>
    <row r="5866" spans="11:11" x14ac:dyDescent="0.2">
      <c r="K5866" s="8"/>
    </row>
    <row r="5867" spans="11:11" x14ac:dyDescent="0.2">
      <c r="K5867" s="8"/>
    </row>
    <row r="5868" spans="11:11" x14ac:dyDescent="0.2">
      <c r="K5868" s="8"/>
    </row>
    <row r="5869" spans="11:11" x14ac:dyDescent="0.2">
      <c r="K5869" s="8"/>
    </row>
    <row r="5870" spans="11:11" x14ac:dyDescent="0.2">
      <c r="K5870" s="8"/>
    </row>
    <row r="5871" spans="11:11" x14ac:dyDescent="0.2">
      <c r="K5871" s="8"/>
    </row>
    <row r="5872" spans="11:11" x14ac:dyDescent="0.2">
      <c r="K5872" s="8"/>
    </row>
    <row r="5873" spans="11:11" x14ac:dyDescent="0.2">
      <c r="K5873" s="8"/>
    </row>
    <row r="5874" spans="11:11" x14ac:dyDescent="0.2">
      <c r="K5874" s="8"/>
    </row>
    <row r="5875" spans="11:11" x14ac:dyDescent="0.2">
      <c r="K5875" s="8"/>
    </row>
    <row r="5876" spans="11:11" x14ac:dyDescent="0.2">
      <c r="K5876" s="8"/>
    </row>
    <row r="5877" spans="11:11" x14ac:dyDescent="0.2">
      <c r="K5877" s="8"/>
    </row>
    <row r="5878" spans="11:11" x14ac:dyDescent="0.2">
      <c r="K5878" s="8"/>
    </row>
    <row r="5879" spans="11:11" x14ac:dyDescent="0.2">
      <c r="K5879" s="8"/>
    </row>
    <row r="5880" spans="11:11" x14ac:dyDescent="0.2">
      <c r="K5880" s="8"/>
    </row>
    <row r="5881" spans="11:11" x14ac:dyDescent="0.2">
      <c r="K5881" s="8"/>
    </row>
    <row r="5882" spans="11:11" x14ac:dyDescent="0.2">
      <c r="K5882" s="8"/>
    </row>
    <row r="5883" spans="11:11" x14ac:dyDescent="0.2">
      <c r="K5883" s="8"/>
    </row>
    <row r="5884" spans="11:11" x14ac:dyDescent="0.2">
      <c r="K5884" s="8"/>
    </row>
    <row r="5885" spans="11:11" x14ac:dyDescent="0.2">
      <c r="K5885" s="8"/>
    </row>
    <row r="5886" spans="11:11" x14ac:dyDescent="0.2">
      <c r="K5886" s="8"/>
    </row>
    <row r="5887" spans="11:11" x14ac:dyDescent="0.2">
      <c r="K5887" s="8"/>
    </row>
    <row r="5888" spans="11:11" x14ac:dyDescent="0.2">
      <c r="K5888" s="8"/>
    </row>
    <row r="5889" spans="11:11" x14ac:dyDescent="0.2">
      <c r="K5889" s="8"/>
    </row>
    <row r="5890" spans="11:11" x14ac:dyDescent="0.2">
      <c r="K5890" s="8"/>
    </row>
    <row r="5891" spans="11:11" x14ac:dyDescent="0.2">
      <c r="K5891" s="8"/>
    </row>
    <row r="5892" spans="11:11" x14ac:dyDescent="0.2">
      <c r="K5892" s="8"/>
    </row>
    <row r="5893" spans="11:11" x14ac:dyDescent="0.2">
      <c r="K5893" s="8"/>
    </row>
    <row r="5894" spans="11:11" x14ac:dyDescent="0.2">
      <c r="K5894" s="8"/>
    </row>
    <row r="5895" spans="11:11" x14ac:dyDescent="0.2">
      <c r="K5895" s="8"/>
    </row>
    <row r="5896" spans="11:11" x14ac:dyDescent="0.2">
      <c r="K5896" s="8"/>
    </row>
    <row r="5897" spans="11:11" x14ac:dyDescent="0.2">
      <c r="K5897" s="8"/>
    </row>
    <row r="5898" spans="11:11" x14ac:dyDescent="0.2">
      <c r="K5898" s="8"/>
    </row>
    <row r="5899" spans="11:11" x14ac:dyDescent="0.2">
      <c r="K5899" s="8"/>
    </row>
    <row r="5900" spans="11:11" x14ac:dyDescent="0.2">
      <c r="K5900" s="8"/>
    </row>
    <row r="5901" spans="11:11" x14ac:dyDescent="0.2">
      <c r="K5901" s="8"/>
    </row>
    <row r="5902" spans="11:11" x14ac:dyDescent="0.2">
      <c r="K5902" s="8"/>
    </row>
    <row r="5903" spans="11:11" x14ac:dyDescent="0.2">
      <c r="K5903" s="8"/>
    </row>
    <row r="5904" spans="11:11" x14ac:dyDescent="0.2">
      <c r="K5904" s="8"/>
    </row>
    <row r="5905" spans="11:11" x14ac:dyDescent="0.2">
      <c r="K5905" s="8"/>
    </row>
    <row r="5906" spans="11:11" x14ac:dyDescent="0.2">
      <c r="K5906" s="8"/>
    </row>
    <row r="5907" spans="11:11" x14ac:dyDescent="0.2">
      <c r="K5907" s="8"/>
    </row>
    <row r="5908" spans="11:11" x14ac:dyDescent="0.2">
      <c r="K5908" s="8"/>
    </row>
    <row r="5909" spans="11:11" x14ac:dyDescent="0.2">
      <c r="K5909" s="8"/>
    </row>
    <row r="5910" spans="11:11" x14ac:dyDescent="0.2">
      <c r="K5910" s="8"/>
    </row>
    <row r="5911" spans="11:11" x14ac:dyDescent="0.2">
      <c r="K5911" s="8"/>
    </row>
    <row r="5912" spans="11:11" x14ac:dyDescent="0.2">
      <c r="K5912" s="8"/>
    </row>
    <row r="5913" spans="11:11" x14ac:dyDescent="0.2">
      <c r="K5913" s="8"/>
    </row>
    <row r="5914" spans="11:11" x14ac:dyDescent="0.2">
      <c r="K5914" s="8"/>
    </row>
    <row r="5915" spans="11:11" x14ac:dyDescent="0.2">
      <c r="K5915" s="8"/>
    </row>
    <row r="5916" spans="11:11" x14ac:dyDescent="0.2">
      <c r="K5916" s="8"/>
    </row>
    <row r="5917" spans="11:11" x14ac:dyDescent="0.2">
      <c r="K5917" s="8"/>
    </row>
    <row r="5918" spans="11:11" x14ac:dyDescent="0.2">
      <c r="K5918" s="8"/>
    </row>
    <row r="5919" spans="11:11" x14ac:dyDescent="0.2">
      <c r="K5919" s="8"/>
    </row>
    <row r="5920" spans="11:11" x14ac:dyDescent="0.2">
      <c r="K5920" s="8"/>
    </row>
    <row r="5921" spans="11:11" x14ac:dyDescent="0.2">
      <c r="K5921" s="8"/>
    </row>
    <row r="5922" spans="11:11" x14ac:dyDescent="0.2">
      <c r="K5922" s="8"/>
    </row>
    <row r="5923" spans="11:11" x14ac:dyDescent="0.2">
      <c r="K5923" s="8"/>
    </row>
    <row r="5924" spans="11:11" x14ac:dyDescent="0.2">
      <c r="K5924" s="8"/>
    </row>
    <row r="5925" spans="11:11" x14ac:dyDescent="0.2">
      <c r="K5925" s="8"/>
    </row>
    <row r="5926" spans="11:11" x14ac:dyDescent="0.2">
      <c r="K5926" s="8"/>
    </row>
    <row r="5927" spans="11:11" x14ac:dyDescent="0.2">
      <c r="K5927" s="8"/>
    </row>
    <row r="5928" spans="11:11" x14ac:dyDescent="0.2">
      <c r="K5928" s="8"/>
    </row>
    <row r="5929" spans="11:11" x14ac:dyDescent="0.2">
      <c r="K5929" s="8"/>
    </row>
    <row r="5930" spans="11:11" x14ac:dyDescent="0.2">
      <c r="K5930" s="8"/>
    </row>
    <row r="5931" spans="11:11" x14ac:dyDescent="0.2">
      <c r="K5931" s="8"/>
    </row>
    <row r="5932" spans="11:11" x14ac:dyDescent="0.2">
      <c r="K5932" s="8"/>
    </row>
    <row r="5933" spans="11:11" x14ac:dyDescent="0.2">
      <c r="K5933" s="8"/>
    </row>
    <row r="5934" spans="11:11" x14ac:dyDescent="0.2">
      <c r="K5934" s="8"/>
    </row>
    <row r="5935" spans="11:11" x14ac:dyDescent="0.2">
      <c r="K5935" s="8"/>
    </row>
    <row r="5936" spans="11:11" x14ac:dyDescent="0.2">
      <c r="K5936" s="8"/>
    </row>
    <row r="5937" spans="11:11" x14ac:dyDescent="0.2">
      <c r="K5937" s="8"/>
    </row>
    <row r="5938" spans="11:11" x14ac:dyDescent="0.2">
      <c r="K5938" s="8"/>
    </row>
    <row r="5939" spans="11:11" x14ac:dyDescent="0.2">
      <c r="K5939" s="8"/>
    </row>
    <row r="5940" spans="11:11" x14ac:dyDescent="0.2">
      <c r="K5940" s="8"/>
    </row>
    <row r="5941" spans="11:11" x14ac:dyDescent="0.2">
      <c r="K5941" s="8"/>
    </row>
    <row r="5942" spans="11:11" x14ac:dyDescent="0.2">
      <c r="K5942" s="8"/>
    </row>
    <row r="5943" spans="11:11" x14ac:dyDescent="0.2">
      <c r="K5943" s="8"/>
    </row>
    <row r="5944" spans="11:11" x14ac:dyDescent="0.2">
      <c r="K5944" s="8"/>
    </row>
    <row r="5945" spans="11:11" x14ac:dyDescent="0.2">
      <c r="K5945" s="8"/>
    </row>
    <row r="5946" spans="11:11" x14ac:dyDescent="0.2">
      <c r="K5946" s="8"/>
    </row>
    <row r="5947" spans="11:11" x14ac:dyDescent="0.2">
      <c r="K5947" s="8"/>
    </row>
    <row r="5948" spans="11:11" x14ac:dyDescent="0.2">
      <c r="K5948" s="8"/>
    </row>
    <row r="5949" spans="11:11" x14ac:dyDescent="0.2">
      <c r="K5949" s="8"/>
    </row>
    <row r="5950" spans="11:11" x14ac:dyDescent="0.2">
      <c r="K5950" s="8"/>
    </row>
    <row r="5951" spans="11:11" x14ac:dyDescent="0.2">
      <c r="K5951" s="8"/>
    </row>
    <row r="5952" spans="11:11" x14ac:dyDescent="0.2">
      <c r="K5952" s="8"/>
    </row>
    <row r="5953" spans="11:11" x14ac:dyDescent="0.2">
      <c r="K5953" s="8"/>
    </row>
    <row r="5954" spans="11:11" x14ac:dyDescent="0.2">
      <c r="K5954" s="8"/>
    </row>
    <row r="5955" spans="11:11" x14ac:dyDescent="0.2">
      <c r="K5955" s="8"/>
    </row>
    <row r="5956" spans="11:11" x14ac:dyDescent="0.2">
      <c r="K5956" s="8"/>
    </row>
    <row r="5957" spans="11:11" x14ac:dyDescent="0.2">
      <c r="K5957" s="8"/>
    </row>
    <row r="5958" spans="11:11" x14ac:dyDescent="0.2">
      <c r="K5958" s="8"/>
    </row>
    <row r="5959" spans="11:11" x14ac:dyDescent="0.2">
      <c r="K5959" s="8"/>
    </row>
    <row r="5960" spans="11:11" x14ac:dyDescent="0.2">
      <c r="K5960" s="8"/>
    </row>
    <row r="5961" spans="11:11" x14ac:dyDescent="0.2">
      <c r="K5961" s="8"/>
    </row>
    <row r="5962" spans="11:11" x14ac:dyDescent="0.2">
      <c r="K5962" s="8"/>
    </row>
    <row r="5963" spans="11:11" x14ac:dyDescent="0.2">
      <c r="K5963" s="8"/>
    </row>
    <row r="5964" spans="11:11" x14ac:dyDescent="0.2">
      <c r="K5964" s="8"/>
    </row>
    <row r="5965" spans="11:11" x14ac:dyDescent="0.2">
      <c r="K5965" s="8"/>
    </row>
    <row r="5966" spans="11:11" x14ac:dyDescent="0.2">
      <c r="K5966" s="8"/>
    </row>
    <row r="5967" spans="11:11" x14ac:dyDescent="0.2">
      <c r="K5967" s="8"/>
    </row>
    <row r="5968" spans="11:11" x14ac:dyDescent="0.2">
      <c r="K5968" s="8"/>
    </row>
    <row r="5969" spans="11:11" x14ac:dyDescent="0.2">
      <c r="K5969" s="8"/>
    </row>
    <row r="5970" spans="11:11" x14ac:dyDescent="0.2">
      <c r="K5970" s="8"/>
    </row>
    <row r="5971" spans="11:11" x14ac:dyDescent="0.2">
      <c r="K5971" s="8"/>
    </row>
    <row r="5972" spans="11:11" x14ac:dyDescent="0.2">
      <c r="K5972" s="8"/>
    </row>
    <row r="5973" spans="11:11" x14ac:dyDescent="0.2">
      <c r="K5973" s="8"/>
    </row>
    <row r="5974" spans="11:11" x14ac:dyDescent="0.2">
      <c r="K5974" s="8"/>
    </row>
    <row r="5975" spans="11:11" x14ac:dyDescent="0.2">
      <c r="K5975" s="8"/>
    </row>
    <row r="5976" spans="11:11" x14ac:dyDescent="0.2">
      <c r="K5976" s="8"/>
    </row>
    <row r="5977" spans="11:11" x14ac:dyDescent="0.2">
      <c r="K5977" s="8"/>
    </row>
    <row r="5978" spans="11:11" x14ac:dyDescent="0.2">
      <c r="K5978" s="8"/>
    </row>
    <row r="5979" spans="11:11" x14ac:dyDescent="0.2">
      <c r="K5979" s="8"/>
    </row>
    <row r="5980" spans="11:11" x14ac:dyDescent="0.2">
      <c r="K5980" s="8"/>
    </row>
    <row r="5981" spans="11:11" x14ac:dyDescent="0.2">
      <c r="K5981" s="8"/>
    </row>
    <row r="5982" spans="11:11" x14ac:dyDescent="0.2">
      <c r="K5982" s="8"/>
    </row>
    <row r="5983" spans="11:11" x14ac:dyDescent="0.2">
      <c r="K5983" s="8"/>
    </row>
    <row r="5984" spans="11:11" x14ac:dyDescent="0.2">
      <c r="K5984" s="8"/>
    </row>
    <row r="5985" spans="11:11" x14ac:dyDescent="0.2">
      <c r="K5985" s="8"/>
    </row>
    <row r="5986" spans="11:11" x14ac:dyDescent="0.2">
      <c r="K5986" s="8"/>
    </row>
    <row r="5987" spans="11:11" x14ac:dyDescent="0.2">
      <c r="K5987" s="8"/>
    </row>
    <row r="5988" spans="11:11" x14ac:dyDescent="0.2">
      <c r="K5988" s="8"/>
    </row>
    <row r="5989" spans="11:11" x14ac:dyDescent="0.2">
      <c r="K5989" s="8"/>
    </row>
    <row r="5990" spans="11:11" x14ac:dyDescent="0.2">
      <c r="K5990" s="8"/>
    </row>
    <row r="5991" spans="11:11" x14ac:dyDescent="0.2">
      <c r="K5991" s="8"/>
    </row>
    <row r="5992" spans="11:11" x14ac:dyDescent="0.2">
      <c r="K5992" s="8"/>
    </row>
    <row r="5993" spans="11:11" x14ac:dyDescent="0.2">
      <c r="K5993" s="8"/>
    </row>
    <row r="5994" spans="11:11" x14ac:dyDescent="0.2">
      <c r="K5994" s="8"/>
    </row>
    <row r="5995" spans="11:11" x14ac:dyDescent="0.2">
      <c r="K5995" s="8"/>
    </row>
    <row r="5996" spans="11:11" x14ac:dyDescent="0.2">
      <c r="K5996" s="8"/>
    </row>
    <row r="5997" spans="11:11" x14ac:dyDescent="0.2">
      <c r="K5997" s="8"/>
    </row>
    <row r="5998" spans="11:11" x14ac:dyDescent="0.2">
      <c r="K5998" s="8"/>
    </row>
    <row r="5999" spans="11:11" x14ac:dyDescent="0.2">
      <c r="K5999" s="8"/>
    </row>
    <row r="6000" spans="11:11" x14ac:dyDescent="0.2">
      <c r="K6000" s="8"/>
    </row>
    <row r="6001" spans="11:11" x14ac:dyDescent="0.2">
      <c r="K6001" s="8"/>
    </row>
    <row r="6002" spans="11:11" x14ac:dyDescent="0.2">
      <c r="K6002" s="8"/>
    </row>
    <row r="6003" spans="11:11" x14ac:dyDescent="0.2">
      <c r="K6003" s="8"/>
    </row>
    <row r="6004" spans="11:11" x14ac:dyDescent="0.2">
      <c r="K6004" s="8"/>
    </row>
    <row r="6005" spans="11:11" x14ac:dyDescent="0.2">
      <c r="K6005" s="8"/>
    </row>
    <row r="6006" spans="11:11" x14ac:dyDescent="0.2">
      <c r="K6006" s="8"/>
    </row>
    <row r="6007" spans="11:11" x14ac:dyDescent="0.2">
      <c r="K6007" s="8"/>
    </row>
    <row r="6008" spans="11:11" x14ac:dyDescent="0.2">
      <c r="K6008" s="8"/>
    </row>
    <row r="6009" spans="11:11" x14ac:dyDescent="0.2">
      <c r="K6009" s="8"/>
    </row>
    <row r="6010" spans="11:11" x14ac:dyDescent="0.2">
      <c r="K6010" s="8"/>
    </row>
    <row r="6011" spans="11:11" x14ac:dyDescent="0.2">
      <c r="K6011" s="8"/>
    </row>
    <row r="6012" spans="11:11" x14ac:dyDescent="0.2">
      <c r="K6012" s="8"/>
    </row>
    <row r="6013" spans="11:11" x14ac:dyDescent="0.2">
      <c r="K6013" s="8"/>
    </row>
    <row r="6014" spans="11:11" x14ac:dyDescent="0.2">
      <c r="K6014" s="8"/>
    </row>
    <row r="6015" spans="11:11" x14ac:dyDescent="0.2">
      <c r="K6015" s="8"/>
    </row>
    <row r="6016" spans="11:11" x14ac:dyDescent="0.2">
      <c r="K6016" s="8"/>
    </row>
    <row r="6017" spans="11:11" x14ac:dyDescent="0.2">
      <c r="K6017" s="8"/>
    </row>
    <row r="6018" spans="11:11" x14ac:dyDescent="0.2">
      <c r="K6018" s="8"/>
    </row>
    <row r="6019" spans="11:11" x14ac:dyDescent="0.2">
      <c r="K6019" s="8"/>
    </row>
    <row r="6020" spans="11:11" x14ac:dyDescent="0.2">
      <c r="K6020" s="8"/>
    </row>
    <row r="6021" spans="11:11" x14ac:dyDescent="0.2">
      <c r="K6021" s="8"/>
    </row>
    <row r="6022" spans="11:11" x14ac:dyDescent="0.2">
      <c r="K6022" s="8"/>
    </row>
    <row r="6023" spans="11:11" x14ac:dyDescent="0.2">
      <c r="K6023" s="8"/>
    </row>
    <row r="6024" spans="11:11" x14ac:dyDescent="0.2">
      <c r="K6024" s="8"/>
    </row>
    <row r="6025" spans="11:11" x14ac:dyDescent="0.2">
      <c r="K6025" s="8"/>
    </row>
    <row r="6026" spans="11:11" x14ac:dyDescent="0.2">
      <c r="K6026" s="8"/>
    </row>
    <row r="6027" spans="11:11" x14ac:dyDescent="0.2">
      <c r="K6027" s="8"/>
    </row>
    <row r="6028" spans="11:11" x14ac:dyDescent="0.2">
      <c r="K6028" s="8"/>
    </row>
    <row r="6029" spans="11:11" x14ac:dyDescent="0.2">
      <c r="K6029" s="8"/>
    </row>
    <row r="6030" spans="11:11" x14ac:dyDescent="0.2">
      <c r="K6030" s="8"/>
    </row>
    <row r="6031" spans="11:11" x14ac:dyDescent="0.2">
      <c r="K6031" s="8"/>
    </row>
    <row r="6032" spans="11:11" x14ac:dyDescent="0.2">
      <c r="K6032" s="8"/>
    </row>
    <row r="6033" spans="11:11" x14ac:dyDescent="0.2">
      <c r="K6033" s="8"/>
    </row>
    <row r="6034" spans="11:11" x14ac:dyDescent="0.2">
      <c r="K6034" s="8"/>
    </row>
    <row r="6035" spans="11:11" x14ac:dyDescent="0.2">
      <c r="K6035" s="8"/>
    </row>
    <row r="6036" spans="11:11" x14ac:dyDescent="0.2">
      <c r="K6036" s="8"/>
    </row>
    <row r="6037" spans="11:11" x14ac:dyDescent="0.2">
      <c r="K6037" s="8"/>
    </row>
    <row r="6038" spans="11:11" x14ac:dyDescent="0.2">
      <c r="K6038" s="8"/>
    </row>
    <row r="6039" spans="11:11" x14ac:dyDescent="0.2">
      <c r="K6039" s="8"/>
    </row>
    <row r="6040" spans="11:11" x14ac:dyDescent="0.2">
      <c r="K6040" s="8"/>
    </row>
    <row r="6041" spans="11:11" x14ac:dyDescent="0.2">
      <c r="K6041" s="8"/>
    </row>
    <row r="6042" spans="11:11" x14ac:dyDescent="0.2">
      <c r="K6042" s="8"/>
    </row>
    <row r="6043" spans="11:11" x14ac:dyDescent="0.2">
      <c r="K6043" s="8"/>
    </row>
    <row r="6044" spans="11:11" x14ac:dyDescent="0.2">
      <c r="K6044" s="8"/>
    </row>
    <row r="6045" spans="11:11" x14ac:dyDescent="0.2">
      <c r="K6045" s="8"/>
    </row>
    <row r="6046" spans="11:11" x14ac:dyDescent="0.2">
      <c r="K6046" s="8"/>
    </row>
    <row r="6047" spans="11:11" x14ac:dyDescent="0.2">
      <c r="K6047" s="8"/>
    </row>
    <row r="6048" spans="11:11" x14ac:dyDescent="0.2">
      <c r="K6048" s="8"/>
    </row>
    <row r="6049" spans="11:11" x14ac:dyDescent="0.2">
      <c r="K6049" s="8"/>
    </row>
    <row r="6050" spans="11:11" x14ac:dyDescent="0.2">
      <c r="K6050" s="8"/>
    </row>
    <row r="6051" spans="11:11" x14ac:dyDescent="0.2">
      <c r="K6051" s="8"/>
    </row>
    <row r="6052" spans="11:11" x14ac:dyDescent="0.2">
      <c r="K6052" s="8"/>
    </row>
    <row r="6053" spans="11:11" x14ac:dyDescent="0.2">
      <c r="K6053" s="8"/>
    </row>
    <row r="6054" spans="11:11" x14ac:dyDescent="0.2">
      <c r="K6054" s="8"/>
    </row>
    <row r="6055" spans="11:11" x14ac:dyDescent="0.2">
      <c r="K6055" s="8"/>
    </row>
    <row r="6056" spans="11:11" x14ac:dyDescent="0.2">
      <c r="K6056" s="8"/>
    </row>
    <row r="6057" spans="11:11" x14ac:dyDescent="0.2">
      <c r="K6057" s="8"/>
    </row>
    <row r="6058" spans="11:11" x14ac:dyDescent="0.2">
      <c r="K6058" s="8"/>
    </row>
    <row r="6059" spans="11:11" x14ac:dyDescent="0.2">
      <c r="K6059" s="8"/>
    </row>
    <row r="6060" spans="11:11" x14ac:dyDescent="0.2">
      <c r="K6060" s="8"/>
    </row>
    <row r="6061" spans="11:11" x14ac:dyDescent="0.2">
      <c r="K6061" s="8"/>
    </row>
    <row r="6062" spans="11:11" x14ac:dyDescent="0.2">
      <c r="K6062" s="8"/>
    </row>
    <row r="6063" spans="11:11" x14ac:dyDescent="0.2">
      <c r="K6063" s="8"/>
    </row>
    <row r="6064" spans="11:11" x14ac:dyDescent="0.2">
      <c r="K6064" s="8"/>
    </row>
    <row r="6065" spans="11:11" x14ac:dyDescent="0.2">
      <c r="K6065" s="8"/>
    </row>
    <row r="6066" spans="11:11" x14ac:dyDescent="0.2">
      <c r="K6066" s="8"/>
    </row>
    <row r="6067" spans="11:11" x14ac:dyDescent="0.2">
      <c r="K6067" s="8"/>
    </row>
    <row r="6068" spans="11:11" x14ac:dyDescent="0.2">
      <c r="K6068" s="8"/>
    </row>
    <row r="6069" spans="11:11" x14ac:dyDescent="0.2">
      <c r="K6069" s="8"/>
    </row>
    <row r="6070" spans="11:11" x14ac:dyDescent="0.2">
      <c r="K6070" s="8"/>
    </row>
    <row r="6071" spans="11:11" x14ac:dyDescent="0.2">
      <c r="K6071" s="8"/>
    </row>
    <row r="6072" spans="11:11" x14ac:dyDescent="0.2">
      <c r="K6072" s="8"/>
    </row>
    <row r="6073" spans="11:11" x14ac:dyDescent="0.2">
      <c r="K6073" s="8"/>
    </row>
    <row r="6074" spans="11:11" x14ac:dyDescent="0.2">
      <c r="K6074" s="8"/>
    </row>
    <row r="6075" spans="11:11" x14ac:dyDescent="0.2">
      <c r="K6075" s="8"/>
    </row>
    <row r="6076" spans="11:11" x14ac:dyDescent="0.2">
      <c r="K6076" s="8"/>
    </row>
    <row r="6077" spans="11:11" x14ac:dyDescent="0.2">
      <c r="K6077" s="8"/>
    </row>
    <row r="6078" spans="11:11" x14ac:dyDescent="0.2">
      <c r="K6078" s="8"/>
    </row>
    <row r="6079" spans="11:11" x14ac:dyDescent="0.2">
      <c r="K6079" s="8"/>
    </row>
    <row r="6080" spans="11:11" x14ac:dyDescent="0.2">
      <c r="K6080" s="8"/>
    </row>
    <row r="6081" spans="11:11" x14ac:dyDescent="0.2">
      <c r="K6081" s="8"/>
    </row>
    <row r="6082" spans="11:11" x14ac:dyDescent="0.2">
      <c r="K6082" s="8"/>
    </row>
    <row r="6083" spans="11:11" x14ac:dyDescent="0.2">
      <c r="K6083" s="8"/>
    </row>
    <row r="6084" spans="11:11" x14ac:dyDescent="0.2">
      <c r="K6084" s="8"/>
    </row>
    <row r="6085" spans="11:11" x14ac:dyDescent="0.2">
      <c r="K6085" s="8"/>
    </row>
    <row r="6086" spans="11:11" x14ac:dyDescent="0.2">
      <c r="K6086" s="8"/>
    </row>
    <row r="6087" spans="11:11" x14ac:dyDescent="0.2">
      <c r="K6087" s="8"/>
    </row>
    <row r="6088" spans="11:11" x14ac:dyDescent="0.2">
      <c r="K6088" s="8"/>
    </row>
    <row r="6089" spans="11:11" x14ac:dyDescent="0.2">
      <c r="K6089" s="8"/>
    </row>
    <row r="6090" spans="11:11" x14ac:dyDescent="0.2">
      <c r="K6090" s="8"/>
    </row>
    <row r="6091" spans="11:11" x14ac:dyDescent="0.2">
      <c r="K6091" s="8"/>
    </row>
    <row r="6092" spans="11:11" x14ac:dyDescent="0.2">
      <c r="K6092" s="8"/>
    </row>
    <row r="6093" spans="11:11" x14ac:dyDescent="0.2">
      <c r="K6093" s="8"/>
    </row>
    <row r="6094" spans="11:11" x14ac:dyDescent="0.2">
      <c r="K6094" s="8"/>
    </row>
    <row r="6095" spans="11:11" x14ac:dyDescent="0.2">
      <c r="K6095" s="8"/>
    </row>
    <row r="6096" spans="11:11" x14ac:dyDescent="0.2">
      <c r="K6096" s="8"/>
    </row>
    <row r="6097" spans="11:11" x14ac:dyDescent="0.2">
      <c r="K6097" s="8"/>
    </row>
    <row r="6098" spans="11:11" x14ac:dyDescent="0.2">
      <c r="K6098" s="8"/>
    </row>
    <row r="6099" spans="11:11" x14ac:dyDescent="0.2">
      <c r="K6099" s="8"/>
    </row>
    <row r="6100" spans="11:11" x14ac:dyDescent="0.2">
      <c r="K6100" s="8"/>
    </row>
    <row r="6101" spans="11:11" x14ac:dyDescent="0.2">
      <c r="K6101" s="8"/>
    </row>
    <row r="6102" spans="11:11" x14ac:dyDescent="0.2">
      <c r="K6102" s="8"/>
    </row>
    <row r="6103" spans="11:11" x14ac:dyDescent="0.2">
      <c r="K6103" s="8"/>
    </row>
    <row r="6104" spans="11:11" x14ac:dyDescent="0.2">
      <c r="K6104" s="8"/>
    </row>
    <row r="6105" spans="11:11" x14ac:dyDescent="0.2">
      <c r="K6105" s="8"/>
    </row>
    <row r="6106" spans="11:11" x14ac:dyDescent="0.2">
      <c r="K6106" s="8"/>
    </row>
    <row r="6107" spans="11:11" x14ac:dyDescent="0.2">
      <c r="K6107" s="8"/>
    </row>
    <row r="6108" spans="11:11" x14ac:dyDescent="0.2">
      <c r="K6108" s="8"/>
    </row>
    <row r="6109" spans="11:11" x14ac:dyDescent="0.2">
      <c r="K6109" s="8"/>
    </row>
    <row r="6110" spans="11:11" x14ac:dyDescent="0.2">
      <c r="K6110" s="8"/>
    </row>
    <row r="6111" spans="11:11" x14ac:dyDescent="0.2">
      <c r="K6111" s="8"/>
    </row>
    <row r="6112" spans="11:11" x14ac:dyDescent="0.2">
      <c r="K6112" s="8"/>
    </row>
    <row r="6113" spans="11:11" x14ac:dyDescent="0.2">
      <c r="K6113" s="8"/>
    </row>
    <row r="6114" spans="11:11" x14ac:dyDescent="0.2">
      <c r="K6114" s="8"/>
    </row>
    <row r="6115" spans="11:11" x14ac:dyDescent="0.2">
      <c r="K6115" s="8"/>
    </row>
    <row r="6116" spans="11:11" x14ac:dyDescent="0.2">
      <c r="K6116" s="8"/>
    </row>
    <row r="6117" spans="11:11" x14ac:dyDescent="0.2">
      <c r="K6117" s="8"/>
    </row>
    <row r="6118" spans="11:11" x14ac:dyDescent="0.2">
      <c r="K6118" s="8"/>
    </row>
    <row r="6119" spans="11:11" x14ac:dyDescent="0.2">
      <c r="K6119" s="8"/>
    </row>
    <row r="6120" spans="11:11" x14ac:dyDescent="0.2">
      <c r="K6120" s="8"/>
    </row>
    <row r="6121" spans="11:11" x14ac:dyDescent="0.2">
      <c r="K6121" s="8"/>
    </row>
    <row r="6122" spans="11:11" x14ac:dyDescent="0.2">
      <c r="K6122" s="8"/>
    </row>
    <row r="6123" spans="11:11" x14ac:dyDescent="0.2">
      <c r="K6123" s="8"/>
    </row>
    <row r="6124" spans="11:11" x14ac:dyDescent="0.2">
      <c r="K6124" s="8"/>
    </row>
    <row r="6125" spans="11:11" x14ac:dyDescent="0.2">
      <c r="K6125" s="8"/>
    </row>
    <row r="6126" spans="11:11" x14ac:dyDescent="0.2">
      <c r="K6126" s="8"/>
    </row>
    <row r="6127" spans="11:11" x14ac:dyDescent="0.2">
      <c r="K6127" s="8"/>
    </row>
    <row r="6128" spans="11:11" x14ac:dyDescent="0.2">
      <c r="K6128" s="8"/>
    </row>
    <row r="6129" spans="11:11" x14ac:dyDescent="0.2">
      <c r="K6129" s="8"/>
    </row>
    <row r="6130" spans="11:11" x14ac:dyDescent="0.2">
      <c r="K6130" s="8"/>
    </row>
    <row r="6131" spans="11:11" x14ac:dyDescent="0.2">
      <c r="K6131" s="8"/>
    </row>
    <row r="6132" spans="11:11" x14ac:dyDescent="0.2">
      <c r="K6132" s="8"/>
    </row>
    <row r="6133" spans="11:11" x14ac:dyDescent="0.2">
      <c r="K6133" s="8"/>
    </row>
    <row r="6134" spans="11:11" x14ac:dyDescent="0.2">
      <c r="K6134" s="8"/>
    </row>
    <row r="6135" spans="11:11" x14ac:dyDescent="0.2">
      <c r="K6135" s="8"/>
    </row>
    <row r="6136" spans="11:11" x14ac:dyDescent="0.2">
      <c r="K6136" s="8"/>
    </row>
    <row r="6137" spans="11:11" x14ac:dyDescent="0.2">
      <c r="K6137" s="8"/>
    </row>
    <row r="6138" spans="11:11" x14ac:dyDescent="0.2">
      <c r="K6138" s="8"/>
    </row>
    <row r="6139" spans="11:11" x14ac:dyDescent="0.2">
      <c r="K6139" s="8"/>
    </row>
    <row r="6140" spans="11:11" x14ac:dyDescent="0.2">
      <c r="K6140" s="8"/>
    </row>
    <row r="6141" spans="11:11" x14ac:dyDescent="0.2">
      <c r="K6141" s="8"/>
    </row>
    <row r="6142" spans="11:11" x14ac:dyDescent="0.2">
      <c r="K6142" s="8"/>
    </row>
    <row r="6143" spans="11:11" x14ac:dyDescent="0.2">
      <c r="K6143" s="8"/>
    </row>
    <row r="6144" spans="11:11" x14ac:dyDescent="0.2">
      <c r="K6144" s="8"/>
    </row>
    <row r="6145" spans="11:11" x14ac:dyDescent="0.2">
      <c r="K6145" s="8"/>
    </row>
    <row r="6146" spans="11:11" x14ac:dyDescent="0.2">
      <c r="K6146" s="8"/>
    </row>
    <row r="6147" spans="11:11" x14ac:dyDescent="0.2">
      <c r="K6147" s="8"/>
    </row>
    <row r="6148" spans="11:11" x14ac:dyDescent="0.2">
      <c r="K6148" s="8"/>
    </row>
    <row r="6149" spans="11:11" x14ac:dyDescent="0.2">
      <c r="K6149" s="8"/>
    </row>
    <row r="6150" spans="11:11" x14ac:dyDescent="0.2">
      <c r="K6150" s="8"/>
    </row>
    <row r="6151" spans="11:11" x14ac:dyDescent="0.2">
      <c r="K6151" s="8"/>
    </row>
    <row r="6152" spans="11:11" x14ac:dyDescent="0.2">
      <c r="K6152" s="8"/>
    </row>
    <row r="6153" spans="11:11" x14ac:dyDescent="0.2">
      <c r="K6153" s="8"/>
    </row>
    <row r="6154" spans="11:11" x14ac:dyDescent="0.2">
      <c r="K6154" s="8"/>
    </row>
    <row r="6155" spans="11:11" x14ac:dyDescent="0.2">
      <c r="K6155" s="8"/>
    </row>
    <row r="6156" spans="11:11" x14ac:dyDescent="0.2">
      <c r="K6156" s="8"/>
    </row>
    <row r="6157" spans="11:11" x14ac:dyDescent="0.2">
      <c r="K6157" s="8"/>
    </row>
    <row r="6158" spans="11:11" x14ac:dyDescent="0.2">
      <c r="K6158" s="8"/>
    </row>
    <row r="6159" spans="11:11" x14ac:dyDescent="0.2">
      <c r="K6159" s="8"/>
    </row>
    <row r="6160" spans="11:11" x14ac:dyDescent="0.2">
      <c r="K6160" s="8"/>
    </row>
    <row r="6161" spans="11:11" x14ac:dyDescent="0.2">
      <c r="K6161" s="8"/>
    </row>
    <row r="6162" spans="11:11" x14ac:dyDescent="0.2">
      <c r="K6162" s="8"/>
    </row>
    <row r="6163" spans="11:11" x14ac:dyDescent="0.2">
      <c r="K6163" s="8"/>
    </row>
    <row r="6164" spans="11:11" x14ac:dyDescent="0.2">
      <c r="K6164" s="8"/>
    </row>
    <row r="6165" spans="11:11" x14ac:dyDescent="0.2">
      <c r="K6165" s="8"/>
    </row>
    <row r="6166" spans="11:11" x14ac:dyDescent="0.2">
      <c r="K6166" s="8"/>
    </row>
    <row r="6167" spans="11:11" x14ac:dyDescent="0.2">
      <c r="K6167" s="8"/>
    </row>
    <row r="6168" spans="11:11" x14ac:dyDescent="0.2">
      <c r="K6168" s="8"/>
    </row>
    <row r="6169" spans="11:11" x14ac:dyDescent="0.2">
      <c r="K6169" s="8"/>
    </row>
    <row r="6170" spans="11:11" x14ac:dyDescent="0.2">
      <c r="K6170" s="8"/>
    </row>
    <row r="6171" spans="11:11" x14ac:dyDescent="0.2">
      <c r="K6171" s="8"/>
    </row>
    <row r="6172" spans="11:11" x14ac:dyDescent="0.2">
      <c r="K6172" s="8"/>
    </row>
    <row r="6173" spans="11:11" x14ac:dyDescent="0.2">
      <c r="K6173" s="8"/>
    </row>
    <row r="6174" spans="11:11" x14ac:dyDescent="0.2">
      <c r="K6174" s="8"/>
    </row>
    <row r="6175" spans="11:11" x14ac:dyDescent="0.2">
      <c r="K6175" s="8"/>
    </row>
    <row r="6176" spans="11:11" x14ac:dyDescent="0.2">
      <c r="K6176" s="8"/>
    </row>
    <row r="6177" spans="11:11" x14ac:dyDescent="0.2">
      <c r="K6177" s="8"/>
    </row>
    <row r="6178" spans="11:11" x14ac:dyDescent="0.2">
      <c r="K6178" s="8"/>
    </row>
    <row r="6179" spans="11:11" x14ac:dyDescent="0.2">
      <c r="K6179" s="8"/>
    </row>
    <row r="6180" spans="11:11" x14ac:dyDescent="0.2">
      <c r="K6180" s="8"/>
    </row>
    <row r="6181" spans="11:11" x14ac:dyDescent="0.2">
      <c r="K6181" s="8"/>
    </row>
    <row r="6182" spans="11:11" x14ac:dyDescent="0.2">
      <c r="K6182" s="8"/>
    </row>
    <row r="6183" spans="11:11" x14ac:dyDescent="0.2">
      <c r="K6183" s="8"/>
    </row>
    <row r="6184" spans="11:11" x14ac:dyDescent="0.2">
      <c r="K6184" s="8"/>
    </row>
    <row r="6185" spans="11:11" x14ac:dyDescent="0.2">
      <c r="K6185" s="8"/>
    </row>
    <row r="6186" spans="11:11" x14ac:dyDescent="0.2">
      <c r="K6186" s="8"/>
    </row>
    <row r="6187" spans="11:11" x14ac:dyDescent="0.2">
      <c r="K6187" s="8"/>
    </row>
    <row r="6188" spans="11:11" x14ac:dyDescent="0.2">
      <c r="K6188" s="8"/>
    </row>
    <row r="6189" spans="11:11" x14ac:dyDescent="0.2">
      <c r="K6189" s="8"/>
    </row>
    <row r="6190" spans="11:11" x14ac:dyDescent="0.2">
      <c r="K6190" s="8"/>
    </row>
    <row r="6191" spans="11:11" x14ac:dyDescent="0.2">
      <c r="K6191" s="8"/>
    </row>
    <row r="6192" spans="11:11" x14ac:dyDescent="0.2">
      <c r="K6192" s="8"/>
    </row>
    <row r="6193" spans="11:11" x14ac:dyDescent="0.2">
      <c r="K6193" s="8"/>
    </row>
    <row r="6194" spans="11:11" x14ac:dyDescent="0.2">
      <c r="K6194" s="8"/>
    </row>
    <row r="6195" spans="11:11" x14ac:dyDescent="0.2">
      <c r="K6195" s="8"/>
    </row>
    <row r="6196" spans="11:11" x14ac:dyDescent="0.2">
      <c r="K6196" s="8"/>
    </row>
    <row r="6197" spans="11:11" x14ac:dyDescent="0.2">
      <c r="K6197" s="8"/>
    </row>
    <row r="6198" spans="11:11" x14ac:dyDescent="0.2">
      <c r="K6198" s="8"/>
    </row>
    <row r="6199" spans="11:11" x14ac:dyDescent="0.2">
      <c r="K6199" s="8"/>
    </row>
    <row r="6200" spans="11:11" x14ac:dyDescent="0.2">
      <c r="K6200" s="8"/>
    </row>
    <row r="6201" spans="11:11" x14ac:dyDescent="0.2">
      <c r="K6201" s="8"/>
    </row>
    <row r="6202" spans="11:11" x14ac:dyDescent="0.2">
      <c r="K6202" s="8"/>
    </row>
    <row r="6203" spans="11:11" x14ac:dyDescent="0.2">
      <c r="K6203" s="8"/>
    </row>
    <row r="6204" spans="11:11" x14ac:dyDescent="0.2">
      <c r="K6204" s="8"/>
    </row>
    <row r="6205" spans="11:11" x14ac:dyDescent="0.2">
      <c r="K6205" s="8"/>
    </row>
    <row r="6206" spans="11:11" x14ac:dyDescent="0.2">
      <c r="K6206" s="8"/>
    </row>
    <row r="6207" spans="11:11" x14ac:dyDescent="0.2">
      <c r="K6207" s="8"/>
    </row>
    <row r="6208" spans="11:11" x14ac:dyDescent="0.2">
      <c r="K6208" s="8"/>
    </row>
    <row r="6209" spans="11:11" x14ac:dyDescent="0.2">
      <c r="K6209" s="8"/>
    </row>
    <row r="6210" spans="11:11" x14ac:dyDescent="0.2">
      <c r="K6210" s="8"/>
    </row>
    <row r="6211" spans="11:11" x14ac:dyDescent="0.2">
      <c r="K6211" s="8"/>
    </row>
    <row r="6212" spans="11:11" x14ac:dyDescent="0.2">
      <c r="K6212" s="8"/>
    </row>
    <row r="6213" spans="11:11" x14ac:dyDescent="0.2">
      <c r="K6213" s="8"/>
    </row>
    <row r="6214" spans="11:11" x14ac:dyDescent="0.2">
      <c r="K6214" s="8"/>
    </row>
    <row r="6215" spans="11:11" x14ac:dyDescent="0.2">
      <c r="K6215" s="8"/>
    </row>
    <row r="6216" spans="11:11" x14ac:dyDescent="0.2">
      <c r="K6216" s="8"/>
    </row>
    <row r="6217" spans="11:11" x14ac:dyDescent="0.2">
      <c r="K6217" s="8"/>
    </row>
    <row r="6218" spans="11:11" x14ac:dyDescent="0.2">
      <c r="K6218" s="8"/>
    </row>
    <row r="6219" spans="11:11" x14ac:dyDescent="0.2">
      <c r="K6219" s="8"/>
    </row>
    <row r="6220" spans="11:11" x14ac:dyDescent="0.2">
      <c r="K6220" s="8"/>
    </row>
    <row r="6221" spans="11:11" x14ac:dyDescent="0.2">
      <c r="K6221" s="8"/>
    </row>
    <row r="6222" spans="11:11" x14ac:dyDescent="0.2">
      <c r="K6222" s="8"/>
    </row>
    <row r="6223" spans="11:11" x14ac:dyDescent="0.2">
      <c r="K6223" s="8"/>
    </row>
    <row r="6224" spans="11:11" x14ac:dyDescent="0.2">
      <c r="K6224" s="8"/>
    </row>
    <row r="6225" spans="11:11" x14ac:dyDescent="0.2">
      <c r="K6225" s="8"/>
    </row>
    <row r="6226" spans="11:11" x14ac:dyDescent="0.2">
      <c r="K6226" s="8"/>
    </row>
    <row r="6227" spans="11:11" x14ac:dyDescent="0.2">
      <c r="K6227" s="8"/>
    </row>
    <row r="6228" spans="11:11" x14ac:dyDescent="0.2">
      <c r="K6228" s="8"/>
    </row>
    <row r="6229" spans="11:11" x14ac:dyDescent="0.2">
      <c r="K6229" s="8"/>
    </row>
    <row r="6230" spans="11:11" x14ac:dyDescent="0.2">
      <c r="K6230" s="8"/>
    </row>
    <row r="6231" spans="11:11" x14ac:dyDescent="0.2">
      <c r="K6231" s="8"/>
    </row>
    <row r="6232" spans="11:11" x14ac:dyDescent="0.2">
      <c r="K6232" s="8"/>
    </row>
    <row r="6233" spans="11:11" x14ac:dyDescent="0.2">
      <c r="K6233" s="8"/>
    </row>
    <row r="6234" spans="11:11" x14ac:dyDescent="0.2">
      <c r="K6234" s="8"/>
    </row>
    <row r="6235" spans="11:11" x14ac:dyDescent="0.2">
      <c r="K6235" s="8"/>
    </row>
    <row r="6236" spans="11:11" x14ac:dyDescent="0.2">
      <c r="K6236" s="8"/>
    </row>
    <row r="6237" spans="11:11" x14ac:dyDescent="0.2">
      <c r="K6237" s="8"/>
    </row>
    <row r="6238" spans="11:11" x14ac:dyDescent="0.2">
      <c r="K6238" s="8"/>
    </row>
    <row r="6239" spans="11:11" x14ac:dyDescent="0.2">
      <c r="K6239" s="8"/>
    </row>
    <row r="6240" spans="11:11" x14ac:dyDescent="0.2">
      <c r="K6240" s="8"/>
    </row>
    <row r="6241" spans="11:11" x14ac:dyDescent="0.2">
      <c r="K6241" s="8"/>
    </row>
    <row r="6242" spans="11:11" x14ac:dyDescent="0.2">
      <c r="K6242" s="8"/>
    </row>
    <row r="6243" spans="11:11" x14ac:dyDescent="0.2">
      <c r="K6243" s="8"/>
    </row>
    <row r="6244" spans="11:11" x14ac:dyDescent="0.2">
      <c r="K6244" s="8"/>
    </row>
    <row r="6245" spans="11:11" x14ac:dyDescent="0.2">
      <c r="K6245" s="8"/>
    </row>
    <row r="6246" spans="11:11" x14ac:dyDescent="0.2">
      <c r="K6246" s="8"/>
    </row>
    <row r="6247" spans="11:11" x14ac:dyDescent="0.2">
      <c r="K6247" s="8"/>
    </row>
    <row r="6248" spans="11:11" x14ac:dyDescent="0.2">
      <c r="K6248" s="8"/>
    </row>
    <row r="6249" spans="11:11" x14ac:dyDescent="0.2">
      <c r="K6249" s="8"/>
    </row>
    <row r="6250" spans="11:11" x14ac:dyDescent="0.2">
      <c r="K6250" s="8"/>
    </row>
    <row r="6251" spans="11:11" x14ac:dyDescent="0.2">
      <c r="K6251" s="8"/>
    </row>
    <row r="6252" spans="11:11" x14ac:dyDescent="0.2">
      <c r="K6252" s="8"/>
    </row>
    <row r="6253" spans="11:11" x14ac:dyDescent="0.2">
      <c r="K6253" s="8"/>
    </row>
    <row r="6254" spans="11:11" x14ac:dyDescent="0.2">
      <c r="K6254" s="8"/>
    </row>
    <row r="6255" spans="11:11" x14ac:dyDescent="0.2">
      <c r="K6255" s="8"/>
    </row>
    <row r="6256" spans="11:11" x14ac:dyDescent="0.2">
      <c r="K6256" s="8"/>
    </row>
    <row r="6257" spans="11:11" x14ac:dyDescent="0.2">
      <c r="K6257" s="8"/>
    </row>
    <row r="6258" spans="11:11" x14ac:dyDescent="0.2">
      <c r="K6258" s="8"/>
    </row>
    <row r="6259" spans="11:11" x14ac:dyDescent="0.2">
      <c r="K6259" s="8"/>
    </row>
    <row r="6260" spans="11:11" x14ac:dyDescent="0.2">
      <c r="K6260" s="8"/>
    </row>
    <row r="6261" spans="11:11" x14ac:dyDescent="0.2">
      <c r="K6261" s="8"/>
    </row>
    <row r="6262" spans="11:11" x14ac:dyDescent="0.2">
      <c r="K6262" s="8"/>
    </row>
    <row r="6263" spans="11:11" x14ac:dyDescent="0.2">
      <c r="K6263" s="8"/>
    </row>
    <row r="6264" spans="11:11" x14ac:dyDescent="0.2">
      <c r="K6264" s="8"/>
    </row>
    <row r="6265" spans="11:11" x14ac:dyDescent="0.2">
      <c r="K6265" s="8"/>
    </row>
    <row r="6266" spans="11:11" x14ac:dyDescent="0.2">
      <c r="K6266" s="8"/>
    </row>
    <row r="6267" spans="11:11" x14ac:dyDescent="0.2">
      <c r="K6267" s="8"/>
    </row>
    <row r="6268" spans="11:11" x14ac:dyDescent="0.2">
      <c r="K6268" s="8"/>
    </row>
    <row r="6269" spans="11:11" x14ac:dyDescent="0.2">
      <c r="K6269" s="8"/>
    </row>
    <row r="6270" spans="11:11" x14ac:dyDescent="0.2">
      <c r="K6270" s="8"/>
    </row>
    <row r="6271" spans="11:11" x14ac:dyDescent="0.2">
      <c r="K6271" s="8"/>
    </row>
    <row r="6272" spans="11:11" x14ac:dyDescent="0.2">
      <c r="K6272" s="8"/>
    </row>
    <row r="6273" spans="11:11" x14ac:dyDescent="0.2">
      <c r="K6273" s="8"/>
    </row>
    <row r="6274" spans="11:11" x14ac:dyDescent="0.2">
      <c r="K6274" s="8"/>
    </row>
    <row r="6275" spans="11:11" x14ac:dyDescent="0.2">
      <c r="K6275" s="8"/>
    </row>
    <row r="6276" spans="11:11" x14ac:dyDescent="0.2">
      <c r="K6276" s="8"/>
    </row>
    <row r="6277" spans="11:11" x14ac:dyDescent="0.2">
      <c r="K6277" s="8"/>
    </row>
    <row r="6278" spans="11:11" x14ac:dyDescent="0.2">
      <c r="K6278" s="8"/>
    </row>
    <row r="6279" spans="11:11" x14ac:dyDescent="0.2">
      <c r="K6279" s="8"/>
    </row>
    <row r="6280" spans="11:11" x14ac:dyDescent="0.2">
      <c r="K6280" s="8"/>
    </row>
    <row r="6281" spans="11:11" x14ac:dyDescent="0.2">
      <c r="K6281" s="8"/>
    </row>
    <row r="6282" spans="11:11" x14ac:dyDescent="0.2">
      <c r="K6282" s="8"/>
    </row>
    <row r="6283" spans="11:11" x14ac:dyDescent="0.2">
      <c r="K6283" s="8"/>
    </row>
    <row r="6284" spans="11:11" x14ac:dyDescent="0.2">
      <c r="K6284" s="8"/>
    </row>
    <row r="6285" spans="11:11" x14ac:dyDescent="0.2">
      <c r="K6285" s="8"/>
    </row>
    <row r="6286" spans="11:11" x14ac:dyDescent="0.2">
      <c r="K6286" s="8"/>
    </row>
    <row r="6287" spans="11:11" x14ac:dyDescent="0.2">
      <c r="K6287" s="8"/>
    </row>
    <row r="6288" spans="11:11" x14ac:dyDescent="0.2">
      <c r="K6288" s="8"/>
    </row>
    <row r="6289" spans="11:11" x14ac:dyDescent="0.2">
      <c r="K6289" s="8"/>
    </row>
    <row r="6290" spans="11:11" x14ac:dyDescent="0.2">
      <c r="K6290" s="8"/>
    </row>
    <row r="6291" spans="11:11" x14ac:dyDescent="0.2">
      <c r="K6291" s="8"/>
    </row>
    <row r="6292" spans="11:11" x14ac:dyDescent="0.2">
      <c r="K6292" s="8"/>
    </row>
    <row r="6293" spans="11:11" x14ac:dyDescent="0.2">
      <c r="K6293" s="8"/>
    </row>
    <row r="6294" spans="11:11" x14ac:dyDescent="0.2">
      <c r="K6294" s="8"/>
    </row>
    <row r="6295" spans="11:11" x14ac:dyDescent="0.2">
      <c r="K6295" s="8"/>
    </row>
    <row r="6296" spans="11:11" x14ac:dyDescent="0.2">
      <c r="K6296" s="8"/>
    </row>
    <row r="6297" spans="11:11" x14ac:dyDescent="0.2">
      <c r="K6297" s="8"/>
    </row>
    <row r="6298" spans="11:11" x14ac:dyDescent="0.2">
      <c r="K6298" s="8"/>
    </row>
    <row r="6299" spans="11:11" x14ac:dyDescent="0.2">
      <c r="K6299" s="8"/>
    </row>
    <row r="6300" spans="11:11" x14ac:dyDescent="0.2">
      <c r="K6300" s="8"/>
    </row>
    <row r="6301" spans="11:11" x14ac:dyDescent="0.2">
      <c r="K6301" s="8"/>
    </row>
    <row r="6302" spans="11:11" x14ac:dyDescent="0.2">
      <c r="K6302" s="8"/>
    </row>
    <row r="6303" spans="11:11" x14ac:dyDescent="0.2">
      <c r="K6303" s="8"/>
    </row>
    <row r="6304" spans="11:11" x14ac:dyDescent="0.2">
      <c r="K6304" s="8"/>
    </row>
    <row r="6305" spans="11:11" x14ac:dyDescent="0.2">
      <c r="K6305" s="8"/>
    </row>
    <row r="6306" spans="11:11" x14ac:dyDescent="0.2">
      <c r="K6306" s="8"/>
    </row>
    <row r="6307" spans="11:11" x14ac:dyDescent="0.2">
      <c r="K6307" s="8"/>
    </row>
    <row r="6308" spans="11:11" x14ac:dyDescent="0.2">
      <c r="K6308" s="8"/>
    </row>
    <row r="6309" spans="11:11" x14ac:dyDescent="0.2">
      <c r="K6309" s="8"/>
    </row>
    <row r="6310" spans="11:11" x14ac:dyDescent="0.2">
      <c r="K6310" s="8"/>
    </row>
    <row r="6311" spans="11:11" x14ac:dyDescent="0.2">
      <c r="K6311" s="8"/>
    </row>
    <row r="6312" spans="11:11" x14ac:dyDescent="0.2">
      <c r="K6312" s="8"/>
    </row>
    <row r="6313" spans="11:11" x14ac:dyDescent="0.2">
      <c r="K6313" s="8"/>
    </row>
    <row r="6314" spans="11:11" x14ac:dyDescent="0.2">
      <c r="K6314" s="8"/>
    </row>
    <row r="6315" spans="11:11" x14ac:dyDescent="0.2">
      <c r="K6315" s="8"/>
    </row>
    <row r="6316" spans="11:11" x14ac:dyDescent="0.2">
      <c r="K6316" s="8"/>
    </row>
    <row r="6317" spans="11:11" x14ac:dyDescent="0.2">
      <c r="K6317" s="8"/>
    </row>
    <row r="6318" spans="11:11" x14ac:dyDescent="0.2">
      <c r="K6318" s="8"/>
    </row>
    <row r="6319" spans="11:11" x14ac:dyDescent="0.2">
      <c r="K6319" s="8"/>
    </row>
    <row r="6320" spans="11:11" x14ac:dyDescent="0.2">
      <c r="K6320" s="8"/>
    </row>
    <row r="6321" spans="11:11" x14ac:dyDescent="0.2">
      <c r="K6321" s="8"/>
    </row>
    <row r="6322" spans="11:11" x14ac:dyDescent="0.2">
      <c r="K6322" s="8"/>
    </row>
    <row r="6323" spans="11:11" x14ac:dyDescent="0.2">
      <c r="K6323" s="8"/>
    </row>
    <row r="6324" spans="11:11" x14ac:dyDescent="0.2">
      <c r="K6324" s="8"/>
    </row>
    <row r="6325" spans="11:11" x14ac:dyDescent="0.2">
      <c r="K6325" s="8"/>
    </row>
    <row r="6326" spans="11:11" x14ac:dyDescent="0.2">
      <c r="K6326" s="8"/>
    </row>
    <row r="6327" spans="11:11" x14ac:dyDescent="0.2">
      <c r="K6327" s="8"/>
    </row>
    <row r="6328" spans="11:11" x14ac:dyDescent="0.2">
      <c r="K6328" s="8"/>
    </row>
    <row r="6329" spans="11:11" x14ac:dyDescent="0.2">
      <c r="K6329" s="8"/>
    </row>
    <row r="6330" spans="11:11" x14ac:dyDescent="0.2">
      <c r="K6330" s="8"/>
    </row>
    <row r="6331" spans="11:11" x14ac:dyDescent="0.2">
      <c r="K6331" s="8"/>
    </row>
    <row r="6332" spans="11:11" x14ac:dyDescent="0.2">
      <c r="K6332" s="8"/>
    </row>
    <row r="6333" spans="11:11" x14ac:dyDescent="0.2">
      <c r="K6333" s="8"/>
    </row>
    <row r="6334" spans="11:11" x14ac:dyDescent="0.2">
      <c r="K6334" s="8"/>
    </row>
    <row r="6335" spans="11:11" x14ac:dyDescent="0.2">
      <c r="K6335" s="8"/>
    </row>
    <row r="6336" spans="11:11" x14ac:dyDescent="0.2">
      <c r="K6336" s="8"/>
    </row>
    <row r="6337" spans="11:11" x14ac:dyDescent="0.2">
      <c r="K6337" s="8"/>
    </row>
    <row r="6338" spans="11:11" x14ac:dyDescent="0.2">
      <c r="K6338" s="8"/>
    </row>
    <row r="6339" spans="11:11" x14ac:dyDescent="0.2">
      <c r="K6339" s="8"/>
    </row>
    <row r="6340" spans="11:11" x14ac:dyDescent="0.2">
      <c r="K6340" s="8"/>
    </row>
    <row r="6341" spans="11:11" x14ac:dyDescent="0.2">
      <c r="K6341" s="8"/>
    </row>
    <row r="6342" spans="11:11" x14ac:dyDescent="0.2">
      <c r="K6342" s="8"/>
    </row>
    <row r="6343" spans="11:11" x14ac:dyDescent="0.2">
      <c r="K6343" s="8"/>
    </row>
    <row r="6344" spans="11:11" x14ac:dyDescent="0.2">
      <c r="K6344" s="8"/>
    </row>
    <row r="6345" spans="11:11" x14ac:dyDescent="0.2">
      <c r="K6345" s="8"/>
    </row>
    <row r="6346" spans="11:11" x14ac:dyDescent="0.2">
      <c r="K6346" s="8"/>
    </row>
    <row r="6347" spans="11:11" x14ac:dyDescent="0.2">
      <c r="K6347" s="8"/>
    </row>
    <row r="6348" spans="11:11" x14ac:dyDescent="0.2">
      <c r="K6348" s="8"/>
    </row>
    <row r="6349" spans="11:11" x14ac:dyDescent="0.2">
      <c r="K6349" s="8"/>
    </row>
    <row r="6350" spans="11:11" x14ac:dyDescent="0.2">
      <c r="K6350" s="8"/>
    </row>
    <row r="6351" spans="11:11" x14ac:dyDescent="0.2">
      <c r="K6351" s="8"/>
    </row>
    <row r="6352" spans="11:11" x14ac:dyDescent="0.2">
      <c r="K6352" s="8"/>
    </row>
    <row r="6353" spans="11:11" x14ac:dyDescent="0.2">
      <c r="K6353" s="8"/>
    </row>
    <row r="6354" spans="11:11" x14ac:dyDescent="0.2">
      <c r="K6354" s="8"/>
    </row>
    <row r="6355" spans="11:11" x14ac:dyDescent="0.2">
      <c r="K6355" s="8"/>
    </row>
    <row r="6356" spans="11:11" x14ac:dyDescent="0.2">
      <c r="K6356" s="8"/>
    </row>
    <row r="6357" spans="11:11" x14ac:dyDescent="0.2">
      <c r="K6357" s="8"/>
    </row>
    <row r="6358" spans="11:11" x14ac:dyDescent="0.2">
      <c r="K6358" s="8"/>
    </row>
    <row r="6359" spans="11:11" x14ac:dyDescent="0.2">
      <c r="K6359" s="8"/>
    </row>
    <row r="6360" spans="11:11" x14ac:dyDescent="0.2">
      <c r="K6360" s="8"/>
    </row>
    <row r="6361" spans="11:11" x14ac:dyDescent="0.2">
      <c r="K6361" s="8"/>
    </row>
    <row r="6362" spans="11:11" x14ac:dyDescent="0.2">
      <c r="K6362" s="8"/>
    </row>
    <row r="6363" spans="11:11" x14ac:dyDescent="0.2">
      <c r="K6363" s="8"/>
    </row>
    <row r="6364" spans="11:11" x14ac:dyDescent="0.2">
      <c r="K6364" s="8"/>
    </row>
    <row r="6365" spans="11:11" x14ac:dyDescent="0.2">
      <c r="K6365" s="8"/>
    </row>
    <row r="6366" spans="11:11" x14ac:dyDescent="0.2">
      <c r="K6366" s="8"/>
    </row>
    <row r="6367" spans="11:11" x14ac:dyDescent="0.2">
      <c r="K6367" s="8"/>
    </row>
    <row r="6368" spans="11:11" x14ac:dyDescent="0.2">
      <c r="K6368" s="8"/>
    </row>
    <row r="6369" spans="11:11" x14ac:dyDescent="0.2">
      <c r="K6369" s="8"/>
    </row>
    <row r="6370" spans="11:11" x14ac:dyDescent="0.2">
      <c r="K6370" s="8"/>
    </row>
    <row r="6371" spans="11:11" x14ac:dyDescent="0.2">
      <c r="K6371" s="8"/>
    </row>
    <row r="6372" spans="11:11" x14ac:dyDescent="0.2">
      <c r="K6372" s="8"/>
    </row>
    <row r="6373" spans="11:11" x14ac:dyDescent="0.2">
      <c r="K6373" s="8"/>
    </row>
    <row r="6374" spans="11:11" x14ac:dyDescent="0.2">
      <c r="K6374" s="8"/>
    </row>
    <row r="6375" spans="11:11" x14ac:dyDescent="0.2">
      <c r="K6375" s="8"/>
    </row>
    <row r="6376" spans="11:11" x14ac:dyDescent="0.2">
      <c r="K6376" s="8"/>
    </row>
    <row r="6377" spans="11:11" x14ac:dyDescent="0.2">
      <c r="K6377" s="8"/>
    </row>
    <row r="6378" spans="11:11" x14ac:dyDescent="0.2">
      <c r="K6378" s="8"/>
    </row>
    <row r="6379" spans="11:11" x14ac:dyDescent="0.2">
      <c r="K6379" s="8"/>
    </row>
    <row r="6380" spans="11:11" x14ac:dyDescent="0.2">
      <c r="K6380" s="8"/>
    </row>
    <row r="6381" spans="11:11" x14ac:dyDescent="0.2">
      <c r="K6381" s="8"/>
    </row>
    <row r="6382" spans="11:11" x14ac:dyDescent="0.2">
      <c r="K6382" s="8"/>
    </row>
    <row r="6383" spans="11:11" x14ac:dyDescent="0.2">
      <c r="K6383" s="8"/>
    </row>
    <row r="6384" spans="11:11" x14ac:dyDescent="0.2">
      <c r="K6384" s="8"/>
    </row>
    <row r="6385" spans="11:11" x14ac:dyDescent="0.2">
      <c r="K6385" s="8"/>
    </row>
    <row r="6386" spans="11:11" x14ac:dyDescent="0.2">
      <c r="K6386" s="8"/>
    </row>
    <row r="6387" spans="11:11" x14ac:dyDescent="0.2">
      <c r="K6387" s="8"/>
    </row>
    <row r="6388" spans="11:11" x14ac:dyDescent="0.2">
      <c r="K6388" s="8"/>
    </row>
    <row r="6389" spans="11:11" x14ac:dyDescent="0.2">
      <c r="K6389" s="8"/>
    </row>
    <row r="6390" spans="11:11" x14ac:dyDescent="0.2">
      <c r="K6390" s="8"/>
    </row>
    <row r="6391" spans="11:11" x14ac:dyDescent="0.2">
      <c r="K6391" s="8"/>
    </row>
    <row r="6392" spans="11:11" x14ac:dyDescent="0.2">
      <c r="K6392" s="8"/>
    </row>
    <row r="6393" spans="11:11" x14ac:dyDescent="0.2">
      <c r="K6393" s="8"/>
    </row>
    <row r="6394" spans="11:11" x14ac:dyDescent="0.2">
      <c r="K6394" s="8"/>
    </row>
    <row r="6395" spans="11:11" x14ac:dyDescent="0.2">
      <c r="K6395" s="8"/>
    </row>
    <row r="6396" spans="11:11" x14ac:dyDescent="0.2">
      <c r="K6396" s="8"/>
    </row>
    <row r="6397" spans="11:11" x14ac:dyDescent="0.2">
      <c r="K6397" s="8"/>
    </row>
    <row r="6398" spans="11:11" x14ac:dyDescent="0.2">
      <c r="K6398" s="8"/>
    </row>
    <row r="6399" spans="11:11" x14ac:dyDescent="0.2">
      <c r="K6399" s="8"/>
    </row>
    <row r="6400" spans="11:11" x14ac:dyDescent="0.2">
      <c r="K6400" s="8"/>
    </row>
    <row r="6401" spans="11:11" x14ac:dyDescent="0.2">
      <c r="K6401" s="8"/>
    </row>
    <row r="6402" spans="11:11" x14ac:dyDescent="0.2">
      <c r="K6402" s="8"/>
    </row>
    <row r="6403" spans="11:11" x14ac:dyDescent="0.2">
      <c r="K6403" s="8"/>
    </row>
    <row r="6404" spans="11:11" x14ac:dyDescent="0.2">
      <c r="K6404" s="8"/>
    </row>
    <row r="6405" spans="11:11" x14ac:dyDescent="0.2">
      <c r="K6405" s="8"/>
    </row>
    <row r="6406" spans="11:11" x14ac:dyDescent="0.2">
      <c r="K6406" s="8"/>
    </row>
    <row r="6407" spans="11:11" x14ac:dyDescent="0.2">
      <c r="K6407" s="8"/>
    </row>
    <row r="6408" spans="11:11" x14ac:dyDescent="0.2">
      <c r="K6408" s="8"/>
    </row>
    <row r="6409" spans="11:11" x14ac:dyDescent="0.2">
      <c r="K6409" s="8"/>
    </row>
    <row r="6410" spans="11:11" x14ac:dyDescent="0.2">
      <c r="K6410" s="8"/>
    </row>
    <row r="6411" spans="11:11" x14ac:dyDescent="0.2">
      <c r="K6411" s="8"/>
    </row>
    <row r="6412" spans="11:11" x14ac:dyDescent="0.2">
      <c r="K6412" s="8"/>
    </row>
    <row r="6413" spans="11:11" x14ac:dyDescent="0.2">
      <c r="K6413" s="8"/>
    </row>
    <row r="6414" spans="11:11" x14ac:dyDescent="0.2">
      <c r="K6414" s="8"/>
    </row>
    <row r="6415" spans="11:11" x14ac:dyDescent="0.2">
      <c r="K6415" s="8"/>
    </row>
    <row r="6416" spans="11:11" x14ac:dyDescent="0.2">
      <c r="K6416" s="8"/>
    </row>
    <row r="6417" spans="11:11" x14ac:dyDescent="0.2">
      <c r="K6417" s="8"/>
    </row>
    <row r="6418" spans="11:11" x14ac:dyDescent="0.2">
      <c r="K6418" s="8"/>
    </row>
    <row r="6419" spans="11:11" x14ac:dyDescent="0.2">
      <c r="K6419" s="8"/>
    </row>
    <row r="6420" spans="11:11" x14ac:dyDescent="0.2">
      <c r="K6420" s="8"/>
    </row>
    <row r="6421" spans="11:11" x14ac:dyDescent="0.2">
      <c r="K6421" s="8"/>
    </row>
    <row r="6422" spans="11:11" x14ac:dyDescent="0.2">
      <c r="K6422" s="8"/>
    </row>
    <row r="6423" spans="11:11" x14ac:dyDescent="0.2">
      <c r="K6423" s="8"/>
    </row>
    <row r="6424" spans="11:11" x14ac:dyDescent="0.2">
      <c r="K6424" s="8"/>
    </row>
    <row r="6425" spans="11:11" x14ac:dyDescent="0.2">
      <c r="K6425" s="8"/>
    </row>
    <row r="6426" spans="11:11" x14ac:dyDescent="0.2">
      <c r="K6426" s="8"/>
    </row>
    <row r="6427" spans="11:11" x14ac:dyDescent="0.2">
      <c r="K6427" s="8"/>
    </row>
    <row r="6428" spans="11:11" x14ac:dyDescent="0.2">
      <c r="K6428" s="8"/>
    </row>
    <row r="6429" spans="11:11" x14ac:dyDescent="0.2">
      <c r="K6429" s="8"/>
    </row>
    <row r="6430" spans="11:11" x14ac:dyDescent="0.2">
      <c r="K6430" s="8"/>
    </row>
    <row r="6431" spans="11:11" x14ac:dyDescent="0.2">
      <c r="K6431" s="8"/>
    </row>
    <row r="6432" spans="11:11" x14ac:dyDescent="0.2">
      <c r="K6432" s="8"/>
    </row>
    <row r="6433" spans="11:11" x14ac:dyDescent="0.2">
      <c r="K6433" s="8"/>
    </row>
    <row r="6434" spans="11:11" x14ac:dyDescent="0.2">
      <c r="K6434" s="8"/>
    </row>
    <row r="6435" spans="11:11" x14ac:dyDescent="0.2">
      <c r="K6435" s="8"/>
    </row>
    <row r="6436" spans="11:11" x14ac:dyDescent="0.2">
      <c r="K6436" s="8"/>
    </row>
    <row r="6437" spans="11:11" x14ac:dyDescent="0.2">
      <c r="K6437" s="8"/>
    </row>
    <row r="6438" spans="11:11" x14ac:dyDescent="0.2">
      <c r="K6438" s="8"/>
    </row>
    <row r="6439" spans="11:11" x14ac:dyDescent="0.2">
      <c r="K6439" s="8"/>
    </row>
    <row r="6440" spans="11:11" x14ac:dyDescent="0.2">
      <c r="K6440" s="8"/>
    </row>
    <row r="6441" spans="11:11" x14ac:dyDescent="0.2">
      <c r="K6441" s="8"/>
    </row>
    <row r="6442" spans="11:11" x14ac:dyDescent="0.2">
      <c r="K6442" s="8"/>
    </row>
    <row r="6443" spans="11:11" x14ac:dyDescent="0.2">
      <c r="K6443" s="8"/>
    </row>
    <row r="6444" spans="11:11" x14ac:dyDescent="0.2">
      <c r="K6444" s="8"/>
    </row>
    <row r="6445" spans="11:11" x14ac:dyDescent="0.2">
      <c r="K6445" s="8"/>
    </row>
    <row r="6446" spans="11:11" x14ac:dyDescent="0.2">
      <c r="K6446" s="8"/>
    </row>
    <row r="6447" spans="11:11" x14ac:dyDescent="0.2">
      <c r="K6447" s="8"/>
    </row>
    <row r="6448" spans="11:11" x14ac:dyDescent="0.2">
      <c r="K6448" s="8"/>
    </row>
    <row r="6449" spans="11:11" x14ac:dyDescent="0.2">
      <c r="K6449" s="8"/>
    </row>
    <row r="6450" spans="11:11" x14ac:dyDescent="0.2">
      <c r="K6450" s="8"/>
    </row>
    <row r="6451" spans="11:11" x14ac:dyDescent="0.2">
      <c r="K6451" s="8"/>
    </row>
    <row r="6452" spans="11:11" x14ac:dyDescent="0.2">
      <c r="K6452" s="8"/>
    </row>
    <row r="6453" spans="11:11" x14ac:dyDescent="0.2">
      <c r="K6453" s="8"/>
    </row>
    <row r="6454" spans="11:11" x14ac:dyDescent="0.2">
      <c r="K6454" s="8"/>
    </row>
    <row r="6455" spans="11:11" x14ac:dyDescent="0.2">
      <c r="K6455" s="8"/>
    </row>
    <row r="6456" spans="11:11" x14ac:dyDescent="0.2">
      <c r="K6456" s="8"/>
    </row>
    <row r="6457" spans="11:11" x14ac:dyDescent="0.2">
      <c r="K6457" s="8"/>
    </row>
    <row r="6458" spans="11:11" x14ac:dyDescent="0.2">
      <c r="K6458" s="8"/>
    </row>
    <row r="6459" spans="11:11" x14ac:dyDescent="0.2">
      <c r="K6459" s="8"/>
    </row>
    <row r="6460" spans="11:11" x14ac:dyDescent="0.2">
      <c r="K6460" s="8"/>
    </row>
    <row r="6461" spans="11:11" x14ac:dyDescent="0.2">
      <c r="K6461" s="8"/>
    </row>
    <row r="6462" spans="11:11" x14ac:dyDescent="0.2">
      <c r="K6462" s="8"/>
    </row>
    <row r="6463" spans="11:11" x14ac:dyDescent="0.2">
      <c r="K6463" s="8"/>
    </row>
    <row r="6464" spans="11:11" x14ac:dyDescent="0.2">
      <c r="K6464" s="8"/>
    </row>
    <row r="6465" spans="11:11" x14ac:dyDescent="0.2">
      <c r="K6465" s="8"/>
    </row>
    <row r="6466" spans="11:11" x14ac:dyDescent="0.2">
      <c r="K6466" s="8"/>
    </row>
    <row r="6467" spans="11:11" x14ac:dyDescent="0.2">
      <c r="K6467" s="8"/>
    </row>
    <row r="6468" spans="11:11" x14ac:dyDescent="0.2">
      <c r="K6468" s="8"/>
    </row>
    <row r="6469" spans="11:11" x14ac:dyDescent="0.2">
      <c r="K6469" s="8"/>
    </row>
    <row r="6470" spans="11:11" x14ac:dyDescent="0.2">
      <c r="K6470" s="8"/>
    </row>
    <row r="6471" spans="11:11" x14ac:dyDescent="0.2">
      <c r="K6471" s="8"/>
    </row>
    <row r="6472" spans="11:11" x14ac:dyDescent="0.2">
      <c r="K6472" s="8"/>
    </row>
    <row r="6473" spans="11:11" x14ac:dyDescent="0.2">
      <c r="K6473" s="8"/>
    </row>
    <row r="6474" spans="11:11" x14ac:dyDescent="0.2">
      <c r="K6474" s="8"/>
    </row>
    <row r="6475" spans="11:11" x14ac:dyDescent="0.2">
      <c r="K6475" s="8"/>
    </row>
    <row r="6476" spans="11:11" x14ac:dyDescent="0.2">
      <c r="K6476" s="8"/>
    </row>
    <row r="6477" spans="11:11" x14ac:dyDescent="0.2">
      <c r="K6477" s="8"/>
    </row>
    <row r="6478" spans="11:11" x14ac:dyDescent="0.2">
      <c r="K6478" s="8"/>
    </row>
    <row r="6479" spans="11:11" x14ac:dyDescent="0.2">
      <c r="K6479" s="8"/>
    </row>
    <row r="6480" spans="11:11" x14ac:dyDescent="0.2">
      <c r="K6480" s="8"/>
    </row>
    <row r="6481" spans="11:11" x14ac:dyDescent="0.2">
      <c r="K6481" s="8"/>
    </row>
    <row r="6482" spans="11:11" x14ac:dyDescent="0.2">
      <c r="K6482" s="8"/>
    </row>
    <row r="6483" spans="11:11" x14ac:dyDescent="0.2">
      <c r="K6483" s="8"/>
    </row>
    <row r="6484" spans="11:11" x14ac:dyDescent="0.2">
      <c r="K6484" s="8"/>
    </row>
    <row r="6485" spans="11:11" x14ac:dyDescent="0.2">
      <c r="K6485" s="8"/>
    </row>
    <row r="6486" spans="11:11" x14ac:dyDescent="0.2">
      <c r="K6486" s="8"/>
    </row>
    <row r="6487" spans="11:11" x14ac:dyDescent="0.2">
      <c r="K6487" s="8"/>
    </row>
    <row r="6488" spans="11:11" x14ac:dyDescent="0.2">
      <c r="K6488" s="8"/>
    </row>
    <row r="6489" spans="11:11" x14ac:dyDescent="0.2">
      <c r="K6489" s="8"/>
    </row>
    <row r="6490" spans="11:11" x14ac:dyDescent="0.2">
      <c r="K6490" s="8"/>
    </row>
    <row r="6491" spans="11:11" x14ac:dyDescent="0.2">
      <c r="K6491" s="8"/>
    </row>
    <row r="6492" spans="11:11" x14ac:dyDescent="0.2">
      <c r="K6492" s="8"/>
    </row>
    <row r="6493" spans="11:11" x14ac:dyDescent="0.2">
      <c r="K6493" s="8"/>
    </row>
    <row r="6494" spans="11:11" x14ac:dyDescent="0.2">
      <c r="K6494" s="8"/>
    </row>
    <row r="6495" spans="11:11" x14ac:dyDescent="0.2">
      <c r="K6495" s="8"/>
    </row>
    <row r="6496" spans="11:11" x14ac:dyDescent="0.2">
      <c r="K6496" s="8"/>
    </row>
    <row r="6497" spans="11:11" x14ac:dyDescent="0.2">
      <c r="K6497" s="8"/>
    </row>
    <row r="6498" spans="11:11" x14ac:dyDescent="0.2">
      <c r="K6498" s="8"/>
    </row>
    <row r="6499" spans="11:11" x14ac:dyDescent="0.2">
      <c r="K6499" s="8"/>
    </row>
    <row r="6500" spans="11:11" x14ac:dyDescent="0.2">
      <c r="K6500" s="8"/>
    </row>
    <row r="6501" spans="11:11" x14ac:dyDescent="0.2">
      <c r="K6501" s="8"/>
    </row>
    <row r="6502" spans="11:11" x14ac:dyDescent="0.2">
      <c r="K6502" s="8"/>
    </row>
    <row r="6503" spans="11:11" x14ac:dyDescent="0.2">
      <c r="K6503" s="8"/>
    </row>
    <row r="6504" spans="11:11" x14ac:dyDescent="0.2">
      <c r="K6504" s="8"/>
    </row>
    <row r="6505" spans="11:11" x14ac:dyDescent="0.2">
      <c r="K6505" s="8"/>
    </row>
    <row r="6506" spans="11:11" x14ac:dyDescent="0.2">
      <c r="K6506" s="8"/>
    </row>
    <row r="6507" spans="11:11" x14ac:dyDescent="0.2">
      <c r="K6507" s="8"/>
    </row>
    <row r="6508" spans="11:11" x14ac:dyDescent="0.2">
      <c r="K6508" s="8"/>
    </row>
    <row r="6509" spans="11:11" x14ac:dyDescent="0.2">
      <c r="K6509" s="8"/>
    </row>
    <row r="6510" spans="11:11" x14ac:dyDescent="0.2">
      <c r="K6510" s="8"/>
    </row>
    <row r="6511" spans="11:11" x14ac:dyDescent="0.2">
      <c r="K6511" s="8"/>
    </row>
    <row r="6512" spans="11:11" x14ac:dyDescent="0.2">
      <c r="K6512" s="8"/>
    </row>
    <row r="6513" spans="11:11" x14ac:dyDescent="0.2">
      <c r="K6513" s="8"/>
    </row>
    <row r="6514" spans="11:11" x14ac:dyDescent="0.2">
      <c r="K6514" s="8"/>
    </row>
    <row r="6515" spans="11:11" x14ac:dyDescent="0.2">
      <c r="K6515" s="8"/>
    </row>
    <row r="6516" spans="11:11" x14ac:dyDescent="0.2">
      <c r="K6516" s="8"/>
    </row>
    <row r="6517" spans="11:11" x14ac:dyDescent="0.2">
      <c r="K6517" s="8"/>
    </row>
    <row r="6518" spans="11:11" x14ac:dyDescent="0.2">
      <c r="K6518" s="8"/>
    </row>
    <row r="6519" spans="11:11" x14ac:dyDescent="0.2">
      <c r="K6519" s="8"/>
    </row>
    <row r="6520" spans="11:11" x14ac:dyDescent="0.2">
      <c r="K6520" s="8"/>
    </row>
    <row r="6521" spans="11:11" x14ac:dyDescent="0.2">
      <c r="K6521" s="8"/>
    </row>
    <row r="6522" spans="11:11" x14ac:dyDescent="0.2">
      <c r="K6522" s="8"/>
    </row>
    <row r="6523" spans="11:11" x14ac:dyDescent="0.2">
      <c r="K6523" s="8"/>
    </row>
    <row r="6524" spans="11:11" x14ac:dyDescent="0.2">
      <c r="K6524" s="8"/>
    </row>
    <row r="6525" spans="11:11" x14ac:dyDescent="0.2">
      <c r="K6525" s="8"/>
    </row>
    <row r="6526" spans="11:11" x14ac:dyDescent="0.2">
      <c r="K6526" s="8"/>
    </row>
    <row r="6527" spans="11:11" x14ac:dyDescent="0.2">
      <c r="K6527" s="8"/>
    </row>
    <row r="6528" spans="11:11" x14ac:dyDescent="0.2">
      <c r="K6528" s="8"/>
    </row>
    <row r="6529" spans="11:11" x14ac:dyDescent="0.2">
      <c r="K6529" s="8"/>
    </row>
    <row r="6530" spans="11:11" x14ac:dyDescent="0.2">
      <c r="K6530" s="8"/>
    </row>
    <row r="6531" spans="11:11" x14ac:dyDescent="0.2">
      <c r="K6531" s="8"/>
    </row>
    <row r="6532" spans="11:11" x14ac:dyDescent="0.2">
      <c r="K6532" s="8"/>
    </row>
    <row r="6533" spans="11:11" x14ac:dyDescent="0.2">
      <c r="K6533" s="8"/>
    </row>
    <row r="6534" spans="11:11" x14ac:dyDescent="0.2">
      <c r="K6534" s="8"/>
    </row>
    <row r="6535" spans="11:11" x14ac:dyDescent="0.2">
      <c r="K6535" s="8"/>
    </row>
    <row r="6536" spans="11:11" x14ac:dyDescent="0.2">
      <c r="K6536" s="8"/>
    </row>
    <row r="6537" spans="11:11" x14ac:dyDescent="0.2">
      <c r="K6537" s="8"/>
    </row>
    <row r="6538" spans="11:11" x14ac:dyDescent="0.2">
      <c r="K6538" s="8"/>
    </row>
    <row r="6539" spans="11:11" x14ac:dyDescent="0.2">
      <c r="K6539" s="8"/>
    </row>
    <row r="6540" spans="11:11" x14ac:dyDescent="0.2">
      <c r="K6540" s="8"/>
    </row>
    <row r="6541" spans="11:11" x14ac:dyDescent="0.2">
      <c r="K6541" s="8"/>
    </row>
    <row r="6542" spans="11:11" x14ac:dyDescent="0.2">
      <c r="K6542" s="8"/>
    </row>
    <row r="6543" spans="11:11" x14ac:dyDescent="0.2">
      <c r="K6543" s="8"/>
    </row>
    <row r="6544" spans="11:11" x14ac:dyDescent="0.2">
      <c r="K6544" s="8"/>
    </row>
    <row r="6545" spans="11:11" x14ac:dyDescent="0.2">
      <c r="K6545" s="8"/>
    </row>
    <row r="6546" spans="11:11" x14ac:dyDescent="0.2">
      <c r="K6546" s="8"/>
    </row>
    <row r="6547" spans="11:11" x14ac:dyDescent="0.2">
      <c r="K6547" s="8"/>
    </row>
    <row r="6548" spans="11:11" x14ac:dyDescent="0.2">
      <c r="K6548" s="8"/>
    </row>
    <row r="6549" spans="11:11" x14ac:dyDescent="0.2">
      <c r="K6549" s="8"/>
    </row>
    <row r="6550" spans="11:11" x14ac:dyDescent="0.2">
      <c r="K6550" s="8"/>
    </row>
    <row r="6551" spans="11:11" x14ac:dyDescent="0.2">
      <c r="K6551" s="8"/>
    </row>
    <row r="6552" spans="11:11" x14ac:dyDescent="0.2">
      <c r="K6552" s="8"/>
    </row>
    <row r="6553" spans="11:11" x14ac:dyDescent="0.2">
      <c r="K6553" s="8"/>
    </row>
    <row r="6554" spans="11:11" x14ac:dyDescent="0.2">
      <c r="K6554" s="8"/>
    </row>
    <row r="6555" spans="11:11" x14ac:dyDescent="0.2">
      <c r="K6555" s="8"/>
    </row>
    <row r="6556" spans="11:11" x14ac:dyDescent="0.2">
      <c r="K6556" s="8"/>
    </row>
    <row r="6557" spans="11:11" x14ac:dyDescent="0.2">
      <c r="K6557" s="8"/>
    </row>
    <row r="6558" spans="11:11" x14ac:dyDescent="0.2">
      <c r="K6558" s="8"/>
    </row>
    <row r="6559" spans="11:11" x14ac:dyDescent="0.2">
      <c r="K6559" s="8"/>
    </row>
    <row r="6560" spans="11:11" x14ac:dyDescent="0.2">
      <c r="K6560" s="8"/>
    </row>
    <row r="6561" spans="11:11" x14ac:dyDescent="0.2">
      <c r="K6561" s="8"/>
    </row>
    <row r="6562" spans="11:11" x14ac:dyDescent="0.2">
      <c r="K6562" s="8"/>
    </row>
    <row r="6563" spans="11:11" x14ac:dyDescent="0.2">
      <c r="K6563" s="8"/>
    </row>
    <row r="6564" spans="11:11" x14ac:dyDescent="0.2">
      <c r="K6564" s="8"/>
    </row>
    <row r="6565" spans="11:11" x14ac:dyDescent="0.2">
      <c r="K6565" s="8"/>
    </row>
    <row r="6566" spans="11:11" x14ac:dyDescent="0.2">
      <c r="K6566" s="8"/>
    </row>
    <row r="6567" spans="11:11" x14ac:dyDescent="0.2">
      <c r="K6567" s="8"/>
    </row>
    <row r="6568" spans="11:11" x14ac:dyDescent="0.2">
      <c r="K6568" s="8"/>
    </row>
    <row r="6569" spans="11:11" x14ac:dyDescent="0.2">
      <c r="K6569" s="8"/>
    </row>
    <row r="6570" spans="11:11" x14ac:dyDescent="0.2">
      <c r="K6570" s="8"/>
    </row>
    <row r="6571" spans="11:11" x14ac:dyDescent="0.2">
      <c r="K6571" s="8"/>
    </row>
    <row r="6572" spans="11:11" x14ac:dyDescent="0.2">
      <c r="K6572" s="8"/>
    </row>
    <row r="6573" spans="11:11" x14ac:dyDescent="0.2">
      <c r="K6573" s="8"/>
    </row>
    <row r="6574" spans="11:11" x14ac:dyDescent="0.2">
      <c r="K6574" s="8"/>
    </row>
    <row r="6575" spans="11:11" x14ac:dyDescent="0.2">
      <c r="K6575" s="8"/>
    </row>
    <row r="6576" spans="11:11" x14ac:dyDescent="0.2">
      <c r="K6576" s="8"/>
    </row>
    <row r="6577" spans="11:11" x14ac:dyDescent="0.2">
      <c r="K6577" s="8"/>
    </row>
    <row r="6578" spans="11:11" x14ac:dyDescent="0.2">
      <c r="K6578" s="8"/>
    </row>
    <row r="6579" spans="11:11" x14ac:dyDescent="0.2">
      <c r="K6579" s="8"/>
    </row>
    <row r="6580" spans="11:11" x14ac:dyDescent="0.2">
      <c r="K6580" s="8"/>
    </row>
    <row r="6581" spans="11:11" x14ac:dyDescent="0.2">
      <c r="K6581" s="8"/>
    </row>
    <row r="6582" spans="11:11" x14ac:dyDescent="0.2">
      <c r="K6582" s="8"/>
    </row>
    <row r="6583" spans="11:11" x14ac:dyDescent="0.2">
      <c r="K6583" s="8"/>
    </row>
    <row r="6584" spans="11:11" x14ac:dyDescent="0.2">
      <c r="K6584" s="8"/>
    </row>
    <row r="6585" spans="11:11" x14ac:dyDescent="0.2">
      <c r="K6585" s="8"/>
    </row>
    <row r="6586" spans="11:11" x14ac:dyDescent="0.2">
      <c r="K6586" s="8"/>
    </row>
    <row r="6587" spans="11:11" x14ac:dyDescent="0.2">
      <c r="K6587" s="8"/>
    </row>
    <row r="6588" spans="11:11" x14ac:dyDescent="0.2">
      <c r="K6588" s="8"/>
    </row>
    <row r="6589" spans="11:11" x14ac:dyDescent="0.2">
      <c r="K6589" s="8"/>
    </row>
    <row r="6590" spans="11:11" x14ac:dyDescent="0.2">
      <c r="K6590" s="8"/>
    </row>
    <row r="6591" spans="11:11" x14ac:dyDescent="0.2">
      <c r="K6591" s="8"/>
    </row>
    <row r="6592" spans="11:11" x14ac:dyDescent="0.2">
      <c r="K6592" s="8"/>
    </row>
    <row r="6593" spans="11:11" x14ac:dyDescent="0.2">
      <c r="K6593" s="8"/>
    </row>
    <row r="6594" spans="11:11" x14ac:dyDescent="0.2">
      <c r="K6594" s="8"/>
    </row>
    <row r="6595" spans="11:11" x14ac:dyDescent="0.2">
      <c r="K6595" s="8"/>
    </row>
    <row r="6596" spans="11:11" x14ac:dyDescent="0.2">
      <c r="K6596" s="8"/>
    </row>
    <row r="6597" spans="11:11" x14ac:dyDescent="0.2">
      <c r="K6597" s="8"/>
    </row>
    <row r="6598" spans="11:11" x14ac:dyDescent="0.2">
      <c r="K6598" s="8"/>
    </row>
    <row r="6599" spans="11:11" x14ac:dyDescent="0.2">
      <c r="K6599" s="8"/>
    </row>
    <row r="6600" spans="11:11" x14ac:dyDescent="0.2">
      <c r="K6600" s="8"/>
    </row>
    <row r="6601" spans="11:11" x14ac:dyDescent="0.2">
      <c r="K6601" s="8"/>
    </row>
    <row r="6602" spans="11:11" x14ac:dyDescent="0.2">
      <c r="K6602" s="8"/>
    </row>
    <row r="6603" spans="11:11" x14ac:dyDescent="0.2">
      <c r="K6603" s="8"/>
    </row>
    <row r="6604" spans="11:11" x14ac:dyDescent="0.2">
      <c r="K6604" s="8"/>
    </row>
    <row r="6605" spans="11:11" x14ac:dyDescent="0.2">
      <c r="K6605" s="8"/>
    </row>
    <row r="6606" spans="11:11" x14ac:dyDescent="0.2">
      <c r="K6606" s="8"/>
    </row>
    <row r="6607" spans="11:11" x14ac:dyDescent="0.2">
      <c r="K6607" s="8"/>
    </row>
    <row r="6608" spans="11:11" x14ac:dyDescent="0.2">
      <c r="K6608" s="8"/>
    </row>
    <row r="6609" spans="11:11" x14ac:dyDescent="0.2">
      <c r="K6609" s="8"/>
    </row>
    <row r="6610" spans="11:11" x14ac:dyDescent="0.2">
      <c r="K6610" s="8"/>
    </row>
    <row r="6611" spans="11:11" x14ac:dyDescent="0.2">
      <c r="K6611" s="8"/>
    </row>
    <row r="6612" spans="11:11" x14ac:dyDescent="0.2">
      <c r="K6612" s="8"/>
    </row>
    <row r="6613" spans="11:11" x14ac:dyDescent="0.2">
      <c r="K6613" s="8"/>
    </row>
    <row r="6614" spans="11:11" x14ac:dyDescent="0.2">
      <c r="K6614" s="8"/>
    </row>
    <row r="6615" spans="11:11" x14ac:dyDescent="0.2">
      <c r="K6615" s="8"/>
    </row>
    <row r="6616" spans="11:11" x14ac:dyDescent="0.2">
      <c r="K6616" s="8"/>
    </row>
    <row r="6617" spans="11:11" x14ac:dyDescent="0.2">
      <c r="K6617" s="8"/>
    </row>
    <row r="6618" spans="11:11" x14ac:dyDescent="0.2">
      <c r="K6618" s="8"/>
    </row>
    <row r="6619" spans="11:11" x14ac:dyDescent="0.2">
      <c r="K6619" s="8"/>
    </row>
    <row r="6620" spans="11:11" x14ac:dyDescent="0.2">
      <c r="K6620" s="8"/>
    </row>
    <row r="6621" spans="11:11" x14ac:dyDescent="0.2">
      <c r="K6621" s="8"/>
    </row>
    <row r="6622" spans="11:11" x14ac:dyDescent="0.2">
      <c r="K6622" s="8"/>
    </row>
    <row r="6623" spans="11:11" x14ac:dyDescent="0.2">
      <c r="K6623" s="8"/>
    </row>
    <row r="6624" spans="11:11" x14ac:dyDescent="0.2">
      <c r="K6624" s="8"/>
    </row>
    <row r="6625" spans="11:11" x14ac:dyDescent="0.2">
      <c r="K6625" s="8"/>
    </row>
    <row r="6626" spans="11:11" x14ac:dyDescent="0.2">
      <c r="K6626" s="8"/>
    </row>
    <row r="6627" spans="11:11" x14ac:dyDescent="0.2">
      <c r="K6627" s="8"/>
    </row>
    <row r="6628" spans="11:11" x14ac:dyDescent="0.2">
      <c r="K6628" s="8"/>
    </row>
    <row r="6629" spans="11:11" x14ac:dyDescent="0.2">
      <c r="K6629" s="8"/>
    </row>
    <row r="6630" spans="11:11" x14ac:dyDescent="0.2">
      <c r="K6630" s="8"/>
    </row>
    <row r="6631" spans="11:11" x14ac:dyDescent="0.2">
      <c r="K6631" s="8"/>
    </row>
    <row r="6632" spans="11:11" x14ac:dyDescent="0.2">
      <c r="K6632" s="8"/>
    </row>
    <row r="6633" spans="11:11" x14ac:dyDescent="0.2">
      <c r="K6633" s="8"/>
    </row>
    <row r="6634" spans="11:11" x14ac:dyDescent="0.2">
      <c r="K6634" s="8"/>
    </row>
    <row r="6635" spans="11:11" x14ac:dyDescent="0.2">
      <c r="K6635" s="8"/>
    </row>
    <row r="6636" spans="11:11" x14ac:dyDescent="0.2">
      <c r="K6636" s="8"/>
    </row>
    <row r="6637" spans="11:11" x14ac:dyDescent="0.2">
      <c r="K6637" s="8"/>
    </row>
    <row r="6638" spans="11:11" x14ac:dyDescent="0.2">
      <c r="K6638" s="8"/>
    </row>
    <row r="6639" spans="11:11" x14ac:dyDescent="0.2">
      <c r="K6639" s="8"/>
    </row>
    <row r="6640" spans="11:11" x14ac:dyDescent="0.2">
      <c r="K6640" s="8"/>
    </row>
    <row r="6641" spans="11:11" x14ac:dyDescent="0.2">
      <c r="K6641" s="8"/>
    </row>
    <row r="6642" spans="11:11" x14ac:dyDescent="0.2">
      <c r="K6642" s="8"/>
    </row>
    <row r="6643" spans="11:11" x14ac:dyDescent="0.2">
      <c r="K6643" s="8"/>
    </row>
    <row r="6644" spans="11:11" x14ac:dyDescent="0.2">
      <c r="K6644" s="8"/>
    </row>
    <row r="6645" spans="11:11" x14ac:dyDescent="0.2">
      <c r="K6645" s="8"/>
    </row>
    <row r="6646" spans="11:11" x14ac:dyDescent="0.2">
      <c r="K6646" s="8"/>
    </row>
    <row r="6647" spans="11:11" x14ac:dyDescent="0.2">
      <c r="K6647" s="8"/>
    </row>
    <row r="6648" spans="11:11" x14ac:dyDescent="0.2">
      <c r="K6648" s="8"/>
    </row>
    <row r="6649" spans="11:11" x14ac:dyDescent="0.2">
      <c r="K6649" s="8"/>
    </row>
    <row r="6650" spans="11:11" x14ac:dyDescent="0.2">
      <c r="K6650" s="8"/>
    </row>
    <row r="6651" spans="11:11" x14ac:dyDescent="0.2">
      <c r="K6651" s="8"/>
    </row>
    <row r="6652" spans="11:11" x14ac:dyDescent="0.2">
      <c r="K6652" s="8"/>
    </row>
    <row r="6653" spans="11:11" x14ac:dyDescent="0.2">
      <c r="K6653" s="8"/>
    </row>
    <row r="6654" spans="11:11" x14ac:dyDescent="0.2">
      <c r="K6654" s="8"/>
    </row>
    <row r="6655" spans="11:11" x14ac:dyDescent="0.2">
      <c r="K6655" s="8"/>
    </row>
    <row r="6656" spans="11:11" x14ac:dyDescent="0.2">
      <c r="K6656" s="8"/>
    </row>
    <row r="6657" spans="11:11" x14ac:dyDescent="0.2">
      <c r="K6657" s="8"/>
    </row>
    <row r="6658" spans="11:11" x14ac:dyDescent="0.2">
      <c r="K6658" s="8"/>
    </row>
    <row r="6659" spans="11:11" x14ac:dyDescent="0.2">
      <c r="K6659" s="8"/>
    </row>
    <row r="6660" spans="11:11" x14ac:dyDescent="0.2">
      <c r="K6660" s="8"/>
    </row>
    <row r="6661" spans="11:11" x14ac:dyDescent="0.2">
      <c r="K6661" s="8"/>
    </row>
    <row r="6662" spans="11:11" x14ac:dyDescent="0.2">
      <c r="K6662" s="8"/>
    </row>
    <row r="6663" spans="11:11" x14ac:dyDescent="0.2">
      <c r="K6663" s="8"/>
    </row>
    <row r="6664" spans="11:11" x14ac:dyDescent="0.2">
      <c r="K6664" s="8"/>
    </row>
    <row r="6665" spans="11:11" x14ac:dyDescent="0.2">
      <c r="K6665" s="8"/>
    </row>
    <row r="6666" spans="11:11" x14ac:dyDescent="0.2">
      <c r="K6666" s="8"/>
    </row>
    <row r="6667" spans="11:11" x14ac:dyDescent="0.2">
      <c r="K6667" s="8"/>
    </row>
    <row r="6668" spans="11:11" x14ac:dyDescent="0.2">
      <c r="K6668" s="8"/>
    </row>
    <row r="6669" spans="11:11" x14ac:dyDescent="0.2">
      <c r="K6669" s="8"/>
    </row>
    <row r="6670" spans="11:11" x14ac:dyDescent="0.2">
      <c r="K6670" s="8"/>
    </row>
    <row r="6671" spans="11:11" x14ac:dyDescent="0.2">
      <c r="K6671" s="8"/>
    </row>
    <row r="6672" spans="11:11" x14ac:dyDescent="0.2">
      <c r="K6672" s="8"/>
    </row>
    <row r="6673" spans="11:11" x14ac:dyDescent="0.2">
      <c r="K6673" s="8"/>
    </row>
    <row r="6674" spans="11:11" x14ac:dyDescent="0.2">
      <c r="K6674" s="8"/>
    </row>
    <row r="6675" spans="11:11" x14ac:dyDescent="0.2">
      <c r="K6675" s="8"/>
    </row>
    <row r="6676" spans="11:11" x14ac:dyDescent="0.2">
      <c r="K6676" s="8"/>
    </row>
    <row r="6677" spans="11:11" x14ac:dyDescent="0.2">
      <c r="K6677" s="8"/>
    </row>
    <row r="6678" spans="11:11" x14ac:dyDescent="0.2">
      <c r="K6678" s="8"/>
    </row>
    <row r="6679" spans="11:11" x14ac:dyDescent="0.2">
      <c r="K6679" s="8"/>
    </row>
    <row r="6680" spans="11:11" x14ac:dyDescent="0.2">
      <c r="K6680" s="8"/>
    </row>
    <row r="6681" spans="11:11" x14ac:dyDescent="0.2">
      <c r="K6681" s="8"/>
    </row>
    <row r="6682" spans="11:11" x14ac:dyDescent="0.2">
      <c r="K6682" s="8"/>
    </row>
    <row r="6683" spans="11:11" x14ac:dyDescent="0.2">
      <c r="K6683" s="8"/>
    </row>
    <row r="6684" spans="11:11" x14ac:dyDescent="0.2">
      <c r="K6684" s="8"/>
    </row>
    <row r="6685" spans="11:11" x14ac:dyDescent="0.2">
      <c r="K6685" s="8"/>
    </row>
    <row r="6686" spans="11:11" x14ac:dyDescent="0.2">
      <c r="K6686" s="8"/>
    </row>
    <row r="6687" spans="11:11" x14ac:dyDescent="0.2">
      <c r="K6687" s="8"/>
    </row>
    <row r="6688" spans="11:11" x14ac:dyDescent="0.2">
      <c r="K6688" s="8"/>
    </row>
    <row r="6689" spans="11:11" x14ac:dyDescent="0.2">
      <c r="K6689" s="8"/>
    </row>
    <row r="6690" spans="11:11" x14ac:dyDescent="0.2">
      <c r="K6690" s="8"/>
    </row>
    <row r="6691" spans="11:11" x14ac:dyDescent="0.2">
      <c r="K6691" s="8"/>
    </row>
    <row r="6692" spans="11:11" x14ac:dyDescent="0.2">
      <c r="K6692" s="8"/>
    </row>
    <row r="6693" spans="11:11" x14ac:dyDescent="0.2">
      <c r="K6693" s="8"/>
    </row>
    <row r="6694" spans="11:11" x14ac:dyDescent="0.2">
      <c r="K6694" s="8"/>
    </row>
    <row r="6695" spans="11:11" x14ac:dyDescent="0.2">
      <c r="K6695" s="8"/>
    </row>
    <row r="6696" spans="11:11" x14ac:dyDescent="0.2">
      <c r="K6696" s="8"/>
    </row>
    <row r="6697" spans="11:11" x14ac:dyDescent="0.2">
      <c r="K6697" s="8"/>
    </row>
    <row r="6698" spans="11:11" x14ac:dyDescent="0.2">
      <c r="K6698" s="8"/>
    </row>
    <row r="6699" spans="11:11" x14ac:dyDescent="0.2">
      <c r="K6699" s="8"/>
    </row>
    <row r="6700" spans="11:11" x14ac:dyDescent="0.2">
      <c r="K6700" s="8"/>
    </row>
    <row r="6701" spans="11:11" x14ac:dyDescent="0.2">
      <c r="K6701" s="8"/>
    </row>
    <row r="6702" spans="11:11" x14ac:dyDescent="0.2">
      <c r="K6702" s="8"/>
    </row>
    <row r="6703" spans="11:11" x14ac:dyDescent="0.2">
      <c r="K6703" s="8"/>
    </row>
    <row r="6704" spans="11:11" x14ac:dyDescent="0.2">
      <c r="K6704" s="8"/>
    </row>
    <row r="6705" spans="11:11" x14ac:dyDescent="0.2">
      <c r="K6705" s="8"/>
    </row>
    <row r="6706" spans="11:11" x14ac:dyDescent="0.2">
      <c r="K6706" s="8"/>
    </row>
    <row r="6707" spans="11:11" x14ac:dyDescent="0.2">
      <c r="K6707" s="8"/>
    </row>
    <row r="6708" spans="11:11" x14ac:dyDescent="0.2">
      <c r="K6708" s="8"/>
    </row>
    <row r="6709" spans="11:11" x14ac:dyDescent="0.2">
      <c r="K6709" s="8"/>
    </row>
    <row r="6710" spans="11:11" x14ac:dyDescent="0.2">
      <c r="K6710" s="8"/>
    </row>
    <row r="6711" spans="11:11" x14ac:dyDescent="0.2">
      <c r="K6711" s="8"/>
    </row>
    <row r="6712" spans="11:11" x14ac:dyDescent="0.2">
      <c r="K6712" s="8"/>
    </row>
    <row r="6713" spans="11:11" x14ac:dyDescent="0.2">
      <c r="K6713" s="8"/>
    </row>
    <row r="6714" spans="11:11" x14ac:dyDescent="0.2">
      <c r="K6714" s="8"/>
    </row>
    <row r="6715" spans="11:11" x14ac:dyDescent="0.2">
      <c r="K6715" s="8"/>
    </row>
    <row r="6716" spans="11:11" x14ac:dyDescent="0.2">
      <c r="K6716" s="8"/>
    </row>
    <row r="6717" spans="11:11" x14ac:dyDescent="0.2">
      <c r="K6717" s="8"/>
    </row>
    <row r="6718" spans="11:11" x14ac:dyDescent="0.2">
      <c r="K6718" s="8"/>
    </row>
    <row r="6719" spans="11:11" x14ac:dyDescent="0.2">
      <c r="K6719" s="8"/>
    </row>
    <row r="6720" spans="11:11" x14ac:dyDescent="0.2">
      <c r="K6720" s="8"/>
    </row>
    <row r="6721" spans="11:11" x14ac:dyDescent="0.2">
      <c r="K6721" s="8"/>
    </row>
    <row r="6722" spans="11:11" x14ac:dyDescent="0.2">
      <c r="K6722" s="8"/>
    </row>
    <row r="6723" spans="11:11" x14ac:dyDescent="0.2">
      <c r="K6723" s="8"/>
    </row>
    <row r="6724" spans="11:11" x14ac:dyDescent="0.2">
      <c r="K6724" s="8"/>
    </row>
    <row r="6725" spans="11:11" x14ac:dyDescent="0.2">
      <c r="K6725" s="8"/>
    </row>
    <row r="6726" spans="11:11" x14ac:dyDescent="0.2">
      <c r="K6726" s="8"/>
    </row>
    <row r="6727" spans="11:11" x14ac:dyDescent="0.2">
      <c r="K6727" s="8"/>
    </row>
    <row r="6728" spans="11:11" x14ac:dyDescent="0.2">
      <c r="K6728" s="8"/>
    </row>
    <row r="6729" spans="11:11" x14ac:dyDescent="0.2">
      <c r="K6729" s="8"/>
    </row>
    <row r="6730" spans="11:11" x14ac:dyDescent="0.2">
      <c r="K6730" s="8"/>
    </row>
    <row r="6731" spans="11:11" x14ac:dyDescent="0.2">
      <c r="K6731" s="8"/>
    </row>
    <row r="6732" spans="11:11" x14ac:dyDescent="0.2">
      <c r="K6732" s="8"/>
    </row>
    <row r="6733" spans="11:11" x14ac:dyDescent="0.2">
      <c r="K6733" s="8"/>
    </row>
    <row r="6734" spans="11:11" x14ac:dyDescent="0.2">
      <c r="K6734" s="8"/>
    </row>
    <row r="6735" spans="11:11" x14ac:dyDescent="0.2">
      <c r="K6735" s="8"/>
    </row>
    <row r="6736" spans="11:11" x14ac:dyDescent="0.2">
      <c r="K6736" s="8"/>
    </row>
    <row r="6737" spans="11:11" x14ac:dyDescent="0.2">
      <c r="K6737" s="8"/>
    </row>
    <row r="6738" spans="11:11" x14ac:dyDescent="0.2">
      <c r="K6738" s="8"/>
    </row>
    <row r="6739" spans="11:11" x14ac:dyDescent="0.2">
      <c r="K6739" s="8"/>
    </row>
    <row r="6740" spans="11:11" x14ac:dyDescent="0.2">
      <c r="K6740" s="8"/>
    </row>
    <row r="6741" spans="11:11" x14ac:dyDescent="0.2">
      <c r="K6741" s="8"/>
    </row>
    <row r="6742" spans="11:11" x14ac:dyDescent="0.2">
      <c r="K6742" s="8"/>
    </row>
    <row r="6743" spans="11:11" x14ac:dyDescent="0.2">
      <c r="K6743" s="8"/>
    </row>
    <row r="6744" spans="11:11" x14ac:dyDescent="0.2">
      <c r="K6744" s="8"/>
    </row>
    <row r="6745" spans="11:11" x14ac:dyDescent="0.2">
      <c r="K6745" s="8"/>
    </row>
    <row r="6746" spans="11:11" x14ac:dyDescent="0.2">
      <c r="K6746" s="8"/>
    </row>
    <row r="6747" spans="11:11" x14ac:dyDescent="0.2">
      <c r="K6747" s="8"/>
    </row>
    <row r="6748" spans="11:11" x14ac:dyDescent="0.2">
      <c r="K6748" s="8"/>
    </row>
    <row r="6749" spans="11:11" x14ac:dyDescent="0.2">
      <c r="K6749" s="8"/>
    </row>
    <row r="6750" spans="11:11" x14ac:dyDescent="0.2">
      <c r="K6750" s="8"/>
    </row>
    <row r="6751" spans="11:11" x14ac:dyDescent="0.2">
      <c r="K6751" s="8"/>
    </row>
    <row r="6752" spans="11:11" x14ac:dyDescent="0.2">
      <c r="K6752" s="8"/>
    </row>
    <row r="6753" spans="11:11" x14ac:dyDescent="0.2">
      <c r="K6753" s="8"/>
    </row>
    <row r="6754" spans="11:11" x14ac:dyDescent="0.2">
      <c r="K6754" s="8"/>
    </row>
    <row r="6755" spans="11:11" x14ac:dyDescent="0.2">
      <c r="K6755" s="8"/>
    </row>
    <row r="6756" spans="11:11" x14ac:dyDescent="0.2">
      <c r="K6756" s="8"/>
    </row>
    <row r="6757" spans="11:11" x14ac:dyDescent="0.2">
      <c r="K6757" s="8"/>
    </row>
    <row r="6758" spans="11:11" x14ac:dyDescent="0.2">
      <c r="K6758" s="8"/>
    </row>
    <row r="6759" spans="11:11" x14ac:dyDescent="0.2">
      <c r="K6759" s="8"/>
    </row>
    <row r="6760" spans="11:11" x14ac:dyDescent="0.2">
      <c r="K6760" s="8"/>
    </row>
    <row r="6761" spans="11:11" x14ac:dyDescent="0.2">
      <c r="K6761" s="8"/>
    </row>
    <row r="6762" spans="11:11" x14ac:dyDescent="0.2">
      <c r="K6762" s="8"/>
    </row>
    <row r="6763" spans="11:11" x14ac:dyDescent="0.2">
      <c r="K6763" s="8"/>
    </row>
    <row r="6764" spans="11:11" x14ac:dyDescent="0.2">
      <c r="K6764" s="8"/>
    </row>
    <row r="6765" spans="11:11" x14ac:dyDescent="0.2">
      <c r="K6765" s="8"/>
    </row>
    <row r="6766" spans="11:11" x14ac:dyDescent="0.2">
      <c r="K6766" s="8"/>
    </row>
    <row r="6767" spans="11:11" x14ac:dyDescent="0.2">
      <c r="K6767" s="8"/>
    </row>
    <row r="6768" spans="11:11" x14ac:dyDescent="0.2">
      <c r="K6768" s="8"/>
    </row>
    <row r="6769" spans="11:11" x14ac:dyDescent="0.2">
      <c r="K6769" s="8"/>
    </row>
    <row r="6770" spans="11:11" x14ac:dyDescent="0.2">
      <c r="K6770" s="8"/>
    </row>
    <row r="6771" spans="11:11" x14ac:dyDescent="0.2">
      <c r="K6771" s="8"/>
    </row>
    <row r="6772" spans="11:11" x14ac:dyDescent="0.2">
      <c r="K6772" s="8"/>
    </row>
    <row r="6773" spans="11:11" x14ac:dyDescent="0.2">
      <c r="K6773" s="8"/>
    </row>
    <row r="6774" spans="11:11" x14ac:dyDescent="0.2">
      <c r="K6774" s="8"/>
    </row>
    <row r="6775" spans="11:11" x14ac:dyDescent="0.2">
      <c r="K6775" s="8"/>
    </row>
    <row r="6776" spans="11:11" x14ac:dyDescent="0.2">
      <c r="K6776" s="8"/>
    </row>
    <row r="6777" spans="11:11" x14ac:dyDescent="0.2">
      <c r="K6777" s="8"/>
    </row>
    <row r="6778" spans="11:11" x14ac:dyDescent="0.2">
      <c r="K6778" s="8"/>
    </row>
    <row r="6779" spans="11:11" x14ac:dyDescent="0.2">
      <c r="K6779" s="8"/>
    </row>
    <row r="6780" spans="11:11" x14ac:dyDescent="0.2">
      <c r="K6780" s="8"/>
    </row>
    <row r="6781" spans="11:11" x14ac:dyDescent="0.2">
      <c r="K6781" s="8"/>
    </row>
    <row r="6782" spans="11:11" x14ac:dyDescent="0.2">
      <c r="K6782" s="8"/>
    </row>
    <row r="6783" spans="11:11" x14ac:dyDescent="0.2">
      <c r="K6783" s="8"/>
    </row>
    <row r="6784" spans="11:11" x14ac:dyDescent="0.2">
      <c r="K6784" s="8"/>
    </row>
    <row r="6785" spans="11:11" x14ac:dyDescent="0.2">
      <c r="K6785" s="8"/>
    </row>
    <row r="6786" spans="11:11" x14ac:dyDescent="0.2">
      <c r="K6786" s="8"/>
    </row>
    <row r="6787" spans="11:11" x14ac:dyDescent="0.2">
      <c r="K6787" s="8"/>
    </row>
    <row r="6788" spans="11:11" x14ac:dyDescent="0.2">
      <c r="K6788" s="8"/>
    </row>
    <row r="6789" spans="11:11" x14ac:dyDescent="0.2">
      <c r="K6789" s="8"/>
    </row>
    <row r="6790" spans="11:11" x14ac:dyDescent="0.2">
      <c r="K6790" s="8"/>
    </row>
    <row r="6791" spans="11:11" x14ac:dyDescent="0.2">
      <c r="K6791" s="8"/>
    </row>
    <row r="6792" spans="11:11" x14ac:dyDescent="0.2">
      <c r="K6792" s="8"/>
    </row>
    <row r="6793" spans="11:11" x14ac:dyDescent="0.2">
      <c r="K6793" s="8"/>
    </row>
    <row r="6794" spans="11:11" x14ac:dyDescent="0.2">
      <c r="K6794" s="8"/>
    </row>
    <row r="6795" spans="11:11" x14ac:dyDescent="0.2">
      <c r="K6795" s="8"/>
    </row>
    <row r="6796" spans="11:11" x14ac:dyDescent="0.2">
      <c r="K6796" s="8"/>
    </row>
    <row r="6797" spans="11:11" x14ac:dyDescent="0.2">
      <c r="K6797" s="8"/>
    </row>
    <row r="6798" spans="11:11" x14ac:dyDescent="0.2">
      <c r="K6798" s="8"/>
    </row>
    <row r="6799" spans="11:11" x14ac:dyDescent="0.2">
      <c r="K6799" s="8"/>
    </row>
    <row r="6800" spans="11:11" x14ac:dyDescent="0.2">
      <c r="K6800" s="8"/>
    </row>
    <row r="6801" spans="11:11" x14ac:dyDescent="0.2">
      <c r="K6801" s="8"/>
    </row>
    <row r="6802" spans="11:11" x14ac:dyDescent="0.2">
      <c r="K6802" s="8"/>
    </row>
    <row r="6803" spans="11:11" x14ac:dyDescent="0.2">
      <c r="K6803" s="8"/>
    </row>
    <row r="6804" spans="11:11" x14ac:dyDescent="0.2">
      <c r="K6804" s="8"/>
    </row>
    <row r="6805" spans="11:11" x14ac:dyDescent="0.2">
      <c r="K6805" s="8"/>
    </row>
    <row r="6806" spans="11:11" x14ac:dyDescent="0.2">
      <c r="K6806" s="8"/>
    </row>
    <row r="6807" spans="11:11" x14ac:dyDescent="0.2">
      <c r="K6807" s="8"/>
    </row>
    <row r="6808" spans="11:11" x14ac:dyDescent="0.2">
      <c r="K6808" s="8"/>
    </row>
    <row r="6809" spans="11:11" x14ac:dyDescent="0.2">
      <c r="K6809" s="8"/>
    </row>
    <row r="6810" spans="11:11" x14ac:dyDescent="0.2">
      <c r="K6810" s="8"/>
    </row>
    <row r="6811" spans="11:11" x14ac:dyDescent="0.2">
      <c r="K6811" s="8"/>
    </row>
    <row r="6812" spans="11:11" x14ac:dyDescent="0.2">
      <c r="K6812" s="8"/>
    </row>
    <row r="6813" spans="11:11" x14ac:dyDescent="0.2">
      <c r="K6813" s="8"/>
    </row>
    <row r="6814" spans="11:11" x14ac:dyDescent="0.2">
      <c r="K6814" s="8"/>
    </row>
    <row r="6815" spans="11:11" x14ac:dyDescent="0.2">
      <c r="K6815" s="8"/>
    </row>
    <row r="6816" spans="11:11" x14ac:dyDescent="0.2">
      <c r="K6816" s="8"/>
    </row>
    <row r="6817" spans="11:11" x14ac:dyDescent="0.2">
      <c r="K6817" s="8"/>
    </row>
    <row r="6818" spans="11:11" x14ac:dyDescent="0.2">
      <c r="K6818" s="8"/>
    </row>
    <row r="6819" spans="11:11" x14ac:dyDescent="0.2">
      <c r="K6819" s="8"/>
    </row>
    <row r="6820" spans="11:11" x14ac:dyDescent="0.2">
      <c r="K6820" s="8"/>
    </row>
    <row r="6821" spans="11:11" x14ac:dyDescent="0.2">
      <c r="K6821" s="8"/>
    </row>
    <row r="6822" spans="11:11" x14ac:dyDescent="0.2">
      <c r="K6822" s="8"/>
    </row>
    <row r="6823" spans="11:11" x14ac:dyDescent="0.2">
      <c r="K6823" s="8"/>
    </row>
    <row r="6824" spans="11:11" x14ac:dyDescent="0.2">
      <c r="K6824" s="8"/>
    </row>
    <row r="6825" spans="11:11" x14ac:dyDescent="0.2">
      <c r="K6825" s="8"/>
    </row>
    <row r="6826" spans="11:11" x14ac:dyDescent="0.2">
      <c r="K6826" s="8"/>
    </row>
    <row r="6827" spans="11:11" x14ac:dyDescent="0.2">
      <c r="K6827" s="8"/>
    </row>
    <row r="6828" spans="11:11" x14ac:dyDescent="0.2">
      <c r="K6828" s="8"/>
    </row>
    <row r="6829" spans="11:11" x14ac:dyDescent="0.2">
      <c r="K6829" s="8"/>
    </row>
    <row r="6830" spans="11:11" x14ac:dyDescent="0.2">
      <c r="K6830" s="8"/>
    </row>
    <row r="6831" spans="11:11" x14ac:dyDescent="0.2">
      <c r="K6831" s="8"/>
    </row>
    <row r="6832" spans="11:11" x14ac:dyDescent="0.2">
      <c r="K6832" s="8"/>
    </row>
    <row r="6833" spans="11:11" x14ac:dyDescent="0.2">
      <c r="K6833" s="8"/>
    </row>
    <row r="6834" spans="11:11" x14ac:dyDescent="0.2">
      <c r="K6834" s="8"/>
    </row>
    <row r="6835" spans="11:11" x14ac:dyDescent="0.2">
      <c r="K6835" s="8"/>
    </row>
    <row r="6836" spans="11:11" x14ac:dyDescent="0.2">
      <c r="K6836" s="8"/>
    </row>
    <row r="6837" spans="11:11" x14ac:dyDescent="0.2">
      <c r="K6837" s="8"/>
    </row>
    <row r="6838" spans="11:11" x14ac:dyDescent="0.2">
      <c r="K6838" s="8"/>
    </row>
    <row r="6839" spans="11:11" x14ac:dyDescent="0.2">
      <c r="K6839" s="8"/>
    </row>
    <row r="6840" spans="11:11" x14ac:dyDescent="0.2">
      <c r="K6840" s="8"/>
    </row>
    <row r="6841" spans="11:11" x14ac:dyDescent="0.2">
      <c r="K6841" s="8"/>
    </row>
    <row r="6842" spans="11:11" x14ac:dyDescent="0.2">
      <c r="K6842" s="8"/>
    </row>
    <row r="6843" spans="11:11" x14ac:dyDescent="0.2">
      <c r="K6843" s="8"/>
    </row>
    <row r="6844" spans="11:11" x14ac:dyDescent="0.2">
      <c r="K6844" s="8"/>
    </row>
    <row r="6845" spans="11:11" x14ac:dyDescent="0.2">
      <c r="K6845" s="8"/>
    </row>
    <row r="6846" spans="11:11" x14ac:dyDescent="0.2">
      <c r="K6846" s="8"/>
    </row>
    <row r="6847" spans="11:11" x14ac:dyDescent="0.2">
      <c r="K6847" s="8"/>
    </row>
    <row r="6848" spans="11:11" x14ac:dyDescent="0.2">
      <c r="K6848" s="8"/>
    </row>
    <row r="6849" spans="11:11" x14ac:dyDescent="0.2">
      <c r="K6849" s="8"/>
    </row>
    <row r="6850" spans="11:11" x14ac:dyDescent="0.2">
      <c r="K6850" s="8"/>
    </row>
    <row r="6851" spans="11:11" x14ac:dyDescent="0.2">
      <c r="K6851" s="8"/>
    </row>
    <row r="6852" spans="11:11" x14ac:dyDescent="0.2">
      <c r="K6852" s="8"/>
    </row>
    <row r="6853" spans="11:11" x14ac:dyDescent="0.2">
      <c r="K6853" s="8"/>
    </row>
    <row r="6854" spans="11:11" x14ac:dyDescent="0.2">
      <c r="K6854" s="8"/>
    </row>
    <row r="6855" spans="11:11" x14ac:dyDescent="0.2">
      <c r="K6855" s="8"/>
    </row>
    <row r="6856" spans="11:11" x14ac:dyDescent="0.2">
      <c r="K6856" s="8"/>
    </row>
    <row r="6857" spans="11:11" x14ac:dyDescent="0.2">
      <c r="K6857" s="8"/>
    </row>
    <row r="6858" spans="11:11" x14ac:dyDescent="0.2">
      <c r="K6858" s="8"/>
    </row>
    <row r="6859" spans="11:11" x14ac:dyDescent="0.2">
      <c r="K6859" s="8"/>
    </row>
    <row r="6860" spans="11:11" x14ac:dyDescent="0.2">
      <c r="K6860" s="8"/>
    </row>
    <row r="6861" spans="11:11" x14ac:dyDescent="0.2">
      <c r="K6861" s="8"/>
    </row>
    <row r="6862" spans="11:11" x14ac:dyDescent="0.2">
      <c r="K6862" s="8"/>
    </row>
    <row r="6863" spans="11:11" x14ac:dyDescent="0.2">
      <c r="K6863" s="8"/>
    </row>
    <row r="6864" spans="11:11" x14ac:dyDescent="0.2">
      <c r="K6864" s="8"/>
    </row>
    <row r="6865" spans="11:11" x14ac:dyDescent="0.2">
      <c r="K6865" s="8"/>
    </row>
    <row r="6866" spans="11:11" x14ac:dyDescent="0.2">
      <c r="K6866" s="8"/>
    </row>
    <row r="6867" spans="11:11" x14ac:dyDescent="0.2">
      <c r="K6867" s="8"/>
    </row>
    <row r="6868" spans="11:11" x14ac:dyDescent="0.2">
      <c r="K6868" s="8"/>
    </row>
    <row r="6869" spans="11:11" x14ac:dyDescent="0.2">
      <c r="K6869" s="8"/>
    </row>
    <row r="6870" spans="11:11" x14ac:dyDescent="0.2">
      <c r="K6870" s="8"/>
    </row>
    <row r="6871" spans="11:11" x14ac:dyDescent="0.2">
      <c r="K6871" s="8"/>
    </row>
    <row r="6872" spans="11:11" x14ac:dyDescent="0.2">
      <c r="K6872" s="8"/>
    </row>
    <row r="6873" spans="11:11" x14ac:dyDescent="0.2">
      <c r="K6873" s="8"/>
    </row>
    <row r="6874" spans="11:11" x14ac:dyDescent="0.2">
      <c r="K6874" s="8"/>
    </row>
    <row r="6875" spans="11:11" x14ac:dyDescent="0.2">
      <c r="K6875" s="8"/>
    </row>
    <row r="6876" spans="11:11" x14ac:dyDescent="0.2">
      <c r="K6876" s="8"/>
    </row>
    <row r="6877" spans="11:11" x14ac:dyDescent="0.2">
      <c r="K6877" s="8"/>
    </row>
    <row r="6878" spans="11:11" x14ac:dyDescent="0.2">
      <c r="K6878" s="8"/>
    </row>
    <row r="6879" spans="11:11" x14ac:dyDescent="0.2">
      <c r="K6879" s="8"/>
    </row>
    <row r="6880" spans="11:11" x14ac:dyDescent="0.2">
      <c r="K6880" s="8"/>
    </row>
    <row r="6881" spans="11:11" x14ac:dyDescent="0.2">
      <c r="K6881" s="8"/>
    </row>
    <row r="6882" spans="11:11" x14ac:dyDescent="0.2">
      <c r="K6882" s="8"/>
    </row>
    <row r="6883" spans="11:11" x14ac:dyDescent="0.2">
      <c r="K6883" s="8"/>
    </row>
    <row r="6884" spans="11:11" x14ac:dyDescent="0.2">
      <c r="K6884" s="8"/>
    </row>
    <row r="6885" spans="11:11" x14ac:dyDescent="0.2">
      <c r="K6885" s="8"/>
    </row>
    <row r="6886" spans="11:11" x14ac:dyDescent="0.2">
      <c r="K6886" s="8"/>
    </row>
    <row r="6887" spans="11:11" x14ac:dyDescent="0.2">
      <c r="K6887" s="8"/>
    </row>
    <row r="6888" spans="11:11" x14ac:dyDescent="0.2">
      <c r="K6888" s="8"/>
    </row>
    <row r="6889" spans="11:11" x14ac:dyDescent="0.2">
      <c r="K6889" s="8"/>
    </row>
    <row r="6890" spans="11:11" x14ac:dyDescent="0.2">
      <c r="K6890" s="8"/>
    </row>
    <row r="6891" spans="11:11" x14ac:dyDescent="0.2">
      <c r="K6891" s="8"/>
    </row>
    <row r="6892" spans="11:11" x14ac:dyDescent="0.2">
      <c r="K6892" s="8"/>
    </row>
    <row r="6893" spans="11:11" x14ac:dyDescent="0.2">
      <c r="K6893" s="8"/>
    </row>
    <row r="6894" spans="11:11" x14ac:dyDescent="0.2">
      <c r="K6894" s="8"/>
    </row>
    <row r="6895" spans="11:11" x14ac:dyDescent="0.2">
      <c r="K6895" s="8"/>
    </row>
    <row r="6896" spans="11:11" x14ac:dyDescent="0.2">
      <c r="K6896" s="8"/>
    </row>
    <row r="6897" spans="11:11" x14ac:dyDescent="0.2">
      <c r="K6897" s="8"/>
    </row>
    <row r="6898" spans="11:11" x14ac:dyDescent="0.2">
      <c r="K6898" s="8"/>
    </row>
    <row r="6899" spans="11:11" x14ac:dyDescent="0.2">
      <c r="K6899" s="8"/>
    </row>
    <row r="6900" spans="11:11" x14ac:dyDescent="0.2">
      <c r="K6900" s="8"/>
    </row>
    <row r="6901" spans="11:11" x14ac:dyDescent="0.2">
      <c r="K6901" s="8"/>
    </row>
    <row r="6902" spans="11:11" x14ac:dyDescent="0.2">
      <c r="K6902" s="8"/>
    </row>
    <row r="6903" spans="11:11" x14ac:dyDescent="0.2">
      <c r="K6903" s="8"/>
    </row>
    <row r="6904" spans="11:11" x14ac:dyDescent="0.2">
      <c r="K6904" s="8"/>
    </row>
    <row r="6905" spans="11:11" x14ac:dyDescent="0.2">
      <c r="K6905" s="8"/>
    </row>
    <row r="6906" spans="11:11" x14ac:dyDescent="0.2">
      <c r="K6906" s="8"/>
    </row>
    <row r="6907" spans="11:11" x14ac:dyDescent="0.2">
      <c r="K6907" s="8"/>
    </row>
    <row r="6908" spans="11:11" x14ac:dyDescent="0.2">
      <c r="K6908" s="8"/>
    </row>
    <row r="6909" spans="11:11" x14ac:dyDescent="0.2">
      <c r="K6909" s="8"/>
    </row>
    <row r="6910" spans="11:11" x14ac:dyDescent="0.2">
      <c r="K6910" s="8"/>
    </row>
    <row r="6911" spans="11:11" x14ac:dyDescent="0.2">
      <c r="K6911" s="8"/>
    </row>
    <row r="6912" spans="11:11" x14ac:dyDescent="0.2">
      <c r="K6912" s="8"/>
    </row>
    <row r="6913" spans="11:11" x14ac:dyDescent="0.2">
      <c r="K6913" s="8"/>
    </row>
    <row r="6914" spans="11:11" x14ac:dyDescent="0.2">
      <c r="K6914" s="8"/>
    </row>
    <row r="6915" spans="11:11" x14ac:dyDescent="0.2">
      <c r="K6915" s="8"/>
    </row>
    <row r="6916" spans="11:11" x14ac:dyDescent="0.2">
      <c r="K6916" s="8"/>
    </row>
    <row r="6917" spans="11:11" x14ac:dyDescent="0.2">
      <c r="K6917" s="8"/>
    </row>
    <row r="6918" spans="11:11" x14ac:dyDescent="0.2">
      <c r="K6918" s="8"/>
    </row>
    <row r="6919" spans="11:11" x14ac:dyDescent="0.2">
      <c r="K6919" s="8"/>
    </row>
    <row r="6920" spans="11:11" x14ac:dyDescent="0.2">
      <c r="K6920" s="8"/>
    </row>
    <row r="6921" spans="11:11" x14ac:dyDescent="0.2">
      <c r="K6921" s="8"/>
    </row>
    <row r="6922" spans="11:11" x14ac:dyDescent="0.2">
      <c r="K6922" s="8"/>
    </row>
    <row r="6923" spans="11:11" x14ac:dyDescent="0.2">
      <c r="K6923" s="8"/>
    </row>
    <row r="6924" spans="11:11" x14ac:dyDescent="0.2">
      <c r="K6924" s="8"/>
    </row>
    <row r="6925" spans="11:11" x14ac:dyDescent="0.2">
      <c r="K6925" s="8"/>
    </row>
    <row r="6926" spans="11:11" x14ac:dyDescent="0.2">
      <c r="K6926" s="8"/>
    </row>
    <row r="6927" spans="11:11" x14ac:dyDescent="0.2">
      <c r="K6927" s="8"/>
    </row>
    <row r="6928" spans="11:11" x14ac:dyDescent="0.2">
      <c r="K6928" s="8"/>
    </row>
    <row r="6929" spans="11:11" x14ac:dyDescent="0.2">
      <c r="K6929" s="8"/>
    </row>
    <row r="6930" spans="11:11" x14ac:dyDescent="0.2">
      <c r="K6930" s="8"/>
    </row>
    <row r="6931" spans="11:11" x14ac:dyDescent="0.2">
      <c r="K6931" s="8"/>
    </row>
    <row r="6932" spans="11:11" x14ac:dyDescent="0.2">
      <c r="K6932" s="8"/>
    </row>
    <row r="6933" spans="11:11" x14ac:dyDescent="0.2">
      <c r="K6933" s="8"/>
    </row>
    <row r="6934" spans="11:11" x14ac:dyDescent="0.2">
      <c r="K6934" s="8"/>
    </row>
    <row r="6935" spans="11:11" x14ac:dyDescent="0.2">
      <c r="K6935" s="8"/>
    </row>
    <row r="6936" spans="11:11" x14ac:dyDescent="0.2">
      <c r="K6936" s="8"/>
    </row>
    <row r="6937" spans="11:11" x14ac:dyDescent="0.2">
      <c r="K6937" s="8"/>
    </row>
    <row r="6938" spans="11:11" x14ac:dyDescent="0.2">
      <c r="K6938" s="8"/>
    </row>
    <row r="6939" spans="11:11" x14ac:dyDescent="0.2">
      <c r="K6939" s="8"/>
    </row>
    <row r="6940" spans="11:11" x14ac:dyDescent="0.2">
      <c r="K6940" s="8"/>
    </row>
    <row r="6941" spans="11:11" x14ac:dyDescent="0.2">
      <c r="K6941" s="8"/>
    </row>
    <row r="6942" spans="11:11" x14ac:dyDescent="0.2">
      <c r="K6942" s="8"/>
    </row>
    <row r="6943" spans="11:11" x14ac:dyDescent="0.2">
      <c r="K6943" s="8"/>
    </row>
    <row r="6944" spans="11:11" x14ac:dyDescent="0.2">
      <c r="K6944" s="8"/>
    </row>
    <row r="6945" spans="11:11" x14ac:dyDescent="0.2">
      <c r="K6945" s="8"/>
    </row>
    <row r="6946" spans="11:11" x14ac:dyDescent="0.2">
      <c r="K6946" s="8"/>
    </row>
    <row r="6947" spans="11:11" x14ac:dyDescent="0.2">
      <c r="K6947" s="8"/>
    </row>
    <row r="6948" spans="11:11" x14ac:dyDescent="0.2">
      <c r="K6948" s="8"/>
    </row>
    <row r="6949" spans="11:11" x14ac:dyDescent="0.2">
      <c r="K6949" s="8"/>
    </row>
    <row r="6950" spans="11:11" x14ac:dyDescent="0.2">
      <c r="K6950" s="8"/>
    </row>
    <row r="6951" spans="11:11" x14ac:dyDescent="0.2">
      <c r="K6951" s="8"/>
    </row>
    <row r="6952" spans="11:11" x14ac:dyDescent="0.2">
      <c r="K6952" s="8"/>
    </row>
    <row r="6953" spans="11:11" x14ac:dyDescent="0.2">
      <c r="K6953" s="8"/>
    </row>
    <row r="6954" spans="11:11" x14ac:dyDescent="0.2">
      <c r="K6954" s="8"/>
    </row>
    <row r="6955" spans="11:11" x14ac:dyDescent="0.2">
      <c r="K6955" s="8"/>
    </row>
    <row r="6956" spans="11:11" x14ac:dyDescent="0.2">
      <c r="K6956" s="8"/>
    </row>
    <row r="6957" spans="11:11" x14ac:dyDescent="0.2">
      <c r="K6957" s="8"/>
    </row>
    <row r="6958" spans="11:11" x14ac:dyDescent="0.2">
      <c r="K6958" s="8"/>
    </row>
    <row r="6959" spans="11:11" x14ac:dyDescent="0.2">
      <c r="K6959" s="8"/>
    </row>
    <row r="6960" spans="11:11" x14ac:dyDescent="0.2">
      <c r="K6960" s="8"/>
    </row>
    <row r="6961" spans="11:11" x14ac:dyDescent="0.2">
      <c r="K6961" s="8"/>
    </row>
    <row r="6962" spans="11:11" x14ac:dyDescent="0.2">
      <c r="K6962" s="8"/>
    </row>
    <row r="6963" spans="11:11" x14ac:dyDescent="0.2">
      <c r="K6963" s="8"/>
    </row>
    <row r="6964" spans="11:11" x14ac:dyDescent="0.2">
      <c r="K6964" s="8"/>
    </row>
    <row r="6965" spans="11:11" x14ac:dyDescent="0.2">
      <c r="K6965" s="8"/>
    </row>
    <row r="6966" spans="11:11" x14ac:dyDescent="0.2">
      <c r="K6966" s="8"/>
    </row>
    <row r="6967" spans="11:11" x14ac:dyDescent="0.2">
      <c r="K6967" s="8"/>
    </row>
    <row r="6968" spans="11:11" x14ac:dyDescent="0.2">
      <c r="K6968" s="8"/>
    </row>
    <row r="6969" spans="11:11" x14ac:dyDescent="0.2">
      <c r="K6969" s="8"/>
    </row>
    <row r="6970" spans="11:11" x14ac:dyDescent="0.2">
      <c r="K6970" s="8"/>
    </row>
    <row r="6971" spans="11:11" x14ac:dyDescent="0.2">
      <c r="K6971" s="8"/>
    </row>
    <row r="6972" spans="11:11" x14ac:dyDescent="0.2">
      <c r="K6972" s="8"/>
    </row>
    <row r="6973" spans="11:11" x14ac:dyDescent="0.2">
      <c r="K6973" s="8"/>
    </row>
    <row r="6974" spans="11:11" x14ac:dyDescent="0.2">
      <c r="K6974" s="8"/>
    </row>
    <row r="6975" spans="11:11" x14ac:dyDescent="0.2">
      <c r="K6975" s="8"/>
    </row>
    <row r="6976" spans="11:11" x14ac:dyDescent="0.2">
      <c r="K6976" s="8"/>
    </row>
    <row r="6977" spans="11:11" x14ac:dyDescent="0.2">
      <c r="K6977" s="8"/>
    </row>
    <row r="6978" spans="11:11" x14ac:dyDescent="0.2">
      <c r="K6978" s="8"/>
    </row>
    <row r="6979" spans="11:11" x14ac:dyDescent="0.2">
      <c r="K6979" s="8"/>
    </row>
    <row r="6980" spans="11:11" x14ac:dyDescent="0.2">
      <c r="K6980" s="8"/>
    </row>
    <row r="6981" spans="11:11" x14ac:dyDescent="0.2">
      <c r="K6981" s="8"/>
    </row>
    <row r="6982" spans="11:11" x14ac:dyDescent="0.2">
      <c r="K6982" s="8"/>
    </row>
    <row r="6983" spans="11:11" x14ac:dyDescent="0.2">
      <c r="K6983" s="8"/>
    </row>
    <row r="6984" spans="11:11" x14ac:dyDescent="0.2">
      <c r="K6984" s="8"/>
    </row>
    <row r="6985" spans="11:11" x14ac:dyDescent="0.2">
      <c r="K6985" s="8"/>
    </row>
    <row r="6986" spans="11:11" x14ac:dyDescent="0.2">
      <c r="K6986" s="8"/>
    </row>
    <row r="6987" spans="11:11" x14ac:dyDescent="0.2">
      <c r="K6987" s="8"/>
    </row>
    <row r="6988" spans="11:11" x14ac:dyDescent="0.2">
      <c r="K6988" s="8"/>
    </row>
    <row r="6989" spans="11:11" x14ac:dyDescent="0.2">
      <c r="K6989" s="8"/>
    </row>
    <row r="6990" spans="11:11" x14ac:dyDescent="0.2">
      <c r="K6990" s="8"/>
    </row>
    <row r="6991" spans="11:11" x14ac:dyDescent="0.2">
      <c r="K6991" s="8"/>
    </row>
    <row r="6992" spans="11:11" x14ac:dyDescent="0.2">
      <c r="K6992" s="8"/>
    </row>
    <row r="6993" spans="11:11" x14ac:dyDescent="0.2">
      <c r="K6993" s="8"/>
    </row>
    <row r="6994" spans="11:11" x14ac:dyDescent="0.2">
      <c r="K6994" s="8"/>
    </row>
    <row r="6995" spans="11:11" x14ac:dyDescent="0.2">
      <c r="K6995" s="8"/>
    </row>
    <row r="6996" spans="11:11" x14ac:dyDescent="0.2">
      <c r="K6996" s="8"/>
    </row>
    <row r="6997" spans="11:11" x14ac:dyDescent="0.2">
      <c r="K6997" s="8"/>
    </row>
    <row r="6998" spans="11:11" x14ac:dyDescent="0.2">
      <c r="K6998" s="8"/>
    </row>
    <row r="6999" spans="11:11" x14ac:dyDescent="0.2">
      <c r="K6999" s="8"/>
    </row>
    <row r="7000" spans="11:11" x14ac:dyDescent="0.2">
      <c r="K7000" s="8"/>
    </row>
    <row r="7001" spans="11:11" x14ac:dyDescent="0.2">
      <c r="K7001" s="8"/>
    </row>
    <row r="7002" spans="11:11" x14ac:dyDescent="0.2">
      <c r="K7002" s="8"/>
    </row>
    <row r="7003" spans="11:11" x14ac:dyDescent="0.2">
      <c r="K7003" s="8"/>
    </row>
    <row r="7004" spans="11:11" x14ac:dyDescent="0.2">
      <c r="K7004" s="8"/>
    </row>
    <row r="7005" spans="11:11" x14ac:dyDescent="0.2">
      <c r="K7005" s="8"/>
    </row>
    <row r="7006" spans="11:11" x14ac:dyDescent="0.2">
      <c r="K7006" s="8"/>
    </row>
    <row r="7007" spans="11:11" x14ac:dyDescent="0.2">
      <c r="K7007" s="8"/>
    </row>
    <row r="7008" spans="11:11" x14ac:dyDescent="0.2">
      <c r="K7008" s="8"/>
    </row>
    <row r="7009" spans="11:11" x14ac:dyDescent="0.2">
      <c r="K7009" s="8"/>
    </row>
    <row r="7010" spans="11:11" x14ac:dyDescent="0.2">
      <c r="K7010" s="8"/>
    </row>
    <row r="7011" spans="11:11" x14ac:dyDescent="0.2">
      <c r="K7011" s="8"/>
    </row>
    <row r="7012" spans="11:11" x14ac:dyDescent="0.2">
      <c r="K7012" s="8"/>
    </row>
    <row r="7013" spans="11:11" x14ac:dyDescent="0.2">
      <c r="K7013" s="8"/>
    </row>
    <row r="7014" spans="11:11" x14ac:dyDescent="0.2">
      <c r="K7014" s="8"/>
    </row>
    <row r="7015" spans="11:11" x14ac:dyDescent="0.2">
      <c r="K7015" s="8"/>
    </row>
    <row r="7016" spans="11:11" x14ac:dyDescent="0.2">
      <c r="K7016" s="8"/>
    </row>
    <row r="7017" spans="11:11" x14ac:dyDescent="0.2">
      <c r="K7017" s="8"/>
    </row>
    <row r="7018" spans="11:11" x14ac:dyDescent="0.2">
      <c r="K7018" s="8"/>
    </row>
    <row r="7019" spans="11:11" x14ac:dyDescent="0.2">
      <c r="K7019" s="8"/>
    </row>
    <row r="7020" spans="11:11" x14ac:dyDescent="0.2">
      <c r="K7020" s="8"/>
    </row>
    <row r="7021" spans="11:11" x14ac:dyDescent="0.2">
      <c r="K7021" s="8"/>
    </row>
    <row r="7022" spans="11:11" x14ac:dyDescent="0.2">
      <c r="K7022" s="8"/>
    </row>
    <row r="7023" spans="11:11" x14ac:dyDescent="0.2">
      <c r="K7023" s="8"/>
    </row>
    <row r="7024" spans="11:11" x14ac:dyDescent="0.2">
      <c r="K7024" s="8"/>
    </row>
    <row r="7025" spans="11:11" x14ac:dyDescent="0.2">
      <c r="K7025" s="8"/>
    </row>
    <row r="7026" spans="11:11" x14ac:dyDescent="0.2">
      <c r="K7026" s="8"/>
    </row>
    <row r="7027" spans="11:11" x14ac:dyDescent="0.2">
      <c r="K7027" s="8"/>
    </row>
    <row r="7028" spans="11:11" x14ac:dyDescent="0.2">
      <c r="K7028" s="8"/>
    </row>
    <row r="7029" spans="11:11" x14ac:dyDescent="0.2">
      <c r="K7029" s="8"/>
    </row>
    <row r="7030" spans="11:11" x14ac:dyDescent="0.2">
      <c r="K7030" s="8"/>
    </row>
    <row r="7031" spans="11:11" x14ac:dyDescent="0.2">
      <c r="K7031" s="8"/>
    </row>
    <row r="7032" spans="11:11" x14ac:dyDescent="0.2">
      <c r="K7032" s="8"/>
    </row>
    <row r="7033" spans="11:11" x14ac:dyDescent="0.2">
      <c r="K7033" s="8"/>
    </row>
    <row r="7034" spans="11:11" x14ac:dyDescent="0.2">
      <c r="K7034" s="8"/>
    </row>
    <row r="7035" spans="11:11" x14ac:dyDescent="0.2">
      <c r="K7035" s="8"/>
    </row>
    <row r="7036" spans="11:11" x14ac:dyDescent="0.2">
      <c r="K7036" s="8"/>
    </row>
    <row r="7037" spans="11:11" x14ac:dyDescent="0.2">
      <c r="K7037" s="8"/>
    </row>
    <row r="7038" spans="11:11" x14ac:dyDescent="0.2">
      <c r="K7038" s="8"/>
    </row>
    <row r="7039" spans="11:11" x14ac:dyDescent="0.2">
      <c r="K7039" s="8"/>
    </row>
    <row r="7040" spans="11:11" x14ac:dyDescent="0.2">
      <c r="K7040" s="8"/>
    </row>
    <row r="7041" spans="11:11" x14ac:dyDescent="0.2">
      <c r="K7041" s="8"/>
    </row>
    <row r="7042" spans="11:11" x14ac:dyDescent="0.2">
      <c r="K7042" s="8"/>
    </row>
    <row r="7043" spans="11:11" x14ac:dyDescent="0.2">
      <c r="K7043" s="8"/>
    </row>
    <row r="7044" spans="11:11" x14ac:dyDescent="0.2">
      <c r="K7044" s="8"/>
    </row>
    <row r="7045" spans="11:11" x14ac:dyDescent="0.2">
      <c r="K7045" s="8"/>
    </row>
    <row r="7046" spans="11:11" x14ac:dyDescent="0.2">
      <c r="K7046" s="8"/>
    </row>
    <row r="7047" spans="11:11" x14ac:dyDescent="0.2">
      <c r="K7047" s="8"/>
    </row>
    <row r="7048" spans="11:11" x14ac:dyDescent="0.2">
      <c r="K7048" s="8"/>
    </row>
    <row r="7049" spans="11:11" x14ac:dyDescent="0.2">
      <c r="K7049" s="8"/>
    </row>
    <row r="7050" spans="11:11" x14ac:dyDescent="0.2">
      <c r="K7050" s="8"/>
    </row>
    <row r="7051" spans="11:11" x14ac:dyDescent="0.2">
      <c r="K7051" s="8"/>
    </row>
    <row r="7052" spans="11:11" x14ac:dyDescent="0.2">
      <c r="K7052" s="8"/>
    </row>
    <row r="7053" spans="11:11" x14ac:dyDescent="0.2">
      <c r="K7053" s="8"/>
    </row>
    <row r="7054" spans="11:11" x14ac:dyDescent="0.2">
      <c r="K7054" s="8"/>
    </row>
    <row r="7055" spans="11:11" x14ac:dyDescent="0.2">
      <c r="K7055" s="8"/>
    </row>
    <row r="7056" spans="11:11" x14ac:dyDescent="0.2">
      <c r="K7056" s="8"/>
    </row>
    <row r="7057" spans="11:11" x14ac:dyDescent="0.2">
      <c r="K7057" s="8"/>
    </row>
    <row r="7058" spans="11:11" x14ac:dyDescent="0.2">
      <c r="K7058" s="8"/>
    </row>
    <row r="7059" spans="11:11" x14ac:dyDescent="0.2">
      <c r="K7059" s="8"/>
    </row>
    <row r="7060" spans="11:11" x14ac:dyDescent="0.2">
      <c r="K7060" s="8"/>
    </row>
    <row r="7061" spans="11:11" x14ac:dyDescent="0.2">
      <c r="K7061" s="8"/>
    </row>
    <row r="7062" spans="11:11" x14ac:dyDescent="0.2">
      <c r="K7062" s="8"/>
    </row>
    <row r="7063" spans="11:11" x14ac:dyDescent="0.2">
      <c r="K7063" s="8"/>
    </row>
    <row r="7064" spans="11:11" x14ac:dyDescent="0.2">
      <c r="K7064" s="8"/>
    </row>
    <row r="7065" spans="11:11" x14ac:dyDescent="0.2">
      <c r="K7065" s="8"/>
    </row>
    <row r="7066" spans="11:11" x14ac:dyDescent="0.2">
      <c r="K7066" s="8"/>
    </row>
    <row r="7067" spans="11:11" x14ac:dyDescent="0.2">
      <c r="K7067" s="8"/>
    </row>
    <row r="7068" spans="11:11" x14ac:dyDescent="0.2">
      <c r="K7068" s="8"/>
    </row>
    <row r="7069" spans="11:11" x14ac:dyDescent="0.2">
      <c r="K7069" s="8"/>
    </row>
    <row r="7070" spans="11:11" x14ac:dyDescent="0.2">
      <c r="K7070" s="8"/>
    </row>
    <row r="7071" spans="11:11" x14ac:dyDescent="0.2">
      <c r="K7071" s="8"/>
    </row>
    <row r="7072" spans="11:11" x14ac:dyDescent="0.2">
      <c r="K7072" s="8"/>
    </row>
    <row r="7073" spans="11:11" x14ac:dyDescent="0.2">
      <c r="K7073" s="8"/>
    </row>
    <row r="7074" spans="11:11" x14ac:dyDescent="0.2">
      <c r="K7074" s="8"/>
    </row>
    <row r="7075" spans="11:11" x14ac:dyDescent="0.2">
      <c r="K7075" s="8"/>
    </row>
    <row r="7076" spans="11:11" x14ac:dyDescent="0.2">
      <c r="K7076" s="8"/>
    </row>
    <row r="7077" spans="11:11" x14ac:dyDescent="0.2">
      <c r="K7077" s="8"/>
    </row>
    <row r="7078" spans="11:11" x14ac:dyDescent="0.2">
      <c r="K7078" s="8"/>
    </row>
    <row r="7079" spans="11:11" x14ac:dyDescent="0.2">
      <c r="K7079" s="8"/>
    </row>
    <row r="7080" spans="11:11" x14ac:dyDescent="0.2">
      <c r="K7080" s="8"/>
    </row>
    <row r="7081" spans="11:11" x14ac:dyDescent="0.2">
      <c r="K7081" s="8"/>
    </row>
    <row r="7082" spans="11:11" x14ac:dyDescent="0.2">
      <c r="K7082" s="8"/>
    </row>
    <row r="7083" spans="11:11" x14ac:dyDescent="0.2">
      <c r="K7083" s="8"/>
    </row>
    <row r="7084" spans="11:11" x14ac:dyDescent="0.2">
      <c r="K7084" s="8"/>
    </row>
    <row r="7085" spans="11:11" x14ac:dyDescent="0.2">
      <c r="K7085" s="8"/>
    </row>
    <row r="7086" spans="11:11" x14ac:dyDescent="0.2">
      <c r="K7086" s="8"/>
    </row>
    <row r="7087" spans="11:11" x14ac:dyDescent="0.2">
      <c r="K7087" s="8"/>
    </row>
    <row r="7088" spans="11:11" x14ac:dyDescent="0.2">
      <c r="K7088" s="8"/>
    </row>
    <row r="7089" spans="11:11" x14ac:dyDescent="0.2">
      <c r="K7089" s="8"/>
    </row>
    <row r="7090" spans="11:11" x14ac:dyDescent="0.2">
      <c r="K7090" s="8"/>
    </row>
    <row r="7091" spans="11:11" x14ac:dyDescent="0.2">
      <c r="K7091" s="8"/>
    </row>
    <row r="7092" spans="11:11" x14ac:dyDescent="0.2">
      <c r="K7092" s="8"/>
    </row>
    <row r="7093" spans="11:11" x14ac:dyDescent="0.2">
      <c r="K7093" s="8"/>
    </row>
    <row r="7094" spans="11:11" x14ac:dyDescent="0.2">
      <c r="K7094" s="8"/>
    </row>
    <row r="7095" spans="11:11" x14ac:dyDescent="0.2">
      <c r="K7095" s="8"/>
    </row>
    <row r="7096" spans="11:11" x14ac:dyDescent="0.2">
      <c r="K7096" s="8"/>
    </row>
    <row r="7097" spans="11:11" x14ac:dyDescent="0.2">
      <c r="K7097" s="8"/>
    </row>
    <row r="7098" spans="11:11" x14ac:dyDescent="0.2">
      <c r="K7098" s="8"/>
    </row>
    <row r="7099" spans="11:11" x14ac:dyDescent="0.2">
      <c r="K7099" s="8"/>
    </row>
    <row r="7100" spans="11:11" x14ac:dyDescent="0.2">
      <c r="K7100" s="8"/>
    </row>
    <row r="7101" spans="11:11" x14ac:dyDescent="0.2">
      <c r="K7101" s="8"/>
    </row>
    <row r="7102" spans="11:11" x14ac:dyDescent="0.2">
      <c r="K7102" s="8"/>
    </row>
    <row r="7103" spans="11:11" x14ac:dyDescent="0.2">
      <c r="K7103" s="8"/>
    </row>
    <row r="7104" spans="11:11" x14ac:dyDescent="0.2">
      <c r="K7104" s="8"/>
    </row>
    <row r="7105" spans="11:11" x14ac:dyDescent="0.2">
      <c r="K7105" s="8"/>
    </row>
    <row r="7106" spans="11:11" x14ac:dyDescent="0.2">
      <c r="K7106" s="8"/>
    </row>
    <row r="7107" spans="11:11" x14ac:dyDescent="0.2">
      <c r="K7107" s="8"/>
    </row>
    <row r="7108" spans="11:11" x14ac:dyDescent="0.2">
      <c r="K7108" s="8"/>
    </row>
    <row r="7109" spans="11:11" x14ac:dyDescent="0.2">
      <c r="K7109" s="8"/>
    </row>
    <row r="7110" spans="11:11" x14ac:dyDescent="0.2">
      <c r="K7110" s="8"/>
    </row>
    <row r="7111" spans="11:11" x14ac:dyDescent="0.2">
      <c r="K7111" s="8"/>
    </row>
    <row r="7112" spans="11:11" x14ac:dyDescent="0.2">
      <c r="K7112" s="8"/>
    </row>
    <row r="7113" spans="11:11" x14ac:dyDescent="0.2">
      <c r="K7113" s="8"/>
    </row>
    <row r="7114" spans="11:11" x14ac:dyDescent="0.2">
      <c r="K7114" s="8"/>
    </row>
    <row r="7115" spans="11:11" x14ac:dyDescent="0.2">
      <c r="K7115" s="8"/>
    </row>
    <row r="7116" spans="11:11" x14ac:dyDescent="0.2">
      <c r="K7116" s="8"/>
    </row>
    <row r="7117" spans="11:11" x14ac:dyDescent="0.2">
      <c r="K7117" s="8"/>
    </row>
    <row r="7118" spans="11:11" x14ac:dyDescent="0.2">
      <c r="K7118" s="8"/>
    </row>
    <row r="7119" spans="11:11" x14ac:dyDescent="0.2">
      <c r="K7119" s="8"/>
    </row>
    <row r="7120" spans="11:11" x14ac:dyDescent="0.2">
      <c r="K7120" s="8"/>
    </row>
    <row r="7121" spans="11:11" x14ac:dyDescent="0.2">
      <c r="K7121" s="8"/>
    </row>
    <row r="7122" spans="11:11" x14ac:dyDescent="0.2">
      <c r="K7122" s="8"/>
    </row>
    <row r="7123" spans="11:11" x14ac:dyDescent="0.2">
      <c r="K7123" s="8"/>
    </row>
    <row r="7124" spans="11:11" x14ac:dyDescent="0.2">
      <c r="K7124" s="8"/>
    </row>
    <row r="7125" spans="11:11" x14ac:dyDescent="0.2">
      <c r="K7125" s="8"/>
    </row>
    <row r="7126" spans="11:11" x14ac:dyDescent="0.2">
      <c r="K7126" s="8"/>
    </row>
    <row r="7127" spans="11:11" x14ac:dyDescent="0.2">
      <c r="K7127" s="8"/>
    </row>
    <row r="7128" spans="11:11" x14ac:dyDescent="0.2">
      <c r="K7128" s="8"/>
    </row>
    <row r="7129" spans="11:11" x14ac:dyDescent="0.2">
      <c r="K7129" s="8"/>
    </row>
    <row r="7130" spans="11:11" x14ac:dyDescent="0.2">
      <c r="K7130" s="8"/>
    </row>
    <row r="7131" spans="11:11" x14ac:dyDescent="0.2">
      <c r="K7131" s="8"/>
    </row>
    <row r="7132" spans="11:11" x14ac:dyDescent="0.2">
      <c r="K7132" s="8"/>
    </row>
    <row r="7133" spans="11:11" x14ac:dyDescent="0.2">
      <c r="K7133" s="8"/>
    </row>
    <row r="7134" spans="11:11" x14ac:dyDescent="0.2">
      <c r="K7134" s="8"/>
    </row>
    <row r="7135" spans="11:11" x14ac:dyDescent="0.2">
      <c r="K7135" s="8"/>
    </row>
    <row r="7136" spans="11:11" x14ac:dyDescent="0.2">
      <c r="K7136" s="8"/>
    </row>
    <row r="7137" spans="11:11" x14ac:dyDescent="0.2">
      <c r="K7137" s="8"/>
    </row>
    <row r="7138" spans="11:11" x14ac:dyDescent="0.2">
      <c r="K7138" s="8"/>
    </row>
    <row r="7139" spans="11:11" x14ac:dyDescent="0.2">
      <c r="K7139" s="8"/>
    </row>
    <row r="7140" spans="11:11" x14ac:dyDescent="0.2">
      <c r="K7140" s="8"/>
    </row>
    <row r="7141" spans="11:11" x14ac:dyDescent="0.2">
      <c r="K7141" s="8"/>
    </row>
    <row r="7142" spans="11:11" x14ac:dyDescent="0.2">
      <c r="K7142" s="8"/>
    </row>
    <row r="7143" spans="11:11" x14ac:dyDescent="0.2">
      <c r="K7143" s="8"/>
    </row>
    <row r="7144" spans="11:11" x14ac:dyDescent="0.2">
      <c r="K7144" s="8"/>
    </row>
    <row r="7145" spans="11:11" x14ac:dyDescent="0.2">
      <c r="K7145" s="8"/>
    </row>
    <row r="7146" spans="11:11" x14ac:dyDescent="0.2">
      <c r="K7146" s="8"/>
    </row>
    <row r="7147" spans="11:11" x14ac:dyDescent="0.2">
      <c r="K7147" s="8"/>
    </row>
    <row r="7148" spans="11:11" x14ac:dyDescent="0.2">
      <c r="K7148" s="8"/>
    </row>
    <row r="7149" spans="11:11" x14ac:dyDescent="0.2">
      <c r="K7149" s="8"/>
    </row>
    <row r="7150" spans="11:11" x14ac:dyDescent="0.2">
      <c r="K7150" s="8"/>
    </row>
    <row r="7151" spans="11:11" x14ac:dyDescent="0.2">
      <c r="K7151" s="8"/>
    </row>
    <row r="7152" spans="11:11" x14ac:dyDescent="0.2">
      <c r="K7152" s="8"/>
    </row>
    <row r="7153" spans="11:11" x14ac:dyDescent="0.2">
      <c r="K7153" s="8"/>
    </row>
    <row r="7154" spans="11:11" x14ac:dyDescent="0.2">
      <c r="K7154" s="8"/>
    </row>
    <row r="7155" spans="11:11" x14ac:dyDescent="0.2">
      <c r="K7155" s="8"/>
    </row>
    <row r="7156" spans="11:11" x14ac:dyDescent="0.2">
      <c r="K7156" s="8"/>
    </row>
    <row r="7157" spans="11:11" x14ac:dyDescent="0.2">
      <c r="K7157" s="8"/>
    </row>
    <row r="7158" spans="11:11" x14ac:dyDescent="0.2">
      <c r="K7158" s="8"/>
    </row>
    <row r="7159" spans="11:11" x14ac:dyDescent="0.2">
      <c r="K7159" s="8"/>
    </row>
    <row r="7160" spans="11:11" x14ac:dyDescent="0.2">
      <c r="K7160" s="8"/>
    </row>
    <row r="7161" spans="11:11" x14ac:dyDescent="0.2">
      <c r="K7161" s="8"/>
    </row>
    <row r="7162" spans="11:11" x14ac:dyDescent="0.2">
      <c r="K7162" s="8"/>
    </row>
    <row r="7163" spans="11:11" x14ac:dyDescent="0.2">
      <c r="K7163" s="8"/>
    </row>
    <row r="7164" spans="11:11" x14ac:dyDescent="0.2">
      <c r="K7164" s="8"/>
    </row>
    <row r="7165" spans="11:11" x14ac:dyDescent="0.2">
      <c r="K7165" s="8"/>
    </row>
    <row r="7166" spans="11:11" x14ac:dyDescent="0.2">
      <c r="K7166" s="8"/>
    </row>
    <row r="7167" spans="11:11" x14ac:dyDescent="0.2">
      <c r="K7167" s="8"/>
    </row>
    <row r="7168" spans="11:11" x14ac:dyDescent="0.2">
      <c r="K7168" s="8"/>
    </row>
    <row r="7169" spans="11:11" x14ac:dyDescent="0.2">
      <c r="K7169" s="8"/>
    </row>
    <row r="7170" spans="11:11" x14ac:dyDescent="0.2">
      <c r="K7170" s="8"/>
    </row>
    <row r="7171" spans="11:11" x14ac:dyDescent="0.2">
      <c r="K7171" s="8"/>
    </row>
    <row r="7172" spans="11:11" x14ac:dyDescent="0.2">
      <c r="K7172" s="8"/>
    </row>
    <row r="7173" spans="11:11" x14ac:dyDescent="0.2">
      <c r="K7173" s="8"/>
    </row>
    <row r="7174" spans="11:11" x14ac:dyDescent="0.2">
      <c r="K7174" s="8"/>
    </row>
    <row r="7175" spans="11:11" x14ac:dyDescent="0.2">
      <c r="K7175" s="8"/>
    </row>
    <row r="7176" spans="11:11" x14ac:dyDescent="0.2">
      <c r="K7176" s="8"/>
    </row>
    <row r="7177" spans="11:11" x14ac:dyDescent="0.2">
      <c r="K7177" s="8"/>
    </row>
    <row r="7178" spans="11:11" x14ac:dyDescent="0.2">
      <c r="K7178" s="8"/>
    </row>
    <row r="7179" spans="11:11" x14ac:dyDescent="0.2">
      <c r="K7179" s="8"/>
    </row>
    <row r="7180" spans="11:11" x14ac:dyDescent="0.2">
      <c r="K7180" s="8"/>
    </row>
    <row r="7181" spans="11:11" x14ac:dyDescent="0.2">
      <c r="K7181" s="8"/>
    </row>
    <row r="7182" spans="11:11" x14ac:dyDescent="0.2">
      <c r="K7182" s="8"/>
    </row>
    <row r="7183" spans="11:11" x14ac:dyDescent="0.2">
      <c r="K7183" s="8"/>
    </row>
    <row r="7184" spans="11:11" x14ac:dyDescent="0.2">
      <c r="K7184" s="8"/>
    </row>
    <row r="7185" spans="11:11" x14ac:dyDescent="0.2">
      <c r="K7185" s="8"/>
    </row>
    <row r="7186" spans="11:11" x14ac:dyDescent="0.2">
      <c r="K7186" s="8"/>
    </row>
    <row r="7187" spans="11:11" x14ac:dyDescent="0.2">
      <c r="K7187" s="8"/>
    </row>
    <row r="7188" spans="11:11" x14ac:dyDescent="0.2">
      <c r="K7188" s="8"/>
    </row>
    <row r="7189" spans="11:11" x14ac:dyDescent="0.2">
      <c r="K7189" s="8"/>
    </row>
    <row r="7190" spans="11:11" x14ac:dyDescent="0.2">
      <c r="K7190" s="8"/>
    </row>
    <row r="7191" spans="11:11" x14ac:dyDescent="0.2">
      <c r="K7191" s="8"/>
    </row>
    <row r="7192" spans="11:11" x14ac:dyDescent="0.2">
      <c r="K7192" s="8"/>
    </row>
    <row r="7193" spans="11:11" x14ac:dyDescent="0.2">
      <c r="K7193" s="8"/>
    </row>
    <row r="7194" spans="11:11" x14ac:dyDescent="0.2">
      <c r="K7194" s="8"/>
    </row>
    <row r="7195" spans="11:11" x14ac:dyDescent="0.2">
      <c r="K7195" s="8"/>
    </row>
    <row r="7196" spans="11:11" x14ac:dyDescent="0.2">
      <c r="K7196" s="8"/>
    </row>
    <row r="7197" spans="11:11" x14ac:dyDescent="0.2">
      <c r="K7197" s="8"/>
    </row>
    <row r="7198" spans="11:11" x14ac:dyDescent="0.2">
      <c r="K7198" s="8"/>
    </row>
    <row r="7199" spans="11:11" x14ac:dyDescent="0.2">
      <c r="K7199" s="8"/>
    </row>
    <row r="7200" spans="11:11" x14ac:dyDescent="0.2">
      <c r="K7200" s="8"/>
    </row>
    <row r="7201" spans="11:11" x14ac:dyDescent="0.2">
      <c r="K7201" s="8"/>
    </row>
    <row r="7202" spans="11:11" x14ac:dyDescent="0.2">
      <c r="K7202" s="8"/>
    </row>
    <row r="7203" spans="11:11" x14ac:dyDescent="0.2">
      <c r="K7203" s="8"/>
    </row>
    <row r="7204" spans="11:11" x14ac:dyDescent="0.2">
      <c r="K7204" s="8"/>
    </row>
    <row r="7205" spans="11:11" x14ac:dyDescent="0.2">
      <c r="K7205" s="8"/>
    </row>
    <row r="7206" spans="11:11" x14ac:dyDescent="0.2">
      <c r="K7206" s="8"/>
    </row>
    <row r="7207" spans="11:11" x14ac:dyDescent="0.2">
      <c r="K7207" s="8"/>
    </row>
    <row r="7208" spans="11:11" x14ac:dyDescent="0.2">
      <c r="K7208" s="8"/>
    </row>
    <row r="7209" spans="11:11" x14ac:dyDescent="0.2">
      <c r="K7209" s="8"/>
    </row>
    <row r="7210" spans="11:11" x14ac:dyDescent="0.2">
      <c r="K7210" s="8"/>
    </row>
    <row r="7211" spans="11:11" x14ac:dyDescent="0.2">
      <c r="K7211" s="8"/>
    </row>
    <row r="7212" spans="11:11" x14ac:dyDescent="0.2">
      <c r="K7212" s="8"/>
    </row>
    <row r="7213" spans="11:11" x14ac:dyDescent="0.2">
      <c r="K7213" s="8"/>
    </row>
    <row r="7214" spans="11:11" x14ac:dyDescent="0.2">
      <c r="K7214" s="8"/>
    </row>
    <row r="7215" spans="11:11" x14ac:dyDescent="0.2">
      <c r="K7215" s="8"/>
    </row>
    <row r="7216" spans="11:11" x14ac:dyDescent="0.2">
      <c r="K7216" s="8"/>
    </row>
    <row r="7217" spans="11:11" x14ac:dyDescent="0.2">
      <c r="K7217" s="8"/>
    </row>
    <row r="7218" spans="11:11" x14ac:dyDescent="0.2">
      <c r="K7218" s="8"/>
    </row>
    <row r="7219" spans="11:11" x14ac:dyDescent="0.2">
      <c r="K7219" s="8"/>
    </row>
    <row r="7220" spans="11:11" x14ac:dyDescent="0.2">
      <c r="K7220" s="8"/>
    </row>
    <row r="7221" spans="11:11" x14ac:dyDescent="0.2">
      <c r="K7221" s="8"/>
    </row>
    <row r="7222" spans="11:11" x14ac:dyDescent="0.2">
      <c r="K7222" s="8"/>
    </row>
    <row r="7223" spans="11:11" x14ac:dyDescent="0.2">
      <c r="K7223" s="8"/>
    </row>
    <row r="7224" spans="11:11" x14ac:dyDescent="0.2">
      <c r="K7224" s="8"/>
    </row>
    <row r="7225" spans="11:11" x14ac:dyDescent="0.2">
      <c r="K7225" s="8"/>
    </row>
    <row r="7226" spans="11:11" x14ac:dyDescent="0.2">
      <c r="K7226" s="8"/>
    </row>
    <row r="7227" spans="11:11" x14ac:dyDescent="0.2">
      <c r="K7227" s="8"/>
    </row>
    <row r="7228" spans="11:11" x14ac:dyDescent="0.2">
      <c r="K7228" s="8"/>
    </row>
    <row r="7229" spans="11:11" x14ac:dyDescent="0.2">
      <c r="K7229" s="8"/>
    </row>
    <row r="7230" spans="11:11" x14ac:dyDescent="0.2">
      <c r="K7230" s="8"/>
    </row>
    <row r="7231" spans="11:11" x14ac:dyDescent="0.2">
      <c r="K7231" s="8"/>
    </row>
    <row r="7232" spans="11:11" x14ac:dyDescent="0.2">
      <c r="K7232" s="8"/>
    </row>
    <row r="7233" spans="11:11" x14ac:dyDescent="0.2">
      <c r="K7233" s="8"/>
    </row>
    <row r="7234" spans="11:11" x14ac:dyDescent="0.2">
      <c r="K7234" s="8"/>
    </row>
    <row r="7235" spans="11:11" x14ac:dyDescent="0.2">
      <c r="K7235" s="8"/>
    </row>
    <row r="7236" spans="11:11" x14ac:dyDescent="0.2">
      <c r="K7236" s="8"/>
    </row>
    <row r="7237" spans="11:11" x14ac:dyDescent="0.2">
      <c r="K7237" s="8"/>
    </row>
    <row r="7238" spans="11:11" x14ac:dyDescent="0.2">
      <c r="K7238" s="8"/>
    </row>
    <row r="7239" spans="11:11" x14ac:dyDescent="0.2">
      <c r="K7239" s="8"/>
    </row>
    <row r="7240" spans="11:11" x14ac:dyDescent="0.2">
      <c r="K7240" s="8"/>
    </row>
    <row r="7241" spans="11:11" x14ac:dyDescent="0.2">
      <c r="K7241" s="8"/>
    </row>
    <row r="7242" spans="11:11" x14ac:dyDescent="0.2">
      <c r="K7242" s="8"/>
    </row>
    <row r="7243" spans="11:11" x14ac:dyDescent="0.2">
      <c r="K7243" s="8"/>
    </row>
    <row r="7244" spans="11:11" x14ac:dyDescent="0.2">
      <c r="K7244" s="8"/>
    </row>
    <row r="7245" spans="11:11" x14ac:dyDescent="0.2">
      <c r="K7245" s="8"/>
    </row>
    <row r="7246" spans="11:11" x14ac:dyDescent="0.2">
      <c r="K7246" s="8"/>
    </row>
    <row r="7247" spans="11:11" x14ac:dyDescent="0.2">
      <c r="K7247" s="8"/>
    </row>
    <row r="7248" spans="11:11" x14ac:dyDescent="0.2">
      <c r="K7248" s="8"/>
    </row>
    <row r="7249" spans="11:11" x14ac:dyDescent="0.2">
      <c r="K7249" s="8"/>
    </row>
    <row r="7250" spans="11:11" x14ac:dyDescent="0.2">
      <c r="K7250" s="8"/>
    </row>
    <row r="7251" spans="11:11" x14ac:dyDescent="0.2">
      <c r="K7251" s="8"/>
    </row>
    <row r="7252" spans="11:11" x14ac:dyDescent="0.2">
      <c r="K7252" s="8"/>
    </row>
    <row r="7253" spans="11:11" x14ac:dyDescent="0.2">
      <c r="K7253" s="8"/>
    </row>
    <row r="7254" spans="11:11" x14ac:dyDescent="0.2">
      <c r="K7254" s="8"/>
    </row>
    <row r="7255" spans="11:11" x14ac:dyDescent="0.2">
      <c r="K7255" s="8"/>
    </row>
    <row r="7256" spans="11:11" x14ac:dyDescent="0.2">
      <c r="K7256" s="8"/>
    </row>
    <row r="7257" spans="11:11" x14ac:dyDescent="0.2">
      <c r="K7257" s="8"/>
    </row>
    <row r="7258" spans="11:11" x14ac:dyDescent="0.2">
      <c r="K7258" s="8"/>
    </row>
    <row r="7259" spans="11:11" x14ac:dyDescent="0.2">
      <c r="K7259" s="8"/>
    </row>
    <row r="7260" spans="11:11" x14ac:dyDescent="0.2">
      <c r="K7260" s="8"/>
    </row>
    <row r="7261" spans="11:11" x14ac:dyDescent="0.2">
      <c r="K7261" s="8"/>
    </row>
    <row r="7262" spans="11:11" x14ac:dyDescent="0.2">
      <c r="K7262" s="8"/>
    </row>
    <row r="7263" spans="11:11" x14ac:dyDescent="0.2">
      <c r="K7263" s="8"/>
    </row>
    <row r="7264" spans="11:11" x14ac:dyDescent="0.2">
      <c r="K7264" s="8"/>
    </row>
    <row r="7265" spans="11:11" x14ac:dyDescent="0.2">
      <c r="K7265" s="8"/>
    </row>
    <row r="7266" spans="11:11" x14ac:dyDescent="0.2">
      <c r="K7266" s="8"/>
    </row>
    <row r="7267" spans="11:11" x14ac:dyDescent="0.2">
      <c r="K7267" s="8"/>
    </row>
    <row r="7268" spans="11:11" x14ac:dyDescent="0.2">
      <c r="K7268" s="8"/>
    </row>
    <row r="7269" spans="11:11" x14ac:dyDescent="0.2">
      <c r="K7269" s="8"/>
    </row>
    <row r="7270" spans="11:11" x14ac:dyDescent="0.2">
      <c r="K7270" s="8"/>
    </row>
    <row r="7271" spans="11:11" x14ac:dyDescent="0.2">
      <c r="K7271" s="8"/>
    </row>
    <row r="7272" spans="11:11" x14ac:dyDescent="0.2">
      <c r="K7272" s="8"/>
    </row>
    <row r="7273" spans="11:11" x14ac:dyDescent="0.2">
      <c r="K7273" s="8"/>
    </row>
    <row r="7274" spans="11:11" x14ac:dyDescent="0.2">
      <c r="K7274" s="8"/>
    </row>
    <row r="7275" spans="11:11" x14ac:dyDescent="0.2">
      <c r="K7275" s="8"/>
    </row>
    <row r="7276" spans="11:11" x14ac:dyDescent="0.2">
      <c r="K7276" s="8"/>
    </row>
    <row r="7277" spans="11:11" x14ac:dyDescent="0.2">
      <c r="K7277" s="8"/>
    </row>
    <row r="7278" spans="11:11" x14ac:dyDescent="0.2">
      <c r="K7278" s="8"/>
    </row>
    <row r="7279" spans="11:11" x14ac:dyDescent="0.2">
      <c r="K7279" s="8"/>
    </row>
    <row r="7280" spans="11:11" x14ac:dyDescent="0.2">
      <c r="K7280" s="8"/>
    </row>
    <row r="7281" spans="11:11" x14ac:dyDescent="0.2">
      <c r="K7281" s="8"/>
    </row>
    <row r="7282" spans="11:11" x14ac:dyDescent="0.2">
      <c r="K7282" s="8"/>
    </row>
    <row r="7283" spans="11:11" x14ac:dyDescent="0.2">
      <c r="K7283" s="8"/>
    </row>
    <row r="7284" spans="11:11" x14ac:dyDescent="0.2">
      <c r="K7284" s="8"/>
    </row>
    <row r="7285" spans="11:11" x14ac:dyDescent="0.2">
      <c r="K7285" s="8"/>
    </row>
    <row r="7286" spans="11:11" x14ac:dyDescent="0.2">
      <c r="K7286" s="8"/>
    </row>
    <row r="7287" spans="11:11" x14ac:dyDescent="0.2">
      <c r="K7287" s="8"/>
    </row>
    <row r="7288" spans="11:11" x14ac:dyDescent="0.2">
      <c r="K7288" s="8"/>
    </row>
    <row r="7289" spans="11:11" x14ac:dyDescent="0.2">
      <c r="K7289" s="8"/>
    </row>
    <row r="7290" spans="11:11" x14ac:dyDescent="0.2">
      <c r="K7290" s="8"/>
    </row>
    <row r="7291" spans="11:11" x14ac:dyDescent="0.2">
      <c r="K7291" s="8"/>
    </row>
    <row r="7292" spans="11:11" x14ac:dyDescent="0.2">
      <c r="K7292" s="8"/>
    </row>
    <row r="7293" spans="11:11" x14ac:dyDescent="0.2">
      <c r="K7293" s="8"/>
    </row>
    <row r="7294" spans="11:11" x14ac:dyDescent="0.2">
      <c r="K7294" s="8"/>
    </row>
    <row r="7295" spans="11:11" x14ac:dyDescent="0.2">
      <c r="K7295" s="8"/>
    </row>
    <row r="7296" spans="11:11" x14ac:dyDescent="0.2">
      <c r="K7296" s="8"/>
    </row>
    <row r="7297" spans="11:11" x14ac:dyDescent="0.2">
      <c r="K7297" s="8"/>
    </row>
    <row r="7298" spans="11:11" x14ac:dyDescent="0.2">
      <c r="K7298" s="8"/>
    </row>
    <row r="7299" spans="11:11" x14ac:dyDescent="0.2">
      <c r="K7299" s="8"/>
    </row>
    <row r="7300" spans="11:11" x14ac:dyDescent="0.2">
      <c r="K7300" s="8"/>
    </row>
    <row r="7301" spans="11:11" x14ac:dyDescent="0.2">
      <c r="K7301" s="8"/>
    </row>
    <row r="7302" spans="11:11" x14ac:dyDescent="0.2">
      <c r="K7302" s="8"/>
    </row>
    <row r="7303" spans="11:11" x14ac:dyDescent="0.2">
      <c r="K7303" s="8"/>
    </row>
    <row r="7304" spans="11:11" x14ac:dyDescent="0.2">
      <c r="K7304" s="8"/>
    </row>
    <row r="7305" spans="11:11" x14ac:dyDescent="0.2">
      <c r="K7305" s="8"/>
    </row>
    <row r="7306" spans="11:11" x14ac:dyDescent="0.2">
      <c r="K7306" s="8"/>
    </row>
    <row r="7307" spans="11:11" x14ac:dyDescent="0.2">
      <c r="K7307" s="8"/>
    </row>
    <row r="7308" spans="11:11" x14ac:dyDescent="0.2">
      <c r="K7308" s="8"/>
    </row>
    <row r="7309" spans="11:11" x14ac:dyDescent="0.2">
      <c r="K7309" s="8"/>
    </row>
    <row r="7310" spans="11:11" x14ac:dyDescent="0.2">
      <c r="K7310" s="8"/>
    </row>
    <row r="7311" spans="11:11" x14ac:dyDescent="0.2">
      <c r="K7311" s="8"/>
    </row>
    <row r="7312" spans="11:11" x14ac:dyDescent="0.2">
      <c r="K7312" s="8"/>
    </row>
    <row r="7313" spans="11:11" x14ac:dyDescent="0.2">
      <c r="K7313" s="8"/>
    </row>
    <row r="7314" spans="11:11" x14ac:dyDescent="0.2">
      <c r="K7314" s="8"/>
    </row>
    <row r="7315" spans="11:11" x14ac:dyDescent="0.2">
      <c r="K7315" s="8"/>
    </row>
    <row r="7316" spans="11:11" x14ac:dyDescent="0.2">
      <c r="K7316" s="8"/>
    </row>
    <row r="7317" spans="11:11" x14ac:dyDescent="0.2">
      <c r="K7317" s="8"/>
    </row>
    <row r="7318" spans="11:11" x14ac:dyDescent="0.2">
      <c r="K7318" s="8"/>
    </row>
    <row r="7319" spans="11:11" x14ac:dyDescent="0.2">
      <c r="K7319" s="8"/>
    </row>
    <row r="7320" spans="11:11" x14ac:dyDescent="0.2">
      <c r="K7320" s="8"/>
    </row>
    <row r="7321" spans="11:11" x14ac:dyDescent="0.2">
      <c r="K7321" s="8"/>
    </row>
    <row r="7322" spans="11:11" x14ac:dyDescent="0.2">
      <c r="K7322" s="8"/>
    </row>
    <row r="7323" spans="11:11" x14ac:dyDescent="0.2">
      <c r="K7323" s="8"/>
    </row>
    <row r="7324" spans="11:11" x14ac:dyDescent="0.2">
      <c r="K7324" s="8"/>
    </row>
    <row r="7325" spans="11:11" x14ac:dyDescent="0.2">
      <c r="K7325" s="8"/>
    </row>
    <row r="7326" spans="11:11" x14ac:dyDescent="0.2">
      <c r="K7326" s="8"/>
    </row>
    <row r="7327" spans="11:11" x14ac:dyDescent="0.2">
      <c r="K7327" s="8"/>
    </row>
    <row r="7328" spans="11:11" x14ac:dyDescent="0.2">
      <c r="K7328" s="8"/>
    </row>
    <row r="7329" spans="11:11" x14ac:dyDescent="0.2">
      <c r="K7329" s="8"/>
    </row>
    <row r="7330" spans="11:11" x14ac:dyDescent="0.2">
      <c r="K7330" s="8"/>
    </row>
    <row r="7331" spans="11:11" x14ac:dyDescent="0.2">
      <c r="K7331" s="8"/>
    </row>
    <row r="7332" spans="11:11" x14ac:dyDescent="0.2">
      <c r="K7332" s="8"/>
    </row>
    <row r="7333" spans="11:11" x14ac:dyDescent="0.2">
      <c r="K7333" s="8"/>
    </row>
    <row r="7334" spans="11:11" x14ac:dyDescent="0.2">
      <c r="K7334" s="8"/>
    </row>
    <row r="7335" spans="11:11" x14ac:dyDescent="0.2">
      <c r="K7335" s="8"/>
    </row>
    <row r="7336" spans="11:11" x14ac:dyDescent="0.2">
      <c r="K7336" s="8"/>
    </row>
    <row r="7337" spans="11:11" x14ac:dyDescent="0.2">
      <c r="K7337" s="8"/>
    </row>
    <row r="7338" spans="11:11" x14ac:dyDescent="0.2">
      <c r="K7338" s="8"/>
    </row>
    <row r="7339" spans="11:11" x14ac:dyDescent="0.2">
      <c r="K7339" s="8"/>
    </row>
    <row r="7340" spans="11:11" x14ac:dyDescent="0.2">
      <c r="K7340" s="8"/>
    </row>
    <row r="7341" spans="11:11" x14ac:dyDescent="0.2">
      <c r="K7341" s="8"/>
    </row>
    <row r="7342" spans="11:11" x14ac:dyDescent="0.2">
      <c r="K7342" s="8"/>
    </row>
    <row r="7343" spans="11:11" x14ac:dyDescent="0.2">
      <c r="K7343" s="8"/>
    </row>
    <row r="7344" spans="11:11" x14ac:dyDescent="0.2">
      <c r="K7344" s="8"/>
    </row>
    <row r="7345" spans="11:11" x14ac:dyDescent="0.2">
      <c r="K7345" s="8"/>
    </row>
    <row r="7346" spans="11:11" x14ac:dyDescent="0.2">
      <c r="K7346" s="8"/>
    </row>
    <row r="7347" spans="11:11" x14ac:dyDescent="0.2">
      <c r="K7347" s="8"/>
    </row>
    <row r="7348" spans="11:11" x14ac:dyDescent="0.2">
      <c r="K7348" s="8"/>
    </row>
    <row r="7349" spans="11:11" x14ac:dyDescent="0.2">
      <c r="K7349" s="8"/>
    </row>
    <row r="7350" spans="11:11" x14ac:dyDescent="0.2">
      <c r="K7350" s="8"/>
    </row>
    <row r="7351" spans="11:11" x14ac:dyDescent="0.2">
      <c r="K7351" s="8"/>
    </row>
    <row r="7352" spans="11:11" x14ac:dyDescent="0.2">
      <c r="K7352" s="8"/>
    </row>
    <row r="7353" spans="11:11" x14ac:dyDescent="0.2">
      <c r="K7353" s="8"/>
    </row>
    <row r="7354" spans="11:11" x14ac:dyDescent="0.2">
      <c r="K7354" s="8"/>
    </row>
    <row r="7355" spans="11:11" x14ac:dyDescent="0.2">
      <c r="K7355" s="8"/>
    </row>
    <row r="7356" spans="11:11" x14ac:dyDescent="0.2">
      <c r="K7356" s="8"/>
    </row>
    <row r="7357" spans="11:11" x14ac:dyDescent="0.2">
      <c r="K7357" s="8"/>
    </row>
    <row r="7358" spans="11:11" x14ac:dyDescent="0.2">
      <c r="K7358" s="8"/>
    </row>
    <row r="7359" spans="11:11" x14ac:dyDescent="0.2">
      <c r="K7359" s="8"/>
    </row>
    <row r="7360" spans="11:11" x14ac:dyDescent="0.2">
      <c r="K7360" s="8"/>
    </row>
    <row r="7361" spans="11:11" x14ac:dyDescent="0.2">
      <c r="K7361" s="8"/>
    </row>
    <row r="7362" spans="11:11" x14ac:dyDescent="0.2">
      <c r="K7362" s="8"/>
    </row>
    <row r="7363" spans="11:11" x14ac:dyDescent="0.2">
      <c r="K7363" s="8"/>
    </row>
    <row r="7364" spans="11:11" x14ac:dyDescent="0.2">
      <c r="K7364" s="8"/>
    </row>
    <row r="7365" spans="11:11" x14ac:dyDescent="0.2">
      <c r="K7365" s="8"/>
    </row>
    <row r="7366" spans="11:11" x14ac:dyDescent="0.2">
      <c r="K7366" s="8"/>
    </row>
    <row r="7367" spans="11:11" x14ac:dyDescent="0.2">
      <c r="K7367" s="8"/>
    </row>
    <row r="7368" spans="11:11" x14ac:dyDescent="0.2">
      <c r="K7368" s="8"/>
    </row>
    <row r="7369" spans="11:11" x14ac:dyDescent="0.2">
      <c r="K7369" s="8"/>
    </row>
    <row r="7370" spans="11:11" x14ac:dyDescent="0.2">
      <c r="K7370" s="8"/>
    </row>
    <row r="7371" spans="11:11" x14ac:dyDescent="0.2">
      <c r="K7371" s="8"/>
    </row>
    <row r="7372" spans="11:11" x14ac:dyDescent="0.2">
      <c r="K7372" s="8"/>
    </row>
    <row r="7373" spans="11:11" x14ac:dyDescent="0.2">
      <c r="K7373" s="8"/>
    </row>
    <row r="7374" spans="11:11" x14ac:dyDescent="0.2">
      <c r="K7374" s="8"/>
    </row>
    <row r="7375" spans="11:11" x14ac:dyDescent="0.2">
      <c r="K7375" s="8"/>
    </row>
    <row r="7376" spans="11:11" x14ac:dyDescent="0.2">
      <c r="K7376" s="8"/>
    </row>
    <row r="7377" spans="11:11" x14ac:dyDescent="0.2">
      <c r="K7377" s="8"/>
    </row>
    <row r="7378" spans="11:11" x14ac:dyDescent="0.2">
      <c r="K7378" s="8"/>
    </row>
    <row r="7379" spans="11:11" x14ac:dyDescent="0.2">
      <c r="K7379" s="8"/>
    </row>
    <row r="7380" spans="11:11" x14ac:dyDescent="0.2">
      <c r="K7380" s="8"/>
    </row>
    <row r="7381" spans="11:11" x14ac:dyDescent="0.2">
      <c r="K7381" s="8"/>
    </row>
    <row r="7382" spans="11:11" x14ac:dyDescent="0.2">
      <c r="K7382" s="8"/>
    </row>
    <row r="7383" spans="11:11" x14ac:dyDescent="0.2">
      <c r="K7383" s="8"/>
    </row>
    <row r="7384" spans="11:11" x14ac:dyDescent="0.2">
      <c r="K7384" s="8"/>
    </row>
    <row r="7385" spans="11:11" x14ac:dyDescent="0.2">
      <c r="K7385" s="8"/>
    </row>
    <row r="7386" spans="11:11" x14ac:dyDescent="0.2">
      <c r="K7386" s="8"/>
    </row>
    <row r="7387" spans="11:11" x14ac:dyDescent="0.2">
      <c r="K7387" s="8"/>
    </row>
    <row r="7388" spans="11:11" x14ac:dyDescent="0.2">
      <c r="K7388" s="8"/>
    </row>
    <row r="7389" spans="11:11" x14ac:dyDescent="0.2">
      <c r="K7389" s="8"/>
    </row>
    <row r="7390" spans="11:11" x14ac:dyDescent="0.2">
      <c r="K7390" s="8"/>
    </row>
    <row r="7391" spans="11:11" x14ac:dyDescent="0.2">
      <c r="K7391" s="8"/>
    </row>
    <row r="7392" spans="11:11" x14ac:dyDescent="0.2">
      <c r="K7392" s="8"/>
    </row>
    <row r="7393" spans="11:11" x14ac:dyDescent="0.2">
      <c r="K7393" s="8"/>
    </row>
    <row r="7394" spans="11:11" x14ac:dyDescent="0.2">
      <c r="K7394" s="8"/>
    </row>
    <row r="7395" spans="11:11" x14ac:dyDescent="0.2">
      <c r="K7395" s="8"/>
    </row>
    <row r="7396" spans="11:11" x14ac:dyDescent="0.2">
      <c r="K7396" s="8"/>
    </row>
    <row r="7397" spans="11:11" x14ac:dyDescent="0.2">
      <c r="K7397" s="8"/>
    </row>
    <row r="7398" spans="11:11" x14ac:dyDescent="0.2">
      <c r="K7398" s="8"/>
    </row>
    <row r="7399" spans="11:11" x14ac:dyDescent="0.2">
      <c r="K7399" s="8"/>
    </row>
    <row r="7400" spans="11:11" x14ac:dyDescent="0.2">
      <c r="K7400" s="8"/>
    </row>
    <row r="7401" spans="11:11" x14ac:dyDescent="0.2">
      <c r="K7401" s="8"/>
    </row>
    <row r="7402" spans="11:11" x14ac:dyDescent="0.2">
      <c r="K7402" s="8"/>
    </row>
    <row r="7403" spans="11:11" x14ac:dyDescent="0.2">
      <c r="K7403" s="8"/>
    </row>
    <row r="7404" spans="11:11" x14ac:dyDescent="0.2">
      <c r="K7404" s="8"/>
    </row>
    <row r="7405" spans="11:11" x14ac:dyDescent="0.2">
      <c r="K7405" s="8"/>
    </row>
    <row r="7406" spans="11:11" x14ac:dyDescent="0.2">
      <c r="K7406" s="8"/>
    </row>
    <row r="7407" spans="11:11" x14ac:dyDescent="0.2">
      <c r="K7407" s="8"/>
    </row>
    <row r="7408" spans="11:11" x14ac:dyDescent="0.2">
      <c r="K7408" s="8"/>
    </row>
    <row r="7409" spans="11:11" x14ac:dyDescent="0.2">
      <c r="K7409" s="8"/>
    </row>
    <row r="7410" spans="11:11" x14ac:dyDescent="0.2">
      <c r="K7410" s="8"/>
    </row>
    <row r="7411" spans="11:11" x14ac:dyDescent="0.2">
      <c r="K7411" s="8"/>
    </row>
    <row r="7412" spans="11:11" x14ac:dyDescent="0.2">
      <c r="K7412" s="8"/>
    </row>
    <row r="7413" spans="11:11" x14ac:dyDescent="0.2">
      <c r="K7413" s="8"/>
    </row>
    <row r="7414" spans="11:11" x14ac:dyDescent="0.2">
      <c r="K7414" s="8"/>
    </row>
    <row r="7415" spans="11:11" x14ac:dyDescent="0.2">
      <c r="K7415" s="8"/>
    </row>
    <row r="7416" spans="11:11" x14ac:dyDescent="0.2">
      <c r="K7416" s="8"/>
    </row>
    <row r="7417" spans="11:11" x14ac:dyDescent="0.2">
      <c r="K7417" s="8"/>
    </row>
    <row r="7418" spans="11:11" x14ac:dyDescent="0.2">
      <c r="K7418" s="8"/>
    </row>
    <row r="7419" spans="11:11" x14ac:dyDescent="0.2">
      <c r="K7419" s="8"/>
    </row>
    <row r="7420" spans="11:11" x14ac:dyDescent="0.2">
      <c r="K7420" s="8"/>
    </row>
    <row r="7421" spans="11:11" x14ac:dyDescent="0.2">
      <c r="K7421" s="8"/>
    </row>
    <row r="7422" spans="11:11" x14ac:dyDescent="0.2">
      <c r="K7422" s="8"/>
    </row>
    <row r="7423" spans="11:11" x14ac:dyDescent="0.2">
      <c r="K7423" s="8"/>
    </row>
    <row r="7424" spans="11:11" x14ac:dyDescent="0.2">
      <c r="K7424" s="8"/>
    </row>
    <row r="7425" spans="11:11" x14ac:dyDescent="0.2">
      <c r="K7425" s="8"/>
    </row>
    <row r="7426" spans="11:11" x14ac:dyDescent="0.2">
      <c r="K7426" s="8"/>
    </row>
    <row r="7427" spans="11:11" x14ac:dyDescent="0.2">
      <c r="K7427" s="8"/>
    </row>
    <row r="7428" spans="11:11" x14ac:dyDescent="0.2">
      <c r="K7428" s="8"/>
    </row>
    <row r="7429" spans="11:11" x14ac:dyDescent="0.2">
      <c r="K7429" s="8"/>
    </row>
    <row r="7430" spans="11:11" x14ac:dyDescent="0.2">
      <c r="K7430" s="8"/>
    </row>
    <row r="7431" spans="11:11" x14ac:dyDescent="0.2">
      <c r="K7431" s="8"/>
    </row>
    <row r="7432" spans="11:11" x14ac:dyDescent="0.2">
      <c r="K7432" s="8"/>
    </row>
    <row r="7433" spans="11:11" x14ac:dyDescent="0.2">
      <c r="K7433" s="8"/>
    </row>
    <row r="7434" spans="11:11" x14ac:dyDescent="0.2">
      <c r="K7434" s="8"/>
    </row>
    <row r="7435" spans="11:11" x14ac:dyDescent="0.2">
      <c r="K7435" s="8"/>
    </row>
    <row r="7436" spans="11:11" x14ac:dyDescent="0.2">
      <c r="K7436" s="8"/>
    </row>
    <row r="7437" spans="11:11" x14ac:dyDescent="0.2">
      <c r="K7437" s="8"/>
    </row>
    <row r="7438" spans="11:11" x14ac:dyDescent="0.2">
      <c r="K7438" s="8"/>
    </row>
    <row r="7439" spans="11:11" x14ac:dyDescent="0.2">
      <c r="K7439" s="8"/>
    </row>
    <row r="7440" spans="11:11" x14ac:dyDescent="0.2">
      <c r="K7440" s="8"/>
    </row>
    <row r="7441" spans="11:11" x14ac:dyDescent="0.2">
      <c r="K7441" s="8"/>
    </row>
    <row r="7442" spans="11:11" x14ac:dyDescent="0.2">
      <c r="K7442" s="8"/>
    </row>
    <row r="7443" spans="11:11" x14ac:dyDescent="0.2">
      <c r="K7443" s="8"/>
    </row>
    <row r="7444" spans="11:11" x14ac:dyDescent="0.2">
      <c r="K7444" s="8"/>
    </row>
    <row r="7445" spans="11:11" x14ac:dyDescent="0.2">
      <c r="K7445" s="8"/>
    </row>
    <row r="7446" spans="11:11" x14ac:dyDescent="0.2">
      <c r="K7446" s="8"/>
    </row>
    <row r="7447" spans="11:11" x14ac:dyDescent="0.2">
      <c r="K7447" s="8"/>
    </row>
    <row r="7448" spans="11:11" x14ac:dyDescent="0.2">
      <c r="K7448" s="8"/>
    </row>
    <row r="7449" spans="11:11" x14ac:dyDescent="0.2">
      <c r="K7449" s="8"/>
    </row>
    <row r="7450" spans="11:11" x14ac:dyDescent="0.2">
      <c r="K7450" s="8"/>
    </row>
    <row r="7451" spans="11:11" x14ac:dyDescent="0.2">
      <c r="K7451" s="8"/>
    </row>
    <row r="7452" spans="11:11" x14ac:dyDescent="0.2">
      <c r="K7452" s="8"/>
    </row>
    <row r="7453" spans="11:11" x14ac:dyDescent="0.2">
      <c r="K7453" s="8"/>
    </row>
    <row r="7454" spans="11:11" x14ac:dyDescent="0.2">
      <c r="K7454" s="8"/>
    </row>
    <row r="7455" spans="11:11" x14ac:dyDescent="0.2">
      <c r="K7455" s="8"/>
    </row>
    <row r="7456" spans="11:11" x14ac:dyDescent="0.2">
      <c r="K7456" s="8"/>
    </row>
    <row r="7457" spans="11:11" x14ac:dyDescent="0.2">
      <c r="K7457" s="8"/>
    </row>
    <row r="7458" spans="11:11" x14ac:dyDescent="0.2">
      <c r="K7458" s="8"/>
    </row>
    <row r="7459" spans="11:11" x14ac:dyDescent="0.2">
      <c r="K7459" s="8"/>
    </row>
    <row r="7460" spans="11:11" x14ac:dyDescent="0.2">
      <c r="K7460" s="8"/>
    </row>
    <row r="7461" spans="11:11" x14ac:dyDescent="0.2">
      <c r="K7461" s="8"/>
    </row>
    <row r="7462" spans="11:11" x14ac:dyDescent="0.2">
      <c r="K7462" s="8"/>
    </row>
    <row r="7463" spans="11:11" x14ac:dyDescent="0.2">
      <c r="K7463" s="8"/>
    </row>
    <row r="7464" spans="11:11" x14ac:dyDescent="0.2">
      <c r="K7464" s="8"/>
    </row>
    <row r="7465" spans="11:11" x14ac:dyDescent="0.2">
      <c r="K7465" s="8"/>
    </row>
    <row r="7466" spans="11:11" x14ac:dyDescent="0.2">
      <c r="K7466" s="8"/>
    </row>
    <row r="7467" spans="11:11" x14ac:dyDescent="0.2">
      <c r="K7467" s="8"/>
    </row>
    <row r="7468" spans="11:11" x14ac:dyDescent="0.2">
      <c r="K7468" s="8"/>
    </row>
    <row r="7469" spans="11:11" x14ac:dyDescent="0.2">
      <c r="K7469" s="8"/>
    </row>
    <row r="7470" spans="11:11" x14ac:dyDescent="0.2">
      <c r="K7470" s="8"/>
    </row>
    <row r="7471" spans="11:11" x14ac:dyDescent="0.2">
      <c r="K7471" s="8"/>
    </row>
    <row r="7472" spans="11:11" x14ac:dyDescent="0.2">
      <c r="K7472" s="8"/>
    </row>
    <row r="7473" spans="11:11" x14ac:dyDescent="0.2">
      <c r="K7473" s="8"/>
    </row>
    <row r="7474" spans="11:11" x14ac:dyDescent="0.2">
      <c r="K7474" s="8"/>
    </row>
    <row r="7475" spans="11:11" x14ac:dyDescent="0.2">
      <c r="K7475" s="8"/>
    </row>
    <row r="7476" spans="11:11" x14ac:dyDescent="0.2">
      <c r="K7476" s="8"/>
    </row>
    <row r="7477" spans="11:11" x14ac:dyDescent="0.2">
      <c r="K7477" s="8"/>
    </row>
    <row r="7478" spans="11:11" x14ac:dyDescent="0.2">
      <c r="K7478" s="8"/>
    </row>
    <row r="7479" spans="11:11" x14ac:dyDescent="0.2">
      <c r="K7479" s="8"/>
    </row>
    <row r="7480" spans="11:11" x14ac:dyDescent="0.2">
      <c r="K7480" s="8"/>
    </row>
    <row r="7481" spans="11:11" x14ac:dyDescent="0.2">
      <c r="K7481" s="8"/>
    </row>
    <row r="7482" spans="11:11" x14ac:dyDescent="0.2">
      <c r="K7482" s="8"/>
    </row>
    <row r="7483" spans="11:11" x14ac:dyDescent="0.2">
      <c r="K7483" s="8"/>
    </row>
    <row r="7484" spans="11:11" x14ac:dyDescent="0.2">
      <c r="K7484" s="8"/>
    </row>
    <row r="7485" spans="11:11" x14ac:dyDescent="0.2">
      <c r="K7485" s="8"/>
    </row>
    <row r="7486" spans="11:11" x14ac:dyDescent="0.2">
      <c r="K7486" s="8"/>
    </row>
    <row r="7487" spans="11:11" x14ac:dyDescent="0.2">
      <c r="K7487" s="8"/>
    </row>
    <row r="7488" spans="11:11" x14ac:dyDescent="0.2">
      <c r="K7488" s="8"/>
    </row>
    <row r="7489" spans="11:11" x14ac:dyDescent="0.2">
      <c r="K7489" s="8"/>
    </row>
    <row r="7490" spans="11:11" x14ac:dyDescent="0.2">
      <c r="K7490" s="8"/>
    </row>
    <row r="7491" spans="11:11" x14ac:dyDescent="0.2">
      <c r="K7491" s="8"/>
    </row>
    <row r="7492" spans="11:11" x14ac:dyDescent="0.2">
      <c r="K7492" s="8"/>
    </row>
    <row r="7493" spans="11:11" x14ac:dyDescent="0.2">
      <c r="K7493" s="8"/>
    </row>
    <row r="7494" spans="11:11" x14ac:dyDescent="0.2">
      <c r="K7494" s="8"/>
    </row>
    <row r="7495" spans="11:11" x14ac:dyDescent="0.2">
      <c r="K7495" s="8"/>
    </row>
    <row r="7496" spans="11:11" x14ac:dyDescent="0.2">
      <c r="K7496" s="8"/>
    </row>
    <row r="7497" spans="11:11" x14ac:dyDescent="0.2">
      <c r="K7497" s="8"/>
    </row>
    <row r="7498" spans="11:11" x14ac:dyDescent="0.2">
      <c r="K7498" s="8"/>
    </row>
    <row r="7499" spans="11:11" x14ac:dyDescent="0.2">
      <c r="K7499" s="8"/>
    </row>
    <row r="7500" spans="11:11" x14ac:dyDescent="0.2">
      <c r="K7500" s="8"/>
    </row>
    <row r="7501" spans="11:11" x14ac:dyDescent="0.2">
      <c r="K7501" s="8"/>
    </row>
    <row r="7502" spans="11:11" x14ac:dyDescent="0.2">
      <c r="K7502" s="8"/>
    </row>
    <row r="7503" spans="11:11" x14ac:dyDescent="0.2">
      <c r="K7503" s="8"/>
    </row>
    <row r="7504" spans="11:11" x14ac:dyDescent="0.2">
      <c r="K7504" s="8"/>
    </row>
    <row r="7505" spans="11:11" x14ac:dyDescent="0.2">
      <c r="K7505" s="8"/>
    </row>
    <row r="7506" spans="11:11" x14ac:dyDescent="0.2">
      <c r="K7506" s="8"/>
    </row>
    <row r="7507" spans="11:11" x14ac:dyDescent="0.2">
      <c r="K7507" s="8"/>
    </row>
    <row r="7508" spans="11:11" x14ac:dyDescent="0.2">
      <c r="K7508" s="8"/>
    </row>
    <row r="7509" spans="11:11" x14ac:dyDescent="0.2">
      <c r="K7509" s="8"/>
    </row>
    <row r="7510" spans="11:11" x14ac:dyDescent="0.2">
      <c r="K7510" s="8"/>
    </row>
    <row r="7511" spans="11:11" x14ac:dyDescent="0.2">
      <c r="K7511" s="8"/>
    </row>
    <row r="7512" spans="11:11" x14ac:dyDescent="0.2">
      <c r="K7512" s="8"/>
    </row>
    <row r="7513" spans="11:11" x14ac:dyDescent="0.2">
      <c r="K7513" s="8"/>
    </row>
    <row r="7514" spans="11:11" x14ac:dyDescent="0.2">
      <c r="K7514" s="8"/>
    </row>
    <row r="7515" spans="11:11" x14ac:dyDescent="0.2">
      <c r="K7515" s="8"/>
    </row>
    <row r="7516" spans="11:11" x14ac:dyDescent="0.2">
      <c r="K7516" s="8"/>
    </row>
    <row r="7517" spans="11:11" x14ac:dyDescent="0.2">
      <c r="K7517" s="8"/>
    </row>
    <row r="7518" spans="11:11" x14ac:dyDescent="0.2">
      <c r="K7518" s="8"/>
    </row>
    <row r="7519" spans="11:11" x14ac:dyDescent="0.2">
      <c r="K7519" s="8"/>
    </row>
    <row r="7520" spans="11:11" x14ac:dyDescent="0.2">
      <c r="K7520" s="8"/>
    </row>
    <row r="7521" spans="11:11" x14ac:dyDescent="0.2">
      <c r="K7521" s="8"/>
    </row>
    <row r="7522" spans="11:11" x14ac:dyDescent="0.2">
      <c r="K7522" s="8"/>
    </row>
    <row r="7523" spans="11:11" x14ac:dyDescent="0.2">
      <c r="K7523" s="8"/>
    </row>
    <row r="7524" spans="11:11" x14ac:dyDescent="0.2">
      <c r="K7524" s="8"/>
    </row>
    <row r="7525" spans="11:11" x14ac:dyDescent="0.2">
      <c r="K7525" s="8"/>
    </row>
    <row r="7526" spans="11:11" x14ac:dyDescent="0.2">
      <c r="K7526" s="8"/>
    </row>
    <row r="7527" spans="11:11" x14ac:dyDescent="0.2">
      <c r="K7527" s="8"/>
    </row>
    <row r="7528" spans="11:11" x14ac:dyDescent="0.2">
      <c r="K7528" s="8"/>
    </row>
    <row r="7529" spans="11:11" x14ac:dyDescent="0.2">
      <c r="K7529" s="8"/>
    </row>
    <row r="7530" spans="11:11" x14ac:dyDescent="0.2">
      <c r="K7530" s="8"/>
    </row>
    <row r="7531" spans="11:11" x14ac:dyDescent="0.2">
      <c r="K7531" s="8"/>
    </row>
    <row r="7532" spans="11:11" x14ac:dyDescent="0.2">
      <c r="K7532" s="8"/>
    </row>
    <row r="7533" spans="11:11" x14ac:dyDescent="0.2">
      <c r="K7533" s="8"/>
    </row>
    <row r="7534" spans="11:11" x14ac:dyDescent="0.2">
      <c r="K7534" s="8"/>
    </row>
    <row r="7535" spans="11:11" x14ac:dyDescent="0.2">
      <c r="K7535" s="8"/>
    </row>
    <row r="7536" spans="11:11" x14ac:dyDescent="0.2">
      <c r="K7536" s="8"/>
    </row>
    <row r="7537" spans="11:11" x14ac:dyDescent="0.2">
      <c r="K7537" s="8"/>
    </row>
    <row r="7538" spans="11:11" x14ac:dyDescent="0.2">
      <c r="K7538" s="8"/>
    </row>
    <row r="7539" spans="11:11" x14ac:dyDescent="0.2">
      <c r="K7539" s="8"/>
    </row>
    <row r="7540" spans="11:11" x14ac:dyDescent="0.2">
      <c r="K7540" s="8"/>
    </row>
    <row r="7541" spans="11:11" x14ac:dyDescent="0.2">
      <c r="K7541" s="8"/>
    </row>
    <row r="7542" spans="11:11" x14ac:dyDescent="0.2">
      <c r="K7542" s="8"/>
    </row>
    <row r="7543" spans="11:11" x14ac:dyDescent="0.2">
      <c r="K7543" s="8"/>
    </row>
    <row r="7544" spans="11:11" x14ac:dyDescent="0.2">
      <c r="K7544" s="8"/>
    </row>
    <row r="7545" spans="11:11" x14ac:dyDescent="0.2">
      <c r="K7545" s="8"/>
    </row>
    <row r="7546" spans="11:11" x14ac:dyDescent="0.2">
      <c r="K7546" s="8"/>
    </row>
    <row r="7547" spans="11:11" x14ac:dyDescent="0.2">
      <c r="K7547" s="8"/>
    </row>
    <row r="7548" spans="11:11" x14ac:dyDescent="0.2">
      <c r="K7548" s="8"/>
    </row>
    <row r="7549" spans="11:11" x14ac:dyDescent="0.2">
      <c r="K7549" s="8"/>
    </row>
    <row r="7550" spans="11:11" x14ac:dyDescent="0.2">
      <c r="K7550" s="8"/>
    </row>
    <row r="7551" spans="11:11" x14ac:dyDescent="0.2">
      <c r="K7551" s="8"/>
    </row>
    <row r="7552" spans="11:11" x14ac:dyDescent="0.2">
      <c r="K7552" s="8"/>
    </row>
    <row r="7553" spans="11:11" x14ac:dyDescent="0.2">
      <c r="K7553" s="8"/>
    </row>
    <row r="7554" spans="11:11" x14ac:dyDescent="0.2">
      <c r="K7554" s="8"/>
    </row>
    <row r="7555" spans="11:11" x14ac:dyDescent="0.2">
      <c r="K7555" s="8"/>
    </row>
    <row r="7556" spans="11:11" x14ac:dyDescent="0.2">
      <c r="K7556" s="8"/>
    </row>
    <row r="7557" spans="11:11" x14ac:dyDescent="0.2">
      <c r="K7557" s="8"/>
    </row>
    <row r="7558" spans="11:11" x14ac:dyDescent="0.2">
      <c r="K7558" s="8"/>
    </row>
    <row r="7559" spans="11:11" x14ac:dyDescent="0.2">
      <c r="K7559" s="8"/>
    </row>
    <row r="7560" spans="11:11" x14ac:dyDescent="0.2">
      <c r="K7560" s="8"/>
    </row>
    <row r="7561" spans="11:11" x14ac:dyDescent="0.2">
      <c r="K7561" s="8"/>
    </row>
    <row r="7562" spans="11:11" x14ac:dyDescent="0.2">
      <c r="K7562" s="8"/>
    </row>
    <row r="7563" spans="11:11" x14ac:dyDescent="0.2">
      <c r="K7563" s="8"/>
    </row>
    <row r="7564" spans="11:11" x14ac:dyDescent="0.2">
      <c r="K7564" s="8"/>
    </row>
    <row r="7565" spans="11:11" x14ac:dyDescent="0.2">
      <c r="K7565" s="8"/>
    </row>
    <row r="7566" spans="11:11" x14ac:dyDescent="0.2">
      <c r="K7566" s="8"/>
    </row>
    <row r="7567" spans="11:11" x14ac:dyDescent="0.2">
      <c r="K7567" s="8"/>
    </row>
    <row r="7568" spans="11:11" x14ac:dyDescent="0.2">
      <c r="K7568" s="8"/>
    </row>
    <row r="7569" spans="11:11" x14ac:dyDescent="0.2">
      <c r="K7569" s="8"/>
    </row>
    <row r="7570" spans="11:11" x14ac:dyDescent="0.2">
      <c r="K7570" s="8"/>
    </row>
    <row r="7571" spans="11:11" x14ac:dyDescent="0.2">
      <c r="K7571" s="8"/>
    </row>
    <row r="7572" spans="11:11" x14ac:dyDescent="0.2">
      <c r="K7572" s="8"/>
    </row>
    <row r="7573" spans="11:11" x14ac:dyDescent="0.2">
      <c r="K7573" s="8"/>
    </row>
    <row r="7574" spans="11:11" x14ac:dyDescent="0.2">
      <c r="K7574" s="8"/>
    </row>
    <row r="7575" spans="11:11" x14ac:dyDescent="0.2">
      <c r="K7575" s="8"/>
    </row>
    <row r="7576" spans="11:11" x14ac:dyDescent="0.2">
      <c r="K7576" s="8"/>
    </row>
    <row r="7577" spans="11:11" x14ac:dyDescent="0.2">
      <c r="K7577" s="8"/>
    </row>
    <row r="7578" spans="11:11" x14ac:dyDescent="0.2">
      <c r="K7578" s="8"/>
    </row>
    <row r="7579" spans="11:11" x14ac:dyDescent="0.2">
      <c r="K7579" s="8"/>
    </row>
    <row r="7580" spans="11:11" x14ac:dyDescent="0.2">
      <c r="K7580" s="8"/>
    </row>
    <row r="7581" spans="11:11" x14ac:dyDescent="0.2">
      <c r="K7581" s="8"/>
    </row>
    <row r="7582" spans="11:11" x14ac:dyDescent="0.2">
      <c r="K7582" s="8"/>
    </row>
    <row r="7583" spans="11:11" x14ac:dyDescent="0.2">
      <c r="K7583" s="8"/>
    </row>
    <row r="7584" spans="11:11" x14ac:dyDescent="0.2">
      <c r="K7584" s="8"/>
    </row>
    <row r="7585" spans="11:11" x14ac:dyDescent="0.2">
      <c r="K7585" s="8"/>
    </row>
    <row r="7586" spans="11:11" x14ac:dyDescent="0.2">
      <c r="K7586" s="8"/>
    </row>
    <row r="7587" spans="11:11" x14ac:dyDescent="0.2">
      <c r="K7587" s="8"/>
    </row>
    <row r="7588" spans="11:11" x14ac:dyDescent="0.2">
      <c r="K7588" s="8"/>
    </row>
    <row r="7589" spans="11:11" x14ac:dyDescent="0.2">
      <c r="K7589" s="8"/>
    </row>
    <row r="7590" spans="11:11" x14ac:dyDescent="0.2">
      <c r="K7590" s="8"/>
    </row>
    <row r="7591" spans="11:11" x14ac:dyDescent="0.2">
      <c r="K7591" s="8"/>
    </row>
    <row r="7592" spans="11:11" x14ac:dyDescent="0.2">
      <c r="K7592" s="8"/>
    </row>
    <row r="7593" spans="11:11" x14ac:dyDescent="0.2">
      <c r="K7593" s="8"/>
    </row>
    <row r="7594" spans="11:11" x14ac:dyDescent="0.2">
      <c r="K7594" s="8"/>
    </row>
    <row r="7595" spans="11:11" x14ac:dyDescent="0.2">
      <c r="K7595" s="8"/>
    </row>
    <row r="7596" spans="11:11" x14ac:dyDescent="0.2">
      <c r="K7596" s="8"/>
    </row>
    <row r="7597" spans="11:11" x14ac:dyDescent="0.2">
      <c r="K7597" s="8"/>
    </row>
    <row r="7598" spans="11:11" x14ac:dyDescent="0.2">
      <c r="K7598" s="8"/>
    </row>
    <row r="7599" spans="11:11" x14ac:dyDescent="0.2">
      <c r="K7599" s="8"/>
    </row>
    <row r="7600" spans="11:11" x14ac:dyDescent="0.2">
      <c r="K7600" s="8"/>
    </row>
    <row r="7601" spans="11:11" x14ac:dyDescent="0.2">
      <c r="K7601" s="8"/>
    </row>
    <row r="7602" spans="11:11" x14ac:dyDescent="0.2">
      <c r="K7602" s="8"/>
    </row>
    <row r="7603" spans="11:11" x14ac:dyDescent="0.2">
      <c r="K7603" s="8"/>
    </row>
    <row r="7604" spans="11:11" x14ac:dyDescent="0.2">
      <c r="K7604" s="8"/>
    </row>
    <row r="7605" spans="11:11" x14ac:dyDescent="0.2">
      <c r="K7605" s="8"/>
    </row>
    <row r="7606" spans="11:11" x14ac:dyDescent="0.2">
      <c r="K7606" s="8"/>
    </row>
    <row r="7607" spans="11:11" x14ac:dyDescent="0.2">
      <c r="K7607" s="8"/>
    </row>
    <row r="7608" spans="11:11" x14ac:dyDescent="0.2">
      <c r="K7608" s="8"/>
    </row>
    <row r="7609" spans="11:11" x14ac:dyDescent="0.2">
      <c r="K7609" s="8"/>
    </row>
    <row r="7610" spans="11:11" x14ac:dyDescent="0.2">
      <c r="K7610" s="8"/>
    </row>
    <row r="7611" spans="11:11" x14ac:dyDescent="0.2">
      <c r="K7611" s="8"/>
    </row>
    <row r="7612" spans="11:11" x14ac:dyDescent="0.2">
      <c r="K7612" s="8"/>
    </row>
    <row r="7613" spans="11:11" x14ac:dyDescent="0.2">
      <c r="K7613" s="8"/>
    </row>
    <row r="7614" spans="11:11" x14ac:dyDescent="0.2">
      <c r="K7614" s="8"/>
    </row>
    <row r="7615" spans="11:11" x14ac:dyDescent="0.2">
      <c r="K7615" s="8"/>
    </row>
    <row r="7616" spans="11:11" x14ac:dyDescent="0.2">
      <c r="K7616" s="8"/>
    </row>
    <row r="7617" spans="11:11" x14ac:dyDescent="0.2">
      <c r="K7617" s="8"/>
    </row>
    <row r="7618" spans="11:11" x14ac:dyDescent="0.2">
      <c r="K7618" s="8"/>
    </row>
    <row r="7619" spans="11:11" x14ac:dyDescent="0.2">
      <c r="K7619" s="8"/>
    </row>
    <row r="7620" spans="11:11" x14ac:dyDescent="0.2">
      <c r="K7620" s="8"/>
    </row>
    <row r="7621" spans="11:11" x14ac:dyDescent="0.2">
      <c r="K7621" s="8"/>
    </row>
    <row r="7622" spans="11:11" x14ac:dyDescent="0.2">
      <c r="K7622" s="8"/>
    </row>
    <row r="7623" spans="11:11" x14ac:dyDescent="0.2">
      <c r="K7623" s="8"/>
    </row>
    <row r="7624" spans="11:11" x14ac:dyDescent="0.2">
      <c r="K7624" s="8"/>
    </row>
    <row r="7625" spans="11:11" x14ac:dyDescent="0.2">
      <c r="K7625" s="8"/>
    </row>
    <row r="7626" spans="11:11" x14ac:dyDescent="0.2">
      <c r="K7626" s="8"/>
    </row>
    <row r="7627" spans="11:11" x14ac:dyDescent="0.2">
      <c r="K7627" s="8"/>
    </row>
    <row r="7628" spans="11:11" x14ac:dyDescent="0.2">
      <c r="K7628" s="8"/>
    </row>
    <row r="7629" spans="11:11" x14ac:dyDescent="0.2">
      <c r="K7629" s="8"/>
    </row>
    <row r="7630" spans="11:11" x14ac:dyDescent="0.2">
      <c r="K7630" s="8"/>
    </row>
    <row r="7631" spans="11:11" x14ac:dyDescent="0.2">
      <c r="K7631" s="8"/>
    </row>
    <row r="7632" spans="11:11" x14ac:dyDescent="0.2">
      <c r="K7632" s="8"/>
    </row>
    <row r="7633" spans="11:11" x14ac:dyDescent="0.2">
      <c r="K7633" s="8"/>
    </row>
    <row r="7634" spans="11:11" x14ac:dyDescent="0.2">
      <c r="K7634" s="8"/>
    </row>
    <row r="7635" spans="11:11" x14ac:dyDescent="0.2">
      <c r="K7635" s="8"/>
    </row>
    <row r="7636" spans="11:11" x14ac:dyDescent="0.2">
      <c r="K7636" s="8"/>
    </row>
    <row r="7637" spans="11:11" x14ac:dyDescent="0.2">
      <c r="K7637" s="8"/>
    </row>
    <row r="7638" spans="11:11" x14ac:dyDescent="0.2">
      <c r="K7638" s="8"/>
    </row>
    <row r="7639" spans="11:11" x14ac:dyDescent="0.2">
      <c r="K7639" s="8"/>
    </row>
    <row r="7640" spans="11:11" x14ac:dyDescent="0.2">
      <c r="K7640" s="8"/>
    </row>
    <row r="7641" spans="11:11" x14ac:dyDescent="0.2">
      <c r="K7641" s="8"/>
    </row>
    <row r="7642" spans="11:11" x14ac:dyDescent="0.2">
      <c r="K7642" s="8"/>
    </row>
    <row r="7643" spans="11:11" x14ac:dyDescent="0.2">
      <c r="K7643" s="8"/>
    </row>
    <row r="7644" spans="11:11" x14ac:dyDescent="0.2">
      <c r="K7644" s="8"/>
    </row>
    <row r="7645" spans="11:11" x14ac:dyDescent="0.2">
      <c r="K7645" s="8"/>
    </row>
    <row r="7646" spans="11:11" x14ac:dyDescent="0.2">
      <c r="K7646" s="8"/>
    </row>
    <row r="7647" spans="11:11" x14ac:dyDescent="0.2">
      <c r="K7647" s="8"/>
    </row>
    <row r="7648" spans="11:11" x14ac:dyDescent="0.2">
      <c r="K7648" s="8"/>
    </row>
    <row r="7649" spans="11:11" x14ac:dyDescent="0.2">
      <c r="K7649" s="8"/>
    </row>
    <row r="7650" spans="11:11" x14ac:dyDescent="0.2">
      <c r="K7650" s="8"/>
    </row>
    <row r="7651" spans="11:11" x14ac:dyDescent="0.2">
      <c r="K7651" s="8"/>
    </row>
    <row r="7652" spans="11:11" x14ac:dyDescent="0.2">
      <c r="K7652" s="8"/>
    </row>
    <row r="7653" spans="11:11" x14ac:dyDescent="0.2">
      <c r="K7653" s="8"/>
    </row>
    <row r="7654" spans="11:11" x14ac:dyDescent="0.2">
      <c r="K7654" s="8"/>
    </row>
    <row r="7655" spans="11:11" x14ac:dyDescent="0.2">
      <c r="K7655" s="8"/>
    </row>
    <row r="7656" spans="11:11" x14ac:dyDescent="0.2">
      <c r="K7656" s="8"/>
    </row>
    <row r="7657" spans="11:11" x14ac:dyDescent="0.2">
      <c r="K7657" s="8"/>
    </row>
    <row r="7658" spans="11:11" x14ac:dyDescent="0.2">
      <c r="K7658" s="8"/>
    </row>
    <row r="7659" spans="11:11" x14ac:dyDescent="0.2">
      <c r="K7659" s="8"/>
    </row>
    <row r="7660" spans="11:11" x14ac:dyDescent="0.2">
      <c r="K7660" s="8"/>
    </row>
    <row r="7661" spans="11:11" x14ac:dyDescent="0.2">
      <c r="K7661" s="8"/>
    </row>
    <row r="7662" spans="11:11" x14ac:dyDescent="0.2">
      <c r="K7662" s="8"/>
    </row>
    <row r="7663" spans="11:11" x14ac:dyDescent="0.2">
      <c r="K7663" s="8"/>
    </row>
    <row r="7664" spans="11:11" x14ac:dyDescent="0.2">
      <c r="K7664" s="8"/>
    </row>
    <row r="7665" spans="11:11" x14ac:dyDescent="0.2">
      <c r="K7665" s="8"/>
    </row>
    <row r="7666" spans="11:11" x14ac:dyDescent="0.2">
      <c r="K7666" s="8"/>
    </row>
    <row r="7667" spans="11:11" x14ac:dyDescent="0.2">
      <c r="K7667" s="8"/>
    </row>
    <row r="7668" spans="11:11" x14ac:dyDescent="0.2">
      <c r="K7668" s="8"/>
    </row>
    <row r="7669" spans="11:11" x14ac:dyDescent="0.2">
      <c r="K7669" s="8"/>
    </row>
    <row r="7670" spans="11:11" x14ac:dyDescent="0.2">
      <c r="K7670" s="8"/>
    </row>
    <row r="7671" spans="11:11" x14ac:dyDescent="0.2">
      <c r="K7671" s="8"/>
    </row>
    <row r="7672" spans="11:11" x14ac:dyDescent="0.2">
      <c r="K7672" s="8"/>
    </row>
    <row r="7673" spans="11:11" x14ac:dyDescent="0.2">
      <c r="K7673" s="8"/>
    </row>
    <row r="7674" spans="11:11" x14ac:dyDescent="0.2">
      <c r="K7674" s="8"/>
    </row>
    <row r="7675" spans="11:11" x14ac:dyDescent="0.2">
      <c r="K7675" s="8"/>
    </row>
    <row r="7676" spans="11:11" x14ac:dyDescent="0.2">
      <c r="K7676" s="8"/>
    </row>
    <row r="7677" spans="11:11" x14ac:dyDescent="0.2">
      <c r="K7677" s="8"/>
    </row>
    <row r="7678" spans="11:11" x14ac:dyDescent="0.2">
      <c r="K7678" s="8"/>
    </row>
    <row r="7679" spans="11:11" x14ac:dyDescent="0.2">
      <c r="K7679" s="8"/>
    </row>
    <row r="7680" spans="11:11" x14ac:dyDescent="0.2">
      <c r="K7680" s="8"/>
    </row>
    <row r="7681" spans="11:11" x14ac:dyDescent="0.2">
      <c r="K7681" s="8"/>
    </row>
    <row r="7682" spans="11:11" x14ac:dyDescent="0.2">
      <c r="K7682" s="8"/>
    </row>
    <row r="7683" spans="11:11" x14ac:dyDescent="0.2">
      <c r="K7683" s="8"/>
    </row>
    <row r="7684" spans="11:11" x14ac:dyDescent="0.2">
      <c r="K7684" s="8"/>
    </row>
    <row r="7685" spans="11:11" x14ac:dyDescent="0.2">
      <c r="K7685" s="8"/>
    </row>
    <row r="7686" spans="11:11" x14ac:dyDescent="0.2">
      <c r="K7686" s="8"/>
    </row>
    <row r="7687" spans="11:11" x14ac:dyDescent="0.2">
      <c r="K7687" s="8"/>
    </row>
    <row r="7688" spans="11:11" x14ac:dyDescent="0.2">
      <c r="K7688" s="8"/>
    </row>
    <row r="7689" spans="11:11" x14ac:dyDescent="0.2">
      <c r="K7689" s="8"/>
    </row>
    <row r="7690" spans="11:11" x14ac:dyDescent="0.2">
      <c r="K7690" s="8"/>
    </row>
    <row r="7691" spans="11:11" x14ac:dyDescent="0.2">
      <c r="K7691" s="8"/>
    </row>
    <row r="7692" spans="11:11" x14ac:dyDescent="0.2">
      <c r="K7692" s="8"/>
    </row>
    <row r="7693" spans="11:11" x14ac:dyDescent="0.2">
      <c r="K7693" s="8"/>
    </row>
    <row r="7694" spans="11:11" x14ac:dyDescent="0.2">
      <c r="K7694" s="8"/>
    </row>
    <row r="7695" spans="11:11" x14ac:dyDescent="0.2">
      <c r="K7695" s="8"/>
    </row>
    <row r="7696" spans="11:11" x14ac:dyDescent="0.2">
      <c r="K7696" s="8"/>
    </row>
    <row r="7697" spans="11:11" x14ac:dyDescent="0.2">
      <c r="K7697" s="8"/>
    </row>
    <row r="7698" spans="11:11" x14ac:dyDescent="0.2">
      <c r="K7698" s="8"/>
    </row>
    <row r="7699" spans="11:11" x14ac:dyDescent="0.2">
      <c r="K7699" s="8"/>
    </row>
    <row r="7700" spans="11:11" x14ac:dyDescent="0.2">
      <c r="K7700" s="8"/>
    </row>
    <row r="7701" spans="11:11" x14ac:dyDescent="0.2">
      <c r="K7701" s="8"/>
    </row>
    <row r="7702" spans="11:11" x14ac:dyDescent="0.2">
      <c r="K7702" s="8"/>
    </row>
    <row r="7703" spans="11:11" x14ac:dyDescent="0.2">
      <c r="K7703" s="8"/>
    </row>
    <row r="7704" spans="11:11" x14ac:dyDescent="0.2">
      <c r="K7704" s="8"/>
    </row>
    <row r="7705" spans="11:11" x14ac:dyDescent="0.2">
      <c r="K7705" s="8"/>
    </row>
    <row r="7706" spans="11:11" x14ac:dyDescent="0.2">
      <c r="K7706" s="8"/>
    </row>
    <row r="7707" spans="11:11" x14ac:dyDescent="0.2">
      <c r="K7707" s="8"/>
    </row>
    <row r="7708" spans="11:11" x14ac:dyDescent="0.2">
      <c r="K7708" s="8"/>
    </row>
    <row r="7709" spans="11:11" x14ac:dyDescent="0.2">
      <c r="K7709" s="8"/>
    </row>
    <row r="7710" spans="11:11" x14ac:dyDescent="0.2">
      <c r="K7710" s="8"/>
    </row>
    <row r="7711" spans="11:11" x14ac:dyDescent="0.2">
      <c r="K7711" s="8"/>
    </row>
    <row r="7712" spans="11:11" x14ac:dyDescent="0.2">
      <c r="K7712" s="8"/>
    </row>
    <row r="7713" spans="11:11" x14ac:dyDescent="0.2">
      <c r="K7713" s="8"/>
    </row>
    <row r="7714" spans="11:11" x14ac:dyDescent="0.2">
      <c r="K7714" s="8"/>
    </row>
    <row r="7715" spans="11:11" x14ac:dyDescent="0.2">
      <c r="K7715" s="8"/>
    </row>
    <row r="7716" spans="11:11" x14ac:dyDescent="0.2">
      <c r="K7716" s="8"/>
    </row>
    <row r="7717" spans="11:11" x14ac:dyDescent="0.2">
      <c r="K7717" s="8"/>
    </row>
    <row r="7718" spans="11:11" x14ac:dyDescent="0.2">
      <c r="K7718" s="8"/>
    </row>
    <row r="7719" spans="11:11" x14ac:dyDescent="0.2">
      <c r="K7719" s="8"/>
    </row>
    <row r="7720" spans="11:11" x14ac:dyDescent="0.2">
      <c r="K7720" s="8"/>
    </row>
    <row r="7721" spans="11:11" x14ac:dyDescent="0.2">
      <c r="K7721" s="8"/>
    </row>
    <row r="7722" spans="11:11" x14ac:dyDescent="0.2">
      <c r="K7722" s="8"/>
    </row>
    <row r="7723" spans="11:11" x14ac:dyDescent="0.2">
      <c r="K7723" s="8"/>
    </row>
    <row r="7724" spans="11:11" x14ac:dyDescent="0.2">
      <c r="K7724" s="8"/>
    </row>
    <row r="7725" spans="11:11" x14ac:dyDescent="0.2">
      <c r="K7725" s="8"/>
    </row>
    <row r="7726" spans="11:11" x14ac:dyDescent="0.2">
      <c r="K7726" s="8"/>
    </row>
    <row r="7727" spans="11:11" x14ac:dyDescent="0.2">
      <c r="K7727" s="8"/>
    </row>
    <row r="7728" spans="11:11" x14ac:dyDescent="0.2">
      <c r="K7728" s="8"/>
    </row>
    <row r="7729" spans="11:11" x14ac:dyDescent="0.2">
      <c r="K7729" s="8"/>
    </row>
    <row r="7730" spans="11:11" x14ac:dyDescent="0.2">
      <c r="K7730" s="8"/>
    </row>
    <row r="7731" spans="11:11" x14ac:dyDescent="0.2">
      <c r="K7731" s="8"/>
    </row>
    <row r="7732" spans="11:11" x14ac:dyDescent="0.2">
      <c r="K7732" s="8"/>
    </row>
    <row r="7733" spans="11:11" x14ac:dyDescent="0.2">
      <c r="K7733" s="8"/>
    </row>
    <row r="7734" spans="11:11" x14ac:dyDescent="0.2">
      <c r="K7734" s="8"/>
    </row>
    <row r="7735" spans="11:11" x14ac:dyDescent="0.2">
      <c r="K7735" s="8"/>
    </row>
    <row r="7736" spans="11:11" x14ac:dyDescent="0.2">
      <c r="K7736" s="8"/>
    </row>
    <row r="7737" spans="11:11" x14ac:dyDescent="0.2">
      <c r="K7737" s="8"/>
    </row>
    <row r="7738" spans="11:11" x14ac:dyDescent="0.2">
      <c r="K7738" s="8"/>
    </row>
    <row r="7739" spans="11:11" x14ac:dyDescent="0.2">
      <c r="K7739" s="8"/>
    </row>
    <row r="7740" spans="11:11" x14ac:dyDescent="0.2">
      <c r="K7740" s="8"/>
    </row>
    <row r="7741" spans="11:11" x14ac:dyDescent="0.2">
      <c r="K7741" s="8"/>
    </row>
    <row r="7742" spans="11:11" x14ac:dyDescent="0.2">
      <c r="K7742" s="8"/>
    </row>
    <row r="7743" spans="11:11" x14ac:dyDescent="0.2">
      <c r="K7743" s="8"/>
    </row>
    <row r="7744" spans="11:11" x14ac:dyDescent="0.2">
      <c r="K7744" s="8"/>
    </row>
    <row r="7745" spans="11:11" x14ac:dyDescent="0.2">
      <c r="K7745" s="8"/>
    </row>
    <row r="7746" spans="11:11" x14ac:dyDescent="0.2">
      <c r="K7746" s="8"/>
    </row>
    <row r="7747" spans="11:11" x14ac:dyDescent="0.2">
      <c r="K7747" s="8"/>
    </row>
    <row r="7748" spans="11:11" x14ac:dyDescent="0.2">
      <c r="K7748" s="8"/>
    </row>
    <row r="7749" spans="11:11" x14ac:dyDescent="0.2">
      <c r="K7749" s="8"/>
    </row>
    <row r="7750" spans="11:11" x14ac:dyDescent="0.2">
      <c r="K7750" s="8"/>
    </row>
    <row r="7751" spans="11:11" x14ac:dyDescent="0.2">
      <c r="K7751" s="8"/>
    </row>
    <row r="7752" spans="11:11" x14ac:dyDescent="0.2">
      <c r="K7752" s="8"/>
    </row>
    <row r="7753" spans="11:11" x14ac:dyDescent="0.2">
      <c r="K7753" s="8"/>
    </row>
    <row r="7754" spans="11:11" x14ac:dyDescent="0.2">
      <c r="K7754" s="8"/>
    </row>
    <row r="7755" spans="11:11" x14ac:dyDescent="0.2">
      <c r="K7755" s="8"/>
    </row>
    <row r="7756" spans="11:11" x14ac:dyDescent="0.2">
      <c r="K7756" s="8"/>
    </row>
    <row r="7757" spans="11:11" x14ac:dyDescent="0.2">
      <c r="K7757" s="8"/>
    </row>
    <row r="7758" spans="11:11" x14ac:dyDescent="0.2">
      <c r="K7758" s="8"/>
    </row>
    <row r="7759" spans="11:11" x14ac:dyDescent="0.2">
      <c r="K7759" s="8"/>
    </row>
    <row r="7760" spans="11:11" x14ac:dyDescent="0.2">
      <c r="K7760" s="8"/>
    </row>
    <row r="7761" spans="11:11" x14ac:dyDescent="0.2">
      <c r="K7761" s="8"/>
    </row>
    <row r="7762" spans="11:11" x14ac:dyDescent="0.2">
      <c r="K7762" s="8"/>
    </row>
    <row r="7763" spans="11:11" x14ac:dyDescent="0.2">
      <c r="K7763" s="8"/>
    </row>
    <row r="7764" spans="11:11" x14ac:dyDescent="0.2">
      <c r="K7764" s="8"/>
    </row>
    <row r="7765" spans="11:11" x14ac:dyDescent="0.2">
      <c r="K7765" s="8"/>
    </row>
    <row r="7766" spans="11:11" x14ac:dyDescent="0.2">
      <c r="K7766" s="8"/>
    </row>
    <row r="7767" spans="11:11" x14ac:dyDescent="0.2">
      <c r="K7767" s="8"/>
    </row>
    <row r="7768" spans="11:11" x14ac:dyDescent="0.2">
      <c r="K7768" s="8"/>
    </row>
    <row r="7769" spans="11:11" x14ac:dyDescent="0.2">
      <c r="K7769" s="8"/>
    </row>
    <row r="7770" spans="11:11" x14ac:dyDescent="0.2">
      <c r="K7770" s="8"/>
    </row>
    <row r="7771" spans="11:11" x14ac:dyDescent="0.2">
      <c r="K7771" s="8"/>
    </row>
    <row r="7772" spans="11:11" x14ac:dyDescent="0.2">
      <c r="K7772" s="8"/>
    </row>
    <row r="7773" spans="11:11" x14ac:dyDescent="0.2">
      <c r="K7773" s="8"/>
    </row>
    <row r="7774" spans="11:11" x14ac:dyDescent="0.2">
      <c r="K7774" s="8"/>
    </row>
    <row r="7775" spans="11:11" x14ac:dyDescent="0.2">
      <c r="K7775" s="8"/>
    </row>
    <row r="7776" spans="11:11" x14ac:dyDescent="0.2">
      <c r="K7776" s="8"/>
    </row>
    <row r="7777" spans="11:11" x14ac:dyDescent="0.2">
      <c r="K7777" s="8"/>
    </row>
    <row r="7778" spans="11:11" x14ac:dyDescent="0.2">
      <c r="K7778" s="8"/>
    </row>
    <row r="7779" spans="11:11" x14ac:dyDescent="0.2">
      <c r="K7779" s="8"/>
    </row>
    <row r="7780" spans="11:11" x14ac:dyDescent="0.2">
      <c r="K7780" s="8"/>
    </row>
    <row r="7781" spans="11:11" x14ac:dyDescent="0.2">
      <c r="K7781" s="8"/>
    </row>
    <row r="7782" spans="11:11" x14ac:dyDescent="0.2">
      <c r="K7782" s="8"/>
    </row>
    <row r="7783" spans="11:11" x14ac:dyDescent="0.2">
      <c r="K7783" s="8"/>
    </row>
    <row r="7784" spans="11:11" x14ac:dyDescent="0.2">
      <c r="K7784" s="8"/>
    </row>
    <row r="7785" spans="11:11" x14ac:dyDescent="0.2">
      <c r="K7785" s="8"/>
    </row>
    <row r="7786" spans="11:11" x14ac:dyDescent="0.2">
      <c r="K7786" s="8"/>
    </row>
    <row r="7787" spans="11:11" x14ac:dyDescent="0.2">
      <c r="K7787" s="8"/>
    </row>
    <row r="7788" spans="11:11" x14ac:dyDescent="0.2">
      <c r="K7788" s="8"/>
    </row>
    <row r="7789" spans="11:11" x14ac:dyDescent="0.2">
      <c r="K7789" s="8"/>
    </row>
    <row r="7790" spans="11:11" x14ac:dyDescent="0.2">
      <c r="K7790" s="8"/>
    </row>
    <row r="7791" spans="11:11" x14ac:dyDescent="0.2">
      <c r="K7791" s="8"/>
    </row>
    <row r="7792" spans="11:11" x14ac:dyDescent="0.2">
      <c r="K7792" s="8"/>
    </row>
    <row r="7793" spans="11:11" x14ac:dyDescent="0.2">
      <c r="K7793" s="8"/>
    </row>
    <row r="7794" spans="11:11" x14ac:dyDescent="0.2">
      <c r="K7794" s="8"/>
    </row>
    <row r="7795" spans="11:11" x14ac:dyDescent="0.2">
      <c r="K7795" s="8"/>
    </row>
    <row r="7796" spans="11:11" x14ac:dyDescent="0.2">
      <c r="K7796" s="8"/>
    </row>
    <row r="7797" spans="11:11" x14ac:dyDescent="0.2">
      <c r="K7797" s="8"/>
    </row>
    <row r="7798" spans="11:11" x14ac:dyDescent="0.2">
      <c r="K7798" s="8"/>
    </row>
    <row r="7799" spans="11:11" x14ac:dyDescent="0.2">
      <c r="K7799" s="8"/>
    </row>
    <row r="7800" spans="11:11" x14ac:dyDescent="0.2">
      <c r="K7800" s="8"/>
    </row>
    <row r="7801" spans="11:11" x14ac:dyDescent="0.2">
      <c r="K7801" s="8"/>
    </row>
    <row r="7802" spans="11:11" x14ac:dyDescent="0.2">
      <c r="K7802" s="8"/>
    </row>
    <row r="7803" spans="11:11" x14ac:dyDescent="0.2">
      <c r="K7803" s="8"/>
    </row>
    <row r="7804" spans="11:11" x14ac:dyDescent="0.2">
      <c r="K7804" s="8"/>
    </row>
    <row r="7805" spans="11:11" x14ac:dyDescent="0.2">
      <c r="K7805" s="8"/>
    </row>
    <row r="7806" spans="11:11" x14ac:dyDescent="0.2">
      <c r="K7806" s="8"/>
    </row>
    <row r="7807" spans="11:11" x14ac:dyDescent="0.2">
      <c r="K7807" s="8"/>
    </row>
    <row r="7808" spans="11:11" x14ac:dyDescent="0.2">
      <c r="K7808" s="8"/>
    </row>
    <row r="7809" spans="11:11" x14ac:dyDescent="0.2">
      <c r="K7809" s="8"/>
    </row>
    <row r="7810" spans="11:11" x14ac:dyDescent="0.2">
      <c r="K7810" s="8"/>
    </row>
    <row r="7811" spans="11:11" x14ac:dyDescent="0.2">
      <c r="K7811" s="8"/>
    </row>
    <row r="7812" spans="11:11" x14ac:dyDescent="0.2">
      <c r="K7812" s="8"/>
    </row>
    <row r="7813" spans="11:11" x14ac:dyDescent="0.2">
      <c r="K7813" s="8"/>
    </row>
    <row r="7814" spans="11:11" x14ac:dyDescent="0.2">
      <c r="K7814" s="8"/>
    </row>
    <row r="7815" spans="11:11" x14ac:dyDescent="0.2">
      <c r="K7815" s="8"/>
    </row>
    <row r="7816" spans="11:11" x14ac:dyDescent="0.2">
      <c r="K7816" s="8"/>
    </row>
    <row r="7817" spans="11:11" x14ac:dyDescent="0.2">
      <c r="K7817" s="8"/>
    </row>
    <row r="7818" spans="11:11" x14ac:dyDescent="0.2">
      <c r="K7818" s="8"/>
    </row>
    <row r="7819" spans="11:11" x14ac:dyDescent="0.2">
      <c r="K7819" s="8"/>
    </row>
    <row r="7820" spans="11:11" x14ac:dyDescent="0.2">
      <c r="K7820" s="8"/>
    </row>
    <row r="7821" spans="11:11" x14ac:dyDescent="0.2">
      <c r="K7821" s="8"/>
    </row>
    <row r="7822" spans="11:11" x14ac:dyDescent="0.2">
      <c r="K7822" s="8"/>
    </row>
    <row r="7823" spans="11:11" x14ac:dyDescent="0.2">
      <c r="K7823" s="8"/>
    </row>
    <row r="7824" spans="11:11" x14ac:dyDescent="0.2">
      <c r="K7824" s="8"/>
    </row>
    <row r="7825" spans="11:11" x14ac:dyDescent="0.2">
      <c r="K7825" s="8"/>
    </row>
    <row r="7826" spans="11:11" x14ac:dyDescent="0.2">
      <c r="K7826" s="8"/>
    </row>
    <row r="7827" spans="11:11" x14ac:dyDescent="0.2">
      <c r="K7827" s="8"/>
    </row>
    <row r="7828" spans="11:11" x14ac:dyDescent="0.2">
      <c r="K7828" s="8"/>
    </row>
    <row r="7829" spans="11:11" x14ac:dyDescent="0.2">
      <c r="K7829" s="8"/>
    </row>
    <row r="7830" spans="11:11" x14ac:dyDescent="0.2">
      <c r="K7830" s="8"/>
    </row>
    <row r="7831" spans="11:11" x14ac:dyDescent="0.2">
      <c r="K7831" s="8"/>
    </row>
    <row r="7832" spans="11:11" x14ac:dyDescent="0.2">
      <c r="K7832" s="8"/>
    </row>
    <row r="7833" spans="11:11" x14ac:dyDescent="0.2">
      <c r="K7833" s="8"/>
    </row>
    <row r="7834" spans="11:11" x14ac:dyDescent="0.2">
      <c r="K7834" s="8"/>
    </row>
    <row r="7835" spans="11:11" x14ac:dyDescent="0.2">
      <c r="K7835" s="8"/>
    </row>
    <row r="7836" spans="11:11" x14ac:dyDescent="0.2">
      <c r="K7836" s="8"/>
    </row>
    <row r="7837" spans="11:11" x14ac:dyDescent="0.2">
      <c r="K7837" s="8"/>
    </row>
    <row r="7838" spans="11:11" x14ac:dyDescent="0.2">
      <c r="K7838" s="8"/>
    </row>
    <row r="7839" spans="11:11" x14ac:dyDescent="0.2">
      <c r="K7839" s="8"/>
    </row>
    <row r="7840" spans="11:11" x14ac:dyDescent="0.2">
      <c r="K7840" s="8"/>
    </row>
    <row r="7841" spans="11:11" x14ac:dyDescent="0.2">
      <c r="K7841" s="8"/>
    </row>
    <row r="7842" spans="11:11" x14ac:dyDescent="0.2">
      <c r="K7842" s="8"/>
    </row>
    <row r="7843" spans="11:11" x14ac:dyDescent="0.2">
      <c r="K7843" s="8"/>
    </row>
    <row r="7844" spans="11:11" x14ac:dyDescent="0.2">
      <c r="K7844" s="8"/>
    </row>
    <row r="7845" spans="11:11" x14ac:dyDescent="0.2">
      <c r="K7845" s="8"/>
    </row>
    <row r="7846" spans="11:11" x14ac:dyDescent="0.2">
      <c r="K7846" s="8"/>
    </row>
    <row r="7847" spans="11:11" x14ac:dyDescent="0.2">
      <c r="K7847" s="8"/>
    </row>
    <row r="7848" spans="11:11" x14ac:dyDescent="0.2">
      <c r="K7848" s="8"/>
    </row>
    <row r="7849" spans="11:11" x14ac:dyDescent="0.2">
      <c r="K7849" s="8"/>
    </row>
    <row r="7850" spans="11:11" x14ac:dyDescent="0.2">
      <c r="K7850" s="8"/>
    </row>
    <row r="7851" spans="11:11" x14ac:dyDescent="0.2">
      <c r="K7851" s="8"/>
    </row>
    <row r="7852" spans="11:11" x14ac:dyDescent="0.2">
      <c r="K7852" s="8"/>
    </row>
    <row r="7853" spans="11:11" x14ac:dyDescent="0.2">
      <c r="K7853" s="8"/>
    </row>
    <row r="7854" spans="11:11" x14ac:dyDescent="0.2">
      <c r="K7854" s="8"/>
    </row>
    <row r="7855" spans="11:11" x14ac:dyDescent="0.2">
      <c r="K7855" s="8"/>
    </row>
    <row r="7856" spans="11:11" x14ac:dyDescent="0.2">
      <c r="K7856" s="8"/>
    </row>
    <row r="7857" spans="11:11" x14ac:dyDescent="0.2">
      <c r="K7857" s="8"/>
    </row>
    <row r="7858" spans="11:11" x14ac:dyDescent="0.2">
      <c r="K7858" s="8"/>
    </row>
    <row r="7859" spans="11:11" x14ac:dyDescent="0.2">
      <c r="K7859" s="8"/>
    </row>
    <row r="7860" spans="11:11" x14ac:dyDescent="0.2">
      <c r="K7860" s="8"/>
    </row>
    <row r="7861" spans="11:11" x14ac:dyDescent="0.2">
      <c r="K7861" s="8"/>
    </row>
    <row r="7862" spans="11:11" x14ac:dyDescent="0.2">
      <c r="K7862" s="8"/>
    </row>
    <row r="7863" spans="11:11" x14ac:dyDescent="0.2">
      <c r="K7863" s="8"/>
    </row>
    <row r="7864" spans="11:11" x14ac:dyDescent="0.2">
      <c r="K7864" s="8"/>
    </row>
    <row r="7865" spans="11:11" x14ac:dyDescent="0.2">
      <c r="K7865" s="8"/>
    </row>
    <row r="7866" spans="11:11" x14ac:dyDescent="0.2">
      <c r="K7866" s="8"/>
    </row>
    <row r="7867" spans="11:11" x14ac:dyDescent="0.2">
      <c r="K7867" s="8"/>
    </row>
    <row r="7868" spans="11:11" x14ac:dyDescent="0.2">
      <c r="K7868" s="8"/>
    </row>
    <row r="7869" spans="11:11" x14ac:dyDescent="0.2">
      <c r="K7869" s="8"/>
    </row>
    <row r="7870" spans="11:11" x14ac:dyDescent="0.2">
      <c r="K7870" s="8"/>
    </row>
    <row r="7871" spans="11:11" x14ac:dyDescent="0.2">
      <c r="K7871" s="8"/>
    </row>
    <row r="7872" spans="11:11" x14ac:dyDescent="0.2">
      <c r="K7872" s="8"/>
    </row>
    <row r="7873" spans="11:11" x14ac:dyDescent="0.2">
      <c r="K7873" s="8"/>
    </row>
    <row r="7874" spans="11:11" x14ac:dyDescent="0.2">
      <c r="K7874" s="8"/>
    </row>
    <row r="7875" spans="11:11" x14ac:dyDescent="0.2">
      <c r="K7875" s="8"/>
    </row>
    <row r="7876" spans="11:11" x14ac:dyDescent="0.2">
      <c r="K7876" s="8"/>
    </row>
    <row r="7877" spans="11:11" x14ac:dyDescent="0.2">
      <c r="K7877" s="8"/>
    </row>
    <row r="7878" spans="11:11" x14ac:dyDescent="0.2">
      <c r="K7878" s="8"/>
    </row>
    <row r="7879" spans="11:11" x14ac:dyDescent="0.2">
      <c r="K7879" s="8"/>
    </row>
    <row r="7880" spans="11:11" x14ac:dyDescent="0.2">
      <c r="K7880" s="8"/>
    </row>
    <row r="7881" spans="11:11" x14ac:dyDescent="0.2">
      <c r="K7881" s="8"/>
    </row>
    <row r="7882" spans="11:11" x14ac:dyDescent="0.2">
      <c r="K7882" s="8"/>
    </row>
    <row r="7883" spans="11:11" x14ac:dyDescent="0.2">
      <c r="K7883" s="8"/>
    </row>
    <row r="7884" spans="11:11" x14ac:dyDescent="0.2">
      <c r="K7884" s="8"/>
    </row>
    <row r="7885" spans="11:11" x14ac:dyDescent="0.2">
      <c r="K7885" s="8"/>
    </row>
    <row r="7886" spans="11:11" x14ac:dyDescent="0.2">
      <c r="K7886" s="8"/>
    </row>
    <row r="7887" spans="11:11" x14ac:dyDescent="0.2">
      <c r="K7887" s="8"/>
    </row>
    <row r="7888" spans="11:11" x14ac:dyDescent="0.2">
      <c r="K7888" s="8"/>
    </row>
    <row r="7889" spans="11:11" x14ac:dyDescent="0.2">
      <c r="K7889" s="8"/>
    </row>
    <row r="7890" spans="11:11" x14ac:dyDescent="0.2">
      <c r="K7890" s="8"/>
    </row>
    <row r="7891" spans="11:11" x14ac:dyDescent="0.2">
      <c r="K7891" s="8"/>
    </row>
    <row r="7892" spans="11:11" x14ac:dyDescent="0.2">
      <c r="K7892" s="8"/>
    </row>
    <row r="7893" spans="11:11" x14ac:dyDescent="0.2">
      <c r="K7893" s="8"/>
    </row>
    <row r="7894" spans="11:11" x14ac:dyDescent="0.2">
      <c r="K7894" s="8"/>
    </row>
    <row r="7895" spans="11:11" x14ac:dyDescent="0.2">
      <c r="K7895" s="8"/>
    </row>
    <row r="7896" spans="11:11" x14ac:dyDescent="0.2">
      <c r="K7896" s="8"/>
    </row>
    <row r="7897" spans="11:11" x14ac:dyDescent="0.2">
      <c r="K7897" s="8"/>
    </row>
    <row r="7898" spans="11:11" x14ac:dyDescent="0.2">
      <c r="K7898" s="8"/>
    </row>
    <row r="7899" spans="11:11" x14ac:dyDescent="0.2">
      <c r="K7899" s="8"/>
    </row>
    <row r="7900" spans="11:11" x14ac:dyDescent="0.2">
      <c r="K7900" s="8"/>
    </row>
    <row r="7901" spans="11:11" x14ac:dyDescent="0.2">
      <c r="K7901" s="8"/>
    </row>
    <row r="7902" spans="11:11" x14ac:dyDescent="0.2">
      <c r="K7902" s="8"/>
    </row>
    <row r="7903" spans="11:11" x14ac:dyDescent="0.2">
      <c r="K7903" s="8"/>
    </row>
    <row r="7904" spans="11:11" x14ac:dyDescent="0.2">
      <c r="K7904" s="8"/>
    </row>
    <row r="7905" spans="11:11" x14ac:dyDescent="0.2">
      <c r="K7905" s="8"/>
    </row>
    <row r="7906" spans="11:11" x14ac:dyDescent="0.2">
      <c r="K7906" s="8"/>
    </row>
    <row r="7907" spans="11:11" x14ac:dyDescent="0.2">
      <c r="K7907" s="8"/>
    </row>
    <row r="7908" spans="11:11" x14ac:dyDescent="0.2">
      <c r="K7908" s="8"/>
    </row>
    <row r="7909" spans="11:11" x14ac:dyDescent="0.2">
      <c r="K7909" s="8"/>
    </row>
    <row r="7910" spans="11:11" x14ac:dyDescent="0.2">
      <c r="K7910" s="8"/>
    </row>
    <row r="7911" spans="11:11" x14ac:dyDescent="0.2">
      <c r="K7911" s="8"/>
    </row>
    <row r="7912" spans="11:11" x14ac:dyDescent="0.2">
      <c r="K7912" s="8"/>
    </row>
    <row r="7913" spans="11:11" x14ac:dyDescent="0.2">
      <c r="K7913" s="8"/>
    </row>
    <row r="7914" spans="11:11" x14ac:dyDescent="0.2">
      <c r="K7914" s="8"/>
    </row>
    <row r="7915" spans="11:11" x14ac:dyDescent="0.2">
      <c r="K7915" s="8"/>
    </row>
    <row r="7916" spans="11:11" x14ac:dyDescent="0.2">
      <c r="K7916" s="8"/>
    </row>
    <row r="7917" spans="11:11" x14ac:dyDescent="0.2">
      <c r="K7917" s="8"/>
    </row>
    <row r="7918" spans="11:11" x14ac:dyDescent="0.2">
      <c r="K7918" s="8"/>
    </row>
    <row r="7919" spans="11:11" x14ac:dyDescent="0.2">
      <c r="K7919" s="8"/>
    </row>
    <row r="7920" spans="11:11" x14ac:dyDescent="0.2">
      <c r="K7920" s="8"/>
    </row>
    <row r="7921" spans="11:11" x14ac:dyDescent="0.2">
      <c r="K7921" s="8"/>
    </row>
    <row r="7922" spans="11:11" x14ac:dyDescent="0.2">
      <c r="K7922" s="8"/>
    </row>
    <row r="7923" spans="11:11" x14ac:dyDescent="0.2">
      <c r="K7923" s="8"/>
    </row>
    <row r="7924" spans="11:11" x14ac:dyDescent="0.2">
      <c r="K7924" s="8"/>
    </row>
    <row r="7925" spans="11:11" x14ac:dyDescent="0.2">
      <c r="K7925" s="8"/>
    </row>
    <row r="7926" spans="11:11" x14ac:dyDescent="0.2">
      <c r="K7926" s="8"/>
    </row>
    <row r="7927" spans="11:11" x14ac:dyDescent="0.2">
      <c r="K7927" s="8"/>
    </row>
    <row r="7928" spans="11:11" x14ac:dyDescent="0.2">
      <c r="K7928" s="8"/>
    </row>
    <row r="7929" spans="11:11" x14ac:dyDescent="0.2">
      <c r="K7929" s="8"/>
    </row>
    <row r="7930" spans="11:11" x14ac:dyDescent="0.2">
      <c r="K7930" s="8"/>
    </row>
    <row r="7931" spans="11:11" x14ac:dyDescent="0.2">
      <c r="K7931" s="8"/>
    </row>
    <row r="7932" spans="11:11" x14ac:dyDescent="0.2">
      <c r="K7932" s="8"/>
    </row>
    <row r="7933" spans="11:11" x14ac:dyDescent="0.2">
      <c r="K7933" s="8"/>
    </row>
    <row r="7934" spans="11:11" x14ac:dyDescent="0.2">
      <c r="K7934" s="8"/>
    </row>
    <row r="7935" spans="11:11" x14ac:dyDescent="0.2">
      <c r="K7935" s="8"/>
    </row>
    <row r="7936" spans="11:11" x14ac:dyDescent="0.2">
      <c r="K7936" s="8"/>
    </row>
    <row r="7937" spans="11:11" x14ac:dyDescent="0.2">
      <c r="K7937" s="8"/>
    </row>
    <row r="7938" spans="11:11" x14ac:dyDescent="0.2">
      <c r="K7938" s="8"/>
    </row>
    <row r="7939" spans="11:11" x14ac:dyDescent="0.2">
      <c r="K7939" s="8"/>
    </row>
    <row r="7940" spans="11:11" x14ac:dyDescent="0.2">
      <c r="K7940" s="8"/>
    </row>
    <row r="7941" spans="11:11" x14ac:dyDescent="0.2">
      <c r="K7941" s="8"/>
    </row>
    <row r="7942" spans="11:11" x14ac:dyDescent="0.2">
      <c r="K7942" s="8"/>
    </row>
    <row r="7943" spans="11:11" x14ac:dyDescent="0.2">
      <c r="K7943" s="8"/>
    </row>
    <row r="7944" spans="11:11" x14ac:dyDescent="0.2">
      <c r="K7944" s="8"/>
    </row>
    <row r="7945" spans="11:11" x14ac:dyDescent="0.2">
      <c r="K7945" s="8"/>
    </row>
    <row r="7946" spans="11:11" x14ac:dyDescent="0.2">
      <c r="K7946" s="8"/>
    </row>
    <row r="7947" spans="11:11" x14ac:dyDescent="0.2">
      <c r="K7947" s="8"/>
    </row>
    <row r="7948" spans="11:11" x14ac:dyDescent="0.2">
      <c r="K7948" s="8"/>
    </row>
    <row r="7949" spans="11:11" x14ac:dyDescent="0.2">
      <c r="K7949" s="8"/>
    </row>
    <row r="7950" spans="11:11" x14ac:dyDescent="0.2">
      <c r="K7950" s="8"/>
    </row>
    <row r="7951" spans="11:11" x14ac:dyDescent="0.2">
      <c r="K7951" s="8"/>
    </row>
    <row r="7952" spans="11:11" x14ac:dyDescent="0.2">
      <c r="K7952" s="8"/>
    </row>
    <row r="7953" spans="11:11" x14ac:dyDescent="0.2">
      <c r="K7953" s="8"/>
    </row>
    <row r="7954" spans="11:11" x14ac:dyDescent="0.2">
      <c r="K7954" s="8"/>
    </row>
    <row r="7955" spans="11:11" x14ac:dyDescent="0.2">
      <c r="K7955" s="8"/>
    </row>
    <row r="7956" spans="11:11" x14ac:dyDescent="0.2">
      <c r="K7956" s="8"/>
    </row>
    <row r="7957" spans="11:11" x14ac:dyDescent="0.2">
      <c r="K7957" s="8"/>
    </row>
    <row r="7958" spans="11:11" x14ac:dyDescent="0.2">
      <c r="K7958" s="8"/>
    </row>
    <row r="7959" spans="11:11" x14ac:dyDescent="0.2">
      <c r="K7959" s="8"/>
    </row>
    <row r="7960" spans="11:11" x14ac:dyDescent="0.2">
      <c r="K7960" s="8"/>
    </row>
    <row r="7961" spans="11:11" x14ac:dyDescent="0.2">
      <c r="K7961" s="8"/>
    </row>
    <row r="7962" spans="11:11" x14ac:dyDescent="0.2">
      <c r="K7962" s="8"/>
    </row>
    <row r="7963" spans="11:11" x14ac:dyDescent="0.2">
      <c r="K7963" s="8"/>
    </row>
    <row r="7964" spans="11:11" x14ac:dyDescent="0.2">
      <c r="K7964" s="8"/>
    </row>
    <row r="7965" spans="11:11" x14ac:dyDescent="0.2">
      <c r="K7965" s="8"/>
    </row>
    <row r="7966" spans="11:11" x14ac:dyDescent="0.2">
      <c r="K7966" s="8"/>
    </row>
    <row r="7967" spans="11:11" x14ac:dyDescent="0.2">
      <c r="K7967" s="8"/>
    </row>
    <row r="7968" spans="11:11" x14ac:dyDescent="0.2">
      <c r="K7968" s="8"/>
    </row>
    <row r="7969" spans="11:11" x14ac:dyDescent="0.2">
      <c r="K7969" s="8"/>
    </row>
    <row r="7970" spans="11:11" x14ac:dyDescent="0.2">
      <c r="K7970" s="8"/>
    </row>
    <row r="7971" spans="11:11" x14ac:dyDescent="0.2">
      <c r="K7971" s="8"/>
    </row>
    <row r="7972" spans="11:11" x14ac:dyDescent="0.2">
      <c r="K7972" s="8"/>
    </row>
    <row r="7973" spans="11:11" x14ac:dyDescent="0.2">
      <c r="K7973" s="8"/>
    </row>
    <row r="7974" spans="11:11" x14ac:dyDescent="0.2">
      <c r="K7974" s="8"/>
    </row>
    <row r="7975" spans="11:11" x14ac:dyDescent="0.2">
      <c r="K7975" s="8"/>
    </row>
    <row r="7976" spans="11:11" x14ac:dyDescent="0.2">
      <c r="K7976" s="8"/>
    </row>
    <row r="7977" spans="11:11" x14ac:dyDescent="0.2">
      <c r="K7977" s="8"/>
    </row>
    <row r="7978" spans="11:11" x14ac:dyDescent="0.2">
      <c r="K7978" s="8"/>
    </row>
    <row r="7979" spans="11:11" x14ac:dyDescent="0.2">
      <c r="K7979" s="8"/>
    </row>
    <row r="7980" spans="11:11" x14ac:dyDescent="0.2">
      <c r="K7980" s="8"/>
    </row>
    <row r="7981" spans="11:11" x14ac:dyDescent="0.2">
      <c r="K7981" s="8"/>
    </row>
    <row r="7982" spans="11:11" x14ac:dyDescent="0.2">
      <c r="K7982" s="8"/>
    </row>
    <row r="7983" spans="11:11" x14ac:dyDescent="0.2">
      <c r="K7983" s="8"/>
    </row>
    <row r="7984" spans="11:11" x14ac:dyDescent="0.2">
      <c r="K7984" s="8"/>
    </row>
    <row r="7985" spans="11:11" x14ac:dyDescent="0.2">
      <c r="K7985" s="8"/>
    </row>
    <row r="7986" spans="11:11" x14ac:dyDescent="0.2">
      <c r="K7986" s="8"/>
    </row>
    <row r="7987" spans="11:11" x14ac:dyDescent="0.2">
      <c r="K7987" s="8"/>
    </row>
    <row r="7988" spans="11:11" x14ac:dyDescent="0.2">
      <c r="K7988" s="8"/>
    </row>
    <row r="7989" spans="11:11" x14ac:dyDescent="0.2">
      <c r="K7989" s="8"/>
    </row>
    <row r="7990" spans="11:11" x14ac:dyDescent="0.2">
      <c r="K7990" s="8"/>
    </row>
    <row r="7991" spans="11:11" x14ac:dyDescent="0.2">
      <c r="K7991" s="8"/>
    </row>
    <row r="7992" spans="11:11" x14ac:dyDescent="0.2">
      <c r="K7992" s="8"/>
    </row>
    <row r="7993" spans="11:11" x14ac:dyDescent="0.2">
      <c r="K7993" s="8"/>
    </row>
    <row r="7994" spans="11:11" x14ac:dyDescent="0.2">
      <c r="K7994" s="8"/>
    </row>
    <row r="7995" spans="11:11" x14ac:dyDescent="0.2">
      <c r="K7995" s="8"/>
    </row>
    <row r="7996" spans="11:11" x14ac:dyDescent="0.2">
      <c r="K7996" s="8"/>
    </row>
    <row r="7997" spans="11:11" x14ac:dyDescent="0.2">
      <c r="K7997" s="8"/>
    </row>
    <row r="7998" spans="11:11" x14ac:dyDescent="0.2">
      <c r="K7998" s="8"/>
    </row>
    <row r="7999" spans="11:11" x14ac:dyDescent="0.2">
      <c r="K7999" s="8"/>
    </row>
    <row r="8000" spans="11:11" x14ac:dyDescent="0.2">
      <c r="K8000" s="8"/>
    </row>
    <row r="8001" spans="11:11" x14ac:dyDescent="0.2">
      <c r="K8001" s="8"/>
    </row>
    <row r="8002" spans="11:11" x14ac:dyDescent="0.2">
      <c r="K8002" s="8"/>
    </row>
    <row r="8003" spans="11:11" x14ac:dyDescent="0.2">
      <c r="K8003" s="8"/>
    </row>
    <row r="8004" spans="11:11" x14ac:dyDescent="0.2">
      <c r="K8004" s="8"/>
    </row>
    <row r="8005" spans="11:11" x14ac:dyDescent="0.2">
      <c r="K8005" s="8"/>
    </row>
    <row r="8006" spans="11:11" x14ac:dyDescent="0.2">
      <c r="K8006" s="8"/>
    </row>
    <row r="8007" spans="11:11" x14ac:dyDescent="0.2">
      <c r="K8007" s="8"/>
    </row>
    <row r="8008" spans="11:11" x14ac:dyDescent="0.2">
      <c r="K8008" s="8"/>
    </row>
    <row r="8009" spans="11:11" x14ac:dyDescent="0.2">
      <c r="K8009" s="8"/>
    </row>
    <row r="8010" spans="11:11" x14ac:dyDescent="0.2">
      <c r="K8010" s="8"/>
    </row>
    <row r="8011" spans="11:11" x14ac:dyDescent="0.2">
      <c r="K8011" s="8"/>
    </row>
    <row r="8012" spans="11:11" x14ac:dyDescent="0.2">
      <c r="K8012" s="8"/>
    </row>
    <row r="8013" spans="11:11" x14ac:dyDescent="0.2">
      <c r="K8013" s="8"/>
    </row>
    <row r="8014" spans="11:11" x14ac:dyDescent="0.2">
      <c r="K8014" s="8"/>
    </row>
    <row r="8015" spans="11:11" x14ac:dyDescent="0.2">
      <c r="K8015" s="8"/>
    </row>
    <row r="8016" spans="11:11" x14ac:dyDescent="0.2">
      <c r="K8016" s="8"/>
    </row>
    <row r="8017" spans="11:11" x14ac:dyDescent="0.2">
      <c r="K8017" s="8"/>
    </row>
    <row r="8018" spans="11:11" x14ac:dyDescent="0.2">
      <c r="K8018" s="8"/>
    </row>
    <row r="8019" spans="11:11" x14ac:dyDescent="0.2">
      <c r="K8019" s="8"/>
    </row>
    <row r="8020" spans="11:11" x14ac:dyDescent="0.2">
      <c r="K8020" s="8"/>
    </row>
    <row r="8021" spans="11:11" x14ac:dyDescent="0.2">
      <c r="K8021" s="8"/>
    </row>
    <row r="8022" spans="11:11" x14ac:dyDescent="0.2">
      <c r="K8022" s="8"/>
    </row>
    <row r="8023" spans="11:11" x14ac:dyDescent="0.2">
      <c r="K8023" s="8"/>
    </row>
    <row r="8024" spans="11:11" x14ac:dyDescent="0.2">
      <c r="K8024" s="8"/>
    </row>
    <row r="8025" spans="11:11" x14ac:dyDescent="0.2">
      <c r="K8025" s="8"/>
    </row>
    <row r="8026" spans="11:11" x14ac:dyDescent="0.2">
      <c r="K8026" s="8"/>
    </row>
    <row r="8027" spans="11:11" x14ac:dyDescent="0.2">
      <c r="K8027" s="8"/>
    </row>
    <row r="8028" spans="11:11" x14ac:dyDescent="0.2">
      <c r="K8028" s="8"/>
    </row>
    <row r="8029" spans="11:11" x14ac:dyDescent="0.2">
      <c r="K8029" s="8"/>
    </row>
    <row r="8030" spans="11:11" x14ac:dyDescent="0.2">
      <c r="K8030" s="8"/>
    </row>
    <row r="8031" spans="11:11" x14ac:dyDescent="0.2">
      <c r="K8031" s="8"/>
    </row>
    <row r="8032" spans="11:11" x14ac:dyDescent="0.2">
      <c r="K8032" s="8"/>
    </row>
    <row r="8033" spans="11:11" x14ac:dyDescent="0.2">
      <c r="K8033" s="8"/>
    </row>
    <row r="8034" spans="11:11" x14ac:dyDescent="0.2">
      <c r="K8034" s="8"/>
    </row>
    <row r="8035" spans="11:11" x14ac:dyDescent="0.2">
      <c r="K8035" s="8"/>
    </row>
    <row r="8036" spans="11:11" x14ac:dyDescent="0.2">
      <c r="K8036" s="8"/>
    </row>
    <row r="8037" spans="11:11" x14ac:dyDescent="0.2">
      <c r="K8037" s="8"/>
    </row>
    <row r="8038" spans="11:11" x14ac:dyDescent="0.2">
      <c r="K8038" s="8"/>
    </row>
    <row r="8039" spans="11:11" x14ac:dyDescent="0.2">
      <c r="K8039" s="8"/>
    </row>
    <row r="8040" spans="11:11" x14ac:dyDescent="0.2">
      <c r="K8040" s="8"/>
    </row>
    <row r="8041" spans="11:11" x14ac:dyDescent="0.2">
      <c r="K8041" s="8"/>
    </row>
    <row r="8042" spans="11:11" x14ac:dyDescent="0.2">
      <c r="K8042" s="8"/>
    </row>
    <row r="8043" spans="11:11" x14ac:dyDescent="0.2">
      <c r="K8043" s="8"/>
    </row>
    <row r="8044" spans="11:11" x14ac:dyDescent="0.2">
      <c r="K8044" s="8"/>
    </row>
    <row r="8045" spans="11:11" x14ac:dyDescent="0.2">
      <c r="K8045" s="8"/>
    </row>
    <row r="8046" spans="11:11" x14ac:dyDescent="0.2">
      <c r="K8046" s="8"/>
    </row>
    <row r="8047" spans="11:11" x14ac:dyDescent="0.2">
      <c r="K8047" s="8"/>
    </row>
    <row r="8048" spans="11:11" x14ac:dyDescent="0.2">
      <c r="K8048" s="8"/>
    </row>
    <row r="8049" spans="11:11" x14ac:dyDescent="0.2">
      <c r="K8049" s="8"/>
    </row>
    <row r="8050" spans="11:11" x14ac:dyDescent="0.2">
      <c r="K8050" s="8"/>
    </row>
    <row r="8051" spans="11:11" x14ac:dyDescent="0.2">
      <c r="K8051" s="8"/>
    </row>
    <row r="8052" spans="11:11" x14ac:dyDescent="0.2">
      <c r="K8052" s="8"/>
    </row>
    <row r="8053" spans="11:11" x14ac:dyDescent="0.2">
      <c r="K8053" s="8"/>
    </row>
    <row r="8054" spans="11:11" x14ac:dyDescent="0.2">
      <c r="K8054" s="8"/>
    </row>
    <row r="8055" spans="11:11" x14ac:dyDescent="0.2">
      <c r="K8055" s="8"/>
    </row>
    <row r="8056" spans="11:11" x14ac:dyDescent="0.2">
      <c r="K8056" s="8"/>
    </row>
    <row r="8057" spans="11:11" x14ac:dyDescent="0.2">
      <c r="K8057" s="8"/>
    </row>
    <row r="8058" spans="11:11" x14ac:dyDescent="0.2">
      <c r="K8058" s="8"/>
    </row>
    <row r="8059" spans="11:11" x14ac:dyDescent="0.2">
      <c r="K8059" s="8"/>
    </row>
    <row r="8060" spans="11:11" x14ac:dyDescent="0.2">
      <c r="K8060" s="8"/>
    </row>
    <row r="8061" spans="11:11" x14ac:dyDescent="0.2">
      <c r="K8061" s="8"/>
    </row>
    <row r="8062" spans="11:11" x14ac:dyDescent="0.2">
      <c r="K8062" s="8"/>
    </row>
    <row r="8063" spans="11:11" x14ac:dyDescent="0.2">
      <c r="K8063" s="8"/>
    </row>
    <row r="8064" spans="11:11" x14ac:dyDescent="0.2">
      <c r="K8064" s="8"/>
    </row>
    <row r="8065" spans="11:11" x14ac:dyDescent="0.2">
      <c r="K8065" s="8"/>
    </row>
    <row r="8066" spans="11:11" x14ac:dyDescent="0.2">
      <c r="K8066" s="8"/>
    </row>
    <row r="8067" spans="11:11" x14ac:dyDescent="0.2">
      <c r="K8067" s="8"/>
    </row>
    <row r="8068" spans="11:11" x14ac:dyDescent="0.2">
      <c r="K8068" s="8"/>
    </row>
    <row r="8069" spans="11:11" x14ac:dyDescent="0.2">
      <c r="K8069" s="8"/>
    </row>
    <row r="8070" spans="11:11" x14ac:dyDescent="0.2">
      <c r="K8070" s="8"/>
    </row>
    <row r="8071" spans="11:11" x14ac:dyDescent="0.2">
      <c r="K8071" s="8"/>
    </row>
    <row r="8072" spans="11:11" x14ac:dyDescent="0.2">
      <c r="K8072" s="8"/>
    </row>
    <row r="8073" spans="11:11" x14ac:dyDescent="0.2">
      <c r="K8073" s="8"/>
    </row>
    <row r="8074" spans="11:11" x14ac:dyDescent="0.2">
      <c r="K8074" s="8"/>
    </row>
    <row r="8075" spans="11:11" x14ac:dyDescent="0.2">
      <c r="K8075" s="8"/>
    </row>
    <row r="8076" spans="11:11" x14ac:dyDescent="0.2">
      <c r="K8076" s="8"/>
    </row>
    <row r="8077" spans="11:11" x14ac:dyDescent="0.2">
      <c r="K8077" s="8"/>
    </row>
    <row r="8078" spans="11:11" x14ac:dyDescent="0.2">
      <c r="K8078" s="8"/>
    </row>
    <row r="8079" spans="11:11" x14ac:dyDescent="0.2">
      <c r="K8079" s="8"/>
    </row>
    <row r="8080" spans="11:11" x14ac:dyDescent="0.2">
      <c r="K8080" s="8"/>
    </row>
    <row r="8081" spans="11:11" x14ac:dyDescent="0.2">
      <c r="K8081" s="8"/>
    </row>
    <row r="8082" spans="11:11" x14ac:dyDescent="0.2">
      <c r="K8082" s="8"/>
    </row>
    <row r="8083" spans="11:11" x14ac:dyDescent="0.2">
      <c r="K8083" s="8"/>
    </row>
    <row r="8084" spans="11:11" x14ac:dyDescent="0.2">
      <c r="K8084" s="8"/>
    </row>
    <row r="8085" spans="11:11" x14ac:dyDescent="0.2">
      <c r="K8085" s="8"/>
    </row>
    <row r="8086" spans="11:11" x14ac:dyDescent="0.2">
      <c r="K8086" s="8"/>
    </row>
    <row r="8087" spans="11:11" x14ac:dyDescent="0.2">
      <c r="K8087" s="8"/>
    </row>
    <row r="8088" spans="11:11" x14ac:dyDescent="0.2">
      <c r="K8088" s="8"/>
    </row>
    <row r="8089" spans="11:11" x14ac:dyDescent="0.2">
      <c r="K8089" s="8"/>
    </row>
    <row r="8090" spans="11:11" x14ac:dyDescent="0.2">
      <c r="K8090" s="8"/>
    </row>
    <row r="8091" spans="11:11" x14ac:dyDescent="0.2">
      <c r="K8091" s="8"/>
    </row>
    <row r="8092" spans="11:11" x14ac:dyDescent="0.2">
      <c r="K8092" s="8"/>
    </row>
    <row r="8093" spans="11:11" x14ac:dyDescent="0.2">
      <c r="K8093" s="8"/>
    </row>
    <row r="8094" spans="11:11" x14ac:dyDescent="0.2">
      <c r="K8094" s="8"/>
    </row>
    <row r="8095" spans="11:11" x14ac:dyDescent="0.2">
      <c r="K8095" s="8"/>
    </row>
    <row r="8096" spans="11:11" x14ac:dyDescent="0.2">
      <c r="K8096" s="8"/>
    </row>
    <row r="8097" spans="11:11" x14ac:dyDescent="0.2">
      <c r="K8097" s="8"/>
    </row>
    <row r="8098" spans="11:11" x14ac:dyDescent="0.2">
      <c r="K8098" s="8"/>
    </row>
    <row r="8099" spans="11:11" x14ac:dyDescent="0.2">
      <c r="K8099" s="8"/>
    </row>
    <row r="8100" spans="11:11" x14ac:dyDescent="0.2">
      <c r="K8100" s="8"/>
    </row>
    <row r="8101" spans="11:11" x14ac:dyDescent="0.2">
      <c r="K8101" s="8"/>
    </row>
    <row r="8102" spans="11:11" x14ac:dyDescent="0.2">
      <c r="K8102" s="8"/>
    </row>
    <row r="8103" spans="11:11" x14ac:dyDescent="0.2">
      <c r="K8103" s="8"/>
    </row>
    <row r="8104" spans="11:11" x14ac:dyDescent="0.2">
      <c r="K8104" s="8"/>
    </row>
    <row r="8105" spans="11:11" x14ac:dyDescent="0.2">
      <c r="K8105" s="8"/>
    </row>
    <row r="8106" spans="11:11" x14ac:dyDescent="0.2">
      <c r="K8106" s="8"/>
    </row>
    <row r="8107" spans="11:11" x14ac:dyDescent="0.2">
      <c r="K8107" s="8"/>
    </row>
    <row r="8108" spans="11:11" x14ac:dyDescent="0.2">
      <c r="K8108" s="8"/>
    </row>
    <row r="8109" spans="11:11" x14ac:dyDescent="0.2">
      <c r="K8109" s="8"/>
    </row>
    <row r="8110" spans="11:11" x14ac:dyDescent="0.2">
      <c r="K8110" s="8"/>
    </row>
    <row r="8111" spans="11:11" x14ac:dyDescent="0.2">
      <c r="K8111" s="8"/>
    </row>
    <row r="8112" spans="11:11" x14ac:dyDescent="0.2">
      <c r="K8112" s="8"/>
    </row>
    <row r="8113" spans="11:11" x14ac:dyDescent="0.2">
      <c r="K8113" s="8"/>
    </row>
    <row r="8114" spans="11:11" x14ac:dyDescent="0.2">
      <c r="K8114" s="8"/>
    </row>
    <row r="8115" spans="11:11" x14ac:dyDescent="0.2">
      <c r="K8115" s="8"/>
    </row>
    <row r="8116" spans="11:11" x14ac:dyDescent="0.2">
      <c r="K8116" s="8"/>
    </row>
    <row r="8117" spans="11:11" x14ac:dyDescent="0.2">
      <c r="K8117" s="8"/>
    </row>
    <row r="8118" spans="11:11" x14ac:dyDescent="0.2">
      <c r="K8118" s="8"/>
    </row>
    <row r="8119" spans="11:11" x14ac:dyDescent="0.2">
      <c r="K8119" s="8"/>
    </row>
    <row r="8120" spans="11:11" x14ac:dyDescent="0.2">
      <c r="K8120" s="8"/>
    </row>
    <row r="8121" spans="11:11" x14ac:dyDescent="0.2">
      <c r="K8121" s="8"/>
    </row>
    <row r="8122" spans="11:11" x14ac:dyDescent="0.2">
      <c r="K8122" s="8"/>
    </row>
    <row r="8123" spans="11:11" x14ac:dyDescent="0.2">
      <c r="K8123" s="8"/>
    </row>
    <row r="8124" spans="11:11" x14ac:dyDescent="0.2">
      <c r="K8124" s="8"/>
    </row>
    <row r="8125" spans="11:11" x14ac:dyDescent="0.2">
      <c r="K8125" s="8"/>
    </row>
    <row r="8126" spans="11:11" x14ac:dyDescent="0.2">
      <c r="K8126" s="8"/>
    </row>
    <row r="8127" spans="11:11" x14ac:dyDescent="0.2">
      <c r="K8127" s="8"/>
    </row>
    <row r="8128" spans="11:11" x14ac:dyDescent="0.2">
      <c r="K8128" s="8"/>
    </row>
    <row r="8129" spans="11:11" x14ac:dyDescent="0.2">
      <c r="K8129" s="8"/>
    </row>
    <row r="8130" spans="11:11" x14ac:dyDescent="0.2">
      <c r="K8130" s="8"/>
    </row>
    <row r="8131" spans="11:11" x14ac:dyDescent="0.2">
      <c r="K8131" s="8"/>
    </row>
    <row r="8132" spans="11:11" x14ac:dyDescent="0.2">
      <c r="K8132" s="8"/>
    </row>
    <row r="8133" spans="11:11" x14ac:dyDescent="0.2">
      <c r="K8133" s="8"/>
    </row>
    <row r="8134" spans="11:11" x14ac:dyDescent="0.2">
      <c r="K8134" s="8"/>
    </row>
    <row r="8135" spans="11:11" x14ac:dyDescent="0.2">
      <c r="K8135" s="8"/>
    </row>
    <row r="8136" spans="11:11" x14ac:dyDescent="0.2">
      <c r="K8136" s="8"/>
    </row>
    <row r="8137" spans="11:11" x14ac:dyDescent="0.2">
      <c r="K8137" s="8"/>
    </row>
    <row r="8138" spans="11:11" x14ac:dyDescent="0.2">
      <c r="K8138" s="8"/>
    </row>
    <row r="8139" spans="11:11" x14ac:dyDescent="0.2">
      <c r="K8139" s="8"/>
    </row>
    <row r="8140" spans="11:11" x14ac:dyDescent="0.2">
      <c r="K8140" s="8"/>
    </row>
    <row r="8141" spans="11:11" x14ac:dyDescent="0.2">
      <c r="K8141" s="8"/>
    </row>
    <row r="8142" spans="11:11" x14ac:dyDescent="0.2">
      <c r="K8142" s="8"/>
    </row>
    <row r="8143" spans="11:11" x14ac:dyDescent="0.2">
      <c r="K8143" s="8"/>
    </row>
    <row r="8144" spans="11:11" x14ac:dyDescent="0.2">
      <c r="K8144" s="8"/>
    </row>
    <row r="8145" spans="11:11" x14ac:dyDescent="0.2">
      <c r="K8145" s="8"/>
    </row>
    <row r="8146" spans="11:11" x14ac:dyDescent="0.2">
      <c r="K8146" s="8"/>
    </row>
    <row r="8147" spans="11:11" x14ac:dyDescent="0.2">
      <c r="K8147" s="8"/>
    </row>
    <row r="8148" spans="11:11" x14ac:dyDescent="0.2">
      <c r="K8148" s="8"/>
    </row>
    <row r="8149" spans="11:11" x14ac:dyDescent="0.2">
      <c r="K8149" s="8"/>
    </row>
    <row r="8150" spans="11:11" x14ac:dyDescent="0.2">
      <c r="K8150" s="8"/>
    </row>
    <row r="8151" spans="11:11" x14ac:dyDescent="0.2">
      <c r="K8151" s="8"/>
    </row>
    <row r="8152" spans="11:11" x14ac:dyDescent="0.2">
      <c r="K8152" s="8"/>
    </row>
    <row r="8153" spans="11:11" x14ac:dyDescent="0.2">
      <c r="K8153" s="8"/>
    </row>
    <row r="8154" spans="11:11" x14ac:dyDescent="0.2">
      <c r="K8154" s="8"/>
    </row>
    <row r="8155" spans="11:11" x14ac:dyDescent="0.2">
      <c r="K8155" s="8"/>
    </row>
    <row r="8156" spans="11:11" x14ac:dyDescent="0.2">
      <c r="K8156" s="8"/>
    </row>
    <row r="8157" spans="11:11" x14ac:dyDescent="0.2">
      <c r="K8157" s="8"/>
    </row>
    <row r="8158" spans="11:11" x14ac:dyDescent="0.2">
      <c r="K8158" s="8"/>
    </row>
    <row r="8159" spans="11:11" x14ac:dyDescent="0.2">
      <c r="K8159" s="8"/>
    </row>
    <row r="8160" spans="11:11" x14ac:dyDescent="0.2">
      <c r="K8160" s="8"/>
    </row>
    <row r="8161" spans="11:11" x14ac:dyDescent="0.2">
      <c r="K8161" s="8"/>
    </row>
    <row r="8162" spans="11:11" x14ac:dyDescent="0.2">
      <c r="K8162" s="8"/>
    </row>
    <row r="8163" spans="11:11" x14ac:dyDescent="0.2">
      <c r="K8163" s="8"/>
    </row>
    <row r="8164" spans="11:11" x14ac:dyDescent="0.2">
      <c r="K8164" s="8"/>
    </row>
    <row r="8165" spans="11:11" x14ac:dyDescent="0.2">
      <c r="K8165" s="8"/>
    </row>
    <row r="8166" spans="11:11" x14ac:dyDescent="0.2">
      <c r="K8166" s="8"/>
    </row>
    <row r="8167" spans="11:11" x14ac:dyDescent="0.2">
      <c r="K8167" s="8"/>
    </row>
    <row r="8168" spans="11:11" x14ac:dyDescent="0.2">
      <c r="K8168" s="8"/>
    </row>
    <row r="8169" spans="11:11" x14ac:dyDescent="0.2">
      <c r="K8169" s="8"/>
    </row>
    <row r="8170" spans="11:11" x14ac:dyDescent="0.2">
      <c r="K8170" s="8"/>
    </row>
    <row r="8171" spans="11:11" x14ac:dyDescent="0.2">
      <c r="K8171" s="8"/>
    </row>
    <row r="8172" spans="11:11" x14ac:dyDescent="0.2">
      <c r="K8172" s="8"/>
    </row>
    <row r="8173" spans="11:11" x14ac:dyDescent="0.2">
      <c r="K8173" s="8"/>
    </row>
    <row r="8174" spans="11:11" x14ac:dyDescent="0.2">
      <c r="K8174" s="8"/>
    </row>
    <row r="8175" spans="11:11" x14ac:dyDescent="0.2">
      <c r="K8175" s="8"/>
    </row>
    <row r="8176" spans="11:11" x14ac:dyDescent="0.2">
      <c r="K8176" s="8"/>
    </row>
    <row r="8177" spans="11:11" x14ac:dyDescent="0.2">
      <c r="K8177" s="8"/>
    </row>
    <row r="8178" spans="11:11" x14ac:dyDescent="0.2">
      <c r="K8178" s="8"/>
    </row>
    <row r="8179" spans="11:11" x14ac:dyDescent="0.2">
      <c r="K8179" s="8"/>
    </row>
    <row r="8180" spans="11:11" x14ac:dyDescent="0.2">
      <c r="K8180" s="8"/>
    </row>
    <row r="8181" spans="11:11" x14ac:dyDescent="0.2">
      <c r="K8181" s="8"/>
    </row>
    <row r="8182" spans="11:11" x14ac:dyDescent="0.2">
      <c r="K8182" s="8"/>
    </row>
    <row r="8183" spans="11:11" x14ac:dyDescent="0.2">
      <c r="K8183" s="8"/>
    </row>
    <row r="8184" spans="11:11" x14ac:dyDescent="0.2">
      <c r="K8184" s="8"/>
    </row>
    <row r="8185" spans="11:11" x14ac:dyDescent="0.2">
      <c r="K8185" s="8"/>
    </row>
    <row r="8186" spans="11:11" x14ac:dyDescent="0.2">
      <c r="K8186" s="8"/>
    </row>
    <row r="8187" spans="11:11" x14ac:dyDescent="0.2">
      <c r="K8187" s="8"/>
    </row>
    <row r="8188" spans="11:11" x14ac:dyDescent="0.2">
      <c r="K8188" s="8"/>
    </row>
    <row r="8189" spans="11:11" x14ac:dyDescent="0.2">
      <c r="K8189" s="8"/>
    </row>
    <row r="8190" spans="11:11" x14ac:dyDescent="0.2">
      <c r="K8190" s="8"/>
    </row>
    <row r="8191" spans="11:11" x14ac:dyDescent="0.2">
      <c r="K8191" s="8"/>
    </row>
    <row r="8192" spans="11:11" x14ac:dyDescent="0.2">
      <c r="K8192" s="8"/>
    </row>
    <row r="8193" spans="11:11" x14ac:dyDescent="0.2">
      <c r="K8193" s="8"/>
    </row>
    <row r="8194" spans="11:11" x14ac:dyDescent="0.2">
      <c r="K8194" s="8"/>
    </row>
    <row r="8195" spans="11:11" x14ac:dyDescent="0.2">
      <c r="K8195" s="8"/>
    </row>
    <row r="8196" spans="11:11" x14ac:dyDescent="0.2">
      <c r="K8196" s="8"/>
    </row>
    <row r="8197" spans="11:11" x14ac:dyDescent="0.2">
      <c r="K8197" s="8"/>
    </row>
    <row r="8198" spans="11:11" x14ac:dyDescent="0.2">
      <c r="K8198" s="8"/>
    </row>
    <row r="8199" spans="11:11" x14ac:dyDescent="0.2">
      <c r="K8199" s="8"/>
    </row>
    <row r="8200" spans="11:11" x14ac:dyDescent="0.2">
      <c r="K8200" s="8"/>
    </row>
    <row r="8201" spans="11:11" x14ac:dyDescent="0.2">
      <c r="K8201" s="8"/>
    </row>
    <row r="8202" spans="11:11" x14ac:dyDescent="0.2">
      <c r="K8202" s="8"/>
    </row>
    <row r="8203" spans="11:11" x14ac:dyDescent="0.2">
      <c r="K8203" s="8"/>
    </row>
    <row r="8204" spans="11:11" x14ac:dyDescent="0.2">
      <c r="K8204" s="8"/>
    </row>
    <row r="8205" spans="11:11" x14ac:dyDescent="0.2">
      <c r="K8205" s="8"/>
    </row>
    <row r="8206" spans="11:11" x14ac:dyDescent="0.2">
      <c r="K8206" s="8"/>
    </row>
    <row r="8207" spans="11:11" x14ac:dyDescent="0.2">
      <c r="K8207" s="8"/>
    </row>
    <row r="8208" spans="11:11" x14ac:dyDescent="0.2">
      <c r="K8208" s="8"/>
    </row>
    <row r="8209" spans="11:11" x14ac:dyDescent="0.2">
      <c r="K8209" s="8"/>
    </row>
    <row r="8210" spans="11:11" x14ac:dyDescent="0.2">
      <c r="K8210" s="8"/>
    </row>
    <row r="8211" spans="11:11" x14ac:dyDescent="0.2">
      <c r="K8211" s="8"/>
    </row>
    <row r="8212" spans="11:11" x14ac:dyDescent="0.2">
      <c r="K8212" s="8"/>
    </row>
    <row r="8213" spans="11:11" x14ac:dyDescent="0.2">
      <c r="K8213" s="8"/>
    </row>
    <row r="8214" spans="11:11" x14ac:dyDescent="0.2">
      <c r="K8214" s="8"/>
    </row>
    <row r="8215" spans="11:11" x14ac:dyDescent="0.2">
      <c r="K8215" s="8"/>
    </row>
    <row r="8216" spans="11:11" x14ac:dyDescent="0.2">
      <c r="K8216" s="8"/>
    </row>
    <row r="8217" spans="11:11" x14ac:dyDescent="0.2">
      <c r="K8217" s="8"/>
    </row>
    <row r="8218" spans="11:11" x14ac:dyDescent="0.2">
      <c r="K8218" s="8"/>
    </row>
    <row r="8219" spans="11:11" x14ac:dyDescent="0.2">
      <c r="K8219" s="8"/>
    </row>
    <row r="8220" spans="11:11" x14ac:dyDescent="0.2">
      <c r="K8220" s="8"/>
    </row>
    <row r="8221" spans="11:11" x14ac:dyDescent="0.2">
      <c r="K8221" s="8"/>
    </row>
    <row r="8222" spans="11:11" x14ac:dyDescent="0.2">
      <c r="K8222" s="8"/>
    </row>
    <row r="8223" spans="11:11" x14ac:dyDescent="0.2">
      <c r="K8223" s="8"/>
    </row>
    <row r="8224" spans="11:11" x14ac:dyDescent="0.2">
      <c r="K8224" s="8"/>
    </row>
    <row r="8225" spans="11:11" x14ac:dyDescent="0.2">
      <c r="K8225" s="8"/>
    </row>
    <row r="8226" spans="11:11" x14ac:dyDescent="0.2">
      <c r="K8226" s="8"/>
    </row>
    <row r="8227" spans="11:11" x14ac:dyDescent="0.2">
      <c r="K8227" s="8"/>
    </row>
    <row r="8228" spans="11:11" x14ac:dyDescent="0.2">
      <c r="K8228" s="8"/>
    </row>
    <row r="8229" spans="11:11" x14ac:dyDescent="0.2">
      <c r="K8229" s="8"/>
    </row>
    <row r="8230" spans="11:11" x14ac:dyDescent="0.2">
      <c r="K8230" s="8"/>
    </row>
    <row r="8231" spans="11:11" x14ac:dyDescent="0.2">
      <c r="K8231" s="8"/>
    </row>
    <row r="8232" spans="11:11" x14ac:dyDescent="0.2">
      <c r="K8232" s="8"/>
    </row>
    <row r="8233" spans="11:11" x14ac:dyDescent="0.2">
      <c r="K8233" s="8"/>
    </row>
    <row r="8234" spans="11:11" x14ac:dyDescent="0.2">
      <c r="K8234" s="8"/>
    </row>
    <row r="8235" spans="11:11" x14ac:dyDescent="0.2">
      <c r="K8235" s="8"/>
    </row>
    <row r="8236" spans="11:11" x14ac:dyDescent="0.2">
      <c r="K8236" s="8"/>
    </row>
    <row r="8237" spans="11:11" x14ac:dyDescent="0.2">
      <c r="K8237" s="8"/>
    </row>
    <row r="8238" spans="11:11" x14ac:dyDescent="0.2">
      <c r="K8238" s="8"/>
    </row>
    <row r="8239" spans="11:11" x14ac:dyDescent="0.2">
      <c r="K8239" s="8"/>
    </row>
    <row r="8240" spans="11:11" x14ac:dyDescent="0.2">
      <c r="K8240" s="8"/>
    </row>
    <row r="8241" spans="11:11" x14ac:dyDescent="0.2">
      <c r="K8241" s="8"/>
    </row>
    <row r="8242" spans="11:11" x14ac:dyDescent="0.2">
      <c r="K8242" s="8"/>
    </row>
    <row r="8243" spans="11:11" x14ac:dyDescent="0.2">
      <c r="K8243" s="8"/>
    </row>
    <row r="8244" spans="11:11" x14ac:dyDescent="0.2">
      <c r="K8244" s="8"/>
    </row>
    <row r="8245" spans="11:11" x14ac:dyDescent="0.2">
      <c r="K8245" s="8"/>
    </row>
    <row r="8246" spans="11:11" x14ac:dyDescent="0.2">
      <c r="K8246" s="8"/>
    </row>
    <row r="8247" spans="11:11" x14ac:dyDescent="0.2">
      <c r="K8247" s="8"/>
    </row>
    <row r="8248" spans="11:11" x14ac:dyDescent="0.2">
      <c r="K8248" s="8"/>
    </row>
    <row r="8249" spans="11:11" x14ac:dyDescent="0.2">
      <c r="K8249" s="8"/>
    </row>
    <row r="8250" spans="11:11" x14ac:dyDescent="0.2">
      <c r="K8250" s="8"/>
    </row>
    <row r="8251" spans="11:11" x14ac:dyDescent="0.2">
      <c r="K8251" s="8"/>
    </row>
    <row r="8252" spans="11:11" x14ac:dyDescent="0.2">
      <c r="K8252" s="8"/>
    </row>
    <row r="8253" spans="11:11" x14ac:dyDescent="0.2">
      <c r="K8253" s="8"/>
    </row>
    <row r="8254" spans="11:11" x14ac:dyDescent="0.2">
      <c r="K8254" s="8"/>
    </row>
    <row r="8255" spans="11:11" x14ac:dyDescent="0.2">
      <c r="K8255" s="8"/>
    </row>
    <row r="8256" spans="11:11" x14ac:dyDescent="0.2">
      <c r="K8256" s="8"/>
    </row>
    <row r="8257" spans="11:11" x14ac:dyDescent="0.2">
      <c r="K8257" s="8"/>
    </row>
    <row r="8258" spans="11:11" x14ac:dyDescent="0.2">
      <c r="K8258" s="8"/>
    </row>
    <row r="8259" spans="11:11" x14ac:dyDescent="0.2">
      <c r="K8259" s="8"/>
    </row>
    <row r="8260" spans="11:11" x14ac:dyDescent="0.2">
      <c r="K8260" s="8"/>
    </row>
    <row r="8261" spans="11:11" x14ac:dyDescent="0.2">
      <c r="K8261" s="8"/>
    </row>
    <row r="8262" spans="11:11" x14ac:dyDescent="0.2">
      <c r="K8262" s="8"/>
    </row>
    <row r="8263" spans="11:11" x14ac:dyDescent="0.2">
      <c r="K8263" s="8"/>
    </row>
    <row r="8264" spans="11:11" x14ac:dyDescent="0.2">
      <c r="K8264" s="8"/>
    </row>
    <row r="8265" spans="11:11" x14ac:dyDescent="0.2">
      <c r="K8265" s="8"/>
    </row>
    <row r="8266" spans="11:11" x14ac:dyDescent="0.2">
      <c r="K8266" s="8"/>
    </row>
    <row r="8267" spans="11:11" x14ac:dyDescent="0.2">
      <c r="K8267" s="8"/>
    </row>
    <row r="8268" spans="11:11" x14ac:dyDescent="0.2">
      <c r="K8268" s="8"/>
    </row>
    <row r="8269" spans="11:11" x14ac:dyDescent="0.2">
      <c r="K8269" s="8"/>
    </row>
    <row r="8270" spans="11:11" x14ac:dyDescent="0.2">
      <c r="K8270" s="8"/>
    </row>
    <row r="8271" spans="11:11" x14ac:dyDescent="0.2">
      <c r="K8271" s="8"/>
    </row>
    <row r="8272" spans="11:11" x14ac:dyDescent="0.2">
      <c r="K8272" s="8"/>
    </row>
    <row r="8273" spans="11:11" x14ac:dyDescent="0.2">
      <c r="K8273" s="8"/>
    </row>
    <row r="8274" spans="11:11" x14ac:dyDescent="0.2">
      <c r="K8274" s="8"/>
    </row>
    <row r="8275" spans="11:11" x14ac:dyDescent="0.2">
      <c r="K8275" s="8"/>
    </row>
    <row r="8276" spans="11:11" x14ac:dyDescent="0.2">
      <c r="K8276" s="8"/>
    </row>
    <row r="8277" spans="11:11" x14ac:dyDescent="0.2">
      <c r="K8277" s="8"/>
    </row>
    <row r="8278" spans="11:11" x14ac:dyDescent="0.2">
      <c r="K8278" s="8"/>
    </row>
    <row r="8279" spans="11:11" x14ac:dyDescent="0.2">
      <c r="K8279" s="8"/>
    </row>
    <row r="8280" spans="11:11" x14ac:dyDescent="0.2">
      <c r="K8280" s="8"/>
    </row>
    <row r="8281" spans="11:11" x14ac:dyDescent="0.2">
      <c r="K8281" s="8"/>
    </row>
    <row r="8282" spans="11:11" x14ac:dyDescent="0.2">
      <c r="K8282" s="8"/>
    </row>
    <row r="8283" spans="11:11" x14ac:dyDescent="0.2">
      <c r="K8283" s="8"/>
    </row>
    <row r="8284" spans="11:11" x14ac:dyDescent="0.2">
      <c r="K8284" s="8"/>
    </row>
    <row r="8285" spans="11:11" x14ac:dyDescent="0.2">
      <c r="K8285" s="8"/>
    </row>
    <row r="8286" spans="11:11" x14ac:dyDescent="0.2">
      <c r="K8286" s="8"/>
    </row>
    <row r="8287" spans="11:11" x14ac:dyDescent="0.2">
      <c r="K8287" s="8"/>
    </row>
    <row r="8288" spans="11:11" x14ac:dyDescent="0.2">
      <c r="K8288" s="8"/>
    </row>
    <row r="8289" spans="11:11" x14ac:dyDescent="0.2">
      <c r="K8289" s="8"/>
    </row>
    <row r="8290" spans="11:11" x14ac:dyDescent="0.2">
      <c r="K8290" s="8"/>
    </row>
    <row r="8291" spans="11:11" x14ac:dyDescent="0.2">
      <c r="K8291" s="8"/>
    </row>
    <row r="8292" spans="11:11" x14ac:dyDescent="0.2">
      <c r="K8292" s="8"/>
    </row>
    <row r="8293" spans="11:11" x14ac:dyDescent="0.2">
      <c r="K8293" s="8"/>
    </row>
    <row r="8294" spans="11:11" x14ac:dyDescent="0.2">
      <c r="K8294" s="8"/>
    </row>
    <row r="8295" spans="11:11" x14ac:dyDescent="0.2">
      <c r="K8295" s="8"/>
    </row>
    <row r="8296" spans="11:11" x14ac:dyDescent="0.2">
      <c r="K8296" s="8"/>
    </row>
    <row r="8297" spans="11:11" x14ac:dyDescent="0.2">
      <c r="K8297" s="8"/>
    </row>
    <row r="8298" spans="11:11" x14ac:dyDescent="0.2">
      <c r="K8298" s="8"/>
    </row>
    <row r="8299" spans="11:11" x14ac:dyDescent="0.2">
      <c r="K8299" s="8"/>
    </row>
    <row r="8300" spans="11:11" x14ac:dyDescent="0.2">
      <c r="K8300" s="8"/>
    </row>
    <row r="8301" spans="11:11" x14ac:dyDescent="0.2">
      <c r="K8301" s="8"/>
    </row>
    <row r="8302" spans="11:11" x14ac:dyDescent="0.2">
      <c r="K8302" s="8"/>
    </row>
    <row r="8303" spans="11:11" x14ac:dyDescent="0.2">
      <c r="K8303" s="8"/>
    </row>
    <row r="8304" spans="11:11" x14ac:dyDescent="0.2">
      <c r="K8304" s="8"/>
    </row>
    <row r="8305" spans="11:11" x14ac:dyDescent="0.2">
      <c r="K8305" s="8"/>
    </row>
    <row r="8306" spans="11:11" x14ac:dyDescent="0.2">
      <c r="K8306" s="8"/>
    </row>
    <row r="8307" spans="11:11" x14ac:dyDescent="0.2">
      <c r="K8307" s="8"/>
    </row>
    <row r="8308" spans="11:11" x14ac:dyDescent="0.2">
      <c r="K8308" s="8"/>
    </row>
    <row r="8309" spans="11:11" x14ac:dyDescent="0.2">
      <c r="K8309" s="8"/>
    </row>
    <row r="8310" spans="11:11" x14ac:dyDescent="0.2">
      <c r="K8310" s="8"/>
    </row>
    <row r="8311" spans="11:11" x14ac:dyDescent="0.2">
      <c r="K8311" s="8"/>
    </row>
    <row r="8312" spans="11:11" x14ac:dyDescent="0.2">
      <c r="K8312" s="8"/>
    </row>
    <row r="8313" spans="11:11" x14ac:dyDescent="0.2">
      <c r="K8313" s="8"/>
    </row>
    <row r="8314" spans="11:11" x14ac:dyDescent="0.2">
      <c r="K8314" s="8"/>
    </row>
    <row r="8315" spans="11:11" x14ac:dyDescent="0.2">
      <c r="K8315" s="8"/>
    </row>
    <row r="8316" spans="11:11" x14ac:dyDescent="0.2">
      <c r="K8316" s="8"/>
    </row>
    <row r="8317" spans="11:11" x14ac:dyDescent="0.2">
      <c r="K8317" s="8"/>
    </row>
    <row r="8318" spans="11:11" x14ac:dyDescent="0.2">
      <c r="K8318" s="8"/>
    </row>
    <row r="8319" spans="11:11" x14ac:dyDescent="0.2">
      <c r="K8319" s="8"/>
    </row>
    <row r="8320" spans="11:11" x14ac:dyDescent="0.2">
      <c r="K8320" s="8"/>
    </row>
    <row r="8321" spans="11:11" x14ac:dyDescent="0.2">
      <c r="K8321" s="8"/>
    </row>
    <row r="8322" spans="11:11" x14ac:dyDescent="0.2">
      <c r="K8322" s="8"/>
    </row>
    <row r="8323" spans="11:11" x14ac:dyDescent="0.2">
      <c r="K8323" s="8"/>
    </row>
    <row r="8324" spans="11:11" x14ac:dyDescent="0.2">
      <c r="K8324" s="8"/>
    </row>
    <row r="8325" spans="11:11" x14ac:dyDescent="0.2">
      <c r="K8325" s="8"/>
    </row>
    <row r="8326" spans="11:11" x14ac:dyDescent="0.2">
      <c r="K8326" s="8"/>
    </row>
    <row r="8327" spans="11:11" x14ac:dyDescent="0.2">
      <c r="K8327" s="8"/>
    </row>
    <row r="8328" spans="11:11" x14ac:dyDescent="0.2">
      <c r="K8328" s="8"/>
    </row>
    <row r="8329" spans="11:11" x14ac:dyDescent="0.2">
      <c r="K8329" s="8"/>
    </row>
    <row r="8330" spans="11:11" x14ac:dyDescent="0.2">
      <c r="K8330" s="8"/>
    </row>
    <row r="8331" spans="11:11" x14ac:dyDescent="0.2">
      <c r="K8331" s="8"/>
    </row>
    <row r="8332" spans="11:11" x14ac:dyDescent="0.2">
      <c r="K8332" s="8"/>
    </row>
    <row r="8333" spans="11:11" x14ac:dyDescent="0.2">
      <c r="K8333" s="8"/>
    </row>
    <row r="8334" spans="11:11" x14ac:dyDescent="0.2">
      <c r="K8334" s="8"/>
    </row>
    <row r="8335" spans="11:11" x14ac:dyDescent="0.2">
      <c r="K8335" s="8"/>
    </row>
    <row r="8336" spans="11:11" x14ac:dyDescent="0.2">
      <c r="K8336" s="8"/>
    </row>
    <row r="8337" spans="11:11" x14ac:dyDescent="0.2">
      <c r="K8337" s="8"/>
    </row>
    <row r="8338" spans="11:11" x14ac:dyDescent="0.2">
      <c r="K8338" s="8"/>
    </row>
    <row r="8339" spans="11:11" x14ac:dyDescent="0.2">
      <c r="K8339" s="8"/>
    </row>
    <row r="8340" spans="11:11" x14ac:dyDescent="0.2">
      <c r="K8340" s="8"/>
    </row>
    <row r="8341" spans="11:11" x14ac:dyDescent="0.2">
      <c r="K8341" s="8"/>
    </row>
    <row r="8342" spans="11:11" x14ac:dyDescent="0.2">
      <c r="K8342" s="8"/>
    </row>
    <row r="8343" spans="11:11" x14ac:dyDescent="0.2">
      <c r="K8343" s="8"/>
    </row>
    <row r="8344" spans="11:11" x14ac:dyDescent="0.2">
      <c r="K8344" s="8"/>
    </row>
    <row r="8345" spans="11:11" x14ac:dyDescent="0.2">
      <c r="K8345" s="8"/>
    </row>
    <row r="8346" spans="11:11" x14ac:dyDescent="0.2">
      <c r="K8346" s="8"/>
    </row>
    <row r="8347" spans="11:11" x14ac:dyDescent="0.2">
      <c r="K8347" s="8"/>
    </row>
    <row r="8348" spans="11:11" x14ac:dyDescent="0.2">
      <c r="K8348" s="8"/>
    </row>
    <row r="8349" spans="11:11" x14ac:dyDescent="0.2">
      <c r="K8349" s="8"/>
    </row>
    <row r="8350" spans="11:11" x14ac:dyDescent="0.2">
      <c r="K8350" s="8"/>
    </row>
    <row r="8351" spans="11:11" x14ac:dyDescent="0.2">
      <c r="K8351" s="8"/>
    </row>
    <row r="8352" spans="11:11" x14ac:dyDescent="0.2">
      <c r="K8352" s="8"/>
    </row>
    <row r="8353" spans="11:11" x14ac:dyDescent="0.2">
      <c r="K8353" s="8"/>
    </row>
    <row r="8354" spans="11:11" x14ac:dyDescent="0.2">
      <c r="K8354" s="8"/>
    </row>
    <row r="8355" spans="11:11" x14ac:dyDescent="0.2">
      <c r="K8355" s="8"/>
    </row>
    <row r="8356" spans="11:11" x14ac:dyDescent="0.2">
      <c r="K8356" s="8"/>
    </row>
    <row r="8357" spans="11:11" x14ac:dyDescent="0.2">
      <c r="K8357" s="8"/>
    </row>
    <row r="8358" spans="11:11" x14ac:dyDescent="0.2">
      <c r="K8358" s="8"/>
    </row>
    <row r="8359" spans="11:11" x14ac:dyDescent="0.2">
      <c r="K8359" s="8"/>
    </row>
    <row r="8360" spans="11:11" x14ac:dyDescent="0.2">
      <c r="K8360" s="8"/>
    </row>
    <row r="8361" spans="11:11" x14ac:dyDescent="0.2">
      <c r="K8361" s="8"/>
    </row>
    <row r="8362" spans="11:11" x14ac:dyDescent="0.2">
      <c r="K8362" s="8"/>
    </row>
    <row r="8363" spans="11:11" x14ac:dyDescent="0.2">
      <c r="K8363" s="8"/>
    </row>
    <row r="8364" spans="11:11" x14ac:dyDescent="0.2">
      <c r="K8364" s="8"/>
    </row>
    <row r="8365" spans="11:11" x14ac:dyDescent="0.2">
      <c r="K8365" s="8"/>
    </row>
    <row r="8366" spans="11:11" x14ac:dyDescent="0.2">
      <c r="K8366" s="8"/>
    </row>
    <row r="8367" spans="11:11" x14ac:dyDescent="0.2">
      <c r="K8367" s="8"/>
    </row>
    <row r="8368" spans="11:11" x14ac:dyDescent="0.2">
      <c r="K8368" s="8"/>
    </row>
    <row r="8369" spans="11:11" x14ac:dyDescent="0.2">
      <c r="K8369" s="8"/>
    </row>
    <row r="8370" spans="11:11" x14ac:dyDescent="0.2">
      <c r="K8370" s="8"/>
    </row>
    <row r="8371" spans="11:11" x14ac:dyDescent="0.2">
      <c r="K8371" s="8"/>
    </row>
    <row r="8372" spans="11:11" x14ac:dyDescent="0.2">
      <c r="K8372" s="8"/>
    </row>
    <row r="8373" spans="11:11" x14ac:dyDescent="0.2">
      <c r="K8373" s="8"/>
    </row>
    <row r="8374" spans="11:11" x14ac:dyDescent="0.2">
      <c r="K8374" s="8"/>
    </row>
    <row r="8375" spans="11:11" x14ac:dyDescent="0.2">
      <c r="K8375" s="8"/>
    </row>
    <row r="8376" spans="11:11" x14ac:dyDescent="0.2">
      <c r="K8376" s="8"/>
    </row>
    <row r="8377" spans="11:11" x14ac:dyDescent="0.2">
      <c r="K8377" s="8"/>
    </row>
    <row r="8378" spans="11:11" x14ac:dyDescent="0.2">
      <c r="K8378" s="8"/>
    </row>
    <row r="8379" spans="11:11" x14ac:dyDescent="0.2">
      <c r="K8379" s="8"/>
    </row>
    <row r="8380" spans="11:11" x14ac:dyDescent="0.2">
      <c r="K8380" s="8"/>
    </row>
    <row r="8381" spans="11:11" x14ac:dyDescent="0.2">
      <c r="K8381" s="8"/>
    </row>
    <row r="8382" spans="11:11" x14ac:dyDescent="0.2">
      <c r="K8382" s="8"/>
    </row>
    <row r="8383" spans="11:11" x14ac:dyDescent="0.2">
      <c r="K8383" s="8"/>
    </row>
    <row r="8384" spans="11:11" x14ac:dyDescent="0.2">
      <c r="K8384" s="8"/>
    </row>
    <row r="8385" spans="11:11" x14ac:dyDescent="0.2">
      <c r="K8385" s="8"/>
    </row>
    <row r="8386" spans="11:11" x14ac:dyDescent="0.2">
      <c r="K8386" s="8"/>
    </row>
    <row r="8387" spans="11:11" x14ac:dyDescent="0.2">
      <c r="K8387" s="8"/>
    </row>
    <row r="8388" spans="11:11" x14ac:dyDescent="0.2">
      <c r="K8388" s="8"/>
    </row>
    <row r="8389" spans="11:11" x14ac:dyDescent="0.2">
      <c r="K8389" s="8"/>
    </row>
    <row r="8390" spans="11:11" x14ac:dyDescent="0.2">
      <c r="K8390" s="8"/>
    </row>
    <row r="8391" spans="11:11" x14ac:dyDescent="0.2">
      <c r="K8391" s="8"/>
    </row>
    <row r="8392" spans="11:11" x14ac:dyDescent="0.2">
      <c r="K8392" s="8"/>
    </row>
    <row r="8393" spans="11:11" x14ac:dyDescent="0.2">
      <c r="K8393" s="8"/>
    </row>
    <row r="8394" spans="11:11" x14ac:dyDescent="0.2">
      <c r="K8394" s="8"/>
    </row>
    <row r="8395" spans="11:11" x14ac:dyDescent="0.2">
      <c r="K8395" s="8"/>
    </row>
    <row r="8396" spans="11:11" x14ac:dyDescent="0.2">
      <c r="K8396" s="8"/>
    </row>
    <row r="8397" spans="11:11" x14ac:dyDescent="0.2">
      <c r="K8397" s="8"/>
    </row>
    <row r="8398" spans="11:11" x14ac:dyDescent="0.2">
      <c r="K8398" s="8"/>
    </row>
    <row r="8399" spans="11:11" x14ac:dyDescent="0.2">
      <c r="K8399" s="8"/>
    </row>
    <row r="8400" spans="11:11" x14ac:dyDescent="0.2">
      <c r="K8400" s="8"/>
    </row>
    <row r="8401" spans="11:11" x14ac:dyDescent="0.2">
      <c r="K8401" s="8"/>
    </row>
    <row r="8402" spans="11:11" x14ac:dyDescent="0.2">
      <c r="K8402" s="8"/>
    </row>
    <row r="8403" spans="11:11" x14ac:dyDescent="0.2">
      <c r="K8403" s="8"/>
    </row>
    <row r="8404" spans="11:11" x14ac:dyDescent="0.2">
      <c r="K8404" s="8"/>
    </row>
    <row r="8405" spans="11:11" x14ac:dyDescent="0.2">
      <c r="K8405" s="8"/>
    </row>
    <row r="8406" spans="11:11" x14ac:dyDescent="0.2">
      <c r="K8406" s="8"/>
    </row>
    <row r="8407" spans="11:11" x14ac:dyDescent="0.2">
      <c r="K8407" s="8"/>
    </row>
    <row r="8408" spans="11:11" x14ac:dyDescent="0.2">
      <c r="K8408" s="8"/>
    </row>
    <row r="8409" spans="11:11" x14ac:dyDescent="0.2">
      <c r="K8409" s="8"/>
    </row>
    <row r="8410" spans="11:11" x14ac:dyDescent="0.2">
      <c r="K8410" s="8"/>
    </row>
    <row r="8411" spans="11:11" x14ac:dyDescent="0.2">
      <c r="K8411" s="8"/>
    </row>
    <row r="8412" spans="11:11" x14ac:dyDescent="0.2">
      <c r="K8412" s="8"/>
    </row>
    <row r="8413" spans="11:11" x14ac:dyDescent="0.2">
      <c r="K8413" s="8"/>
    </row>
    <row r="8414" spans="11:11" x14ac:dyDescent="0.2">
      <c r="K8414" s="8"/>
    </row>
    <row r="8415" spans="11:11" x14ac:dyDescent="0.2">
      <c r="K8415" s="8"/>
    </row>
    <row r="8416" spans="11:11" x14ac:dyDescent="0.2">
      <c r="K8416" s="8"/>
    </row>
    <row r="8417" spans="11:11" x14ac:dyDescent="0.2">
      <c r="K8417" s="8"/>
    </row>
    <row r="8418" spans="11:11" x14ac:dyDescent="0.2">
      <c r="K8418" s="8"/>
    </row>
    <row r="8419" spans="11:11" x14ac:dyDescent="0.2">
      <c r="K8419" s="8"/>
    </row>
    <row r="8420" spans="11:11" x14ac:dyDescent="0.2">
      <c r="K8420" s="8"/>
    </row>
    <row r="8421" spans="11:11" x14ac:dyDescent="0.2">
      <c r="K8421" s="8"/>
    </row>
    <row r="8422" spans="11:11" x14ac:dyDescent="0.2">
      <c r="K8422" s="8"/>
    </row>
    <row r="8423" spans="11:11" x14ac:dyDescent="0.2">
      <c r="K8423" s="8"/>
    </row>
    <row r="8424" spans="11:11" x14ac:dyDescent="0.2">
      <c r="K8424" s="8"/>
    </row>
    <row r="8425" spans="11:11" x14ac:dyDescent="0.2">
      <c r="K8425" s="8"/>
    </row>
    <row r="8426" spans="11:11" x14ac:dyDescent="0.2">
      <c r="K8426" s="8"/>
    </row>
    <row r="8427" spans="11:11" x14ac:dyDescent="0.2">
      <c r="K8427" s="8"/>
    </row>
    <row r="8428" spans="11:11" x14ac:dyDescent="0.2">
      <c r="K8428" s="8"/>
    </row>
    <row r="8429" spans="11:11" x14ac:dyDescent="0.2">
      <c r="K8429" s="8"/>
    </row>
    <row r="8430" spans="11:11" x14ac:dyDescent="0.2">
      <c r="K8430" s="8"/>
    </row>
    <row r="8431" spans="11:11" x14ac:dyDescent="0.2">
      <c r="K8431" s="8"/>
    </row>
    <row r="8432" spans="11:11" x14ac:dyDescent="0.2">
      <c r="K8432" s="8"/>
    </row>
    <row r="8433" spans="11:11" x14ac:dyDescent="0.2">
      <c r="K8433" s="8"/>
    </row>
    <row r="8434" spans="11:11" x14ac:dyDescent="0.2">
      <c r="K8434" s="8"/>
    </row>
    <row r="8435" spans="11:11" x14ac:dyDescent="0.2">
      <c r="K8435" s="8"/>
    </row>
    <row r="8436" spans="11:11" x14ac:dyDescent="0.2">
      <c r="K8436" s="8"/>
    </row>
    <row r="8437" spans="11:11" x14ac:dyDescent="0.2">
      <c r="K8437" s="8"/>
    </row>
    <row r="8438" spans="11:11" x14ac:dyDescent="0.2">
      <c r="K8438" s="8"/>
    </row>
    <row r="8439" spans="11:11" x14ac:dyDescent="0.2">
      <c r="K8439" s="8"/>
    </row>
    <row r="8440" spans="11:11" x14ac:dyDescent="0.2">
      <c r="K8440" s="8"/>
    </row>
    <row r="8441" spans="11:11" x14ac:dyDescent="0.2">
      <c r="K8441" s="8"/>
    </row>
    <row r="8442" spans="11:11" x14ac:dyDescent="0.2">
      <c r="K8442" s="8"/>
    </row>
    <row r="8443" spans="11:11" x14ac:dyDescent="0.2">
      <c r="K8443" s="8"/>
    </row>
    <row r="8444" spans="11:11" x14ac:dyDescent="0.2">
      <c r="K8444" s="8"/>
    </row>
    <row r="8445" spans="11:11" x14ac:dyDescent="0.2">
      <c r="K8445" s="8"/>
    </row>
    <row r="8446" spans="11:11" x14ac:dyDescent="0.2">
      <c r="K8446" s="8"/>
    </row>
    <row r="8447" spans="11:11" x14ac:dyDescent="0.2">
      <c r="K8447" s="8"/>
    </row>
    <row r="8448" spans="11:11" x14ac:dyDescent="0.2">
      <c r="K8448" s="8"/>
    </row>
    <row r="8449" spans="11:11" x14ac:dyDescent="0.2">
      <c r="K8449" s="8"/>
    </row>
    <row r="8450" spans="11:11" x14ac:dyDescent="0.2">
      <c r="K8450" s="8"/>
    </row>
    <row r="8451" spans="11:11" x14ac:dyDescent="0.2">
      <c r="K8451" s="8"/>
    </row>
    <row r="8452" spans="11:11" x14ac:dyDescent="0.2">
      <c r="K8452" s="8"/>
    </row>
    <row r="8453" spans="11:11" x14ac:dyDescent="0.2">
      <c r="K8453" s="8"/>
    </row>
    <row r="8454" spans="11:11" x14ac:dyDescent="0.2">
      <c r="K8454" s="8"/>
    </row>
    <row r="8455" spans="11:11" x14ac:dyDescent="0.2">
      <c r="K8455" s="8"/>
    </row>
    <row r="8456" spans="11:11" x14ac:dyDescent="0.2">
      <c r="K8456" s="8"/>
    </row>
    <row r="8457" spans="11:11" x14ac:dyDescent="0.2">
      <c r="K8457" s="8"/>
    </row>
    <row r="8458" spans="11:11" x14ac:dyDescent="0.2">
      <c r="K8458" s="8"/>
    </row>
    <row r="8459" spans="11:11" x14ac:dyDescent="0.2">
      <c r="K8459" s="8"/>
    </row>
    <row r="8460" spans="11:11" x14ac:dyDescent="0.2">
      <c r="K8460" s="8"/>
    </row>
    <row r="8461" spans="11:11" x14ac:dyDescent="0.2">
      <c r="K8461" s="8"/>
    </row>
    <row r="8462" spans="11:11" x14ac:dyDescent="0.2">
      <c r="K8462" s="8"/>
    </row>
    <row r="8463" spans="11:11" x14ac:dyDescent="0.2">
      <c r="K8463" s="8"/>
    </row>
    <row r="8464" spans="11:11" x14ac:dyDescent="0.2">
      <c r="K8464" s="8"/>
    </row>
    <row r="8465" spans="11:11" x14ac:dyDescent="0.2">
      <c r="K8465" s="8"/>
    </row>
    <row r="8466" spans="11:11" x14ac:dyDescent="0.2">
      <c r="K8466" s="8"/>
    </row>
    <row r="8467" spans="11:11" x14ac:dyDescent="0.2">
      <c r="K8467" s="8"/>
    </row>
    <row r="8468" spans="11:11" x14ac:dyDescent="0.2">
      <c r="K8468" s="8"/>
    </row>
    <row r="8469" spans="11:11" x14ac:dyDescent="0.2">
      <c r="K8469" s="8"/>
    </row>
    <row r="8470" spans="11:11" x14ac:dyDescent="0.2">
      <c r="K8470" s="8"/>
    </row>
    <row r="8471" spans="11:11" x14ac:dyDescent="0.2">
      <c r="K8471" s="8"/>
    </row>
    <row r="8472" spans="11:11" x14ac:dyDescent="0.2">
      <c r="K8472" s="8"/>
    </row>
    <row r="8473" spans="11:11" x14ac:dyDescent="0.2">
      <c r="K8473" s="8"/>
    </row>
    <row r="8474" spans="11:11" x14ac:dyDescent="0.2">
      <c r="K8474" s="8"/>
    </row>
    <row r="8475" spans="11:11" x14ac:dyDescent="0.2">
      <c r="K8475" s="8"/>
    </row>
    <row r="8476" spans="11:11" x14ac:dyDescent="0.2">
      <c r="K8476" s="8"/>
    </row>
    <row r="8477" spans="11:11" x14ac:dyDescent="0.2">
      <c r="K8477" s="8"/>
    </row>
    <row r="8478" spans="11:11" x14ac:dyDescent="0.2">
      <c r="K8478" s="8"/>
    </row>
    <row r="8479" spans="11:11" x14ac:dyDescent="0.2">
      <c r="K8479" s="8"/>
    </row>
    <row r="8480" spans="11:11" x14ac:dyDescent="0.2">
      <c r="K8480" s="8"/>
    </row>
    <row r="8481" spans="11:11" x14ac:dyDescent="0.2">
      <c r="K8481" s="8"/>
    </row>
    <row r="8482" spans="11:11" x14ac:dyDescent="0.2">
      <c r="K8482" s="8"/>
    </row>
    <row r="8483" spans="11:11" x14ac:dyDescent="0.2">
      <c r="K8483" s="8"/>
    </row>
    <row r="8484" spans="11:11" x14ac:dyDescent="0.2">
      <c r="K8484" s="8"/>
    </row>
    <row r="8485" spans="11:11" x14ac:dyDescent="0.2">
      <c r="K8485" s="8"/>
    </row>
    <row r="8486" spans="11:11" x14ac:dyDescent="0.2">
      <c r="K8486" s="8"/>
    </row>
    <row r="8487" spans="11:11" x14ac:dyDescent="0.2">
      <c r="K8487" s="8"/>
    </row>
    <row r="8488" spans="11:11" x14ac:dyDescent="0.2">
      <c r="K8488" s="8"/>
    </row>
    <row r="8489" spans="11:11" x14ac:dyDescent="0.2">
      <c r="K8489" s="8"/>
    </row>
    <row r="8490" spans="11:11" x14ac:dyDescent="0.2">
      <c r="K8490" s="8"/>
    </row>
    <row r="8491" spans="11:11" x14ac:dyDescent="0.2">
      <c r="K8491" s="8"/>
    </row>
    <row r="8492" spans="11:11" x14ac:dyDescent="0.2">
      <c r="K8492" s="8"/>
    </row>
    <row r="8493" spans="11:11" x14ac:dyDescent="0.2">
      <c r="K8493" s="8"/>
    </row>
    <row r="8494" spans="11:11" x14ac:dyDescent="0.2">
      <c r="K8494" s="8"/>
    </row>
    <row r="8495" spans="11:11" x14ac:dyDescent="0.2">
      <c r="K8495" s="8"/>
    </row>
    <row r="8496" spans="11:11" x14ac:dyDescent="0.2">
      <c r="K8496" s="8"/>
    </row>
    <row r="8497" spans="11:11" x14ac:dyDescent="0.2">
      <c r="K8497" s="8"/>
    </row>
    <row r="8498" spans="11:11" x14ac:dyDescent="0.2">
      <c r="K8498" s="8"/>
    </row>
    <row r="8499" spans="11:11" x14ac:dyDescent="0.2">
      <c r="K8499" s="8"/>
    </row>
    <row r="8500" spans="11:11" x14ac:dyDescent="0.2">
      <c r="K8500" s="8"/>
    </row>
    <row r="8501" spans="11:11" x14ac:dyDescent="0.2">
      <c r="K8501" s="8"/>
    </row>
    <row r="8502" spans="11:11" x14ac:dyDescent="0.2">
      <c r="K8502" s="8"/>
    </row>
    <row r="8503" spans="11:11" x14ac:dyDescent="0.2">
      <c r="K8503" s="8"/>
    </row>
    <row r="8504" spans="11:11" x14ac:dyDescent="0.2">
      <c r="K8504" s="8"/>
    </row>
    <row r="8505" spans="11:11" x14ac:dyDescent="0.2">
      <c r="K8505" s="8"/>
    </row>
    <row r="8506" spans="11:11" x14ac:dyDescent="0.2">
      <c r="K8506" s="8"/>
    </row>
    <row r="8507" spans="11:11" x14ac:dyDescent="0.2">
      <c r="K8507" s="8"/>
    </row>
    <row r="8508" spans="11:11" x14ac:dyDescent="0.2">
      <c r="K8508" s="8"/>
    </row>
    <row r="8509" spans="11:11" x14ac:dyDescent="0.2">
      <c r="K8509" s="8"/>
    </row>
    <row r="8510" spans="11:11" x14ac:dyDescent="0.2">
      <c r="K8510" s="8"/>
    </row>
    <row r="8511" spans="11:11" x14ac:dyDescent="0.2">
      <c r="K8511" s="8"/>
    </row>
    <row r="8512" spans="11:11" x14ac:dyDescent="0.2">
      <c r="K8512" s="8"/>
    </row>
    <row r="8513" spans="11:11" x14ac:dyDescent="0.2">
      <c r="K8513" s="8"/>
    </row>
    <row r="8514" spans="11:11" x14ac:dyDescent="0.2">
      <c r="K8514" s="8"/>
    </row>
    <row r="8515" spans="11:11" x14ac:dyDescent="0.2">
      <c r="K8515" s="8"/>
    </row>
    <row r="8516" spans="11:11" x14ac:dyDescent="0.2">
      <c r="K8516" s="8"/>
    </row>
    <row r="8517" spans="11:11" x14ac:dyDescent="0.2">
      <c r="K8517" s="8"/>
    </row>
    <row r="8518" spans="11:11" x14ac:dyDescent="0.2">
      <c r="K8518" s="8"/>
    </row>
    <row r="8519" spans="11:11" x14ac:dyDescent="0.2">
      <c r="K8519" s="8"/>
    </row>
    <row r="8520" spans="11:11" x14ac:dyDescent="0.2">
      <c r="K8520" s="8"/>
    </row>
    <row r="8521" spans="11:11" x14ac:dyDescent="0.2">
      <c r="K8521" s="8"/>
    </row>
    <row r="8522" spans="11:11" x14ac:dyDescent="0.2">
      <c r="K8522" s="8"/>
    </row>
    <row r="8523" spans="11:11" x14ac:dyDescent="0.2">
      <c r="K8523" s="8"/>
    </row>
    <row r="8524" spans="11:11" x14ac:dyDescent="0.2">
      <c r="K8524" s="8"/>
    </row>
    <row r="8525" spans="11:11" x14ac:dyDescent="0.2">
      <c r="K8525" s="8"/>
    </row>
    <row r="8526" spans="11:11" x14ac:dyDescent="0.2">
      <c r="K8526" s="8"/>
    </row>
    <row r="8527" spans="11:11" x14ac:dyDescent="0.2">
      <c r="K8527" s="8"/>
    </row>
    <row r="8528" spans="11:11" x14ac:dyDescent="0.2">
      <c r="K8528" s="8"/>
    </row>
    <row r="8529" spans="11:11" x14ac:dyDescent="0.2">
      <c r="K8529" s="8"/>
    </row>
    <row r="8530" spans="11:11" x14ac:dyDescent="0.2">
      <c r="K8530" s="8"/>
    </row>
    <row r="8531" spans="11:11" x14ac:dyDescent="0.2">
      <c r="K8531" s="8"/>
    </row>
    <row r="8532" spans="11:11" x14ac:dyDescent="0.2">
      <c r="K8532" s="8"/>
    </row>
    <row r="8533" spans="11:11" x14ac:dyDescent="0.2">
      <c r="K8533" s="8"/>
    </row>
    <row r="8534" spans="11:11" x14ac:dyDescent="0.2">
      <c r="K8534" s="8"/>
    </row>
    <row r="8535" spans="11:11" x14ac:dyDescent="0.2">
      <c r="K8535" s="8"/>
    </row>
    <row r="8536" spans="11:11" x14ac:dyDescent="0.2">
      <c r="K8536" s="8"/>
    </row>
    <row r="8537" spans="11:11" x14ac:dyDescent="0.2">
      <c r="K8537" s="8"/>
    </row>
    <row r="8538" spans="11:11" x14ac:dyDescent="0.2">
      <c r="K8538" s="8"/>
    </row>
    <row r="8539" spans="11:11" x14ac:dyDescent="0.2">
      <c r="K8539" s="8"/>
    </row>
    <row r="8540" spans="11:11" x14ac:dyDescent="0.2">
      <c r="K8540" s="8"/>
    </row>
    <row r="8541" spans="11:11" x14ac:dyDescent="0.2">
      <c r="K8541" s="8"/>
    </row>
    <row r="8542" spans="11:11" x14ac:dyDescent="0.2">
      <c r="K8542" s="8"/>
    </row>
    <row r="8543" spans="11:11" x14ac:dyDescent="0.2">
      <c r="K8543" s="8"/>
    </row>
    <row r="8544" spans="11:11" x14ac:dyDescent="0.2">
      <c r="K8544" s="8"/>
    </row>
    <row r="8545" spans="11:11" x14ac:dyDescent="0.2">
      <c r="K8545" s="8"/>
    </row>
    <row r="8546" spans="11:11" x14ac:dyDescent="0.2">
      <c r="K8546" s="8"/>
    </row>
    <row r="8547" spans="11:11" x14ac:dyDescent="0.2">
      <c r="K8547" s="8"/>
    </row>
    <row r="8548" spans="11:11" x14ac:dyDescent="0.2">
      <c r="K8548" s="8"/>
    </row>
    <row r="8549" spans="11:11" x14ac:dyDescent="0.2">
      <c r="K8549" s="8"/>
    </row>
    <row r="8550" spans="11:11" x14ac:dyDescent="0.2">
      <c r="K8550" s="8"/>
    </row>
    <row r="8551" spans="11:11" x14ac:dyDescent="0.2">
      <c r="K8551" s="8"/>
    </row>
    <row r="8552" spans="11:11" x14ac:dyDescent="0.2">
      <c r="K8552" s="8"/>
    </row>
    <row r="8553" spans="11:11" x14ac:dyDescent="0.2">
      <c r="K8553" s="8"/>
    </row>
    <row r="8554" spans="11:11" x14ac:dyDescent="0.2">
      <c r="K8554" s="8"/>
    </row>
    <row r="8555" spans="11:11" x14ac:dyDescent="0.2">
      <c r="K8555" s="8"/>
    </row>
    <row r="8556" spans="11:11" x14ac:dyDescent="0.2">
      <c r="K8556" s="8"/>
    </row>
    <row r="8557" spans="11:11" x14ac:dyDescent="0.2">
      <c r="K8557" s="8"/>
    </row>
    <row r="8558" spans="11:11" x14ac:dyDescent="0.2">
      <c r="K8558" s="8"/>
    </row>
    <row r="8559" spans="11:11" x14ac:dyDescent="0.2">
      <c r="K8559" s="8"/>
    </row>
    <row r="8560" spans="11:11" x14ac:dyDescent="0.2">
      <c r="K8560" s="8"/>
    </row>
    <row r="8561" spans="11:11" x14ac:dyDescent="0.2">
      <c r="K8561" s="8"/>
    </row>
    <row r="8562" spans="11:11" x14ac:dyDescent="0.2">
      <c r="K8562" s="8"/>
    </row>
    <row r="8563" spans="11:11" x14ac:dyDescent="0.2">
      <c r="K8563" s="8"/>
    </row>
    <row r="8564" spans="11:11" x14ac:dyDescent="0.2">
      <c r="K8564" s="8"/>
    </row>
    <row r="8565" spans="11:11" x14ac:dyDescent="0.2">
      <c r="K8565" s="8"/>
    </row>
    <row r="8566" spans="11:11" x14ac:dyDescent="0.2">
      <c r="K8566" s="8"/>
    </row>
    <row r="8567" spans="11:11" x14ac:dyDescent="0.2">
      <c r="K8567" s="8"/>
    </row>
    <row r="8568" spans="11:11" x14ac:dyDescent="0.2">
      <c r="K8568" s="8"/>
    </row>
    <row r="8569" spans="11:11" x14ac:dyDescent="0.2">
      <c r="K8569" s="8"/>
    </row>
    <row r="8570" spans="11:11" x14ac:dyDescent="0.2">
      <c r="K8570" s="8"/>
    </row>
    <row r="8571" spans="11:11" x14ac:dyDescent="0.2">
      <c r="K8571" s="8"/>
    </row>
    <row r="8572" spans="11:11" x14ac:dyDescent="0.2">
      <c r="K8572" s="8"/>
    </row>
    <row r="8573" spans="11:11" x14ac:dyDescent="0.2">
      <c r="K8573" s="8"/>
    </row>
    <row r="8574" spans="11:11" x14ac:dyDescent="0.2">
      <c r="K8574" s="8"/>
    </row>
    <row r="8575" spans="11:11" x14ac:dyDescent="0.2">
      <c r="K8575" s="8"/>
    </row>
    <row r="8576" spans="11:11" x14ac:dyDescent="0.2">
      <c r="K8576" s="8"/>
    </row>
    <row r="8577" spans="11:11" x14ac:dyDescent="0.2">
      <c r="K8577" s="8"/>
    </row>
    <row r="8578" spans="11:11" x14ac:dyDescent="0.2">
      <c r="K8578" s="8"/>
    </row>
    <row r="8579" spans="11:11" x14ac:dyDescent="0.2">
      <c r="K8579" s="8"/>
    </row>
    <row r="8580" spans="11:11" x14ac:dyDescent="0.2">
      <c r="K8580" s="8"/>
    </row>
    <row r="8581" spans="11:11" x14ac:dyDescent="0.2">
      <c r="K8581" s="8"/>
    </row>
    <row r="8582" spans="11:11" x14ac:dyDescent="0.2">
      <c r="K8582" s="8"/>
    </row>
    <row r="8583" spans="11:11" x14ac:dyDescent="0.2">
      <c r="K8583" s="8"/>
    </row>
    <row r="8584" spans="11:11" x14ac:dyDescent="0.2">
      <c r="K8584" s="8"/>
    </row>
    <row r="8585" spans="11:11" x14ac:dyDescent="0.2">
      <c r="K8585" s="8"/>
    </row>
    <row r="8586" spans="11:11" x14ac:dyDescent="0.2">
      <c r="K8586" s="8"/>
    </row>
    <row r="8587" spans="11:11" x14ac:dyDescent="0.2">
      <c r="K8587" s="8"/>
    </row>
    <row r="8588" spans="11:11" x14ac:dyDescent="0.2">
      <c r="K8588" s="8"/>
    </row>
    <row r="8589" spans="11:11" x14ac:dyDescent="0.2">
      <c r="K8589" s="8"/>
    </row>
    <row r="8590" spans="11:11" x14ac:dyDescent="0.2">
      <c r="K8590" s="8"/>
    </row>
    <row r="8591" spans="11:11" x14ac:dyDescent="0.2">
      <c r="K8591" s="8"/>
    </row>
    <row r="8592" spans="11:11" x14ac:dyDescent="0.2">
      <c r="K8592" s="8"/>
    </row>
    <row r="8593" spans="11:11" x14ac:dyDescent="0.2">
      <c r="K8593" s="8"/>
    </row>
    <row r="8594" spans="11:11" x14ac:dyDescent="0.2">
      <c r="K8594" s="8"/>
    </row>
    <row r="8595" spans="11:11" x14ac:dyDescent="0.2">
      <c r="K8595" s="8"/>
    </row>
    <row r="8596" spans="11:11" x14ac:dyDescent="0.2">
      <c r="K8596" s="8"/>
    </row>
    <row r="8597" spans="11:11" x14ac:dyDescent="0.2">
      <c r="K8597" s="8"/>
    </row>
    <row r="8598" spans="11:11" x14ac:dyDescent="0.2">
      <c r="K8598" s="8"/>
    </row>
    <row r="8599" spans="11:11" x14ac:dyDescent="0.2">
      <c r="K8599" s="8"/>
    </row>
    <row r="8600" spans="11:11" x14ac:dyDescent="0.2">
      <c r="K8600" s="8"/>
    </row>
    <row r="8601" spans="11:11" x14ac:dyDescent="0.2">
      <c r="K8601" s="8"/>
    </row>
    <row r="8602" spans="11:11" x14ac:dyDescent="0.2">
      <c r="K8602" s="8"/>
    </row>
    <row r="8603" spans="11:11" x14ac:dyDescent="0.2">
      <c r="K8603" s="8"/>
    </row>
    <row r="8604" spans="11:11" x14ac:dyDescent="0.2">
      <c r="K8604" s="8"/>
    </row>
    <row r="8605" spans="11:11" x14ac:dyDescent="0.2">
      <c r="K8605" s="8"/>
    </row>
    <row r="8606" spans="11:11" x14ac:dyDescent="0.2">
      <c r="K8606" s="8"/>
    </row>
    <row r="8607" spans="11:11" x14ac:dyDescent="0.2">
      <c r="K8607" s="8"/>
    </row>
    <row r="8608" spans="11:11" x14ac:dyDescent="0.2">
      <c r="K8608" s="8"/>
    </row>
    <row r="8609" spans="11:11" x14ac:dyDescent="0.2">
      <c r="K8609" s="8"/>
    </row>
    <row r="8610" spans="11:11" x14ac:dyDescent="0.2">
      <c r="K8610" s="8"/>
    </row>
    <row r="8611" spans="11:11" x14ac:dyDescent="0.2">
      <c r="K8611" s="8"/>
    </row>
    <row r="8612" spans="11:11" x14ac:dyDescent="0.2">
      <c r="K8612" s="8"/>
    </row>
    <row r="8613" spans="11:11" x14ac:dyDescent="0.2">
      <c r="K8613" s="8"/>
    </row>
    <row r="8614" spans="11:11" x14ac:dyDescent="0.2">
      <c r="K8614" s="8"/>
    </row>
    <row r="8615" spans="11:11" x14ac:dyDescent="0.2">
      <c r="K8615" s="8"/>
    </row>
    <row r="8616" spans="11:11" x14ac:dyDescent="0.2">
      <c r="K8616" s="8"/>
    </row>
    <row r="8617" spans="11:11" x14ac:dyDescent="0.2">
      <c r="K8617" s="8"/>
    </row>
    <row r="8618" spans="11:11" x14ac:dyDescent="0.2">
      <c r="K8618" s="8"/>
    </row>
    <row r="8619" spans="11:11" x14ac:dyDescent="0.2">
      <c r="K8619" s="8"/>
    </row>
    <row r="8620" spans="11:11" x14ac:dyDescent="0.2">
      <c r="K8620" s="8"/>
    </row>
    <row r="8621" spans="11:11" x14ac:dyDescent="0.2">
      <c r="K8621" s="8"/>
    </row>
    <row r="8622" spans="11:11" x14ac:dyDescent="0.2">
      <c r="K8622" s="8"/>
    </row>
    <row r="8623" spans="11:11" x14ac:dyDescent="0.2">
      <c r="K8623" s="8"/>
    </row>
    <row r="8624" spans="11:11" x14ac:dyDescent="0.2">
      <c r="K8624" s="8"/>
    </row>
    <row r="8625" spans="11:11" x14ac:dyDescent="0.2">
      <c r="K8625" s="8"/>
    </row>
    <row r="8626" spans="11:11" x14ac:dyDescent="0.2">
      <c r="K8626" s="8"/>
    </row>
    <row r="8627" spans="11:11" x14ac:dyDescent="0.2">
      <c r="K8627" s="8"/>
    </row>
    <row r="8628" spans="11:11" x14ac:dyDescent="0.2">
      <c r="K8628" s="8"/>
    </row>
    <row r="8629" spans="11:11" x14ac:dyDescent="0.2">
      <c r="K8629" s="8"/>
    </row>
    <row r="8630" spans="11:11" x14ac:dyDescent="0.2">
      <c r="K8630" s="8"/>
    </row>
    <row r="8631" spans="11:11" x14ac:dyDescent="0.2">
      <c r="K8631" s="8"/>
    </row>
    <row r="8632" spans="11:11" x14ac:dyDescent="0.2">
      <c r="K8632" s="8"/>
    </row>
    <row r="8633" spans="11:11" x14ac:dyDescent="0.2">
      <c r="K8633" s="8"/>
    </row>
    <row r="8634" spans="11:11" x14ac:dyDescent="0.2">
      <c r="K8634" s="8"/>
    </row>
    <row r="8635" spans="11:11" x14ac:dyDescent="0.2">
      <c r="K8635" s="8"/>
    </row>
    <row r="8636" spans="11:11" x14ac:dyDescent="0.2">
      <c r="K8636" s="8"/>
    </row>
    <row r="8637" spans="11:11" x14ac:dyDescent="0.2">
      <c r="K8637" s="8"/>
    </row>
    <row r="8638" spans="11:11" x14ac:dyDescent="0.2">
      <c r="K8638" s="8"/>
    </row>
    <row r="8639" spans="11:11" x14ac:dyDescent="0.2">
      <c r="K8639" s="8"/>
    </row>
    <row r="8640" spans="11:11" x14ac:dyDescent="0.2">
      <c r="K8640" s="8"/>
    </row>
    <row r="8641" spans="11:11" x14ac:dyDescent="0.2">
      <c r="K8641" s="8"/>
    </row>
    <row r="8642" spans="11:11" x14ac:dyDescent="0.2">
      <c r="K8642" s="8"/>
    </row>
    <row r="8643" spans="11:11" x14ac:dyDescent="0.2">
      <c r="K8643" s="8"/>
    </row>
    <row r="8644" spans="11:11" x14ac:dyDescent="0.2">
      <c r="K8644" s="8"/>
    </row>
    <row r="8645" spans="11:11" x14ac:dyDescent="0.2">
      <c r="K8645" s="8"/>
    </row>
    <row r="8646" spans="11:11" x14ac:dyDescent="0.2">
      <c r="K8646" s="8"/>
    </row>
    <row r="8647" spans="11:11" x14ac:dyDescent="0.2">
      <c r="K8647" s="8"/>
    </row>
    <row r="8648" spans="11:11" x14ac:dyDescent="0.2">
      <c r="K8648" s="8"/>
    </row>
    <row r="8649" spans="11:11" x14ac:dyDescent="0.2">
      <c r="K8649" s="8"/>
    </row>
    <row r="8650" spans="11:11" x14ac:dyDescent="0.2">
      <c r="K8650" s="8"/>
    </row>
    <row r="8651" spans="11:11" x14ac:dyDescent="0.2">
      <c r="K8651" s="8"/>
    </row>
    <row r="8652" spans="11:11" x14ac:dyDescent="0.2">
      <c r="K8652" s="8"/>
    </row>
    <row r="8653" spans="11:11" x14ac:dyDescent="0.2">
      <c r="K8653" s="8"/>
    </row>
    <row r="8654" spans="11:11" x14ac:dyDescent="0.2">
      <c r="K8654" s="8"/>
    </row>
    <row r="8655" spans="11:11" x14ac:dyDescent="0.2">
      <c r="K8655" s="8"/>
    </row>
    <row r="8656" spans="11:11" x14ac:dyDescent="0.2">
      <c r="K8656" s="8"/>
    </row>
    <row r="8657" spans="11:11" x14ac:dyDescent="0.2">
      <c r="K8657" s="8"/>
    </row>
    <row r="8658" spans="11:11" x14ac:dyDescent="0.2">
      <c r="K8658" s="8"/>
    </row>
    <row r="8659" spans="11:11" x14ac:dyDescent="0.2">
      <c r="K8659" s="8"/>
    </row>
    <row r="8660" spans="11:11" x14ac:dyDescent="0.2">
      <c r="K8660" s="8"/>
    </row>
    <row r="8661" spans="11:11" x14ac:dyDescent="0.2">
      <c r="K8661" s="8"/>
    </row>
    <row r="8662" spans="11:11" x14ac:dyDescent="0.2">
      <c r="K8662" s="8"/>
    </row>
    <row r="8663" spans="11:11" x14ac:dyDescent="0.2">
      <c r="K8663" s="8"/>
    </row>
    <row r="8664" spans="11:11" x14ac:dyDescent="0.2">
      <c r="K8664" s="8"/>
    </row>
    <row r="8665" spans="11:11" x14ac:dyDescent="0.2">
      <c r="K8665" s="8"/>
    </row>
    <row r="8666" spans="11:11" x14ac:dyDescent="0.2">
      <c r="K8666" s="8"/>
    </row>
    <row r="8667" spans="11:11" x14ac:dyDescent="0.2">
      <c r="K8667" s="8"/>
    </row>
    <row r="8668" spans="11:11" x14ac:dyDescent="0.2">
      <c r="K8668" s="8"/>
    </row>
    <row r="8669" spans="11:11" x14ac:dyDescent="0.2">
      <c r="K8669" s="8"/>
    </row>
    <row r="8670" spans="11:11" x14ac:dyDescent="0.2">
      <c r="K8670" s="8"/>
    </row>
    <row r="8671" spans="11:11" x14ac:dyDescent="0.2">
      <c r="K8671" s="8"/>
    </row>
    <row r="8672" spans="11:11" x14ac:dyDescent="0.2">
      <c r="K8672" s="8"/>
    </row>
    <row r="8673" spans="11:11" x14ac:dyDescent="0.2">
      <c r="K8673" s="8"/>
    </row>
    <row r="8674" spans="11:11" x14ac:dyDescent="0.2">
      <c r="K8674" s="8"/>
    </row>
    <row r="8675" spans="11:11" x14ac:dyDescent="0.2">
      <c r="K8675" s="8"/>
    </row>
    <row r="8676" spans="11:11" x14ac:dyDescent="0.2">
      <c r="K8676" s="8"/>
    </row>
    <row r="8677" spans="11:11" x14ac:dyDescent="0.2">
      <c r="K8677" s="8"/>
    </row>
    <row r="8678" spans="11:11" x14ac:dyDescent="0.2">
      <c r="K8678" s="8"/>
    </row>
    <row r="8679" spans="11:11" x14ac:dyDescent="0.2">
      <c r="K8679" s="8"/>
    </row>
    <row r="8680" spans="11:11" x14ac:dyDescent="0.2">
      <c r="K8680" s="8"/>
    </row>
    <row r="8681" spans="11:11" x14ac:dyDescent="0.2">
      <c r="K8681" s="8"/>
    </row>
    <row r="8682" spans="11:11" x14ac:dyDescent="0.2">
      <c r="K8682" s="8"/>
    </row>
    <row r="8683" spans="11:11" x14ac:dyDescent="0.2">
      <c r="K8683" s="8"/>
    </row>
    <row r="8684" spans="11:11" x14ac:dyDescent="0.2">
      <c r="K8684" s="8"/>
    </row>
    <row r="8685" spans="11:11" x14ac:dyDescent="0.2">
      <c r="K8685" s="8"/>
    </row>
    <row r="8686" spans="11:11" x14ac:dyDescent="0.2">
      <c r="K8686" s="8"/>
    </row>
    <row r="8687" spans="11:11" x14ac:dyDescent="0.2">
      <c r="K8687" s="8"/>
    </row>
    <row r="8688" spans="11:11" x14ac:dyDescent="0.2">
      <c r="K8688" s="8"/>
    </row>
    <row r="8689" spans="11:11" x14ac:dyDescent="0.2">
      <c r="K8689" s="8"/>
    </row>
    <row r="8690" spans="11:11" x14ac:dyDescent="0.2">
      <c r="K8690" s="8"/>
    </row>
    <row r="8691" spans="11:11" x14ac:dyDescent="0.2">
      <c r="K8691" s="8"/>
    </row>
    <row r="8692" spans="11:11" x14ac:dyDescent="0.2">
      <c r="K8692" s="8"/>
    </row>
    <row r="8693" spans="11:11" x14ac:dyDescent="0.2">
      <c r="K8693" s="8"/>
    </row>
    <row r="8694" spans="11:11" x14ac:dyDescent="0.2">
      <c r="K8694" s="8"/>
    </row>
    <row r="8695" spans="11:11" x14ac:dyDescent="0.2">
      <c r="K8695" s="8"/>
    </row>
    <row r="8696" spans="11:11" x14ac:dyDescent="0.2">
      <c r="K8696" s="8"/>
    </row>
    <row r="8697" spans="11:11" x14ac:dyDescent="0.2">
      <c r="K8697" s="8"/>
    </row>
    <row r="8698" spans="11:11" x14ac:dyDescent="0.2">
      <c r="K8698" s="8"/>
    </row>
    <row r="8699" spans="11:11" x14ac:dyDescent="0.2">
      <c r="K8699" s="8"/>
    </row>
    <row r="8700" spans="11:11" x14ac:dyDescent="0.2">
      <c r="K8700" s="8"/>
    </row>
    <row r="8701" spans="11:11" x14ac:dyDescent="0.2">
      <c r="K8701" s="8"/>
    </row>
    <row r="8702" spans="11:11" x14ac:dyDescent="0.2">
      <c r="K8702" s="8"/>
    </row>
    <row r="8703" spans="11:11" x14ac:dyDescent="0.2">
      <c r="K8703" s="8"/>
    </row>
    <row r="8704" spans="11:11" x14ac:dyDescent="0.2">
      <c r="K8704" s="8"/>
    </row>
    <row r="8705" spans="11:11" x14ac:dyDescent="0.2">
      <c r="K8705" s="8"/>
    </row>
    <row r="8706" spans="11:11" x14ac:dyDescent="0.2">
      <c r="K8706" s="8"/>
    </row>
    <row r="8707" spans="11:11" x14ac:dyDescent="0.2">
      <c r="K8707" s="8"/>
    </row>
    <row r="8708" spans="11:11" x14ac:dyDescent="0.2">
      <c r="K8708" s="8"/>
    </row>
    <row r="8709" spans="11:11" x14ac:dyDescent="0.2">
      <c r="K8709" s="8"/>
    </row>
    <row r="8710" spans="11:11" x14ac:dyDescent="0.2">
      <c r="K8710" s="8"/>
    </row>
    <row r="8711" spans="11:11" x14ac:dyDescent="0.2">
      <c r="K8711" s="8"/>
    </row>
    <row r="8712" spans="11:11" x14ac:dyDescent="0.2">
      <c r="K8712" s="8"/>
    </row>
    <row r="8713" spans="11:11" x14ac:dyDescent="0.2">
      <c r="K8713" s="8"/>
    </row>
    <row r="8714" spans="11:11" x14ac:dyDescent="0.2">
      <c r="K8714" s="8"/>
    </row>
    <row r="8715" spans="11:11" x14ac:dyDescent="0.2">
      <c r="K8715" s="8"/>
    </row>
    <row r="8716" spans="11:11" x14ac:dyDescent="0.2">
      <c r="K8716" s="8"/>
    </row>
    <row r="8717" spans="11:11" x14ac:dyDescent="0.2">
      <c r="K8717" s="8"/>
    </row>
    <row r="8718" spans="11:11" x14ac:dyDescent="0.2">
      <c r="K8718" s="8"/>
    </row>
    <row r="8719" spans="11:11" x14ac:dyDescent="0.2">
      <c r="K8719" s="8"/>
    </row>
    <row r="8720" spans="11:11" x14ac:dyDescent="0.2">
      <c r="K8720" s="8"/>
    </row>
    <row r="8721" spans="11:11" x14ac:dyDescent="0.2">
      <c r="K8721" s="8"/>
    </row>
    <row r="8722" spans="11:11" x14ac:dyDescent="0.2">
      <c r="K8722" s="8"/>
    </row>
    <row r="8723" spans="11:11" x14ac:dyDescent="0.2">
      <c r="K8723" s="8"/>
    </row>
    <row r="8724" spans="11:11" x14ac:dyDescent="0.2">
      <c r="K8724" s="8"/>
    </row>
    <row r="8725" spans="11:11" x14ac:dyDescent="0.2">
      <c r="K8725" s="8"/>
    </row>
    <row r="8726" spans="11:11" x14ac:dyDescent="0.2">
      <c r="K8726" s="8"/>
    </row>
    <row r="8727" spans="11:11" x14ac:dyDescent="0.2">
      <c r="K8727" s="8"/>
    </row>
    <row r="8728" spans="11:11" x14ac:dyDescent="0.2">
      <c r="K8728" s="8"/>
    </row>
    <row r="8729" spans="11:11" x14ac:dyDescent="0.2">
      <c r="K8729" s="8"/>
    </row>
    <row r="8730" spans="11:11" x14ac:dyDescent="0.2">
      <c r="K8730" s="8"/>
    </row>
    <row r="8731" spans="11:11" x14ac:dyDescent="0.2">
      <c r="K8731" s="8"/>
    </row>
    <row r="8732" spans="11:11" x14ac:dyDescent="0.2">
      <c r="K8732" s="8"/>
    </row>
    <row r="8733" spans="11:11" x14ac:dyDescent="0.2">
      <c r="K8733" s="8"/>
    </row>
    <row r="8734" spans="11:11" x14ac:dyDescent="0.2">
      <c r="K8734" s="8"/>
    </row>
    <row r="8735" spans="11:11" x14ac:dyDescent="0.2">
      <c r="K8735" s="8"/>
    </row>
    <row r="8736" spans="11:11" x14ac:dyDescent="0.2">
      <c r="K8736" s="8"/>
    </row>
    <row r="8737" spans="11:11" x14ac:dyDescent="0.2">
      <c r="K8737" s="8"/>
    </row>
    <row r="8738" spans="11:11" x14ac:dyDescent="0.2">
      <c r="K8738" s="8"/>
    </row>
    <row r="8739" spans="11:11" x14ac:dyDescent="0.2">
      <c r="K8739" s="8"/>
    </row>
    <row r="8740" spans="11:11" x14ac:dyDescent="0.2">
      <c r="K8740" s="8"/>
    </row>
    <row r="8741" spans="11:11" x14ac:dyDescent="0.2">
      <c r="K8741" s="8"/>
    </row>
    <row r="8742" spans="11:11" x14ac:dyDescent="0.2">
      <c r="K8742" s="8"/>
    </row>
    <row r="8743" spans="11:11" x14ac:dyDescent="0.2">
      <c r="K8743" s="8"/>
    </row>
    <row r="8744" spans="11:11" x14ac:dyDescent="0.2">
      <c r="K8744" s="8"/>
    </row>
    <row r="8745" spans="11:11" x14ac:dyDescent="0.2">
      <c r="K8745" s="8"/>
    </row>
    <row r="8746" spans="11:11" x14ac:dyDescent="0.2">
      <c r="K8746" s="8"/>
    </row>
    <row r="8747" spans="11:11" x14ac:dyDescent="0.2">
      <c r="K8747" s="8"/>
    </row>
    <row r="8748" spans="11:11" x14ac:dyDescent="0.2">
      <c r="K8748" s="8"/>
    </row>
    <row r="8749" spans="11:11" x14ac:dyDescent="0.2">
      <c r="K8749" s="8"/>
    </row>
    <row r="8750" spans="11:11" x14ac:dyDescent="0.2">
      <c r="K8750" s="8"/>
    </row>
    <row r="8751" spans="11:11" x14ac:dyDescent="0.2">
      <c r="K8751" s="8"/>
    </row>
    <row r="8752" spans="11:11" x14ac:dyDescent="0.2">
      <c r="K8752" s="8"/>
    </row>
    <row r="8753" spans="11:11" x14ac:dyDescent="0.2">
      <c r="K8753" s="8"/>
    </row>
    <row r="8754" spans="11:11" x14ac:dyDescent="0.2">
      <c r="K8754" s="8"/>
    </row>
    <row r="8755" spans="11:11" x14ac:dyDescent="0.2">
      <c r="K8755" s="8"/>
    </row>
    <row r="8756" spans="11:11" x14ac:dyDescent="0.2">
      <c r="K8756" s="8"/>
    </row>
    <row r="8757" spans="11:11" x14ac:dyDescent="0.2">
      <c r="K8757" s="8"/>
    </row>
    <row r="8758" spans="11:11" x14ac:dyDescent="0.2">
      <c r="K8758" s="8"/>
    </row>
    <row r="8759" spans="11:11" x14ac:dyDescent="0.2">
      <c r="K8759" s="8"/>
    </row>
    <row r="8760" spans="11:11" x14ac:dyDescent="0.2">
      <c r="K8760" s="8"/>
    </row>
    <row r="8761" spans="11:11" x14ac:dyDescent="0.2">
      <c r="K8761" s="8"/>
    </row>
    <row r="8762" spans="11:11" x14ac:dyDescent="0.2">
      <c r="K8762" s="8"/>
    </row>
    <row r="8763" spans="11:11" x14ac:dyDescent="0.2">
      <c r="K8763" s="8"/>
    </row>
    <row r="8764" spans="11:11" x14ac:dyDescent="0.2">
      <c r="K8764" s="8"/>
    </row>
    <row r="8765" spans="11:11" x14ac:dyDescent="0.2">
      <c r="K8765" s="8"/>
    </row>
    <row r="8766" spans="11:11" x14ac:dyDescent="0.2">
      <c r="K8766" s="8"/>
    </row>
    <row r="8767" spans="11:11" x14ac:dyDescent="0.2">
      <c r="K8767" s="8"/>
    </row>
    <row r="8768" spans="11:11" x14ac:dyDescent="0.2">
      <c r="K8768" s="8"/>
    </row>
    <row r="8769" spans="11:11" x14ac:dyDescent="0.2">
      <c r="K8769" s="8"/>
    </row>
    <row r="8770" spans="11:11" x14ac:dyDescent="0.2">
      <c r="K8770" s="8"/>
    </row>
    <row r="8771" spans="11:11" x14ac:dyDescent="0.2">
      <c r="K8771" s="8"/>
    </row>
    <row r="8772" spans="11:11" x14ac:dyDescent="0.2">
      <c r="K8772" s="8"/>
    </row>
    <row r="8773" spans="11:11" x14ac:dyDescent="0.2">
      <c r="K8773" s="8"/>
    </row>
    <row r="8774" spans="11:11" x14ac:dyDescent="0.2">
      <c r="K8774" s="8"/>
    </row>
    <row r="8775" spans="11:11" x14ac:dyDescent="0.2">
      <c r="K8775" s="8"/>
    </row>
    <row r="8776" spans="11:11" x14ac:dyDescent="0.2">
      <c r="K8776" s="8"/>
    </row>
    <row r="8777" spans="11:11" x14ac:dyDescent="0.2">
      <c r="K8777" s="8"/>
    </row>
    <row r="8778" spans="11:11" x14ac:dyDescent="0.2">
      <c r="K8778" s="8"/>
    </row>
    <row r="8779" spans="11:11" x14ac:dyDescent="0.2">
      <c r="K8779" s="8"/>
    </row>
    <row r="8780" spans="11:11" x14ac:dyDescent="0.2">
      <c r="K8780" s="8"/>
    </row>
    <row r="8781" spans="11:11" x14ac:dyDescent="0.2">
      <c r="K8781" s="8"/>
    </row>
    <row r="8782" spans="11:11" x14ac:dyDescent="0.2">
      <c r="K8782" s="8"/>
    </row>
    <row r="8783" spans="11:11" x14ac:dyDescent="0.2">
      <c r="K8783" s="8"/>
    </row>
    <row r="8784" spans="11:11" x14ac:dyDescent="0.2">
      <c r="K8784" s="8"/>
    </row>
    <row r="8785" spans="11:11" x14ac:dyDescent="0.2">
      <c r="K8785" s="8"/>
    </row>
    <row r="8786" spans="11:11" x14ac:dyDescent="0.2">
      <c r="K8786" s="8"/>
    </row>
    <row r="8787" spans="11:11" x14ac:dyDescent="0.2">
      <c r="K8787" s="8"/>
    </row>
    <row r="8788" spans="11:11" x14ac:dyDescent="0.2">
      <c r="K8788" s="8"/>
    </row>
    <row r="8789" spans="11:11" x14ac:dyDescent="0.2">
      <c r="K8789" s="8"/>
    </row>
    <row r="8790" spans="11:11" x14ac:dyDescent="0.2">
      <c r="K8790" s="8"/>
    </row>
    <row r="8791" spans="11:11" x14ac:dyDescent="0.2">
      <c r="K8791" s="8"/>
    </row>
    <row r="8792" spans="11:11" x14ac:dyDescent="0.2">
      <c r="K8792" s="8"/>
    </row>
    <row r="8793" spans="11:11" x14ac:dyDescent="0.2">
      <c r="K8793" s="8"/>
    </row>
    <row r="8794" spans="11:11" x14ac:dyDescent="0.2">
      <c r="K8794" s="8"/>
    </row>
    <row r="8795" spans="11:11" x14ac:dyDescent="0.2">
      <c r="K8795" s="8"/>
    </row>
    <row r="8796" spans="11:11" x14ac:dyDescent="0.2">
      <c r="K8796" s="8"/>
    </row>
    <row r="8797" spans="11:11" x14ac:dyDescent="0.2">
      <c r="K8797" s="8"/>
    </row>
    <row r="8798" spans="11:11" x14ac:dyDescent="0.2">
      <c r="K8798" s="8"/>
    </row>
    <row r="8799" spans="11:11" x14ac:dyDescent="0.2">
      <c r="K8799" s="8"/>
    </row>
    <row r="8800" spans="11:11" x14ac:dyDescent="0.2">
      <c r="K8800" s="8"/>
    </row>
    <row r="8801" spans="11:11" x14ac:dyDescent="0.2">
      <c r="K8801" s="8"/>
    </row>
    <row r="8802" spans="11:11" x14ac:dyDescent="0.2">
      <c r="K8802" s="8"/>
    </row>
    <row r="8803" spans="11:11" x14ac:dyDescent="0.2">
      <c r="K8803" s="8"/>
    </row>
    <row r="8804" spans="11:11" x14ac:dyDescent="0.2">
      <c r="K8804" s="8"/>
    </row>
    <row r="8805" spans="11:11" x14ac:dyDescent="0.2">
      <c r="K8805" s="8"/>
    </row>
    <row r="8806" spans="11:11" x14ac:dyDescent="0.2">
      <c r="K8806" s="8"/>
    </row>
    <row r="8807" spans="11:11" x14ac:dyDescent="0.2">
      <c r="K8807" s="8"/>
    </row>
    <row r="8808" spans="11:11" x14ac:dyDescent="0.2">
      <c r="K8808" s="8"/>
    </row>
    <row r="8809" spans="11:11" x14ac:dyDescent="0.2">
      <c r="K8809" s="8"/>
    </row>
    <row r="8810" spans="11:11" x14ac:dyDescent="0.2">
      <c r="K8810" s="8"/>
    </row>
    <row r="8811" spans="11:11" x14ac:dyDescent="0.2">
      <c r="K8811" s="8"/>
    </row>
    <row r="8812" spans="11:11" x14ac:dyDescent="0.2">
      <c r="K8812" s="8"/>
    </row>
    <row r="8813" spans="11:11" x14ac:dyDescent="0.2">
      <c r="K8813" s="8"/>
    </row>
    <row r="8814" spans="11:11" x14ac:dyDescent="0.2">
      <c r="K8814" s="8"/>
    </row>
    <row r="8815" spans="11:11" x14ac:dyDescent="0.2">
      <c r="K8815" s="8"/>
    </row>
    <row r="8816" spans="11:11" x14ac:dyDescent="0.2">
      <c r="K8816" s="8"/>
    </row>
    <row r="8817" spans="11:11" x14ac:dyDescent="0.2">
      <c r="K8817" s="8"/>
    </row>
    <row r="8818" spans="11:11" x14ac:dyDescent="0.2">
      <c r="K8818" s="8"/>
    </row>
    <row r="8819" spans="11:11" x14ac:dyDescent="0.2">
      <c r="K8819" s="8"/>
    </row>
    <row r="8820" spans="11:11" x14ac:dyDescent="0.2">
      <c r="K8820" s="8"/>
    </row>
    <row r="8821" spans="11:11" x14ac:dyDescent="0.2">
      <c r="K8821" s="8"/>
    </row>
    <row r="8822" spans="11:11" x14ac:dyDescent="0.2">
      <c r="K8822" s="8"/>
    </row>
    <row r="8823" spans="11:11" x14ac:dyDescent="0.2">
      <c r="K8823" s="8"/>
    </row>
    <row r="8824" spans="11:11" x14ac:dyDescent="0.2">
      <c r="K8824" s="8"/>
    </row>
    <row r="8825" spans="11:11" x14ac:dyDescent="0.2">
      <c r="K8825" s="8"/>
    </row>
    <row r="8826" spans="11:11" x14ac:dyDescent="0.2">
      <c r="K8826" s="8"/>
    </row>
    <row r="8827" spans="11:11" x14ac:dyDescent="0.2">
      <c r="K8827" s="8"/>
    </row>
    <row r="8828" spans="11:11" x14ac:dyDescent="0.2">
      <c r="K8828" s="8"/>
    </row>
    <row r="8829" spans="11:11" x14ac:dyDescent="0.2">
      <c r="K8829" s="8"/>
    </row>
    <row r="8830" spans="11:11" x14ac:dyDescent="0.2">
      <c r="K8830" s="8"/>
    </row>
    <row r="8831" spans="11:11" x14ac:dyDescent="0.2">
      <c r="K8831" s="8"/>
    </row>
    <row r="8832" spans="11:11" x14ac:dyDescent="0.2">
      <c r="K8832" s="8"/>
    </row>
    <row r="8833" spans="11:11" x14ac:dyDescent="0.2">
      <c r="K8833" s="8"/>
    </row>
    <row r="8834" spans="11:11" x14ac:dyDescent="0.2">
      <c r="K8834" s="8"/>
    </row>
    <row r="8835" spans="11:11" x14ac:dyDescent="0.2">
      <c r="K8835" s="8"/>
    </row>
    <row r="8836" spans="11:11" x14ac:dyDescent="0.2">
      <c r="K8836" s="8"/>
    </row>
    <row r="8837" spans="11:11" x14ac:dyDescent="0.2">
      <c r="K8837" s="8"/>
    </row>
    <row r="8838" spans="11:11" x14ac:dyDescent="0.2">
      <c r="K8838" s="8"/>
    </row>
    <row r="8839" spans="11:11" x14ac:dyDescent="0.2">
      <c r="K8839" s="8"/>
    </row>
    <row r="8840" spans="11:11" x14ac:dyDescent="0.2">
      <c r="K8840" s="8"/>
    </row>
    <row r="8841" spans="11:11" x14ac:dyDescent="0.2">
      <c r="K8841" s="8"/>
    </row>
    <row r="8842" spans="11:11" x14ac:dyDescent="0.2">
      <c r="K8842" s="8"/>
    </row>
    <row r="8843" spans="11:11" x14ac:dyDescent="0.2">
      <c r="K8843" s="8"/>
    </row>
    <row r="8844" spans="11:11" x14ac:dyDescent="0.2">
      <c r="K8844" s="8"/>
    </row>
    <row r="8845" spans="11:11" x14ac:dyDescent="0.2">
      <c r="K8845" s="8"/>
    </row>
    <row r="8846" spans="11:11" x14ac:dyDescent="0.2">
      <c r="K8846" s="8"/>
    </row>
    <row r="8847" spans="11:11" x14ac:dyDescent="0.2">
      <c r="K8847" s="8"/>
    </row>
    <row r="8848" spans="11:11" x14ac:dyDescent="0.2">
      <c r="K8848" s="8"/>
    </row>
    <row r="8849" spans="11:11" x14ac:dyDescent="0.2">
      <c r="K8849" s="8"/>
    </row>
    <row r="8850" spans="11:11" x14ac:dyDescent="0.2">
      <c r="K8850" s="8"/>
    </row>
    <row r="8851" spans="11:11" x14ac:dyDescent="0.2">
      <c r="K8851" s="8"/>
    </row>
    <row r="8852" spans="11:11" x14ac:dyDescent="0.2">
      <c r="K8852" s="8"/>
    </row>
    <row r="8853" spans="11:11" x14ac:dyDescent="0.2">
      <c r="K8853" s="8"/>
    </row>
    <row r="8854" spans="11:11" x14ac:dyDescent="0.2">
      <c r="K8854" s="8"/>
    </row>
    <row r="8855" spans="11:11" x14ac:dyDescent="0.2">
      <c r="K8855" s="8"/>
    </row>
    <row r="8856" spans="11:11" x14ac:dyDescent="0.2">
      <c r="K8856" s="8"/>
    </row>
    <row r="8857" spans="11:11" x14ac:dyDescent="0.2">
      <c r="K8857" s="8"/>
    </row>
    <row r="8858" spans="11:11" x14ac:dyDescent="0.2">
      <c r="K8858" s="8"/>
    </row>
    <row r="8859" spans="11:11" x14ac:dyDescent="0.2">
      <c r="K8859" s="8"/>
    </row>
    <row r="8860" spans="11:11" x14ac:dyDescent="0.2">
      <c r="K8860" s="8"/>
    </row>
    <row r="8861" spans="11:11" x14ac:dyDescent="0.2">
      <c r="K8861" s="8"/>
    </row>
    <row r="8862" spans="11:11" x14ac:dyDescent="0.2">
      <c r="K8862" s="8"/>
    </row>
    <row r="8863" spans="11:11" x14ac:dyDescent="0.2">
      <c r="K8863" s="8"/>
    </row>
    <row r="8864" spans="11:11" x14ac:dyDescent="0.2">
      <c r="K8864" s="8"/>
    </row>
    <row r="8865" spans="11:11" x14ac:dyDescent="0.2">
      <c r="K8865" s="8"/>
    </row>
    <row r="8866" spans="11:11" x14ac:dyDescent="0.2">
      <c r="K8866" s="8"/>
    </row>
    <row r="8867" spans="11:11" x14ac:dyDescent="0.2">
      <c r="K8867" s="8"/>
    </row>
    <row r="8868" spans="11:11" x14ac:dyDescent="0.2">
      <c r="K8868" s="8"/>
    </row>
    <row r="8869" spans="11:11" x14ac:dyDescent="0.2">
      <c r="K8869" s="8"/>
    </row>
    <row r="8870" spans="11:11" x14ac:dyDescent="0.2">
      <c r="K8870" s="8"/>
    </row>
    <row r="8871" spans="11:11" x14ac:dyDescent="0.2">
      <c r="K8871" s="8"/>
    </row>
    <row r="8872" spans="11:11" x14ac:dyDescent="0.2">
      <c r="K8872" s="8"/>
    </row>
    <row r="8873" spans="11:11" x14ac:dyDescent="0.2">
      <c r="K8873" s="8"/>
    </row>
    <row r="8874" spans="11:11" x14ac:dyDescent="0.2">
      <c r="K8874" s="8"/>
    </row>
    <row r="8875" spans="11:11" x14ac:dyDescent="0.2">
      <c r="K8875" s="8"/>
    </row>
    <row r="8876" spans="11:11" x14ac:dyDescent="0.2">
      <c r="K8876" s="8"/>
    </row>
    <row r="8877" spans="11:11" x14ac:dyDescent="0.2">
      <c r="K8877" s="8"/>
    </row>
    <row r="8878" spans="11:11" x14ac:dyDescent="0.2">
      <c r="K8878" s="8"/>
    </row>
    <row r="8879" spans="11:11" x14ac:dyDescent="0.2">
      <c r="K8879" s="8"/>
    </row>
    <row r="8880" spans="11:11" x14ac:dyDescent="0.2">
      <c r="K8880" s="8"/>
    </row>
    <row r="8881" spans="11:11" x14ac:dyDescent="0.2">
      <c r="K8881" s="8"/>
    </row>
    <row r="8882" spans="11:11" x14ac:dyDescent="0.2">
      <c r="K8882" s="8"/>
    </row>
    <row r="8883" spans="11:11" x14ac:dyDescent="0.2">
      <c r="K8883" s="8"/>
    </row>
    <row r="8884" spans="11:11" x14ac:dyDescent="0.2">
      <c r="K8884" s="8"/>
    </row>
    <row r="8885" spans="11:11" x14ac:dyDescent="0.2">
      <c r="K8885" s="8"/>
    </row>
    <row r="8886" spans="11:11" x14ac:dyDescent="0.2">
      <c r="K8886" s="8"/>
    </row>
    <row r="8887" spans="11:11" x14ac:dyDescent="0.2">
      <c r="K8887" s="8"/>
    </row>
    <row r="8888" spans="11:11" x14ac:dyDescent="0.2">
      <c r="K8888" s="8"/>
    </row>
    <row r="8889" spans="11:11" x14ac:dyDescent="0.2">
      <c r="K8889" s="8"/>
    </row>
    <row r="8890" spans="11:11" x14ac:dyDescent="0.2">
      <c r="K8890" s="8"/>
    </row>
    <row r="8891" spans="11:11" x14ac:dyDescent="0.2">
      <c r="K8891" s="8"/>
    </row>
    <row r="8892" spans="11:11" x14ac:dyDescent="0.2">
      <c r="K8892" s="8"/>
    </row>
    <row r="8893" spans="11:11" x14ac:dyDescent="0.2">
      <c r="K8893" s="8"/>
    </row>
    <row r="8894" spans="11:11" x14ac:dyDescent="0.2">
      <c r="K8894" s="8"/>
    </row>
    <row r="8895" spans="11:11" x14ac:dyDescent="0.2">
      <c r="K8895" s="8"/>
    </row>
    <row r="8896" spans="11:11" x14ac:dyDescent="0.2">
      <c r="K8896" s="8"/>
    </row>
    <row r="8897" spans="11:11" x14ac:dyDescent="0.2">
      <c r="K8897" s="8"/>
    </row>
    <row r="8898" spans="11:11" x14ac:dyDescent="0.2">
      <c r="K8898" s="8"/>
    </row>
    <row r="8899" spans="11:11" x14ac:dyDescent="0.2">
      <c r="K8899" s="8"/>
    </row>
    <row r="8900" spans="11:11" x14ac:dyDescent="0.2">
      <c r="K8900" s="8"/>
    </row>
    <row r="8901" spans="11:11" x14ac:dyDescent="0.2">
      <c r="K8901" s="8"/>
    </row>
    <row r="8902" spans="11:11" x14ac:dyDescent="0.2">
      <c r="K8902" s="8"/>
    </row>
    <row r="8903" spans="11:11" x14ac:dyDescent="0.2">
      <c r="K8903" s="8"/>
    </row>
    <row r="8904" spans="11:11" x14ac:dyDescent="0.2">
      <c r="K8904" s="8"/>
    </row>
    <row r="8905" spans="11:11" x14ac:dyDescent="0.2">
      <c r="K8905" s="8"/>
    </row>
    <row r="8906" spans="11:11" x14ac:dyDescent="0.2">
      <c r="K8906" s="8"/>
    </row>
    <row r="8907" spans="11:11" x14ac:dyDescent="0.2">
      <c r="K8907" s="8"/>
    </row>
    <row r="8908" spans="11:11" x14ac:dyDescent="0.2">
      <c r="K8908" s="8"/>
    </row>
    <row r="8909" spans="11:11" x14ac:dyDescent="0.2">
      <c r="K8909" s="8"/>
    </row>
    <row r="8910" spans="11:11" x14ac:dyDescent="0.2">
      <c r="K8910" s="8"/>
    </row>
    <row r="8911" spans="11:11" x14ac:dyDescent="0.2">
      <c r="K8911" s="8"/>
    </row>
    <row r="8912" spans="11:11" x14ac:dyDescent="0.2">
      <c r="K8912" s="8"/>
    </row>
    <row r="8913" spans="11:11" x14ac:dyDescent="0.2">
      <c r="K8913" s="8"/>
    </row>
    <row r="8914" spans="11:11" x14ac:dyDescent="0.2">
      <c r="K8914" s="8"/>
    </row>
    <row r="8915" spans="11:11" x14ac:dyDescent="0.2">
      <c r="K8915" s="8"/>
    </row>
    <row r="8916" spans="11:11" x14ac:dyDescent="0.2">
      <c r="K8916" s="8"/>
    </row>
    <row r="8917" spans="11:11" x14ac:dyDescent="0.2">
      <c r="K8917" s="8"/>
    </row>
    <row r="8918" spans="11:11" x14ac:dyDescent="0.2">
      <c r="K8918" s="8"/>
    </row>
    <row r="8919" spans="11:11" x14ac:dyDescent="0.2">
      <c r="K8919" s="8"/>
    </row>
    <row r="8920" spans="11:11" x14ac:dyDescent="0.2">
      <c r="K8920" s="8"/>
    </row>
    <row r="8921" spans="11:11" x14ac:dyDescent="0.2">
      <c r="K8921" s="8"/>
    </row>
    <row r="8922" spans="11:11" x14ac:dyDescent="0.2">
      <c r="K8922" s="8"/>
    </row>
    <row r="8923" spans="11:11" x14ac:dyDescent="0.2">
      <c r="K8923" s="8"/>
    </row>
    <row r="8924" spans="11:11" x14ac:dyDescent="0.2">
      <c r="K8924" s="8"/>
    </row>
    <row r="8925" spans="11:11" x14ac:dyDescent="0.2">
      <c r="K8925" s="8"/>
    </row>
    <row r="8926" spans="11:11" x14ac:dyDescent="0.2">
      <c r="K8926" s="8"/>
    </row>
    <row r="8927" spans="11:11" x14ac:dyDescent="0.2">
      <c r="K8927" s="8"/>
    </row>
    <row r="8928" spans="11:11" x14ac:dyDescent="0.2">
      <c r="K8928" s="8"/>
    </row>
    <row r="8929" spans="11:11" x14ac:dyDescent="0.2">
      <c r="K8929" s="8"/>
    </row>
    <row r="8930" spans="11:11" x14ac:dyDescent="0.2">
      <c r="K8930" s="8"/>
    </row>
    <row r="8931" spans="11:11" x14ac:dyDescent="0.2">
      <c r="K8931" s="8"/>
    </row>
    <row r="8932" spans="11:11" x14ac:dyDescent="0.2">
      <c r="K8932" s="8"/>
    </row>
    <row r="8933" spans="11:11" x14ac:dyDescent="0.2">
      <c r="K8933" s="8"/>
    </row>
    <row r="8934" spans="11:11" x14ac:dyDescent="0.2">
      <c r="K8934" s="8"/>
    </row>
    <row r="8935" spans="11:11" x14ac:dyDescent="0.2">
      <c r="K8935" s="8"/>
    </row>
    <row r="8936" spans="11:11" x14ac:dyDescent="0.2">
      <c r="K8936" s="8"/>
    </row>
    <row r="8937" spans="11:11" x14ac:dyDescent="0.2">
      <c r="K8937" s="8"/>
    </row>
    <row r="8938" spans="11:11" x14ac:dyDescent="0.2">
      <c r="K8938" s="8"/>
    </row>
    <row r="8939" spans="11:11" x14ac:dyDescent="0.2">
      <c r="K8939" s="8"/>
    </row>
    <row r="8940" spans="11:11" x14ac:dyDescent="0.2">
      <c r="K8940" s="8"/>
    </row>
    <row r="8941" spans="11:11" x14ac:dyDescent="0.2">
      <c r="K8941" s="8"/>
    </row>
    <row r="8942" spans="11:11" x14ac:dyDescent="0.2">
      <c r="K8942" s="8"/>
    </row>
    <row r="8943" spans="11:11" x14ac:dyDescent="0.2">
      <c r="K8943" s="8"/>
    </row>
    <row r="8944" spans="11:11" x14ac:dyDescent="0.2">
      <c r="K8944" s="8"/>
    </row>
    <row r="8945" spans="11:11" x14ac:dyDescent="0.2">
      <c r="K8945" s="8"/>
    </row>
    <row r="8946" spans="11:11" x14ac:dyDescent="0.2">
      <c r="K8946" s="8"/>
    </row>
    <row r="8947" spans="11:11" x14ac:dyDescent="0.2">
      <c r="K8947" s="8"/>
    </row>
    <row r="8948" spans="11:11" x14ac:dyDescent="0.2">
      <c r="K8948" s="8"/>
    </row>
    <row r="8949" spans="11:11" x14ac:dyDescent="0.2">
      <c r="K8949" s="8"/>
    </row>
    <row r="8950" spans="11:11" x14ac:dyDescent="0.2">
      <c r="K8950" s="8"/>
    </row>
    <row r="8951" spans="11:11" x14ac:dyDescent="0.2">
      <c r="K8951" s="8"/>
    </row>
    <row r="8952" spans="11:11" x14ac:dyDescent="0.2">
      <c r="K8952" s="8"/>
    </row>
    <row r="8953" spans="11:11" x14ac:dyDescent="0.2">
      <c r="K8953" s="8"/>
    </row>
    <row r="8954" spans="11:11" x14ac:dyDescent="0.2">
      <c r="K8954" s="8"/>
    </row>
    <row r="8955" spans="11:11" x14ac:dyDescent="0.2">
      <c r="K8955" s="8"/>
    </row>
    <row r="8956" spans="11:11" x14ac:dyDescent="0.2">
      <c r="K8956" s="8"/>
    </row>
    <row r="8957" spans="11:11" x14ac:dyDescent="0.2">
      <c r="K8957" s="8"/>
    </row>
    <row r="8958" spans="11:11" x14ac:dyDescent="0.2">
      <c r="K8958" s="8"/>
    </row>
    <row r="8959" spans="11:11" x14ac:dyDescent="0.2">
      <c r="K8959" s="8"/>
    </row>
    <row r="8960" spans="11:11" x14ac:dyDescent="0.2">
      <c r="K8960" s="8"/>
    </row>
    <row r="8961" spans="11:11" x14ac:dyDescent="0.2">
      <c r="K8961" s="8"/>
    </row>
    <row r="8962" spans="11:11" x14ac:dyDescent="0.2">
      <c r="K8962" s="8"/>
    </row>
    <row r="8963" spans="11:11" x14ac:dyDescent="0.2">
      <c r="K8963" s="8"/>
    </row>
    <row r="8964" spans="11:11" x14ac:dyDescent="0.2">
      <c r="K8964" s="8"/>
    </row>
    <row r="8965" spans="11:11" x14ac:dyDescent="0.2">
      <c r="K8965" s="8"/>
    </row>
    <row r="8966" spans="11:11" x14ac:dyDescent="0.2">
      <c r="K8966" s="8"/>
    </row>
    <row r="8967" spans="11:11" x14ac:dyDescent="0.2">
      <c r="K8967" s="8"/>
    </row>
    <row r="8968" spans="11:11" x14ac:dyDescent="0.2">
      <c r="K8968" s="8"/>
    </row>
    <row r="8969" spans="11:11" x14ac:dyDescent="0.2">
      <c r="K8969" s="8"/>
    </row>
    <row r="8970" spans="11:11" x14ac:dyDescent="0.2">
      <c r="K8970" s="8"/>
    </row>
    <row r="8971" spans="11:11" x14ac:dyDescent="0.2">
      <c r="K8971" s="8"/>
    </row>
    <row r="8972" spans="11:11" x14ac:dyDescent="0.2">
      <c r="K8972" s="8"/>
    </row>
    <row r="8973" spans="11:11" x14ac:dyDescent="0.2">
      <c r="K8973" s="8"/>
    </row>
    <row r="8974" spans="11:11" x14ac:dyDescent="0.2">
      <c r="K8974" s="8"/>
    </row>
    <row r="8975" spans="11:11" x14ac:dyDescent="0.2">
      <c r="K8975" s="8"/>
    </row>
    <row r="8976" spans="11:11" x14ac:dyDescent="0.2">
      <c r="K8976" s="8"/>
    </row>
    <row r="8977" spans="11:11" x14ac:dyDescent="0.2">
      <c r="K8977" s="8"/>
    </row>
    <row r="8978" spans="11:11" x14ac:dyDescent="0.2">
      <c r="K8978" s="8"/>
    </row>
    <row r="8979" spans="11:11" x14ac:dyDescent="0.2">
      <c r="K8979" s="8"/>
    </row>
    <row r="8980" spans="11:11" x14ac:dyDescent="0.2">
      <c r="K8980" s="8"/>
    </row>
    <row r="8981" spans="11:11" x14ac:dyDescent="0.2">
      <c r="K8981" s="8"/>
    </row>
    <row r="8982" spans="11:11" x14ac:dyDescent="0.2">
      <c r="K8982" s="8"/>
    </row>
    <row r="8983" spans="11:11" x14ac:dyDescent="0.2">
      <c r="K8983" s="8"/>
    </row>
    <row r="8984" spans="11:11" x14ac:dyDescent="0.2">
      <c r="K8984" s="8"/>
    </row>
    <row r="8985" spans="11:11" x14ac:dyDescent="0.2">
      <c r="K8985" s="8"/>
    </row>
    <row r="8986" spans="11:11" x14ac:dyDescent="0.2">
      <c r="K8986" s="8"/>
    </row>
    <row r="8987" spans="11:11" x14ac:dyDescent="0.2">
      <c r="K8987" s="8"/>
    </row>
    <row r="8988" spans="11:11" x14ac:dyDescent="0.2">
      <c r="K8988" s="8"/>
    </row>
    <row r="8989" spans="11:11" x14ac:dyDescent="0.2">
      <c r="K8989" s="8"/>
    </row>
    <row r="8990" spans="11:11" x14ac:dyDescent="0.2">
      <c r="K8990" s="8"/>
    </row>
    <row r="8991" spans="11:11" x14ac:dyDescent="0.2">
      <c r="K8991" s="8"/>
    </row>
    <row r="8992" spans="11:11" x14ac:dyDescent="0.2">
      <c r="K8992" s="8"/>
    </row>
    <row r="8993" spans="11:11" x14ac:dyDescent="0.2">
      <c r="K8993" s="8"/>
    </row>
    <row r="8994" spans="11:11" x14ac:dyDescent="0.2">
      <c r="K8994" s="8"/>
    </row>
    <row r="8995" spans="11:11" x14ac:dyDescent="0.2">
      <c r="K8995" s="8"/>
    </row>
    <row r="8996" spans="11:11" x14ac:dyDescent="0.2">
      <c r="K8996" s="8"/>
    </row>
    <row r="8997" spans="11:11" x14ac:dyDescent="0.2">
      <c r="K8997" s="8"/>
    </row>
    <row r="8998" spans="11:11" x14ac:dyDescent="0.2">
      <c r="K8998" s="8"/>
    </row>
    <row r="8999" spans="11:11" x14ac:dyDescent="0.2">
      <c r="K8999" s="8"/>
    </row>
    <row r="9000" spans="11:11" x14ac:dyDescent="0.2">
      <c r="K9000" s="8"/>
    </row>
    <row r="9001" spans="11:11" x14ac:dyDescent="0.2">
      <c r="K9001" s="8"/>
    </row>
    <row r="9002" spans="11:11" x14ac:dyDescent="0.2">
      <c r="K9002" s="8"/>
    </row>
    <row r="9003" spans="11:11" x14ac:dyDescent="0.2">
      <c r="K9003" s="8"/>
    </row>
    <row r="9004" spans="11:11" x14ac:dyDescent="0.2">
      <c r="K9004" s="8"/>
    </row>
    <row r="9005" spans="11:11" x14ac:dyDescent="0.2">
      <c r="K9005" s="8"/>
    </row>
    <row r="9006" spans="11:11" x14ac:dyDescent="0.2">
      <c r="K9006" s="8"/>
    </row>
    <row r="9007" spans="11:11" x14ac:dyDescent="0.2">
      <c r="K9007" s="8"/>
    </row>
    <row r="9008" spans="11:11" x14ac:dyDescent="0.2">
      <c r="K9008" s="8"/>
    </row>
    <row r="9009" spans="11:11" x14ac:dyDescent="0.2">
      <c r="K9009" s="8"/>
    </row>
    <row r="9010" spans="11:11" x14ac:dyDescent="0.2">
      <c r="K9010" s="8"/>
    </row>
    <row r="9011" spans="11:11" x14ac:dyDescent="0.2">
      <c r="K9011" s="8"/>
    </row>
    <row r="9012" spans="11:11" x14ac:dyDescent="0.2">
      <c r="K9012" s="8"/>
    </row>
    <row r="9013" spans="11:11" x14ac:dyDescent="0.2">
      <c r="K9013" s="8"/>
    </row>
    <row r="9014" spans="11:11" x14ac:dyDescent="0.2">
      <c r="K9014" s="8"/>
    </row>
    <row r="9015" spans="11:11" x14ac:dyDescent="0.2">
      <c r="K9015" s="8"/>
    </row>
    <row r="9016" spans="11:11" x14ac:dyDescent="0.2">
      <c r="K9016" s="8"/>
    </row>
    <row r="9017" spans="11:11" x14ac:dyDescent="0.2">
      <c r="K9017" s="8"/>
    </row>
    <row r="9018" spans="11:11" x14ac:dyDescent="0.2">
      <c r="K9018" s="8"/>
    </row>
    <row r="9019" spans="11:11" x14ac:dyDescent="0.2">
      <c r="K9019" s="8"/>
    </row>
    <row r="9020" spans="11:11" x14ac:dyDescent="0.2">
      <c r="K9020" s="8"/>
    </row>
    <row r="9021" spans="11:11" x14ac:dyDescent="0.2">
      <c r="K9021" s="8"/>
    </row>
    <row r="9022" spans="11:11" x14ac:dyDescent="0.2">
      <c r="K9022" s="8"/>
    </row>
    <row r="9023" spans="11:11" x14ac:dyDescent="0.2">
      <c r="K9023" s="8"/>
    </row>
    <row r="9024" spans="11:11" x14ac:dyDescent="0.2">
      <c r="K9024" s="8"/>
    </row>
    <row r="9025" spans="11:11" x14ac:dyDescent="0.2">
      <c r="K9025" s="8"/>
    </row>
    <row r="9026" spans="11:11" x14ac:dyDescent="0.2">
      <c r="K9026" s="8"/>
    </row>
    <row r="9027" spans="11:11" x14ac:dyDescent="0.2">
      <c r="K9027" s="8"/>
    </row>
    <row r="9028" spans="11:11" x14ac:dyDescent="0.2">
      <c r="K9028" s="8"/>
    </row>
    <row r="9029" spans="11:11" x14ac:dyDescent="0.2">
      <c r="K9029" s="8"/>
    </row>
    <row r="9030" spans="11:11" x14ac:dyDescent="0.2">
      <c r="K9030" s="8"/>
    </row>
    <row r="9031" spans="11:11" x14ac:dyDescent="0.2">
      <c r="K9031" s="8"/>
    </row>
    <row r="9032" spans="11:11" x14ac:dyDescent="0.2">
      <c r="K9032" s="8"/>
    </row>
    <row r="9033" spans="11:11" x14ac:dyDescent="0.2">
      <c r="K9033" s="8"/>
    </row>
    <row r="9034" spans="11:11" x14ac:dyDescent="0.2">
      <c r="K9034" s="8"/>
    </row>
    <row r="9035" spans="11:11" x14ac:dyDescent="0.2">
      <c r="K9035" s="8"/>
    </row>
    <row r="9036" spans="11:11" x14ac:dyDescent="0.2">
      <c r="K9036" s="8"/>
    </row>
    <row r="9037" spans="11:11" x14ac:dyDescent="0.2">
      <c r="K9037" s="8"/>
    </row>
    <row r="9038" spans="11:11" x14ac:dyDescent="0.2">
      <c r="K9038" s="8"/>
    </row>
    <row r="9039" spans="11:11" x14ac:dyDescent="0.2">
      <c r="K9039" s="8"/>
    </row>
    <row r="9040" spans="11:11" x14ac:dyDescent="0.2">
      <c r="K9040" s="8"/>
    </row>
    <row r="9041" spans="11:11" x14ac:dyDescent="0.2">
      <c r="K9041" s="8"/>
    </row>
    <row r="9042" spans="11:11" x14ac:dyDescent="0.2">
      <c r="K9042" s="8"/>
    </row>
    <row r="9043" spans="11:11" x14ac:dyDescent="0.2">
      <c r="K9043" s="8"/>
    </row>
    <row r="9044" spans="11:11" x14ac:dyDescent="0.2">
      <c r="K9044" s="8"/>
    </row>
    <row r="9045" spans="11:11" x14ac:dyDescent="0.2">
      <c r="K9045" s="8"/>
    </row>
    <row r="9046" spans="11:11" x14ac:dyDescent="0.2">
      <c r="K9046" s="8"/>
    </row>
    <row r="9047" spans="11:11" x14ac:dyDescent="0.2">
      <c r="K9047" s="8"/>
    </row>
    <row r="9048" spans="11:11" x14ac:dyDescent="0.2">
      <c r="K9048" s="8"/>
    </row>
    <row r="9049" spans="11:11" x14ac:dyDescent="0.2">
      <c r="K9049" s="8"/>
    </row>
    <row r="9050" spans="11:11" x14ac:dyDescent="0.2">
      <c r="K9050" s="8"/>
    </row>
    <row r="9051" spans="11:11" x14ac:dyDescent="0.2">
      <c r="K9051" s="8"/>
    </row>
    <row r="9052" spans="11:11" x14ac:dyDescent="0.2">
      <c r="K9052" s="8"/>
    </row>
    <row r="9053" spans="11:11" x14ac:dyDescent="0.2">
      <c r="K9053" s="8"/>
    </row>
    <row r="9054" spans="11:11" x14ac:dyDescent="0.2">
      <c r="K9054" s="8"/>
    </row>
    <row r="9055" spans="11:11" x14ac:dyDescent="0.2">
      <c r="K9055" s="8"/>
    </row>
    <row r="9056" spans="11:11" x14ac:dyDescent="0.2">
      <c r="K9056" s="8"/>
    </row>
    <row r="9057" spans="11:11" x14ac:dyDescent="0.2">
      <c r="K9057" s="8"/>
    </row>
    <row r="9058" spans="11:11" x14ac:dyDescent="0.2">
      <c r="K9058" s="8"/>
    </row>
    <row r="9059" spans="11:11" x14ac:dyDescent="0.2">
      <c r="K9059" s="8"/>
    </row>
    <row r="9060" spans="11:11" x14ac:dyDescent="0.2">
      <c r="K9060" s="8"/>
    </row>
    <row r="9061" spans="11:11" x14ac:dyDescent="0.2">
      <c r="K9061" s="8"/>
    </row>
    <row r="9062" spans="11:11" x14ac:dyDescent="0.2">
      <c r="K9062" s="8"/>
    </row>
    <row r="9063" spans="11:11" x14ac:dyDescent="0.2">
      <c r="K9063" s="8"/>
    </row>
    <row r="9064" spans="11:11" x14ac:dyDescent="0.2">
      <c r="K9064" s="8"/>
    </row>
    <row r="9065" spans="11:11" x14ac:dyDescent="0.2">
      <c r="K9065" s="8"/>
    </row>
    <row r="9066" spans="11:11" x14ac:dyDescent="0.2">
      <c r="K9066" s="8"/>
    </row>
    <row r="9067" spans="11:11" x14ac:dyDescent="0.2">
      <c r="K9067" s="8"/>
    </row>
    <row r="9068" spans="11:11" x14ac:dyDescent="0.2">
      <c r="K9068" s="8"/>
    </row>
    <row r="9069" spans="11:11" x14ac:dyDescent="0.2">
      <c r="K9069" s="8"/>
    </row>
    <row r="9070" spans="11:11" x14ac:dyDescent="0.2">
      <c r="K9070" s="8"/>
    </row>
    <row r="9071" spans="11:11" x14ac:dyDescent="0.2">
      <c r="K9071" s="8"/>
    </row>
    <row r="9072" spans="11:11" x14ac:dyDescent="0.2">
      <c r="K9072" s="8"/>
    </row>
    <row r="9073" spans="11:11" x14ac:dyDescent="0.2">
      <c r="K9073" s="8"/>
    </row>
    <row r="9074" spans="11:11" x14ac:dyDescent="0.2">
      <c r="K9074" s="8"/>
    </row>
    <row r="9075" spans="11:11" x14ac:dyDescent="0.2">
      <c r="K9075" s="8"/>
    </row>
    <row r="9076" spans="11:11" x14ac:dyDescent="0.2">
      <c r="K9076" s="8"/>
    </row>
    <row r="9077" spans="11:11" x14ac:dyDescent="0.2">
      <c r="K9077" s="8"/>
    </row>
    <row r="9078" spans="11:11" x14ac:dyDescent="0.2">
      <c r="K9078" s="8"/>
    </row>
    <row r="9079" spans="11:11" x14ac:dyDescent="0.2">
      <c r="K9079" s="8"/>
    </row>
    <row r="9080" spans="11:11" x14ac:dyDescent="0.2">
      <c r="K9080" s="8"/>
    </row>
    <row r="9081" spans="11:11" x14ac:dyDescent="0.2">
      <c r="K9081" s="8"/>
    </row>
    <row r="9082" spans="11:11" x14ac:dyDescent="0.2">
      <c r="K9082" s="8"/>
    </row>
    <row r="9083" spans="11:11" x14ac:dyDescent="0.2">
      <c r="K9083" s="8"/>
    </row>
    <row r="9084" spans="11:11" x14ac:dyDescent="0.2">
      <c r="K9084" s="8"/>
    </row>
    <row r="9085" spans="11:11" x14ac:dyDescent="0.2">
      <c r="K9085" s="8"/>
    </row>
    <row r="9086" spans="11:11" x14ac:dyDescent="0.2">
      <c r="K9086" s="8"/>
    </row>
    <row r="9087" spans="11:11" x14ac:dyDescent="0.2">
      <c r="K9087" s="8"/>
    </row>
    <row r="9088" spans="11:11" x14ac:dyDescent="0.2">
      <c r="K9088" s="8"/>
    </row>
    <row r="9089" spans="11:11" x14ac:dyDescent="0.2">
      <c r="K9089" s="8"/>
    </row>
    <row r="9090" spans="11:11" x14ac:dyDescent="0.2">
      <c r="K9090" s="8"/>
    </row>
    <row r="9091" spans="11:11" x14ac:dyDescent="0.2">
      <c r="K9091" s="8"/>
    </row>
    <row r="9092" spans="11:11" x14ac:dyDescent="0.2">
      <c r="K9092" s="8"/>
    </row>
    <row r="9093" spans="11:11" x14ac:dyDescent="0.2">
      <c r="K9093" s="8"/>
    </row>
    <row r="9094" spans="11:11" x14ac:dyDescent="0.2">
      <c r="K9094" s="8"/>
    </row>
    <row r="9095" spans="11:11" x14ac:dyDescent="0.2">
      <c r="K9095" s="8"/>
    </row>
    <row r="9096" spans="11:11" x14ac:dyDescent="0.2">
      <c r="K9096" s="8"/>
    </row>
    <row r="9097" spans="11:11" x14ac:dyDescent="0.2">
      <c r="K9097" s="8"/>
    </row>
    <row r="9098" spans="11:11" x14ac:dyDescent="0.2">
      <c r="K9098" s="8"/>
    </row>
    <row r="9099" spans="11:11" x14ac:dyDescent="0.2">
      <c r="K9099" s="8"/>
    </row>
    <row r="9100" spans="11:11" x14ac:dyDescent="0.2">
      <c r="K9100" s="8"/>
    </row>
    <row r="9101" spans="11:11" x14ac:dyDescent="0.2">
      <c r="K9101" s="8"/>
    </row>
    <row r="9102" spans="11:11" x14ac:dyDescent="0.2">
      <c r="K9102" s="8"/>
    </row>
    <row r="9103" spans="11:11" x14ac:dyDescent="0.2">
      <c r="K9103" s="8"/>
    </row>
    <row r="9104" spans="11:11" x14ac:dyDescent="0.2">
      <c r="K9104" s="8"/>
    </row>
    <row r="9105" spans="11:11" x14ac:dyDescent="0.2">
      <c r="K9105" s="8"/>
    </row>
    <row r="9106" spans="11:11" x14ac:dyDescent="0.2">
      <c r="K9106" s="8"/>
    </row>
    <row r="9107" spans="11:11" x14ac:dyDescent="0.2">
      <c r="K9107" s="8"/>
    </row>
    <row r="9108" spans="11:11" x14ac:dyDescent="0.2">
      <c r="K9108" s="8"/>
    </row>
    <row r="9109" spans="11:11" x14ac:dyDescent="0.2">
      <c r="K9109" s="8"/>
    </row>
    <row r="9110" spans="11:11" x14ac:dyDescent="0.2">
      <c r="K9110" s="8"/>
    </row>
    <row r="9111" spans="11:11" x14ac:dyDescent="0.2">
      <c r="K9111" s="8"/>
    </row>
    <row r="9112" spans="11:11" x14ac:dyDescent="0.2">
      <c r="K9112" s="8"/>
    </row>
    <row r="9113" spans="11:11" x14ac:dyDescent="0.2">
      <c r="K9113" s="8"/>
    </row>
    <row r="9114" spans="11:11" x14ac:dyDescent="0.2">
      <c r="K9114" s="8"/>
    </row>
    <row r="9115" spans="11:11" x14ac:dyDescent="0.2">
      <c r="K9115" s="8"/>
    </row>
    <row r="9116" spans="11:11" x14ac:dyDescent="0.2">
      <c r="K9116" s="8"/>
    </row>
    <row r="9117" spans="11:11" x14ac:dyDescent="0.2">
      <c r="K9117" s="8"/>
    </row>
    <row r="9118" spans="11:11" x14ac:dyDescent="0.2">
      <c r="K9118" s="8"/>
    </row>
    <row r="9119" spans="11:11" x14ac:dyDescent="0.2">
      <c r="K9119" s="8"/>
    </row>
    <row r="9120" spans="11:11" x14ac:dyDescent="0.2">
      <c r="K9120" s="8"/>
    </row>
    <row r="9121" spans="11:11" x14ac:dyDescent="0.2">
      <c r="K9121" s="8"/>
    </row>
    <row r="9122" spans="11:11" x14ac:dyDescent="0.2">
      <c r="K9122" s="8"/>
    </row>
    <row r="9123" spans="11:11" x14ac:dyDescent="0.2">
      <c r="K9123" s="8"/>
    </row>
    <row r="9124" spans="11:11" x14ac:dyDescent="0.2">
      <c r="K9124" s="8"/>
    </row>
    <row r="9125" spans="11:11" x14ac:dyDescent="0.2">
      <c r="K9125" s="8"/>
    </row>
    <row r="9126" spans="11:11" x14ac:dyDescent="0.2">
      <c r="K9126" s="8"/>
    </row>
    <row r="9127" spans="11:11" x14ac:dyDescent="0.2">
      <c r="K9127" s="8"/>
    </row>
    <row r="9128" spans="11:11" x14ac:dyDescent="0.2">
      <c r="K9128" s="8"/>
    </row>
    <row r="9129" spans="11:11" x14ac:dyDescent="0.2">
      <c r="K9129" s="8"/>
    </row>
    <row r="9130" spans="11:11" x14ac:dyDescent="0.2">
      <c r="K9130" s="8"/>
    </row>
    <row r="9131" spans="11:11" x14ac:dyDescent="0.2">
      <c r="K9131" s="8"/>
    </row>
    <row r="9132" spans="11:11" x14ac:dyDescent="0.2">
      <c r="K9132" s="8"/>
    </row>
    <row r="9133" spans="11:11" x14ac:dyDescent="0.2">
      <c r="K9133" s="8"/>
    </row>
    <row r="9134" spans="11:11" x14ac:dyDescent="0.2">
      <c r="K9134" s="8"/>
    </row>
    <row r="9135" spans="11:11" x14ac:dyDescent="0.2">
      <c r="K9135" s="8"/>
    </row>
    <row r="9136" spans="11:11" x14ac:dyDescent="0.2">
      <c r="K9136" s="8"/>
    </row>
    <row r="9137" spans="11:11" x14ac:dyDescent="0.2">
      <c r="K9137" s="8"/>
    </row>
    <row r="9138" spans="11:11" x14ac:dyDescent="0.2">
      <c r="K9138" s="8"/>
    </row>
    <row r="9139" spans="11:11" x14ac:dyDescent="0.2">
      <c r="K9139" s="8"/>
    </row>
    <row r="9140" spans="11:11" x14ac:dyDescent="0.2">
      <c r="K9140" s="8"/>
    </row>
    <row r="9141" spans="11:11" x14ac:dyDescent="0.2">
      <c r="K9141" s="8"/>
    </row>
    <row r="9142" spans="11:11" x14ac:dyDescent="0.2">
      <c r="K9142" s="8"/>
    </row>
    <row r="9143" spans="11:11" x14ac:dyDescent="0.2">
      <c r="K9143" s="8"/>
    </row>
    <row r="9144" spans="11:11" x14ac:dyDescent="0.2">
      <c r="K9144" s="8"/>
    </row>
    <row r="9145" spans="11:11" x14ac:dyDescent="0.2">
      <c r="K9145" s="8"/>
    </row>
    <row r="9146" spans="11:11" x14ac:dyDescent="0.2">
      <c r="K9146" s="8"/>
    </row>
    <row r="9147" spans="11:11" x14ac:dyDescent="0.2">
      <c r="K9147" s="8"/>
    </row>
    <row r="9148" spans="11:11" x14ac:dyDescent="0.2">
      <c r="K9148" s="8"/>
    </row>
    <row r="9149" spans="11:11" x14ac:dyDescent="0.2">
      <c r="K9149" s="8"/>
    </row>
    <row r="9150" spans="11:11" x14ac:dyDescent="0.2">
      <c r="K9150" s="8"/>
    </row>
    <row r="9151" spans="11:11" x14ac:dyDescent="0.2">
      <c r="K9151" s="8"/>
    </row>
    <row r="9152" spans="11:11" x14ac:dyDescent="0.2">
      <c r="K9152" s="8"/>
    </row>
    <row r="9153" spans="11:11" x14ac:dyDescent="0.2">
      <c r="K9153" s="8"/>
    </row>
    <row r="9154" spans="11:11" x14ac:dyDescent="0.2">
      <c r="K9154" s="8"/>
    </row>
    <row r="9155" spans="11:11" x14ac:dyDescent="0.2">
      <c r="K9155" s="8"/>
    </row>
    <row r="9156" spans="11:11" x14ac:dyDescent="0.2">
      <c r="K9156" s="8"/>
    </row>
    <row r="9157" spans="11:11" x14ac:dyDescent="0.2">
      <c r="K9157" s="8"/>
    </row>
    <row r="9158" spans="11:11" x14ac:dyDescent="0.2">
      <c r="K9158" s="8"/>
    </row>
    <row r="9159" spans="11:11" x14ac:dyDescent="0.2">
      <c r="K9159" s="8"/>
    </row>
    <row r="9160" spans="11:11" x14ac:dyDescent="0.2">
      <c r="K9160" s="8"/>
    </row>
    <row r="9161" spans="11:11" x14ac:dyDescent="0.2">
      <c r="K9161" s="8"/>
    </row>
    <row r="9162" spans="11:11" x14ac:dyDescent="0.2">
      <c r="K9162" s="8"/>
    </row>
    <row r="9163" spans="11:11" x14ac:dyDescent="0.2">
      <c r="K9163" s="8"/>
    </row>
    <row r="9164" spans="11:11" x14ac:dyDescent="0.2">
      <c r="K9164" s="8"/>
    </row>
    <row r="9165" spans="11:11" x14ac:dyDescent="0.2">
      <c r="K9165" s="8"/>
    </row>
    <row r="9166" spans="11:11" x14ac:dyDescent="0.2">
      <c r="K9166" s="8"/>
    </row>
    <row r="9167" spans="11:11" x14ac:dyDescent="0.2">
      <c r="K9167" s="8"/>
    </row>
    <row r="9168" spans="11:11" x14ac:dyDescent="0.2">
      <c r="K9168" s="8"/>
    </row>
    <row r="9169" spans="11:11" x14ac:dyDescent="0.2">
      <c r="K9169" s="8"/>
    </row>
    <row r="9170" spans="11:11" x14ac:dyDescent="0.2">
      <c r="K9170" s="8"/>
    </row>
    <row r="9171" spans="11:11" x14ac:dyDescent="0.2">
      <c r="K9171" s="8"/>
    </row>
    <row r="9172" spans="11:11" x14ac:dyDescent="0.2">
      <c r="K9172" s="8"/>
    </row>
    <row r="9173" spans="11:11" x14ac:dyDescent="0.2">
      <c r="K9173" s="8"/>
    </row>
    <row r="9174" spans="11:11" x14ac:dyDescent="0.2">
      <c r="K9174" s="8"/>
    </row>
    <row r="9175" spans="11:11" x14ac:dyDescent="0.2">
      <c r="K9175" s="8"/>
    </row>
    <row r="9176" spans="11:11" x14ac:dyDescent="0.2">
      <c r="K9176" s="8"/>
    </row>
    <row r="9177" spans="11:11" x14ac:dyDescent="0.2">
      <c r="K9177" s="8"/>
    </row>
    <row r="9178" spans="11:11" x14ac:dyDescent="0.2">
      <c r="K9178" s="8"/>
    </row>
    <row r="9179" spans="11:11" x14ac:dyDescent="0.2">
      <c r="K9179" s="8"/>
    </row>
    <row r="9180" spans="11:11" x14ac:dyDescent="0.2">
      <c r="K9180" s="8"/>
    </row>
    <row r="9181" spans="11:11" x14ac:dyDescent="0.2">
      <c r="K9181" s="8"/>
    </row>
    <row r="9182" spans="11:11" x14ac:dyDescent="0.2">
      <c r="K9182" s="8"/>
    </row>
    <row r="9183" spans="11:11" x14ac:dyDescent="0.2">
      <c r="K9183" s="8"/>
    </row>
    <row r="9184" spans="11:11" x14ac:dyDescent="0.2">
      <c r="K9184" s="8"/>
    </row>
    <row r="9185" spans="11:11" x14ac:dyDescent="0.2">
      <c r="K9185" s="8"/>
    </row>
    <row r="9186" spans="11:11" x14ac:dyDescent="0.2">
      <c r="K9186" s="8"/>
    </row>
    <row r="9187" spans="11:11" x14ac:dyDescent="0.2">
      <c r="K9187" s="8"/>
    </row>
    <row r="9188" spans="11:11" x14ac:dyDescent="0.2">
      <c r="K9188" s="8"/>
    </row>
    <row r="9189" spans="11:11" x14ac:dyDescent="0.2">
      <c r="K9189" s="8"/>
    </row>
    <row r="9190" spans="11:11" x14ac:dyDescent="0.2">
      <c r="K9190" s="8"/>
    </row>
    <row r="9191" spans="11:11" x14ac:dyDescent="0.2">
      <c r="K9191" s="8"/>
    </row>
    <row r="9192" spans="11:11" x14ac:dyDescent="0.2">
      <c r="K9192" s="8"/>
    </row>
    <row r="9193" spans="11:11" x14ac:dyDescent="0.2">
      <c r="K9193" s="8"/>
    </row>
    <row r="9194" spans="11:11" x14ac:dyDescent="0.2">
      <c r="K9194" s="8"/>
    </row>
    <row r="9195" spans="11:11" x14ac:dyDescent="0.2">
      <c r="K9195" s="8"/>
    </row>
    <row r="9196" spans="11:11" x14ac:dyDescent="0.2">
      <c r="K9196" s="8"/>
    </row>
    <row r="9197" spans="11:11" x14ac:dyDescent="0.2">
      <c r="K9197" s="8"/>
    </row>
    <row r="9198" spans="11:11" x14ac:dyDescent="0.2">
      <c r="K9198" s="8"/>
    </row>
    <row r="9199" spans="11:11" x14ac:dyDescent="0.2">
      <c r="K9199" s="8"/>
    </row>
    <row r="9200" spans="11:11" x14ac:dyDescent="0.2">
      <c r="K9200" s="8"/>
    </row>
    <row r="9201" spans="11:11" x14ac:dyDescent="0.2">
      <c r="K9201" s="8"/>
    </row>
    <row r="9202" spans="11:11" x14ac:dyDescent="0.2">
      <c r="K9202" s="8"/>
    </row>
    <row r="9203" spans="11:11" x14ac:dyDescent="0.2">
      <c r="K9203" s="8"/>
    </row>
    <row r="9204" spans="11:11" x14ac:dyDescent="0.2">
      <c r="K9204" s="8"/>
    </row>
    <row r="9205" spans="11:11" x14ac:dyDescent="0.2">
      <c r="K9205" s="8"/>
    </row>
    <row r="9206" spans="11:11" x14ac:dyDescent="0.2">
      <c r="K9206" s="8"/>
    </row>
    <row r="9207" spans="11:11" x14ac:dyDescent="0.2">
      <c r="K9207" s="8"/>
    </row>
    <row r="9208" spans="11:11" x14ac:dyDescent="0.2">
      <c r="K9208" s="8"/>
    </row>
    <row r="9209" spans="11:11" x14ac:dyDescent="0.2">
      <c r="K9209" s="8"/>
    </row>
    <row r="9210" spans="11:11" x14ac:dyDescent="0.2">
      <c r="K9210" s="8"/>
    </row>
    <row r="9211" spans="11:11" x14ac:dyDescent="0.2">
      <c r="K9211" s="8"/>
    </row>
    <row r="9212" spans="11:11" x14ac:dyDescent="0.2">
      <c r="K9212" s="8"/>
    </row>
    <row r="9213" spans="11:11" x14ac:dyDescent="0.2">
      <c r="K9213" s="8"/>
    </row>
    <row r="9214" spans="11:11" x14ac:dyDescent="0.2">
      <c r="K9214" s="8"/>
    </row>
    <row r="9215" spans="11:11" x14ac:dyDescent="0.2">
      <c r="K9215" s="8"/>
    </row>
    <row r="9216" spans="11:11" x14ac:dyDescent="0.2">
      <c r="K9216" s="8"/>
    </row>
    <row r="9217" spans="11:11" x14ac:dyDescent="0.2">
      <c r="K9217" s="8"/>
    </row>
    <row r="9218" spans="11:11" x14ac:dyDescent="0.2">
      <c r="K9218" s="8"/>
    </row>
    <row r="9219" spans="11:11" x14ac:dyDescent="0.2">
      <c r="K9219" s="8"/>
    </row>
    <row r="9220" spans="11:11" x14ac:dyDescent="0.2">
      <c r="K9220" s="8"/>
    </row>
    <row r="9221" spans="11:11" x14ac:dyDescent="0.2">
      <c r="K9221" s="8"/>
    </row>
    <row r="9222" spans="11:11" x14ac:dyDescent="0.2">
      <c r="K9222" s="8"/>
    </row>
    <row r="9223" spans="11:11" x14ac:dyDescent="0.2">
      <c r="K9223" s="8"/>
    </row>
    <row r="9224" spans="11:11" x14ac:dyDescent="0.2">
      <c r="K9224" s="8"/>
    </row>
    <row r="9225" spans="11:11" x14ac:dyDescent="0.2">
      <c r="K9225" s="8"/>
    </row>
    <row r="9226" spans="11:11" x14ac:dyDescent="0.2">
      <c r="K9226" s="8"/>
    </row>
    <row r="9227" spans="11:11" x14ac:dyDescent="0.2">
      <c r="K9227" s="8"/>
    </row>
    <row r="9228" spans="11:11" x14ac:dyDescent="0.2">
      <c r="K9228" s="8"/>
    </row>
    <row r="9229" spans="11:11" x14ac:dyDescent="0.2">
      <c r="K9229" s="8"/>
    </row>
    <row r="9230" spans="11:11" x14ac:dyDescent="0.2">
      <c r="K9230" s="8"/>
    </row>
    <row r="9231" spans="11:11" x14ac:dyDescent="0.2">
      <c r="K9231" s="8"/>
    </row>
    <row r="9232" spans="11:11" x14ac:dyDescent="0.2">
      <c r="K9232" s="8"/>
    </row>
    <row r="9233" spans="11:11" x14ac:dyDescent="0.2">
      <c r="K9233" s="8"/>
    </row>
    <row r="9234" spans="11:11" x14ac:dyDescent="0.2">
      <c r="K9234" s="8"/>
    </row>
    <row r="9235" spans="11:11" x14ac:dyDescent="0.2">
      <c r="K9235" s="8"/>
    </row>
    <row r="9236" spans="11:11" x14ac:dyDescent="0.2">
      <c r="K9236" s="8"/>
    </row>
    <row r="9237" spans="11:11" x14ac:dyDescent="0.2">
      <c r="K9237" s="8"/>
    </row>
    <row r="9238" spans="11:11" x14ac:dyDescent="0.2">
      <c r="K9238" s="8"/>
    </row>
    <row r="9239" spans="11:11" x14ac:dyDescent="0.2">
      <c r="K9239" s="8"/>
    </row>
    <row r="9240" spans="11:11" x14ac:dyDescent="0.2">
      <c r="K9240" s="8"/>
    </row>
    <row r="9241" spans="11:11" x14ac:dyDescent="0.2">
      <c r="K9241" s="8"/>
    </row>
    <row r="9242" spans="11:11" x14ac:dyDescent="0.2">
      <c r="K9242" s="8"/>
    </row>
    <row r="9243" spans="11:11" x14ac:dyDescent="0.2">
      <c r="K9243" s="8"/>
    </row>
    <row r="9244" spans="11:11" x14ac:dyDescent="0.2">
      <c r="K9244" s="8"/>
    </row>
    <row r="9245" spans="11:11" x14ac:dyDescent="0.2">
      <c r="K9245" s="8"/>
    </row>
    <row r="9246" spans="11:11" x14ac:dyDescent="0.2">
      <c r="K9246" s="8"/>
    </row>
    <row r="9247" spans="11:11" x14ac:dyDescent="0.2">
      <c r="K9247" s="8"/>
    </row>
    <row r="9248" spans="11:11" x14ac:dyDescent="0.2">
      <c r="K9248" s="8"/>
    </row>
    <row r="9249" spans="11:11" x14ac:dyDescent="0.2">
      <c r="K9249" s="8"/>
    </row>
    <row r="9250" spans="11:11" x14ac:dyDescent="0.2">
      <c r="K9250" s="8"/>
    </row>
    <row r="9251" spans="11:11" x14ac:dyDescent="0.2">
      <c r="K9251" s="8"/>
    </row>
    <row r="9252" spans="11:11" x14ac:dyDescent="0.2">
      <c r="K9252" s="8"/>
    </row>
    <row r="9253" spans="11:11" x14ac:dyDescent="0.2">
      <c r="K9253" s="8"/>
    </row>
    <row r="9254" spans="11:11" x14ac:dyDescent="0.2">
      <c r="K9254" s="8"/>
    </row>
    <row r="9255" spans="11:11" x14ac:dyDescent="0.2">
      <c r="K9255" s="8"/>
    </row>
    <row r="9256" spans="11:11" x14ac:dyDescent="0.2">
      <c r="K9256" s="8"/>
    </row>
    <row r="9257" spans="11:11" x14ac:dyDescent="0.2">
      <c r="K9257" s="8"/>
    </row>
    <row r="9258" spans="11:11" x14ac:dyDescent="0.2">
      <c r="K9258" s="8"/>
    </row>
    <row r="9259" spans="11:11" x14ac:dyDescent="0.2">
      <c r="K9259" s="8"/>
    </row>
    <row r="9260" spans="11:11" x14ac:dyDescent="0.2">
      <c r="K9260" s="8"/>
    </row>
    <row r="9261" spans="11:11" x14ac:dyDescent="0.2">
      <c r="K9261" s="8"/>
    </row>
    <row r="9262" spans="11:11" x14ac:dyDescent="0.2">
      <c r="K9262" s="8"/>
    </row>
    <row r="9263" spans="11:11" x14ac:dyDescent="0.2">
      <c r="K9263" s="8"/>
    </row>
    <row r="9264" spans="11:11" x14ac:dyDescent="0.2">
      <c r="K9264" s="8"/>
    </row>
    <row r="9265" spans="11:11" x14ac:dyDescent="0.2">
      <c r="K9265" s="8"/>
    </row>
    <row r="9266" spans="11:11" x14ac:dyDescent="0.2">
      <c r="K9266" s="8"/>
    </row>
    <row r="9267" spans="11:11" x14ac:dyDescent="0.2">
      <c r="K9267" s="8"/>
    </row>
    <row r="9268" spans="11:11" x14ac:dyDescent="0.2">
      <c r="K9268" s="8"/>
    </row>
    <row r="9269" spans="11:11" x14ac:dyDescent="0.2">
      <c r="K9269" s="8"/>
    </row>
    <row r="9270" spans="11:11" x14ac:dyDescent="0.2">
      <c r="K9270" s="8"/>
    </row>
    <row r="9271" spans="11:11" x14ac:dyDescent="0.2">
      <c r="K9271" s="8"/>
    </row>
    <row r="9272" spans="11:11" x14ac:dyDescent="0.2">
      <c r="K9272" s="8"/>
    </row>
    <row r="9273" spans="11:11" x14ac:dyDescent="0.2">
      <c r="K9273" s="8"/>
    </row>
    <row r="9274" spans="11:11" x14ac:dyDescent="0.2">
      <c r="K9274" s="8"/>
    </row>
    <row r="9275" spans="11:11" x14ac:dyDescent="0.2">
      <c r="K9275" s="8"/>
    </row>
    <row r="9276" spans="11:11" x14ac:dyDescent="0.2">
      <c r="K9276" s="8"/>
    </row>
    <row r="9277" spans="11:11" x14ac:dyDescent="0.2">
      <c r="K9277" s="8"/>
    </row>
    <row r="9278" spans="11:11" x14ac:dyDescent="0.2">
      <c r="K9278" s="8"/>
    </row>
    <row r="9279" spans="11:11" x14ac:dyDescent="0.2">
      <c r="K9279" s="8"/>
    </row>
    <row r="9280" spans="11:11" x14ac:dyDescent="0.2">
      <c r="K9280" s="8"/>
    </row>
    <row r="9281" spans="11:11" x14ac:dyDescent="0.2">
      <c r="K9281" s="8"/>
    </row>
    <row r="9282" spans="11:11" x14ac:dyDescent="0.2">
      <c r="K9282" s="8"/>
    </row>
    <row r="9283" spans="11:11" x14ac:dyDescent="0.2">
      <c r="K9283" s="8"/>
    </row>
    <row r="9284" spans="11:11" x14ac:dyDescent="0.2">
      <c r="K9284" s="8"/>
    </row>
    <row r="9285" spans="11:11" x14ac:dyDescent="0.2">
      <c r="K9285" s="8"/>
    </row>
    <row r="9286" spans="11:11" x14ac:dyDescent="0.2">
      <c r="K9286" s="8"/>
    </row>
    <row r="9287" spans="11:11" x14ac:dyDescent="0.2">
      <c r="K9287" s="8"/>
    </row>
    <row r="9288" spans="11:11" x14ac:dyDescent="0.2">
      <c r="K9288" s="8"/>
    </row>
    <row r="9289" spans="11:11" x14ac:dyDescent="0.2">
      <c r="K9289" s="8"/>
    </row>
    <row r="9290" spans="11:11" x14ac:dyDescent="0.2">
      <c r="K9290" s="8"/>
    </row>
    <row r="9291" spans="11:11" x14ac:dyDescent="0.2">
      <c r="K9291" s="8"/>
    </row>
    <row r="9292" spans="11:11" x14ac:dyDescent="0.2">
      <c r="K9292" s="8"/>
    </row>
    <row r="9293" spans="11:11" x14ac:dyDescent="0.2">
      <c r="K9293" s="8"/>
    </row>
    <row r="9294" spans="11:11" x14ac:dyDescent="0.2">
      <c r="K9294" s="8"/>
    </row>
    <row r="9295" spans="11:11" x14ac:dyDescent="0.2">
      <c r="K9295" s="8"/>
    </row>
    <row r="9296" spans="11:11" x14ac:dyDescent="0.2">
      <c r="K9296" s="8"/>
    </row>
    <row r="9297" spans="11:11" x14ac:dyDescent="0.2">
      <c r="K9297" s="8"/>
    </row>
    <row r="9298" spans="11:11" x14ac:dyDescent="0.2">
      <c r="K9298" s="8"/>
    </row>
    <row r="9299" spans="11:11" x14ac:dyDescent="0.2">
      <c r="K9299" s="8"/>
    </row>
    <row r="9300" spans="11:11" x14ac:dyDescent="0.2">
      <c r="K9300" s="8"/>
    </row>
    <row r="9301" spans="11:11" x14ac:dyDescent="0.2">
      <c r="K9301" s="8"/>
    </row>
    <row r="9302" spans="11:11" x14ac:dyDescent="0.2">
      <c r="K9302" s="8"/>
    </row>
    <row r="9303" spans="11:11" x14ac:dyDescent="0.2">
      <c r="K9303" s="8"/>
    </row>
    <row r="9304" spans="11:11" x14ac:dyDescent="0.2">
      <c r="K9304" s="8"/>
    </row>
    <row r="9305" spans="11:11" x14ac:dyDescent="0.2">
      <c r="K9305" s="8"/>
    </row>
    <row r="9306" spans="11:11" x14ac:dyDescent="0.2">
      <c r="K9306" s="8"/>
    </row>
    <row r="9307" spans="11:11" x14ac:dyDescent="0.2">
      <c r="K9307" s="8"/>
    </row>
    <row r="9308" spans="11:11" x14ac:dyDescent="0.2">
      <c r="K9308" s="8"/>
    </row>
    <row r="9309" spans="11:11" x14ac:dyDescent="0.2">
      <c r="K9309" s="8"/>
    </row>
    <row r="9310" spans="11:11" x14ac:dyDescent="0.2">
      <c r="K9310" s="8"/>
    </row>
    <row r="9311" spans="11:11" x14ac:dyDescent="0.2">
      <c r="K9311" s="8"/>
    </row>
    <row r="9312" spans="11:11" x14ac:dyDescent="0.2">
      <c r="K9312" s="8"/>
    </row>
    <row r="9313" spans="11:11" x14ac:dyDescent="0.2">
      <c r="K9313" s="8"/>
    </row>
    <row r="9314" spans="11:11" x14ac:dyDescent="0.2">
      <c r="K9314" s="8"/>
    </row>
    <row r="9315" spans="11:11" x14ac:dyDescent="0.2">
      <c r="K9315" s="8"/>
    </row>
    <row r="9316" spans="11:11" x14ac:dyDescent="0.2">
      <c r="K9316" s="8"/>
    </row>
    <row r="9317" spans="11:11" x14ac:dyDescent="0.2">
      <c r="K9317" s="8"/>
    </row>
    <row r="9318" spans="11:11" x14ac:dyDescent="0.2">
      <c r="K9318" s="8"/>
    </row>
    <row r="9319" spans="11:11" x14ac:dyDescent="0.2">
      <c r="K9319" s="8"/>
    </row>
    <row r="9320" spans="11:11" x14ac:dyDescent="0.2">
      <c r="K9320" s="8"/>
    </row>
    <row r="9321" spans="11:11" x14ac:dyDescent="0.2">
      <c r="K9321" s="8"/>
    </row>
    <row r="9322" spans="11:11" x14ac:dyDescent="0.2">
      <c r="K9322" s="8"/>
    </row>
    <row r="9323" spans="11:11" x14ac:dyDescent="0.2">
      <c r="K9323" s="8"/>
    </row>
    <row r="9324" spans="11:11" x14ac:dyDescent="0.2">
      <c r="K9324" s="8"/>
    </row>
    <row r="9325" spans="11:11" x14ac:dyDescent="0.2">
      <c r="K9325" s="8"/>
    </row>
    <row r="9326" spans="11:11" x14ac:dyDescent="0.2">
      <c r="K9326" s="8"/>
    </row>
    <row r="9327" spans="11:11" x14ac:dyDescent="0.2">
      <c r="K9327" s="8"/>
    </row>
    <row r="9328" spans="11:11" x14ac:dyDescent="0.2">
      <c r="K9328" s="8"/>
    </row>
    <row r="9329" spans="11:11" x14ac:dyDescent="0.2">
      <c r="K9329" s="8"/>
    </row>
    <row r="9330" spans="11:11" x14ac:dyDescent="0.2">
      <c r="K9330" s="8"/>
    </row>
    <row r="9331" spans="11:11" x14ac:dyDescent="0.2">
      <c r="K9331" s="8"/>
    </row>
    <row r="9332" spans="11:11" x14ac:dyDescent="0.2">
      <c r="K9332" s="8"/>
    </row>
    <row r="9333" spans="11:11" x14ac:dyDescent="0.2">
      <c r="K9333" s="8"/>
    </row>
    <row r="9334" spans="11:11" x14ac:dyDescent="0.2">
      <c r="K9334" s="8"/>
    </row>
    <row r="9335" spans="11:11" x14ac:dyDescent="0.2">
      <c r="K9335" s="8"/>
    </row>
    <row r="9336" spans="11:11" x14ac:dyDescent="0.2">
      <c r="K9336" s="8"/>
    </row>
    <row r="9337" spans="11:11" x14ac:dyDescent="0.2">
      <c r="K9337" s="8"/>
    </row>
    <row r="9338" spans="11:11" x14ac:dyDescent="0.2">
      <c r="K9338" s="8"/>
    </row>
    <row r="9339" spans="11:11" x14ac:dyDescent="0.2">
      <c r="K9339" s="8"/>
    </row>
    <row r="9340" spans="11:11" x14ac:dyDescent="0.2">
      <c r="K9340" s="8"/>
    </row>
    <row r="9341" spans="11:11" x14ac:dyDescent="0.2">
      <c r="K9341" s="8"/>
    </row>
    <row r="9342" spans="11:11" x14ac:dyDescent="0.2">
      <c r="K9342" s="8"/>
    </row>
    <row r="9343" spans="11:11" x14ac:dyDescent="0.2">
      <c r="K9343" s="8"/>
    </row>
    <row r="9344" spans="11:11" x14ac:dyDescent="0.2">
      <c r="K9344" s="8"/>
    </row>
    <row r="9345" spans="11:11" x14ac:dyDescent="0.2">
      <c r="K9345" s="8"/>
    </row>
    <row r="9346" spans="11:11" x14ac:dyDescent="0.2">
      <c r="K9346" s="8"/>
    </row>
    <row r="9347" spans="11:11" x14ac:dyDescent="0.2">
      <c r="K9347" s="8"/>
    </row>
    <row r="9348" spans="11:11" x14ac:dyDescent="0.2">
      <c r="K9348" s="8"/>
    </row>
    <row r="9349" spans="11:11" x14ac:dyDescent="0.2">
      <c r="K9349" s="8"/>
    </row>
    <row r="9350" spans="11:11" x14ac:dyDescent="0.2">
      <c r="K9350" s="8"/>
    </row>
    <row r="9351" spans="11:11" x14ac:dyDescent="0.2">
      <c r="K9351" s="8"/>
    </row>
    <row r="9352" spans="11:11" x14ac:dyDescent="0.2">
      <c r="K9352" s="8"/>
    </row>
    <row r="9353" spans="11:11" x14ac:dyDescent="0.2">
      <c r="K9353" s="8"/>
    </row>
    <row r="9354" spans="11:11" x14ac:dyDescent="0.2">
      <c r="K9354" s="8"/>
    </row>
    <row r="9355" spans="11:11" x14ac:dyDescent="0.2">
      <c r="K9355" s="8"/>
    </row>
    <row r="9356" spans="11:11" x14ac:dyDescent="0.2">
      <c r="K9356" s="8"/>
    </row>
    <row r="9357" spans="11:11" x14ac:dyDescent="0.2">
      <c r="K9357" s="8"/>
    </row>
    <row r="9358" spans="11:11" x14ac:dyDescent="0.2">
      <c r="K9358" s="8"/>
    </row>
    <row r="9359" spans="11:11" x14ac:dyDescent="0.2">
      <c r="K9359" s="8"/>
    </row>
    <row r="9360" spans="11:11" x14ac:dyDescent="0.2">
      <c r="K9360" s="8"/>
    </row>
    <row r="9361" spans="11:11" x14ac:dyDescent="0.2">
      <c r="K9361" s="8"/>
    </row>
    <row r="9362" spans="11:11" x14ac:dyDescent="0.2">
      <c r="K9362" s="8"/>
    </row>
    <row r="9363" spans="11:11" x14ac:dyDescent="0.2">
      <c r="K9363" s="8"/>
    </row>
    <row r="9364" spans="11:11" x14ac:dyDescent="0.2">
      <c r="K9364" s="8"/>
    </row>
    <row r="9365" spans="11:11" x14ac:dyDescent="0.2">
      <c r="K9365" s="8"/>
    </row>
    <row r="9366" spans="11:11" x14ac:dyDescent="0.2">
      <c r="K9366" s="8"/>
    </row>
    <row r="9367" spans="11:11" x14ac:dyDescent="0.2">
      <c r="K9367" s="8"/>
    </row>
    <row r="9368" spans="11:11" x14ac:dyDescent="0.2">
      <c r="K9368" s="8"/>
    </row>
    <row r="9369" spans="11:11" x14ac:dyDescent="0.2">
      <c r="K9369" s="8"/>
    </row>
    <row r="9370" spans="11:11" x14ac:dyDescent="0.2">
      <c r="K9370" s="8"/>
    </row>
    <row r="9371" spans="11:11" x14ac:dyDescent="0.2">
      <c r="K9371" s="8"/>
    </row>
    <row r="9372" spans="11:11" x14ac:dyDescent="0.2">
      <c r="K9372" s="8"/>
    </row>
    <row r="9373" spans="11:11" x14ac:dyDescent="0.2">
      <c r="K9373" s="8"/>
    </row>
    <row r="9374" spans="11:11" x14ac:dyDescent="0.2">
      <c r="K9374" s="8"/>
    </row>
    <row r="9375" spans="11:11" x14ac:dyDescent="0.2">
      <c r="K9375" s="8"/>
    </row>
    <row r="9376" spans="11:11" x14ac:dyDescent="0.2">
      <c r="K9376" s="8"/>
    </row>
    <row r="9377" spans="11:11" x14ac:dyDescent="0.2">
      <c r="K9377" s="8"/>
    </row>
    <row r="9378" spans="11:11" x14ac:dyDescent="0.2">
      <c r="K9378" s="8"/>
    </row>
    <row r="9379" spans="11:11" x14ac:dyDescent="0.2">
      <c r="K9379" s="8"/>
    </row>
    <row r="9380" spans="11:11" x14ac:dyDescent="0.2">
      <c r="K9380" s="8"/>
    </row>
    <row r="9381" spans="11:11" x14ac:dyDescent="0.2">
      <c r="K9381" s="8"/>
    </row>
    <row r="9382" spans="11:11" x14ac:dyDescent="0.2">
      <c r="K9382" s="8"/>
    </row>
    <row r="9383" spans="11:11" x14ac:dyDescent="0.2">
      <c r="K9383" s="8"/>
    </row>
    <row r="9384" spans="11:11" x14ac:dyDescent="0.2">
      <c r="K9384" s="8"/>
    </row>
    <row r="9385" spans="11:11" x14ac:dyDescent="0.2">
      <c r="K9385" s="8"/>
    </row>
    <row r="9386" spans="11:11" x14ac:dyDescent="0.2">
      <c r="K9386" s="8"/>
    </row>
    <row r="9387" spans="11:11" x14ac:dyDescent="0.2">
      <c r="K9387" s="8"/>
    </row>
    <row r="9388" spans="11:11" x14ac:dyDescent="0.2">
      <c r="K9388" s="8"/>
    </row>
    <row r="9389" spans="11:11" x14ac:dyDescent="0.2">
      <c r="K9389" s="8"/>
    </row>
    <row r="9390" spans="11:11" x14ac:dyDescent="0.2">
      <c r="K9390" s="8"/>
    </row>
    <row r="9391" spans="11:11" x14ac:dyDescent="0.2">
      <c r="K9391" s="8"/>
    </row>
    <row r="9392" spans="11:11" x14ac:dyDescent="0.2">
      <c r="K9392" s="8"/>
    </row>
    <row r="9393" spans="11:11" x14ac:dyDescent="0.2">
      <c r="K9393" s="8"/>
    </row>
    <row r="9394" spans="11:11" x14ac:dyDescent="0.2">
      <c r="K9394" s="8"/>
    </row>
    <row r="9395" spans="11:11" x14ac:dyDescent="0.2">
      <c r="K9395" s="8"/>
    </row>
    <row r="9396" spans="11:11" x14ac:dyDescent="0.2">
      <c r="K9396" s="8"/>
    </row>
    <row r="9397" spans="11:11" x14ac:dyDescent="0.2">
      <c r="K9397" s="8"/>
    </row>
    <row r="9398" spans="11:11" x14ac:dyDescent="0.2">
      <c r="K9398" s="8"/>
    </row>
    <row r="9399" spans="11:11" x14ac:dyDescent="0.2">
      <c r="K9399" s="8"/>
    </row>
    <row r="9400" spans="11:11" x14ac:dyDescent="0.2">
      <c r="K9400" s="8"/>
    </row>
    <row r="9401" spans="11:11" x14ac:dyDescent="0.2">
      <c r="K9401" s="8"/>
    </row>
    <row r="9402" spans="11:11" x14ac:dyDescent="0.2">
      <c r="K9402" s="8"/>
    </row>
    <row r="9403" spans="11:11" x14ac:dyDescent="0.2">
      <c r="K9403" s="8"/>
    </row>
    <row r="9404" spans="11:11" x14ac:dyDescent="0.2">
      <c r="K9404" s="8"/>
    </row>
    <row r="9405" spans="11:11" x14ac:dyDescent="0.2">
      <c r="K9405" s="8"/>
    </row>
    <row r="9406" spans="11:11" x14ac:dyDescent="0.2">
      <c r="K9406" s="8"/>
    </row>
    <row r="9407" spans="11:11" x14ac:dyDescent="0.2">
      <c r="K9407" s="8"/>
    </row>
    <row r="9408" spans="11:11" x14ac:dyDescent="0.2">
      <c r="K9408" s="8"/>
    </row>
    <row r="9409" spans="11:11" x14ac:dyDescent="0.2">
      <c r="K9409" s="8"/>
    </row>
    <row r="9410" spans="11:11" x14ac:dyDescent="0.2">
      <c r="K9410" s="8"/>
    </row>
    <row r="9411" spans="11:11" x14ac:dyDescent="0.2">
      <c r="K9411" s="8"/>
    </row>
    <row r="9412" spans="11:11" x14ac:dyDescent="0.2">
      <c r="K9412" s="8"/>
    </row>
    <row r="9413" spans="11:11" x14ac:dyDescent="0.2">
      <c r="K9413" s="8"/>
    </row>
    <row r="9414" spans="11:11" x14ac:dyDescent="0.2">
      <c r="K9414" s="8"/>
    </row>
    <row r="9415" spans="11:11" x14ac:dyDescent="0.2">
      <c r="K9415" s="8"/>
    </row>
    <row r="9416" spans="11:11" x14ac:dyDescent="0.2">
      <c r="K9416" s="8"/>
    </row>
    <row r="9417" spans="11:11" x14ac:dyDescent="0.2">
      <c r="K9417" s="8"/>
    </row>
    <row r="9418" spans="11:11" x14ac:dyDescent="0.2">
      <c r="K9418" s="8"/>
    </row>
    <row r="9419" spans="11:11" x14ac:dyDescent="0.2">
      <c r="K9419" s="8"/>
    </row>
    <row r="9420" spans="11:11" x14ac:dyDescent="0.2">
      <c r="K9420" s="8"/>
    </row>
    <row r="9421" spans="11:11" x14ac:dyDescent="0.2">
      <c r="K9421" s="8"/>
    </row>
    <row r="9422" spans="11:11" x14ac:dyDescent="0.2">
      <c r="K9422" s="8"/>
    </row>
    <row r="9423" spans="11:11" x14ac:dyDescent="0.2">
      <c r="K9423" s="8"/>
    </row>
    <row r="9424" spans="11:11" x14ac:dyDescent="0.2">
      <c r="K9424" s="8"/>
    </row>
    <row r="9425" spans="11:11" x14ac:dyDescent="0.2">
      <c r="K9425" s="8"/>
    </row>
    <row r="9426" spans="11:11" x14ac:dyDescent="0.2">
      <c r="K9426" s="8"/>
    </row>
    <row r="9427" spans="11:11" x14ac:dyDescent="0.2">
      <c r="K9427" s="8"/>
    </row>
    <row r="9428" spans="11:11" x14ac:dyDescent="0.2">
      <c r="K9428" s="8"/>
    </row>
    <row r="9429" spans="11:11" x14ac:dyDescent="0.2">
      <c r="K9429" s="8"/>
    </row>
    <row r="9430" spans="11:11" x14ac:dyDescent="0.2">
      <c r="K9430" s="8"/>
    </row>
    <row r="9431" spans="11:11" x14ac:dyDescent="0.2">
      <c r="K9431" s="8"/>
    </row>
    <row r="9432" spans="11:11" x14ac:dyDescent="0.2">
      <c r="K9432" s="8"/>
    </row>
    <row r="9433" spans="11:11" x14ac:dyDescent="0.2">
      <c r="K9433" s="8"/>
    </row>
    <row r="9434" spans="11:11" x14ac:dyDescent="0.2">
      <c r="K9434" s="8"/>
    </row>
    <row r="9435" spans="11:11" x14ac:dyDescent="0.2">
      <c r="K9435" s="8"/>
    </row>
    <row r="9436" spans="11:11" x14ac:dyDescent="0.2">
      <c r="K9436" s="8"/>
    </row>
    <row r="9437" spans="11:11" x14ac:dyDescent="0.2">
      <c r="K9437" s="8"/>
    </row>
    <row r="9438" spans="11:11" x14ac:dyDescent="0.2">
      <c r="K9438" s="8"/>
    </row>
    <row r="9439" spans="11:11" x14ac:dyDescent="0.2">
      <c r="K9439" s="8"/>
    </row>
    <row r="9440" spans="11:11" x14ac:dyDescent="0.2">
      <c r="K9440" s="8"/>
    </row>
    <row r="9441" spans="11:11" x14ac:dyDescent="0.2">
      <c r="K9441" s="8"/>
    </row>
    <row r="9442" spans="11:11" x14ac:dyDescent="0.2">
      <c r="K9442" s="8"/>
    </row>
    <row r="9443" spans="11:11" x14ac:dyDescent="0.2">
      <c r="K9443" s="8"/>
    </row>
    <row r="9444" spans="11:11" x14ac:dyDescent="0.2">
      <c r="K9444" s="8"/>
    </row>
    <row r="9445" spans="11:11" x14ac:dyDescent="0.2">
      <c r="K9445" s="8"/>
    </row>
    <row r="9446" spans="11:11" x14ac:dyDescent="0.2">
      <c r="K9446" s="8"/>
    </row>
    <row r="9447" spans="11:11" x14ac:dyDescent="0.2">
      <c r="K9447" s="8"/>
    </row>
    <row r="9448" spans="11:11" x14ac:dyDescent="0.2">
      <c r="K9448" s="8"/>
    </row>
    <row r="9449" spans="11:11" x14ac:dyDescent="0.2">
      <c r="K9449" s="8"/>
    </row>
    <row r="9450" spans="11:11" x14ac:dyDescent="0.2">
      <c r="K9450" s="8"/>
    </row>
    <row r="9451" spans="11:11" x14ac:dyDescent="0.2">
      <c r="K9451" s="8"/>
    </row>
    <row r="9452" spans="11:11" x14ac:dyDescent="0.2">
      <c r="K9452" s="8"/>
    </row>
    <row r="9453" spans="11:11" x14ac:dyDescent="0.2">
      <c r="K9453" s="8"/>
    </row>
    <row r="9454" spans="11:11" x14ac:dyDescent="0.2">
      <c r="K9454" s="8"/>
    </row>
    <row r="9455" spans="11:11" x14ac:dyDescent="0.2">
      <c r="K9455" s="8"/>
    </row>
    <row r="9456" spans="11:11" x14ac:dyDescent="0.2">
      <c r="K9456" s="8"/>
    </row>
    <row r="9457" spans="11:11" x14ac:dyDescent="0.2">
      <c r="K9457" s="8"/>
    </row>
    <row r="9458" spans="11:11" x14ac:dyDescent="0.2">
      <c r="K9458" s="8"/>
    </row>
    <row r="9459" spans="11:11" x14ac:dyDescent="0.2">
      <c r="K9459" s="8"/>
    </row>
    <row r="9460" spans="11:11" x14ac:dyDescent="0.2">
      <c r="K9460" s="8"/>
    </row>
    <row r="9461" spans="11:11" x14ac:dyDescent="0.2">
      <c r="K9461" s="8"/>
    </row>
    <row r="9462" spans="11:11" x14ac:dyDescent="0.2">
      <c r="K9462" s="8"/>
    </row>
    <row r="9463" spans="11:11" x14ac:dyDescent="0.2">
      <c r="K9463" s="8"/>
    </row>
    <row r="9464" spans="11:11" x14ac:dyDescent="0.2">
      <c r="K9464" s="8"/>
    </row>
    <row r="9465" spans="11:11" x14ac:dyDescent="0.2">
      <c r="K9465" s="8"/>
    </row>
    <row r="9466" spans="11:11" x14ac:dyDescent="0.2">
      <c r="K9466" s="8"/>
    </row>
    <row r="9467" spans="11:11" x14ac:dyDescent="0.2">
      <c r="K9467" s="8"/>
    </row>
    <row r="9468" spans="11:11" x14ac:dyDescent="0.2">
      <c r="K9468" s="8"/>
    </row>
    <row r="9469" spans="11:11" x14ac:dyDescent="0.2">
      <c r="K9469" s="8"/>
    </row>
    <row r="9470" spans="11:11" x14ac:dyDescent="0.2">
      <c r="K9470" s="8"/>
    </row>
    <row r="9471" spans="11:11" x14ac:dyDescent="0.2">
      <c r="K9471" s="8"/>
    </row>
    <row r="9472" spans="11:11" x14ac:dyDescent="0.2">
      <c r="K9472" s="8"/>
    </row>
    <row r="9473" spans="11:11" x14ac:dyDescent="0.2">
      <c r="K9473" s="8"/>
    </row>
    <row r="9474" spans="11:11" x14ac:dyDescent="0.2">
      <c r="K9474" s="8"/>
    </row>
    <row r="9475" spans="11:11" x14ac:dyDescent="0.2">
      <c r="K9475" s="8"/>
    </row>
    <row r="9476" spans="11:11" x14ac:dyDescent="0.2">
      <c r="K9476" s="8"/>
    </row>
    <row r="9477" spans="11:11" x14ac:dyDescent="0.2">
      <c r="K9477" s="8"/>
    </row>
    <row r="9478" spans="11:11" x14ac:dyDescent="0.2">
      <c r="K9478" s="8"/>
    </row>
    <row r="9479" spans="11:11" x14ac:dyDescent="0.2">
      <c r="K9479" s="8"/>
    </row>
    <row r="9480" spans="11:11" x14ac:dyDescent="0.2">
      <c r="K9480" s="8"/>
    </row>
    <row r="9481" spans="11:11" x14ac:dyDescent="0.2">
      <c r="K9481" s="8"/>
    </row>
    <row r="9482" spans="11:11" x14ac:dyDescent="0.2">
      <c r="K9482" s="8"/>
    </row>
    <row r="9483" spans="11:11" x14ac:dyDescent="0.2">
      <c r="K9483" s="8"/>
    </row>
    <row r="9484" spans="11:11" x14ac:dyDescent="0.2">
      <c r="K9484" s="8"/>
    </row>
    <row r="9485" spans="11:11" x14ac:dyDescent="0.2">
      <c r="K9485" s="8"/>
    </row>
    <row r="9486" spans="11:11" x14ac:dyDescent="0.2">
      <c r="K9486" s="8"/>
    </row>
    <row r="9487" spans="11:11" x14ac:dyDescent="0.2">
      <c r="K9487" s="8"/>
    </row>
    <row r="9488" spans="11:11" x14ac:dyDescent="0.2">
      <c r="K9488" s="8"/>
    </row>
    <row r="9489" spans="11:11" x14ac:dyDescent="0.2">
      <c r="K9489" s="8"/>
    </row>
    <row r="9490" spans="11:11" x14ac:dyDescent="0.2">
      <c r="K9490" s="8"/>
    </row>
    <row r="9491" spans="11:11" x14ac:dyDescent="0.2">
      <c r="K9491" s="8"/>
    </row>
    <row r="9492" spans="11:11" x14ac:dyDescent="0.2">
      <c r="K9492" s="8"/>
    </row>
    <row r="9493" spans="11:11" x14ac:dyDescent="0.2">
      <c r="K9493" s="8"/>
    </row>
    <row r="9494" spans="11:11" x14ac:dyDescent="0.2">
      <c r="K9494" s="8"/>
    </row>
    <row r="9495" spans="11:11" x14ac:dyDescent="0.2">
      <c r="K9495" s="8"/>
    </row>
    <row r="9496" spans="11:11" x14ac:dyDescent="0.2">
      <c r="K9496" s="8"/>
    </row>
    <row r="9497" spans="11:11" x14ac:dyDescent="0.2">
      <c r="K9497" s="8"/>
    </row>
    <row r="9498" spans="11:11" x14ac:dyDescent="0.2">
      <c r="K9498" s="8"/>
    </row>
    <row r="9499" spans="11:11" x14ac:dyDescent="0.2">
      <c r="K9499" s="8"/>
    </row>
    <row r="9500" spans="11:11" x14ac:dyDescent="0.2">
      <c r="K9500" s="8"/>
    </row>
    <row r="9501" spans="11:11" x14ac:dyDescent="0.2">
      <c r="K9501" s="8"/>
    </row>
    <row r="9502" spans="11:11" x14ac:dyDescent="0.2">
      <c r="K9502" s="8"/>
    </row>
    <row r="9503" spans="11:11" x14ac:dyDescent="0.2">
      <c r="K9503" s="8"/>
    </row>
    <row r="9504" spans="11:11" x14ac:dyDescent="0.2">
      <c r="K9504" s="8"/>
    </row>
    <row r="9505" spans="11:11" x14ac:dyDescent="0.2">
      <c r="K9505" s="8"/>
    </row>
    <row r="9506" spans="11:11" x14ac:dyDescent="0.2">
      <c r="K9506" s="8"/>
    </row>
    <row r="9507" spans="11:11" x14ac:dyDescent="0.2">
      <c r="K9507" s="8"/>
    </row>
    <row r="9508" spans="11:11" x14ac:dyDescent="0.2">
      <c r="K9508" s="8"/>
    </row>
    <row r="9509" spans="11:11" x14ac:dyDescent="0.2">
      <c r="K9509" s="8"/>
    </row>
    <row r="9510" spans="11:11" x14ac:dyDescent="0.2">
      <c r="K9510" s="8"/>
    </row>
    <row r="9511" spans="11:11" x14ac:dyDescent="0.2">
      <c r="K9511" s="8"/>
    </row>
    <row r="9512" spans="11:11" x14ac:dyDescent="0.2">
      <c r="K9512" s="8"/>
    </row>
    <row r="9513" spans="11:11" x14ac:dyDescent="0.2">
      <c r="K9513" s="8"/>
    </row>
    <row r="9514" spans="11:11" x14ac:dyDescent="0.2">
      <c r="K9514" s="8"/>
    </row>
    <row r="9515" spans="11:11" x14ac:dyDescent="0.2">
      <c r="K9515" s="8"/>
    </row>
    <row r="9516" spans="11:11" x14ac:dyDescent="0.2">
      <c r="K9516" s="8"/>
    </row>
    <row r="9517" spans="11:11" x14ac:dyDescent="0.2">
      <c r="K9517" s="8"/>
    </row>
    <row r="9518" spans="11:11" x14ac:dyDescent="0.2">
      <c r="K9518" s="8"/>
    </row>
    <row r="9519" spans="11:11" x14ac:dyDescent="0.2">
      <c r="K9519" s="8"/>
    </row>
    <row r="9520" spans="11:11" x14ac:dyDescent="0.2">
      <c r="K9520" s="8"/>
    </row>
    <row r="9521" spans="11:11" x14ac:dyDescent="0.2">
      <c r="K9521" s="8"/>
    </row>
    <row r="9522" spans="11:11" x14ac:dyDescent="0.2">
      <c r="K9522" s="8"/>
    </row>
    <row r="9523" spans="11:11" x14ac:dyDescent="0.2">
      <c r="K9523" s="8"/>
    </row>
    <row r="9524" spans="11:11" x14ac:dyDescent="0.2">
      <c r="K9524" s="8"/>
    </row>
    <row r="9525" spans="11:11" x14ac:dyDescent="0.2">
      <c r="K9525" s="8"/>
    </row>
    <row r="9526" spans="11:11" x14ac:dyDescent="0.2">
      <c r="K9526" s="8"/>
    </row>
    <row r="9527" spans="11:11" x14ac:dyDescent="0.2">
      <c r="K9527" s="8"/>
    </row>
    <row r="9528" spans="11:11" x14ac:dyDescent="0.2">
      <c r="K9528" s="8"/>
    </row>
    <row r="9529" spans="11:11" x14ac:dyDescent="0.2">
      <c r="K9529" s="8"/>
    </row>
    <row r="9530" spans="11:11" x14ac:dyDescent="0.2">
      <c r="K9530" s="8"/>
    </row>
    <row r="9531" spans="11:11" x14ac:dyDescent="0.2">
      <c r="K9531" s="8"/>
    </row>
    <row r="9532" spans="11:11" x14ac:dyDescent="0.2">
      <c r="K9532" s="8"/>
    </row>
    <row r="9533" spans="11:11" x14ac:dyDescent="0.2">
      <c r="K9533" s="8"/>
    </row>
    <row r="9534" spans="11:11" x14ac:dyDescent="0.2">
      <c r="K9534" s="8"/>
    </row>
    <row r="9535" spans="11:11" x14ac:dyDescent="0.2">
      <c r="K9535" s="8"/>
    </row>
    <row r="9536" spans="11:11" x14ac:dyDescent="0.2">
      <c r="K9536" s="8"/>
    </row>
    <row r="9537" spans="11:11" x14ac:dyDescent="0.2">
      <c r="K9537" s="8"/>
    </row>
    <row r="9538" spans="11:11" x14ac:dyDescent="0.2">
      <c r="K9538" s="8"/>
    </row>
    <row r="9539" spans="11:11" x14ac:dyDescent="0.2">
      <c r="K9539" s="8"/>
    </row>
    <row r="9540" spans="11:11" x14ac:dyDescent="0.2">
      <c r="K9540" s="8"/>
    </row>
    <row r="9541" spans="11:11" x14ac:dyDescent="0.2">
      <c r="K9541" s="8"/>
    </row>
    <row r="9542" spans="11:11" x14ac:dyDescent="0.2">
      <c r="K9542" s="8"/>
    </row>
    <row r="9543" spans="11:11" x14ac:dyDescent="0.2">
      <c r="K9543" s="8"/>
    </row>
    <row r="9544" spans="11:11" x14ac:dyDescent="0.2">
      <c r="K9544" s="8"/>
    </row>
    <row r="9545" spans="11:11" x14ac:dyDescent="0.2">
      <c r="K9545" s="8"/>
    </row>
    <row r="9546" spans="11:11" x14ac:dyDescent="0.2">
      <c r="K9546" s="8"/>
    </row>
    <row r="9547" spans="11:11" x14ac:dyDescent="0.2">
      <c r="K9547" s="8"/>
    </row>
    <row r="9548" spans="11:11" x14ac:dyDescent="0.2">
      <c r="K9548" s="8"/>
    </row>
    <row r="9549" spans="11:11" x14ac:dyDescent="0.2">
      <c r="K9549" s="8"/>
    </row>
    <row r="9550" spans="11:11" x14ac:dyDescent="0.2">
      <c r="K9550" s="8"/>
    </row>
    <row r="9551" spans="11:11" x14ac:dyDescent="0.2">
      <c r="K9551" s="8"/>
    </row>
    <row r="9552" spans="11:11" x14ac:dyDescent="0.2">
      <c r="K9552" s="8"/>
    </row>
    <row r="9553" spans="11:11" x14ac:dyDescent="0.2">
      <c r="K9553" s="8"/>
    </row>
    <row r="9554" spans="11:11" x14ac:dyDescent="0.2">
      <c r="K9554" s="8"/>
    </row>
    <row r="9555" spans="11:11" x14ac:dyDescent="0.2">
      <c r="K9555" s="8"/>
    </row>
    <row r="9556" spans="11:11" x14ac:dyDescent="0.2">
      <c r="K9556" s="8"/>
    </row>
    <row r="9557" spans="11:11" x14ac:dyDescent="0.2">
      <c r="K9557" s="8"/>
    </row>
    <row r="9558" spans="11:11" x14ac:dyDescent="0.2">
      <c r="K9558" s="8"/>
    </row>
    <row r="9559" spans="11:11" x14ac:dyDescent="0.2">
      <c r="K9559" s="8"/>
    </row>
    <row r="9560" spans="11:11" x14ac:dyDescent="0.2">
      <c r="K9560" s="8"/>
    </row>
    <row r="9561" spans="11:11" x14ac:dyDescent="0.2">
      <c r="K9561" s="8"/>
    </row>
    <row r="9562" spans="11:11" x14ac:dyDescent="0.2">
      <c r="K9562" s="8"/>
    </row>
    <row r="9563" spans="11:11" x14ac:dyDescent="0.2">
      <c r="K9563" s="8"/>
    </row>
    <row r="9564" spans="11:11" x14ac:dyDescent="0.2">
      <c r="K9564" s="8"/>
    </row>
    <row r="9565" spans="11:11" x14ac:dyDescent="0.2">
      <c r="K9565" s="8"/>
    </row>
    <row r="9566" spans="11:11" x14ac:dyDescent="0.2">
      <c r="K9566" s="8"/>
    </row>
    <row r="9567" spans="11:11" x14ac:dyDescent="0.2">
      <c r="K9567" s="8"/>
    </row>
    <row r="9568" spans="11:11" x14ac:dyDescent="0.2">
      <c r="K9568" s="8"/>
    </row>
    <row r="9569" spans="11:11" x14ac:dyDescent="0.2">
      <c r="K9569" s="8"/>
    </row>
    <row r="9570" spans="11:11" x14ac:dyDescent="0.2">
      <c r="K9570" s="8"/>
    </row>
    <row r="9571" spans="11:11" x14ac:dyDescent="0.2">
      <c r="K9571" s="8"/>
    </row>
    <row r="9572" spans="11:11" x14ac:dyDescent="0.2">
      <c r="K9572" s="8"/>
    </row>
    <row r="9573" spans="11:11" x14ac:dyDescent="0.2">
      <c r="K9573" s="8"/>
    </row>
    <row r="9574" spans="11:11" x14ac:dyDescent="0.2">
      <c r="K9574" s="8"/>
    </row>
    <row r="9575" spans="11:11" x14ac:dyDescent="0.2">
      <c r="K9575" s="8"/>
    </row>
    <row r="9576" spans="11:11" x14ac:dyDescent="0.2">
      <c r="K9576" s="8"/>
    </row>
    <row r="9577" spans="11:11" x14ac:dyDescent="0.2">
      <c r="K9577" s="8"/>
    </row>
    <row r="9578" spans="11:11" x14ac:dyDescent="0.2">
      <c r="K9578" s="8"/>
    </row>
    <row r="9579" spans="11:11" x14ac:dyDescent="0.2">
      <c r="K9579" s="8"/>
    </row>
    <row r="9580" spans="11:11" x14ac:dyDescent="0.2">
      <c r="K9580" s="8"/>
    </row>
    <row r="9581" spans="11:11" x14ac:dyDescent="0.2">
      <c r="K9581" s="8"/>
    </row>
    <row r="9582" spans="11:11" x14ac:dyDescent="0.2">
      <c r="K9582" s="8"/>
    </row>
    <row r="9583" spans="11:11" x14ac:dyDescent="0.2">
      <c r="K9583" s="8"/>
    </row>
    <row r="9584" spans="11:11" x14ac:dyDescent="0.2">
      <c r="K9584" s="8"/>
    </row>
    <row r="9585" spans="11:11" x14ac:dyDescent="0.2">
      <c r="K9585" s="8"/>
    </row>
    <row r="9586" spans="11:11" x14ac:dyDescent="0.2">
      <c r="K9586" s="8"/>
    </row>
    <row r="9587" spans="11:11" x14ac:dyDescent="0.2">
      <c r="K9587" s="8"/>
    </row>
    <row r="9588" spans="11:11" x14ac:dyDescent="0.2">
      <c r="K9588" s="8"/>
    </row>
    <row r="9589" spans="11:11" x14ac:dyDescent="0.2">
      <c r="K9589" s="8"/>
    </row>
    <row r="9590" spans="11:11" x14ac:dyDescent="0.2">
      <c r="K9590" s="8"/>
    </row>
    <row r="9591" spans="11:11" x14ac:dyDescent="0.2">
      <c r="K9591" s="8"/>
    </row>
    <row r="9592" spans="11:11" x14ac:dyDescent="0.2">
      <c r="K9592" s="8"/>
    </row>
    <row r="9593" spans="11:11" x14ac:dyDescent="0.2">
      <c r="K9593" s="8"/>
    </row>
    <row r="9594" spans="11:11" x14ac:dyDescent="0.2">
      <c r="K9594" s="8"/>
    </row>
    <row r="9595" spans="11:11" x14ac:dyDescent="0.2">
      <c r="K9595" s="8"/>
    </row>
    <row r="9596" spans="11:11" x14ac:dyDescent="0.2">
      <c r="K9596" s="8"/>
    </row>
    <row r="9597" spans="11:11" x14ac:dyDescent="0.2">
      <c r="K9597" s="8"/>
    </row>
    <row r="9598" spans="11:11" x14ac:dyDescent="0.2">
      <c r="K9598" s="8"/>
    </row>
    <row r="9599" spans="11:11" x14ac:dyDescent="0.2">
      <c r="K9599" s="8"/>
    </row>
    <row r="9600" spans="11:11" x14ac:dyDescent="0.2">
      <c r="K9600" s="8"/>
    </row>
    <row r="9601" spans="11:11" x14ac:dyDescent="0.2">
      <c r="K9601" s="8"/>
    </row>
    <row r="9602" spans="11:11" x14ac:dyDescent="0.2">
      <c r="K9602" s="8"/>
    </row>
    <row r="9603" spans="11:11" x14ac:dyDescent="0.2">
      <c r="K9603" s="8"/>
    </row>
    <row r="9604" spans="11:11" x14ac:dyDescent="0.2">
      <c r="K9604" s="8"/>
    </row>
    <row r="9605" spans="11:11" x14ac:dyDescent="0.2">
      <c r="K9605" s="8"/>
    </row>
    <row r="9606" spans="11:11" x14ac:dyDescent="0.2">
      <c r="K9606" s="8"/>
    </row>
    <row r="9607" spans="11:11" x14ac:dyDescent="0.2">
      <c r="K9607" s="8"/>
    </row>
    <row r="9608" spans="11:11" x14ac:dyDescent="0.2">
      <c r="K9608" s="8"/>
    </row>
    <row r="9609" spans="11:11" x14ac:dyDescent="0.2">
      <c r="K9609" s="8"/>
    </row>
    <row r="9610" spans="11:11" x14ac:dyDescent="0.2">
      <c r="K9610" s="8"/>
    </row>
    <row r="9611" spans="11:11" x14ac:dyDescent="0.2">
      <c r="K9611" s="8"/>
    </row>
    <row r="9612" spans="11:11" x14ac:dyDescent="0.2">
      <c r="K9612" s="8"/>
    </row>
    <row r="9613" spans="11:11" x14ac:dyDescent="0.2">
      <c r="K9613" s="8"/>
    </row>
    <row r="9614" spans="11:11" x14ac:dyDescent="0.2">
      <c r="K9614" s="8"/>
    </row>
    <row r="9615" spans="11:11" x14ac:dyDescent="0.2">
      <c r="K9615" s="8"/>
    </row>
    <row r="9616" spans="11:11" x14ac:dyDescent="0.2">
      <c r="K9616" s="8"/>
    </row>
    <row r="9617" spans="11:11" x14ac:dyDescent="0.2">
      <c r="K9617" s="8"/>
    </row>
    <row r="9618" spans="11:11" x14ac:dyDescent="0.2">
      <c r="K9618" s="8"/>
    </row>
    <row r="9619" spans="11:11" x14ac:dyDescent="0.2">
      <c r="K9619" s="8"/>
    </row>
    <row r="9620" spans="11:11" x14ac:dyDescent="0.2">
      <c r="K9620" s="8"/>
    </row>
    <row r="9621" spans="11:11" x14ac:dyDescent="0.2">
      <c r="K9621" s="8"/>
    </row>
    <row r="9622" spans="11:11" x14ac:dyDescent="0.2">
      <c r="K9622" s="8"/>
    </row>
    <row r="9623" spans="11:11" x14ac:dyDescent="0.2">
      <c r="K9623" s="8"/>
    </row>
    <row r="9624" spans="11:11" x14ac:dyDescent="0.2">
      <c r="K9624" s="8"/>
    </row>
    <row r="9625" spans="11:11" x14ac:dyDescent="0.2">
      <c r="K9625" s="8"/>
    </row>
    <row r="9626" spans="11:11" x14ac:dyDescent="0.2">
      <c r="K9626" s="8"/>
    </row>
    <row r="9627" spans="11:11" x14ac:dyDescent="0.2">
      <c r="K9627" s="8"/>
    </row>
    <row r="9628" spans="11:11" x14ac:dyDescent="0.2">
      <c r="K9628" s="8"/>
    </row>
    <row r="9629" spans="11:11" x14ac:dyDescent="0.2">
      <c r="K9629" s="8"/>
    </row>
    <row r="9630" spans="11:11" x14ac:dyDescent="0.2">
      <c r="K9630" s="8"/>
    </row>
    <row r="9631" spans="11:11" x14ac:dyDescent="0.2">
      <c r="K9631" s="8"/>
    </row>
    <row r="9632" spans="11:11" x14ac:dyDescent="0.2">
      <c r="K9632" s="8"/>
    </row>
    <row r="9633" spans="11:11" x14ac:dyDescent="0.2">
      <c r="K9633" s="8"/>
    </row>
    <row r="9634" spans="11:11" x14ac:dyDescent="0.2">
      <c r="K9634" s="8"/>
    </row>
    <row r="9635" spans="11:11" x14ac:dyDescent="0.2">
      <c r="K9635" s="8"/>
    </row>
    <row r="9636" spans="11:11" x14ac:dyDescent="0.2">
      <c r="K9636" s="8"/>
    </row>
    <row r="9637" spans="11:11" x14ac:dyDescent="0.2">
      <c r="K9637" s="8"/>
    </row>
    <row r="9638" spans="11:11" x14ac:dyDescent="0.2">
      <c r="K9638" s="8"/>
    </row>
    <row r="9639" spans="11:11" x14ac:dyDescent="0.2">
      <c r="K9639" s="8"/>
    </row>
    <row r="9640" spans="11:11" x14ac:dyDescent="0.2">
      <c r="K9640" s="8"/>
    </row>
    <row r="9641" spans="11:11" x14ac:dyDescent="0.2">
      <c r="K9641" s="8"/>
    </row>
    <row r="9642" spans="11:11" x14ac:dyDescent="0.2">
      <c r="K9642" s="8"/>
    </row>
    <row r="9643" spans="11:11" x14ac:dyDescent="0.2">
      <c r="K9643" s="8"/>
    </row>
    <row r="9644" spans="11:11" x14ac:dyDescent="0.2">
      <c r="K9644" s="8"/>
    </row>
    <row r="9645" spans="11:11" x14ac:dyDescent="0.2">
      <c r="K9645" s="8"/>
    </row>
    <row r="9646" spans="11:11" x14ac:dyDescent="0.2">
      <c r="K9646" s="8"/>
    </row>
    <row r="9647" spans="11:11" x14ac:dyDescent="0.2">
      <c r="K9647" s="8"/>
    </row>
    <row r="9648" spans="11:11" x14ac:dyDescent="0.2">
      <c r="K9648" s="8"/>
    </row>
    <row r="9649" spans="11:11" x14ac:dyDescent="0.2">
      <c r="K9649" s="8"/>
    </row>
    <row r="9650" spans="11:11" x14ac:dyDescent="0.2">
      <c r="K9650" s="8"/>
    </row>
    <row r="9651" spans="11:11" x14ac:dyDescent="0.2">
      <c r="K9651" s="8"/>
    </row>
    <row r="9652" spans="11:11" x14ac:dyDescent="0.2">
      <c r="K9652" s="8"/>
    </row>
    <row r="9653" spans="11:11" x14ac:dyDescent="0.2">
      <c r="K9653" s="8"/>
    </row>
    <row r="9654" spans="11:11" x14ac:dyDescent="0.2">
      <c r="K9654" s="8"/>
    </row>
    <row r="9655" spans="11:11" x14ac:dyDescent="0.2">
      <c r="K9655" s="8"/>
    </row>
    <row r="9656" spans="11:11" x14ac:dyDescent="0.2">
      <c r="K9656" s="8"/>
    </row>
    <row r="9657" spans="11:11" x14ac:dyDescent="0.2">
      <c r="K9657" s="8"/>
    </row>
    <row r="9658" spans="11:11" x14ac:dyDescent="0.2">
      <c r="K9658" s="8"/>
    </row>
    <row r="9659" spans="11:11" x14ac:dyDescent="0.2">
      <c r="K9659" s="8"/>
    </row>
    <row r="9660" spans="11:11" x14ac:dyDescent="0.2">
      <c r="K9660" s="8"/>
    </row>
    <row r="9661" spans="11:11" x14ac:dyDescent="0.2">
      <c r="K9661" s="8"/>
    </row>
    <row r="9662" spans="11:11" x14ac:dyDescent="0.2">
      <c r="K9662" s="8"/>
    </row>
    <row r="9663" spans="11:11" x14ac:dyDescent="0.2">
      <c r="K9663" s="8"/>
    </row>
    <row r="9664" spans="11:11" x14ac:dyDescent="0.2">
      <c r="K9664" s="8"/>
    </row>
    <row r="9665" spans="11:11" x14ac:dyDescent="0.2">
      <c r="K9665" s="8"/>
    </row>
    <row r="9666" spans="11:11" x14ac:dyDescent="0.2">
      <c r="K9666" s="8"/>
    </row>
    <row r="9667" spans="11:11" x14ac:dyDescent="0.2">
      <c r="K9667" s="8"/>
    </row>
    <row r="9668" spans="11:11" x14ac:dyDescent="0.2">
      <c r="K9668" s="8"/>
    </row>
    <row r="9669" spans="11:11" x14ac:dyDescent="0.2">
      <c r="K9669" s="8"/>
    </row>
    <row r="9670" spans="11:11" x14ac:dyDescent="0.2">
      <c r="K9670" s="8"/>
    </row>
    <row r="9671" spans="11:11" x14ac:dyDescent="0.2">
      <c r="K9671" s="8"/>
    </row>
    <row r="9672" spans="11:11" x14ac:dyDescent="0.2">
      <c r="K9672" s="8"/>
    </row>
    <row r="9673" spans="11:11" x14ac:dyDescent="0.2">
      <c r="K9673" s="8"/>
    </row>
    <row r="9674" spans="11:11" x14ac:dyDescent="0.2">
      <c r="K9674" s="8"/>
    </row>
    <row r="9675" spans="11:11" x14ac:dyDescent="0.2">
      <c r="K9675" s="8"/>
    </row>
    <row r="9676" spans="11:11" x14ac:dyDescent="0.2">
      <c r="K9676" s="8"/>
    </row>
    <row r="9677" spans="11:11" x14ac:dyDescent="0.2">
      <c r="K9677" s="8"/>
    </row>
    <row r="9678" spans="11:11" x14ac:dyDescent="0.2">
      <c r="K9678" s="8"/>
    </row>
    <row r="9679" spans="11:11" x14ac:dyDescent="0.2">
      <c r="K9679" s="8"/>
    </row>
    <row r="9680" spans="11:11" x14ac:dyDescent="0.2">
      <c r="K9680" s="8"/>
    </row>
    <row r="9681" spans="11:11" x14ac:dyDescent="0.2">
      <c r="K9681" s="8"/>
    </row>
    <row r="9682" spans="11:11" x14ac:dyDescent="0.2">
      <c r="K9682" s="8"/>
    </row>
    <row r="9683" spans="11:11" x14ac:dyDescent="0.2">
      <c r="K9683" s="8"/>
    </row>
    <row r="9684" spans="11:11" x14ac:dyDescent="0.2">
      <c r="K9684" s="8"/>
    </row>
    <row r="9685" spans="11:11" x14ac:dyDescent="0.2">
      <c r="K9685" s="8"/>
    </row>
    <row r="9686" spans="11:11" x14ac:dyDescent="0.2">
      <c r="K9686" s="8"/>
    </row>
    <row r="9687" spans="11:11" x14ac:dyDescent="0.2">
      <c r="K9687" s="8"/>
    </row>
    <row r="9688" spans="11:11" x14ac:dyDescent="0.2">
      <c r="K9688" s="8"/>
    </row>
    <row r="9689" spans="11:11" x14ac:dyDescent="0.2">
      <c r="K9689" s="8"/>
    </row>
    <row r="9690" spans="11:11" x14ac:dyDescent="0.2">
      <c r="K9690" s="8"/>
    </row>
    <row r="9691" spans="11:11" x14ac:dyDescent="0.2">
      <c r="K9691" s="8"/>
    </row>
    <row r="9692" spans="11:11" x14ac:dyDescent="0.2">
      <c r="K9692" s="8"/>
    </row>
    <row r="9693" spans="11:11" x14ac:dyDescent="0.2">
      <c r="K9693" s="8"/>
    </row>
    <row r="9694" spans="11:11" x14ac:dyDescent="0.2">
      <c r="K9694" s="8"/>
    </row>
    <row r="9695" spans="11:11" x14ac:dyDescent="0.2">
      <c r="K9695" s="8"/>
    </row>
    <row r="9696" spans="11:11" x14ac:dyDescent="0.2">
      <c r="K9696" s="8"/>
    </row>
    <row r="9697" spans="11:11" x14ac:dyDescent="0.2">
      <c r="K9697" s="8"/>
    </row>
    <row r="9698" spans="11:11" x14ac:dyDescent="0.2">
      <c r="K9698" s="8"/>
    </row>
    <row r="9699" spans="11:11" x14ac:dyDescent="0.2">
      <c r="K9699" s="8"/>
    </row>
    <row r="9700" spans="11:11" x14ac:dyDescent="0.2">
      <c r="K9700" s="8"/>
    </row>
    <row r="9701" spans="11:11" x14ac:dyDescent="0.2">
      <c r="K9701" s="8"/>
    </row>
    <row r="9702" spans="11:11" x14ac:dyDescent="0.2">
      <c r="K9702" s="8"/>
    </row>
    <row r="9703" spans="11:11" x14ac:dyDescent="0.2">
      <c r="K9703" s="8"/>
    </row>
    <row r="9704" spans="11:11" x14ac:dyDescent="0.2">
      <c r="K9704" s="8"/>
    </row>
    <row r="9705" spans="11:11" x14ac:dyDescent="0.2">
      <c r="K9705" s="8"/>
    </row>
    <row r="9706" spans="11:11" x14ac:dyDescent="0.2">
      <c r="K9706" s="8"/>
    </row>
    <row r="9707" spans="11:11" x14ac:dyDescent="0.2">
      <c r="K9707" s="8"/>
    </row>
    <row r="9708" spans="11:11" x14ac:dyDescent="0.2">
      <c r="K9708" s="8"/>
    </row>
    <row r="9709" spans="11:11" x14ac:dyDescent="0.2">
      <c r="K9709" s="8"/>
    </row>
    <row r="9710" spans="11:11" x14ac:dyDescent="0.2">
      <c r="K9710" s="8"/>
    </row>
    <row r="9711" spans="11:11" x14ac:dyDescent="0.2">
      <c r="K9711" s="8"/>
    </row>
    <row r="9712" spans="11:11" x14ac:dyDescent="0.2">
      <c r="K9712" s="8"/>
    </row>
    <row r="9713" spans="11:11" x14ac:dyDescent="0.2">
      <c r="K9713" s="8"/>
    </row>
    <row r="9714" spans="11:11" x14ac:dyDescent="0.2">
      <c r="K9714" s="8"/>
    </row>
    <row r="9715" spans="11:11" x14ac:dyDescent="0.2">
      <c r="K9715" s="8"/>
    </row>
    <row r="9716" spans="11:11" x14ac:dyDescent="0.2">
      <c r="K9716" s="8"/>
    </row>
    <row r="9717" spans="11:11" x14ac:dyDescent="0.2">
      <c r="K9717" s="8"/>
    </row>
    <row r="9718" spans="11:11" x14ac:dyDescent="0.2">
      <c r="K9718" s="8"/>
    </row>
    <row r="9719" spans="11:11" x14ac:dyDescent="0.2">
      <c r="K9719" s="8"/>
    </row>
    <row r="9720" spans="11:11" x14ac:dyDescent="0.2">
      <c r="K9720" s="8"/>
    </row>
    <row r="9721" spans="11:11" x14ac:dyDescent="0.2">
      <c r="K9721" s="8"/>
    </row>
    <row r="9722" spans="11:11" x14ac:dyDescent="0.2">
      <c r="K9722" s="8"/>
    </row>
    <row r="9723" spans="11:11" x14ac:dyDescent="0.2">
      <c r="K9723" s="8"/>
    </row>
    <row r="9724" spans="11:11" x14ac:dyDescent="0.2">
      <c r="K9724" s="8"/>
    </row>
    <row r="9725" spans="11:11" x14ac:dyDescent="0.2">
      <c r="K9725" s="8"/>
    </row>
    <row r="9726" spans="11:11" x14ac:dyDescent="0.2">
      <c r="K9726" s="8"/>
    </row>
    <row r="9727" spans="11:11" x14ac:dyDescent="0.2">
      <c r="K9727" s="8"/>
    </row>
    <row r="9728" spans="11:11" x14ac:dyDescent="0.2">
      <c r="K9728" s="8"/>
    </row>
    <row r="9729" spans="11:11" x14ac:dyDescent="0.2">
      <c r="K9729" s="8"/>
    </row>
    <row r="9730" spans="11:11" x14ac:dyDescent="0.2">
      <c r="K9730" s="8"/>
    </row>
    <row r="9731" spans="11:11" x14ac:dyDescent="0.2">
      <c r="K9731" s="8"/>
    </row>
    <row r="9732" spans="11:11" x14ac:dyDescent="0.2">
      <c r="K9732" s="8"/>
    </row>
    <row r="9733" spans="11:11" x14ac:dyDescent="0.2">
      <c r="K9733" s="8"/>
    </row>
    <row r="9734" spans="11:11" x14ac:dyDescent="0.2">
      <c r="K9734" s="8"/>
    </row>
    <row r="9735" spans="11:11" x14ac:dyDescent="0.2">
      <c r="K9735" s="8"/>
    </row>
    <row r="9736" spans="11:11" x14ac:dyDescent="0.2">
      <c r="K9736" s="8"/>
    </row>
    <row r="9737" spans="11:11" x14ac:dyDescent="0.2">
      <c r="K9737" s="8"/>
    </row>
    <row r="9738" spans="11:11" x14ac:dyDescent="0.2">
      <c r="K9738" s="8"/>
    </row>
    <row r="9739" spans="11:11" x14ac:dyDescent="0.2">
      <c r="K9739" s="8"/>
    </row>
    <row r="9740" spans="11:11" x14ac:dyDescent="0.2">
      <c r="K9740" s="8"/>
    </row>
    <row r="9741" spans="11:11" x14ac:dyDescent="0.2">
      <c r="K9741" s="8"/>
    </row>
    <row r="9742" spans="11:11" x14ac:dyDescent="0.2">
      <c r="K9742" s="8"/>
    </row>
    <row r="9743" spans="11:11" x14ac:dyDescent="0.2">
      <c r="K9743" s="8"/>
    </row>
    <row r="9744" spans="11:11" x14ac:dyDescent="0.2">
      <c r="K9744" s="8"/>
    </row>
    <row r="9745" spans="11:11" x14ac:dyDescent="0.2">
      <c r="K9745" s="8"/>
    </row>
    <row r="9746" spans="11:11" x14ac:dyDescent="0.2">
      <c r="K9746" s="8"/>
    </row>
    <row r="9747" spans="11:11" x14ac:dyDescent="0.2">
      <c r="K9747" s="8"/>
    </row>
    <row r="9748" spans="11:11" x14ac:dyDescent="0.2">
      <c r="K9748" s="8"/>
    </row>
    <row r="9749" spans="11:11" x14ac:dyDescent="0.2">
      <c r="K9749" s="8"/>
    </row>
    <row r="9750" spans="11:11" x14ac:dyDescent="0.2">
      <c r="K9750" s="8"/>
    </row>
    <row r="9751" spans="11:11" x14ac:dyDescent="0.2">
      <c r="K9751" s="8"/>
    </row>
    <row r="9752" spans="11:11" x14ac:dyDescent="0.2">
      <c r="K9752" s="8"/>
    </row>
    <row r="9753" spans="11:11" x14ac:dyDescent="0.2">
      <c r="K9753" s="8"/>
    </row>
    <row r="9754" spans="11:11" x14ac:dyDescent="0.2">
      <c r="K9754" s="8"/>
    </row>
    <row r="9755" spans="11:11" x14ac:dyDescent="0.2">
      <c r="K9755" s="8"/>
    </row>
    <row r="9756" spans="11:11" x14ac:dyDescent="0.2">
      <c r="K9756" s="8"/>
    </row>
    <row r="9757" spans="11:11" x14ac:dyDescent="0.2">
      <c r="K9757" s="8"/>
    </row>
    <row r="9758" spans="11:11" x14ac:dyDescent="0.2">
      <c r="K9758" s="8"/>
    </row>
    <row r="9759" spans="11:11" x14ac:dyDescent="0.2">
      <c r="K9759" s="8"/>
    </row>
    <row r="9760" spans="11:11" x14ac:dyDescent="0.2">
      <c r="K9760" s="8"/>
    </row>
    <row r="9761" spans="11:11" x14ac:dyDescent="0.2">
      <c r="K9761" s="8"/>
    </row>
    <row r="9762" spans="11:11" x14ac:dyDescent="0.2">
      <c r="K9762" s="8"/>
    </row>
    <row r="9763" spans="11:11" x14ac:dyDescent="0.2">
      <c r="K9763" s="8"/>
    </row>
    <row r="9764" spans="11:11" x14ac:dyDescent="0.2">
      <c r="K9764" s="8"/>
    </row>
    <row r="9765" spans="11:11" x14ac:dyDescent="0.2">
      <c r="K9765" s="8"/>
    </row>
    <row r="9766" spans="11:11" x14ac:dyDescent="0.2">
      <c r="K9766" s="8"/>
    </row>
    <row r="9767" spans="11:11" x14ac:dyDescent="0.2">
      <c r="K9767" s="8"/>
    </row>
    <row r="9768" spans="11:11" x14ac:dyDescent="0.2">
      <c r="K9768" s="8"/>
    </row>
    <row r="9769" spans="11:11" x14ac:dyDescent="0.2">
      <c r="K9769" s="8"/>
    </row>
    <row r="9770" spans="11:11" x14ac:dyDescent="0.2">
      <c r="K9770" s="8"/>
    </row>
    <row r="9771" spans="11:11" x14ac:dyDescent="0.2">
      <c r="K9771" s="8"/>
    </row>
    <row r="9772" spans="11:11" x14ac:dyDescent="0.2">
      <c r="K9772" s="8"/>
    </row>
    <row r="9773" spans="11:11" x14ac:dyDescent="0.2">
      <c r="K9773" s="8"/>
    </row>
    <row r="9774" spans="11:11" x14ac:dyDescent="0.2">
      <c r="K9774" s="8"/>
    </row>
    <row r="9775" spans="11:11" x14ac:dyDescent="0.2">
      <c r="K9775" s="8"/>
    </row>
    <row r="9776" spans="11:11" x14ac:dyDescent="0.2">
      <c r="K9776" s="8"/>
    </row>
    <row r="9777" spans="11:11" x14ac:dyDescent="0.2">
      <c r="K9777" s="8"/>
    </row>
    <row r="9778" spans="11:11" x14ac:dyDescent="0.2">
      <c r="K9778" s="8"/>
    </row>
    <row r="9779" spans="11:11" x14ac:dyDescent="0.2">
      <c r="K9779" s="8"/>
    </row>
    <row r="9780" spans="11:11" x14ac:dyDescent="0.2">
      <c r="K9780" s="8"/>
    </row>
    <row r="9781" spans="11:11" x14ac:dyDescent="0.2">
      <c r="K9781" s="8"/>
    </row>
    <row r="9782" spans="11:11" x14ac:dyDescent="0.2">
      <c r="K9782" s="8"/>
    </row>
    <row r="9783" spans="11:11" x14ac:dyDescent="0.2">
      <c r="K9783" s="8"/>
    </row>
    <row r="9784" spans="11:11" x14ac:dyDescent="0.2">
      <c r="K9784" s="8"/>
    </row>
    <row r="9785" spans="11:11" x14ac:dyDescent="0.2">
      <c r="K9785" s="8"/>
    </row>
    <row r="9786" spans="11:11" x14ac:dyDescent="0.2">
      <c r="K9786" s="8"/>
    </row>
    <row r="9787" spans="11:11" x14ac:dyDescent="0.2">
      <c r="K9787" s="8"/>
    </row>
    <row r="9788" spans="11:11" x14ac:dyDescent="0.2">
      <c r="K9788" s="8"/>
    </row>
    <row r="9789" spans="11:11" x14ac:dyDescent="0.2">
      <c r="K9789" s="8"/>
    </row>
    <row r="9790" spans="11:11" x14ac:dyDescent="0.2">
      <c r="K9790" s="8"/>
    </row>
    <row r="9791" spans="11:11" x14ac:dyDescent="0.2">
      <c r="K9791" s="8"/>
    </row>
    <row r="9792" spans="11:11" x14ac:dyDescent="0.2">
      <c r="K9792" s="8"/>
    </row>
    <row r="9793" spans="11:11" x14ac:dyDescent="0.2">
      <c r="K9793" s="8"/>
    </row>
    <row r="9794" spans="11:11" x14ac:dyDescent="0.2">
      <c r="K9794" s="8"/>
    </row>
    <row r="9795" spans="11:11" x14ac:dyDescent="0.2">
      <c r="K9795" s="8"/>
    </row>
    <row r="9796" spans="11:11" x14ac:dyDescent="0.2">
      <c r="K9796" s="8"/>
    </row>
    <row r="9797" spans="11:11" x14ac:dyDescent="0.2">
      <c r="K9797" s="8"/>
    </row>
    <row r="9798" spans="11:11" x14ac:dyDescent="0.2">
      <c r="K9798" s="8"/>
    </row>
    <row r="9799" spans="11:11" x14ac:dyDescent="0.2">
      <c r="K9799" s="8"/>
    </row>
    <row r="9800" spans="11:11" x14ac:dyDescent="0.2">
      <c r="K9800" s="8"/>
    </row>
    <row r="9801" spans="11:11" x14ac:dyDescent="0.2">
      <c r="K9801" s="8"/>
    </row>
    <row r="9802" spans="11:11" x14ac:dyDescent="0.2">
      <c r="K9802" s="8"/>
    </row>
    <row r="9803" spans="11:11" x14ac:dyDescent="0.2">
      <c r="K9803" s="8"/>
    </row>
    <row r="9804" spans="11:11" x14ac:dyDescent="0.2">
      <c r="K9804" s="8"/>
    </row>
    <row r="9805" spans="11:11" x14ac:dyDescent="0.2">
      <c r="K9805" s="8"/>
    </row>
    <row r="9806" spans="11:11" x14ac:dyDescent="0.2">
      <c r="K9806" s="8"/>
    </row>
    <row r="9807" spans="11:11" x14ac:dyDescent="0.2">
      <c r="K9807" s="8"/>
    </row>
    <row r="9808" spans="11:11" x14ac:dyDescent="0.2">
      <c r="K9808" s="8"/>
    </row>
    <row r="9809" spans="11:11" x14ac:dyDescent="0.2">
      <c r="K9809" s="8"/>
    </row>
    <row r="9810" spans="11:11" x14ac:dyDescent="0.2">
      <c r="K9810" s="8"/>
    </row>
    <row r="9811" spans="11:11" x14ac:dyDescent="0.2">
      <c r="K9811" s="8"/>
    </row>
    <row r="9812" spans="11:11" x14ac:dyDescent="0.2">
      <c r="K9812" s="8"/>
    </row>
    <row r="9813" spans="11:11" x14ac:dyDescent="0.2">
      <c r="K9813" s="8"/>
    </row>
    <row r="9814" spans="11:11" x14ac:dyDescent="0.2">
      <c r="K9814" s="8"/>
    </row>
    <row r="9815" spans="11:11" x14ac:dyDescent="0.2">
      <c r="K9815" s="8"/>
    </row>
    <row r="9816" spans="11:11" x14ac:dyDescent="0.2">
      <c r="K9816" s="8"/>
    </row>
    <row r="9817" spans="11:11" x14ac:dyDescent="0.2">
      <c r="K9817" s="8"/>
    </row>
    <row r="9818" spans="11:11" x14ac:dyDescent="0.2">
      <c r="K9818" s="8"/>
    </row>
    <row r="9819" spans="11:11" x14ac:dyDescent="0.2">
      <c r="K9819" s="8"/>
    </row>
    <row r="9820" spans="11:11" x14ac:dyDescent="0.2">
      <c r="K9820" s="8"/>
    </row>
    <row r="9821" spans="11:11" x14ac:dyDescent="0.2">
      <c r="K9821" s="8"/>
    </row>
    <row r="9822" spans="11:11" x14ac:dyDescent="0.2">
      <c r="K9822" s="8"/>
    </row>
    <row r="9823" spans="11:11" x14ac:dyDescent="0.2">
      <c r="K9823" s="8"/>
    </row>
    <row r="9824" spans="11:11" x14ac:dyDescent="0.2">
      <c r="K9824" s="8"/>
    </row>
    <row r="9825" spans="11:11" x14ac:dyDescent="0.2">
      <c r="K9825" s="8"/>
    </row>
    <row r="9826" spans="11:11" x14ac:dyDescent="0.2">
      <c r="K9826" s="8"/>
    </row>
    <row r="9827" spans="11:11" x14ac:dyDescent="0.2">
      <c r="K9827" s="8"/>
    </row>
    <row r="9828" spans="11:11" x14ac:dyDescent="0.2">
      <c r="K9828" s="8"/>
    </row>
    <row r="9829" spans="11:11" x14ac:dyDescent="0.2">
      <c r="K9829" s="8"/>
    </row>
    <row r="9830" spans="11:11" x14ac:dyDescent="0.2">
      <c r="K9830" s="8"/>
    </row>
    <row r="9831" spans="11:11" x14ac:dyDescent="0.2">
      <c r="K9831" s="8"/>
    </row>
    <row r="9832" spans="11:11" x14ac:dyDescent="0.2">
      <c r="K9832" s="8"/>
    </row>
    <row r="9833" spans="11:11" x14ac:dyDescent="0.2">
      <c r="K9833" s="8"/>
    </row>
    <row r="9834" spans="11:11" x14ac:dyDescent="0.2">
      <c r="K9834" s="8"/>
    </row>
    <row r="9835" spans="11:11" x14ac:dyDescent="0.2">
      <c r="K9835" s="8"/>
    </row>
    <row r="9836" spans="11:11" x14ac:dyDescent="0.2">
      <c r="K9836" s="8"/>
    </row>
    <row r="9837" spans="11:11" x14ac:dyDescent="0.2">
      <c r="K9837" s="8"/>
    </row>
    <row r="9838" spans="11:11" x14ac:dyDescent="0.2">
      <c r="K9838" s="8"/>
    </row>
    <row r="9839" spans="11:11" x14ac:dyDescent="0.2">
      <c r="K9839" s="8"/>
    </row>
    <row r="9840" spans="11:11" x14ac:dyDescent="0.2">
      <c r="K9840" s="8"/>
    </row>
    <row r="9841" spans="11:11" x14ac:dyDescent="0.2">
      <c r="K9841" s="8"/>
    </row>
    <row r="9842" spans="11:11" x14ac:dyDescent="0.2">
      <c r="K9842" s="8"/>
    </row>
    <row r="9843" spans="11:11" x14ac:dyDescent="0.2">
      <c r="K9843" s="8"/>
    </row>
    <row r="9844" spans="11:11" x14ac:dyDescent="0.2">
      <c r="K9844" s="8"/>
    </row>
    <row r="9845" spans="11:11" x14ac:dyDescent="0.2">
      <c r="K9845" s="8"/>
    </row>
    <row r="9846" spans="11:11" x14ac:dyDescent="0.2">
      <c r="K9846" s="8"/>
    </row>
    <row r="9847" spans="11:11" x14ac:dyDescent="0.2">
      <c r="K9847" s="8"/>
    </row>
    <row r="9848" spans="11:11" x14ac:dyDescent="0.2">
      <c r="K9848" s="8"/>
    </row>
    <row r="9849" spans="11:11" x14ac:dyDescent="0.2">
      <c r="K9849" s="8"/>
    </row>
    <row r="9850" spans="11:11" x14ac:dyDescent="0.2">
      <c r="K9850" s="8"/>
    </row>
    <row r="9851" spans="11:11" x14ac:dyDescent="0.2">
      <c r="K9851" s="8"/>
    </row>
    <row r="9852" spans="11:11" x14ac:dyDescent="0.2">
      <c r="K9852" s="8"/>
    </row>
    <row r="9853" spans="11:11" x14ac:dyDescent="0.2">
      <c r="K9853" s="8"/>
    </row>
    <row r="9854" spans="11:11" x14ac:dyDescent="0.2">
      <c r="K9854" s="8"/>
    </row>
    <row r="9855" spans="11:11" x14ac:dyDescent="0.2">
      <c r="K9855" s="8"/>
    </row>
    <row r="9856" spans="11:11" x14ac:dyDescent="0.2">
      <c r="K9856" s="8"/>
    </row>
    <row r="9857" spans="11:11" x14ac:dyDescent="0.2">
      <c r="K9857" s="8"/>
    </row>
    <row r="9858" spans="11:11" x14ac:dyDescent="0.2">
      <c r="K9858" s="8"/>
    </row>
    <row r="9859" spans="11:11" x14ac:dyDescent="0.2">
      <c r="K9859" s="8"/>
    </row>
    <row r="9860" spans="11:11" x14ac:dyDescent="0.2">
      <c r="K9860" s="8"/>
    </row>
    <row r="9861" spans="11:11" x14ac:dyDescent="0.2">
      <c r="K9861" s="8"/>
    </row>
    <row r="9862" spans="11:11" x14ac:dyDescent="0.2">
      <c r="K9862" s="8"/>
    </row>
    <row r="9863" spans="11:11" x14ac:dyDescent="0.2">
      <c r="K9863" s="8"/>
    </row>
    <row r="9864" spans="11:11" x14ac:dyDescent="0.2">
      <c r="K9864" s="8"/>
    </row>
    <row r="9865" spans="11:11" x14ac:dyDescent="0.2">
      <c r="K9865" s="8"/>
    </row>
    <row r="9866" spans="11:11" x14ac:dyDescent="0.2">
      <c r="K9866" s="8"/>
    </row>
    <row r="9867" spans="11:11" x14ac:dyDescent="0.2">
      <c r="K9867" s="8"/>
    </row>
    <row r="9868" spans="11:11" x14ac:dyDescent="0.2">
      <c r="K9868" s="8"/>
    </row>
    <row r="9869" spans="11:11" x14ac:dyDescent="0.2">
      <c r="K9869" s="8"/>
    </row>
    <row r="9870" spans="11:11" x14ac:dyDescent="0.2">
      <c r="K9870" s="8"/>
    </row>
    <row r="9871" spans="11:11" x14ac:dyDescent="0.2">
      <c r="K9871" s="8"/>
    </row>
    <row r="9872" spans="11:11" x14ac:dyDescent="0.2">
      <c r="K9872" s="8"/>
    </row>
    <row r="9873" spans="11:11" x14ac:dyDescent="0.2">
      <c r="K9873" s="8"/>
    </row>
    <row r="9874" spans="11:11" x14ac:dyDescent="0.2">
      <c r="K9874" s="8"/>
    </row>
    <row r="9875" spans="11:11" x14ac:dyDescent="0.2">
      <c r="K9875" s="8"/>
    </row>
    <row r="9876" spans="11:11" x14ac:dyDescent="0.2">
      <c r="K9876" s="8"/>
    </row>
    <row r="9877" spans="11:11" x14ac:dyDescent="0.2">
      <c r="K9877" s="8"/>
    </row>
    <row r="9878" spans="11:11" x14ac:dyDescent="0.2">
      <c r="K9878" s="8"/>
    </row>
    <row r="9879" spans="11:11" x14ac:dyDescent="0.2">
      <c r="K9879" s="8"/>
    </row>
    <row r="9880" spans="11:11" x14ac:dyDescent="0.2">
      <c r="K9880" s="8"/>
    </row>
    <row r="9881" spans="11:11" x14ac:dyDescent="0.2">
      <c r="K9881" s="8"/>
    </row>
    <row r="9882" spans="11:11" x14ac:dyDescent="0.2">
      <c r="K9882" s="8"/>
    </row>
    <row r="9883" spans="11:11" x14ac:dyDescent="0.2">
      <c r="K9883" s="8"/>
    </row>
    <row r="9884" spans="11:11" x14ac:dyDescent="0.2">
      <c r="K9884" s="8"/>
    </row>
    <row r="9885" spans="11:11" x14ac:dyDescent="0.2">
      <c r="K9885" s="8"/>
    </row>
    <row r="9886" spans="11:11" x14ac:dyDescent="0.2">
      <c r="K9886" s="8"/>
    </row>
    <row r="9887" spans="11:11" x14ac:dyDescent="0.2">
      <c r="K9887" s="8"/>
    </row>
    <row r="9888" spans="11:11" x14ac:dyDescent="0.2">
      <c r="K9888" s="8"/>
    </row>
    <row r="9889" spans="11:11" x14ac:dyDescent="0.2">
      <c r="K9889" s="8"/>
    </row>
    <row r="9890" spans="11:11" x14ac:dyDescent="0.2">
      <c r="K9890" s="8"/>
    </row>
    <row r="9891" spans="11:11" x14ac:dyDescent="0.2">
      <c r="K9891" s="8"/>
    </row>
    <row r="9892" spans="11:11" x14ac:dyDescent="0.2">
      <c r="K9892" s="8"/>
    </row>
    <row r="9893" spans="11:11" x14ac:dyDescent="0.2">
      <c r="K9893" s="8"/>
    </row>
    <row r="9894" spans="11:11" x14ac:dyDescent="0.2">
      <c r="K9894" s="8"/>
    </row>
    <row r="9895" spans="11:11" x14ac:dyDescent="0.2">
      <c r="K9895" s="8"/>
    </row>
    <row r="9896" spans="11:11" x14ac:dyDescent="0.2">
      <c r="K9896" s="8"/>
    </row>
    <row r="9897" spans="11:11" x14ac:dyDescent="0.2">
      <c r="K9897" s="8"/>
    </row>
    <row r="9898" spans="11:11" x14ac:dyDescent="0.2">
      <c r="K9898" s="8"/>
    </row>
    <row r="9899" spans="11:11" x14ac:dyDescent="0.2">
      <c r="K9899" s="8"/>
    </row>
    <row r="9900" spans="11:11" x14ac:dyDescent="0.2">
      <c r="K9900" s="8"/>
    </row>
    <row r="9901" spans="11:11" x14ac:dyDescent="0.2">
      <c r="K9901" s="8"/>
    </row>
    <row r="9902" spans="11:11" x14ac:dyDescent="0.2">
      <c r="K9902" s="8"/>
    </row>
    <row r="9903" spans="11:11" x14ac:dyDescent="0.2">
      <c r="K9903" s="8"/>
    </row>
    <row r="9904" spans="11:11" x14ac:dyDescent="0.2">
      <c r="K9904" s="8"/>
    </row>
    <row r="9905" spans="11:11" x14ac:dyDescent="0.2">
      <c r="K9905" s="8"/>
    </row>
    <row r="9906" spans="11:11" x14ac:dyDescent="0.2">
      <c r="K9906" s="8"/>
    </row>
    <row r="9907" spans="11:11" x14ac:dyDescent="0.2">
      <c r="K9907" s="8"/>
    </row>
    <row r="9908" spans="11:11" x14ac:dyDescent="0.2">
      <c r="K9908" s="8"/>
    </row>
    <row r="9909" spans="11:11" x14ac:dyDescent="0.2">
      <c r="K9909" s="8"/>
    </row>
    <row r="9910" spans="11:11" x14ac:dyDescent="0.2">
      <c r="K9910" s="8"/>
    </row>
    <row r="9911" spans="11:11" x14ac:dyDescent="0.2">
      <c r="K9911" s="8"/>
    </row>
    <row r="9912" spans="11:11" x14ac:dyDescent="0.2">
      <c r="K9912" s="8"/>
    </row>
    <row r="9913" spans="11:11" x14ac:dyDescent="0.2">
      <c r="K9913" s="8"/>
    </row>
    <row r="9914" spans="11:11" x14ac:dyDescent="0.2">
      <c r="K9914" s="8"/>
    </row>
    <row r="9915" spans="11:11" x14ac:dyDescent="0.2">
      <c r="K9915" s="8"/>
    </row>
    <row r="9916" spans="11:11" x14ac:dyDescent="0.2">
      <c r="K9916" s="8"/>
    </row>
    <row r="9917" spans="11:11" x14ac:dyDescent="0.2">
      <c r="K9917" s="8"/>
    </row>
    <row r="9918" spans="11:11" x14ac:dyDescent="0.2">
      <c r="K9918" s="8"/>
    </row>
    <row r="9919" spans="11:11" x14ac:dyDescent="0.2">
      <c r="K9919" s="8"/>
    </row>
    <row r="9920" spans="11:11" x14ac:dyDescent="0.2">
      <c r="K9920" s="8"/>
    </row>
    <row r="9921" spans="11:11" x14ac:dyDescent="0.2">
      <c r="K9921" s="8"/>
    </row>
    <row r="9922" spans="11:11" x14ac:dyDescent="0.2">
      <c r="K9922" s="8"/>
    </row>
    <row r="9923" spans="11:11" x14ac:dyDescent="0.2">
      <c r="K9923" s="8"/>
    </row>
    <row r="9924" spans="11:11" x14ac:dyDescent="0.2">
      <c r="K9924" s="8"/>
    </row>
    <row r="9925" spans="11:11" x14ac:dyDescent="0.2">
      <c r="K9925" s="8"/>
    </row>
    <row r="9926" spans="11:11" x14ac:dyDescent="0.2">
      <c r="K9926" s="8"/>
    </row>
    <row r="9927" spans="11:11" x14ac:dyDescent="0.2">
      <c r="K9927" s="8"/>
    </row>
    <row r="9928" spans="11:11" x14ac:dyDescent="0.2">
      <c r="K9928" s="8"/>
    </row>
    <row r="9929" spans="11:11" x14ac:dyDescent="0.2">
      <c r="K9929" s="8"/>
    </row>
    <row r="9930" spans="11:11" x14ac:dyDescent="0.2">
      <c r="K9930" s="8"/>
    </row>
    <row r="9931" spans="11:11" x14ac:dyDescent="0.2">
      <c r="K9931" s="8"/>
    </row>
    <row r="9932" spans="11:11" x14ac:dyDescent="0.2">
      <c r="K9932" s="8"/>
    </row>
    <row r="9933" spans="11:11" x14ac:dyDescent="0.2">
      <c r="K9933" s="8"/>
    </row>
    <row r="9934" spans="11:11" x14ac:dyDescent="0.2">
      <c r="K9934" s="8"/>
    </row>
    <row r="9935" spans="11:11" x14ac:dyDescent="0.2">
      <c r="K9935" s="8"/>
    </row>
    <row r="9936" spans="11:11" x14ac:dyDescent="0.2">
      <c r="K9936" s="8"/>
    </row>
    <row r="9937" spans="11:11" x14ac:dyDescent="0.2">
      <c r="K9937" s="8"/>
    </row>
    <row r="9938" spans="11:11" x14ac:dyDescent="0.2">
      <c r="K9938" s="8"/>
    </row>
    <row r="9939" spans="11:11" x14ac:dyDescent="0.2">
      <c r="K9939" s="8"/>
    </row>
    <row r="9940" spans="11:11" x14ac:dyDescent="0.2">
      <c r="K9940" s="8"/>
    </row>
    <row r="9941" spans="11:11" x14ac:dyDescent="0.2">
      <c r="K9941" s="8"/>
    </row>
    <row r="9942" spans="11:11" x14ac:dyDescent="0.2">
      <c r="K9942" s="8"/>
    </row>
    <row r="9943" spans="11:11" x14ac:dyDescent="0.2">
      <c r="K9943" s="8"/>
    </row>
    <row r="9944" spans="11:11" x14ac:dyDescent="0.2">
      <c r="K9944" s="8"/>
    </row>
    <row r="9945" spans="11:11" x14ac:dyDescent="0.2">
      <c r="K9945" s="8"/>
    </row>
    <row r="9946" spans="11:11" x14ac:dyDescent="0.2">
      <c r="K9946" s="8"/>
    </row>
    <row r="9947" spans="11:11" x14ac:dyDescent="0.2">
      <c r="K9947" s="8"/>
    </row>
    <row r="9948" spans="11:11" x14ac:dyDescent="0.2">
      <c r="K9948" s="8"/>
    </row>
    <row r="9949" spans="11:11" x14ac:dyDescent="0.2">
      <c r="K9949" s="8"/>
    </row>
    <row r="9950" spans="11:11" x14ac:dyDescent="0.2">
      <c r="K9950" s="8"/>
    </row>
    <row r="9951" spans="11:11" x14ac:dyDescent="0.2">
      <c r="K9951" s="8"/>
    </row>
    <row r="9952" spans="11:11" x14ac:dyDescent="0.2">
      <c r="K9952" s="8"/>
    </row>
    <row r="9953" spans="11:11" x14ac:dyDescent="0.2">
      <c r="K9953" s="8"/>
    </row>
    <row r="9954" spans="11:11" x14ac:dyDescent="0.2">
      <c r="K9954" s="8"/>
    </row>
    <row r="9955" spans="11:11" x14ac:dyDescent="0.2">
      <c r="K9955" s="8"/>
    </row>
    <row r="9956" spans="11:11" x14ac:dyDescent="0.2">
      <c r="K9956" s="8"/>
    </row>
    <row r="9957" spans="11:11" x14ac:dyDescent="0.2">
      <c r="K9957" s="8"/>
    </row>
    <row r="9958" spans="11:11" x14ac:dyDescent="0.2">
      <c r="K9958" s="8"/>
    </row>
    <row r="9959" spans="11:11" x14ac:dyDescent="0.2">
      <c r="K9959" s="8"/>
    </row>
    <row r="9960" spans="11:11" x14ac:dyDescent="0.2">
      <c r="K9960" s="8"/>
    </row>
    <row r="9961" spans="11:11" x14ac:dyDescent="0.2">
      <c r="K9961" s="8"/>
    </row>
    <row r="9962" spans="11:11" x14ac:dyDescent="0.2">
      <c r="K9962" s="8"/>
    </row>
    <row r="9963" spans="11:11" x14ac:dyDescent="0.2">
      <c r="K9963" s="8"/>
    </row>
    <row r="9964" spans="11:11" x14ac:dyDescent="0.2">
      <c r="K9964" s="8"/>
    </row>
    <row r="9965" spans="11:11" x14ac:dyDescent="0.2">
      <c r="K9965" s="8"/>
    </row>
    <row r="9966" spans="11:11" x14ac:dyDescent="0.2">
      <c r="K9966" s="8"/>
    </row>
    <row r="9967" spans="11:11" x14ac:dyDescent="0.2">
      <c r="K9967" s="8"/>
    </row>
    <row r="9968" spans="11:11" x14ac:dyDescent="0.2">
      <c r="K9968" s="8"/>
    </row>
    <row r="9969" spans="11:11" x14ac:dyDescent="0.2">
      <c r="K9969" s="8"/>
    </row>
    <row r="9970" spans="11:11" x14ac:dyDescent="0.2">
      <c r="K9970" s="8"/>
    </row>
    <row r="9971" spans="11:11" x14ac:dyDescent="0.2">
      <c r="K9971" s="8"/>
    </row>
    <row r="9972" spans="11:11" x14ac:dyDescent="0.2">
      <c r="K9972" s="8"/>
    </row>
    <row r="9973" spans="11:11" x14ac:dyDescent="0.2">
      <c r="K9973" s="8"/>
    </row>
    <row r="9974" spans="11:11" x14ac:dyDescent="0.2">
      <c r="K9974" s="8"/>
    </row>
    <row r="9975" spans="11:11" x14ac:dyDescent="0.2">
      <c r="K9975" s="8"/>
    </row>
    <row r="9976" spans="11:11" x14ac:dyDescent="0.2">
      <c r="K9976" s="8"/>
    </row>
    <row r="9977" spans="11:11" x14ac:dyDescent="0.2">
      <c r="K9977" s="8"/>
    </row>
    <row r="9978" spans="11:11" x14ac:dyDescent="0.2">
      <c r="K9978" s="8"/>
    </row>
    <row r="9979" spans="11:11" x14ac:dyDescent="0.2">
      <c r="K9979" s="8"/>
    </row>
    <row r="9980" spans="11:11" x14ac:dyDescent="0.2">
      <c r="K9980" s="8"/>
    </row>
    <row r="9981" spans="11:11" x14ac:dyDescent="0.2">
      <c r="K9981" s="8"/>
    </row>
    <row r="9982" spans="11:11" x14ac:dyDescent="0.2">
      <c r="K9982" s="8"/>
    </row>
    <row r="9983" spans="11:11" x14ac:dyDescent="0.2">
      <c r="K9983" s="8"/>
    </row>
    <row r="9984" spans="11:11" x14ac:dyDescent="0.2">
      <c r="K9984" s="8"/>
    </row>
    <row r="9985" spans="11:11" x14ac:dyDescent="0.2">
      <c r="K9985" s="8"/>
    </row>
    <row r="9986" spans="11:11" x14ac:dyDescent="0.2">
      <c r="K9986" s="8"/>
    </row>
    <row r="9987" spans="11:11" x14ac:dyDescent="0.2">
      <c r="K9987" s="8"/>
    </row>
    <row r="9988" spans="11:11" x14ac:dyDescent="0.2">
      <c r="K9988" s="8"/>
    </row>
    <row r="9989" spans="11:11" x14ac:dyDescent="0.2">
      <c r="K9989" s="8"/>
    </row>
    <row r="9990" spans="11:11" x14ac:dyDescent="0.2">
      <c r="K9990" s="8"/>
    </row>
    <row r="9991" spans="11:11" x14ac:dyDescent="0.2">
      <c r="K9991" s="8"/>
    </row>
  </sheetData>
  <autoFilter ref="A1:U2031" xr:uid="{C4772506-8D2D-4B51-A47A-3605CE599965}"/>
  <pageMargins left="0.7" right="0.7" top="0.75" bottom="0.75" header="0.3" footer="0.3"/>
  <pageSetup paperSize="9" orientation="portrait" horizontalDpi="4294967293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0E5F5-8C84-4578-923D-CB491F1919EF}">
  <dimension ref="A1:A2"/>
  <sheetViews>
    <sheetView workbookViewId="0">
      <selection activeCell="A2" sqref="A2"/>
    </sheetView>
  </sheetViews>
  <sheetFormatPr defaultRowHeight="15" x14ac:dyDescent="0.25"/>
  <cols>
    <col min="1" max="1" width="10.7109375" bestFit="1" customWidth="1"/>
  </cols>
  <sheetData>
    <row r="1" spans="1:1" x14ac:dyDescent="0.25">
      <c r="A1" s="14">
        <v>36161</v>
      </c>
    </row>
    <row r="2" spans="1:1" x14ac:dyDescent="0.25">
      <c r="A2" s="15">
        <f>36161 + 250</f>
        <v>36411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Name</vt:lpstr>
      <vt:lpstr>Last name</vt:lpstr>
      <vt:lpstr>Companies</vt:lpstr>
      <vt:lpstr>Genders</vt:lpstr>
      <vt:lpstr>Marital status</vt:lpstr>
      <vt:lpstr>Ethnicities</vt:lpstr>
      <vt:lpstr>Departments</vt:lpstr>
      <vt:lpstr>Background education</vt:lpstr>
      <vt:lpstr>Roles</vt:lpstr>
      <vt:lpstr>Levels</vt:lpstr>
      <vt:lpstr>Countries</vt:lpstr>
      <vt:lpstr>States</vt:lpstr>
      <vt:lpstr>Recruitment source</vt:lpstr>
      <vt:lpstr>Reasons for dismissal</vt:lpstr>
      <vt:lpstr>Employees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de Oliveira Ramos Vieira</dc:creator>
  <cp:keywords/>
  <dc:description/>
  <cp:lastModifiedBy>Arthur de Oliveira Ramos Vieira</cp:lastModifiedBy>
  <cp:revision/>
  <dcterms:created xsi:type="dcterms:W3CDTF">2022-03-01T05:37:40Z</dcterms:created>
  <dcterms:modified xsi:type="dcterms:W3CDTF">2022-10-04T03:53:10Z</dcterms:modified>
  <cp:category/>
  <cp:contentStatus/>
</cp:coreProperties>
</file>